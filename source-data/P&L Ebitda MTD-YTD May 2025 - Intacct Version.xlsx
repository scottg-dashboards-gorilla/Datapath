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datapathinc-my.sharepoint.com/personal/dvicencio_mydatapath_com/Documents/Monthly Financials/2025/"/>
    </mc:Choice>
  </mc:AlternateContent>
  <xr:revisionPtr revIDLastSave="53" documentId="8_{5B17A698-E297-406E-BA2F-68E23B3DCF33}" xr6:coauthVersionLast="47" xr6:coauthVersionMax="47" xr10:uidLastSave="{55843D5A-FDB1-4881-8F83-AF818BD90DBE}"/>
  <bookViews>
    <workbookView minimized="1" xWindow="6900" yWindow="6570" windowWidth="17280" windowHeight="9030" activeTab="1" xr2:uid="{00000000-000D-0000-FFFF-FFFF00000000}"/>
  </bookViews>
  <sheets>
    <sheet name="P&amp;L" sheetId="1" r:id="rId1"/>
    <sheet name="Footnotes" sheetId="2" r:id="rId2"/>
    <sheet name="Agreements" sheetId="3" r:id="rId3"/>
    <sheet name="Payroll Breakdown - May" sheetId="4" r:id="rId4"/>
  </sheets>
  <definedNames>
    <definedName name="_xlnm._FilterDatabase" localSheetId="2" hidden="1">Agreements!$A$1:$L$860</definedName>
    <definedName name="_xlnm._FilterDatabase" localSheetId="3" hidden="1">'Payroll Breakdown - May'!$A$7:$O$78</definedName>
    <definedName name="NB_Monthly_Recurring_Private_Cloud_CA">#REF!</definedName>
    <definedName name="NB_Monthly_Recurring_Private_Cloud_OH">#REF!</definedName>
    <definedName name="NB_Monthly_Recurring_Resale_CA">#REF!</definedName>
    <definedName name="NB_Monthly_Recurring_Resale_OH">#REF!</definedName>
    <definedName name="NB_Monthly_Recurring_Services_CA">#REF!</definedName>
    <definedName name="NB_Monthly_Recurring_Services_OH">#REF!</definedName>
    <definedName name="WA_Monthly_Recurring_Private_Cloud_CA">#REF!</definedName>
    <definedName name="WA_Monthly_Recurring_Resale_CA">#REF!</definedName>
    <definedName name="WA_Monthly_Recurring_Resale_OH">#REF!</definedName>
    <definedName name="WA_Monthly_Recurring_Services_CA">#REF!</definedName>
    <definedName name="WA_Monthly_Recurring_Services_O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7" i="2"/>
  <c r="J78" i="4" l="1"/>
  <c r="I76" i="4"/>
  <c r="H76" i="4"/>
  <c r="H78" i="4" s="1"/>
  <c r="K75" i="4"/>
  <c r="K74" i="4"/>
  <c r="K73" i="4"/>
  <c r="K72" i="4"/>
  <c r="K71" i="4"/>
  <c r="K70" i="4"/>
  <c r="K69" i="4"/>
  <c r="K67" i="4"/>
  <c r="K66" i="4"/>
  <c r="K65" i="4"/>
  <c r="K64" i="4"/>
  <c r="K63" i="4"/>
  <c r="K87" i="4" s="1"/>
  <c r="I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I47" i="4"/>
  <c r="K46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85" i="4" s="1"/>
  <c r="K14" i="4"/>
  <c r="I14" i="4"/>
  <c r="K13" i="4"/>
  <c r="K12" i="4"/>
  <c r="K11" i="4"/>
  <c r="K10" i="4"/>
  <c r="K9" i="4"/>
  <c r="K8" i="4"/>
  <c r="K84" i="4" s="1"/>
  <c r="H5" i="4"/>
  <c r="I5" i="4" s="1"/>
  <c r="H4" i="4"/>
  <c r="I4" i="4" s="1"/>
  <c r="H3" i="4"/>
  <c r="I3" i="4" s="1"/>
  <c r="H2" i="4"/>
  <c r="I2" i="4" s="1"/>
  <c r="K62" i="4" l="1"/>
  <c r="K47" i="4"/>
  <c r="K86" i="4"/>
  <c r="K88" i="4" s="1"/>
  <c r="I78" i="4"/>
  <c r="K76" i="4"/>
  <c r="K78" i="4" l="1"/>
  <c r="J882" i="3" l="1"/>
  <c r="J884" i="3" s="1"/>
  <c r="G882" i="3"/>
  <c r="K881" i="3"/>
  <c r="J881" i="3"/>
  <c r="G881" i="3"/>
  <c r="J880" i="3"/>
  <c r="G880" i="3"/>
  <c r="K880" i="3" s="1"/>
  <c r="K877" i="3"/>
  <c r="J877" i="3"/>
  <c r="G877" i="3"/>
  <c r="K875" i="3"/>
  <c r="K873" i="3"/>
  <c r="J869" i="3"/>
  <c r="G869" i="3"/>
  <c r="K869" i="3" s="1"/>
  <c r="K867" i="3"/>
  <c r="K866" i="3"/>
  <c r="K865" i="3"/>
  <c r="J855" i="3"/>
  <c r="G855" i="3"/>
  <c r="H854" i="3"/>
  <c r="K854" i="3" s="1"/>
  <c r="H853" i="3"/>
  <c r="K853" i="3" s="1"/>
  <c r="H852" i="3"/>
  <c r="K852" i="3" s="1"/>
  <c r="H851" i="3"/>
  <c r="K851" i="3" s="1"/>
  <c r="H850" i="3"/>
  <c r="K850" i="3" s="1"/>
  <c r="J849" i="3"/>
  <c r="G849" i="3"/>
  <c r="H848" i="3"/>
  <c r="K848" i="3" s="1"/>
  <c r="H847" i="3"/>
  <c r="K847" i="3" s="1"/>
  <c r="H846" i="3"/>
  <c r="K846" i="3" s="1"/>
  <c r="H845" i="3"/>
  <c r="K845" i="3" s="1"/>
  <c r="H844" i="3"/>
  <c r="K844" i="3" s="1"/>
  <c r="J843" i="3"/>
  <c r="G843" i="3"/>
  <c r="H842" i="3"/>
  <c r="K842" i="3" s="1"/>
  <c r="H841" i="3"/>
  <c r="K841" i="3" s="1"/>
  <c r="K843" i="3" s="1"/>
  <c r="J840" i="3"/>
  <c r="G840" i="3"/>
  <c r="H839" i="3"/>
  <c r="K839" i="3" s="1"/>
  <c r="H838" i="3"/>
  <c r="K838" i="3" s="1"/>
  <c r="K840" i="3" s="1"/>
  <c r="J837" i="3"/>
  <c r="G837" i="3"/>
  <c r="H836" i="3"/>
  <c r="K836" i="3" s="1"/>
  <c r="K837" i="3" s="1"/>
  <c r="J835" i="3"/>
  <c r="G835" i="3"/>
  <c r="H834" i="3"/>
  <c r="K834" i="3" s="1"/>
  <c r="H833" i="3"/>
  <c r="K833" i="3" s="1"/>
  <c r="J832" i="3"/>
  <c r="G832" i="3"/>
  <c r="H831" i="3"/>
  <c r="K831" i="3" s="1"/>
  <c r="H830" i="3"/>
  <c r="K830" i="3" s="1"/>
  <c r="H829" i="3"/>
  <c r="K829" i="3" s="1"/>
  <c r="H828" i="3"/>
  <c r="K828" i="3" s="1"/>
  <c r="H827" i="3"/>
  <c r="K827" i="3" s="1"/>
  <c r="H826" i="3"/>
  <c r="K826" i="3" s="1"/>
  <c r="J825" i="3"/>
  <c r="G825" i="3"/>
  <c r="H824" i="3"/>
  <c r="K824" i="3" s="1"/>
  <c r="H823" i="3"/>
  <c r="K823" i="3" s="1"/>
  <c r="J822" i="3"/>
  <c r="G822" i="3"/>
  <c r="H821" i="3"/>
  <c r="K821" i="3" s="1"/>
  <c r="K822" i="3" s="1"/>
  <c r="J820" i="3"/>
  <c r="G820" i="3"/>
  <c r="H819" i="3"/>
  <c r="K819" i="3" s="1"/>
  <c r="H818" i="3"/>
  <c r="K818" i="3" s="1"/>
  <c r="H817" i="3"/>
  <c r="K817" i="3" s="1"/>
  <c r="H816" i="3"/>
  <c r="K816" i="3" s="1"/>
  <c r="J815" i="3"/>
  <c r="G815" i="3"/>
  <c r="H814" i="3"/>
  <c r="K814" i="3" s="1"/>
  <c r="H813" i="3"/>
  <c r="K813" i="3" s="1"/>
  <c r="H812" i="3"/>
  <c r="K812" i="3" s="1"/>
  <c r="K815" i="3" s="1"/>
  <c r="J811" i="3"/>
  <c r="G811" i="3"/>
  <c r="H810" i="3"/>
  <c r="K810" i="3" s="1"/>
  <c r="H809" i="3"/>
  <c r="K809" i="3" s="1"/>
  <c r="H808" i="3"/>
  <c r="K808" i="3" s="1"/>
  <c r="J807" i="3"/>
  <c r="G807" i="3"/>
  <c r="H806" i="3"/>
  <c r="K806" i="3" s="1"/>
  <c r="K807" i="3" s="1"/>
  <c r="J805" i="3"/>
  <c r="G805" i="3"/>
  <c r="H804" i="3"/>
  <c r="K804" i="3" s="1"/>
  <c r="H803" i="3"/>
  <c r="K803" i="3" s="1"/>
  <c r="H802" i="3"/>
  <c r="K802" i="3" s="1"/>
  <c r="H801" i="3"/>
  <c r="K801" i="3" s="1"/>
  <c r="H800" i="3"/>
  <c r="K800" i="3" s="1"/>
  <c r="J799" i="3"/>
  <c r="G799" i="3"/>
  <c r="H798" i="3"/>
  <c r="K798" i="3" s="1"/>
  <c r="H797" i="3"/>
  <c r="K797" i="3" s="1"/>
  <c r="H796" i="3"/>
  <c r="K796" i="3" s="1"/>
  <c r="J795" i="3"/>
  <c r="G795" i="3"/>
  <c r="H794" i="3"/>
  <c r="K794" i="3" s="1"/>
  <c r="H793" i="3"/>
  <c r="K793" i="3" s="1"/>
  <c r="H792" i="3"/>
  <c r="K792" i="3" s="1"/>
  <c r="J791" i="3"/>
  <c r="G791" i="3"/>
  <c r="H790" i="3"/>
  <c r="K790" i="3" s="1"/>
  <c r="H789" i="3"/>
  <c r="K789" i="3" s="1"/>
  <c r="H788" i="3"/>
  <c r="K788" i="3" s="1"/>
  <c r="H787" i="3"/>
  <c r="K787" i="3" s="1"/>
  <c r="H786" i="3"/>
  <c r="K786" i="3" s="1"/>
  <c r="J785" i="3"/>
  <c r="G785" i="3"/>
  <c r="H784" i="3"/>
  <c r="K784" i="3" s="1"/>
  <c r="H783" i="3"/>
  <c r="K783" i="3" s="1"/>
  <c r="H782" i="3"/>
  <c r="K782" i="3" s="1"/>
  <c r="J781" i="3"/>
  <c r="G781" i="3"/>
  <c r="H780" i="3"/>
  <c r="K780" i="3" s="1"/>
  <c r="H779" i="3"/>
  <c r="K779" i="3" s="1"/>
  <c r="K781" i="3" s="1"/>
  <c r="J778" i="3"/>
  <c r="G778" i="3"/>
  <c r="H777" i="3"/>
  <c r="K777" i="3" s="1"/>
  <c r="H776" i="3"/>
  <c r="K776" i="3" s="1"/>
  <c r="J775" i="3"/>
  <c r="G775" i="3"/>
  <c r="H774" i="3"/>
  <c r="K774" i="3" s="1"/>
  <c r="H773" i="3"/>
  <c r="K773" i="3" s="1"/>
  <c r="J772" i="3"/>
  <c r="G772" i="3"/>
  <c r="H771" i="3"/>
  <c r="K771" i="3" s="1"/>
  <c r="H770" i="3"/>
  <c r="K770" i="3" s="1"/>
  <c r="K772" i="3" s="1"/>
  <c r="J769" i="3"/>
  <c r="G769" i="3"/>
  <c r="H768" i="3"/>
  <c r="K768" i="3" s="1"/>
  <c r="K769" i="3" s="1"/>
  <c r="J767" i="3"/>
  <c r="G767" i="3"/>
  <c r="H766" i="3"/>
  <c r="K766" i="3" s="1"/>
  <c r="H765" i="3"/>
  <c r="K765" i="3" s="1"/>
  <c r="H764" i="3"/>
  <c r="K764" i="3" s="1"/>
  <c r="K767" i="3" s="1"/>
  <c r="J763" i="3"/>
  <c r="G763" i="3"/>
  <c r="H762" i="3"/>
  <c r="K762" i="3" s="1"/>
  <c r="H761" i="3"/>
  <c r="K761" i="3" s="1"/>
  <c r="H760" i="3"/>
  <c r="K760" i="3" s="1"/>
  <c r="H759" i="3"/>
  <c r="K759" i="3" s="1"/>
  <c r="J758" i="3"/>
  <c r="G758" i="3"/>
  <c r="H757" i="3"/>
  <c r="K757" i="3" s="1"/>
  <c r="H756" i="3"/>
  <c r="K756" i="3" s="1"/>
  <c r="H755" i="3"/>
  <c r="K755" i="3" s="1"/>
  <c r="H754" i="3"/>
  <c r="K754" i="3" s="1"/>
  <c r="H753" i="3"/>
  <c r="K753" i="3" s="1"/>
  <c r="H752" i="3"/>
  <c r="K752" i="3" s="1"/>
  <c r="J751" i="3"/>
  <c r="G751" i="3"/>
  <c r="H750" i="3"/>
  <c r="K750" i="3" s="1"/>
  <c r="H749" i="3"/>
  <c r="K749" i="3" s="1"/>
  <c r="H748" i="3"/>
  <c r="K748" i="3" s="1"/>
  <c r="H747" i="3"/>
  <c r="K747" i="3" s="1"/>
  <c r="H746" i="3"/>
  <c r="K746" i="3" s="1"/>
  <c r="K751" i="3" s="1"/>
  <c r="J745" i="3"/>
  <c r="G745" i="3"/>
  <c r="H744" i="3"/>
  <c r="K744" i="3" s="1"/>
  <c r="H743" i="3"/>
  <c r="K743" i="3" s="1"/>
  <c r="H742" i="3"/>
  <c r="K742" i="3" s="1"/>
  <c r="H741" i="3"/>
  <c r="K741" i="3" s="1"/>
  <c r="J740" i="3"/>
  <c r="G740" i="3"/>
  <c r="H739" i="3"/>
  <c r="K739" i="3" s="1"/>
  <c r="H738" i="3"/>
  <c r="K738" i="3" s="1"/>
  <c r="H737" i="3"/>
  <c r="K737" i="3" s="1"/>
  <c r="H736" i="3"/>
  <c r="K736" i="3" s="1"/>
  <c r="H735" i="3"/>
  <c r="K735" i="3" s="1"/>
  <c r="K740" i="3" s="1"/>
  <c r="J734" i="3"/>
  <c r="G734" i="3"/>
  <c r="H733" i="3"/>
  <c r="K733" i="3" s="1"/>
  <c r="H732" i="3"/>
  <c r="K732" i="3" s="1"/>
  <c r="H731" i="3"/>
  <c r="K731" i="3" s="1"/>
  <c r="H730" i="3"/>
  <c r="K730" i="3" s="1"/>
  <c r="H729" i="3"/>
  <c r="K729" i="3" s="1"/>
  <c r="J728" i="3"/>
  <c r="G728" i="3"/>
  <c r="H727" i="3"/>
  <c r="K727" i="3" s="1"/>
  <c r="H726" i="3"/>
  <c r="K726" i="3" s="1"/>
  <c r="H725" i="3"/>
  <c r="K725" i="3" s="1"/>
  <c r="H724" i="3"/>
  <c r="K724" i="3" s="1"/>
  <c r="J723" i="3"/>
  <c r="G723" i="3"/>
  <c r="H722" i="3"/>
  <c r="K722" i="3" s="1"/>
  <c r="H721" i="3"/>
  <c r="K721" i="3" s="1"/>
  <c r="H720" i="3"/>
  <c r="K720" i="3" s="1"/>
  <c r="J719" i="3"/>
  <c r="G719" i="3"/>
  <c r="H718" i="3"/>
  <c r="K718" i="3" s="1"/>
  <c r="H717" i="3"/>
  <c r="K717" i="3" s="1"/>
  <c r="H716" i="3"/>
  <c r="K716" i="3" s="1"/>
  <c r="H715" i="3"/>
  <c r="K715" i="3" s="1"/>
  <c r="H714" i="3"/>
  <c r="K714" i="3" s="1"/>
  <c r="J713" i="3"/>
  <c r="G713" i="3"/>
  <c r="H712" i="3"/>
  <c r="K712" i="3" s="1"/>
  <c r="H711" i="3"/>
  <c r="K711" i="3" s="1"/>
  <c r="H710" i="3"/>
  <c r="K710" i="3" s="1"/>
  <c r="H709" i="3"/>
  <c r="K709" i="3" s="1"/>
  <c r="J708" i="3"/>
  <c r="G708" i="3"/>
  <c r="H707" i="3"/>
  <c r="K707" i="3" s="1"/>
  <c r="H706" i="3"/>
  <c r="K706" i="3" s="1"/>
  <c r="K708" i="3" s="1"/>
  <c r="J705" i="3"/>
  <c r="G705" i="3"/>
  <c r="H704" i="3"/>
  <c r="K704" i="3" s="1"/>
  <c r="H703" i="3"/>
  <c r="K703" i="3" s="1"/>
  <c r="H702" i="3"/>
  <c r="K702" i="3" s="1"/>
  <c r="H701" i="3"/>
  <c r="K701" i="3" s="1"/>
  <c r="H700" i="3"/>
  <c r="K700" i="3" s="1"/>
  <c r="H699" i="3"/>
  <c r="K699" i="3" s="1"/>
  <c r="J698" i="3"/>
  <c r="G698" i="3"/>
  <c r="H697" i="3"/>
  <c r="K697" i="3" s="1"/>
  <c r="H696" i="3"/>
  <c r="K696" i="3" s="1"/>
  <c r="H695" i="3"/>
  <c r="K695" i="3" s="1"/>
  <c r="H694" i="3"/>
  <c r="K694" i="3" s="1"/>
  <c r="H693" i="3"/>
  <c r="K693" i="3" s="1"/>
  <c r="H692" i="3"/>
  <c r="K692" i="3" s="1"/>
  <c r="J691" i="3"/>
  <c r="G691" i="3"/>
  <c r="H690" i="3"/>
  <c r="K690" i="3" s="1"/>
  <c r="H689" i="3"/>
  <c r="K689" i="3" s="1"/>
  <c r="H688" i="3"/>
  <c r="K688" i="3" s="1"/>
  <c r="J687" i="3"/>
  <c r="G687" i="3"/>
  <c r="H686" i="3"/>
  <c r="K686" i="3" s="1"/>
  <c r="H685" i="3"/>
  <c r="K685" i="3" s="1"/>
  <c r="J684" i="3"/>
  <c r="G684" i="3"/>
  <c r="H683" i="3"/>
  <c r="K683" i="3" s="1"/>
  <c r="H682" i="3"/>
  <c r="K682" i="3" s="1"/>
  <c r="H681" i="3"/>
  <c r="K681" i="3" s="1"/>
  <c r="J680" i="3"/>
  <c r="G680" i="3"/>
  <c r="H679" i="3"/>
  <c r="K679" i="3" s="1"/>
  <c r="H678" i="3"/>
  <c r="K678" i="3" s="1"/>
  <c r="H677" i="3"/>
  <c r="K677" i="3" s="1"/>
  <c r="J676" i="3"/>
  <c r="G676" i="3"/>
  <c r="H675" i="3"/>
  <c r="K675" i="3" s="1"/>
  <c r="K676" i="3" s="1"/>
  <c r="H674" i="3"/>
  <c r="K674" i="3" s="1"/>
  <c r="J673" i="3"/>
  <c r="G673" i="3"/>
  <c r="H672" i="3"/>
  <c r="K672" i="3" s="1"/>
  <c r="H671" i="3"/>
  <c r="K671" i="3" s="1"/>
  <c r="K673" i="3" s="1"/>
  <c r="J670" i="3"/>
  <c r="G670" i="3"/>
  <c r="H669" i="3"/>
  <c r="K669" i="3" s="1"/>
  <c r="H668" i="3"/>
  <c r="K668" i="3" s="1"/>
  <c r="J667" i="3"/>
  <c r="G667" i="3"/>
  <c r="H666" i="3"/>
  <c r="K666" i="3" s="1"/>
  <c r="H665" i="3"/>
  <c r="K665" i="3" s="1"/>
  <c r="K667" i="3" s="1"/>
  <c r="J664" i="3"/>
  <c r="G664" i="3"/>
  <c r="H663" i="3"/>
  <c r="K663" i="3" s="1"/>
  <c r="H662" i="3"/>
  <c r="K662" i="3" s="1"/>
  <c r="H661" i="3"/>
  <c r="K661" i="3" s="1"/>
  <c r="H660" i="3"/>
  <c r="K660" i="3" s="1"/>
  <c r="H659" i="3"/>
  <c r="K659" i="3" s="1"/>
  <c r="H658" i="3"/>
  <c r="K658" i="3" s="1"/>
  <c r="H657" i="3"/>
  <c r="K657" i="3" s="1"/>
  <c r="H656" i="3"/>
  <c r="K656" i="3" s="1"/>
  <c r="J655" i="3"/>
  <c r="G655" i="3"/>
  <c r="H654" i="3"/>
  <c r="K654" i="3" s="1"/>
  <c r="H653" i="3"/>
  <c r="K653" i="3" s="1"/>
  <c r="H652" i="3"/>
  <c r="K652" i="3" s="1"/>
  <c r="J651" i="3"/>
  <c r="G651" i="3"/>
  <c r="H650" i="3"/>
  <c r="K650" i="3" s="1"/>
  <c r="H649" i="3"/>
  <c r="K649" i="3" s="1"/>
  <c r="H648" i="3"/>
  <c r="K648" i="3" s="1"/>
  <c r="H647" i="3"/>
  <c r="K647" i="3" s="1"/>
  <c r="H646" i="3"/>
  <c r="K646" i="3" s="1"/>
  <c r="J645" i="3"/>
  <c r="G645" i="3"/>
  <c r="H644" i="3"/>
  <c r="K644" i="3" s="1"/>
  <c r="H643" i="3"/>
  <c r="K643" i="3" s="1"/>
  <c r="H642" i="3"/>
  <c r="K642" i="3" s="1"/>
  <c r="H641" i="3"/>
  <c r="K641" i="3" s="1"/>
  <c r="J640" i="3"/>
  <c r="G640" i="3"/>
  <c r="H639" i="3"/>
  <c r="K639" i="3" s="1"/>
  <c r="H638" i="3"/>
  <c r="K638" i="3" s="1"/>
  <c r="H637" i="3"/>
  <c r="K637" i="3" s="1"/>
  <c r="H636" i="3"/>
  <c r="K636" i="3" s="1"/>
  <c r="H635" i="3"/>
  <c r="K635" i="3" s="1"/>
  <c r="J634" i="3"/>
  <c r="G634" i="3"/>
  <c r="H633" i="3"/>
  <c r="K633" i="3" s="1"/>
  <c r="K634" i="3" s="1"/>
  <c r="J632" i="3"/>
  <c r="G632" i="3"/>
  <c r="H631" i="3"/>
  <c r="K631" i="3" s="1"/>
  <c r="K632" i="3" s="1"/>
  <c r="J630" i="3"/>
  <c r="G630" i="3"/>
  <c r="H629" i="3"/>
  <c r="K629" i="3" s="1"/>
  <c r="K630" i="3" s="1"/>
  <c r="J628" i="3"/>
  <c r="G628" i="3"/>
  <c r="H627" i="3"/>
  <c r="K627" i="3" s="1"/>
  <c r="K628" i="3" s="1"/>
  <c r="J625" i="3"/>
  <c r="G625" i="3"/>
  <c r="H624" i="3"/>
  <c r="K624" i="3" s="1"/>
  <c r="H623" i="3"/>
  <c r="K623" i="3" s="1"/>
  <c r="H622" i="3"/>
  <c r="K622" i="3" s="1"/>
  <c r="H621" i="3"/>
  <c r="K621" i="3" s="1"/>
  <c r="J620" i="3"/>
  <c r="G620" i="3"/>
  <c r="H619" i="3"/>
  <c r="K619" i="3" s="1"/>
  <c r="K620" i="3" s="1"/>
  <c r="J618" i="3"/>
  <c r="G618" i="3"/>
  <c r="H617" i="3"/>
  <c r="K617" i="3" s="1"/>
  <c r="H616" i="3"/>
  <c r="K616" i="3" s="1"/>
  <c r="H615" i="3"/>
  <c r="K615" i="3" s="1"/>
  <c r="J614" i="3"/>
  <c r="G614" i="3"/>
  <c r="H613" i="3"/>
  <c r="K613" i="3" s="1"/>
  <c r="H612" i="3"/>
  <c r="K612" i="3" s="1"/>
  <c r="H611" i="3"/>
  <c r="K611" i="3" s="1"/>
  <c r="H610" i="3"/>
  <c r="K610" i="3" s="1"/>
  <c r="K614" i="3" s="1"/>
  <c r="J609" i="3"/>
  <c r="G609" i="3"/>
  <c r="H608" i="3"/>
  <c r="K608" i="3" s="1"/>
  <c r="H607" i="3"/>
  <c r="K607" i="3" s="1"/>
  <c r="H606" i="3"/>
  <c r="K606" i="3" s="1"/>
  <c r="H605" i="3"/>
  <c r="K605" i="3" s="1"/>
  <c r="J604" i="3"/>
  <c r="G604" i="3"/>
  <c r="H603" i="3"/>
  <c r="K603" i="3" s="1"/>
  <c r="H602" i="3"/>
  <c r="K602" i="3" s="1"/>
  <c r="H601" i="3"/>
  <c r="K601" i="3" s="1"/>
  <c r="H600" i="3"/>
  <c r="K600" i="3" s="1"/>
  <c r="J599" i="3"/>
  <c r="G599" i="3"/>
  <c r="H598" i="3"/>
  <c r="K598" i="3" s="1"/>
  <c r="H597" i="3"/>
  <c r="K597" i="3" s="1"/>
  <c r="H596" i="3"/>
  <c r="K596" i="3" s="1"/>
  <c r="H595" i="3"/>
  <c r="K595" i="3" s="1"/>
  <c r="K599" i="3" s="1"/>
  <c r="J594" i="3"/>
  <c r="G594" i="3"/>
  <c r="H593" i="3"/>
  <c r="K593" i="3" s="1"/>
  <c r="H592" i="3"/>
  <c r="K592" i="3" s="1"/>
  <c r="H591" i="3"/>
  <c r="K591" i="3" s="1"/>
  <c r="H590" i="3"/>
  <c r="K590" i="3" s="1"/>
  <c r="J589" i="3"/>
  <c r="G589" i="3"/>
  <c r="H588" i="3"/>
  <c r="K588" i="3" s="1"/>
  <c r="H587" i="3"/>
  <c r="K587" i="3" s="1"/>
  <c r="H586" i="3"/>
  <c r="K586" i="3" s="1"/>
  <c r="J585" i="3"/>
  <c r="G585" i="3"/>
  <c r="H584" i="3"/>
  <c r="K584" i="3" s="1"/>
  <c r="H583" i="3"/>
  <c r="K583" i="3" s="1"/>
  <c r="H582" i="3"/>
  <c r="K582" i="3" s="1"/>
  <c r="H581" i="3"/>
  <c r="K581" i="3" s="1"/>
  <c r="J580" i="3"/>
  <c r="G580" i="3"/>
  <c r="H579" i="3"/>
  <c r="K579" i="3" s="1"/>
  <c r="H578" i="3"/>
  <c r="K578" i="3" s="1"/>
  <c r="H577" i="3"/>
  <c r="K577" i="3" s="1"/>
  <c r="K580" i="3" s="1"/>
  <c r="J576" i="3"/>
  <c r="G576" i="3"/>
  <c r="H575" i="3"/>
  <c r="K575" i="3" s="1"/>
  <c r="H574" i="3"/>
  <c r="K574" i="3" s="1"/>
  <c r="H573" i="3"/>
  <c r="K573" i="3" s="1"/>
  <c r="H572" i="3"/>
  <c r="K572" i="3" s="1"/>
  <c r="H571" i="3"/>
  <c r="K571" i="3" s="1"/>
  <c r="J570" i="3"/>
  <c r="G570" i="3"/>
  <c r="H569" i="3"/>
  <c r="K569" i="3" s="1"/>
  <c r="H568" i="3"/>
  <c r="K568" i="3" s="1"/>
  <c r="H567" i="3"/>
  <c r="K567" i="3" s="1"/>
  <c r="H566" i="3"/>
  <c r="K566" i="3" s="1"/>
  <c r="J565" i="3"/>
  <c r="G565" i="3"/>
  <c r="H564" i="3"/>
  <c r="K564" i="3" s="1"/>
  <c r="H563" i="3"/>
  <c r="K563" i="3" s="1"/>
  <c r="H562" i="3"/>
  <c r="K562" i="3" s="1"/>
  <c r="H561" i="3"/>
  <c r="K561" i="3" s="1"/>
  <c r="H560" i="3"/>
  <c r="K560" i="3" s="1"/>
  <c r="J559" i="3"/>
  <c r="G559" i="3"/>
  <c r="H558" i="3"/>
  <c r="K558" i="3" s="1"/>
  <c r="H557" i="3"/>
  <c r="K557" i="3" s="1"/>
  <c r="H556" i="3"/>
  <c r="K556" i="3" s="1"/>
  <c r="H555" i="3"/>
  <c r="K555" i="3" s="1"/>
  <c r="H554" i="3"/>
  <c r="K554" i="3" s="1"/>
  <c r="H553" i="3"/>
  <c r="K553" i="3" s="1"/>
  <c r="H552" i="3"/>
  <c r="K552" i="3" s="1"/>
  <c r="K559" i="3" s="1"/>
  <c r="J551" i="3"/>
  <c r="G551" i="3"/>
  <c r="H550" i="3"/>
  <c r="K550" i="3" s="1"/>
  <c r="K551" i="3" s="1"/>
  <c r="J549" i="3"/>
  <c r="G549" i="3"/>
  <c r="H548" i="3"/>
  <c r="K548" i="3" s="1"/>
  <c r="H547" i="3"/>
  <c r="K547" i="3" s="1"/>
  <c r="H546" i="3"/>
  <c r="K546" i="3" s="1"/>
  <c r="H545" i="3"/>
  <c r="K545" i="3" s="1"/>
  <c r="H544" i="3"/>
  <c r="K544" i="3" s="1"/>
  <c r="J543" i="3"/>
  <c r="G543" i="3"/>
  <c r="H542" i="3"/>
  <c r="K542" i="3" s="1"/>
  <c r="H541" i="3"/>
  <c r="K541" i="3" s="1"/>
  <c r="H540" i="3"/>
  <c r="K540" i="3" s="1"/>
  <c r="H539" i="3"/>
  <c r="K539" i="3" s="1"/>
  <c r="H538" i="3"/>
  <c r="K538" i="3" s="1"/>
  <c r="J537" i="3"/>
  <c r="G537" i="3"/>
  <c r="H536" i="3"/>
  <c r="K536" i="3" s="1"/>
  <c r="H535" i="3"/>
  <c r="K535" i="3" s="1"/>
  <c r="K537" i="3" s="1"/>
  <c r="H534" i="3"/>
  <c r="K534" i="3" s="1"/>
  <c r="H533" i="3"/>
  <c r="K533" i="3" s="1"/>
  <c r="J532" i="3"/>
  <c r="G532" i="3"/>
  <c r="H531" i="3"/>
  <c r="K531" i="3" s="1"/>
  <c r="H530" i="3"/>
  <c r="K530" i="3" s="1"/>
  <c r="H529" i="3"/>
  <c r="K529" i="3" s="1"/>
  <c r="H528" i="3"/>
  <c r="K528" i="3" s="1"/>
  <c r="K532" i="3" s="1"/>
  <c r="H527" i="3"/>
  <c r="K527" i="3" s="1"/>
  <c r="J526" i="3"/>
  <c r="G526" i="3"/>
  <c r="H525" i="3"/>
  <c r="K525" i="3" s="1"/>
  <c r="H524" i="3"/>
  <c r="K524" i="3" s="1"/>
  <c r="H523" i="3"/>
  <c r="K523" i="3" s="1"/>
  <c r="H522" i="3"/>
  <c r="K522" i="3" s="1"/>
  <c r="J521" i="3"/>
  <c r="G521" i="3"/>
  <c r="H520" i="3"/>
  <c r="K520" i="3" s="1"/>
  <c r="H519" i="3"/>
  <c r="K519" i="3" s="1"/>
  <c r="H518" i="3"/>
  <c r="K518" i="3" s="1"/>
  <c r="H517" i="3"/>
  <c r="K517" i="3" s="1"/>
  <c r="H516" i="3"/>
  <c r="K516" i="3" s="1"/>
  <c r="J515" i="3"/>
  <c r="G515" i="3"/>
  <c r="H514" i="3"/>
  <c r="K514" i="3" s="1"/>
  <c r="H513" i="3"/>
  <c r="K513" i="3" s="1"/>
  <c r="H512" i="3"/>
  <c r="K512" i="3" s="1"/>
  <c r="H511" i="3"/>
  <c r="K511" i="3" s="1"/>
  <c r="J510" i="3"/>
  <c r="G510" i="3"/>
  <c r="H509" i="3"/>
  <c r="K509" i="3" s="1"/>
  <c r="H508" i="3"/>
  <c r="K508" i="3" s="1"/>
  <c r="H507" i="3"/>
  <c r="K507" i="3" s="1"/>
  <c r="J506" i="3"/>
  <c r="G506" i="3"/>
  <c r="H505" i="3"/>
  <c r="K505" i="3" s="1"/>
  <c r="H504" i="3"/>
  <c r="K504" i="3" s="1"/>
  <c r="H503" i="3"/>
  <c r="K503" i="3" s="1"/>
  <c r="H502" i="3"/>
  <c r="K502" i="3" s="1"/>
  <c r="J501" i="3"/>
  <c r="G501" i="3"/>
  <c r="H500" i="3"/>
  <c r="K500" i="3" s="1"/>
  <c r="H499" i="3"/>
  <c r="K499" i="3" s="1"/>
  <c r="H498" i="3"/>
  <c r="K498" i="3" s="1"/>
  <c r="H497" i="3"/>
  <c r="K497" i="3" s="1"/>
  <c r="J496" i="3"/>
  <c r="G496" i="3"/>
  <c r="H495" i="3"/>
  <c r="K495" i="3" s="1"/>
  <c r="H494" i="3"/>
  <c r="K494" i="3" s="1"/>
  <c r="H493" i="3"/>
  <c r="K493" i="3" s="1"/>
  <c r="H492" i="3"/>
  <c r="K492" i="3" s="1"/>
  <c r="J491" i="3"/>
  <c r="G491" i="3"/>
  <c r="H490" i="3"/>
  <c r="K490" i="3" s="1"/>
  <c r="H489" i="3"/>
  <c r="K489" i="3" s="1"/>
  <c r="J488" i="3"/>
  <c r="G488" i="3"/>
  <c r="H487" i="3"/>
  <c r="K487" i="3" s="1"/>
  <c r="H486" i="3"/>
  <c r="K486" i="3" s="1"/>
  <c r="H485" i="3"/>
  <c r="K485" i="3" s="1"/>
  <c r="H484" i="3"/>
  <c r="K484" i="3" s="1"/>
  <c r="H483" i="3"/>
  <c r="K483" i="3" s="1"/>
  <c r="J482" i="3"/>
  <c r="G482" i="3"/>
  <c r="H481" i="3"/>
  <c r="K481" i="3" s="1"/>
  <c r="H480" i="3"/>
  <c r="K480" i="3" s="1"/>
  <c r="H479" i="3"/>
  <c r="K479" i="3" s="1"/>
  <c r="J478" i="3"/>
  <c r="G478" i="3"/>
  <c r="H477" i="3"/>
  <c r="K477" i="3" s="1"/>
  <c r="H476" i="3"/>
  <c r="K476" i="3" s="1"/>
  <c r="H475" i="3"/>
  <c r="K475" i="3" s="1"/>
  <c r="H474" i="3"/>
  <c r="K474" i="3" s="1"/>
  <c r="H473" i="3"/>
  <c r="K473" i="3" s="1"/>
  <c r="J472" i="3"/>
  <c r="G472" i="3"/>
  <c r="H471" i="3"/>
  <c r="K471" i="3" s="1"/>
  <c r="H470" i="3"/>
  <c r="K470" i="3" s="1"/>
  <c r="H469" i="3"/>
  <c r="K469" i="3" s="1"/>
  <c r="H468" i="3"/>
  <c r="K468" i="3" s="1"/>
  <c r="K472" i="3" s="1"/>
  <c r="J467" i="3"/>
  <c r="G467" i="3"/>
  <c r="H466" i="3"/>
  <c r="K466" i="3" s="1"/>
  <c r="H465" i="3"/>
  <c r="K465" i="3" s="1"/>
  <c r="H464" i="3"/>
  <c r="K464" i="3" s="1"/>
  <c r="H463" i="3"/>
  <c r="K463" i="3" s="1"/>
  <c r="H462" i="3"/>
  <c r="K462" i="3" s="1"/>
  <c r="J461" i="3"/>
  <c r="G461" i="3"/>
  <c r="H460" i="3"/>
  <c r="K460" i="3" s="1"/>
  <c r="H459" i="3"/>
  <c r="K459" i="3" s="1"/>
  <c r="H458" i="3"/>
  <c r="K458" i="3" s="1"/>
  <c r="H457" i="3"/>
  <c r="K457" i="3" s="1"/>
  <c r="J456" i="3"/>
  <c r="G456" i="3"/>
  <c r="H455" i="3"/>
  <c r="K455" i="3" s="1"/>
  <c r="H454" i="3"/>
  <c r="K454" i="3" s="1"/>
  <c r="H453" i="3"/>
  <c r="K453" i="3" s="1"/>
  <c r="J452" i="3"/>
  <c r="G452" i="3"/>
  <c r="H451" i="3"/>
  <c r="K451" i="3" s="1"/>
  <c r="H450" i="3"/>
  <c r="K450" i="3" s="1"/>
  <c r="H449" i="3"/>
  <c r="K449" i="3" s="1"/>
  <c r="K452" i="3" s="1"/>
  <c r="J448" i="3"/>
  <c r="G448" i="3"/>
  <c r="H447" i="3"/>
  <c r="K447" i="3" s="1"/>
  <c r="H446" i="3"/>
  <c r="K446" i="3" s="1"/>
  <c r="H445" i="3"/>
  <c r="K445" i="3" s="1"/>
  <c r="H444" i="3"/>
  <c r="K444" i="3" s="1"/>
  <c r="J443" i="3"/>
  <c r="G443" i="3"/>
  <c r="H442" i="3"/>
  <c r="K442" i="3" s="1"/>
  <c r="H441" i="3"/>
  <c r="K441" i="3" s="1"/>
  <c r="H440" i="3"/>
  <c r="K440" i="3" s="1"/>
  <c r="H439" i="3"/>
  <c r="K439" i="3" s="1"/>
  <c r="H438" i="3"/>
  <c r="K438" i="3" s="1"/>
  <c r="J437" i="3"/>
  <c r="G437" i="3"/>
  <c r="H436" i="3"/>
  <c r="K436" i="3" s="1"/>
  <c r="H435" i="3"/>
  <c r="K435" i="3" s="1"/>
  <c r="H434" i="3"/>
  <c r="K434" i="3" s="1"/>
  <c r="H433" i="3"/>
  <c r="K433" i="3" s="1"/>
  <c r="K437" i="3" s="1"/>
  <c r="J432" i="3"/>
  <c r="G432" i="3"/>
  <c r="H431" i="3"/>
  <c r="K431" i="3" s="1"/>
  <c r="H430" i="3"/>
  <c r="K430" i="3" s="1"/>
  <c r="H429" i="3"/>
  <c r="K429" i="3" s="1"/>
  <c r="H428" i="3"/>
  <c r="K428" i="3" s="1"/>
  <c r="J427" i="3"/>
  <c r="G427" i="3"/>
  <c r="H426" i="3"/>
  <c r="K426" i="3" s="1"/>
  <c r="H425" i="3"/>
  <c r="K425" i="3" s="1"/>
  <c r="H424" i="3"/>
  <c r="K424" i="3" s="1"/>
  <c r="H423" i="3"/>
  <c r="K423" i="3" s="1"/>
  <c r="J422" i="3"/>
  <c r="G422" i="3"/>
  <c r="H421" i="3"/>
  <c r="K421" i="3" s="1"/>
  <c r="K422" i="3" s="1"/>
  <c r="J420" i="3"/>
  <c r="G420" i="3"/>
  <c r="H419" i="3"/>
  <c r="K419" i="3" s="1"/>
  <c r="K420" i="3" s="1"/>
  <c r="J418" i="3"/>
  <c r="G418" i="3"/>
  <c r="H417" i="3"/>
  <c r="K417" i="3" s="1"/>
  <c r="H416" i="3"/>
  <c r="K416" i="3" s="1"/>
  <c r="H415" i="3"/>
  <c r="K415" i="3" s="1"/>
  <c r="J414" i="3"/>
  <c r="G414" i="3"/>
  <c r="H413" i="3"/>
  <c r="K413" i="3" s="1"/>
  <c r="H412" i="3"/>
  <c r="K412" i="3" s="1"/>
  <c r="H411" i="3"/>
  <c r="K411" i="3" s="1"/>
  <c r="H410" i="3"/>
  <c r="K410" i="3" s="1"/>
  <c r="H409" i="3"/>
  <c r="K409" i="3" s="1"/>
  <c r="J408" i="3"/>
  <c r="G408" i="3"/>
  <c r="H407" i="3"/>
  <c r="K407" i="3" s="1"/>
  <c r="H406" i="3"/>
  <c r="K406" i="3" s="1"/>
  <c r="H405" i="3"/>
  <c r="K405" i="3" s="1"/>
  <c r="H404" i="3"/>
  <c r="K404" i="3" s="1"/>
  <c r="H403" i="3"/>
  <c r="K403" i="3" s="1"/>
  <c r="J402" i="3"/>
  <c r="G402" i="3"/>
  <c r="H401" i="3"/>
  <c r="K401" i="3" s="1"/>
  <c r="H400" i="3"/>
  <c r="K400" i="3" s="1"/>
  <c r="H399" i="3"/>
  <c r="K399" i="3" s="1"/>
  <c r="K402" i="3" s="1"/>
  <c r="H398" i="3"/>
  <c r="K398" i="3" s="1"/>
  <c r="J397" i="3"/>
  <c r="G397" i="3"/>
  <c r="H396" i="3"/>
  <c r="K396" i="3" s="1"/>
  <c r="H395" i="3"/>
  <c r="K395" i="3" s="1"/>
  <c r="H394" i="3"/>
  <c r="K394" i="3" s="1"/>
  <c r="K397" i="3" s="1"/>
  <c r="H393" i="3"/>
  <c r="K393" i="3" s="1"/>
  <c r="H392" i="3"/>
  <c r="K392" i="3" s="1"/>
  <c r="J391" i="3"/>
  <c r="G391" i="3"/>
  <c r="H390" i="3"/>
  <c r="K390" i="3" s="1"/>
  <c r="H389" i="3"/>
  <c r="K389" i="3" s="1"/>
  <c r="K391" i="3" s="1"/>
  <c r="J388" i="3"/>
  <c r="G388" i="3"/>
  <c r="H387" i="3"/>
  <c r="K387" i="3" s="1"/>
  <c r="H386" i="3"/>
  <c r="K386" i="3" s="1"/>
  <c r="H385" i="3"/>
  <c r="K385" i="3" s="1"/>
  <c r="K388" i="3" s="1"/>
  <c r="J384" i="3"/>
  <c r="G384" i="3"/>
  <c r="H383" i="3"/>
  <c r="K383" i="3" s="1"/>
  <c r="K384" i="3" s="1"/>
  <c r="J382" i="3"/>
  <c r="G382" i="3"/>
  <c r="H381" i="3"/>
  <c r="K381" i="3" s="1"/>
  <c r="H380" i="3"/>
  <c r="K380" i="3" s="1"/>
  <c r="H379" i="3"/>
  <c r="K379" i="3" s="1"/>
  <c r="H378" i="3"/>
  <c r="K378" i="3" s="1"/>
  <c r="J377" i="3"/>
  <c r="G377" i="3"/>
  <c r="H376" i="3"/>
  <c r="K376" i="3" s="1"/>
  <c r="H375" i="3"/>
  <c r="K375" i="3" s="1"/>
  <c r="H374" i="3"/>
  <c r="K374" i="3" s="1"/>
  <c r="H373" i="3"/>
  <c r="K373" i="3" s="1"/>
  <c r="H372" i="3"/>
  <c r="K372" i="3" s="1"/>
  <c r="J371" i="3"/>
  <c r="G371" i="3"/>
  <c r="H370" i="3"/>
  <c r="K370" i="3" s="1"/>
  <c r="H369" i="3"/>
  <c r="K369" i="3" s="1"/>
  <c r="J368" i="3"/>
  <c r="G368" i="3"/>
  <c r="H367" i="3"/>
  <c r="K367" i="3" s="1"/>
  <c r="H366" i="3"/>
  <c r="K366" i="3" s="1"/>
  <c r="K365" i="3"/>
  <c r="H365" i="3"/>
  <c r="H364" i="3"/>
  <c r="K364" i="3" s="1"/>
  <c r="J363" i="3"/>
  <c r="G363" i="3"/>
  <c r="H362" i="3"/>
  <c r="K362" i="3" s="1"/>
  <c r="H361" i="3"/>
  <c r="K361" i="3" s="1"/>
  <c r="H360" i="3"/>
  <c r="K360" i="3" s="1"/>
  <c r="J359" i="3"/>
  <c r="G359" i="3"/>
  <c r="H358" i="3"/>
  <c r="K358" i="3" s="1"/>
  <c r="H357" i="3"/>
  <c r="K357" i="3" s="1"/>
  <c r="H356" i="3"/>
  <c r="K356" i="3" s="1"/>
  <c r="H355" i="3"/>
  <c r="K355" i="3" s="1"/>
  <c r="H354" i="3"/>
  <c r="K354" i="3" s="1"/>
  <c r="J353" i="3"/>
  <c r="G353" i="3"/>
  <c r="H352" i="3"/>
  <c r="K352" i="3" s="1"/>
  <c r="H351" i="3"/>
  <c r="K351" i="3" s="1"/>
  <c r="H350" i="3"/>
  <c r="K350" i="3" s="1"/>
  <c r="H349" i="3"/>
  <c r="K349" i="3" s="1"/>
  <c r="J348" i="3"/>
  <c r="G348" i="3"/>
  <c r="H347" i="3"/>
  <c r="K347" i="3" s="1"/>
  <c r="H346" i="3"/>
  <c r="K346" i="3" s="1"/>
  <c r="H345" i="3"/>
  <c r="K345" i="3" s="1"/>
  <c r="J344" i="3"/>
  <c r="G344" i="3"/>
  <c r="H343" i="3"/>
  <c r="K343" i="3" s="1"/>
  <c r="K344" i="3" s="1"/>
  <c r="J342" i="3"/>
  <c r="G342" i="3"/>
  <c r="H341" i="3"/>
  <c r="K341" i="3" s="1"/>
  <c r="H340" i="3"/>
  <c r="K340" i="3" s="1"/>
  <c r="H339" i="3"/>
  <c r="K339" i="3" s="1"/>
  <c r="H338" i="3"/>
  <c r="K338" i="3" s="1"/>
  <c r="J337" i="3"/>
  <c r="G337" i="3"/>
  <c r="H336" i="3"/>
  <c r="K336" i="3" s="1"/>
  <c r="K337" i="3" s="1"/>
  <c r="J335" i="3"/>
  <c r="G335" i="3"/>
  <c r="H334" i="3"/>
  <c r="K334" i="3" s="1"/>
  <c r="K335" i="3" s="1"/>
  <c r="J333" i="3"/>
  <c r="G333" i="3"/>
  <c r="H332" i="3"/>
  <c r="K332" i="3" s="1"/>
  <c r="H331" i="3"/>
  <c r="K331" i="3" s="1"/>
  <c r="H330" i="3"/>
  <c r="K330" i="3" s="1"/>
  <c r="J329" i="3"/>
  <c r="G329" i="3"/>
  <c r="H328" i="3"/>
  <c r="K328" i="3" s="1"/>
  <c r="H327" i="3"/>
  <c r="K327" i="3" s="1"/>
  <c r="H326" i="3"/>
  <c r="K326" i="3" s="1"/>
  <c r="H325" i="3"/>
  <c r="K325" i="3" s="1"/>
  <c r="J324" i="3"/>
  <c r="G324" i="3"/>
  <c r="H323" i="3"/>
  <c r="K323" i="3" s="1"/>
  <c r="K324" i="3" s="1"/>
  <c r="J322" i="3"/>
  <c r="G322" i="3"/>
  <c r="H321" i="3"/>
  <c r="K321" i="3" s="1"/>
  <c r="H320" i="3"/>
  <c r="K320" i="3" s="1"/>
  <c r="H319" i="3"/>
  <c r="K319" i="3" s="1"/>
  <c r="H318" i="3"/>
  <c r="K318" i="3" s="1"/>
  <c r="J317" i="3"/>
  <c r="G317" i="3"/>
  <c r="H316" i="3"/>
  <c r="K316" i="3" s="1"/>
  <c r="H315" i="3"/>
  <c r="K315" i="3" s="1"/>
  <c r="H314" i="3"/>
  <c r="K314" i="3" s="1"/>
  <c r="H313" i="3"/>
  <c r="K313" i="3" s="1"/>
  <c r="H312" i="3"/>
  <c r="K312" i="3" s="1"/>
  <c r="H311" i="3"/>
  <c r="K311" i="3" s="1"/>
  <c r="J310" i="3"/>
  <c r="G310" i="3"/>
  <c r="H309" i="3"/>
  <c r="K309" i="3" s="1"/>
  <c r="H308" i="3"/>
  <c r="K308" i="3" s="1"/>
  <c r="H307" i="3"/>
  <c r="K307" i="3" s="1"/>
  <c r="H306" i="3"/>
  <c r="K306" i="3" s="1"/>
  <c r="J305" i="3"/>
  <c r="G305" i="3"/>
  <c r="H304" i="3"/>
  <c r="K304" i="3" s="1"/>
  <c r="H303" i="3"/>
  <c r="K303" i="3" s="1"/>
  <c r="H302" i="3"/>
  <c r="K302" i="3" s="1"/>
  <c r="K305" i="3" s="1"/>
  <c r="J301" i="3"/>
  <c r="G301" i="3"/>
  <c r="H300" i="3"/>
  <c r="K300" i="3" s="1"/>
  <c r="H299" i="3"/>
  <c r="K299" i="3" s="1"/>
  <c r="H298" i="3"/>
  <c r="K298" i="3" s="1"/>
  <c r="H297" i="3"/>
  <c r="K297" i="3" s="1"/>
  <c r="H296" i="3"/>
  <c r="K296" i="3" s="1"/>
  <c r="H295" i="3"/>
  <c r="K295" i="3" s="1"/>
  <c r="H294" i="3"/>
  <c r="K294" i="3" s="1"/>
  <c r="H293" i="3"/>
  <c r="K293" i="3" s="1"/>
  <c r="K292" i="3"/>
  <c r="H292" i="3"/>
  <c r="H291" i="3"/>
  <c r="K291" i="3" s="1"/>
  <c r="H290" i="3"/>
  <c r="K290" i="3" s="1"/>
  <c r="H289" i="3"/>
  <c r="K289" i="3" s="1"/>
  <c r="H288" i="3"/>
  <c r="K288" i="3" s="1"/>
  <c r="H287" i="3"/>
  <c r="K287" i="3" s="1"/>
  <c r="H286" i="3"/>
  <c r="K286" i="3" s="1"/>
  <c r="H285" i="3"/>
  <c r="K285" i="3" s="1"/>
  <c r="H284" i="3"/>
  <c r="K284" i="3" s="1"/>
  <c r="H283" i="3"/>
  <c r="K283" i="3" s="1"/>
  <c r="H282" i="3"/>
  <c r="K282" i="3" s="1"/>
  <c r="H281" i="3"/>
  <c r="K281" i="3" s="1"/>
  <c r="H280" i="3"/>
  <c r="K280" i="3" s="1"/>
  <c r="H279" i="3"/>
  <c r="K279" i="3" s="1"/>
  <c r="H278" i="3"/>
  <c r="K278" i="3" s="1"/>
  <c r="H277" i="3"/>
  <c r="K277" i="3" s="1"/>
  <c r="H276" i="3"/>
  <c r="K276" i="3" s="1"/>
  <c r="H275" i="3"/>
  <c r="K275" i="3" s="1"/>
  <c r="H274" i="3"/>
  <c r="K274" i="3" s="1"/>
  <c r="K273" i="3"/>
  <c r="H273" i="3"/>
  <c r="H272" i="3"/>
  <c r="K272" i="3" s="1"/>
  <c r="H271" i="3"/>
  <c r="K271" i="3" s="1"/>
  <c r="H270" i="3"/>
  <c r="K270" i="3" s="1"/>
  <c r="H269" i="3"/>
  <c r="K269" i="3" s="1"/>
  <c r="H268" i="3"/>
  <c r="K268" i="3" s="1"/>
  <c r="H267" i="3"/>
  <c r="K267" i="3" s="1"/>
  <c r="H266" i="3"/>
  <c r="K266" i="3" s="1"/>
  <c r="H265" i="3"/>
  <c r="K265" i="3" s="1"/>
  <c r="H264" i="3"/>
  <c r="K264" i="3" s="1"/>
  <c r="H263" i="3"/>
  <c r="K263" i="3" s="1"/>
  <c r="J262" i="3"/>
  <c r="G262" i="3"/>
  <c r="H261" i="3"/>
  <c r="K261" i="3" s="1"/>
  <c r="H260" i="3"/>
  <c r="K260" i="3" s="1"/>
  <c r="H259" i="3"/>
  <c r="K259" i="3" s="1"/>
  <c r="J258" i="3"/>
  <c r="G258" i="3"/>
  <c r="H257" i="3"/>
  <c r="K257" i="3" s="1"/>
  <c r="H256" i="3"/>
  <c r="K256" i="3" s="1"/>
  <c r="H255" i="3"/>
  <c r="K255" i="3" s="1"/>
  <c r="H254" i="3"/>
  <c r="K254" i="3" s="1"/>
  <c r="H253" i="3"/>
  <c r="K253" i="3" s="1"/>
  <c r="K258" i="3" s="1"/>
  <c r="J252" i="3"/>
  <c r="G252" i="3"/>
  <c r="H251" i="3"/>
  <c r="K251" i="3" s="1"/>
  <c r="H250" i="3"/>
  <c r="K250" i="3" s="1"/>
  <c r="H249" i="3"/>
  <c r="K249" i="3" s="1"/>
  <c r="H248" i="3"/>
  <c r="K248" i="3" s="1"/>
  <c r="H247" i="3"/>
  <c r="K247" i="3" s="1"/>
  <c r="J246" i="3"/>
  <c r="G246" i="3"/>
  <c r="H245" i="3"/>
  <c r="K245" i="3" s="1"/>
  <c r="H244" i="3"/>
  <c r="K244" i="3" s="1"/>
  <c r="H243" i="3"/>
  <c r="K243" i="3" s="1"/>
  <c r="H242" i="3"/>
  <c r="K242" i="3" s="1"/>
  <c r="H241" i="3"/>
  <c r="K241" i="3" s="1"/>
  <c r="J240" i="3"/>
  <c r="G240" i="3"/>
  <c r="H239" i="3"/>
  <c r="K239" i="3" s="1"/>
  <c r="H238" i="3"/>
  <c r="K238" i="3" s="1"/>
  <c r="H237" i="3"/>
  <c r="K237" i="3" s="1"/>
  <c r="J236" i="3"/>
  <c r="G236" i="3"/>
  <c r="H235" i="3"/>
  <c r="K235" i="3" s="1"/>
  <c r="H234" i="3"/>
  <c r="K234" i="3" s="1"/>
  <c r="H233" i="3"/>
  <c r="K233" i="3" s="1"/>
  <c r="J232" i="3"/>
  <c r="G232" i="3"/>
  <c r="H231" i="3"/>
  <c r="K231" i="3" s="1"/>
  <c r="H230" i="3"/>
  <c r="K230" i="3" s="1"/>
  <c r="H229" i="3"/>
  <c r="K229" i="3" s="1"/>
  <c r="H228" i="3"/>
  <c r="K228" i="3" s="1"/>
  <c r="H227" i="3"/>
  <c r="K227" i="3" s="1"/>
  <c r="J226" i="3"/>
  <c r="G226" i="3"/>
  <c r="H225" i="3"/>
  <c r="K225" i="3" s="1"/>
  <c r="H224" i="3"/>
  <c r="K224" i="3" s="1"/>
  <c r="H223" i="3"/>
  <c r="K223" i="3" s="1"/>
  <c r="H222" i="3"/>
  <c r="K222" i="3" s="1"/>
  <c r="K226" i="3" s="1"/>
  <c r="J221" i="3"/>
  <c r="G221" i="3"/>
  <c r="H220" i="3"/>
  <c r="K220" i="3" s="1"/>
  <c r="H219" i="3"/>
  <c r="K219" i="3" s="1"/>
  <c r="H218" i="3"/>
  <c r="K218" i="3" s="1"/>
  <c r="H217" i="3"/>
  <c r="K217" i="3" s="1"/>
  <c r="J216" i="3"/>
  <c r="G216" i="3"/>
  <c r="H215" i="3"/>
  <c r="K215" i="3" s="1"/>
  <c r="H214" i="3"/>
  <c r="K214" i="3" s="1"/>
  <c r="H213" i="3"/>
  <c r="K213" i="3" s="1"/>
  <c r="K216" i="3" s="1"/>
  <c r="H212" i="3"/>
  <c r="K212" i="3" s="1"/>
  <c r="J211" i="3"/>
  <c r="G211" i="3"/>
  <c r="H210" i="3"/>
  <c r="K210" i="3" s="1"/>
  <c r="H209" i="3"/>
  <c r="K209" i="3" s="1"/>
  <c r="K211" i="3" s="1"/>
  <c r="H208" i="3"/>
  <c r="K208" i="3" s="1"/>
  <c r="H207" i="3"/>
  <c r="K207" i="3" s="1"/>
  <c r="J206" i="3"/>
  <c r="G206" i="3"/>
  <c r="H205" i="3"/>
  <c r="K205" i="3" s="1"/>
  <c r="H204" i="3"/>
  <c r="K204" i="3" s="1"/>
  <c r="H203" i="3"/>
  <c r="K203" i="3" s="1"/>
  <c r="H202" i="3"/>
  <c r="K202" i="3" s="1"/>
  <c r="J201" i="3"/>
  <c r="G201" i="3"/>
  <c r="H200" i="3"/>
  <c r="K200" i="3" s="1"/>
  <c r="H199" i="3"/>
  <c r="K199" i="3" s="1"/>
  <c r="H198" i="3"/>
  <c r="K198" i="3" s="1"/>
  <c r="H197" i="3"/>
  <c r="K197" i="3" s="1"/>
  <c r="H196" i="3"/>
  <c r="K196" i="3" s="1"/>
  <c r="H195" i="3"/>
  <c r="K195" i="3" s="1"/>
  <c r="J194" i="3"/>
  <c r="G194" i="3"/>
  <c r="H193" i="3"/>
  <c r="K193" i="3" s="1"/>
  <c r="H192" i="3"/>
  <c r="K192" i="3" s="1"/>
  <c r="H191" i="3"/>
  <c r="K191" i="3" s="1"/>
  <c r="K194" i="3" s="1"/>
  <c r="H190" i="3"/>
  <c r="K190" i="3" s="1"/>
  <c r="J189" i="3"/>
  <c r="G189" i="3"/>
  <c r="H188" i="3"/>
  <c r="K188" i="3" s="1"/>
  <c r="H187" i="3"/>
  <c r="K187" i="3" s="1"/>
  <c r="H186" i="3"/>
  <c r="K186" i="3" s="1"/>
  <c r="H185" i="3"/>
  <c r="K185" i="3" s="1"/>
  <c r="H184" i="3"/>
  <c r="K184" i="3" s="1"/>
  <c r="H183" i="3"/>
  <c r="K183" i="3" s="1"/>
  <c r="J182" i="3"/>
  <c r="G182" i="3"/>
  <c r="H181" i="3"/>
  <c r="K181" i="3" s="1"/>
  <c r="H180" i="3"/>
  <c r="K180" i="3" s="1"/>
  <c r="H179" i="3"/>
  <c r="K179" i="3" s="1"/>
  <c r="H178" i="3"/>
  <c r="K178" i="3" s="1"/>
  <c r="H177" i="3"/>
  <c r="K177" i="3" s="1"/>
  <c r="J176" i="3"/>
  <c r="G176" i="3"/>
  <c r="H175" i="3"/>
  <c r="K175" i="3" s="1"/>
  <c r="H174" i="3"/>
  <c r="K174" i="3" s="1"/>
  <c r="H173" i="3"/>
  <c r="K173" i="3" s="1"/>
  <c r="H172" i="3"/>
  <c r="K172" i="3" s="1"/>
  <c r="H171" i="3"/>
  <c r="K171" i="3" s="1"/>
  <c r="J170" i="3"/>
  <c r="G170" i="3"/>
  <c r="H169" i="3"/>
  <c r="K169" i="3" s="1"/>
  <c r="H168" i="3"/>
  <c r="K168" i="3" s="1"/>
  <c r="H167" i="3"/>
  <c r="K167" i="3" s="1"/>
  <c r="J166" i="3"/>
  <c r="G166" i="3"/>
  <c r="H165" i="3"/>
  <c r="K165" i="3" s="1"/>
  <c r="H164" i="3"/>
  <c r="K164" i="3" s="1"/>
  <c r="H163" i="3"/>
  <c r="K163" i="3" s="1"/>
  <c r="H162" i="3"/>
  <c r="K162" i="3" s="1"/>
  <c r="J161" i="3"/>
  <c r="G161" i="3"/>
  <c r="H160" i="3"/>
  <c r="K160" i="3" s="1"/>
  <c r="H159" i="3"/>
  <c r="K159" i="3" s="1"/>
  <c r="H158" i="3"/>
  <c r="K158" i="3" s="1"/>
  <c r="H157" i="3"/>
  <c r="K157" i="3" s="1"/>
  <c r="K161" i="3" s="1"/>
  <c r="J156" i="3"/>
  <c r="G156" i="3"/>
  <c r="H155" i="3"/>
  <c r="K155" i="3" s="1"/>
  <c r="H154" i="3"/>
  <c r="K154" i="3" s="1"/>
  <c r="H153" i="3"/>
  <c r="K153" i="3" s="1"/>
  <c r="H152" i="3"/>
  <c r="K152" i="3" s="1"/>
  <c r="H151" i="3"/>
  <c r="K151" i="3" s="1"/>
  <c r="J150" i="3"/>
  <c r="G150" i="3"/>
  <c r="H149" i="3"/>
  <c r="K149" i="3" s="1"/>
  <c r="H148" i="3"/>
  <c r="K148" i="3" s="1"/>
  <c r="H147" i="3"/>
  <c r="K147" i="3" s="1"/>
  <c r="K150" i="3" s="1"/>
  <c r="H146" i="3"/>
  <c r="K146" i="3" s="1"/>
  <c r="J145" i="3"/>
  <c r="G145" i="3"/>
  <c r="H144" i="3"/>
  <c r="K144" i="3" s="1"/>
  <c r="H143" i="3"/>
  <c r="K143" i="3" s="1"/>
  <c r="H142" i="3"/>
  <c r="K142" i="3" s="1"/>
  <c r="J141" i="3"/>
  <c r="G141" i="3"/>
  <c r="H140" i="3"/>
  <c r="K140" i="3" s="1"/>
  <c r="H139" i="3"/>
  <c r="K139" i="3" s="1"/>
  <c r="H138" i="3"/>
  <c r="K138" i="3" s="1"/>
  <c r="H137" i="3"/>
  <c r="K137" i="3" s="1"/>
  <c r="H136" i="3"/>
  <c r="K136" i="3" s="1"/>
  <c r="J135" i="3"/>
  <c r="G135" i="3"/>
  <c r="H134" i="3"/>
  <c r="K134" i="3" s="1"/>
  <c r="H133" i="3"/>
  <c r="K133" i="3" s="1"/>
  <c r="H132" i="3"/>
  <c r="K132" i="3" s="1"/>
  <c r="H131" i="3"/>
  <c r="K131" i="3" s="1"/>
  <c r="H130" i="3"/>
  <c r="K130" i="3" s="1"/>
  <c r="H129" i="3"/>
  <c r="K129" i="3" s="1"/>
  <c r="H128" i="3"/>
  <c r="K128" i="3" s="1"/>
  <c r="H127" i="3"/>
  <c r="K127" i="3" s="1"/>
  <c r="J126" i="3"/>
  <c r="G126" i="3"/>
  <c r="H125" i="3"/>
  <c r="K125" i="3" s="1"/>
  <c r="H124" i="3"/>
  <c r="K124" i="3" s="1"/>
  <c r="H123" i="3"/>
  <c r="K123" i="3" s="1"/>
  <c r="H122" i="3"/>
  <c r="K122" i="3" s="1"/>
  <c r="J121" i="3"/>
  <c r="G121" i="3"/>
  <c r="H120" i="3"/>
  <c r="K120" i="3" s="1"/>
  <c r="H119" i="3"/>
  <c r="K119" i="3" s="1"/>
  <c r="H118" i="3"/>
  <c r="K118" i="3" s="1"/>
  <c r="H117" i="3"/>
  <c r="K117" i="3" s="1"/>
  <c r="J116" i="3"/>
  <c r="G116" i="3"/>
  <c r="H115" i="3"/>
  <c r="K115" i="3" s="1"/>
  <c r="H114" i="3"/>
  <c r="K114" i="3" s="1"/>
  <c r="H113" i="3"/>
  <c r="K113" i="3" s="1"/>
  <c r="K116" i="3" s="1"/>
  <c r="J112" i="3"/>
  <c r="G112" i="3"/>
  <c r="H111" i="3"/>
  <c r="K111" i="3" s="1"/>
  <c r="H110" i="3"/>
  <c r="K110" i="3" s="1"/>
  <c r="H109" i="3"/>
  <c r="K109" i="3" s="1"/>
  <c r="H108" i="3"/>
  <c r="K108" i="3" s="1"/>
  <c r="J107" i="3"/>
  <c r="G107" i="3"/>
  <c r="H106" i="3"/>
  <c r="K106" i="3" s="1"/>
  <c r="K107" i="3" s="1"/>
  <c r="J105" i="3"/>
  <c r="G105" i="3"/>
  <c r="H104" i="3"/>
  <c r="K104" i="3" s="1"/>
  <c r="H103" i="3"/>
  <c r="K103" i="3" s="1"/>
  <c r="H102" i="3"/>
  <c r="K102" i="3" s="1"/>
  <c r="H101" i="3"/>
  <c r="K101" i="3" s="1"/>
  <c r="J100" i="3"/>
  <c r="G100" i="3"/>
  <c r="H99" i="3"/>
  <c r="K99" i="3" s="1"/>
  <c r="H98" i="3"/>
  <c r="K98" i="3" s="1"/>
  <c r="H97" i="3"/>
  <c r="K97" i="3" s="1"/>
  <c r="H96" i="3"/>
  <c r="K96" i="3" s="1"/>
  <c r="K100" i="3" s="1"/>
  <c r="H95" i="3"/>
  <c r="K95" i="3" s="1"/>
  <c r="J94" i="3"/>
  <c r="G94" i="3"/>
  <c r="H93" i="3"/>
  <c r="K93" i="3" s="1"/>
  <c r="H92" i="3"/>
  <c r="K92" i="3" s="1"/>
  <c r="H91" i="3"/>
  <c r="K91" i="3" s="1"/>
  <c r="H90" i="3"/>
  <c r="K90" i="3" s="1"/>
  <c r="J89" i="3"/>
  <c r="G89" i="3"/>
  <c r="H88" i="3"/>
  <c r="K88" i="3" s="1"/>
  <c r="H87" i="3"/>
  <c r="K87" i="3" s="1"/>
  <c r="H86" i="3"/>
  <c r="K86" i="3" s="1"/>
  <c r="H85" i="3"/>
  <c r="K85" i="3" s="1"/>
  <c r="J84" i="3"/>
  <c r="G84" i="3"/>
  <c r="H83" i="3"/>
  <c r="K83" i="3" s="1"/>
  <c r="H82" i="3"/>
  <c r="K82" i="3" s="1"/>
  <c r="H81" i="3"/>
  <c r="K81" i="3" s="1"/>
  <c r="H80" i="3"/>
  <c r="K80" i="3" s="1"/>
  <c r="H79" i="3"/>
  <c r="K79" i="3" s="1"/>
  <c r="J78" i="3"/>
  <c r="G78" i="3"/>
  <c r="H77" i="3"/>
  <c r="K77" i="3" s="1"/>
  <c r="H76" i="3"/>
  <c r="K76" i="3" s="1"/>
  <c r="K78" i="3" s="1"/>
  <c r="J75" i="3"/>
  <c r="G75" i="3"/>
  <c r="H74" i="3"/>
  <c r="K74" i="3" s="1"/>
  <c r="K75" i="3" s="1"/>
  <c r="J73" i="3"/>
  <c r="G73" i="3"/>
  <c r="H72" i="3"/>
  <c r="K72" i="3" s="1"/>
  <c r="H71" i="3"/>
  <c r="K71" i="3" s="1"/>
  <c r="H70" i="3"/>
  <c r="K70" i="3" s="1"/>
  <c r="H69" i="3"/>
  <c r="K69" i="3" s="1"/>
  <c r="H68" i="3"/>
  <c r="K68" i="3" s="1"/>
  <c r="J67" i="3"/>
  <c r="G67" i="3"/>
  <c r="H66" i="3"/>
  <c r="K66" i="3" s="1"/>
  <c r="H65" i="3"/>
  <c r="K65" i="3" s="1"/>
  <c r="H64" i="3"/>
  <c r="K64" i="3" s="1"/>
  <c r="J63" i="3"/>
  <c r="G63" i="3"/>
  <c r="H62" i="3"/>
  <c r="K62" i="3" s="1"/>
  <c r="H61" i="3"/>
  <c r="K61" i="3" s="1"/>
  <c r="H60" i="3"/>
  <c r="K60" i="3" s="1"/>
  <c r="H59" i="3"/>
  <c r="K59" i="3" s="1"/>
  <c r="J58" i="3"/>
  <c r="G58" i="3"/>
  <c r="H57" i="3"/>
  <c r="K57" i="3" s="1"/>
  <c r="H56" i="3"/>
  <c r="K56" i="3" s="1"/>
  <c r="H55" i="3"/>
  <c r="K55" i="3" s="1"/>
  <c r="K58" i="3" s="1"/>
  <c r="J54" i="3"/>
  <c r="G54" i="3"/>
  <c r="H53" i="3"/>
  <c r="K53" i="3" s="1"/>
  <c r="H52" i="3"/>
  <c r="K52" i="3" s="1"/>
  <c r="H51" i="3"/>
  <c r="K51" i="3" s="1"/>
  <c r="K54" i="3" s="1"/>
  <c r="H50" i="3"/>
  <c r="K50" i="3" s="1"/>
  <c r="J49" i="3"/>
  <c r="G49" i="3"/>
  <c r="H48" i="3"/>
  <c r="K48" i="3" s="1"/>
  <c r="H47" i="3"/>
  <c r="K47" i="3" s="1"/>
  <c r="H46" i="3"/>
  <c r="K46" i="3" s="1"/>
  <c r="H45" i="3"/>
  <c r="K45" i="3" s="1"/>
  <c r="J44" i="3"/>
  <c r="G44" i="3"/>
  <c r="H43" i="3"/>
  <c r="K43" i="3" s="1"/>
  <c r="H42" i="3"/>
  <c r="K42" i="3" s="1"/>
  <c r="H41" i="3"/>
  <c r="K41" i="3" s="1"/>
  <c r="H40" i="3"/>
  <c r="K40" i="3" s="1"/>
  <c r="H39" i="3"/>
  <c r="K39" i="3" s="1"/>
  <c r="J38" i="3"/>
  <c r="G38" i="3"/>
  <c r="H37" i="3"/>
  <c r="K37" i="3" s="1"/>
  <c r="H36" i="3"/>
  <c r="K36" i="3" s="1"/>
  <c r="H35" i="3"/>
  <c r="K35" i="3" s="1"/>
  <c r="J34" i="3"/>
  <c r="G34" i="3"/>
  <c r="H33" i="3"/>
  <c r="K33" i="3" s="1"/>
  <c r="H32" i="3"/>
  <c r="K32" i="3" s="1"/>
  <c r="J31" i="3"/>
  <c r="G31" i="3"/>
  <c r="H30" i="3"/>
  <c r="K30" i="3" s="1"/>
  <c r="H29" i="3"/>
  <c r="K29" i="3" s="1"/>
  <c r="H28" i="3"/>
  <c r="K28" i="3" s="1"/>
  <c r="H27" i="3"/>
  <c r="K27" i="3" s="1"/>
  <c r="J26" i="3"/>
  <c r="G26" i="3"/>
  <c r="H25" i="3"/>
  <c r="K25" i="3" s="1"/>
  <c r="H24" i="3"/>
  <c r="K24" i="3" s="1"/>
  <c r="K26" i="3" s="1"/>
  <c r="H23" i="3"/>
  <c r="K23" i="3" s="1"/>
  <c r="H22" i="3"/>
  <c r="K22" i="3" s="1"/>
  <c r="J21" i="3"/>
  <c r="G21" i="3"/>
  <c r="H20" i="3"/>
  <c r="K20" i="3" s="1"/>
  <c r="H19" i="3"/>
  <c r="K19" i="3" s="1"/>
  <c r="H18" i="3"/>
  <c r="K18" i="3" s="1"/>
  <c r="H17" i="3"/>
  <c r="K17" i="3" s="1"/>
  <c r="J16" i="3"/>
  <c r="G16" i="3"/>
  <c r="H15" i="3"/>
  <c r="K15" i="3" s="1"/>
  <c r="H14" i="3"/>
  <c r="K14" i="3" s="1"/>
  <c r="H13" i="3"/>
  <c r="K13" i="3" s="1"/>
  <c r="H12" i="3"/>
  <c r="K12" i="3" s="1"/>
  <c r="H11" i="3"/>
  <c r="K11" i="3" s="1"/>
  <c r="J10" i="3"/>
  <c r="G10" i="3"/>
  <c r="H9" i="3"/>
  <c r="K9" i="3" s="1"/>
  <c r="H8" i="3"/>
  <c r="K8" i="3" s="1"/>
  <c r="H7" i="3"/>
  <c r="K7" i="3" s="1"/>
  <c r="H6" i="3"/>
  <c r="K6" i="3" s="1"/>
  <c r="J5" i="3"/>
  <c r="G5" i="3"/>
  <c r="H4" i="3"/>
  <c r="K4" i="3" s="1"/>
  <c r="H3" i="3"/>
  <c r="K3" i="3" s="1"/>
  <c r="H2" i="3"/>
  <c r="K2" i="3" s="1"/>
  <c r="K835" i="3" l="1"/>
  <c r="K832" i="3"/>
  <c r="K825" i="3"/>
  <c r="K820" i="3"/>
  <c r="K456" i="3"/>
  <c r="K145" i="3"/>
  <c r="K785" i="3"/>
  <c r="K778" i="3"/>
  <c r="K763" i="3"/>
  <c r="K745" i="3"/>
  <c r="K728" i="3"/>
  <c r="K713" i="3"/>
  <c r="K655" i="3"/>
  <c r="K645" i="3"/>
  <c r="K408" i="3"/>
  <c r="K176" i="3"/>
  <c r="K488" i="3"/>
  <c r="K482" i="3"/>
  <c r="K467" i="3"/>
  <c r="K461" i="3"/>
  <c r="K705" i="3"/>
  <c r="K698" i="3"/>
  <c r="K670" i="3"/>
  <c r="K651" i="3"/>
  <c r="K363" i="3"/>
  <c r="K342" i="3"/>
  <c r="K182" i="3"/>
  <c r="K156" i="3"/>
  <c r="K141" i="3"/>
  <c r="K105" i="3"/>
  <c r="K94" i="3"/>
  <c r="K84" i="3"/>
  <c r="K73" i="3"/>
  <c r="K44" i="3"/>
  <c r="J626" i="3"/>
  <c r="J857" i="3" s="1"/>
  <c r="J886" i="3" s="1"/>
  <c r="K34" i="3"/>
  <c r="G626" i="3"/>
  <c r="G857" i="3" s="1"/>
  <c r="J856" i="3"/>
  <c r="K604" i="3"/>
  <c r="K576" i="3"/>
  <c r="K565" i="3"/>
  <c r="K501" i="3"/>
  <c r="K478" i="3"/>
  <c r="K448" i="3"/>
  <c r="K418" i="3"/>
  <c r="K414" i="3"/>
  <c r="K262" i="3"/>
  <c r="K640" i="3"/>
  <c r="K126" i="3"/>
  <c r="K112" i="3"/>
  <c r="K377" i="3"/>
  <c r="K329" i="3"/>
  <c r="K135" i="3"/>
  <c r="K189" i="3"/>
  <c r="K521" i="3"/>
  <c r="K664" i="3"/>
  <c r="K301" i="3"/>
  <c r="K16" i="3"/>
  <c r="K317" i="3"/>
  <c r="K89" i="3"/>
  <c r="K427" i="3"/>
  <c r="K549" i="3"/>
  <c r="K570" i="3"/>
  <c r="K49" i="3"/>
  <c r="K170" i="3"/>
  <c r="K322" i="3"/>
  <c r="K496" i="3"/>
  <c r="K515" i="3"/>
  <c r="K5" i="3"/>
  <c r="K526" i="3"/>
  <c r="K618" i="3"/>
  <c r="K719" i="3"/>
  <c r="K811" i="3"/>
  <c r="K855" i="3"/>
  <c r="K201" i="3"/>
  <c r="K368" i="3"/>
  <c r="K543" i="3"/>
  <c r="K609" i="3"/>
  <c r="K31" i="3"/>
  <c r="K166" i="3"/>
  <c r="K371" i="3"/>
  <c r="K687" i="3"/>
  <c r="K10" i="3"/>
  <c r="K221" i="3"/>
  <c r="K849" i="3"/>
  <c r="K333" i="3"/>
  <c r="K382" i="3"/>
  <c r="K432" i="3"/>
  <c r="G856" i="3"/>
  <c r="K684" i="3"/>
  <c r="K758" i="3"/>
  <c r="K121" i="3"/>
  <c r="K232" i="3"/>
  <c r="K246" i="3"/>
  <c r="K443" i="3"/>
  <c r="K506" i="3"/>
  <c r="K510" i="3"/>
  <c r="K594" i="3"/>
  <c r="K680" i="3"/>
  <c r="K805" i="3"/>
  <c r="K21" i="3"/>
  <c r="K63" i="3"/>
  <c r="K236" i="3"/>
  <c r="K723" i="3"/>
  <c r="K734" i="3"/>
  <c r="K791" i="3"/>
  <c r="K240" i="3"/>
  <c r="K491" i="3"/>
  <c r="K585" i="3"/>
  <c r="K38" i="3"/>
  <c r="K67" i="3"/>
  <c r="K252" i="3"/>
  <c r="K310" i="3"/>
  <c r="K348" i="3"/>
  <c r="K353" i="3"/>
  <c r="K359" i="3"/>
  <c r="K691" i="3"/>
  <c r="K775" i="3"/>
  <c r="K795" i="3"/>
  <c r="K799" i="3"/>
  <c r="K589" i="3"/>
  <c r="K882" i="3"/>
  <c r="K206" i="3"/>
  <c r="K625" i="3"/>
  <c r="G884" i="3"/>
  <c r="K856" i="3" l="1"/>
  <c r="K626" i="3"/>
  <c r="K857" i="3" s="1"/>
  <c r="G886" i="3"/>
  <c r="K88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tc={521932AB-97D4-45C5-B00C-D518691B88AB}</author>
  </authors>
  <commentList>
    <comment ref="J886" authorId="0" shapeId="0" xr:uid="{521932AB-97D4-45C5-B00C-D518691B88A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@Rebecca Moore what is this formula?
Reply:
    @Dennis Vicencio - I corrected- it is comparing the GL to the total in the report- I had changed some of the subtotals so the cell in the formula was gone
Reply:
    @Rebecca Moore thanks</t>
      </text>
    </comment>
  </commentList>
</comments>
</file>

<file path=xl/sharedStrings.xml><?xml version="1.0" encoding="utf-8"?>
<sst xmlns="http://schemas.openxmlformats.org/spreadsheetml/2006/main" count="3984" uniqueCount="1168">
  <si>
    <t>Datapath</t>
  </si>
  <si>
    <t>P&amp;L MTD with Previous Month Comparison</t>
  </si>
  <si>
    <t>Reporting Book:</t>
  </si>
  <si>
    <t>ACCRUAL</t>
  </si>
  <si>
    <t>As of Date:</t>
  </si>
  <si>
    <t>05/31/2025</t>
  </si>
  <si>
    <t>Location group:</t>
  </si>
  <si>
    <t>Modesto Fresno Ohio</t>
  </si>
  <si>
    <t xml:space="preserve"> </t>
  </si>
  <si>
    <t>DP California</t>
  </si>
  <si>
    <t>DP Ohio</t>
  </si>
  <si>
    <t>Data Path - All Locations</t>
  </si>
  <si>
    <t>Month Ending</t>
  </si>
  <si>
    <t>Year To Date</t>
  </si>
  <si>
    <t>04/30/2025</t>
  </si>
  <si>
    <t>Foot notes</t>
  </si>
  <si>
    <t>Actual</t>
  </si>
  <si>
    <t>Month Variance</t>
  </si>
  <si>
    <t xml:space="preserve">  Net Income- With DL above the line</t>
  </si>
  <si>
    <t xml:space="preserve">  </t>
  </si>
  <si>
    <t xml:space="preserve">    Operating Net Income- DL above the line</t>
  </si>
  <si>
    <t xml:space="preserve">    </t>
  </si>
  <si>
    <t xml:space="preserve">      Gross Profit with Direct Labor</t>
  </si>
  <si>
    <t xml:space="preserve">      </t>
  </si>
  <si>
    <t xml:space="preserve">        Revenue</t>
  </si>
  <si>
    <t xml:space="preserve">        </t>
  </si>
  <si>
    <t xml:space="preserve">          Monthly Recurring Services</t>
  </si>
  <si>
    <t xml:space="preserve">          Monthly Recurring Private Cloud</t>
  </si>
  <si>
    <t xml:space="preserve">          Monthly Recurring Resale</t>
  </si>
  <si>
    <t xml:space="preserve">          Subcontracted Services</t>
  </si>
  <si>
    <t xml:space="preserve">          Product Sales</t>
  </si>
  <si>
    <t xml:space="preserve">          Revenue - Other</t>
  </si>
  <si>
    <t xml:space="preserve">        Total Revenue</t>
  </si>
  <si>
    <t xml:space="preserve">        Cost of Rev with Direct and IT Project Labor</t>
  </si>
  <si>
    <t xml:space="preserve">          Managed IT Service Costs</t>
  </si>
  <si>
    <t xml:space="preserve">          Cost of Monthly Recurring Cloud</t>
  </si>
  <si>
    <t xml:space="preserve">          Cost of Monthly Recurring Resale</t>
  </si>
  <si>
    <t xml:space="preserve">          Project Service Costs</t>
  </si>
  <si>
    <t xml:space="preserve">          Subcontractor Service Costs</t>
  </si>
  <si>
    <t xml:space="preserve">          Product Sales Cost</t>
  </si>
  <si>
    <t xml:space="preserve">          IT Project Labor</t>
  </si>
  <si>
    <t xml:space="preserve">          Direct Labor Costs</t>
  </si>
  <si>
    <t xml:space="preserve">        Total Cost of Rev with IT Project and Direct Labor</t>
  </si>
  <si>
    <t xml:space="preserve">      Total Gross Profit with Direct Labor</t>
  </si>
  <si>
    <t xml:space="preserve">      Sales Labor Costs</t>
  </si>
  <si>
    <t xml:space="preserve">      Operating Expense- no Direct or Sales Labor</t>
  </si>
  <si>
    <t xml:space="preserve">        Payroll and Related Expenses no Direct or Sales Labor</t>
  </si>
  <si>
    <t xml:space="preserve">        Utilities and Facilities</t>
  </si>
  <si>
    <t xml:space="preserve">          Facilities</t>
  </si>
  <si>
    <t xml:space="preserve">          Repairs and Maintenance</t>
  </si>
  <si>
    <t xml:space="preserve">          Utilities</t>
  </si>
  <si>
    <t xml:space="preserve">        Total Utilities and Facilities</t>
  </si>
  <si>
    <t xml:space="preserve">        Operating and Maintenance Expenses</t>
  </si>
  <si>
    <t xml:space="preserve">          Software and Maintenance</t>
  </si>
  <si>
    <t xml:space="preserve">          Professional Services</t>
  </si>
  <si>
    <t xml:space="preserve">          Automobile Expenses</t>
  </si>
  <si>
    <t xml:space="preserve">        Total Operating and Maintenance Expenses</t>
  </si>
  <si>
    <t xml:space="preserve">        Marketing and Advertising Expenses</t>
  </si>
  <si>
    <t xml:space="preserve">          Advertising and Promotion</t>
  </si>
  <si>
    <t xml:space="preserve">        Total Marketing and Advertising Expenses</t>
  </si>
  <si>
    <t xml:space="preserve">        General and Administrative Expenses</t>
  </si>
  <si>
    <t xml:space="preserve">          Office Supplies</t>
  </si>
  <si>
    <t xml:space="preserve">          Charitable Contributions</t>
  </si>
  <si>
    <t xml:space="preserve">          Education</t>
  </si>
  <si>
    <t xml:space="preserve">          Finance Charges</t>
  </si>
  <si>
    <t xml:space="preserve">          Travel, Meals and Entertainment</t>
  </si>
  <si>
    <t xml:space="preserve">          </t>
  </si>
  <si>
    <t xml:space="preserve">            Travel Expenses</t>
  </si>
  <si>
    <t xml:space="preserve">            Meals and Entertainment</t>
  </si>
  <si>
    <t xml:space="preserve">          Total Travel, Meals and Entertainment</t>
  </si>
  <si>
    <t xml:space="preserve">        Total General and Administrative Expenses</t>
  </si>
  <si>
    <t xml:space="preserve">        Taxes and Insurance</t>
  </si>
  <si>
    <t xml:space="preserve">          Insurance</t>
  </si>
  <si>
    <t xml:space="preserve">          Taxes</t>
  </si>
  <si>
    <t xml:space="preserve">        Total Taxes and Insurance</t>
  </si>
  <si>
    <t xml:space="preserve">      Total Operating Expense- no Direct or Sales Labor</t>
  </si>
  <si>
    <t xml:space="preserve">    Total Operating Net Income- DL above the line</t>
  </si>
  <si>
    <t xml:space="preserve">    Other Income (Expense)</t>
  </si>
  <si>
    <t xml:space="preserve">      Other Income</t>
  </si>
  <si>
    <t xml:space="preserve">        Interest Income</t>
  </si>
  <si>
    <t xml:space="preserve">        Other Income</t>
  </si>
  <si>
    <t xml:space="preserve">      Total Other Income</t>
  </si>
  <si>
    <t xml:space="preserve">      Other Expense</t>
  </si>
  <si>
    <t xml:space="preserve">        Interest Expenses</t>
  </si>
  <si>
    <t xml:space="preserve">        Partnership Expenses</t>
  </si>
  <si>
    <t xml:space="preserve">      Total Other Expense</t>
  </si>
  <si>
    <t xml:space="preserve">    Total Other Income (Expense)</t>
  </si>
  <si>
    <t xml:space="preserve">    Income Taxes</t>
  </si>
  <si>
    <t xml:space="preserve">      State and Local Taxes</t>
  </si>
  <si>
    <t xml:space="preserve">    Total Income Taxes</t>
  </si>
  <si>
    <t xml:space="preserve">  EBITDA</t>
  </si>
  <si>
    <t>Foot Note</t>
  </si>
  <si>
    <t>Line</t>
  </si>
  <si>
    <t xml:space="preserve">Increase (Decrease) </t>
  </si>
  <si>
    <t>Note</t>
  </si>
  <si>
    <t>Direct Labor Costs-CA</t>
  </si>
  <si>
    <t>Increase</t>
  </si>
  <si>
    <t>Sales Labor Costs-CA</t>
  </si>
  <si>
    <t>Payroll and Related Expenses no Direct or Sales Labor- CA</t>
  </si>
  <si>
    <t>UMR Refund in April was $9,500
This reduced payroll costs in April</t>
  </si>
  <si>
    <t>Software and Maintenance- CA</t>
  </si>
  <si>
    <t>Huntress internal costs and CW cost increased</t>
  </si>
  <si>
    <t>Professional Services- CA</t>
  </si>
  <si>
    <t>Advertising and Promotion- CA</t>
  </si>
  <si>
    <t>Decrease</t>
  </si>
  <si>
    <t>Charitable Contributions- CA</t>
  </si>
  <si>
    <t>Education- CA</t>
  </si>
  <si>
    <t>Travel Expenses-CA</t>
  </si>
  <si>
    <t>In April Dan traveled to Ohio</t>
  </si>
  <si>
    <t>Meals and Entertainment- CA</t>
  </si>
  <si>
    <t>Insurance- CA</t>
  </si>
  <si>
    <t>Workers Comp difference</t>
  </si>
  <si>
    <t xml:space="preserve"> IT Project Labor- OH</t>
  </si>
  <si>
    <t>Matt Brinovec moved from IT Project labor to Direct Labor</t>
  </si>
  <si>
    <t>Direct Labor Costs-OH</t>
  </si>
  <si>
    <t>Software and Maintenance- OH</t>
  </si>
  <si>
    <t>Professional Services- OH</t>
  </si>
  <si>
    <t>Advertising and Promotion- OH</t>
  </si>
  <si>
    <t>Other Income- OH</t>
  </si>
  <si>
    <t>Location</t>
  </si>
  <si>
    <t>Customer</t>
  </si>
  <si>
    <t>Agreement Type</t>
  </si>
  <si>
    <t>Agreement Name</t>
  </si>
  <si>
    <t>May
Invoice
Number</t>
  </si>
  <si>
    <t>Invoice Date</t>
  </si>
  <si>
    <t>May Financials</t>
  </si>
  <si>
    <t>May Revenue</t>
  </si>
  <si>
    <t>Apr Clawback</t>
  </si>
  <si>
    <t>Apr Financials</t>
  </si>
  <si>
    <t>Difference 
May- Apr</t>
  </si>
  <si>
    <t>Notes</t>
  </si>
  <si>
    <t>CA</t>
  </si>
  <si>
    <t>24 Hour Home Care</t>
  </si>
  <si>
    <t>Recurring Resale - MSP</t>
  </si>
  <si>
    <t>Recurring Resale - MSP 2024/27</t>
  </si>
  <si>
    <t>Added Security products</t>
  </si>
  <si>
    <t>Recurring Resale - Security</t>
  </si>
  <si>
    <t>T-Services-MSP</t>
  </si>
  <si>
    <t>24 Hour Home Care Total</t>
  </si>
  <si>
    <t>7C Escrow</t>
  </si>
  <si>
    <t>Cloud - Private</t>
  </si>
  <si>
    <t>7C Escrow Total</t>
  </si>
  <si>
    <t>Abest Professional Health Care</t>
  </si>
  <si>
    <t>Recurring Resale - Microsoft 365 NCE</t>
  </si>
  <si>
    <t>Recurring Resale - MSP 2025/27</t>
  </si>
  <si>
    <t>Temp Backups Agreement</t>
  </si>
  <si>
    <t>Recurring Resale - Security 2025/27</t>
  </si>
  <si>
    <t>T-Services-MSP 2024/27</t>
  </si>
  <si>
    <t>Abest Professional Health Care Total</t>
  </si>
  <si>
    <t>ABI Healthcare</t>
  </si>
  <si>
    <t>Increased QTY from 4 to 17</t>
  </si>
  <si>
    <t>MSP -Recurring Resale</t>
  </si>
  <si>
    <t>Added Security products- DPMB-0365, SecureID, IS-ESP-1</t>
  </si>
  <si>
    <t>ABI Healthcare Total</t>
  </si>
  <si>
    <t>ABIFI Professional Health Care</t>
  </si>
  <si>
    <t>Recurring Resale - Security 2024/27</t>
  </si>
  <si>
    <t>T-Managed Services-User went from 60 to 11</t>
  </si>
  <si>
    <t>ABIFI Professional Health Care Total</t>
  </si>
  <si>
    <t>Ability Ambeck Mortgage</t>
  </si>
  <si>
    <t>Ability Microsoft 365</t>
  </si>
  <si>
    <t>Ability - Recurring Resale - Security</t>
  </si>
  <si>
    <t>Ability-Managed</t>
  </si>
  <si>
    <t>Annual 3% Increase</t>
  </si>
  <si>
    <t>Ability Ambeck Mortgage Total</t>
  </si>
  <si>
    <t>Advantage Home Care</t>
  </si>
  <si>
    <t>Advantage Home Care Total</t>
  </si>
  <si>
    <t>Agape Corporation  WEB Du</t>
  </si>
  <si>
    <t>Agape Corporation  WEB Du Total</t>
  </si>
  <si>
    <t>Agee Construction</t>
  </si>
  <si>
    <t>Agee Microsoft 365</t>
  </si>
  <si>
    <t>177632a</t>
  </si>
  <si>
    <t>177632CR</t>
  </si>
  <si>
    <t>Invoice Correction</t>
  </si>
  <si>
    <t>Agee Construction Total</t>
  </si>
  <si>
    <t>Alliance Services</t>
  </si>
  <si>
    <t>Alliance Services Total</t>
  </si>
  <si>
    <t>Ameribest</t>
  </si>
  <si>
    <t>New Agreement for Cloud</t>
  </si>
  <si>
    <t>Ameribest Total</t>
  </si>
  <si>
    <t>Added Security products and new cloud agreement</t>
  </si>
  <si>
    <t>American Institute of Science and Technology</t>
  </si>
  <si>
    <t>T-Services-MSP 24/27</t>
  </si>
  <si>
    <t>American Institute of Science and Technology Total</t>
  </si>
  <si>
    <t>Anonymous LLC</t>
  </si>
  <si>
    <t>Anonymous Cloud Services</t>
  </si>
  <si>
    <t>Anonymous LLC Total</t>
  </si>
  <si>
    <t>AP Logic, Inc.</t>
  </si>
  <si>
    <t>Last Month was April</t>
  </si>
  <si>
    <t>AP Logic, Inc. Total</t>
  </si>
  <si>
    <t>Agreement ended in April</t>
  </si>
  <si>
    <t>Applegate Teeples Drilling</t>
  </si>
  <si>
    <t>Applegate Teeples Drilling Total</t>
  </si>
  <si>
    <t>Arcadia Presbyterian Church</t>
  </si>
  <si>
    <t>So Cal Cloud Services</t>
  </si>
  <si>
    <t>Arcadia Presbyterian Church Domain Names</t>
  </si>
  <si>
    <t>It is a once a year for domain name</t>
  </si>
  <si>
    <t>Arcadia Presbyterian Church Total</t>
  </si>
  <si>
    <t>ATD Home Health Agency, INC</t>
  </si>
  <si>
    <t>Recurring Resale - Security 24/27</t>
  </si>
  <si>
    <t>ATD Home Health Agency, INC Total</t>
  </si>
  <si>
    <t>Aweta - Americas</t>
  </si>
  <si>
    <t>T-Services-Security</t>
  </si>
  <si>
    <t>Aweta - Americas Total</t>
  </si>
  <si>
    <t>Big Valley Grace Community Church</t>
  </si>
  <si>
    <t>Big Valley Grace Community Church Total</t>
  </si>
  <si>
    <t>Borba Farms Partners</t>
  </si>
  <si>
    <t>Borba Farms Partners Total</t>
  </si>
  <si>
    <t>Caloy Company LLC</t>
  </si>
  <si>
    <t>Added Cloud Server- 28GB</t>
  </si>
  <si>
    <t>Caloy Microsoft 365</t>
  </si>
  <si>
    <t>Added Pan-440_Haas &amp; Managed Services Server</t>
  </si>
  <si>
    <t>Caloy-Managed</t>
  </si>
  <si>
    <t>Caloy Company LLC Total</t>
  </si>
  <si>
    <t>Annual 3% Increase and added Cloud Server 28GB</t>
  </si>
  <si>
    <t>Capital Financial Consultants Group</t>
  </si>
  <si>
    <t>Capital Financial Cloud Services</t>
  </si>
  <si>
    <t>Capital Financial Consultants Group Total</t>
  </si>
  <si>
    <t>Carmel Unified School District</t>
  </si>
  <si>
    <t>Carmel Unified School District Total</t>
  </si>
  <si>
    <t>Central Valley Pain Management</t>
  </si>
  <si>
    <t>CV Pain Management Managed Services</t>
  </si>
  <si>
    <t>Central Valley Pain Management Total</t>
  </si>
  <si>
    <t>Chatom Union School District</t>
  </si>
  <si>
    <t>Recurring Resale - MSP 2024/25</t>
  </si>
  <si>
    <t>Recurring Resale - Security 2024/25</t>
  </si>
  <si>
    <t>T-Services-MSP 2024/25</t>
  </si>
  <si>
    <t>Chatom Union School District Total</t>
  </si>
  <si>
    <t>Choice Home Care</t>
  </si>
  <si>
    <t>Choice Home Care Total</t>
  </si>
  <si>
    <t>Circle of Life - First Nations - Soaring Eagles</t>
  </si>
  <si>
    <t>Managed Services</t>
  </si>
  <si>
    <t>Circle of Life - First Nations - Soaring Eagles Total</t>
  </si>
  <si>
    <t>City of Atwater</t>
  </si>
  <si>
    <t>City of Atwater Microsoft 365</t>
  </si>
  <si>
    <t>Managed Office 365 Backups</t>
  </si>
  <si>
    <t>Recurring Resale - MSP - Mimecast</t>
  </si>
  <si>
    <t>City of Atwater Managed Service</t>
  </si>
  <si>
    <t>T-Services-MSP - Managed Services</t>
  </si>
  <si>
    <t>City of Atwater Total</t>
  </si>
  <si>
    <t>City of Firebaugh</t>
  </si>
  <si>
    <t>City of Firebaugh Cloud Services</t>
  </si>
  <si>
    <t>City of Firebaugh Total</t>
  </si>
  <si>
    <t>City of Mendota</t>
  </si>
  <si>
    <t>New Agreement 05/01/2025</t>
  </si>
  <si>
    <t>T-Services-MSP 25/28</t>
  </si>
  <si>
    <t>City of Mendota Total</t>
  </si>
  <si>
    <t>City of Selma</t>
  </si>
  <si>
    <t>Microsoft 365</t>
  </si>
  <si>
    <t>Recurring Resale - MSP 2024/2027</t>
  </si>
  <si>
    <t>Recurring Resale - Security 2024/2027</t>
  </si>
  <si>
    <t>T-Services-MSP 2024/2027</t>
  </si>
  <si>
    <t>City of Selma Total</t>
  </si>
  <si>
    <t>Collectibles Management Resources</t>
  </si>
  <si>
    <t>Private Cloud Services</t>
  </si>
  <si>
    <t>Collectibles Management Microsoft 365</t>
  </si>
  <si>
    <t>Collectibles Management Support360</t>
  </si>
  <si>
    <t>Collectibles Management Resources Total</t>
  </si>
  <si>
    <t>Community Action Partnership of Madera Co</t>
  </si>
  <si>
    <t>Community Action Partnership of Madera Co Total</t>
  </si>
  <si>
    <t>Cranbrook Group Inc.</t>
  </si>
  <si>
    <t>Auto Sync issue- credited 453.00 for double billing</t>
  </si>
  <si>
    <t>177688CR</t>
  </si>
  <si>
    <t>Credit for MTS Cloud Storage AutoSync issu</t>
  </si>
  <si>
    <t>Cranbrook Group Inc. Total</t>
  </si>
  <si>
    <t>Credit from Autosync double billing last month</t>
  </si>
  <si>
    <t>Daniel, Towle and Warkentine CPA</t>
  </si>
  <si>
    <t>Daniel, Towle and Warkentine CPA Total</t>
  </si>
  <si>
    <t>DeHart Plumbing, Heating &amp; Air, Inc.</t>
  </si>
  <si>
    <t>DeHart Microsoft 365</t>
  </si>
  <si>
    <t>Recurring Resale - MSP 2025</t>
  </si>
  <si>
    <t>This was auto sync issue- revenue didn't really increase see CM 177690CR</t>
  </si>
  <si>
    <t>Recurring Resale - Security 2025</t>
  </si>
  <si>
    <t>T-Services-MSP 2025</t>
  </si>
  <si>
    <t>177690CR</t>
  </si>
  <si>
    <t>Credit for Storage AutoSync issue</t>
  </si>
  <si>
    <t>DeHart Plumbing, Heating &amp; Air, Inc. Total</t>
  </si>
  <si>
    <t>The was an auto sync issue last month</t>
  </si>
  <si>
    <t>Del Puerto Healthcare District</t>
  </si>
  <si>
    <t>Del Puerto Microsoft 365</t>
  </si>
  <si>
    <t>Del Puerto-Managed</t>
  </si>
  <si>
    <t>Del Puerto Security Services</t>
  </si>
  <si>
    <t>Del Puerto Healthcare District Total</t>
  </si>
  <si>
    <t>Dependable Home Health Care</t>
  </si>
  <si>
    <t>Difference is due to correction last month</t>
  </si>
  <si>
    <t>Dependable Home Health Care Total</t>
  </si>
  <si>
    <t>Devoted Guardians</t>
  </si>
  <si>
    <t>3% annual increase</t>
  </si>
  <si>
    <t>Devoted Guardians Total</t>
  </si>
  <si>
    <t>Added Security products and 3% annual increase</t>
  </si>
  <si>
    <t>DiMare</t>
  </si>
  <si>
    <t>Added Remote Desktop Service</t>
  </si>
  <si>
    <t>Dimare Microsoft 365</t>
  </si>
  <si>
    <t>DiMare Total</t>
  </si>
  <si>
    <t>Diversified Machining &amp; Fabrication</t>
  </si>
  <si>
    <t>Auto Sync Qty went from 750 to 1650</t>
  </si>
  <si>
    <t>Diversified Machining &amp; Fabrication Total</t>
  </si>
  <si>
    <t>Duarte Nursery</t>
  </si>
  <si>
    <t>Duarte Microsoft 365</t>
  </si>
  <si>
    <t>PAN-440_Haas added</t>
  </si>
  <si>
    <t>Duarte Nursery Total</t>
  </si>
  <si>
    <t>Dust Bowl Brewing Company</t>
  </si>
  <si>
    <t>Dustbowl Microsoft 365</t>
  </si>
  <si>
    <t>Dust Bowl Brewing Company Total</t>
  </si>
  <si>
    <t>Eastern Sierra USD</t>
  </si>
  <si>
    <t>Eastern Sierra USD Total</t>
  </si>
  <si>
    <t>Empire Union School District</t>
  </si>
  <si>
    <t>Empire USD - Streamline IT Ticketing System 24/25</t>
  </si>
  <si>
    <t>Empire Union School District Total</t>
  </si>
  <si>
    <t>Fabricated Extrusion Company</t>
  </si>
  <si>
    <t>24/27 Cloud - Private</t>
  </si>
  <si>
    <t>24/27 Recurring Resale - MSP</t>
  </si>
  <si>
    <t>24/27 Recurring Resale - Security</t>
  </si>
  <si>
    <t>24/27 T-Services-MSP</t>
  </si>
  <si>
    <t>Fabricated Extrusion Company Total</t>
  </si>
  <si>
    <t>Field Van, Inc</t>
  </si>
  <si>
    <t>Field Van, Inc Total</t>
  </si>
  <si>
    <t>Fiscalini Farmstead</t>
  </si>
  <si>
    <t>Fiscalini Farmstead Total</t>
  </si>
  <si>
    <t>Formulation Technology, Inc.</t>
  </si>
  <si>
    <t>Formulation Tech Microsoft 365</t>
  </si>
  <si>
    <t>Formation-Managed</t>
  </si>
  <si>
    <t>Formulation Technology, Inc. Total</t>
  </si>
  <si>
    <t>Fortune-Ratliff General Contractors, Inc.</t>
  </si>
  <si>
    <t>Fortune-Ratliff General Contractors, Inc. Total</t>
  </si>
  <si>
    <t>Free Wheelchair Mission</t>
  </si>
  <si>
    <t>Free Wheelchair Mission Total</t>
  </si>
  <si>
    <t>Gill Ranch Storage, LLC</t>
  </si>
  <si>
    <t>Gill Ranch Storage, LLC Total</t>
  </si>
  <si>
    <t>Graceada Partners</t>
  </si>
  <si>
    <t>Microsoft 365 - 520-530 9th Street</t>
  </si>
  <si>
    <t>Microsoft 365 - Carson Aire</t>
  </si>
  <si>
    <t>Microsoft 365 - Cedar Oaks</t>
  </si>
  <si>
    <t>User counts vary per month</t>
  </si>
  <si>
    <t>Microsoft 365 - College Park</t>
  </si>
  <si>
    <t>Microsoft 365 - La Loma</t>
  </si>
  <si>
    <t>Microsoft 365 - Main</t>
  </si>
  <si>
    <t>177970B</t>
  </si>
  <si>
    <t>Microsoft 365 - Stoneybrook</t>
  </si>
  <si>
    <t>Microsoft 365 - Sundance</t>
  </si>
  <si>
    <t>Microsoft 365 - The Lofts</t>
  </si>
  <si>
    <t>Microsoft 365 - Tyner Ranch</t>
  </si>
  <si>
    <t>Microsoft 365 - Vantage Point</t>
  </si>
  <si>
    <t>Microsoft 365 - Willows</t>
  </si>
  <si>
    <t>Recurring Resale - Microsoft 365 NCE - Sherwood Manor</t>
  </si>
  <si>
    <t>Recurring Resale - Microsoft 365 NCE 17th Place Townhomes</t>
  </si>
  <si>
    <t>Recurring Resale - MSP - Carson Aire</t>
  </si>
  <si>
    <t>Recurring Resale - MSP - Cedar Oaks Apartments</t>
  </si>
  <si>
    <t>Recurring Resale - MSP - Main</t>
  </si>
  <si>
    <t>Recurring Resale - MSP - The Willows</t>
  </si>
  <si>
    <t>Recurring Resale - MSP - Tyner Ranch</t>
  </si>
  <si>
    <t>Recurring Resale - MSP -Stoneybrook Apartments</t>
  </si>
  <si>
    <t>Recurring Resale - MSP -The Lofts</t>
  </si>
  <si>
    <t>Recurring Resale - MSP -Vantage Point Apartments</t>
  </si>
  <si>
    <t>Recurring Resale - Security - Carson Aire</t>
  </si>
  <si>
    <t>Recurring Resale - Security - Main</t>
  </si>
  <si>
    <t>Recurring Resale - Security - The Lofts</t>
  </si>
  <si>
    <t>Recurring Resale - Security - Tyner Ranch</t>
  </si>
  <si>
    <t>Recurring Resale - Security - Vantage Point Apartments</t>
  </si>
  <si>
    <t>Recurring Resale - Security -Cedar Oaks Apartments</t>
  </si>
  <si>
    <t>Recurring Resale - Security -Stoneybrook Apartments</t>
  </si>
  <si>
    <t>Recurring Resale - Security -the Willows</t>
  </si>
  <si>
    <t>T-Services-MSP - Carson Aire</t>
  </si>
  <si>
    <t>Added MS Copilot</t>
  </si>
  <si>
    <t>T-Services-MSP - Cedar Oaks Apartments</t>
  </si>
  <si>
    <t>T-Services-MSP - Main</t>
  </si>
  <si>
    <t>T-Services-MSP -Stoneybrook Apartments</t>
  </si>
  <si>
    <t>T-Services-MSP -The Willows</t>
  </si>
  <si>
    <t>T-Services-MSP -Tyner Ranch</t>
  </si>
  <si>
    <t>T-Services-MSP -Vantage Point Apartments</t>
  </si>
  <si>
    <t>T-Services-MSP-The Lofts</t>
  </si>
  <si>
    <t>Graceada Partners Total</t>
  </si>
  <si>
    <t>Gratton Elementary School District</t>
  </si>
  <si>
    <t>Gratton-Managed</t>
  </si>
  <si>
    <t>Gratton Elementary School District Total</t>
  </si>
  <si>
    <t>Hall Management Corp</t>
  </si>
  <si>
    <t>Cloud - Private 2025/28</t>
  </si>
  <si>
    <t>Recurring Resale - MSP 2025/28</t>
  </si>
  <si>
    <t>Recurring Resale - Security 2025/28</t>
  </si>
  <si>
    <t>T-Services-MSP 2025/28</t>
  </si>
  <si>
    <t>Hall Management Corp Total</t>
  </si>
  <si>
    <t>Hercules OEM Group</t>
  </si>
  <si>
    <t>Hercules Cloud - Private</t>
  </si>
  <si>
    <t>Hercules OEM Group Microsoft 365</t>
  </si>
  <si>
    <t>All Seals Intermedia</t>
  </si>
  <si>
    <t>Hercules OEM Group Managed Services</t>
  </si>
  <si>
    <t>Hercules OEM Group Total</t>
  </si>
  <si>
    <t>HHHC</t>
  </si>
  <si>
    <t>Managed services user went down from 73 to 60</t>
  </si>
  <si>
    <t>Recurring Resale - MSP 24/27</t>
  </si>
  <si>
    <t>Managed Backup Qty went from 2425 to 4582</t>
  </si>
  <si>
    <t>HHHC Total</t>
  </si>
  <si>
    <t>Hogan Manufacturing</t>
  </si>
  <si>
    <t>Hogan-VOIP ONLY</t>
  </si>
  <si>
    <t>Hogan Manufacturing Total</t>
  </si>
  <si>
    <t>Horizon Nut Company</t>
  </si>
  <si>
    <t>Horizon Nut Microsoft 365</t>
  </si>
  <si>
    <t>Horizon Nut Managed Services</t>
  </si>
  <si>
    <t>Horizon Nut Company Total</t>
  </si>
  <si>
    <t>Impact Home Health</t>
  </si>
  <si>
    <t>Impact Home Health Total</t>
  </si>
  <si>
    <t>Inland Star Distribution Center - Carson</t>
  </si>
  <si>
    <t>Inland CARSON - Managed Service - NO End User Support</t>
  </si>
  <si>
    <t>Inland Star Distribution Center - Carson Total</t>
  </si>
  <si>
    <t>Inland Star Distribution Center - Corporate</t>
  </si>
  <si>
    <t>Inland CORPORATE - Managed Service - NO End User Support</t>
  </si>
  <si>
    <t>Inland Star Distribution Center - Corporate Total</t>
  </si>
  <si>
    <t>Inland Star Distribution Center - Fresno</t>
  </si>
  <si>
    <t>Inland Star - Managed Service - NO End User Support</t>
  </si>
  <si>
    <t>Inland Star Distribution Center - Fresno Total</t>
  </si>
  <si>
    <t>Inland Star Distribution Center - Visalia</t>
  </si>
  <si>
    <t>Inland Visalia Managed Service - NO End User Support</t>
  </si>
  <si>
    <t>Inland Star Distribution Center - Visalia Total</t>
  </si>
  <si>
    <t>Inteli-care LLC</t>
  </si>
  <si>
    <t>Inteli-care LLC Total</t>
  </si>
  <si>
    <t>JEM Management Corporation</t>
  </si>
  <si>
    <t>JEM Microsoft 365</t>
  </si>
  <si>
    <t>DPMSAT QTY went from 40 to 132</t>
  </si>
  <si>
    <t>JEM Management Support360</t>
  </si>
  <si>
    <t>JEM Management Corporation Total</t>
  </si>
  <si>
    <t>John Potter Specialty Foods, Inc.</t>
  </si>
  <si>
    <t>John Potter Microsoft 365</t>
  </si>
  <si>
    <t>John Potter Specialty Foods, Inc. Total</t>
  </si>
  <si>
    <t>Kaplan &amp; Trombi</t>
  </si>
  <si>
    <t>Kaplan &amp; Trombi Total</t>
  </si>
  <si>
    <t>Keen Care</t>
  </si>
  <si>
    <t>Microsoft 365 NCE</t>
  </si>
  <si>
    <t>Added MS Office 365 backup</t>
  </si>
  <si>
    <t>Keen Care Total</t>
  </si>
  <si>
    <t>Added MS Office 365 backup and security products</t>
  </si>
  <si>
    <t>Keyes Union School District</t>
  </si>
  <si>
    <t>Keyes USD-Managed</t>
  </si>
  <si>
    <t>Keyes Union School District Total</t>
  </si>
  <si>
    <t>Laguna Tools</t>
  </si>
  <si>
    <t>Laguna Tools Cloud Services</t>
  </si>
  <si>
    <t>Laguna Tools Microsoft 365</t>
  </si>
  <si>
    <t>Laguna Tools Total</t>
  </si>
  <si>
    <t>Life Improvement Homecare, Inc.</t>
  </si>
  <si>
    <t>Recurring Resale - Microsoft 365 NCE - Monthly</t>
  </si>
  <si>
    <t>Added QTY for Managed Services- Endpoint, Users, DPMB-o365, DPM- Huntress, DPMSAT</t>
  </si>
  <si>
    <t>Life Improvement Homecare, Inc. Total</t>
  </si>
  <si>
    <t>Line-Mobility</t>
  </si>
  <si>
    <t>Line-Mobility Total</t>
  </si>
  <si>
    <t>Linwood Engineering Associates</t>
  </si>
  <si>
    <t>Linwood Engineering Associates Total</t>
  </si>
  <si>
    <t>Lucia Mar Unified School District</t>
  </si>
  <si>
    <t>VOIP Support</t>
  </si>
  <si>
    <t>Lucia Mar Unified School District Total</t>
  </si>
  <si>
    <t>Madera County Transportation Commission</t>
  </si>
  <si>
    <t>Madera County Transportation Microsoft 365</t>
  </si>
  <si>
    <t>Madera Transport Support360</t>
  </si>
  <si>
    <t>Madera County Transportation Commission Total</t>
  </si>
  <si>
    <t>MedTech Billing Services</t>
  </si>
  <si>
    <t>Microsoft NCE</t>
  </si>
  <si>
    <t>MedTech Billing Services Total</t>
  </si>
  <si>
    <t>Modiv</t>
  </si>
  <si>
    <t>MODIV Managed IT  month to month</t>
  </si>
  <si>
    <t>177460CR</t>
  </si>
  <si>
    <t>for overbilling in April</t>
  </si>
  <si>
    <t>Modiv Total</t>
  </si>
  <si>
    <t>Monte Vista Small Animal Hospital</t>
  </si>
  <si>
    <t>Monte Vista Small Animal Hospital Total</t>
  </si>
  <si>
    <t>Newman-Crows Landing USD</t>
  </si>
  <si>
    <t>Newman-Crows Landing USD Total</t>
  </si>
  <si>
    <t>Nyansa Learning Corporation</t>
  </si>
  <si>
    <t>Nyansa Learning Corporation Total</t>
  </si>
  <si>
    <t>Oliveira Wealth</t>
  </si>
  <si>
    <t>Oliveira Wealth Total</t>
  </si>
  <si>
    <t>Orange County Human Relations</t>
  </si>
  <si>
    <t>Orange County Human Relations Total</t>
  </si>
  <si>
    <t>Panoche Energy Center</t>
  </si>
  <si>
    <t>Panoche Energy Center Total</t>
  </si>
  <si>
    <t>Pasco</t>
  </si>
  <si>
    <t>Pasco Total</t>
  </si>
  <si>
    <t>Peak Real Estate Management LLC</t>
  </si>
  <si>
    <t>Peak Real Estate Management LLC Total</t>
  </si>
  <si>
    <t>Pearl's Hope</t>
  </si>
  <si>
    <t>Pearl's Hope Total</t>
  </si>
  <si>
    <t>Added Security products &amp; 3% annual increase</t>
  </si>
  <si>
    <t>PeopleCare Health Services</t>
  </si>
  <si>
    <t>Added M365</t>
  </si>
  <si>
    <t>PeopleCare Health Services Total</t>
  </si>
  <si>
    <t>Primetime Escrow</t>
  </si>
  <si>
    <t>Primetime Escrow Total</t>
  </si>
  <si>
    <t>Project Hope Alliance</t>
  </si>
  <si>
    <t>Project Hope Alliance Total</t>
  </si>
  <si>
    <t>Quality Home Services</t>
  </si>
  <si>
    <t>177655CR</t>
  </si>
  <si>
    <t>Credit 1QTY Managed Services</t>
  </si>
  <si>
    <t>Quality Home Services Total</t>
  </si>
  <si>
    <t>REMAX Executive</t>
  </si>
  <si>
    <t>Remax Microsoft 365</t>
  </si>
  <si>
    <t>REMAX - Managed Services</t>
  </si>
  <si>
    <t>REMAX Executive Total</t>
  </si>
  <si>
    <t>River Delta USD</t>
  </si>
  <si>
    <t>Recurring Resale - MSP 24/25</t>
  </si>
  <si>
    <t>River Delta-Managed</t>
  </si>
  <si>
    <t>River Delta USD Total</t>
  </si>
  <si>
    <t>Rizo Lopez Foods</t>
  </si>
  <si>
    <t>Rizo Foods-Managed</t>
  </si>
  <si>
    <t>Rizo Lopez Foods Total</t>
  </si>
  <si>
    <t>Rumiano Cheese Company</t>
  </si>
  <si>
    <t>Rumiano Cheese Company Total</t>
  </si>
  <si>
    <t>Samaritan Village</t>
  </si>
  <si>
    <t>Samaritan Managed Services</t>
  </si>
  <si>
    <t>Samaritan Village Total</t>
  </si>
  <si>
    <t>Sargent &amp; Bryan, Inc</t>
  </si>
  <si>
    <t>Sargent &amp; Bryan Support360</t>
  </si>
  <si>
    <t>Sargent &amp; Bryan, Inc Total</t>
  </si>
  <si>
    <t>Satake USA</t>
  </si>
  <si>
    <t>24/25 Cloud - Private</t>
  </si>
  <si>
    <t>Satake- Managed</t>
  </si>
  <si>
    <t>Satake USA Total</t>
  </si>
  <si>
    <t>Sconza Candy Company</t>
  </si>
  <si>
    <t>Sconza Candy Managed Services</t>
  </si>
  <si>
    <t>Sconza Candy Company Total</t>
  </si>
  <si>
    <t>Shiloh Elementary School District</t>
  </si>
  <si>
    <t>Shiloh-Managed</t>
  </si>
  <si>
    <t>Shiloh Elementary School District Total</t>
  </si>
  <si>
    <t>Spring Creek Golf &amp; Country Club</t>
  </si>
  <si>
    <t>Spring Creek Microsoft 365</t>
  </si>
  <si>
    <t>Spring Creek-Managed</t>
  </si>
  <si>
    <t>Spring Creek Golf &amp; Country Club Total</t>
  </si>
  <si>
    <t>St Lukes Family Practice</t>
  </si>
  <si>
    <t>St. Luke's Family Practice Microsoft 365</t>
  </si>
  <si>
    <t>St Lukes-Managed</t>
  </si>
  <si>
    <t>St. Lukes Security Services</t>
  </si>
  <si>
    <t>St Lukes Family Practice Total</t>
  </si>
  <si>
    <t>Stanislaus Union School District</t>
  </si>
  <si>
    <t>Backups</t>
  </si>
  <si>
    <t>Remote Software</t>
  </si>
  <si>
    <t>MSA Stanislaus USD</t>
  </si>
  <si>
    <t>Stanislaus Union School District Total</t>
  </si>
  <si>
    <t>Stewart &amp; Jasper</t>
  </si>
  <si>
    <t>Microsoft 365 NCE - Jasper Foods</t>
  </si>
  <si>
    <t>Stewart &amp; Jasper Microsoft 365</t>
  </si>
  <si>
    <t>Stewart &amp; Jasper Total</t>
  </si>
  <si>
    <t>SVH Law</t>
  </si>
  <si>
    <t>SVH Law Total</t>
  </si>
  <si>
    <t>Sylvan Union School District</t>
  </si>
  <si>
    <t>2525Sylvan VOIP Managed</t>
  </si>
  <si>
    <t>Sylvan Union Security</t>
  </si>
  <si>
    <t>Sylvan Union School District Total</t>
  </si>
  <si>
    <t>TCB Industrial</t>
  </si>
  <si>
    <t>AutoSyn Doubled QTY- was credited</t>
  </si>
  <si>
    <t>177767CR</t>
  </si>
  <si>
    <t>Credit for AutoSync doubling QTY</t>
  </si>
  <si>
    <t>TCB Industrial Total</t>
  </si>
  <si>
    <t>Team Risk Management Strategies</t>
  </si>
  <si>
    <t>Team Risk Management Strategies Total</t>
  </si>
  <si>
    <t>Terra Linda Farms</t>
  </si>
  <si>
    <t>See CR 177081 for April difference</t>
  </si>
  <si>
    <t>Corrected April Invoice</t>
  </si>
  <si>
    <t>Terra Linda Farms Total</t>
  </si>
  <si>
    <t>April had a billing correction</t>
  </si>
  <si>
    <t>Trumark Companies</t>
  </si>
  <si>
    <t>Trumark Companies Cloud Services</t>
  </si>
  <si>
    <t>Trumark Microsoft 365</t>
  </si>
  <si>
    <t>Product placed in Recurring Resale - Microsoft 365 NCE</t>
  </si>
  <si>
    <t>Trumark Companies Total</t>
  </si>
  <si>
    <t>United Way of Stanislaus County</t>
  </si>
  <si>
    <t>United Way of Stanislaus County Total</t>
  </si>
  <si>
    <t>Valley Iron</t>
  </si>
  <si>
    <t>Recurring Resale - Microsoft 365 NCE 25/26</t>
  </si>
  <si>
    <t>Recurring Resale - MSP 25/26</t>
  </si>
  <si>
    <t>Recurring Resale - Security 25/26</t>
  </si>
  <si>
    <t>T-Services-MSP 25/26</t>
  </si>
  <si>
    <t>177657COR</t>
  </si>
  <si>
    <t>Valley Iron Total</t>
  </si>
  <si>
    <t>Valley Urology</t>
  </si>
  <si>
    <t>Valley Urology Support360</t>
  </si>
  <si>
    <t>Valley Urology Total</t>
  </si>
  <si>
    <t>Vie-Del Company</t>
  </si>
  <si>
    <t>Vie-Del Company Total</t>
  </si>
  <si>
    <t>Vital Care Solutions</t>
  </si>
  <si>
    <t>Vital Care Solutions Total</t>
  </si>
  <si>
    <t>Warden's</t>
  </si>
  <si>
    <t>Warden's Total</t>
  </si>
  <si>
    <t>Warren &amp; Baerg Manufacturing, Inc.</t>
  </si>
  <si>
    <t>Warren &amp; Baerg Microsoft 365</t>
  </si>
  <si>
    <t>Warren &amp; Baerg Support360</t>
  </si>
  <si>
    <t>Warren &amp; Baerg Manufacturing, Inc. Total</t>
  </si>
  <si>
    <t>Weakley &amp; Arendt, LLP</t>
  </si>
  <si>
    <t>Weakley &amp; Arendt Microsoft 365</t>
  </si>
  <si>
    <t>Weakley Security Agreement</t>
  </si>
  <si>
    <t>Weakley &amp; Arendt, LLP Support360</t>
  </si>
  <si>
    <t>Weakley &amp; Arendt, LLP Total</t>
  </si>
  <si>
    <t>Western Steel Buildings</t>
  </si>
  <si>
    <t>Western Steel Buildings Total</t>
  </si>
  <si>
    <t>Nilear updated QTY from 2900 to 3000</t>
  </si>
  <si>
    <t>Westmark Incorporated</t>
  </si>
  <si>
    <t>Cloud - Private 2023-2027</t>
  </si>
  <si>
    <t>West-Mark Inc Managed Services</t>
  </si>
  <si>
    <t>Westmark Incorporated Total</t>
  </si>
  <si>
    <t>Winton-Ireland, Strom &amp; Green</t>
  </si>
  <si>
    <t>Winton-Ireland, Strom &amp; Green Total</t>
  </si>
  <si>
    <t>Yosemite Farm Credit</t>
  </si>
  <si>
    <t>Yosemite Farm Credit Total</t>
  </si>
  <si>
    <t>Your Escrow Company</t>
  </si>
  <si>
    <t>Your Escrow Company Total</t>
  </si>
  <si>
    <t>CA Total</t>
  </si>
  <si>
    <t>OH</t>
  </si>
  <si>
    <t>Akron Public Schools Accounts Payable</t>
  </si>
  <si>
    <t>176100176630OHCR</t>
  </si>
  <si>
    <t>This was a credit tied to St Sebastians as it was not set up correctly in Previous years</t>
  </si>
  <si>
    <t>Akron Public Schools Accounts Payable Total</t>
  </si>
  <si>
    <t>Albert Einstein Academy of Ohio</t>
  </si>
  <si>
    <t>177834OH</t>
  </si>
  <si>
    <t>Albert Einstein Academy of Ohio Total</t>
  </si>
  <si>
    <t>Anna LSD</t>
  </si>
  <si>
    <t>Erate-MIBS-School Percentage</t>
  </si>
  <si>
    <t>2024/25 MIBS ERATE - School</t>
  </si>
  <si>
    <t>177805OH</t>
  </si>
  <si>
    <t>Anna LSD Total</t>
  </si>
  <si>
    <t>Arcanum Butler Local School District</t>
  </si>
  <si>
    <t>Network and Server Support MSC 2024/25</t>
  </si>
  <si>
    <t>177835OH</t>
  </si>
  <si>
    <t>Arcanum Butler Local School District Total</t>
  </si>
  <si>
    <t>Arts and College Preparatory Academy</t>
  </si>
  <si>
    <t>2024/25 Erate-MIBS-School Percentage</t>
  </si>
  <si>
    <t>177815OH</t>
  </si>
  <si>
    <t>Recurring Resale - MSP 23/26</t>
  </si>
  <si>
    <t>177836OH</t>
  </si>
  <si>
    <t>Recurring Resale - Security 23/26</t>
  </si>
  <si>
    <t>T-Erate-MIBS-USAC Percentage</t>
  </si>
  <si>
    <t>2024/25  T-Erate-MIBS-USAC Percentage</t>
  </si>
  <si>
    <t>177777OH</t>
  </si>
  <si>
    <t>T-Services-MSP 23/26</t>
  </si>
  <si>
    <t>Arts and College Preparatory Academy Total</t>
  </si>
  <si>
    <t>Caldwell Exempted Village</t>
  </si>
  <si>
    <t>177813OH</t>
  </si>
  <si>
    <t>2024/25 T-Erate-MIBS-USAC Percentage</t>
  </si>
  <si>
    <t>177778OH</t>
  </si>
  <si>
    <t>T-Services-MSP 2025 Camera</t>
  </si>
  <si>
    <t>177837OH</t>
  </si>
  <si>
    <t>T-Services-MSP VoIP</t>
  </si>
  <si>
    <t>177838OH</t>
  </si>
  <si>
    <t>Caldwell Exempted Village Total</t>
  </si>
  <si>
    <t>City Day Community School</t>
  </si>
  <si>
    <t>177825OH</t>
  </si>
  <si>
    <t>177839OH</t>
  </si>
  <si>
    <t>177779OH</t>
  </si>
  <si>
    <t>Managed Services 2024/27</t>
  </si>
  <si>
    <t>City Day Community School Total</t>
  </si>
  <si>
    <t>Columbus Preparatory Academy</t>
  </si>
  <si>
    <t>2024/25 -MIBS-School Percentage</t>
  </si>
  <si>
    <t>177809OH</t>
  </si>
  <si>
    <t>177889OH</t>
  </si>
  <si>
    <t>177780OH</t>
  </si>
  <si>
    <t>Columbus Preparatory Academy Total</t>
  </si>
  <si>
    <t>Cristo Rey High School</t>
  </si>
  <si>
    <t>Chromebook ADP Managed Services</t>
  </si>
  <si>
    <t>24/25 Chromebook ADP Managed Services -2</t>
  </si>
  <si>
    <t>177881OH</t>
  </si>
  <si>
    <t>177829OH</t>
  </si>
  <si>
    <t>177840OH</t>
  </si>
  <si>
    <t>177781OH</t>
  </si>
  <si>
    <t>2018/2026 VOIP</t>
  </si>
  <si>
    <t>177841OH</t>
  </si>
  <si>
    <t>Managed Services 2024/25</t>
  </si>
  <si>
    <t>Cristo Rey High School Total</t>
  </si>
  <si>
    <t>Dayton SMART Elementary</t>
  </si>
  <si>
    <t>177842OH</t>
  </si>
  <si>
    <t>Dayton SMART Elementary Total</t>
  </si>
  <si>
    <t>East Dayton Christian</t>
  </si>
  <si>
    <t>177843OH</t>
  </si>
  <si>
    <t>East Dayton Christian Total</t>
  </si>
  <si>
    <t>East Muskingum School District</t>
  </si>
  <si>
    <t>177888OH</t>
  </si>
  <si>
    <t>177844OH</t>
  </si>
  <si>
    <t>East Muskingum School District Total</t>
  </si>
  <si>
    <t>Energility LLC</t>
  </si>
  <si>
    <t>177890OH</t>
  </si>
  <si>
    <t>2021/23 MSC</t>
  </si>
  <si>
    <t>Energility LLC Total</t>
  </si>
  <si>
    <t>Explorers Academy of Science and Tech</t>
  </si>
  <si>
    <t>177819OH</t>
  </si>
  <si>
    <t>177782OH</t>
  </si>
  <si>
    <t>Voice Services 2024/25</t>
  </si>
  <si>
    <t>177846OH</t>
  </si>
  <si>
    <t>Explorers Academy of Science and Tech Total</t>
  </si>
  <si>
    <t>Focus Learning Academy North</t>
  </si>
  <si>
    <t>177847OH</t>
  </si>
  <si>
    <t>Focus Learning Academy North Total</t>
  </si>
  <si>
    <t>Focus Learning Academy of Central Col</t>
  </si>
  <si>
    <t>2024/25  Erate-MIBS-School Percentage</t>
  </si>
  <si>
    <t>177833OH</t>
  </si>
  <si>
    <t>2/25 T-Erate-MIBS-USAC Percentage</t>
  </si>
  <si>
    <t>177783OH</t>
  </si>
  <si>
    <t>Focus Learning Academy of Central Col Total</t>
  </si>
  <si>
    <t>Franklinton High School</t>
  </si>
  <si>
    <t>24/25 Recurring Resale - MSP</t>
  </si>
  <si>
    <t>177848OH</t>
  </si>
  <si>
    <t>24/25 Recurring Resale - Security</t>
  </si>
  <si>
    <t>24/25 T-Services-MSP</t>
  </si>
  <si>
    <t>Franklinton High School Total</t>
  </si>
  <si>
    <t>Global Ambassadors Language Academy</t>
  </si>
  <si>
    <t>177824OH</t>
  </si>
  <si>
    <t>177849OH</t>
  </si>
  <si>
    <t>177784OH</t>
  </si>
  <si>
    <t>2023/2025 MSC</t>
  </si>
  <si>
    <t>Global Ambassadors Language Academy Total</t>
  </si>
  <si>
    <t>Holowicki Enterprises</t>
  </si>
  <si>
    <t>Managed Security - Britton Store #35696</t>
  </si>
  <si>
    <t>177850OH</t>
  </si>
  <si>
    <t>Managed Security - Renner Store #11490</t>
  </si>
  <si>
    <t>177851OH</t>
  </si>
  <si>
    <t>Managed Security Avery Store #15746</t>
  </si>
  <si>
    <t>177853OH</t>
  </si>
  <si>
    <t>Managed Security Hillard #2466</t>
  </si>
  <si>
    <t>177854OH</t>
  </si>
  <si>
    <t>Managed Security Marysville #28775</t>
  </si>
  <si>
    <t>177855OH</t>
  </si>
  <si>
    <t>Managed Security West Jefferson Store #22386</t>
  </si>
  <si>
    <t>177852OH</t>
  </si>
  <si>
    <t>Holowicki Enterprises Total</t>
  </si>
  <si>
    <t>Imagine Akron Academy</t>
  </si>
  <si>
    <t>177832OH</t>
  </si>
  <si>
    <t>177785OH</t>
  </si>
  <si>
    <t>Imagine Akron Academy Total</t>
  </si>
  <si>
    <t>Imagine Bella Academy of Excellence</t>
  </si>
  <si>
    <t>177828OH</t>
  </si>
  <si>
    <t>177856OH</t>
  </si>
  <si>
    <t>177786OH</t>
  </si>
  <si>
    <t>T-Services-MSP 2024/2025</t>
  </si>
  <si>
    <t>Imagine Bella Academy of Excellence Total</t>
  </si>
  <si>
    <t>Imagine Columbus Primary Academy</t>
  </si>
  <si>
    <t>177826OH</t>
  </si>
  <si>
    <t>177857OH</t>
  </si>
  <si>
    <t>Recurring Resale - Security 24/25</t>
  </si>
  <si>
    <t>177787OH</t>
  </si>
  <si>
    <t>Managed Services 24/25</t>
  </si>
  <si>
    <t>Imagine Columbus Primary Academy Total</t>
  </si>
  <si>
    <t>Imagine Great Western Academy</t>
  </si>
  <si>
    <t>177858OH</t>
  </si>
  <si>
    <t>Recurring Resale - Security 2024</t>
  </si>
  <si>
    <t>2021/2023 MSC</t>
  </si>
  <si>
    <t>Imagine Great Western Academy Total</t>
  </si>
  <si>
    <t>Imagine Groveport Community School</t>
  </si>
  <si>
    <t>177814OH</t>
  </si>
  <si>
    <t>177859OH</t>
  </si>
  <si>
    <t>177788OH</t>
  </si>
  <si>
    <t>Imagine Groveport Community School Total</t>
  </si>
  <si>
    <t>Imagine Klepinger Rd</t>
  </si>
  <si>
    <t>177822OH</t>
  </si>
  <si>
    <t>177860OH</t>
  </si>
  <si>
    <t>177789OH</t>
  </si>
  <si>
    <t>Imagine Klepinger Rd Total</t>
  </si>
  <si>
    <t>Imagine Leadership Academy</t>
  </si>
  <si>
    <t>177830OH</t>
  </si>
  <si>
    <t>177861OH</t>
  </si>
  <si>
    <t>177790OH</t>
  </si>
  <si>
    <t>Imagine Leadership Academy Total</t>
  </si>
  <si>
    <t>Imagine Madison Ave</t>
  </si>
  <si>
    <t>Erate-MIBS-School Percentage 24/25 - School %</t>
  </si>
  <si>
    <t>177817OH</t>
  </si>
  <si>
    <t>177862OH</t>
  </si>
  <si>
    <t>T-Erate-MIBS-USAC Percentage 24/25</t>
  </si>
  <si>
    <t>177791OH</t>
  </si>
  <si>
    <t>Imagine Madison Ave Total</t>
  </si>
  <si>
    <t>Imagine Sullivant</t>
  </si>
  <si>
    <t>177827OH</t>
  </si>
  <si>
    <t>177863OH</t>
  </si>
  <si>
    <t>177792OH</t>
  </si>
  <si>
    <t>Imagine Sullivant Total</t>
  </si>
  <si>
    <t>Invictus HS</t>
  </si>
  <si>
    <t>177812OH</t>
  </si>
  <si>
    <t>177864OH</t>
  </si>
  <si>
    <t>2024/25 -Erate-MIBS-USAC Percentage</t>
  </si>
  <si>
    <t>177793OH</t>
  </si>
  <si>
    <t>24 to 27 T-Services-MSP</t>
  </si>
  <si>
    <t>Invictus HS Total</t>
  </si>
  <si>
    <t>LHollingworth</t>
  </si>
  <si>
    <t>Chromebook ADP Managed Services 24/27</t>
  </si>
  <si>
    <t>177865OH</t>
  </si>
  <si>
    <t>Managed Services 24/27</t>
  </si>
  <si>
    <t>LHollingworth Total</t>
  </si>
  <si>
    <t>Luther Memorial</t>
  </si>
  <si>
    <t>177866OH</t>
  </si>
  <si>
    <t>Luther Memorial Total</t>
  </si>
  <si>
    <t>Lutheran High School East</t>
  </si>
  <si>
    <t>2011/23 VOIP Agreement.</t>
  </si>
  <si>
    <t>177885OH</t>
  </si>
  <si>
    <t>Lutheran High School East Total</t>
  </si>
  <si>
    <t>Madison Plains LSD</t>
  </si>
  <si>
    <t>177811OH</t>
  </si>
  <si>
    <t>177794OH</t>
  </si>
  <si>
    <t>Madison Plains LSD Total</t>
  </si>
  <si>
    <t>Main St. Academy</t>
  </si>
  <si>
    <t>2021/26 MIBS ERATE - School</t>
  </si>
  <si>
    <t>177820OH</t>
  </si>
  <si>
    <t>177795OH</t>
  </si>
  <si>
    <t>Main St. Academy Total</t>
  </si>
  <si>
    <t>Menlo Park Academy</t>
  </si>
  <si>
    <t>177810OH</t>
  </si>
  <si>
    <t>177796OH</t>
  </si>
  <si>
    <t>Menlo Park Academy Total</t>
  </si>
  <si>
    <t>Miami East Local Schools</t>
  </si>
  <si>
    <t>177807OH</t>
  </si>
  <si>
    <t>177797OH</t>
  </si>
  <si>
    <t>Miami East Local Schools Total</t>
  </si>
  <si>
    <t>Millennium Comm School</t>
  </si>
  <si>
    <t>177887OH</t>
  </si>
  <si>
    <t>Security Services</t>
  </si>
  <si>
    <t>177883OH</t>
  </si>
  <si>
    <t>2022/2024 MSC</t>
  </si>
  <si>
    <t>177867OH</t>
  </si>
  <si>
    <t>Millennium Comm School Total</t>
  </si>
  <si>
    <t>North Shore High School</t>
  </si>
  <si>
    <t>177831OH</t>
  </si>
  <si>
    <t>177868OH</t>
  </si>
  <si>
    <t>177798OH</t>
  </si>
  <si>
    <t>North Shore High School Total</t>
  </si>
  <si>
    <t>Par Excellence Academy</t>
  </si>
  <si>
    <t>Recurring Resale - MSP 1</t>
  </si>
  <si>
    <t>177869OH</t>
  </si>
  <si>
    <t>Par Excellence Academy Total</t>
  </si>
  <si>
    <t>Reynoldsburg City School District</t>
  </si>
  <si>
    <t>Basic Maintenance - School Percentage 24/25</t>
  </si>
  <si>
    <t>177808OH</t>
  </si>
  <si>
    <t>Basic Maintenace IC- USAC 24/25</t>
  </si>
  <si>
    <t>177799OH</t>
  </si>
  <si>
    <t>T-Services-MSP April 2025</t>
  </si>
  <si>
    <t>The Agreement was a one month agreement</t>
  </si>
  <si>
    <t>Reynoldsburg City School District Total</t>
  </si>
  <si>
    <t>River Gate HS</t>
  </si>
  <si>
    <t>177821OH</t>
  </si>
  <si>
    <t>177870OH</t>
  </si>
  <si>
    <t>177800OH</t>
  </si>
  <si>
    <t>River Gate HS Total</t>
  </si>
  <si>
    <t>Scheurer Health</t>
  </si>
  <si>
    <t>Blended Services</t>
  </si>
  <si>
    <t>177882OH</t>
  </si>
  <si>
    <t>Per Joel Price of Streamline IT Help Desk Management System was lowered from 130 to 60</t>
  </si>
  <si>
    <t>Scheurer Health Total</t>
  </si>
  <si>
    <t>St John Lutheran Nottingham</t>
  </si>
  <si>
    <t>177871OH</t>
  </si>
  <si>
    <t>St John Lutheran Nottingham Total</t>
  </si>
  <si>
    <t>St Sebastian Elem School</t>
  </si>
  <si>
    <t>177872OH</t>
  </si>
  <si>
    <t>T-Services-MSP 24/25</t>
  </si>
  <si>
    <t>St Sebastian Elem School Total</t>
  </si>
  <si>
    <t>St. Adalbert School</t>
  </si>
  <si>
    <t>177818OH</t>
  </si>
  <si>
    <t>School MSC St Adalbert</t>
  </si>
  <si>
    <t>177873OH</t>
  </si>
  <si>
    <t>177801OH</t>
  </si>
  <si>
    <t>St. Adalbert School Total</t>
  </si>
  <si>
    <t>Strasburg-Franklin Local Schools</t>
  </si>
  <si>
    <t>T-Services-MSP Voice Only</t>
  </si>
  <si>
    <t>177874OH</t>
  </si>
  <si>
    <t>Strasburg-Franklin Local Schools Total</t>
  </si>
  <si>
    <t>Sunbridge Schools</t>
  </si>
  <si>
    <t>Recurring Resale - MSP 2024-2025</t>
  </si>
  <si>
    <t>177886OH</t>
  </si>
  <si>
    <t>177875OH</t>
  </si>
  <si>
    <t>Sunbridge Schools Total</t>
  </si>
  <si>
    <t>The Richland School of Academic Arts</t>
  </si>
  <si>
    <t>177823OH</t>
  </si>
  <si>
    <t>177876OH</t>
  </si>
  <si>
    <t>Recurring Resale - MSP 24/26</t>
  </si>
  <si>
    <t>Recurring Resale - Security - 24/26</t>
  </si>
  <si>
    <t>177802OH</t>
  </si>
  <si>
    <t>School MSC 24/26</t>
  </si>
  <si>
    <t>The Richland School of Academic Arts Total</t>
  </si>
  <si>
    <t>The Ummah Center</t>
  </si>
  <si>
    <t>177877OH</t>
  </si>
  <si>
    <t>The Ummah Center Total</t>
  </si>
  <si>
    <t>Toledo School for the Arts</t>
  </si>
  <si>
    <t>177884OH</t>
  </si>
  <si>
    <t>Toledo School for the Arts Total</t>
  </si>
  <si>
    <t>Tolles Career and Technical Center</t>
  </si>
  <si>
    <t>Basic Maintenace IC -24/25School Percentage</t>
  </si>
  <si>
    <t>177816OH</t>
  </si>
  <si>
    <t>Basic Maintenance IC -24/25 USAC Percentage</t>
  </si>
  <si>
    <t>177803OH</t>
  </si>
  <si>
    <t>Tolles Career and Technical Center Total</t>
  </si>
  <si>
    <t>Westwood Prep</t>
  </si>
  <si>
    <t>Recurring Resale - SecurityB</t>
  </si>
  <si>
    <t>177878OH</t>
  </si>
  <si>
    <t>Westwood Prep Total</t>
  </si>
  <si>
    <t>Worthington Christian School</t>
  </si>
  <si>
    <t>177806OH</t>
  </si>
  <si>
    <t>Recurring Resale - MSP 24/24</t>
  </si>
  <si>
    <t>177879OH</t>
  </si>
  <si>
    <t>177804OH</t>
  </si>
  <si>
    <t>T-Services-MSP - 24/25</t>
  </si>
  <si>
    <t>Worthington Christian School Total</t>
  </si>
  <si>
    <t>Youthbuild Columbus Community</t>
  </si>
  <si>
    <t>177880OH</t>
  </si>
  <si>
    <t>24/26 Recurring Resale - MSP</t>
  </si>
  <si>
    <t>24/26 Recurring Resale - Security</t>
  </si>
  <si>
    <t>24/26 T-Services-MSP</t>
  </si>
  <si>
    <t>24/26 T-Services-MSP B</t>
  </si>
  <si>
    <t>Youthbuild Columbus Community Total</t>
  </si>
  <si>
    <t>OH Total</t>
  </si>
  <si>
    <t>Grand Total</t>
  </si>
  <si>
    <t>CA- GL</t>
  </si>
  <si>
    <t>Total Recurring Revenue</t>
  </si>
  <si>
    <t>OH- GL</t>
  </si>
  <si>
    <t>CA &amp; OH- GL</t>
  </si>
  <si>
    <t>May Payroll Breakdown</t>
  </si>
  <si>
    <t>P&amp;L</t>
  </si>
  <si>
    <t xml:space="preserve">Payoll Cost </t>
  </si>
  <si>
    <t>Differences</t>
  </si>
  <si>
    <t>IT Project Labor</t>
  </si>
  <si>
    <t>Direct Labor</t>
  </si>
  <si>
    <t>Cobra Payment ($1,530) and Amazon Cards for incentives 350</t>
  </si>
  <si>
    <t xml:space="preserve">Dismissed </t>
  </si>
  <si>
    <t>Sales
 (includes commissions)</t>
  </si>
  <si>
    <t>New Hires</t>
  </si>
  <si>
    <t>Admin</t>
  </si>
  <si>
    <t>$1666 UMR Billing, -$20 for United Way</t>
  </si>
  <si>
    <t xml:space="preserve">Last Day </t>
  </si>
  <si>
    <t>New Hire
First Day</t>
  </si>
  <si>
    <t>Last Name</t>
  </si>
  <si>
    <t>First Name</t>
  </si>
  <si>
    <t>Full Name</t>
  </si>
  <si>
    <t>Department</t>
  </si>
  <si>
    <t>Financial Statement 
category</t>
  </si>
  <si>
    <t>Payroll Cost</t>
  </si>
  <si>
    <t>One time 
Payouts</t>
  </si>
  <si>
    <t xml:space="preserve">After- Hours On Call and Overtime </t>
  </si>
  <si>
    <t>Monthly Base Cost</t>
  </si>
  <si>
    <t>Harsch</t>
  </si>
  <si>
    <t>Jack</t>
  </si>
  <si>
    <t>Jack Harsch</t>
  </si>
  <si>
    <t>East Coast - Engineering</t>
  </si>
  <si>
    <t>1-IT Project Labor</t>
  </si>
  <si>
    <t>Bruce</t>
  </si>
  <si>
    <t>James</t>
  </si>
  <si>
    <t>James Bruce</t>
  </si>
  <si>
    <t xml:space="preserve">West Coast - Engineering </t>
  </si>
  <si>
    <t>Lampe</t>
  </si>
  <si>
    <t>Matthew</t>
  </si>
  <si>
    <t>Matthew Lampe</t>
  </si>
  <si>
    <t>Newson</t>
  </si>
  <si>
    <t>Keith</t>
  </si>
  <si>
    <t>Keith Newson</t>
  </si>
  <si>
    <t>Walski</t>
  </si>
  <si>
    <t>Stephen</t>
  </si>
  <si>
    <t>Stephen Walski</t>
  </si>
  <si>
    <t>West Coast - Service Delivery</t>
  </si>
  <si>
    <t>Gilmore</t>
  </si>
  <si>
    <t>Christopher</t>
  </si>
  <si>
    <t>Christopher Gilmore</t>
  </si>
  <si>
    <t>West Cost-Fresno Engineering</t>
  </si>
  <si>
    <t>1-IT Project Labor Total</t>
  </si>
  <si>
    <t>Annabel</t>
  </si>
  <si>
    <t>Peter</t>
  </si>
  <si>
    <t>Peter Annabel</t>
  </si>
  <si>
    <t>Cloud Services</t>
  </si>
  <si>
    <t>2-Direct Labor</t>
  </si>
  <si>
    <t>Schilber</t>
  </si>
  <si>
    <t>Michael</t>
  </si>
  <si>
    <t>Michael Schilber</t>
  </si>
  <si>
    <t>Cyber Security</t>
  </si>
  <si>
    <t>Lanning</t>
  </si>
  <si>
    <t>Nathan</t>
  </si>
  <si>
    <t>Nathan Lanning</t>
  </si>
  <si>
    <t>East Coast - Field Engineering</t>
  </si>
  <si>
    <t>Strassell</t>
  </si>
  <si>
    <t>Cory</t>
  </si>
  <si>
    <t>Cory Strassell</t>
  </si>
  <si>
    <t>Trude</t>
  </si>
  <si>
    <t>Michael Trude</t>
  </si>
  <si>
    <t>Barr</t>
  </si>
  <si>
    <t>Kevin</t>
  </si>
  <si>
    <t>Kevin Barr</t>
  </si>
  <si>
    <t>East Coast - Installation Services</t>
  </si>
  <si>
    <t>Terrell</t>
  </si>
  <si>
    <t>Duncan</t>
  </si>
  <si>
    <t>Duncan Terrell</t>
  </si>
  <si>
    <t>Brinovec</t>
  </si>
  <si>
    <t>Matthew Brinovec</t>
  </si>
  <si>
    <t>East Coast - Service Desk</t>
  </si>
  <si>
    <t>Transitioned from Project to Direct in April</t>
  </si>
  <si>
    <t>Conkle</t>
  </si>
  <si>
    <t>Kerr</t>
  </si>
  <si>
    <t>Kerr Conkle</t>
  </si>
  <si>
    <t>Dean</t>
  </si>
  <si>
    <t>Sam</t>
  </si>
  <si>
    <t>Sam Dean</t>
  </si>
  <si>
    <t>Dupray</t>
  </si>
  <si>
    <t>Nathaniel</t>
  </si>
  <si>
    <t>Nathaniel Dupray</t>
  </si>
  <si>
    <t>Keim</t>
  </si>
  <si>
    <t>Colton</t>
  </si>
  <si>
    <t>Colton Keim</t>
  </si>
  <si>
    <t>McArthur</t>
  </si>
  <si>
    <t>Alex</t>
  </si>
  <si>
    <t>Alex McArthur</t>
  </si>
  <si>
    <t>Resigned mid-month</t>
  </si>
  <si>
    <t>Blair</t>
  </si>
  <si>
    <t>Joshua</t>
  </si>
  <si>
    <t>Joshua Blair</t>
  </si>
  <si>
    <t>Brennan</t>
  </si>
  <si>
    <t>Thomas</t>
  </si>
  <si>
    <t>Thomas Brennan</t>
  </si>
  <si>
    <t>Chavez Soto</t>
  </si>
  <si>
    <t>Cristina</t>
  </si>
  <si>
    <t>Cristina Chavez Soto</t>
  </si>
  <si>
    <t>Contreras</t>
  </si>
  <si>
    <t>Angela</t>
  </si>
  <si>
    <t>Angela Contreras</t>
  </si>
  <si>
    <t>Oscar</t>
  </si>
  <si>
    <t>Oscar Contreras</t>
  </si>
  <si>
    <t>Doyle</t>
  </si>
  <si>
    <t>William</t>
  </si>
  <si>
    <t>William Doyle</t>
  </si>
  <si>
    <t>Espinoza</t>
  </si>
  <si>
    <t>Gabriel</t>
  </si>
  <si>
    <t>Gabriel Espinoza</t>
  </si>
  <si>
    <t>Hughes</t>
  </si>
  <si>
    <t>Michael Hughes</t>
  </si>
  <si>
    <t>Huizar</t>
  </si>
  <si>
    <t>Luis</t>
  </si>
  <si>
    <t>Luis Huizar</t>
  </si>
  <si>
    <t>Hulsey-Cedeno</t>
  </si>
  <si>
    <t>Brandon</t>
  </si>
  <si>
    <t>Brandon Hulsey-Cedeno</t>
  </si>
  <si>
    <t>Johnson</t>
  </si>
  <si>
    <t>Brandon Johnson</t>
  </si>
  <si>
    <t>Morozov</t>
  </si>
  <si>
    <t>Steve</t>
  </si>
  <si>
    <t>Steve Morozov</t>
  </si>
  <si>
    <t>Pena</t>
  </si>
  <si>
    <t>Luis Pena</t>
  </si>
  <si>
    <t>On Unpaid Time Off for majority of the month</t>
  </si>
  <si>
    <t>Pontes</t>
  </si>
  <si>
    <t>Victor</t>
  </si>
  <si>
    <t>Victor Pontes</t>
  </si>
  <si>
    <t>Unused PTO pay out</t>
  </si>
  <si>
    <t>Stewart</t>
  </si>
  <si>
    <t>Timothy</t>
  </si>
  <si>
    <t>Timothy Stewart</t>
  </si>
  <si>
    <t>Wijaya</t>
  </si>
  <si>
    <t>Tommy</t>
  </si>
  <si>
    <t>Tommy Wijaya</t>
  </si>
  <si>
    <t>Brockett</t>
  </si>
  <si>
    <t>Casey</t>
  </si>
  <si>
    <t>Casey Brockett</t>
  </si>
  <si>
    <t>West Coast-Fresno Service</t>
  </si>
  <si>
    <t>Returned from PFL</t>
  </si>
  <si>
    <t>Bennett</t>
  </si>
  <si>
    <t>Harry</t>
  </si>
  <si>
    <t>Harry Bennett</t>
  </si>
  <si>
    <t>Mercer</t>
  </si>
  <si>
    <t>Mark</t>
  </si>
  <si>
    <t>Mark Mercer</t>
  </si>
  <si>
    <t>Direct Labor Total</t>
  </si>
  <si>
    <t>De Guzman</t>
  </si>
  <si>
    <t>Edwin</t>
  </si>
  <si>
    <t>Edwin De Guzman</t>
  </si>
  <si>
    <t>Contract Wages</t>
  </si>
  <si>
    <t>3-Sales Labor Costs</t>
  </si>
  <si>
    <t>Martinez Duran</t>
  </si>
  <si>
    <t>Julissa</t>
  </si>
  <si>
    <t>Julissa Martinez Duran</t>
  </si>
  <si>
    <t>Martinez</t>
  </si>
  <si>
    <t>Maria</t>
  </si>
  <si>
    <t>Maria Martinez</t>
  </si>
  <si>
    <t>Villanueva</t>
  </si>
  <si>
    <t>Myca</t>
  </si>
  <si>
    <t>Myca Villanueva</t>
  </si>
  <si>
    <t>Kuphal</t>
  </si>
  <si>
    <t>Daniel</t>
  </si>
  <si>
    <t>Daniel Kuphal</t>
  </si>
  <si>
    <t>East Coast - Sales and Marketing</t>
  </si>
  <si>
    <t>Walker</t>
  </si>
  <si>
    <t>Joel</t>
  </si>
  <si>
    <t>Joel Walker</t>
  </si>
  <si>
    <t>Less commission in May</t>
  </si>
  <si>
    <t>Lobo</t>
  </si>
  <si>
    <t>Lester</t>
  </si>
  <si>
    <t>Lester Lobo</t>
  </si>
  <si>
    <t>Baker</t>
  </si>
  <si>
    <t>Matthew Baker</t>
  </si>
  <si>
    <t>Higher commission in May</t>
  </si>
  <si>
    <t>Chadwell</t>
  </si>
  <si>
    <t>Daniel Chadwell</t>
  </si>
  <si>
    <t>Procurement and Sales Engineering</t>
  </si>
  <si>
    <t>DinYero</t>
  </si>
  <si>
    <t>DinYero Johnson</t>
  </si>
  <si>
    <t>Maestas</t>
  </si>
  <si>
    <t>Ricky</t>
  </si>
  <si>
    <t>Ricky Maestas</t>
  </si>
  <si>
    <t>West Coast - Education</t>
  </si>
  <si>
    <t>Sturdivant</t>
  </si>
  <si>
    <t>Daniel Sturdivant</t>
  </si>
  <si>
    <t>West Coast - Sales + Marketing</t>
  </si>
  <si>
    <t>Harvey</t>
  </si>
  <si>
    <t>Jay</t>
  </si>
  <si>
    <t>Jay Harvey</t>
  </si>
  <si>
    <t>La Fleche</t>
  </si>
  <si>
    <t>Nathan La Fleche</t>
  </si>
  <si>
    <t>No Commission in April</t>
  </si>
  <si>
    <t>Sales Labor Total</t>
  </si>
  <si>
    <t>Moore</t>
  </si>
  <si>
    <t>Rebecca</t>
  </si>
  <si>
    <t>Rebecca Moore</t>
  </si>
  <si>
    <t xml:space="preserve">Admin + Finance + HR	</t>
  </si>
  <si>
    <t xml:space="preserve">4-Admin </t>
  </si>
  <si>
    <t>Vicencio</t>
  </si>
  <si>
    <t>P. Dennis</t>
  </si>
  <si>
    <t>P. Dennis Vicencio</t>
  </si>
  <si>
    <t>Hennington</t>
  </si>
  <si>
    <t>Melinda</t>
  </si>
  <si>
    <t>Melinda Hennington</t>
  </si>
  <si>
    <t>Admin Finance-Fresno</t>
  </si>
  <si>
    <t>Peterson</t>
  </si>
  <si>
    <t>Devin</t>
  </si>
  <si>
    <t>Devin Peterson</t>
  </si>
  <si>
    <t>Central Services &amp; Internal IT</t>
  </si>
  <si>
    <t>Rownd</t>
  </si>
  <si>
    <t>Marshall</t>
  </si>
  <si>
    <t>Marshall Rownd</t>
  </si>
  <si>
    <t>Terrones</t>
  </si>
  <si>
    <t>Genelyn</t>
  </si>
  <si>
    <t>Genelyn Terrones</t>
  </si>
  <si>
    <t>Santiago</t>
  </si>
  <si>
    <t>Stella</t>
  </si>
  <si>
    <t>Stella Santiago</t>
  </si>
  <si>
    <t>Retainedfor the purpose of comparison</t>
  </si>
  <si>
    <t>Esteras</t>
  </si>
  <si>
    <t>Lyza</t>
  </si>
  <si>
    <t>Lyza Esteras</t>
  </si>
  <si>
    <t>Dizon</t>
  </si>
  <si>
    <t>Jaquelene</t>
  </si>
  <si>
    <t>Jaquelene Dizon</t>
  </si>
  <si>
    <t>Gregory</t>
  </si>
  <si>
    <t>Gregory Harvey</t>
  </si>
  <si>
    <t>East Coast - Procurement</t>
  </si>
  <si>
    <t>Bates</t>
  </si>
  <si>
    <t>James Bates</t>
  </si>
  <si>
    <t>Owner</t>
  </si>
  <si>
    <t>Darmstandler</t>
  </si>
  <si>
    <t>David</t>
  </si>
  <si>
    <t>David Darmstandler</t>
  </si>
  <si>
    <t>Craig</t>
  </si>
  <si>
    <t>David Craig</t>
  </si>
  <si>
    <t>Procurement</t>
  </si>
  <si>
    <t>Admin Total Costs</t>
  </si>
  <si>
    <t>Total Labor Costs</t>
  </si>
  <si>
    <t>New Hires - June</t>
  </si>
  <si>
    <t>Matuszynski</t>
  </si>
  <si>
    <t>Cole</t>
  </si>
  <si>
    <t>Cole Matuszynski</t>
  </si>
  <si>
    <t>Estimated cost based on full month ++ taxes</t>
  </si>
  <si>
    <t>Est April Totals</t>
  </si>
  <si>
    <t>IT Project Labor Costs</t>
  </si>
  <si>
    <t>Direct Labor Costs</t>
  </si>
  <si>
    <t>Sales Labor Costs</t>
  </si>
  <si>
    <t>Admin Labor Costs</t>
  </si>
  <si>
    <t>Casey B. returned from PML  $6.5K  Incease
Victor P dismissed in May $ $1.4K Decrease</t>
  </si>
  <si>
    <t>citrin cooperman</t>
  </si>
  <si>
    <t>Greenberg Traurig LLP $15K</t>
  </si>
  <si>
    <t>Google Ads decreased $500 and MISAC Conference was paid in April $1750</t>
  </si>
  <si>
    <t>CW was higher in May by $200</t>
  </si>
  <si>
    <t>Procopio invoice $4.5K</t>
  </si>
  <si>
    <t>Hubspot $983</t>
  </si>
  <si>
    <t>In April we received a CNA  check for vehicle damage $2.5K</t>
  </si>
  <si>
    <t>Event All in summit - $7K</t>
  </si>
  <si>
    <t xml:space="preserve">Wheelchair Mission Donation $1,500 </t>
  </si>
  <si>
    <t>In April Dan traveled to Ohio $1K,   April - Peter to Data Center $1.4K</t>
  </si>
  <si>
    <t>$6.5K Increase in commissions payout in May</t>
  </si>
  <si>
    <t xml:space="preserve">          Project Services (labor only)</t>
  </si>
  <si>
    <t>Amount Increase</t>
  </si>
  <si>
    <t>Amout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</si>
</sst>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_(&quot;$&quot;* #,##0_);_(&quot;$&quot;* \(#,##0\);_(&quot;$&quot;* &quot;-&quot;??_);_(@_)"/>
  </numFmts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b/>
      <sz val="9"/>
      <name val="Helvetica"/>
      <family val="2"/>
    </font>
    <font>
      <sz val="9"/>
      <name val="Helvetica"/>
      <family val="2"/>
    </font>
    <font>
      <sz val="9"/>
      <name val="Arial"/>
      <family val="2"/>
    </font>
    <font>
      <sz val="9"/>
      <name val="Helvetica"/>
      <family val="2"/>
    </font>
    <font>
      <sz val="7"/>
      <name val="Helvetica"/>
      <family val="2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242424"/>
      <name val="Aptos Narrow"/>
      <family val="2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3B3B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FFA3"/>
        <bgColor indexed="64"/>
      </patternFill>
    </fill>
    <fill>
      <patternFill patternType="solid">
        <fgColor rgb="FFFB3B3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3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2" fillId="0" borderId="0"/>
    <xf numFmtId="0" fontId="19" fillId="0" borderId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0" fontId="10" fillId="0" borderId="0" xfId="6" applyFont="1"/>
    <xf numFmtId="0" fontId="10" fillId="0" borderId="0" xfId="6" applyFont="1" applyAlignment="1">
      <alignment horizontal="center" wrapText="1"/>
    </xf>
    <xf numFmtId="0" fontId="10" fillId="0" borderId="0" xfId="6" applyFont="1" applyAlignment="1">
      <alignment horizontal="center"/>
    </xf>
    <xf numFmtId="43" fontId="10" fillId="0" borderId="0" xfId="7" applyFont="1" applyAlignment="1">
      <alignment horizontal="center" wrapText="1"/>
    </xf>
    <xf numFmtId="0" fontId="9" fillId="0" borderId="0" xfId="6" applyAlignment="1">
      <alignment wrapText="1"/>
    </xf>
    <xf numFmtId="0" fontId="2" fillId="0" borderId="0" xfId="8"/>
    <xf numFmtId="0" fontId="9" fillId="0" borderId="0" xfId="6"/>
    <xf numFmtId="14" fontId="9" fillId="0" borderId="0" xfId="6" applyNumberFormat="1"/>
    <xf numFmtId="43" fontId="0" fillId="0" borderId="0" xfId="7" applyFont="1"/>
    <xf numFmtId="43" fontId="9" fillId="0" borderId="0" xfId="6" applyNumberFormat="1"/>
    <xf numFmtId="43" fontId="2" fillId="0" borderId="0" xfId="7"/>
    <xf numFmtId="0" fontId="9" fillId="0" borderId="0" xfId="8" applyFont="1" applyAlignment="1">
      <alignment wrapText="1"/>
    </xf>
    <xf numFmtId="0" fontId="9" fillId="4" borderId="0" xfId="6" applyFill="1"/>
    <xf numFmtId="14" fontId="9" fillId="4" borderId="0" xfId="6" applyNumberFormat="1" applyFill="1"/>
    <xf numFmtId="43" fontId="0" fillId="4" borderId="0" xfId="7" applyFont="1" applyFill="1"/>
    <xf numFmtId="43" fontId="9" fillId="4" borderId="0" xfId="6" applyNumberFormat="1" applyFill="1"/>
    <xf numFmtId="43" fontId="2" fillId="4" borderId="0" xfId="7" applyFill="1"/>
    <xf numFmtId="0" fontId="9" fillId="4" borderId="0" xfId="6" applyFill="1" applyAlignment="1">
      <alignment wrapText="1"/>
    </xf>
    <xf numFmtId="0" fontId="10" fillId="4" borderId="0" xfId="6" applyFont="1" applyFill="1"/>
    <xf numFmtId="43" fontId="9" fillId="0" borderId="0" xfId="7" applyFont="1" applyFill="1"/>
    <xf numFmtId="43" fontId="2" fillId="0" borderId="0" xfId="7" applyFill="1"/>
    <xf numFmtId="0" fontId="9" fillId="5" borderId="0" xfId="6" applyFill="1"/>
    <xf numFmtId="14" fontId="9" fillId="5" borderId="0" xfId="6" applyNumberFormat="1" applyFill="1"/>
    <xf numFmtId="43" fontId="0" fillId="5" borderId="0" xfId="7" applyFont="1" applyFill="1"/>
    <xf numFmtId="43" fontId="9" fillId="5" borderId="0" xfId="6" applyNumberFormat="1" applyFill="1"/>
    <xf numFmtId="43" fontId="2" fillId="5" borderId="0" xfId="7" applyFill="1"/>
    <xf numFmtId="0" fontId="9" fillId="6" borderId="0" xfId="6" applyFill="1"/>
    <xf numFmtId="14" fontId="9" fillId="6" borderId="0" xfId="6" applyNumberFormat="1" applyFill="1"/>
    <xf numFmtId="43" fontId="9" fillId="6" borderId="0" xfId="7" applyFont="1" applyFill="1"/>
    <xf numFmtId="43" fontId="9" fillId="6" borderId="0" xfId="6" applyNumberFormat="1" applyFill="1"/>
    <xf numFmtId="0" fontId="9" fillId="6" borderId="0" xfId="6" applyFill="1" applyAlignment="1">
      <alignment wrapText="1"/>
    </xf>
    <xf numFmtId="0" fontId="10" fillId="6" borderId="0" xfId="6" applyFont="1" applyFill="1"/>
    <xf numFmtId="0" fontId="9" fillId="5" borderId="0" xfId="6" applyFill="1" applyAlignment="1">
      <alignment wrapText="1"/>
    </xf>
    <xf numFmtId="0" fontId="10" fillId="5" borderId="0" xfId="6" applyFont="1" applyFill="1"/>
    <xf numFmtId="43" fontId="0" fillId="0" borderId="0" xfId="7" applyFont="1" applyFill="1"/>
    <xf numFmtId="43" fontId="2" fillId="6" borderId="0" xfId="7" applyFill="1"/>
    <xf numFmtId="43" fontId="10" fillId="6" borderId="0" xfId="7" applyFont="1" applyFill="1"/>
    <xf numFmtId="0" fontId="8" fillId="0" borderId="0" xfId="8" applyFont="1"/>
    <xf numFmtId="0" fontId="2" fillId="0" borderId="0" xfId="8" applyAlignment="1">
      <alignment wrapText="1"/>
    </xf>
    <xf numFmtId="0" fontId="10" fillId="0" borderId="0" xfId="6" applyFont="1" applyAlignment="1">
      <alignment horizontal="right"/>
    </xf>
    <xf numFmtId="43" fontId="2" fillId="0" borderId="0" xfId="8" applyNumberFormat="1"/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 applyAlignment="1">
      <alignment horizontal="right"/>
    </xf>
    <xf numFmtId="164" fontId="12" fillId="2" borderId="2" xfId="0" applyNumberFormat="1" applyFont="1" applyFill="1" applyBorder="1" applyAlignment="1">
      <alignment horizontal="right"/>
    </xf>
    <xf numFmtId="164" fontId="12" fillId="2" borderId="3" xfId="0" applyNumberFormat="1" applyFont="1" applyFill="1" applyBorder="1" applyAlignment="1">
      <alignment horizontal="right"/>
    </xf>
    <xf numFmtId="0" fontId="12" fillId="2" borderId="2" xfId="0" applyFont="1" applyFill="1" applyBorder="1" applyAlignment="1">
      <alignment horizontal="left"/>
    </xf>
    <xf numFmtId="164" fontId="11" fillId="2" borderId="4" xfId="0" applyNumberFormat="1" applyFont="1" applyFill="1" applyBorder="1" applyAlignment="1">
      <alignment horizontal="right"/>
    </xf>
    <xf numFmtId="0" fontId="13" fillId="2" borderId="0" xfId="0" applyFont="1" applyFill="1"/>
    <xf numFmtId="0" fontId="13" fillId="2" borderId="0" xfId="0" applyFont="1" applyFill="1" applyAlignment="1">
      <alignment horizontal="left"/>
    </xf>
    <xf numFmtId="0" fontId="12" fillId="2" borderId="0" xfId="0" applyFont="1" applyFill="1" applyAlignment="1">
      <alignment horizontal="right"/>
    </xf>
    <xf numFmtId="0" fontId="12" fillId="2" borderId="1" xfId="0" applyFont="1" applyFill="1" applyBorder="1" applyAlignment="1">
      <alignment horizontal="right"/>
    </xf>
    <xf numFmtId="0" fontId="12" fillId="2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right"/>
    </xf>
    <xf numFmtId="164" fontId="12" fillId="4" borderId="0" xfId="0" applyNumberFormat="1" applyFont="1" applyFill="1" applyAlignment="1">
      <alignment horizontal="righ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4" fillId="0" borderId="0" xfId="0" applyFont="1"/>
    <xf numFmtId="0" fontId="0" fillId="0" borderId="0" xfId="0" applyAlignment="1">
      <alignment wrapText="1"/>
    </xf>
    <xf numFmtId="0" fontId="18" fillId="0" borderId="0" xfId="0" applyFont="1"/>
    <xf numFmtId="0" fontId="20" fillId="0" borderId="0" xfId="9" applyFont="1" applyAlignment="1">
      <alignment horizontal="left"/>
    </xf>
    <xf numFmtId="0" fontId="19" fillId="0" borderId="0" xfId="9"/>
    <xf numFmtId="0" fontId="20" fillId="0" borderId="0" xfId="9" applyFont="1" applyAlignment="1">
      <alignment horizontal="center"/>
    </xf>
    <xf numFmtId="0" fontId="19" fillId="0" borderId="0" xfId="9" applyAlignment="1">
      <alignment horizontal="center"/>
    </xf>
    <xf numFmtId="40" fontId="19" fillId="0" borderId="0" xfId="9" applyNumberFormat="1" applyAlignment="1">
      <alignment horizontal="left" wrapText="1"/>
    </xf>
    <xf numFmtId="0" fontId="19" fillId="0" borderId="0" xfId="9" applyAlignment="1">
      <alignment wrapText="1"/>
    </xf>
    <xf numFmtId="43" fontId="0" fillId="0" borderId="0" xfId="10" applyFont="1"/>
    <xf numFmtId="43" fontId="8" fillId="0" borderId="7" xfId="10" applyFont="1" applyBorder="1" applyAlignment="1">
      <alignment horizontal="right"/>
    </xf>
    <xf numFmtId="43" fontId="8" fillId="0" borderId="8" xfId="10" applyFont="1" applyBorder="1" applyAlignment="1">
      <alignment horizontal="center"/>
    </xf>
    <xf numFmtId="43" fontId="19" fillId="0" borderId="0" xfId="9" applyNumberFormat="1"/>
    <xf numFmtId="40" fontId="19" fillId="0" borderId="0" xfId="9" applyNumberFormat="1" applyAlignment="1">
      <alignment horizontal="left"/>
    </xf>
    <xf numFmtId="0" fontId="21" fillId="0" borderId="0" xfId="9" applyFont="1" applyAlignment="1">
      <alignment horizontal="left" wrapText="1"/>
    </xf>
    <xf numFmtId="43" fontId="19" fillId="0" borderId="0" xfId="11" applyFont="1"/>
    <xf numFmtId="43" fontId="21" fillId="0" borderId="0" xfId="11" applyFont="1" applyAlignment="1">
      <alignment wrapText="1"/>
    </xf>
    <xf numFmtId="0" fontId="19" fillId="7" borderId="9" xfId="9" applyFill="1" applyBorder="1"/>
    <xf numFmtId="43" fontId="22" fillId="0" borderId="7" xfId="10" applyFont="1" applyBorder="1" applyAlignment="1">
      <alignment horizontal="right" wrapText="1"/>
    </xf>
    <xf numFmtId="43" fontId="21" fillId="0" borderId="0" xfId="9" applyNumberFormat="1" applyFont="1" applyAlignment="1">
      <alignment wrapText="1"/>
    </xf>
    <xf numFmtId="0" fontId="19" fillId="5" borderId="10" xfId="9" applyFill="1" applyBorder="1"/>
    <xf numFmtId="43" fontId="8" fillId="0" borderId="11" xfId="10" applyFont="1" applyBorder="1" applyAlignment="1">
      <alignment horizontal="right"/>
    </xf>
    <xf numFmtId="43" fontId="8" fillId="0" borderId="12" xfId="10" applyFont="1" applyBorder="1" applyAlignment="1">
      <alignment horizontal="center"/>
    </xf>
    <xf numFmtId="0" fontId="19" fillId="0" borderId="0" xfId="9" applyAlignment="1">
      <alignment horizontal="left"/>
    </xf>
    <xf numFmtId="14" fontId="16" fillId="8" borderId="9" xfId="9" applyNumberFormat="1" applyFont="1" applyFill="1" applyBorder="1" applyAlignment="1">
      <alignment wrapText="1"/>
    </xf>
    <xf numFmtId="0" fontId="16" fillId="8" borderId="9" xfId="9" applyFont="1" applyFill="1" applyBorder="1"/>
    <xf numFmtId="0" fontId="16" fillId="8" borderId="9" xfId="9" applyFont="1" applyFill="1" applyBorder="1" applyAlignment="1">
      <alignment horizontal="left" wrapText="1"/>
    </xf>
    <xf numFmtId="43" fontId="16" fillId="8" borderId="9" xfId="11" applyFont="1" applyFill="1" applyBorder="1" applyAlignment="1">
      <alignment horizontal="center" wrapText="1"/>
    </xf>
    <xf numFmtId="43" fontId="16" fillId="8" borderId="0" xfId="11" applyFont="1" applyFill="1" applyAlignment="1">
      <alignment horizontal="center" wrapText="1"/>
    </xf>
    <xf numFmtId="43" fontId="16" fillId="8" borderId="0" xfId="10" applyFont="1" applyFill="1" applyAlignment="1">
      <alignment horizontal="center" wrapText="1"/>
    </xf>
    <xf numFmtId="14" fontId="19" fillId="9" borderId="10" xfId="9" applyNumberFormat="1" applyFill="1" applyBorder="1"/>
    <xf numFmtId="14" fontId="19" fillId="9" borderId="9" xfId="9" applyNumberFormat="1" applyFill="1" applyBorder="1"/>
    <xf numFmtId="0" fontId="19" fillId="9" borderId="9" xfId="9" applyFill="1" applyBorder="1"/>
    <xf numFmtId="0" fontId="19" fillId="9" borderId="9" xfId="9" applyFill="1" applyBorder="1" applyAlignment="1">
      <alignment horizontal="left"/>
    </xf>
    <xf numFmtId="43" fontId="0" fillId="9" borderId="13" xfId="11" applyFont="1" applyFill="1" applyBorder="1"/>
    <xf numFmtId="43" fontId="0" fillId="9" borderId="13" xfId="10" applyFont="1" applyFill="1" applyBorder="1"/>
    <xf numFmtId="14" fontId="19" fillId="10" borderId="10" xfId="9" applyNumberFormat="1" applyFill="1" applyBorder="1"/>
    <xf numFmtId="14" fontId="19" fillId="10" borderId="9" xfId="9" applyNumberFormat="1" applyFill="1" applyBorder="1"/>
    <xf numFmtId="0" fontId="19" fillId="10" borderId="9" xfId="9" applyFill="1" applyBorder="1"/>
    <xf numFmtId="0" fontId="19" fillId="10" borderId="9" xfId="9" applyFill="1" applyBorder="1" applyAlignment="1">
      <alignment horizontal="left"/>
    </xf>
    <xf numFmtId="14" fontId="19" fillId="0" borderId="10" xfId="9" applyNumberFormat="1" applyBorder="1"/>
    <xf numFmtId="14" fontId="19" fillId="0" borderId="9" xfId="9" applyNumberFormat="1" applyBorder="1"/>
    <xf numFmtId="0" fontId="19" fillId="0" borderId="9" xfId="9" applyBorder="1"/>
    <xf numFmtId="0" fontId="8" fillId="0" borderId="9" xfId="9" applyFont="1" applyBorder="1"/>
    <xf numFmtId="0" fontId="8" fillId="0" borderId="9" xfId="9" applyFont="1" applyBorder="1" applyAlignment="1">
      <alignment horizontal="left"/>
    </xf>
    <xf numFmtId="43" fontId="8" fillId="0" borderId="13" xfId="11" applyFont="1" applyBorder="1"/>
    <xf numFmtId="10" fontId="8" fillId="0" borderId="13" xfId="12" applyNumberFormat="1" applyFont="1" applyBorder="1"/>
    <xf numFmtId="14" fontId="19" fillId="11" borderId="10" xfId="9" applyNumberFormat="1" applyFill="1" applyBorder="1"/>
    <xf numFmtId="14" fontId="19" fillId="11" borderId="9" xfId="9" applyNumberFormat="1" applyFill="1" applyBorder="1"/>
    <xf numFmtId="0" fontId="19" fillId="11" borderId="9" xfId="9" applyFill="1" applyBorder="1"/>
    <xf numFmtId="0" fontId="19" fillId="11" borderId="9" xfId="9" applyFill="1" applyBorder="1" applyAlignment="1">
      <alignment horizontal="left"/>
    </xf>
    <xf numFmtId="43" fontId="0" fillId="11" borderId="13" xfId="11" applyFont="1" applyFill="1" applyBorder="1"/>
    <xf numFmtId="43" fontId="0" fillId="11" borderId="13" xfId="10" applyFont="1" applyFill="1" applyBorder="1"/>
    <xf numFmtId="14" fontId="19" fillId="12" borderId="10" xfId="9" applyNumberFormat="1" applyFill="1" applyBorder="1"/>
    <xf numFmtId="14" fontId="19" fillId="12" borderId="9" xfId="9" applyNumberFormat="1" applyFill="1" applyBorder="1"/>
    <xf numFmtId="0" fontId="19" fillId="12" borderId="9" xfId="9" applyFill="1" applyBorder="1"/>
    <xf numFmtId="0" fontId="19" fillId="12" borderId="9" xfId="9" applyFill="1" applyBorder="1" applyAlignment="1">
      <alignment horizontal="left"/>
    </xf>
    <xf numFmtId="43" fontId="0" fillId="12" borderId="13" xfId="11" applyFont="1" applyFill="1" applyBorder="1"/>
    <xf numFmtId="43" fontId="0" fillId="12" borderId="13" xfId="10" applyFont="1" applyFill="1" applyBorder="1"/>
    <xf numFmtId="14" fontId="19" fillId="7" borderId="9" xfId="9" applyNumberFormat="1" applyFill="1" applyBorder="1"/>
    <xf numFmtId="14" fontId="19" fillId="13" borderId="10" xfId="9" applyNumberFormat="1" applyFill="1" applyBorder="1"/>
    <xf numFmtId="14" fontId="19" fillId="13" borderId="9" xfId="9" applyNumberFormat="1" applyFill="1" applyBorder="1"/>
    <xf numFmtId="0" fontId="19" fillId="13" borderId="9" xfId="9" applyFill="1" applyBorder="1"/>
    <xf numFmtId="0" fontId="19" fillId="13" borderId="9" xfId="9" applyFill="1" applyBorder="1" applyAlignment="1">
      <alignment horizontal="left"/>
    </xf>
    <xf numFmtId="43" fontId="0" fillId="13" borderId="13" xfId="11" applyFont="1" applyFill="1" applyBorder="1"/>
    <xf numFmtId="43" fontId="0" fillId="13" borderId="13" xfId="10" applyFont="1" applyFill="1" applyBorder="1"/>
    <xf numFmtId="14" fontId="19" fillId="14" borderId="10" xfId="9" applyNumberFormat="1" applyFill="1" applyBorder="1"/>
    <xf numFmtId="14" fontId="19" fillId="14" borderId="9" xfId="9" applyNumberFormat="1" applyFill="1" applyBorder="1"/>
    <xf numFmtId="0" fontId="19" fillId="14" borderId="9" xfId="9" applyFill="1" applyBorder="1"/>
    <xf numFmtId="0" fontId="19" fillId="14" borderId="9" xfId="9" applyFill="1" applyBorder="1" applyAlignment="1">
      <alignment horizontal="left"/>
    </xf>
    <xf numFmtId="14" fontId="8" fillId="0" borderId="9" xfId="9" applyNumberFormat="1" applyFont="1" applyBorder="1"/>
    <xf numFmtId="43" fontId="8" fillId="0" borderId="13" xfId="11" applyFont="1" applyBorder="1" applyAlignment="1">
      <alignment horizontal="center"/>
    </xf>
    <xf numFmtId="14" fontId="19" fillId="15" borderId="10" xfId="9" applyNumberFormat="1" applyFill="1" applyBorder="1"/>
    <xf numFmtId="14" fontId="19" fillId="15" borderId="9" xfId="9" applyNumberFormat="1" applyFill="1" applyBorder="1"/>
    <xf numFmtId="0" fontId="19" fillId="15" borderId="9" xfId="9" applyFill="1" applyBorder="1"/>
    <xf numFmtId="0" fontId="19" fillId="15" borderId="9" xfId="9" applyFill="1" applyBorder="1" applyAlignment="1">
      <alignment horizontal="left"/>
    </xf>
    <xf numFmtId="43" fontId="0" fillId="16" borderId="13" xfId="11" applyFont="1" applyFill="1" applyBorder="1"/>
    <xf numFmtId="10" fontId="0" fillId="16" borderId="13" xfId="12" applyNumberFormat="1" applyFont="1" applyFill="1" applyBorder="1"/>
    <xf numFmtId="14" fontId="19" fillId="16" borderId="10" xfId="9" applyNumberFormat="1" applyFill="1" applyBorder="1"/>
    <xf numFmtId="14" fontId="19" fillId="16" borderId="9" xfId="9" applyNumberFormat="1" applyFill="1" applyBorder="1"/>
    <xf numFmtId="0" fontId="19" fillId="16" borderId="9" xfId="9" applyFill="1" applyBorder="1"/>
    <xf numFmtId="0" fontId="19" fillId="16" borderId="9" xfId="9" applyFill="1" applyBorder="1" applyAlignment="1">
      <alignment horizontal="left"/>
    </xf>
    <xf numFmtId="0" fontId="19" fillId="7" borderId="9" xfId="9" applyFill="1" applyBorder="1" applyAlignment="1">
      <alignment horizontal="left"/>
    </xf>
    <xf numFmtId="10" fontId="1" fillId="12" borderId="13" xfId="12" applyNumberFormat="1" applyFont="1" applyFill="1" applyBorder="1"/>
    <xf numFmtId="0" fontId="1" fillId="5" borderId="10" xfId="9" applyFont="1" applyFill="1" applyBorder="1"/>
    <xf numFmtId="14" fontId="1" fillId="5" borderId="9" xfId="9" applyNumberFormat="1" applyFont="1" applyFill="1" applyBorder="1"/>
    <xf numFmtId="0" fontId="1" fillId="5" borderId="9" xfId="9" applyFont="1" applyFill="1" applyBorder="1"/>
    <xf numFmtId="43" fontId="1" fillId="5" borderId="13" xfId="11" applyFont="1" applyFill="1" applyBorder="1"/>
    <xf numFmtId="0" fontId="1" fillId="5" borderId="13" xfId="9" applyFont="1" applyFill="1" applyBorder="1"/>
    <xf numFmtId="43" fontId="0" fillId="5" borderId="13" xfId="9" applyNumberFormat="1" applyFont="1" applyFill="1" applyBorder="1"/>
    <xf numFmtId="0" fontId="1" fillId="5" borderId="13" xfId="9" applyFont="1" applyFill="1" applyBorder="1" applyAlignment="1">
      <alignment wrapText="1"/>
    </xf>
    <xf numFmtId="0" fontId="19" fillId="15" borderId="10" xfId="9" applyFill="1" applyBorder="1"/>
    <xf numFmtId="0" fontId="19" fillId="15" borderId="10" xfId="9" applyFill="1" applyBorder="1" applyAlignment="1">
      <alignment horizontal="left"/>
    </xf>
    <xf numFmtId="43" fontId="0" fillId="16" borderId="10" xfId="11" applyFont="1" applyFill="1" applyBorder="1"/>
    <xf numFmtId="43" fontId="0" fillId="16" borderId="0" xfId="11" applyFont="1" applyFill="1" applyBorder="1"/>
    <xf numFmtId="10" fontId="0" fillId="16" borderId="0" xfId="12" applyNumberFormat="1" applyFont="1" applyFill="1" applyBorder="1"/>
    <xf numFmtId="0" fontId="1" fillId="0" borderId="0" xfId="9" applyFont="1"/>
    <xf numFmtId="0" fontId="19" fillId="16" borderId="10" xfId="9" applyFill="1" applyBorder="1"/>
    <xf numFmtId="0" fontId="19" fillId="16" borderId="10" xfId="9" applyFill="1" applyBorder="1" applyAlignment="1">
      <alignment horizontal="left"/>
    </xf>
    <xf numFmtId="0" fontId="8" fillId="0" borderId="0" xfId="9" applyFont="1" applyAlignment="1">
      <alignment horizontal="left"/>
    </xf>
    <xf numFmtId="43" fontId="8" fillId="0" borderId="0" xfId="11" applyFont="1" applyAlignment="1">
      <alignment horizontal="center"/>
    </xf>
    <xf numFmtId="43" fontId="8" fillId="0" borderId="0" xfId="11" applyFont="1"/>
    <xf numFmtId="0" fontId="8" fillId="0" borderId="0" xfId="9" applyFont="1"/>
    <xf numFmtId="43" fontId="8" fillId="0" borderId="0" xfId="10" applyFont="1" applyAlignment="1">
      <alignment horizontal="left"/>
    </xf>
    <xf numFmtId="0" fontId="23" fillId="5" borderId="10" xfId="9" applyFont="1" applyFill="1" applyBorder="1"/>
    <xf numFmtId="43" fontId="8" fillId="0" borderId="9" xfId="11" applyFont="1" applyBorder="1"/>
    <xf numFmtId="14" fontId="19" fillId="5" borderId="10" xfId="9" applyNumberFormat="1" applyFill="1" applyBorder="1"/>
    <xf numFmtId="43" fontId="19" fillId="5" borderId="0" xfId="9" applyNumberFormat="1" applyFill="1"/>
    <xf numFmtId="0" fontId="21" fillId="5" borderId="0" xfId="9" applyFont="1" applyFill="1" applyAlignment="1">
      <alignment wrapText="1"/>
    </xf>
    <xf numFmtId="0" fontId="24" fillId="0" borderId="0" xfId="9" applyFont="1" applyAlignment="1">
      <alignment horizontal="left"/>
    </xf>
    <xf numFmtId="43" fontId="25" fillId="0" borderId="0" xfId="10" applyFont="1" applyAlignment="1">
      <alignment horizontal="center"/>
    </xf>
    <xf numFmtId="43" fontId="25" fillId="0" borderId="0" xfId="9" applyNumberFormat="1" applyFont="1" applyAlignment="1">
      <alignment horizontal="center"/>
    </xf>
    <xf numFmtId="43" fontId="19" fillId="0" borderId="0" xfId="9" applyNumberFormat="1" applyAlignment="1">
      <alignment horizontal="center"/>
    </xf>
    <xf numFmtId="0" fontId="19" fillId="0" borderId="10" xfId="9" applyBorder="1"/>
    <xf numFmtId="165" fontId="0" fillId="0" borderId="0" xfId="2" applyNumberFormat="1" applyFont="1"/>
    <xf numFmtId="0" fontId="8" fillId="0" borderId="5" xfId="9" applyFont="1" applyBorder="1" applyAlignment="1">
      <alignment horizontal="center"/>
    </xf>
    <xf numFmtId="0" fontId="8" fillId="0" borderId="6" xfId="9" applyFont="1" applyBorder="1" applyAlignment="1">
      <alignment horizontal="center"/>
    </xf>
  </cellXfs>
  <cellStyles count="13">
    <cellStyle name="Comma" xfId="4" xr:uid="{00000000-0005-0000-0000-000004000000}"/>
    <cellStyle name="Comma [0]" xfId="5" xr:uid="{00000000-0005-0000-0000-000005000000}"/>
    <cellStyle name="Comma 2" xfId="7" xr:uid="{DE3865E8-9172-4750-9E49-C661BA17DFAB}"/>
    <cellStyle name="Comma 2 2" xfId="10" xr:uid="{B8690014-215D-4568-BC6C-BF2078420F1B}"/>
    <cellStyle name="Comma 3" xfId="11" xr:uid="{EC5A1B41-BE8D-4752-B97D-C568C073F6B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B9614DDC-C8CB-4226-B550-8DA2BD602E87}"/>
    <cellStyle name="Normal 2 2" xfId="9" xr:uid="{D3979E42-3CD3-4FB1-B0DB-BF99F9CCEF3C}"/>
    <cellStyle name="Normal 3" xfId="8" xr:uid="{BD7234BA-B92A-41E6-9054-E329FACD22E2}"/>
    <cellStyle name="Percent" xfId="1" xr:uid="{00000000-0005-0000-0000-000001000000}"/>
    <cellStyle name="Percent 2" xfId="12" xr:uid="{76DBD125-07C4-4E1B-A5E1-1CB76B59CFC1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2D6971F7-0CBF-4DA7-AF60-1AFBD8D76F27}">
    <Anchor>
      <Comment id="{521932AB-97D4-45C5-B00C-D518691B88AB}"/>
    </Anchor>
    <History>
      <Event time="2025-06-17T18:11:54.71" id="{12BC846A-01FA-413B-9A78-854B43BAD05D}">
        <Attribution userId="S::dvicencio@mydatapath.com::d4a35f5f-8a70-4093-84a9-74fcc99f9043" userName="Dennis Vicencio" userProvider="AD"/>
        <Anchor>
          <Comment id="{521932AB-97D4-45C5-B00C-D518691B88AB}"/>
        </Anchor>
        <Create/>
      </Event>
      <Event time="2025-06-17T18:11:54.71" id="{FED24F7E-9139-4FC6-AA04-D126B35E47B5}">
        <Attribution userId="S::dvicencio@mydatapath.com::d4a35f5f-8a70-4093-84a9-74fcc99f9043" userName="Dennis Vicencio" userProvider="AD"/>
        <Anchor>
          <Comment id="{521932AB-97D4-45C5-B00C-D518691B88AB}"/>
        </Anchor>
        <Assign userId="S::rmoore@mydatapath.com::3c8a9ae9-1907-4cc1-9470-c581a06a96e4" userName="Rebecca Moore" userProvider="AD"/>
      </Event>
      <Event time="2025-06-17T18:11:54.71" id="{5C9FF1D7-4F94-4D74-9928-33C2D9571A07}">
        <Attribution userId="S::dvicencio@mydatapath.com::d4a35f5f-8a70-4093-84a9-74fcc99f9043" userName="Dennis Vicencio" userProvider="AD"/>
        <Anchor>
          <Comment id="{521932AB-97D4-45C5-B00C-D518691B88AB}"/>
        </Anchor>
        <SetTitle title="@Rebecca Moore what is this formula?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Rebecca Moore" id="{02DE8FB0-79C9-48A2-AEA9-8BBC57518A64}" userId="rmoore@mydatapath.com" providerId="PeoplePicker"/>
  <person displayName="Dennis Vicencio" id="{362E542C-7130-43EB-9D2D-B9350F8C420F}" userId="dvicencio@mydatapath.com" providerId="PeoplePicker"/>
  <person displayName="Rebecca Moore" id="{540E83CC-BD15-43E4-8811-32BEBF624CAD}" userId="S::rmoore@mydatapath.com::3c8a9ae9-1907-4cc1-9470-c581a06a96e4" providerId="AD"/>
  <person displayName="Dennis Vicencio" id="{BC00227C-52F2-4EDD-A504-E979DF3184DB}" userId="S::dvicencio@mydatapath.com::d4a35f5f-8a70-4093-84a9-74fcc99f904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DD647-C9E2-4652-A359-D72BE98F01A9}" name="Table1" displayName="Table1" ref="A1:F24" totalsRowShown="0" headerRowDxfId="0">
  <autoFilter ref="A1:F24" xr:uid="{132DD647-C9E2-4652-A359-D72BE98F01A9}"/>
  <tableColumns count="6">
    <tableColumn id="1" xr3:uid="{E505B264-703D-4DCA-B4A8-82D22930875A}" name="Foot Note"/>
    <tableColumn id="2" xr3:uid="{9CD62778-3066-48DE-A174-1887930EB9B9}" name="Line"/>
    <tableColumn id="3" xr3:uid="{2347400B-8523-4490-842F-CE181F77A645}" name="Increase (Decrease) "/>
    <tableColumn id="4" xr3:uid="{66D9BBF3-E06A-4A5F-B204-B14E461BB917}" name="Note"/>
    <tableColumn id="5" xr3:uid="{BB4D7FFB-8B30-407E-BE26-B577D649D269}" name="Amount Increase"/>
    <tableColumn id="6" xr3:uid="{CAC0E5D0-040C-4C2D-8F1B-4BE1EFEE71EA}" name="Amout Decrea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86" dT="2025-06-17T18:11:54.72" personId="{BC00227C-52F2-4EDD-A504-E979DF3184DB}" id="{521932AB-97D4-45C5-B00C-D518691B88AB}">
    <text>@Rebecca Moore what is this formula?</text>
    <mentions>
      <mention mentionpersonId="{02DE8FB0-79C9-48A2-AEA9-8BBC57518A64}" mentionId="{40CB32B9-1108-4C73-827C-DAEC7C55A015}" startIndex="0" length="14"/>
    </mentions>
  </threadedComment>
  <threadedComment ref="J886" dT="2025-06-17T18:19:38.55" personId="{540E83CC-BD15-43E4-8811-32BEBF624CAD}" id="{0EF8718A-DCC9-4655-9CF2-0EE3F859D6FD}" parentId="{521932AB-97D4-45C5-B00C-D518691B88AB}">
    <text xml:space="preserve">@Dennis Vicencio - I corrected- it is comparing the GL to the total in the report- I had changed some of the subtotals so the cell in the formula was gone
</text>
    <mentions>
      <mention mentionpersonId="{362E542C-7130-43EB-9D2D-B9350F8C420F}" mentionId="{AF859CD9-323B-48E1-BA4B-FC8ADA45AA2F}" startIndex="0" length="16"/>
    </mentions>
  </threadedComment>
  <threadedComment ref="J886" dT="2025-06-17T18:25:09.78" personId="{BC00227C-52F2-4EDD-A504-E979DF3184DB}" id="{F4CA6CAD-D525-49D0-90FF-EC584F4EE9F8}" parentId="{521932AB-97D4-45C5-B00C-D518691B88AB}">
    <text>@Rebecca Moore thanks</text>
    <mentions>
      <mention mentionpersonId="{02DE8FB0-79C9-48A2-AEA9-8BBC57518A64}" mentionId="{46A403C8-BD98-4F06-B4EA-9A921FA555D2}" startIndex="0" length="14"/>
    </mentions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"/>
  <sheetViews>
    <sheetView zoomScale="143" workbookViewId="0">
      <pane xSplit="1" ySplit="9" topLeftCell="B27" activePane="bottomRight" state="frozen"/>
      <selection pane="topRight" activeCell="B1" sqref="B1"/>
      <selection pane="bottomLeft" activeCell="A10" sqref="A10"/>
      <selection pane="bottomRight" activeCell="E26" sqref="E26"/>
    </sheetView>
  </sheetViews>
  <sheetFormatPr defaultColWidth="9.140625" defaultRowHeight="12.75" x14ac:dyDescent="0.2"/>
  <cols>
    <col min="1" max="1" width="44.85546875" style="1" customWidth="1"/>
    <col min="2" max="2" width="16" style="1" customWidth="1"/>
    <col min="3" max="3" width="16.28515625" style="1" customWidth="1"/>
    <col min="4" max="4" width="12.42578125" style="1" customWidth="1"/>
    <col min="5" max="5" width="9" style="1" customWidth="1"/>
    <col min="6" max="7" width="10.42578125" style="1" customWidth="1"/>
    <col min="8" max="8" width="11.85546875" style="1" customWidth="1"/>
    <col min="9" max="9" width="13" style="1" customWidth="1"/>
    <col min="10" max="11" width="18.140625" style="1" customWidth="1"/>
    <col min="12" max="12" width="12.28515625" style="1" customWidth="1"/>
    <col min="13" max="13" width="12.42578125" style="1" customWidth="1"/>
    <col min="14" max="15" width="10.42578125" style="1" customWidth="1"/>
    <col min="16" max="16" width="18.140625" style="1" customWidth="1"/>
    <col min="17" max="17" width="9.140625" style="1" customWidth="1"/>
    <col min="18" max="16384" width="9.140625" style="1"/>
  </cols>
  <sheetData>
    <row r="1" spans="1:16" ht="15.75" x14ac:dyDescent="0.25">
      <c r="A1" s="3" t="s">
        <v>0</v>
      </c>
    </row>
    <row r="2" spans="1:16" ht="15.75" x14ac:dyDescent="0.25">
      <c r="A2" s="3" t="s">
        <v>1</v>
      </c>
    </row>
    <row r="3" spans="1:16" x14ac:dyDescent="0.2">
      <c r="A3" s="50" t="s">
        <v>2</v>
      </c>
      <c r="B3" s="50" t="s">
        <v>3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">
      <c r="A4" s="50" t="s">
        <v>4</v>
      </c>
      <c r="B4" s="50" t="s">
        <v>5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</row>
    <row r="5" spans="1:16" x14ac:dyDescent="0.2">
      <c r="A5" s="50" t="s">
        <v>6</v>
      </c>
      <c r="B5" s="50" t="s">
        <v>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</row>
    <row r="6" spans="1:16" x14ac:dyDescent="0.2">
      <c r="A6" s="57" t="s">
        <v>8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</row>
    <row r="7" spans="1:16" x14ac:dyDescent="0.2">
      <c r="A7" s="50" t="s">
        <v>8</v>
      </c>
      <c r="B7" s="58" t="s">
        <v>9</v>
      </c>
      <c r="C7" s="58" t="s">
        <v>9</v>
      </c>
      <c r="D7" s="50" t="s">
        <v>8</v>
      </c>
      <c r="E7" s="50"/>
      <c r="F7" s="58" t="s">
        <v>10</v>
      </c>
      <c r="G7" s="58" t="s">
        <v>10</v>
      </c>
      <c r="H7" s="50" t="s">
        <v>8</v>
      </c>
      <c r="I7" s="50"/>
      <c r="J7" s="58" t="s">
        <v>11</v>
      </c>
      <c r="K7" s="58" t="s">
        <v>11</v>
      </c>
      <c r="L7" s="50" t="s">
        <v>8</v>
      </c>
      <c r="M7" s="50"/>
      <c r="N7" s="58" t="s">
        <v>9</v>
      </c>
      <c r="O7" s="58" t="s">
        <v>10</v>
      </c>
      <c r="P7" s="58" t="s">
        <v>11</v>
      </c>
    </row>
    <row r="8" spans="1:16" x14ac:dyDescent="0.2">
      <c r="A8" s="50" t="s">
        <v>8</v>
      </c>
      <c r="B8" s="58" t="s">
        <v>12</v>
      </c>
      <c r="C8" s="58" t="s">
        <v>12</v>
      </c>
      <c r="D8" s="50" t="s">
        <v>8</v>
      </c>
      <c r="E8" s="50"/>
      <c r="F8" s="58" t="s">
        <v>12</v>
      </c>
      <c r="G8" s="58" t="s">
        <v>12</v>
      </c>
      <c r="H8" s="50" t="s">
        <v>8</v>
      </c>
      <c r="I8" s="50"/>
      <c r="J8" s="58" t="s">
        <v>12</v>
      </c>
      <c r="K8" s="58" t="s">
        <v>12</v>
      </c>
      <c r="L8" s="50" t="s">
        <v>8</v>
      </c>
      <c r="M8" s="50"/>
      <c r="N8" s="58" t="s">
        <v>13</v>
      </c>
      <c r="O8" s="58" t="s">
        <v>13</v>
      </c>
      <c r="P8" s="58" t="s">
        <v>13</v>
      </c>
    </row>
    <row r="9" spans="1:16" x14ac:dyDescent="0.2">
      <c r="A9" s="50" t="s">
        <v>8</v>
      </c>
      <c r="B9" s="59" t="s">
        <v>5</v>
      </c>
      <c r="C9" s="59" t="s">
        <v>14</v>
      </c>
      <c r="D9" s="60" t="s">
        <v>8</v>
      </c>
      <c r="E9" s="61" t="s">
        <v>15</v>
      </c>
      <c r="F9" s="59" t="s">
        <v>5</v>
      </c>
      <c r="G9" s="59" t="s">
        <v>14</v>
      </c>
      <c r="H9" s="60" t="s">
        <v>8</v>
      </c>
      <c r="I9" s="61" t="s">
        <v>15</v>
      </c>
      <c r="J9" s="59" t="s">
        <v>5</v>
      </c>
      <c r="K9" s="59" t="s">
        <v>14</v>
      </c>
      <c r="L9" s="60" t="s">
        <v>8</v>
      </c>
      <c r="M9" s="61" t="s">
        <v>15</v>
      </c>
      <c r="N9" s="59" t="s">
        <v>5</v>
      </c>
      <c r="O9" s="59" t="s">
        <v>5</v>
      </c>
      <c r="P9" s="59" t="s">
        <v>5</v>
      </c>
    </row>
    <row r="10" spans="1:16" x14ac:dyDescent="0.2">
      <c r="A10" s="5" t="s">
        <v>8</v>
      </c>
      <c r="B10" s="6" t="s">
        <v>8</v>
      </c>
      <c r="C10" s="62" t="s">
        <v>16</v>
      </c>
      <c r="D10" s="62" t="s">
        <v>17</v>
      </c>
      <c r="E10" s="62"/>
      <c r="F10" s="62" t="s">
        <v>16</v>
      </c>
      <c r="G10" s="62" t="s">
        <v>16</v>
      </c>
      <c r="H10" s="62" t="s">
        <v>17</v>
      </c>
      <c r="I10" s="62"/>
      <c r="J10" s="62" t="s">
        <v>16</v>
      </c>
      <c r="K10" s="62" t="s">
        <v>16</v>
      </c>
      <c r="L10" s="62" t="s">
        <v>17</v>
      </c>
      <c r="M10" s="62"/>
      <c r="N10" s="62" t="s">
        <v>16</v>
      </c>
      <c r="O10" s="62" t="s">
        <v>16</v>
      </c>
      <c r="P10" s="62" t="s">
        <v>16</v>
      </c>
    </row>
    <row r="11" spans="1:16" x14ac:dyDescent="0.2">
      <c r="A11" s="7" t="s">
        <v>18</v>
      </c>
      <c r="B11" s="49" t="s">
        <v>19</v>
      </c>
      <c r="C11" s="49" t="s">
        <v>19</v>
      </c>
      <c r="D11" s="49" t="s">
        <v>19</v>
      </c>
      <c r="E11" s="49"/>
      <c r="F11" s="49" t="s">
        <v>19</v>
      </c>
      <c r="G11" s="49" t="s">
        <v>19</v>
      </c>
      <c r="H11" s="49" t="s">
        <v>19</v>
      </c>
      <c r="I11" s="49"/>
      <c r="J11" s="49" t="s">
        <v>19</v>
      </c>
      <c r="K11" s="49" t="s">
        <v>19</v>
      </c>
      <c r="L11" s="49" t="s">
        <v>19</v>
      </c>
      <c r="M11" s="49"/>
      <c r="N11" s="49" t="s">
        <v>19</v>
      </c>
      <c r="O11" s="49" t="s">
        <v>19</v>
      </c>
      <c r="P11" s="49" t="s">
        <v>19</v>
      </c>
    </row>
    <row r="12" spans="1:16" x14ac:dyDescent="0.2">
      <c r="A12" s="4" t="s">
        <v>20</v>
      </c>
      <c r="B12" s="50" t="s">
        <v>21</v>
      </c>
      <c r="C12" s="50" t="s">
        <v>21</v>
      </c>
      <c r="D12" s="50" t="s">
        <v>21</v>
      </c>
      <c r="E12" s="50"/>
      <c r="F12" s="50" t="s">
        <v>21</v>
      </c>
      <c r="G12" s="50" t="s">
        <v>21</v>
      </c>
      <c r="H12" s="50" t="s">
        <v>21</v>
      </c>
      <c r="I12" s="50"/>
      <c r="J12" s="50" t="s">
        <v>21</v>
      </c>
      <c r="K12" s="50" t="s">
        <v>21</v>
      </c>
      <c r="L12" s="50" t="s">
        <v>21</v>
      </c>
      <c r="M12" s="50"/>
      <c r="N12" s="50" t="s">
        <v>21</v>
      </c>
      <c r="O12" s="50" t="s">
        <v>21</v>
      </c>
      <c r="P12" s="50" t="s">
        <v>21</v>
      </c>
    </row>
    <row r="13" spans="1:16" x14ac:dyDescent="0.2">
      <c r="A13" s="4" t="s">
        <v>22</v>
      </c>
      <c r="B13" s="50" t="s">
        <v>23</v>
      </c>
      <c r="C13" s="50" t="s">
        <v>23</v>
      </c>
      <c r="D13" s="50" t="s">
        <v>23</v>
      </c>
      <c r="E13" s="50"/>
      <c r="F13" s="50" t="s">
        <v>23</v>
      </c>
      <c r="G13" s="50" t="s">
        <v>23</v>
      </c>
      <c r="H13" s="50" t="s">
        <v>23</v>
      </c>
      <c r="I13" s="50"/>
      <c r="J13" s="50" t="s">
        <v>23</v>
      </c>
      <c r="K13" s="50" t="s">
        <v>23</v>
      </c>
      <c r="L13" s="50" t="s">
        <v>23</v>
      </c>
      <c r="M13" s="50"/>
      <c r="N13" s="50" t="s">
        <v>23</v>
      </c>
      <c r="O13" s="50" t="s">
        <v>23</v>
      </c>
      <c r="P13" s="50" t="s">
        <v>23</v>
      </c>
    </row>
    <row r="14" spans="1:16" x14ac:dyDescent="0.2">
      <c r="A14" s="4" t="s">
        <v>24</v>
      </c>
      <c r="B14" s="50" t="s">
        <v>25</v>
      </c>
      <c r="C14" s="50" t="s">
        <v>25</v>
      </c>
      <c r="D14" s="50" t="s">
        <v>25</v>
      </c>
      <c r="E14" s="50"/>
      <c r="F14" s="50" t="s">
        <v>25</v>
      </c>
      <c r="G14" s="50" t="s">
        <v>25</v>
      </c>
      <c r="H14" s="50" t="s">
        <v>25</v>
      </c>
      <c r="I14" s="50"/>
      <c r="J14" s="50" t="s">
        <v>25</v>
      </c>
      <c r="K14" s="50" t="s">
        <v>25</v>
      </c>
      <c r="L14" s="50" t="s">
        <v>25</v>
      </c>
      <c r="M14" s="50"/>
      <c r="N14" s="50" t="s">
        <v>25</v>
      </c>
      <c r="O14" s="50" t="s">
        <v>25</v>
      </c>
      <c r="P14" s="50" t="s">
        <v>25</v>
      </c>
    </row>
    <row r="15" spans="1:16" x14ac:dyDescent="0.2">
      <c r="A15" s="4" t="s">
        <v>26</v>
      </c>
      <c r="B15" s="51">
        <v>469844</v>
      </c>
      <c r="C15" s="51">
        <v>454608</v>
      </c>
      <c r="D15" s="51">
        <v>15236</v>
      </c>
      <c r="E15" s="51"/>
      <c r="F15" s="51">
        <v>114658</v>
      </c>
      <c r="G15" s="51">
        <v>132783</v>
      </c>
      <c r="H15" s="51">
        <v>-18125</v>
      </c>
      <c r="I15" s="51"/>
      <c r="J15" s="51">
        <v>584502</v>
      </c>
      <c r="K15" s="51">
        <v>587391</v>
      </c>
      <c r="L15" s="51">
        <v>-2889</v>
      </c>
      <c r="M15" s="51"/>
      <c r="N15" s="51">
        <v>2196515</v>
      </c>
      <c r="O15" s="51">
        <v>605352</v>
      </c>
      <c r="P15" s="51">
        <v>2801868</v>
      </c>
    </row>
    <row r="16" spans="1:16" x14ac:dyDescent="0.2">
      <c r="A16" s="4" t="s">
        <v>27</v>
      </c>
      <c r="B16" s="51">
        <v>24469</v>
      </c>
      <c r="C16" s="51">
        <v>23205</v>
      </c>
      <c r="D16" s="51">
        <v>1264</v>
      </c>
      <c r="E16" s="51"/>
      <c r="F16" s="51">
        <v>0</v>
      </c>
      <c r="G16" s="51">
        <v>0</v>
      </c>
      <c r="H16" s="51">
        <v>0</v>
      </c>
      <c r="I16" s="51"/>
      <c r="J16" s="51">
        <v>24468</v>
      </c>
      <c r="K16" s="51">
        <v>23204</v>
      </c>
      <c r="L16" s="51">
        <v>1264</v>
      </c>
      <c r="M16" s="51"/>
      <c r="N16" s="51">
        <v>113262</v>
      </c>
      <c r="O16" s="51">
        <v>0</v>
      </c>
      <c r="P16" s="51">
        <v>113262</v>
      </c>
    </row>
    <row r="17" spans="1:16" x14ac:dyDescent="0.2">
      <c r="A17" s="4" t="s">
        <v>28</v>
      </c>
      <c r="B17" s="51">
        <v>289429</v>
      </c>
      <c r="C17" s="51">
        <v>251266</v>
      </c>
      <c r="D17" s="51">
        <v>38163</v>
      </c>
      <c r="E17" s="51"/>
      <c r="F17" s="51">
        <v>19725</v>
      </c>
      <c r="G17" s="51">
        <v>20244</v>
      </c>
      <c r="H17" s="51">
        <v>-520</v>
      </c>
      <c r="I17" s="51"/>
      <c r="J17" s="51">
        <v>309155</v>
      </c>
      <c r="K17" s="51">
        <v>271511</v>
      </c>
      <c r="L17" s="51">
        <v>37643</v>
      </c>
      <c r="M17" s="51"/>
      <c r="N17" s="51">
        <v>1236261</v>
      </c>
      <c r="O17" s="51">
        <v>96256</v>
      </c>
      <c r="P17" s="51">
        <v>1332517</v>
      </c>
    </row>
    <row r="18" spans="1:16" x14ac:dyDescent="0.2">
      <c r="A18" s="4" t="s">
        <v>1165</v>
      </c>
      <c r="B18" s="51">
        <v>26181</v>
      </c>
      <c r="C18" s="51">
        <v>88384</v>
      </c>
      <c r="D18" s="51">
        <v>-62203</v>
      </c>
      <c r="E18" s="51"/>
      <c r="F18" s="51">
        <v>21020</v>
      </c>
      <c r="G18" s="51">
        <v>10842</v>
      </c>
      <c r="H18" s="51">
        <v>10179</v>
      </c>
      <c r="I18" s="51"/>
      <c r="J18" s="51">
        <v>47201</v>
      </c>
      <c r="K18" s="51">
        <v>99226</v>
      </c>
      <c r="L18" s="51">
        <v>-52024</v>
      </c>
      <c r="M18" s="51"/>
      <c r="N18" s="51">
        <v>301912</v>
      </c>
      <c r="O18" s="51">
        <v>93965</v>
      </c>
      <c r="P18" s="51">
        <v>395875</v>
      </c>
    </row>
    <row r="19" spans="1:16" x14ac:dyDescent="0.2">
      <c r="A19" s="4" t="s">
        <v>29</v>
      </c>
      <c r="B19" s="51">
        <v>3285</v>
      </c>
      <c r="C19" s="51">
        <v>2285</v>
      </c>
      <c r="D19" s="51">
        <v>1000</v>
      </c>
      <c r="E19" s="51"/>
      <c r="F19" s="51">
        <v>13056</v>
      </c>
      <c r="G19" s="51">
        <v>12102</v>
      </c>
      <c r="H19" s="51">
        <v>954</v>
      </c>
      <c r="I19" s="51"/>
      <c r="J19" s="51">
        <v>16341</v>
      </c>
      <c r="K19" s="51">
        <v>14387</v>
      </c>
      <c r="L19" s="51">
        <v>1954</v>
      </c>
      <c r="M19" s="51"/>
      <c r="N19" s="51">
        <v>178498</v>
      </c>
      <c r="O19" s="51">
        <v>32047</v>
      </c>
      <c r="P19" s="51">
        <v>210547</v>
      </c>
    </row>
    <row r="20" spans="1:16" x14ac:dyDescent="0.2">
      <c r="A20" s="4" t="s">
        <v>30</v>
      </c>
      <c r="B20" s="51">
        <v>209344</v>
      </c>
      <c r="C20" s="51">
        <v>188289</v>
      </c>
      <c r="D20" s="51">
        <v>21055</v>
      </c>
      <c r="E20" s="51"/>
      <c r="F20" s="51">
        <v>291644</v>
      </c>
      <c r="G20" s="51">
        <v>396615</v>
      </c>
      <c r="H20" s="51">
        <v>-104971</v>
      </c>
      <c r="I20" s="51"/>
      <c r="J20" s="51">
        <v>500988</v>
      </c>
      <c r="K20" s="51">
        <v>584904</v>
      </c>
      <c r="L20" s="51">
        <v>-83915</v>
      </c>
      <c r="M20" s="51"/>
      <c r="N20" s="51">
        <v>949631</v>
      </c>
      <c r="O20" s="51">
        <v>1342482</v>
      </c>
      <c r="P20" s="51">
        <v>2292112</v>
      </c>
    </row>
    <row r="21" spans="1:16" x14ac:dyDescent="0.2">
      <c r="A21" s="4" t="s">
        <v>31</v>
      </c>
      <c r="B21" s="51">
        <v>2795</v>
      </c>
      <c r="C21" s="51">
        <v>13903</v>
      </c>
      <c r="D21" s="51">
        <v>-11108</v>
      </c>
      <c r="E21" s="51"/>
      <c r="F21" s="51">
        <v>850</v>
      </c>
      <c r="G21" s="51">
        <v>756</v>
      </c>
      <c r="H21" s="51">
        <v>95</v>
      </c>
      <c r="I21" s="51"/>
      <c r="J21" s="51">
        <v>3645</v>
      </c>
      <c r="K21" s="51">
        <v>14659</v>
      </c>
      <c r="L21" s="51">
        <v>-11015</v>
      </c>
      <c r="M21" s="51"/>
      <c r="N21" s="51">
        <v>35965</v>
      </c>
      <c r="O21" s="51">
        <v>6758</v>
      </c>
      <c r="P21" s="51">
        <v>42723</v>
      </c>
    </row>
    <row r="22" spans="1:16" x14ac:dyDescent="0.2">
      <c r="A22" s="4" t="s">
        <v>32</v>
      </c>
      <c r="B22" s="52">
        <v>1025347</v>
      </c>
      <c r="C22" s="52">
        <v>1021940</v>
      </c>
      <c r="D22" s="52">
        <v>3407</v>
      </c>
      <c r="E22" s="52"/>
      <c r="F22" s="52">
        <v>460953</v>
      </c>
      <c r="G22" s="52">
        <v>573342</v>
      </c>
      <c r="H22" s="52">
        <v>-112388</v>
      </c>
      <c r="I22" s="52"/>
      <c r="J22" s="52">
        <v>1486300</v>
      </c>
      <c r="K22" s="52">
        <v>1595282</v>
      </c>
      <c r="L22" s="52">
        <v>-108982</v>
      </c>
      <c r="M22" s="52"/>
      <c r="N22" s="52">
        <v>5012044</v>
      </c>
      <c r="O22" s="52">
        <v>2176860</v>
      </c>
      <c r="P22" s="52">
        <v>7188904</v>
      </c>
    </row>
    <row r="23" spans="1:16" x14ac:dyDescent="0.2">
      <c r="A23" s="4" t="s">
        <v>33</v>
      </c>
      <c r="B23" s="50" t="s">
        <v>25</v>
      </c>
      <c r="C23" s="50" t="s">
        <v>25</v>
      </c>
      <c r="D23" s="50" t="s">
        <v>25</v>
      </c>
      <c r="E23" s="50"/>
      <c r="F23" s="50" t="s">
        <v>25</v>
      </c>
      <c r="G23" s="50" t="s">
        <v>25</v>
      </c>
      <c r="H23" s="50" t="s">
        <v>25</v>
      </c>
      <c r="I23" s="50"/>
      <c r="J23" s="50" t="s">
        <v>25</v>
      </c>
      <c r="K23" s="50" t="s">
        <v>25</v>
      </c>
      <c r="L23" s="50" t="s">
        <v>25</v>
      </c>
      <c r="M23" s="50"/>
      <c r="N23" s="50" t="s">
        <v>25</v>
      </c>
      <c r="O23" s="50" t="s">
        <v>25</v>
      </c>
      <c r="P23" s="50" t="s">
        <v>25</v>
      </c>
    </row>
    <row r="24" spans="1:16" x14ac:dyDescent="0.2">
      <c r="A24" s="4" t="s">
        <v>34</v>
      </c>
      <c r="B24" s="51">
        <v>20012</v>
      </c>
      <c r="C24" s="51">
        <v>17352</v>
      </c>
      <c r="D24" s="51">
        <v>2658</v>
      </c>
      <c r="E24" s="51"/>
      <c r="F24" s="51">
        <v>6231</v>
      </c>
      <c r="G24" s="51">
        <v>6093</v>
      </c>
      <c r="H24" s="51">
        <v>138</v>
      </c>
      <c r="I24" s="51"/>
      <c r="J24" s="51">
        <v>26243</v>
      </c>
      <c r="K24" s="51">
        <v>23445</v>
      </c>
      <c r="L24" s="51">
        <v>2798</v>
      </c>
      <c r="M24" s="51"/>
      <c r="N24" s="51">
        <v>87719</v>
      </c>
      <c r="O24" s="51">
        <v>31345</v>
      </c>
      <c r="P24" s="51">
        <v>119064</v>
      </c>
    </row>
    <row r="25" spans="1:16" x14ac:dyDescent="0.2">
      <c r="A25" s="4" t="s">
        <v>35</v>
      </c>
      <c r="B25" s="51">
        <v>13395</v>
      </c>
      <c r="C25" s="51">
        <v>10286</v>
      </c>
      <c r="D25" s="51">
        <v>3110</v>
      </c>
      <c r="E25" s="51"/>
      <c r="F25" s="51">
        <v>0</v>
      </c>
      <c r="G25" s="51">
        <v>0</v>
      </c>
      <c r="H25" s="51">
        <v>0</v>
      </c>
      <c r="I25" s="51"/>
      <c r="J25" s="51">
        <v>13395</v>
      </c>
      <c r="K25" s="51">
        <v>10286</v>
      </c>
      <c r="L25" s="51">
        <v>3110</v>
      </c>
      <c r="M25" s="51"/>
      <c r="N25" s="51">
        <v>53234</v>
      </c>
      <c r="O25" s="51">
        <v>0</v>
      </c>
      <c r="P25" s="51">
        <v>53234</v>
      </c>
    </row>
    <row r="26" spans="1:16" x14ac:dyDescent="0.2">
      <c r="A26" s="4" t="s">
        <v>36</v>
      </c>
      <c r="B26" s="51">
        <v>159130</v>
      </c>
      <c r="C26" s="51">
        <v>164659</v>
      </c>
      <c r="D26" s="51">
        <v>-5529</v>
      </c>
      <c r="E26" s="51"/>
      <c r="F26" s="51">
        <v>7404</v>
      </c>
      <c r="G26" s="51">
        <v>7388</v>
      </c>
      <c r="H26" s="51">
        <v>16</v>
      </c>
      <c r="I26" s="51"/>
      <c r="J26" s="51">
        <v>166533</v>
      </c>
      <c r="K26" s="51">
        <v>172047</v>
      </c>
      <c r="L26" s="51">
        <v>-5514</v>
      </c>
      <c r="M26" s="51"/>
      <c r="N26" s="51">
        <v>789547</v>
      </c>
      <c r="O26" s="51">
        <v>37222</v>
      </c>
      <c r="P26" s="51">
        <v>826769</v>
      </c>
    </row>
    <row r="27" spans="1:16" x14ac:dyDescent="0.2">
      <c r="A27" s="4" t="s">
        <v>37</v>
      </c>
      <c r="B27" s="51">
        <v>581</v>
      </c>
      <c r="C27" s="51">
        <v>0</v>
      </c>
      <c r="D27" s="51">
        <v>581</v>
      </c>
      <c r="E27" s="51"/>
      <c r="F27" s="51">
        <v>50</v>
      </c>
      <c r="G27" s="51">
        <v>0</v>
      </c>
      <c r="H27" s="51">
        <v>50</v>
      </c>
      <c r="I27" s="51"/>
      <c r="J27" s="51">
        <v>632</v>
      </c>
      <c r="K27" s="51">
        <v>0</v>
      </c>
      <c r="L27" s="51">
        <v>632</v>
      </c>
      <c r="M27" s="51"/>
      <c r="N27" s="51">
        <v>581</v>
      </c>
      <c r="O27" s="51">
        <v>74</v>
      </c>
      <c r="P27" s="51">
        <v>655</v>
      </c>
    </row>
    <row r="28" spans="1:16" x14ac:dyDescent="0.2">
      <c r="A28" s="4" t="s">
        <v>38</v>
      </c>
      <c r="B28" s="51">
        <v>2737</v>
      </c>
      <c r="C28" s="51">
        <v>4684</v>
      </c>
      <c r="D28" s="51">
        <v>-1947</v>
      </c>
      <c r="E28" s="51"/>
      <c r="F28" s="51">
        <v>10757</v>
      </c>
      <c r="G28" s="51">
        <v>10152</v>
      </c>
      <c r="H28" s="51">
        <v>604</v>
      </c>
      <c r="I28" s="51"/>
      <c r="J28" s="51">
        <v>13494</v>
      </c>
      <c r="K28" s="51">
        <v>14837</v>
      </c>
      <c r="L28" s="51">
        <v>-1343</v>
      </c>
      <c r="M28" s="51"/>
      <c r="N28" s="51">
        <v>151731</v>
      </c>
      <c r="O28" s="51">
        <v>26710</v>
      </c>
      <c r="P28" s="51">
        <v>178440</v>
      </c>
    </row>
    <row r="29" spans="1:16" x14ac:dyDescent="0.2">
      <c r="A29" s="4" t="s">
        <v>39</v>
      </c>
      <c r="B29" s="51">
        <v>171668</v>
      </c>
      <c r="C29" s="51">
        <v>160753</v>
      </c>
      <c r="D29" s="51">
        <v>10915</v>
      </c>
      <c r="E29" s="51"/>
      <c r="F29" s="51">
        <v>238221</v>
      </c>
      <c r="G29" s="51">
        <v>334518</v>
      </c>
      <c r="H29" s="51">
        <v>-96296</v>
      </c>
      <c r="I29" s="51"/>
      <c r="J29" s="51">
        <v>409890</v>
      </c>
      <c r="K29" s="51">
        <v>495270</v>
      </c>
      <c r="L29" s="51">
        <v>-85381</v>
      </c>
      <c r="M29" s="51"/>
      <c r="N29" s="51">
        <v>799958</v>
      </c>
      <c r="O29" s="51">
        <v>1128273</v>
      </c>
      <c r="P29" s="51">
        <v>1928232</v>
      </c>
    </row>
    <row r="30" spans="1:16" x14ac:dyDescent="0.2">
      <c r="A30" s="4" t="s">
        <v>40</v>
      </c>
      <c r="B30" s="51">
        <v>56489</v>
      </c>
      <c r="C30" s="51">
        <v>54753</v>
      </c>
      <c r="D30" s="51">
        <v>1737</v>
      </c>
      <c r="E30" s="51"/>
      <c r="F30" s="51">
        <v>8107</v>
      </c>
      <c r="G30" s="51">
        <v>12729</v>
      </c>
      <c r="H30" s="63">
        <v>-4622</v>
      </c>
      <c r="I30" s="51">
        <v>12</v>
      </c>
      <c r="J30" s="51">
        <v>64595</v>
      </c>
      <c r="K30" s="51">
        <v>67482</v>
      </c>
      <c r="L30" s="51">
        <v>-2886</v>
      </c>
      <c r="M30" s="51"/>
      <c r="N30" s="51">
        <v>270503</v>
      </c>
      <c r="O30" s="51">
        <v>67183</v>
      </c>
      <c r="P30" s="51">
        <v>337686</v>
      </c>
    </row>
    <row r="31" spans="1:16" x14ac:dyDescent="0.2">
      <c r="A31" s="4" t="s">
        <v>41</v>
      </c>
      <c r="B31" s="51">
        <v>133171</v>
      </c>
      <c r="C31" s="51">
        <v>129608</v>
      </c>
      <c r="D31" s="63">
        <v>3562</v>
      </c>
      <c r="E31" s="51">
        <v>1</v>
      </c>
      <c r="F31" s="51">
        <v>70370</v>
      </c>
      <c r="G31" s="51">
        <v>65323</v>
      </c>
      <c r="H31" s="63">
        <v>5047</v>
      </c>
      <c r="I31" s="51">
        <v>13</v>
      </c>
      <c r="J31" s="51">
        <v>203541</v>
      </c>
      <c r="K31" s="51">
        <v>194931</v>
      </c>
      <c r="L31" s="51">
        <v>8609</v>
      </c>
      <c r="M31" s="51"/>
      <c r="N31" s="51">
        <v>720347</v>
      </c>
      <c r="O31" s="51">
        <v>336101</v>
      </c>
      <c r="P31" s="51">
        <v>1056448</v>
      </c>
    </row>
    <row r="32" spans="1:16" x14ac:dyDescent="0.2">
      <c r="A32" s="4" t="s">
        <v>42</v>
      </c>
      <c r="B32" s="52">
        <v>557183</v>
      </c>
      <c r="C32" s="52">
        <v>542095</v>
      </c>
      <c r="D32" s="52">
        <v>15087</v>
      </c>
      <c r="E32" s="52"/>
      <c r="F32" s="52">
        <v>341140</v>
      </c>
      <c r="G32" s="52">
        <v>436203</v>
      </c>
      <c r="H32" s="52">
        <v>-95063</v>
      </c>
      <c r="I32" s="52"/>
      <c r="J32" s="52">
        <v>898323</v>
      </c>
      <c r="K32" s="52">
        <v>978298</v>
      </c>
      <c r="L32" s="52">
        <v>-79975</v>
      </c>
      <c r="M32" s="52"/>
      <c r="N32" s="52">
        <v>2873620</v>
      </c>
      <c r="O32" s="52">
        <v>1626908</v>
      </c>
      <c r="P32" s="52">
        <v>4500528</v>
      </c>
    </row>
    <row r="33" spans="1:16" x14ac:dyDescent="0.2">
      <c r="A33" s="4" t="s">
        <v>43</v>
      </c>
      <c r="B33" s="52">
        <v>468164</v>
      </c>
      <c r="C33" s="52">
        <v>479845</v>
      </c>
      <c r="D33" s="52">
        <v>-11681</v>
      </c>
      <c r="E33" s="52"/>
      <c r="F33" s="52">
        <v>119813</v>
      </c>
      <c r="G33" s="52">
        <v>137139</v>
      </c>
      <c r="H33" s="52">
        <v>-17326</v>
      </c>
      <c r="I33" s="52"/>
      <c r="J33" s="52">
        <v>587977</v>
      </c>
      <c r="K33" s="52">
        <v>616984</v>
      </c>
      <c r="L33" s="52">
        <v>-29007</v>
      </c>
      <c r="M33" s="52"/>
      <c r="N33" s="52">
        <v>2138424</v>
      </c>
      <c r="O33" s="52">
        <v>549952</v>
      </c>
      <c r="P33" s="52">
        <v>2688376</v>
      </c>
    </row>
    <row r="34" spans="1:16" x14ac:dyDescent="0.2">
      <c r="A34" s="4" t="s">
        <v>44</v>
      </c>
      <c r="B34" s="51">
        <v>91866</v>
      </c>
      <c r="C34" s="51">
        <v>82344</v>
      </c>
      <c r="D34" s="63">
        <v>9522</v>
      </c>
      <c r="E34" s="51">
        <v>2</v>
      </c>
      <c r="F34" s="51">
        <v>44644</v>
      </c>
      <c r="G34" s="51">
        <v>45699</v>
      </c>
      <c r="H34" s="51">
        <v>-1055</v>
      </c>
      <c r="I34" s="51"/>
      <c r="J34" s="51">
        <v>136510</v>
      </c>
      <c r="K34" s="51">
        <v>128043</v>
      </c>
      <c r="L34" s="51">
        <v>8466</v>
      </c>
      <c r="M34" s="51"/>
      <c r="N34" s="51">
        <v>518646</v>
      </c>
      <c r="O34" s="51">
        <v>231998</v>
      </c>
      <c r="P34" s="51">
        <v>750644</v>
      </c>
    </row>
    <row r="35" spans="1:16" x14ac:dyDescent="0.2">
      <c r="A35" s="4" t="s">
        <v>45</v>
      </c>
      <c r="B35" s="50" t="s">
        <v>23</v>
      </c>
      <c r="C35" s="50" t="s">
        <v>23</v>
      </c>
      <c r="D35" s="50" t="s">
        <v>23</v>
      </c>
      <c r="E35" s="50"/>
      <c r="F35" s="50" t="s">
        <v>23</v>
      </c>
      <c r="G35" s="50" t="s">
        <v>23</v>
      </c>
      <c r="H35" s="50" t="s">
        <v>23</v>
      </c>
      <c r="I35" s="50"/>
      <c r="J35" s="50" t="s">
        <v>23</v>
      </c>
      <c r="K35" s="50" t="s">
        <v>23</v>
      </c>
      <c r="L35" s="50" t="s">
        <v>23</v>
      </c>
      <c r="M35" s="50"/>
      <c r="N35" s="50" t="s">
        <v>23</v>
      </c>
      <c r="O35" s="50" t="s">
        <v>23</v>
      </c>
      <c r="P35" s="50" t="s">
        <v>23</v>
      </c>
    </row>
    <row r="36" spans="1:16" x14ac:dyDescent="0.2">
      <c r="A36" s="4" t="s">
        <v>46</v>
      </c>
      <c r="B36" s="51">
        <v>80116</v>
      </c>
      <c r="C36" s="51">
        <v>71089</v>
      </c>
      <c r="D36" s="63">
        <v>9027</v>
      </c>
      <c r="E36" s="51">
        <v>3</v>
      </c>
      <c r="F36" s="51">
        <v>5556</v>
      </c>
      <c r="G36" s="51">
        <v>5387</v>
      </c>
      <c r="H36" s="51">
        <v>168</v>
      </c>
      <c r="I36" s="51"/>
      <c r="J36" s="51">
        <v>85672</v>
      </c>
      <c r="K36" s="51">
        <v>76476</v>
      </c>
      <c r="L36" s="51">
        <v>9196</v>
      </c>
      <c r="M36" s="51"/>
      <c r="N36" s="51">
        <v>416010</v>
      </c>
      <c r="O36" s="51">
        <v>28802</v>
      </c>
      <c r="P36" s="51">
        <v>444812</v>
      </c>
    </row>
    <row r="37" spans="1:16" x14ac:dyDescent="0.2">
      <c r="A37" s="4" t="s">
        <v>47</v>
      </c>
      <c r="B37" s="50" t="s">
        <v>25</v>
      </c>
      <c r="C37" s="50" t="s">
        <v>25</v>
      </c>
      <c r="D37" s="50" t="s">
        <v>25</v>
      </c>
      <c r="E37" s="50"/>
      <c r="F37" s="50" t="s">
        <v>25</v>
      </c>
      <c r="G37" s="50" t="s">
        <v>25</v>
      </c>
      <c r="H37" s="50" t="s">
        <v>25</v>
      </c>
      <c r="I37" s="50"/>
      <c r="J37" s="50" t="s">
        <v>25</v>
      </c>
      <c r="K37" s="50" t="s">
        <v>25</v>
      </c>
      <c r="L37" s="50" t="s">
        <v>25</v>
      </c>
      <c r="M37" s="50"/>
      <c r="N37" s="50" t="s">
        <v>25</v>
      </c>
      <c r="O37" s="50" t="s">
        <v>25</v>
      </c>
      <c r="P37" s="50" t="s">
        <v>25</v>
      </c>
    </row>
    <row r="38" spans="1:16" x14ac:dyDescent="0.2">
      <c r="A38" s="4" t="s">
        <v>48</v>
      </c>
      <c r="B38" s="51">
        <v>16739</v>
      </c>
      <c r="C38" s="51">
        <v>16739</v>
      </c>
      <c r="D38" s="51">
        <v>0</v>
      </c>
      <c r="E38" s="51"/>
      <c r="F38" s="51">
        <v>9557</v>
      </c>
      <c r="G38" s="51">
        <v>9563</v>
      </c>
      <c r="H38" s="51">
        <v>-6</v>
      </c>
      <c r="I38" s="51"/>
      <c r="J38" s="51">
        <v>26295</v>
      </c>
      <c r="K38" s="51">
        <v>26302</v>
      </c>
      <c r="L38" s="51">
        <v>-6</v>
      </c>
      <c r="M38" s="51"/>
      <c r="N38" s="51">
        <v>83454</v>
      </c>
      <c r="O38" s="51">
        <v>47792</v>
      </c>
      <c r="P38" s="51">
        <v>131245</v>
      </c>
    </row>
    <row r="39" spans="1:16" x14ac:dyDescent="0.2">
      <c r="A39" s="4" t="s">
        <v>49</v>
      </c>
      <c r="B39" s="51">
        <v>100</v>
      </c>
      <c r="C39" s="51">
        <v>384</v>
      </c>
      <c r="D39" s="51">
        <v>-284</v>
      </c>
      <c r="E39" s="51"/>
      <c r="F39" s="51">
        <v>0</v>
      </c>
      <c r="G39" s="51">
        <v>312</v>
      </c>
      <c r="H39" s="51">
        <v>-312</v>
      </c>
      <c r="I39" s="51"/>
      <c r="J39" s="51">
        <v>100</v>
      </c>
      <c r="K39" s="51">
        <v>696</v>
      </c>
      <c r="L39" s="51">
        <v>-596</v>
      </c>
      <c r="M39" s="51"/>
      <c r="N39" s="51">
        <v>2167</v>
      </c>
      <c r="O39" s="51">
        <v>19331</v>
      </c>
      <c r="P39" s="51">
        <v>21499</v>
      </c>
    </row>
    <row r="40" spans="1:16" x14ac:dyDescent="0.2">
      <c r="A40" s="4" t="s">
        <v>50</v>
      </c>
      <c r="B40" s="51">
        <v>9983</v>
      </c>
      <c r="C40" s="51">
        <v>10433</v>
      </c>
      <c r="D40" s="51">
        <v>-450</v>
      </c>
      <c r="E40" s="51"/>
      <c r="F40" s="51">
        <v>1861</v>
      </c>
      <c r="G40" s="51">
        <v>2214</v>
      </c>
      <c r="H40" s="51">
        <v>-353</v>
      </c>
      <c r="I40" s="51"/>
      <c r="J40" s="51">
        <v>11845</v>
      </c>
      <c r="K40" s="51">
        <v>12647</v>
      </c>
      <c r="L40" s="51">
        <v>-803</v>
      </c>
      <c r="M40" s="51"/>
      <c r="N40" s="51">
        <v>53135</v>
      </c>
      <c r="O40" s="51">
        <v>10779</v>
      </c>
      <c r="P40" s="51">
        <v>63913</v>
      </c>
    </row>
    <row r="41" spans="1:16" x14ac:dyDescent="0.2">
      <c r="A41" s="4" t="s">
        <v>51</v>
      </c>
      <c r="B41" s="52">
        <v>26822</v>
      </c>
      <c r="C41" s="52">
        <v>27556</v>
      </c>
      <c r="D41" s="52">
        <v>-734</v>
      </c>
      <c r="E41" s="52"/>
      <c r="F41" s="52">
        <v>11418</v>
      </c>
      <c r="G41" s="52">
        <v>12089</v>
      </c>
      <c r="H41" s="52">
        <v>-671</v>
      </c>
      <c r="I41" s="52"/>
      <c r="J41" s="52">
        <v>38240</v>
      </c>
      <c r="K41" s="52">
        <v>39645</v>
      </c>
      <c r="L41" s="52">
        <v>-1405</v>
      </c>
      <c r="M41" s="52"/>
      <c r="N41" s="52">
        <v>138756</v>
      </c>
      <c r="O41" s="52">
        <v>77902</v>
      </c>
      <c r="P41" s="52">
        <v>216657</v>
      </c>
    </row>
    <row r="42" spans="1:16" x14ac:dyDescent="0.2">
      <c r="A42" s="4" t="s">
        <v>52</v>
      </c>
      <c r="B42" s="50" t="s">
        <v>25</v>
      </c>
      <c r="C42" s="50" t="s">
        <v>25</v>
      </c>
      <c r="D42" s="50" t="s">
        <v>25</v>
      </c>
      <c r="E42" s="50"/>
      <c r="F42" s="50" t="s">
        <v>25</v>
      </c>
      <c r="G42" s="50" t="s">
        <v>25</v>
      </c>
      <c r="H42" s="50" t="s">
        <v>25</v>
      </c>
      <c r="I42" s="50"/>
      <c r="J42" s="50" t="s">
        <v>25</v>
      </c>
      <c r="K42" s="50" t="s">
        <v>25</v>
      </c>
      <c r="L42" s="50" t="s">
        <v>25</v>
      </c>
      <c r="M42" s="50"/>
      <c r="N42" s="50" t="s">
        <v>25</v>
      </c>
      <c r="O42" s="50" t="s">
        <v>25</v>
      </c>
      <c r="P42" s="50" t="s">
        <v>25</v>
      </c>
    </row>
    <row r="43" spans="1:16" x14ac:dyDescent="0.2">
      <c r="A43" s="4" t="s">
        <v>53</v>
      </c>
      <c r="B43" s="51">
        <v>22516</v>
      </c>
      <c r="C43" s="51">
        <v>21316</v>
      </c>
      <c r="D43" s="63">
        <v>1199</v>
      </c>
      <c r="E43" s="51">
        <v>4</v>
      </c>
      <c r="F43" s="51">
        <v>7404</v>
      </c>
      <c r="G43" s="51">
        <v>7273</v>
      </c>
      <c r="H43" s="63">
        <v>132</v>
      </c>
      <c r="I43" s="51">
        <v>14</v>
      </c>
      <c r="J43" s="51">
        <v>29920</v>
      </c>
      <c r="K43" s="51">
        <v>28589</v>
      </c>
      <c r="L43" s="51">
        <v>1331</v>
      </c>
      <c r="M43" s="51"/>
      <c r="N43" s="51">
        <v>100935</v>
      </c>
      <c r="O43" s="51">
        <v>38615</v>
      </c>
      <c r="P43" s="51">
        <v>139551</v>
      </c>
    </row>
    <row r="44" spans="1:16" x14ac:dyDescent="0.2">
      <c r="A44" s="4" t="s">
        <v>54</v>
      </c>
      <c r="B44" s="51">
        <v>62495</v>
      </c>
      <c r="C44" s="51">
        <v>55703</v>
      </c>
      <c r="D44" s="63">
        <v>6793</v>
      </c>
      <c r="E44" s="51">
        <v>5</v>
      </c>
      <c r="F44" s="51">
        <v>8004</v>
      </c>
      <c r="G44" s="51">
        <v>3836</v>
      </c>
      <c r="H44" s="63">
        <v>4168</v>
      </c>
      <c r="I44" s="51">
        <v>15</v>
      </c>
      <c r="J44" s="51">
        <v>70498</v>
      </c>
      <c r="K44" s="51">
        <v>59539</v>
      </c>
      <c r="L44" s="51">
        <v>10960</v>
      </c>
      <c r="M44" s="51"/>
      <c r="N44" s="51">
        <v>289353</v>
      </c>
      <c r="O44" s="51">
        <v>19662</v>
      </c>
      <c r="P44" s="51">
        <v>309015</v>
      </c>
    </row>
    <row r="45" spans="1:16" x14ac:dyDescent="0.2">
      <c r="A45" s="4" t="s">
        <v>55</v>
      </c>
      <c r="B45" s="51">
        <v>3812</v>
      </c>
      <c r="C45" s="51">
        <v>4179</v>
      </c>
      <c r="D45" s="51">
        <v>-367</v>
      </c>
      <c r="E45" s="51"/>
      <c r="F45" s="51">
        <v>1961</v>
      </c>
      <c r="G45" s="51">
        <v>2540</v>
      </c>
      <c r="H45" s="51">
        <v>-580</v>
      </c>
      <c r="I45" s="51"/>
      <c r="J45" s="51">
        <v>5774</v>
      </c>
      <c r="K45" s="51">
        <v>6719</v>
      </c>
      <c r="L45" s="51">
        <v>-946</v>
      </c>
      <c r="M45" s="51"/>
      <c r="N45" s="51">
        <v>19808</v>
      </c>
      <c r="O45" s="51">
        <v>11266</v>
      </c>
      <c r="P45" s="51">
        <v>31074</v>
      </c>
    </row>
    <row r="46" spans="1:16" x14ac:dyDescent="0.2">
      <c r="A46" s="4" t="s">
        <v>56</v>
      </c>
      <c r="B46" s="52">
        <v>88823</v>
      </c>
      <c r="C46" s="52">
        <v>81198</v>
      </c>
      <c r="D46" s="52">
        <v>7625</v>
      </c>
      <c r="E46" s="52"/>
      <c r="F46" s="52">
        <v>17369</v>
      </c>
      <c r="G46" s="52">
        <v>13649</v>
      </c>
      <c r="H46" s="52">
        <v>3720</v>
      </c>
      <c r="I46" s="52"/>
      <c r="J46" s="52">
        <v>106192</v>
      </c>
      <c r="K46" s="52">
        <v>94847</v>
      </c>
      <c r="L46" s="52">
        <v>11345</v>
      </c>
      <c r="M46" s="52"/>
      <c r="N46" s="52">
        <v>410096</v>
      </c>
      <c r="O46" s="52">
        <v>69543</v>
      </c>
      <c r="P46" s="52">
        <v>479640</v>
      </c>
    </row>
    <row r="47" spans="1:16" x14ac:dyDescent="0.2">
      <c r="A47" s="4" t="s">
        <v>57</v>
      </c>
      <c r="B47" s="50" t="s">
        <v>25</v>
      </c>
      <c r="C47" s="50" t="s">
        <v>25</v>
      </c>
      <c r="D47" s="50" t="s">
        <v>25</v>
      </c>
      <c r="E47" s="50"/>
      <c r="F47" s="50" t="s">
        <v>25</v>
      </c>
      <c r="G47" s="50" t="s">
        <v>25</v>
      </c>
      <c r="H47" s="50" t="s">
        <v>25</v>
      </c>
      <c r="I47" s="50"/>
      <c r="J47" s="50" t="s">
        <v>25</v>
      </c>
      <c r="K47" s="50" t="s">
        <v>25</v>
      </c>
      <c r="L47" s="50" t="s">
        <v>25</v>
      </c>
      <c r="M47" s="50"/>
      <c r="N47" s="50" t="s">
        <v>25</v>
      </c>
      <c r="O47" s="50" t="s">
        <v>25</v>
      </c>
      <c r="P47" s="50" t="s">
        <v>25</v>
      </c>
    </row>
    <row r="48" spans="1:16" x14ac:dyDescent="0.2">
      <c r="A48" s="4" t="s">
        <v>58</v>
      </c>
      <c r="B48" s="51">
        <v>6304</v>
      </c>
      <c r="C48" s="51">
        <v>7452</v>
      </c>
      <c r="D48" s="63">
        <v>-1149</v>
      </c>
      <c r="E48" s="51">
        <v>6</v>
      </c>
      <c r="F48" s="51">
        <v>999</v>
      </c>
      <c r="G48" s="51">
        <v>700</v>
      </c>
      <c r="H48" s="63">
        <v>299</v>
      </c>
      <c r="I48" s="51">
        <v>16</v>
      </c>
      <c r="J48" s="51">
        <v>7303</v>
      </c>
      <c r="K48" s="51">
        <v>8153</v>
      </c>
      <c r="L48" s="51">
        <v>-850</v>
      </c>
      <c r="M48" s="51"/>
      <c r="N48" s="51">
        <v>27257</v>
      </c>
      <c r="O48" s="51">
        <v>3826</v>
      </c>
      <c r="P48" s="51">
        <v>31082</v>
      </c>
    </row>
    <row r="49" spans="1:16" x14ac:dyDescent="0.2">
      <c r="A49" s="4" t="s">
        <v>59</v>
      </c>
      <c r="B49" s="52">
        <v>6304</v>
      </c>
      <c r="C49" s="52">
        <v>7452</v>
      </c>
      <c r="D49" s="52">
        <v>-1149</v>
      </c>
      <c r="E49" s="52"/>
      <c r="F49" s="52">
        <v>999</v>
      </c>
      <c r="G49" s="52">
        <v>700</v>
      </c>
      <c r="H49" s="52">
        <v>299</v>
      </c>
      <c r="I49" s="52"/>
      <c r="J49" s="52">
        <v>7303</v>
      </c>
      <c r="K49" s="52">
        <v>8153</v>
      </c>
      <c r="L49" s="52">
        <v>-850</v>
      </c>
      <c r="M49" s="52"/>
      <c r="N49" s="52">
        <v>27257</v>
      </c>
      <c r="O49" s="52">
        <v>3826</v>
      </c>
      <c r="P49" s="52">
        <v>31082</v>
      </c>
    </row>
    <row r="50" spans="1:16" x14ac:dyDescent="0.2">
      <c r="A50" s="4" t="s">
        <v>60</v>
      </c>
      <c r="B50" s="50" t="s">
        <v>25</v>
      </c>
      <c r="C50" s="50" t="s">
        <v>25</v>
      </c>
      <c r="D50" s="50" t="s">
        <v>25</v>
      </c>
      <c r="E50" s="50"/>
      <c r="F50" s="50" t="s">
        <v>25</v>
      </c>
      <c r="G50" s="50" t="s">
        <v>25</v>
      </c>
      <c r="H50" s="50" t="s">
        <v>25</v>
      </c>
      <c r="I50" s="50"/>
      <c r="J50" s="50" t="s">
        <v>25</v>
      </c>
      <c r="K50" s="50" t="s">
        <v>25</v>
      </c>
      <c r="L50" s="50" t="s">
        <v>25</v>
      </c>
      <c r="M50" s="50"/>
      <c r="N50" s="50" t="s">
        <v>25</v>
      </c>
      <c r="O50" s="50" t="s">
        <v>25</v>
      </c>
      <c r="P50" s="50" t="s">
        <v>25</v>
      </c>
    </row>
    <row r="51" spans="1:16" x14ac:dyDescent="0.2">
      <c r="A51" s="4" t="s">
        <v>61</v>
      </c>
      <c r="B51" s="51">
        <v>3845</v>
      </c>
      <c r="C51" s="51">
        <v>4037</v>
      </c>
      <c r="D51" s="51">
        <v>-191</v>
      </c>
      <c r="E51" s="51"/>
      <c r="F51" s="51">
        <v>1546</v>
      </c>
      <c r="G51" s="51">
        <v>1078</v>
      </c>
      <c r="H51" s="51">
        <v>469</v>
      </c>
      <c r="I51" s="51"/>
      <c r="J51" s="51">
        <v>5391</v>
      </c>
      <c r="K51" s="51">
        <v>5113</v>
      </c>
      <c r="L51" s="51">
        <v>278</v>
      </c>
      <c r="M51" s="51"/>
      <c r="N51" s="51">
        <v>22102</v>
      </c>
      <c r="O51" s="51">
        <v>11434</v>
      </c>
      <c r="P51" s="51">
        <v>33537</v>
      </c>
    </row>
    <row r="52" spans="1:16" x14ac:dyDescent="0.2">
      <c r="A52" s="4" t="s">
        <v>62</v>
      </c>
      <c r="B52" s="51">
        <v>2800</v>
      </c>
      <c r="C52" s="51">
        <v>1000</v>
      </c>
      <c r="D52" s="63">
        <v>1800</v>
      </c>
      <c r="E52" s="51">
        <v>7</v>
      </c>
      <c r="F52" s="51">
        <v>0</v>
      </c>
      <c r="G52" s="51">
        <v>0</v>
      </c>
      <c r="H52" s="51">
        <v>0</v>
      </c>
      <c r="I52" s="51"/>
      <c r="J52" s="51">
        <v>2800</v>
      </c>
      <c r="K52" s="51">
        <v>1000</v>
      </c>
      <c r="L52" s="51">
        <v>1800</v>
      </c>
      <c r="M52" s="51"/>
      <c r="N52" s="51">
        <v>9400</v>
      </c>
      <c r="O52" s="51">
        <v>0</v>
      </c>
      <c r="P52" s="51">
        <v>9400</v>
      </c>
    </row>
    <row r="53" spans="1:16" x14ac:dyDescent="0.2">
      <c r="A53" s="4" t="s">
        <v>63</v>
      </c>
      <c r="B53" s="51">
        <v>7124</v>
      </c>
      <c r="C53" s="51">
        <v>1144</v>
      </c>
      <c r="D53" s="63">
        <v>5980</v>
      </c>
      <c r="E53" s="51">
        <v>8</v>
      </c>
      <c r="F53" s="51">
        <v>0</v>
      </c>
      <c r="G53" s="51">
        <v>0</v>
      </c>
      <c r="H53" s="51">
        <v>0</v>
      </c>
      <c r="I53" s="51"/>
      <c r="J53" s="51">
        <v>7125</v>
      </c>
      <c r="K53" s="51">
        <v>1145</v>
      </c>
      <c r="L53" s="51">
        <v>5980</v>
      </c>
      <c r="M53" s="51"/>
      <c r="N53" s="51">
        <v>8840</v>
      </c>
      <c r="O53" s="51">
        <v>0</v>
      </c>
      <c r="P53" s="51">
        <v>8840</v>
      </c>
    </row>
    <row r="54" spans="1:16" x14ac:dyDescent="0.2">
      <c r="A54" s="4" t="s">
        <v>64</v>
      </c>
      <c r="B54" s="51">
        <v>2958</v>
      </c>
      <c r="C54" s="51">
        <v>2357</v>
      </c>
      <c r="D54" s="51">
        <v>600</v>
      </c>
      <c r="E54" s="51"/>
      <c r="F54" s="51">
        <v>0</v>
      </c>
      <c r="G54" s="51">
        <v>0</v>
      </c>
      <c r="H54" s="51">
        <v>0</v>
      </c>
      <c r="I54" s="51"/>
      <c r="J54" s="51">
        <v>2957</v>
      </c>
      <c r="K54" s="51">
        <v>2357</v>
      </c>
      <c r="L54" s="51">
        <v>601</v>
      </c>
      <c r="M54" s="51"/>
      <c r="N54" s="51">
        <v>16175</v>
      </c>
      <c r="O54" s="51">
        <v>-127</v>
      </c>
      <c r="P54" s="51">
        <v>16048</v>
      </c>
    </row>
    <row r="55" spans="1:16" x14ac:dyDescent="0.2">
      <c r="A55" s="4" t="s">
        <v>65</v>
      </c>
      <c r="B55" s="50" t="s">
        <v>66</v>
      </c>
      <c r="C55" s="50" t="s">
        <v>66</v>
      </c>
      <c r="D55" s="50" t="s">
        <v>66</v>
      </c>
      <c r="E55" s="50"/>
      <c r="F55" s="50" t="s">
        <v>66</v>
      </c>
      <c r="G55" s="50" t="s">
        <v>66</v>
      </c>
      <c r="H55" s="50" t="s">
        <v>66</v>
      </c>
      <c r="I55" s="50"/>
      <c r="J55" s="50" t="s">
        <v>66</v>
      </c>
      <c r="K55" s="50" t="s">
        <v>66</v>
      </c>
      <c r="L55" s="50" t="s">
        <v>66</v>
      </c>
      <c r="M55" s="50"/>
      <c r="N55" s="50" t="s">
        <v>66</v>
      </c>
      <c r="O55" s="50" t="s">
        <v>66</v>
      </c>
      <c r="P55" s="50" t="s">
        <v>66</v>
      </c>
    </row>
    <row r="56" spans="1:16" x14ac:dyDescent="0.2">
      <c r="A56" s="4" t="s">
        <v>67</v>
      </c>
      <c r="B56" s="51">
        <v>585</v>
      </c>
      <c r="C56" s="51">
        <v>2539</v>
      </c>
      <c r="D56" s="63">
        <v>-1954</v>
      </c>
      <c r="E56" s="51">
        <v>9</v>
      </c>
      <c r="F56" s="51">
        <v>249</v>
      </c>
      <c r="G56" s="51">
        <v>0</v>
      </c>
      <c r="H56" s="51">
        <v>250</v>
      </c>
      <c r="I56" s="51"/>
      <c r="J56" s="51">
        <v>834</v>
      </c>
      <c r="K56" s="51">
        <v>2539</v>
      </c>
      <c r="L56" s="51">
        <v>-1705</v>
      </c>
      <c r="M56" s="51"/>
      <c r="N56" s="51">
        <v>20236</v>
      </c>
      <c r="O56" s="51">
        <v>4201</v>
      </c>
      <c r="P56" s="51">
        <v>24437</v>
      </c>
    </row>
    <row r="57" spans="1:16" x14ac:dyDescent="0.2">
      <c r="A57" s="4" t="s">
        <v>68</v>
      </c>
      <c r="B57" s="51">
        <v>888</v>
      </c>
      <c r="C57" s="51">
        <v>2676</v>
      </c>
      <c r="D57" s="63">
        <v>-1788</v>
      </c>
      <c r="E57" s="51">
        <v>10</v>
      </c>
      <c r="F57" s="51">
        <v>878</v>
      </c>
      <c r="G57" s="51">
        <v>1278</v>
      </c>
      <c r="H57" s="51">
        <v>-401</v>
      </c>
      <c r="I57" s="51"/>
      <c r="J57" s="51">
        <v>1766</v>
      </c>
      <c r="K57" s="51">
        <v>3954</v>
      </c>
      <c r="L57" s="51">
        <v>-2189</v>
      </c>
      <c r="M57" s="51"/>
      <c r="N57" s="51">
        <v>8303</v>
      </c>
      <c r="O57" s="51">
        <v>4522</v>
      </c>
      <c r="P57" s="51">
        <v>12825</v>
      </c>
    </row>
    <row r="58" spans="1:16" x14ac:dyDescent="0.2">
      <c r="A58" s="4" t="s">
        <v>69</v>
      </c>
      <c r="B58" s="52">
        <v>1473</v>
      </c>
      <c r="C58" s="52">
        <v>5215</v>
      </c>
      <c r="D58" s="52">
        <v>-3742</v>
      </c>
      <c r="E58" s="52"/>
      <c r="F58" s="52">
        <v>1127</v>
      </c>
      <c r="G58" s="52">
        <v>1278</v>
      </c>
      <c r="H58" s="52">
        <v>-151</v>
      </c>
      <c r="I58" s="52"/>
      <c r="J58" s="52">
        <v>2600</v>
      </c>
      <c r="K58" s="52">
        <v>6493</v>
      </c>
      <c r="L58" s="52">
        <v>-3894</v>
      </c>
      <c r="M58" s="52"/>
      <c r="N58" s="52">
        <v>28539</v>
      </c>
      <c r="O58" s="52">
        <v>8723</v>
      </c>
      <c r="P58" s="52">
        <v>37262</v>
      </c>
    </row>
    <row r="59" spans="1:16" x14ac:dyDescent="0.2">
      <c r="A59" s="4" t="s">
        <v>70</v>
      </c>
      <c r="B59" s="52">
        <v>18200</v>
      </c>
      <c r="C59" s="52">
        <v>13753</v>
      </c>
      <c r="D59" s="52">
        <v>4447</v>
      </c>
      <c r="E59" s="52"/>
      <c r="F59" s="52">
        <v>2673</v>
      </c>
      <c r="G59" s="52">
        <v>2356</v>
      </c>
      <c r="H59" s="52">
        <v>318</v>
      </c>
      <c r="I59" s="52"/>
      <c r="J59" s="52">
        <v>20873</v>
      </c>
      <c r="K59" s="52">
        <v>16108</v>
      </c>
      <c r="L59" s="52">
        <v>4765</v>
      </c>
      <c r="M59" s="52"/>
      <c r="N59" s="52">
        <v>85056</v>
      </c>
      <c r="O59" s="52">
        <v>20030</v>
      </c>
      <c r="P59" s="52">
        <v>105087</v>
      </c>
    </row>
    <row r="60" spans="1:16" x14ac:dyDescent="0.2">
      <c r="A60" s="4" t="s">
        <v>71</v>
      </c>
      <c r="B60" s="50" t="s">
        <v>25</v>
      </c>
      <c r="C60" s="50" t="s">
        <v>25</v>
      </c>
      <c r="D60" s="50" t="s">
        <v>25</v>
      </c>
      <c r="E60" s="50"/>
      <c r="F60" s="50" t="s">
        <v>25</v>
      </c>
      <c r="G60" s="50" t="s">
        <v>25</v>
      </c>
      <c r="H60" s="50" t="s">
        <v>25</v>
      </c>
      <c r="I60" s="50"/>
      <c r="J60" s="50" t="s">
        <v>25</v>
      </c>
      <c r="K60" s="50" t="s">
        <v>25</v>
      </c>
      <c r="L60" s="50" t="s">
        <v>25</v>
      </c>
      <c r="M60" s="50"/>
      <c r="N60" s="50" t="s">
        <v>25</v>
      </c>
      <c r="O60" s="50" t="s">
        <v>25</v>
      </c>
      <c r="P60" s="50" t="s">
        <v>25</v>
      </c>
    </row>
    <row r="61" spans="1:16" x14ac:dyDescent="0.2">
      <c r="A61" s="4" t="s">
        <v>72</v>
      </c>
      <c r="B61" s="51">
        <v>3556</v>
      </c>
      <c r="C61" s="51">
        <v>4468</v>
      </c>
      <c r="D61" s="63">
        <v>-911</v>
      </c>
      <c r="E61" s="51">
        <v>11</v>
      </c>
      <c r="F61" s="51">
        <v>1944</v>
      </c>
      <c r="G61" s="51">
        <v>1941</v>
      </c>
      <c r="H61" s="51">
        <v>2</v>
      </c>
      <c r="I61" s="51"/>
      <c r="J61" s="51">
        <v>5500</v>
      </c>
      <c r="K61" s="51">
        <v>6409</v>
      </c>
      <c r="L61" s="51">
        <v>-909</v>
      </c>
      <c r="M61" s="51"/>
      <c r="N61" s="51">
        <v>24473</v>
      </c>
      <c r="O61" s="51">
        <v>9710</v>
      </c>
      <c r="P61" s="51">
        <v>34183</v>
      </c>
    </row>
    <row r="62" spans="1:16" x14ac:dyDescent="0.2">
      <c r="A62" s="4" t="s">
        <v>73</v>
      </c>
      <c r="B62" s="51">
        <v>35</v>
      </c>
      <c r="C62" s="51">
        <v>0</v>
      </c>
      <c r="D62" s="51">
        <v>35</v>
      </c>
      <c r="E62" s="51"/>
      <c r="F62" s="51">
        <v>0</v>
      </c>
      <c r="G62" s="51">
        <v>0</v>
      </c>
      <c r="H62" s="51">
        <v>0</v>
      </c>
      <c r="I62" s="51"/>
      <c r="J62" s="51">
        <v>35</v>
      </c>
      <c r="K62" s="51">
        <v>0</v>
      </c>
      <c r="L62" s="51">
        <v>35</v>
      </c>
      <c r="M62" s="51"/>
      <c r="N62" s="51">
        <v>748</v>
      </c>
      <c r="O62" s="51">
        <v>0</v>
      </c>
      <c r="P62" s="51">
        <v>748</v>
      </c>
    </row>
    <row r="63" spans="1:16" x14ac:dyDescent="0.2">
      <c r="A63" s="4" t="s">
        <v>74</v>
      </c>
      <c r="B63" s="52">
        <v>3591</v>
      </c>
      <c r="C63" s="52">
        <v>4468</v>
      </c>
      <c r="D63" s="52">
        <v>-876</v>
      </c>
      <c r="E63" s="52"/>
      <c r="F63" s="52">
        <v>1944</v>
      </c>
      <c r="G63" s="52">
        <v>1941</v>
      </c>
      <c r="H63" s="52">
        <v>2</v>
      </c>
      <c r="I63" s="52"/>
      <c r="J63" s="52">
        <v>5535</v>
      </c>
      <c r="K63" s="52">
        <v>6409</v>
      </c>
      <c r="L63" s="52">
        <v>-874</v>
      </c>
      <c r="M63" s="52"/>
      <c r="N63" s="52">
        <v>25221</v>
      </c>
      <c r="O63" s="52">
        <v>9710</v>
      </c>
      <c r="P63" s="52">
        <v>34931</v>
      </c>
    </row>
    <row r="64" spans="1:16" x14ac:dyDescent="0.2">
      <c r="A64" s="4" t="s">
        <v>75</v>
      </c>
      <c r="B64" s="52">
        <v>223856</v>
      </c>
      <c r="C64" s="52">
        <v>205516</v>
      </c>
      <c r="D64" s="52">
        <v>18340</v>
      </c>
      <c r="E64" s="52"/>
      <c r="F64" s="52">
        <v>39959</v>
      </c>
      <c r="G64" s="52">
        <v>36122</v>
      </c>
      <c r="H64" s="52">
        <v>3836</v>
      </c>
      <c r="I64" s="52"/>
      <c r="J64" s="52">
        <v>263815</v>
      </c>
      <c r="K64" s="52">
        <v>241638</v>
      </c>
      <c r="L64" s="52">
        <v>22177</v>
      </c>
      <c r="M64" s="52"/>
      <c r="N64" s="52">
        <v>1102396</v>
      </c>
      <c r="O64" s="52">
        <v>209813</v>
      </c>
      <c r="P64" s="52">
        <v>1312209</v>
      </c>
    </row>
    <row r="65" spans="1:16" x14ac:dyDescent="0.2">
      <c r="A65" s="4" t="s">
        <v>76</v>
      </c>
      <c r="B65" s="53">
        <v>152442</v>
      </c>
      <c r="C65" s="53">
        <v>191985</v>
      </c>
      <c r="D65" s="53">
        <v>-39543</v>
      </c>
      <c r="E65" s="53"/>
      <c r="F65" s="53">
        <v>35210</v>
      </c>
      <c r="G65" s="53">
        <v>55318</v>
      </c>
      <c r="H65" s="53">
        <v>-20107</v>
      </c>
      <c r="I65" s="53"/>
      <c r="J65" s="53">
        <v>187652</v>
      </c>
      <c r="K65" s="53">
        <v>247303</v>
      </c>
      <c r="L65" s="53">
        <v>-59651</v>
      </c>
      <c r="M65" s="53"/>
      <c r="N65" s="53">
        <v>517382</v>
      </c>
      <c r="O65" s="53">
        <v>108141</v>
      </c>
      <c r="P65" s="53">
        <v>625523</v>
      </c>
    </row>
    <row r="66" spans="1:16" x14ac:dyDescent="0.2">
      <c r="A66" s="4" t="s">
        <v>77</v>
      </c>
      <c r="B66" s="54" t="s">
        <v>21</v>
      </c>
      <c r="C66" s="54" t="s">
        <v>21</v>
      </c>
      <c r="D66" s="54" t="s">
        <v>21</v>
      </c>
      <c r="E66" s="54"/>
      <c r="F66" s="54" t="s">
        <v>21</v>
      </c>
      <c r="G66" s="54" t="s">
        <v>21</v>
      </c>
      <c r="H66" s="54" t="s">
        <v>21</v>
      </c>
      <c r="I66" s="54"/>
      <c r="J66" s="54" t="s">
        <v>21</v>
      </c>
      <c r="K66" s="54" t="s">
        <v>21</v>
      </c>
      <c r="L66" s="54" t="s">
        <v>21</v>
      </c>
      <c r="M66" s="54"/>
      <c r="N66" s="54" t="s">
        <v>21</v>
      </c>
      <c r="O66" s="54" t="s">
        <v>21</v>
      </c>
      <c r="P66" s="54" t="s">
        <v>21</v>
      </c>
    </row>
    <row r="67" spans="1:16" x14ac:dyDescent="0.2">
      <c r="A67" s="4" t="s">
        <v>78</v>
      </c>
      <c r="B67" s="50" t="s">
        <v>23</v>
      </c>
      <c r="C67" s="50" t="s">
        <v>23</v>
      </c>
      <c r="D67" s="50" t="s">
        <v>23</v>
      </c>
      <c r="E67" s="50"/>
      <c r="F67" s="50" t="s">
        <v>23</v>
      </c>
      <c r="G67" s="50" t="s">
        <v>23</v>
      </c>
      <c r="H67" s="50" t="s">
        <v>23</v>
      </c>
      <c r="I67" s="50"/>
      <c r="J67" s="50" t="s">
        <v>23</v>
      </c>
      <c r="K67" s="50" t="s">
        <v>23</v>
      </c>
      <c r="L67" s="50" t="s">
        <v>23</v>
      </c>
      <c r="M67" s="50"/>
      <c r="N67" s="50" t="s">
        <v>23</v>
      </c>
      <c r="O67" s="50" t="s">
        <v>23</v>
      </c>
      <c r="P67" s="50" t="s">
        <v>23</v>
      </c>
    </row>
    <row r="68" spans="1:16" x14ac:dyDescent="0.2">
      <c r="A68" s="4" t="s">
        <v>79</v>
      </c>
      <c r="B68" s="51">
        <v>255</v>
      </c>
      <c r="C68" s="51">
        <v>220</v>
      </c>
      <c r="D68" s="51">
        <v>35</v>
      </c>
      <c r="E68" s="51"/>
      <c r="F68" s="51">
        <v>0</v>
      </c>
      <c r="G68" s="51">
        <v>0</v>
      </c>
      <c r="H68" s="51">
        <v>0</v>
      </c>
      <c r="I68" s="51"/>
      <c r="J68" s="51">
        <v>255</v>
      </c>
      <c r="K68" s="51">
        <v>220</v>
      </c>
      <c r="L68" s="51">
        <v>36</v>
      </c>
      <c r="M68" s="51"/>
      <c r="N68" s="51">
        <v>4172</v>
      </c>
      <c r="O68" s="51">
        <v>0</v>
      </c>
      <c r="P68" s="51">
        <v>4171</v>
      </c>
    </row>
    <row r="69" spans="1:16" x14ac:dyDescent="0.2">
      <c r="A69" s="4" t="s">
        <v>80</v>
      </c>
      <c r="B69" s="51">
        <v>0</v>
      </c>
      <c r="C69" s="51">
        <v>0</v>
      </c>
      <c r="D69" s="51">
        <v>0</v>
      </c>
      <c r="E69" s="51"/>
      <c r="F69" s="51">
        <v>0</v>
      </c>
      <c r="G69" s="51">
        <v>2588</v>
      </c>
      <c r="H69" s="63">
        <v>-2589</v>
      </c>
      <c r="I69" s="51">
        <v>17</v>
      </c>
      <c r="J69" s="51">
        <v>0</v>
      </c>
      <c r="K69" s="51">
        <v>2588</v>
      </c>
      <c r="L69" s="51">
        <v>-2589</v>
      </c>
      <c r="M69" s="51"/>
      <c r="N69" s="51">
        <v>10800</v>
      </c>
      <c r="O69" s="51">
        <v>8588</v>
      </c>
      <c r="P69" s="51">
        <v>19389</v>
      </c>
    </row>
    <row r="70" spans="1:16" x14ac:dyDescent="0.2">
      <c r="A70" s="4" t="s">
        <v>81</v>
      </c>
      <c r="B70" s="52">
        <v>255</v>
      </c>
      <c r="C70" s="52">
        <v>220</v>
      </c>
      <c r="D70" s="52">
        <v>35</v>
      </c>
      <c r="E70" s="52"/>
      <c r="F70" s="52">
        <v>0</v>
      </c>
      <c r="G70" s="52">
        <v>2588</v>
      </c>
      <c r="H70" s="52">
        <v>-2589</v>
      </c>
      <c r="I70" s="52"/>
      <c r="J70" s="52">
        <v>255</v>
      </c>
      <c r="K70" s="52">
        <v>2808</v>
      </c>
      <c r="L70" s="52">
        <v>-2553</v>
      </c>
      <c r="M70" s="52"/>
      <c r="N70" s="52">
        <v>14972</v>
      </c>
      <c r="O70" s="52">
        <v>8588</v>
      </c>
      <c r="P70" s="52">
        <v>23560</v>
      </c>
    </row>
    <row r="71" spans="1:16" x14ac:dyDescent="0.2">
      <c r="A71" s="4" t="s">
        <v>82</v>
      </c>
      <c r="B71" s="50" t="s">
        <v>23</v>
      </c>
      <c r="C71" s="50" t="s">
        <v>23</v>
      </c>
      <c r="D71" s="50" t="s">
        <v>23</v>
      </c>
      <c r="E71" s="50"/>
      <c r="F71" s="50" t="s">
        <v>23</v>
      </c>
      <c r="G71" s="50" t="s">
        <v>23</v>
      </c>
      <c r="H71" s="50" t="s">
        <v>23</v>
      </c>
      <c r="I71" s="50"/>
      <c r="J71" s="50" t="s">
        <v>23</v>
      </c>
      <c r="K71" s="50" t="s">
        <v>23</v>
      </c>
      <c r="L71" s="50" t="s">
        <v>23</v>
      </c>
      <c r="M71" s="50"/>
      <c r="N71" s="50" t="s">
        <v>23</v>
      </c>
      <c r="O71" s="50" t="s">
        <v>23</v>
      </c>
      <c r="P71" s="50" t="s">
        <v>23</v>
      </c>
    </row>
    <row r="72" spans="1:16" x14ac:dyDescent="0.2">
      <c r="A72" s="4" t="s">
        <v>83</v>
      </c>
      <c r="B72" s="51">
        <v>-671</v>
      </c>
      <c r="C72" s="51">
        <v>-762</v>
      </c>
      <c r="D72" s="51">
        <v>91</v>
      </c>
      <c r="E72" s="51"/>
      <c r="F72" s="51">
        <v>-6157</v>
      </c>
      <c r="G72" s="51">
        <v>-6746</v>
      </c>
      <c r="H72" s="51">
        <v>588</v>
      </c>
      <c r="I72" s="51"/>
      <c r="J72" s="51">
        <v>-6828</v>
      </c>
      <c r="K72" s="51">
        <v>-7507</v>
      </c>
      <c r="L72" s="51">
        <v>679</v>
      </c>
      <c r="M72" s="51"/>
      <c r="N72" s="51">
        <v>-4281</v>
      </c>
      <c r="O72" s="51">
        <v>-32260</v>
      </c>
      <c r="P72" s="51">
        <v>-36541</v>
      </c>
    </row>
    <row r="73" spans="1:16" x14ac:dyDescent="0.2">
      <c r="A73" s="4" t="s">
        <v>84</v>
      </c>
      <c r="B73" s="51">
        <v>-29477</v>
      </c>
      <c r="C73" s="51">
        <v>-19308</v>
      </c>
      <c r="D73" s="51">
        <v>-10169</v>
      </c>
      <c r="E73" s="51"/>
      <c r="F73" s="51">
        <v>0</v>
      </c>
      <c r="G73" s="51">
        <v>0</v>
      </c>
      <c r="H73" s="51">
        <v>0</v>
      </c>
      <c r="I73" s="51"/>
      <c r="J73" s="51">
        <v>-29477</v>
      </c>
      <c r="K73" s="51">
        <v>-19308</v>
      </c>
      <c r="L73" s="51">
        <v>-10169</v>
      </c>
      <c r="M73" s="51"/>
      <c r="N73" s="51">
        <v>-139536</v>
      </c>
      <c r="O73" s="51">
        <v>0</v>
      </c>
      <c r="P73" s="51">
        <v>-139537</v>
      </c>
    </row>
    <row r="74" spans="1:16" x14ac:dyDescent="0.2">
      <c r="A74" s="4" t="s">
        <v>85</v>
      </c>
      <c r="B74" s="52">
        <v>-30148</v>
      </c>
      <c r="C74" s="52">
        <v>-20070</v>
      </c>
      <c r="D74" s="52">
        <v>-10078</v>
      </c>
      <c r="E74" s="52"/>
      <c r="F74" s="52">
        <v>-6157</v>
      </c>
      <c r="G74" s="52">
        <v>-6746</v>
      </c>
      <c r="H74" s="52">
        <v>588</v>
      </c>
      <c r="I74" s="52"/>
      <c r="J74" s="52">
        <v>-36305</v>
      </c>
      <c r="K74" s="52">
        <v>-26815</v>
      </c>
      <c r="L74" s="52">
        <v>-9490</v>
      </c>
      <c r="M74" s="52"/>
      <c r="N74" s="52">
        <v>-143817</v>
      </c>
      <c r="O74" s="52">
        <v>-32260</v>
      </c>
      <c r="P74" s="52">
        <v>-176078</v>
      </c>
    </row>
    <row r="75" spans="1:16" x14ac:dyDescent="0.2">
      <c r="A75" s="4" t="s">
        <v>86</v>
      </c>
      <c r="B75" s="53">
        <v>-29893</v>
      </c>
      <c r="C75" s="53">
        <v>-19850</v>
      </c>
      <c r="D75" s="53">
        <v>-10043</v>
      </c>
      <c r="E75" s="53"/>
      <c r="F75" s="53">
        <v>-6157</v>
      </c>
      <c r="G75" s="53">
        <v>-4158</v>
      </c>
      <c r="H75" s="53">
        <v>-2001</v>
      </c>
      <c r="I75" s="53"/>
      <c r="J75" s="53">
        <v>-36050</v>
      </c>
      <c r="K75" s="53">
        <v>-24007</v>
      </c>
      <c r="L75" s="53">
        <v>-12043</v>
      </c>
      <c r="M75" s="53"/>
      <c r="N75" s="53">
        <v>-128845</v>
      </c>
      <c r="O75" s="53">
        <v>-23672</v>
      </c>
      <c r="P75" s="53">
        <v>-152518</v>
      </c>
    </row>
    <row r="76" spans="1:16" x14ac:dyDescent="0.2">
      <c r="A76" s="4" t="s">
        <v>87</v>
      </c>
      <c r="B76" s="54" t="s">
        <v>21</v>
      </c>
      <c r="C76" s="54" t="s">
        <v>21</v>
      </c>
      <c r="D76" s="54" t="s">
        <v>21</v>
      </c>
      <c r="E76" s="54"/>
      <c r="F76" s="54" t="s">
        <v>21</v>
      </c>
      <c r="G76" s="54" t="s">
        <v>21</v>
      </c>
      <c r="H76" s="54" t="s">
        <v>21</v>
      </c>
      <c r="I76" s="54"/>
      <c r="J76" s="54" t="s">
        <v>21</v>
      </c>
      <c r="K76" s="54" t="s">
        <v>21</v>
      </c>
      <c r="L76" s="54" t="s">
        <v>21</v>
      </c>
      <c r="M76" s="54"/>
      <c r="N76" s="54" t="s">
        <v>21</v>
      </c>
      <c r="O76" s="54" t="s">
        <v>21</v>
      </c>
      <c r="P76" s="54" t="s">
        <v>21</v>
      </c>
    </row>
    <row r="77" spans="1:16" x14ac:dyDescent="0.2">
      <c r="A77" s="4" t="s">
        <v>88</v>
      </c>
      <c r="B77" s="51">
        <v>1201</v>
      </c>
      <c r="C77" s="51">
        <v>0</v>
      </c>
      <c r="D77" s="51">
        <v>1202</v>
      </c>
      <c r="E77" s="51"/>
      <c r="F77" s="51">
        <v>0</v>
      </c>
      <c r="G77" s="51">
        <v>0</v>
      </c>
      <c r="H77" s="51">
        <v>0</v>
      </c>
      <c r="I77" s="51"/>
      <c r="J77" s="51">
        <v>1201</v>
      </c>
      <c r="K77" s="51">
        <v>0</v>
      </c>
      <c r="L77" s="51">
        <v>1202</v>
      </c>
      <c r="M77" s="51"/>
      <c r="N77" s="51">
        <v>6107</v>
      </c>
      <c r="O77" s="51">
        <v>16572</v>
      </c>
      <c r="P77" s="51">
        <v>22678</v>
      </c>
    </row>
    <row r="78" spans="1:16" x14ac:dyDescent="0.2">
      <c r="A78" s="4" t="s">
        <v>89</v>
      </c>
      <c r="B78" s="53">
        <v>1201</v>
      </c>
      <c r="C78" s="53">
        <v>0</v>
      </c>
      <c r="D78" s="53">
        <v>1202</v>
      </c>
      <c r="E78" s="53"/>
      <c r="F78" s="53">
        <v>0</v>
      </c>
      <c r="G78" s="53">
        <v>0</v>
      </c>
      <c r="H78" s="53">
        <v>0</v>
      </c>
      <c r="I78" s="53"/>
      <c r="J78" s="53">
        <v>1201</v>
      </c>
      <c r="K78" s="53">
        <v>0</v>
      </c>
      <c r="L78" s="53">
        <v>1202</v>
      </c>
      <c r="M78" s="53"/>
      <c r="N78" s="53">
        <v>6107</v>
      </c>
      <c r="O78" s="53">
        <v>16572</v>
      </c>
      <c r="P78" s="53">
        <v>22678</v>
      </c>
    </row>
    <row r="79" spans="1:16" x14ac:dyDescent="0.2">
      <c r="A79" s="7" t="s">
        <v>90</v>
      </c>
      <c r="B79" s="55">
        <v>121348</v>
      </c>
      <c r="C79" s="55">
        <v>172135</v>
      </c>
      <c r="D79" s="55">
        <v>-50787</v>
      </c>
      <c r="E79" s="55"/>
      <c r="F79" s="55">
        <v>29053</v>
      </c>
      <c r="G79" s="55">
        <v>51160</v>
      </c>
      <c r="H79" s="55">
        <v>-22108</v>
      </c>
      <c r="I79" s="55"/>
      <c r="J79" s="55">
        <v>150401</v>
      </c>
      <c r="K79" s="55">
        <v>223296</v>
      </c>
      <c r="L79" s="55">
        <v>-72895</v>
      </c>
      <c r="M79" s="55"/>
      <c r="N79" s="55">
        <v>382430</v>
      </c>
      <c r="O79" s="55">
        <v>67897</v>
      </c>
      <c r="P79" s="55">
        <v>450327</v>
      </c>
    </row>
    <row r="80" spans="1:16" x14ac:dyDescent="0.2">
      <c r="A80" s="2" t="s">
        <v>8</v>
      </c>
    </row>
    <row r="81" spans="1:1" x14ac:dyDescent="0.2">
      <c r="A81" s="2" t="s">
        <v>8</v>
      </c>
    </row>
    <row r="82" spans="1:1" x14ac:dyDescent="0.2">
      <c r="A82" s="4"/>
    </row>
  </sheetData>
  <pageMargins left="0.75" right="0.75" top="1" bottom="1" header="0.5" footer="0.5"/>
  <pageSetup orientation="portrait" horizontalDpi="300" verticalDpi="300"/>
  <ignoredErrors>
    <ignoredError sqref="N1:IY17 A1:D14 F1:H9 J1:L9 F11:H65536 F10:G10 J11:L65536 J10:K10 A83:D65536 B82:D82 A16:D17 A15 C15:D15 A19:D81 B18:D18 N19:IY65536 N18:P18 R18:IY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AA28-7A7E-48BE-A2BF-C5F5DA740D5B}">
  <sheetPr>
    <tabColor rgb="FFFFFF00"/>
  </sheetPr>
  <dimension ref="A1:F22"/>
  <sheetViews>
    <sheetView tabSelected="1" topLeftCell="B1" zoomScale="125" workbookViewId="0">
      <selection activeCell="D10" sqref="D10"/>
    </sheetView>
  </sheetViews>
  <sheetFormatPr defaultColWidth="8.85546875" defaultRowHeight="12.75" x14ac:dyDescent="0.2"/>
  <cols>
    <col min="1" max="1" width="17" customWidth="1"/>
    <col min="2" max="2" width="48.42578125" customWidth="1"/>
    <col min="3" max="3" width="26.7109375" customWidth="1"/>
    <col min="4" max="4" width="59.42578125" customWidth="1"/>
    <col min="5" max="5" width="12.85546875" bestFit="1" customWidth="1"/>
    <col min="6" max="6" width="12.42578125" bestFit="1" customWidth="1"/>
  </cols>
  <sheetData>
    <row r="1" spans="1:6" ht="31.5" x14ac:dyDescent="0.25">
      <c r="A1" s="64" t="s">
        <v>91</v>
      </c>
      <c r="B1" s="65" t="s">
        <v>92</v>
      </c>
      <c r="C1" s="65" t="s">
        <v>93</v>
      </c>
      <c r="D1" s="65" t="s">
        <v>94</v>
      </c>
      <c r="E1" s="65" t="s">
        <v>1166</v>
      </c>
      <c r="F1" s="65" t="s">
        <v>1167</v>
      </c>
    </row>
    <row r="2" spans="1:6" ht="25.5" x14ac:dyDescent="0.2">
      <c r="A2">
        <v>1</v>
      </c>
      <c r="B2" s="66" t="s">
        <v>95</v>
      </c>
      <c r="C2" t="s">
        <v>96</v>
      </c>
      <c r="D2" s="67" t="s">
        <v>1153</v>
      </c>
      <c r="E2" s="180">
        <v>6500</v>
      </c>
      <c r="F2" s="180">
        <v>-1400</v>
      </c>
    </row>
    <row r="3" spans="1:6" x14ac:dyDescent="0.2">
      <c r="A3">
        <v>2</v>
      </c>
      <c r="B3" s="66" t="s">
        <v>97</v>
      </c>
      <c r="C3" t="s">
        <v>96</v>
      </c>
      <c r="D3" t="s">
        <v>1164</v>
      </c>
      <c r="E3" s="180">
        <v>6500</v>
      </c>
      <c r="F3" s="180"/>
    </row>
    <row r="4" spans="1:6" ht="25.5" x14ac:dyDescent="0.2">
      <c r="A4">
        <v>3</v>
      </c>
      <c r="B4" t="s">
        <v>98</v>
      </c>
      <c r="C4" t="s">
        <v>96</v>
      </c>
      <c r="D4" s="67" t="s">
        <v>99</v>
      </c>
      <c r="E4" s="180">
        <v>9500</v>
      </c>
      <c r="F4" s="180"/>
    </row>
    <row r="5" spans="1:6" x14ac:dyDescent="0.2">
      <c r="A5">
        <v>4</v>
      </c>
      <c r="B5" t="s">
        <v>100</v>
      </c>
      <c r="C5" t="s">
        <v>96</v>
      </c>
      <c r="D5" s="67" t="s">
        <v>101</v>
      </c>
      <c r="E5" s="180"/>
      <c r="F5" s="180"/>
    </row>
    <row r="6" spans="1:6" x14ac:dyDescent="0.2">
      <c r="A6">
        <v>5</v>
      </c>
      <c r="B6" t="s">
        <v>102</v>
      </c>
      <c r="C6" t="s">
        <v>96</v>
      </c>
      <c r="D6" t="s">
        <v>1155</v>
      </c>
      <c r="E6" s="180">
        <v>15000</v>
      </c>
      <c r="F6" s="180"/>
    </row>
    <row r="7" spans="1:6" ht="25.5" x14ac:dyDescent="0.2">
      <c r="A7">
        <v>6</v>
      </c>
      <c r="B7" t="s">
        <v>103</v>
      </c>
      <c r="C7" t="s">
        <v>104</v>
      </c>
      <c r="D7" s="67" t="s">
        <v>1156</v>
      </c>
      <c r="E7" s="180"/>
      <c r="F7" s="180">
        <f>-500-1750</f>
        <v>-2250</v>
      </c>
    </row>
    <row r="8" spans="1:6" x14ac:dyDescent="0.2">
      <c r="A8">
        <v>7</v>
      </c>
      <c r="B8" t="s">
        <v>105</v>
      </c>
      <c r="C8" t="s">
        <v>96</v>
      </c>
      <c r="D8" t="s">
        <v>1162</v>
      </c>
      <c r="E8" s="180">
        <v>1500</v>
      </c>
      <c r="F8" s="180"/>
    </row>
    <row r="9" spans="1:6" x14ac:dyDescent="0.2">
      <c r="A9">
        <v>8</v>
      </c>
      <c r="B9" t="s">
        <v>106</v>
      </c>
      <c r="C9" t="s">
        <v>96</v>
      </c>
      <c r="D9" t="s">
        <v>1161</v>
      </c>
      <c r="E9" s="180">
        <v>7000</v>
      </c>
      <c r="F9" s="180"/>
    </row>
    <row r="10" spans="1:6" x14ac:dyDescent="0.2">
      <c r="A10">
        <v>9</v>
      </c>
      <c r="B10" t="s">
        <v>107</v>
      </c>
      <c r="C10" t="s">
        <v>104</v>
      </c>
      <c r="D10" t="s">
        <v>1163</v>
      </c>
      <c r="E10" s="180"/>
      <c r="F10" s="180">
        <f>-1000-1400</f>
        <v>-2400</v>
      </c>
    </row>
    <row r="11" spans="1:6" x14ac:dyDescent="0.2">
      <c r="A11">
        <v>10</v>
      </c>
      <c r="B11" t="s">
        <v>109</v>
      </c>
      <c r="C11" t="s">
        <v>104</v>
      </c>
      <c r="D11" t="s">
        <v>108</v>
      </c>
      <c r="E11" s="180"/>
      <c r="F11" s="180">
        <v>-1100</v>
      </c>
    </row>
    <row r="12" spans="1:6" x14ac:dyDescent="0.2">
      <c r="A12">
        <v>11</v>
      </c>
      <c r="B12" t="s">
        <v>110</v>
      </c>
      <c r="C12" t="s">
        <v>104</v>
      </c>
      <c r="D12" t="s">
        <v>111</v>
      </c>
      <c r="E12" s="180"/>
      <c r="F12" s="180">
        <v>-1000</v>
      </c>
    </row>
    <row r="13" spans="1:6" x14ac:dyDescent="0.2">
      <c r="A13">
        <v>12</v>
      </c>
      <c r="B13" t="s">
        <v>112</v>
      </c>
      <c r="C13" t="s">
        <v>104</v>
      </c>
      <c r="D13" s="67" t="s">
        <v>113</v>
      </c>
      <c r="E13" s="180"/>
      <c r="F13" s="180">
        <v>-2792</v>
      </c>
    </row>
    <row r="14" spans="1:6" x14ac:dyDescent="0.2">
      <c r="A14">
        <v>13</v>
      </c>
      <c r="B14" t="s">
        <v>114</v>
      </c>
      <c r="C14" t="s">
        <v>96</v>
      </c>
      <c r="D14" t="s">
        <v>113</v>
      </c>
      <c r="E14" s="180">
        <v>2792</v>
      </c>
      <c r="F14" s="180"/>
    </row>
    <row r="15" spans="1:6" x14ac:dyDescent="0.2">
      <c r="A15">
        <v>14</v>
      </c>
      <c r="B15" t="s">
        <v>115</v>
      </c>
      <c r="C15" t="s">
        <v>96</v>
      </c>
      <c r="D15" t="s">
        <v>1157</v>
      </c>
      <c r="E15" s="180">
        <v>200</v>
      </c>
      <c r="F15" s="180"/>
    </row>
    <row r="16" spans="1:6" x14ac:dyDescent="0.2">
      <c r="A16">
        <v>15</v>
      </c>
      <c r="B16" t="s">
        <v>116</v>
      </c>
      <c r="C16" t="s">
        <v>96</v>
      </c>
      <c r="D16" t="s">
        <v>1158</v>
      </c>
      <c r="E16" s="180">
        <v>4500</v>
      </c>
      <c r="F16" s="180"/>
    </row>
    <row r="17" spans="1:6" x14ac:dyDescent="0.2">
      <c r="A17">
        <v>16</v>
      </c>
      <c r="B17" t="s">
        <v>117</v>
      </c>
      <c r="C17" t="s">
        <v>96</v>
      </c>
      <c r="D17" t="s">
        <v>1159</v>
      </c>
      <c r="E17" s="180">
        <v>983</v>
      </c>
      <c r="F17" s="180"/>
    </row>
    <row r="18" spans="1:6" x14ac:dyDescent="0.2">
      <c r="A18">
        <v>17</v>
      </c>
      <c r="B18" t="s">
        <v>118</v>
      </c>
      <c r="C18" t="s">
        <v>104</v>
      </c>
      <c r="D18" t="s">
        <v>1160</v>
      </c>
      <c r="E18" s="180"/>
      <c r="F18" s="180">
        <v>-2500</v>
      </c>
    </row>
    <row r="19" spans="1:6" x14ac:dyDescent="0.2">
      <c r="D19" t="s">
        <v>1154</v>
      </c>
      <c r="E19" s="180"/>
      <c r="F19" s="180"/>
    </row>
    <row r="22" spans="1:6" ht="15" x14ac:dyDescent="0.25">
      <c r="D22" s="6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2B0E-4FAD-47AA-938B-A6B7FDF9B118}">
  <sheetPr>
    <tabColor rgb="FFFFC000"/>
  </sheetPr>
  <dimension ref="A1:L886"/>
  <sheetViews>
    <sheetView workbookViewId="0">
      <pane xSplit="4" ySplit="1" topLeftCell="E785" activePane="bottomRight" state="frozen"/>
      <selection pane="topRight" activeCell="E1" sqref="E1"/>
      <selection pane="bottomLeft" activeCell="A2" sqref="A2"/>
      <selection pane="bottomRight" activeCell="G856" sqref="G856"/>
    </sheetView>
  </sheetViews>
  <sheetFormatPr defaultColWidth="9.140625" defaultRowHeight="15" outlineLevelRow="3" x14ac:dyDescent="0.25"/>
  <cols>
    <col min="1" max="1" width="7.42578125" style="13" customWidth="1"/>
    <col min="2" max="2" width="29.42578125" style="13" customWidth="1"/>
    <col min="3" max="3" width="26.140625" style="13" customWidth="1"/>
    <col min="4" max="4" width="37.85546875" style="13" customWidth="1"/>
    <col min="5" max="5" width="20" style="13" customWidth="1"/>
    <col min="6" max="6" width="16.140625" style="13" customWidth="1"/>
    <col min="7" max="7" width="19.28515625" style="13" customWidth="1"/>
    <col min="8" max="8" width="17.85546875" style="13" customWidth="1"/>
    <col min="9" max="9" width="16.42578125" style="13" customWidth="1"/>
    <col min="10" max="10" width="22.42578125" style="13" customWidth="1"/>
    <col min="11" max="11" width="21.42578125" style="13" customWidth="1"/>
    <col min="12" max="12" width="34" style="46" customWidth="1"/>
    <col min="13" max="16384" width="9.140625" style="13"/>
  </cols>
  <sheetData>
    <row r="1" spans="1:12" ht="45" x14ac:dyDescent="0.25">
      <c r="A1" s="8" t="s">
        <v>119</v>
      </c>
      <c r="B1" s="8" t="s">
        <v>120</v>
      </c>
      <c r="C1" s="8" t="s">
        <v>121</v>
      </c>
      <c r="D1" s="8" t="s">
        <v>122</v>
      </c>
      <c r="E1" s="9" t="s">
        <v>123</v>
      </c>
      <c r="F1" s="10" t="s">
        <v>124</v>
      </c>
      <c r="G1" s="11" t="s">
        <v>125</v>
      </c>
      <c r="H1" s="11" t="s">
        <v>126</v>
      </c>
      <c r="I1" s="11" t="s">
        <v>127</v>
      </c>
      <c r="J1" s="11" t="s">
        <v>128</v>
      </c>
      <c r="K1" s="11" t="s">
        <v>129</v>
      </c>
      <c r="L1" s="12" t="s">
        <v>130</v>
      </c>
    </row>
    <row r="2" spans="1:12" hidden="1" outlineLevel="3" x14ac:dyDescent="0.25">
      <c r="A2" s="14" t="s">
        <v>131</v>
      </c>
      <c r="B2" s="14" t="s">
        <v>132</v>
      </c>
      <c r="C2" s="14" t="s">
        <v>133</v>
      </c>
      <c r="D2" s="14" t="s">
        <v>134</v>
      </c>
      <c r="E2" s="14">
        <v>177663</v>
      </c>
      <c r="F2" s="15">
        <v>45778</v>
      </c>
      <c r="G2" s="16">
        <v>1533.1538</v>
      </c>
      <c r="H2" s="17">
        <f>G2</f>
        <v>1533.1538</v>
      </c>
      <c r="I2" s="14"/>
      <c r="J2" s="18">
        <v>1118.6648</v>
      </c>
      <c r="K2" s="17">
        <f>H2-J2</f>
        <v>414.48900000000003</v>
      </c>
      <c r="L2" s="12" t="s">
        <v>135</v>
      </c>
    </row>
    <row r="3" spans="1:12" hidden="1" outlineLevel="3" x14ac:dyDescent="0.25">
      <c r="A3" s="14" t="s">
        <v>131</v>
      </c>
      <c r="B3" s="14" t="s">
        <v>132</v>
      </c>
      <c r="C3" s="14" t="s">
        <v>136</v>
      </c>
      <c r="D3" s="14" t="s">
        <v>136</v>
      </c>
      <c r="E3" s="14">
        <v>177663</v>
      </c>
      <c r="F3" s="15">
        <v>45778</v>
      </c>
      <c r="G3" s="16">
        <v>9848</v>
      </c>
      <c r="H3" s="17">
        <f>G3</f>
        <v>9848</v>
      </c>
      <c r="I3" s="14"/>
      <c r="J3" s="18">
        <v>3845</v>
      </c>
      <c r="K3" s="17">
        <f>H3-J3</f>
        <v>6003</v>
      </c>
      <c r="L3" s="12" t="s">
        <v>135</v>
      </c>
    </row>
    <row r="4" spans="1:12" hidden="1" outlineLevel="3" x14ac:dyDescent="0.25">
      <c r="A4" s="14" t="s">
        <v>131</v>
      </c>
      <c r="B4" s="14" t="s">
        <v>132</v>
      </c>
      <c r="C4" s="14" t="s">
        <v>137</v>
      </c>
      <c r="D4" s="14" t="s">
        <v>137</v>
      </c>
      <c r="E4" s="14">
        <v>177663</v>
      </c>
      <c r="F4" s="15">
        <v>45778</v>
      </c>
      <c r="G4" s="16">
        <v>27575</v>
      </c>
      <c r="H4" s="17">
        <f>G4</f>
        <v>27575</v>
      </c>
      <c r="I4" s="14"/>
      <c r="J4" s="18">
        <v>28125</v>
      </c>
      <c r="K4" s="17">
        <f>H4-J4</f>
        <v>-550</v>
      </c>
      <c r="L4" s="12"/>
    </row>
    <row r="5" spans="1:12" outlineLevel="2" collapsed="1" x14ac:dyDescent="0.25">
      <c r="A5" s="14"/>
      <c r="B5" s="8" t="s">
        <v>138</v>
      </c>
      <c r="C5" s="14"/>
      <c r="D5" s="14"/>
      <c r="E5" s="14"/>
      <c r="F5" s="15"/>
      <c r="G5" s="16">
        <f>SUBTOTAL(9,G2:G4)</f>
        <v>38956.1538</v>
      </c>
      <c r="H5" s="17"/>
      <c r="I5" s="14"/>
      <c r="J5" s="18">
        <f>SUBTOTAL(9,J2:J4)</f>
        <v>33088.664799999999</v>
      </c>
      <c r="K5" s="17">
        <f>SUBTOTAL(9,K2:K4)</f>
        <v>5867.4889999999996</v>
      </c>
      <c r="L5" s="12" t="s">
        <v>135</v>
      </c>
    </row>
    <row r="6" spans="1:12" hidden="1" outlineLevel="3" x14ac:dyDescent="0.25">
      <c r="A6" s="14" t="s">
        <v>131</v>
      </c>
      <c r="B6" s="14" t="s">
        <v>139</v>
      </c>
      <c r="C6" s="14" t="s">
        <v>140</v>
      </c>
      <c r="D6" s="14" t="s">
        <v>140</v>
      </c>
      <c r="E6" s="14">
        <v>177450</v>
      </c>
      <c r="F6" s="15">
        <v>45762</v>
      </c>
      <c r="G6" s="16">
        <v>926.2</v>
      </c>
      <c r="H6" s="17">
        <f>G6</f>
        <v>926.2</v>
      </c>
      <c r="I6" s="14"/>
      <c r="J6" s="18">
        <v>926.2</v>
      </c>
      <c r="K6" s="17">
        <f>H6-J6</f>
        <v>0</v>
      </c>
      <c r="L6" s="12"/>
    </row>
    <row r="7" spans="1:12" hidden="1" outlineLevel="3" x14ac:dyDescent="0.25">
      <c r="A7" s="14" t="s">
        <v>131</v>
      </c>
      <c r="B7" s="14" t="s">
        <v>139</v>
      </c>
      <c r="C7" s="14" t="s">
        <v>133</v>
      </c>
      <c r="D7" s="14" t="s">
        <v>133</v>
      </c>
      <c r="E7" s="14">
        <v>177450</v>
      </c>
      <c r="F7" s="15">
        <v>45762</v>
      </c>
      <c r="G7" s="16">
        <v>28.38</v>
      </c>
      <c r="H7" s="17">
        <f>G7</f>
        <v>28.38</v>
      </c>
      <c r="I7" s="14"/>
      <c r="J7" s="18">
        <v>28.38</v>
      </c>
      <c r="K7" s="17">
        <f>H7-J7</f>
        <v>0</v>
      </c>
      <c r="L7" s="12"/>
    </row>
    <row r="8" spans="1:12" hidden="1" outlineLevel="3" x14ac:dyDescent="0.25">
      <c r="A8" s="14" t="s">
        <v>131</v>
      </c>
      <c r="B8" s="14" t="s">
        <v>139</v>
      </c>
      <c r="C8" s="14" t="s">
        <v>136</v>
      </c>
      <c r="D8" s="14" t="s">
        <v>136</v>
      </c>
      <c r="E8" s="14">
        <v>177450</v>
      </c>
      <c r="F8" s="15">
        <v>45762</v>
      </c>
      <c r="G8" s="16">
        <v>337.5</v>
      </c>
      <c r="H8" s="17">
        <f>G8</f>
        <v>337.5</v>
      </c>
      <c r="I8" s="14"/>
      <c r="J8" s="18">
        <v>337.5</v>
      </c>
      <c r="K8" s="17">
        <f>H8-J8</f>
        <v>0</v>
      </c>
      <c r="L8" s="12"/>
    </row>
    <row r="9" spans="1:12" hidden="1" outlineLevel="3" x14ac:dyDescent="0.25">
      <c r="A9" s="14" t="s">
        <v>131</v>
      </c>
      <c r="B9" s="14" t="s">
        <v>139</v>
      </c>
      <c r="C9" s="14" t="s">
        <v>137</v>
      </c>
      <c r="D9" s="14" t="s">
        <v>137</v>
      </c>
      <c r="E9" s="14">
        <v>177450</v>
      </c>
      <c r="F9" s="15">
        <v>45762</v>
      </c>
      <c r="G9" s="16">
        <v>341.25</v>
      </c>
      <c r="H9" s="17">
        <f>G9</f>
        <v>341.25</v>
      </c>
      <c r="I9" s="14"/>
      <c r="J9" s="18">
        <v>341.25</v>
      </c>
      <c r="K9" s="17">
        <f>H9-J9</f>
        <v>0</v>
      </c>
      <c r="L9" s="12"/>
    </row>
    <row r="10" spans="1:12" outlineLevel="2" collapsed="1" x14ac:dyDescent="0.25">
      <c r="A10" s="14"/>
      <c r="B10" s="8" t="s">
        <v>141</v>
      </c>
      <c r="C10" s="14"/>
      <c r="D10" s="14"/>
      <c r="E10" s="14"/>
      <c r="F10" s="15"/>
      <c r="G10" s="16">
        <f>SUBTOTAL(9,G6:G9)</f>
        <v>1633.33</v>
      </c>
      <c r="H10" s="17"/>
      <c r="I10" s="14"/>
      <c r="J10" s="18">
        <f>SUBTOTAL(9,J6:J9)</f>
        <v>1633.33</v>
      </c>
      <c r="K10" s="17">
        <f>SUBTOTAL(9,K6:K9)</f>
        <v>0</v>
      </c>
      <c r="L10" s="12"/>
    </row>
    <row r="11" spans="1:12" hidden="1" outlineLevel="3" x14ac:dyDescent="0.25">
      <c r="A11" s="14" t="s">
        <v>131</v>
      </c>
      <c r="B11" s="14" t="s">
        <v>142</v>
      </c>
      <c r="C11" s="14" t="s">
        <v>143</v>
      </c>
      <c r="D11" s="14" t="s">
        <v>143</v>
      </c>
      <c r="E11" s="14">
        <v>177664</v>
      </c>
      <c r="F11" s="15">
        <v>45778</v>
      </c>
      <c r="G11" s="16">
        <v>462</v>
      </c>
      <c r="H11" s="17">
        <f>G11</f>
        <v>462</v>
      </c>
      <c r="I11" s="14"/>
      <c r="J11" s="18">
        <v>462</v>
      </c>
      <c r="K11" s="17">
        <f>H11-J11</f>
        <v>0</v>
      </c>
      <c r="L11" s="12"/>
    </row>
    <row r="12" spans="1:12" hidden="1" outlineLevel="3" x14ac:dyDescent="0.25">
      <c r="A12" s="14" t="s">
        <v>131</v>
      </c>
      <c r="B12" s="14" t="s">
        <v>142</v>
      </c>
      <c r="C12" s="14" t="s">
        <v>133</v>
      </c>
      <c r="D12" s="14" t="s">
        <v>144</v>
      </c>
      <c r="E12" s="14">
        <v>177664</v>
      </c>
      <c r="F12" s="15">
        <v>45778</v>
      </c>
      <c r="G12" s="16">
        <v>158</v>
      </c>
      <c r="H12" s="17">
        <f>G12</f>
        <v>158</v>
      </c>
      <c r="I12" s="14"/>
      <c r="J12" s="18">
        <v>158</v>
      </c>
      <c r="K12" s="17">
        <f>H12-J12</f>
        <v>0</v>
      </c>
      <c r="L12" s="12"/>
    </row>
    <row r="13" spans="1:12" hidden="1" outlineLevel="3" x14ac:dyDescent="0.25">
      <c r="A13" s="14" t="s">
        <v>131</v>
      </c>
      <c r="B13" s="14" t="s">
        <v>142</v>
      </c>
      <c r="C13" s="14" t="s">
        <v>133</v>
      </c>
      <c r="D13" s="14" t="s">
        <v>145</v>
      </c>
      <c r="E13" s="14">
        <v>177664</v>
      </c>
      <c r="F13" s="15">
        <v>45778</v>
      </c>
      <c r="G13" s="16">
        <v>239.63159999999999</v>
      </c>
      <c r="H13" s="17">
        <f>G13</f>
        <v>239.63159999999999</v>
      </c>
      <c r="I13" s="14"/>
      <c r="J13" s="18">
        <v>148.6968</v>
      </c>
      <c r="K13" s="17">
        <f>H13-J13</f>
        <v>90.934799999999996</v>
      </c>
      <c r="L13" s="12" t="s">
        <v>135</v>
      </c>
    </row>
    <row r="14" spans="1:12" hidden="1" outlineLevel="3" x14ac:dyDescent="0.25">
      <c r="A14" s="14" t="s">
        <v>131</v>
      </c>
      <c r="B14" s="14" t="s">
        <v>142</v>
      </c>
      <c r="C14" s="14" t="s">
        <v>136</v>
      </c>
      <c r="D14" s="14" t="s">
        <v>146</v>
      </c>
      <c r="E14" s="14">
        <v>177664</v>
      </c>
      <c r="F14" s="15">
        <v>45778</v>
      </c>
      <c r="G14" s="16">
        <v>505</v>
      </c>
      <c r="H14" s="17">
        <f>G14</f>
        <v>505</v>
      </c>
      <c r="I14" s="14"/>
      <c r="J14" s="18">
        <v>375</v>
      </c>
      <c r="K14" s="17">
        <f>H14-J14</f>
        <v>130</v>
      </c>
      <c r="L14" s="12" t="s">
        <v>135</v>
      </c>
    </row>
    <row r="15" spans="1:12" hidden="1" outlineLevel="3" x14ac:dyDescent="0.25">
      <c r="A15" s="14" t="s">
        <v>131</v>
      </c>
      <c r="B15" s="14" t="s">
        <v>142</v>
      </c>
      <c r="C15" s="14" t="s">
        <v>137</v>
      </c>
      <c r="D15" s="14" t="s">
        <v>147</v>
      </c>
      <c r="E15" s="14">
        <v>177664</v>
      </c>
      <c r="F15" s="15">
        <v>45778</v>
      </c>
      <c r="G15" s="16">
        <v>1770</v>
      </c>
      <c r="H15" s="17">
        <f>G15</f>
        <v>1770</v>
      </c>
      <c r="I15" s="14"/>
      <c r="J15" s="18">
        <v>1777.0032000000001</v>
      </c>
      <c r="K15" s="17">
        <f>H15-J15</f>
        <v>-7.0032000000001062</v>
      </c>
      <c r="L15" s="12"/>
    </row>
    <row r="16" spans="1:12" outlineLevel="2" collapsed="1" x14ac:dyDescent="0.25">
      <c r="A16" s="14"/>
      <c r="B16" s="8" t="s">
        <v>148</v>
      </c>
      <c r="C16" s="14"/>
      <c r="D16" s="14"/>
      <c r="E16" s="14"/>
      <c r="F16" s="15"/>
      <c r="G16" s="16">
        <f>SUBTOTAL(9,G11:G15)</f>
        <v>3134.6315999999997</v>
      </c>
      <c r="H16" s="17"/>
      <c r="I16" s="14"/>
      <c r="J16" s="18">
        <f>SUBTOTAL(9,J11:J15)</f>
        <v>2920.7</v>
      </c>
      <c r="K16" s="17">
        <f>SUBTOTAL(9,K11:K15)</f>
        <v>213.93159999999989</v>
      </c>
      <c r="L16" s="12"/>
    </row>
    <row r="17" spans="1:12" hidden="1" outlineLevel="3" x14ac:dyDescent="0.25">
      <c r="A17" s="14" t="s">
        <v>131</v>
      </c>
      <c r="B17" s="14" t="s">
        <v>149</v>
      </c>
      <c r="C17" s="14" t="s">
        <v>143</v>
      </c>
      <c r="D17" s="14" t="s">
        <v>143</v>
      </c>
      <c r="E17" s="14">
        <v>177665</v>
      </c>
      <c r="F17" s="15">
        <v>45778</v>
      </c>
      <c r="G17" s="16">
        <v>489.6</v>
      </c>
      <c r="H17" s="17">
        <f>G17</f>
        <v>489.6</v>
      </c>
      <c r="I17" s="14"/>
      <c r="J17" s="18">
        <v>172.8</v>
      </c>
      <c r="K17" s="17">
        <f>H17-J17</f>
        <v>316.8</v>
      </c>
      <c r="L17" s="12" t="s">
        <v>150</v>
      </c>
    </row>
    <row r="18" spans="1:12" hidden="1" outlineLevel="3" x14ac:dyDescent="0.25">
      <c r="A18" s="14" t="s">
        <v>131</v>
      </c>
      <c r="B18" s="14" t="s">
        <v>149</v>
      </c>
      <c r="C18" s="14" t="s">
        <v>133</v>
      </c>
      <c r="D18" s="14" t="s">
        <v>151</v>
      </c>
      <c r="E18" s="14">
        <v>177665</v>
      </c>
      <c r="F18" s="15">
        <v>45778</v>
      </c>
      <c r="G18" s="16">
        <v>10.5</v>
      </c>
      <c r="H18" s="17">
        <f>G18</f>
        <v>10.5</v>
      </c>
      <c r="I18" s="14"/>
      <c r="J18" s="18">
        <v>10.5</v>
      </c>
      <c r="K18" s="17">
        <f>H18-J18</f>
        <v>0</v>
      </c>
      <c r="L18" s="12"/>
    </row>
    <row r="19" spans="1:12" ht="30" hidden="1" outlineLevel="3" x14ac:dyDescent="0.25">
      <c r="A19" s="14" t="s">
        <v>131</v>
      </c>
      <c r="B19" s="14" t="s">
        <v>149</v>
      </c>
      <c r="C19" s="14" t="s">
        <v>136</v>
      </c>
      <c r="D19" s="14" t="s">
        <v>136</v>
      </c>
      <c r="E19" s="14">
        <v>177665</v>
      </c>
      <c r="F19" s="15">
        <v>45778</v>
      </c>
      <c r="G19" s="16">
        <v>5361</v>
      </c>
      <c r="H19" s="17">
        <f>G19</f>
        <v>5361</v>
      </c>
      <c r="I19" s="14"/>
      <c r="J19" s="18">
        <v>1797</v>
      </c>
      <c r="K19" s="17">
        <f>H19-J19</f>
        <v>3564</v>
      </c>
      <c r="L19" s="12" t="s">
        <v>152</v>
      </c>
    </row>
    <row r="20" spans="1:12" hidden="1" outlineLevel="3" x14ac:dyDescent="0.25">
      <c r="A20" s="14" t="s">
        <v>131</v>
      </c>
      <c r="B20" s="14" t="s">
        <v>149</v>
      </c>
      <c r="C20" s="14" t="s">
        <v>137</v>
      </c>
      <c r="D20" s="14" t="s">
        <v>137</v>
      </c>
      <c r="E20" s="14">
        <v>177665</v>
      </c>
      <c r="F20" s="15">
        <v>45778</v>
      </c>
      <c r="G20" s="16">
        <v>10253</v>
      </c>
      <c r="H20" s="17">
        <f>G20</f>
        <v>10253</v>
      </c>
      <c r="I20" s="14"/>
      <c r="J20" s="18">
        <v>10294</v>
      </c>
      <c r="K20" s="17">
        <f>H20-J20</f>
        <v>-41</v>
      </c>
      <c r="L20" s="12"/>
    </row>
    <row r="21" spans="1:12" ht="30" outlineLevel="2" collapsed="1" x14ac:dyDescent="0.25">
      <c r="A21" s="14"/>
      <c r="B21" s="8" t="s">
        <v>153</v>
      </c>
      <c r="C21" s="14"/>
      <c r="D21" s="14"/>
      <c r="E21" s="14"/>
      <c r="F21" s="15"/>
      <c r="G21" s="16">
        <f>SUBTOTAL(9,G17:G20)</f>
        <v>16114.1</v>
      </c>
      <c r="H21" s="17"/>
      <c r="I21" s="14"/>
      <c r="J21" s="18">
        <f>SUBTOTAL(9,J17:J20)</f>
        <v>12274.3</v>
      </c>
      <c r="K21" s="17">
        <f>SUBTOTAL(9,K17:K20)</f>
        <v>3839.8</v>
      </c>
      <c r="L21" s="12" t="s">
        <v>152</v>
      </c>
    </row>
    <row r="22" spans="1:12" hidden="1" outlineLevel="3" x14ac:dyDescent="0.25">
      <c r="A22" s="14" t="s">
        <v>131</v>
      </c>
      <c r="B22" s="14" t="s">
        <v>154</v>
      </c>
      <c r="C22" s="14" t="s">
        <v>143</v>
      </c>
      <c r="D22" s="14" t="s">
        <v>143</v>
      </c>
      <c r="E22" s="14">
        <v>177666</v>
      </c>
      <c r="F22" s="15">
        <v>45778</v>
      </c>
      <c r="G22" s="16">
        <v>1694.4</v>
      </c>
      <c r="H22" s="17">
        <f>G22</f>
        <v>1694.4</v>
      </c>
      <c r="I22" s="14"/>
      <c r="J22" s="18">
        <v>1694.4</v>
      </c>
      <c r="K22" s="17">
        <f>H22-J22</f>
        <v>0</v>
      </c>
      <c r="L22" s="12"/>
    </row>
    <row r="23" spans="1:12" hidden="1" outlineLevel="3" x14ac:dyDescent="0.25">
      <c r="A23" s="14" t="s">
        <v>131</v>
      </c>
      <c r="B23" s="14" t="s">
        <v>154</v>
      </c>
      <c r="C23" s="14" t="s">
        <v>133</v>
      </c>
      <c r="D23" s="14" t="s">
        <v>134</v>
      </c>
      <c r="E23" s="14">
        <v>177666</v>
      </c>
      <c r="F23" s="15">
        <v>45778</v>
      </c>
      <c r="G23" s="16">
        <v>507.63125000000002</v>
      </c>
      <c r="H23" s="17">
        <f>G23</f>
        <v>507.63125000000002</v>
      </c>
      <c r="I23" s="14"/>
      <c r="J23" s="18">
        <v>501.11165</v>
      </c>
      <c r="K23" s="17">
        <f>H23-J23</f>
        <v>6.5196000000000254</v>
      </c>
      <c r="L23" s="12"/>
    </row>
    <row r="24" spans="1:12" hidden="1" outlineLevel="3" x14ac:dyDescent="0.25">
      <c r="A24" s="14" t="s">
        <v>131</v>
      </c>
      <c r="B24" s="14" t="s">
        <v>154</v>
      </c>
      <c r="C24" s="14" t="s">
        <v>136</v>
      </c>
      <c r="D24" s="14" t="s">
        <v>155</v>
      </c>
      <c r="E24" s="14">
        <v>177666</v>
      </c>
      <c r="F24" s="15">
        <v>45778</v>
      </c>
      <c r="G24" s="16">
        <v>993</v>
      </c>
      <c r="H24" s="17">
        <f>G24</f>
        <v>993</v>
      </c>
      <c r="I24" s="14"/>
      <c r="J24" s="18">
        <v>1031</v>
      </c>
      <c r="K24" s="17">
        <f>H24-J24</f>
        <v>-38</v>
      </c>
      <c r="L24" s="12"/>
    </row>
    <row r="25" spans="1:12" ht="30" hidden="1" outlineLevel="3" x14ac:dyDescent="0.25">
      <c r="A25" s="14" t="s">
        <v>131</v>
      </c>
      <c r="B25" s="14" t="s">
        <v>154</v>
      </c>
      <c r="C25" s="14" t="s">
        <v>137</v>
      </c>
      <c r="D25" s="14" t="s">
        <v>137</v>
      </c>
      <c r="E25" s="14">
        <v>177666</v>
      </c>
      <c r="F25" s="15">
        <v>45778</v>
      </c>
      <c r="G25" s="16">
        <v>1225.00875</v>
      </c>
      <c r="H25" s="17">
        <f>G25</f>
        <v>1225.00875</v>
      </c>
      <c r="I25" s="14"/>
      <c r="J25" s="18">
        <v>4243</v>
      </c>
      <c r="K25" s="17">
        <f>H25-J25</f>
        <v>-3017.99125</v>
      </c>
      <c r="L25" s="19" t="s">
        <v>156</v>
      </c>
    </row>
    <row r="26" spans="1:12" ht="30" outlineLevel="2" collapsed="1" x14ac:dyDescent="0.25">
      <c r="A26" s="14"/>
      <c r="B26" s="8" t="s">
        <v>157</v>
      </c>
      <c r="C26" s="14"/>
      <c r="D26" s="14"/>
      <c r="E26" s="14"/>
      <c r="F26" s="15"/>
      <c r="G26" s="16">
        <f>SUBTOTAL(9,G22:G25)</f>
        <v>4420.04</v>
      </c>
      <c r="H26" s="17"/>
      <c r="I26" s="14"/>
      <c r="J26" s="18">
        <f>SUBTOTAL(9,J22:J25)</f>
        <v>7469.5116500000004</v>
      </c>
      <c r="K26" s="17">
        <f>SUBTOTAL(9,K22:K25)</f>
        <v>-3049.47165</v>
      </c>
      <c r="L26" s="19" t="s">
        <v>156</v>
      </c>
    </row>
    <row r="27" spans="1:12" hidden="1" outlineLevel="3" x14ac:dyDescent="0.25">
      <c r="A27" s="14" t="s">
        <v>131</v>
      </c>
      <c r="B27" s="14" t="s">
        <v>158</v>
      </c>
      <c r="C27" s="14" t="s">
        <v>143</v>
      </c>
      <c r="D27" s="14" t="s">
        <v>159</v>
      </c>
      <c r="E27" s="14">
        <v>177915</v>
      </c>
      <c r="F27" s="15">
        <v>45778</v>
      </c>
      <c r="G27" s="16">
        <v>994</v>
      </c>
      <c r="H27" s="17">
        <f>G27</f>
        <v>994</v>
      </c>
      <c r="I27" s="14"/>
      <c r="J27" s="18">
        <v>994</v>
      </c>
      <c r="K27" s="17">
        <f>H27-J27</f>
        <v>0</v>
      </c>
      <c r="L27" s="12"/>
    </row>
    <row r="28" spans="1:12" hidden="1" outlineLevel="3" x14ac:dyDescent="0.25">
      <c r="A28" s="14" t="s">
        <v>131</v>
      </c>
      <c r="B28" s="14" t="s">
        <v>158</v>
      </c>
      <c r="C28" s="14" t="s">
        <v>133</v>
      </c>
      <c r="D28" s="14" t="s">
        <v>133</v>
      </c>
      <c r="E28" s="14">
        <v>177915</v>
      </c>
      <c r="F28" s="15">
        <v>45778</v>
      </c>
      <c r="G28" s="16">
        <v>625.51</v>
      </c>
      <c r="H28" s="17">
        <f>G28</f>
        <v>625.51</v>
      </c>
      <c r="I28" s="14"/>
      <c r="J28" s="18">
        <v>625.51</v>
      </c>
      <c r="K28" s="17">
        <f>H28-J28</f>
        <v>0</v>
      </c>
      <c r="L28" s="12"/>
    </row>
    <row r="29" spans="1:12" hidden="1" outlineLevel="3" x14ac:dyDescent="0.25">
      <c r="A29" s="14" t="s">
        <v>131</v>
      </c>
      <c r="B29" s="14" t="s">
        <v>158</v>
      </c>
      <c r="C29" s="14" t="s">
        <v>136</v>
      </c>
      <c r="D29" s="14" t="s">
        <v>160</v>
      </c>
      <c r="E29" s="14">
        <v>177915</v>
      </c>
      <c r="F29" s="15">
        <v>45778</v>
      </c>
      <c r="G29" s="16">
        <v>883.5</v>
      </c>
      <c r="H29" s="17">
        <f>G29</f>
        <v>883.5</v>
      </c>
      <c r="I29" s="14"/>
      <c r="J29" s="18">
        <v>890</v>
      </c>
      <c r="K29" s="17">
        <f>H29-J29</f>
        <v>-6.5</v>
      </c>
      <c r="L29" s="12"/>
    </row>
    <row r="30" spans="1:12" hidden="1" outlineLevel="3" x14ac:dyDescent="0.25">
      <c r="A30" s="20" t="s">
        <v>131</v>
      </c>
      <c r="B30" s="20" t="s">
        <v>158</v>
      </c>
      <c r="C30" s="20" t="s">
        <v>137</v>
      </c>
      <c r="D30" s="20" t="s">
        <v>161</v>
      </c>
      <c r="E30" s="20">
        <v>177915</v>
      </c>
      <c r="F30" s="21">
        <v>45778</v>
      </c>
      <c r="G30" s="22">
        <v>735.2</v>
      </c>
      <c r="H30" s="23">
        <f>G30</f>
        <v>735.2</v>
      </c>
      <c r="I30" s="20"/>
      <c r="J30" s="24">
        <v>716.85</v>
      </c>
      <c r="K30" s="23">
        <f>H30-J30</f>
        <v>18.350000000000023</v>
      </c>
      <c r="L30" s="25" t="s">
        <v>162</v>
      </c>
    </row>
    <row r="31" spans="1:12" outlineLevel="2" collapsed="1" x14ac:dyDescent="0.25">
      <c r="A31" s="20"/>
      <c r="B31" s="26" t="s">
        <v>163</v>
      </c>
      <c r="C31" s="20"/>
      <c r="D31" s="20"/>
      <c r="E31" s="20"/>
      <c r="F31" s="21"/>
      <c r="G31" s="22">
        <f>SUBTOTAL(9,G27:G30)</f>
        <v>3238.21</v>
      </c>
      <c r="H31" s="23"/>
      <c r="I31" s="20"/>
      <c r="J31" s="24">
        <f>SUBTOTAL(9,J27:J30)</f>
        <v>3226.36</v>
      </c>
      <c r="K31" s="23">
        <f>SUBTOTAL(9,K27:K30)</f>
        <v>11.850000000000023</v>
      </c>
      <c r="L31" s="25" t="s">
        <v>162</v>
      </c>
    </row>
    <row r="32" spans="1:12" hidden="1" outlineLevel="3" x14ac:dyDescent="0.25">
      <c r="A32" s="14" t="s">
        <v>131</v>
      </c>
      <c r="B32" s="14" t="s">
        <v>164</v>
      </c>
      <c r="C32" s="14" t="s">
        <v>136</v>
      </c>
      <c r="D32" s="14" t="s">
        <v>136</v>
      </c>
      <c r="E32" s="14">
        <v>177668</v>
      </c>
      <c r="F32" s="15">
        <v>45778</v>
      </c>
      <c r="G32" s="16">
        <v>4954</v>
      </c>
      <c r="H32" s="17">
        <f>G32</f>
        <v>4954</v>
      </c>
      <c r="I32" s="14"/>
      <c r="J32" s="18">
        <v>3139</v>
      </c>
      <c r="K32" s="17">
        <f>H32-J32</f>
        <v>1815</v>
      </c>
      <c r="L32" s="12" t="s">
        <v>135</v>
      </c>
    </row>
    <row r="33" spans="1:12" hidden="1" outlineLevel="3" x14ac:dyDescent="0.25">
      <c r="A33" s="14" t="s">
        <v>131</v>
      </c>
      <c r="B33" s="14" t="s">
        <v>164</v>
      </c>
      <c r="C33" s="14" t="s">
        <v>137</v>
      </c>
      <c r="D33" s="14" t="s">
        <v>137</v>
      </c>
      <c r="E33" s="14">
        <v>177668</v>
      </c>
      <c r="F33" s="15">
        <v>45778</v>
      </c>
      <c r="G33" s="16">
        <v>7068</v>
      </c>
      <c r="H33" s="17">
        <f>G33</f>
        <v>7068</v>
      </c>
      <c r="I33" s="14"/>
      <c r="J33" s="18">
        <v>6780</v>
      </c>
      <c r="K33" s="17">
        <f>H33-J33</f>
        <v>288</v>
      </c>
      <c r="L33" s="12"/>
    </row>
    <row r="34" spans="1:12" outlineLevel="2" collapsed="1" x14ac:dyDescent="0.25">
      <c r="A34" s="14"/>
      <c r="B34" s="8" t="s">
        <v>165</v>
      </c>
      <c r="C34" s="14"/>
      <c r="D34" s="14"/>
      <c r="E34" s="14"/>
      <c r="F34" s="15"/>
      <c r="G34" s="16">
        <f>SUBTOTAL(9,G32:G33)</f>
        <v>12022</v>
      </c>
      <c r="H34" s="17"/>
      <c r="I34" s="14"/>
      <c r="J34" s="18">
        <f>SUBTOTAL(9,J32:J33)</f>
        <v>9919</v>
      </c>
      <c r="K34" s="17">
        <f>SUBTOTAL(9,K32:K33)</f>
        <v>2103</v>
      </c>
      <c r="L34" s="12" t="s">
        <v>135</v>
      </c>
    </row>
    <row r="35" spans="1:12" hidden="1" outlineLevel="3" x14ac:dyDescent="0.25">
      <c r="A35" s="14" t="s">
        <v>131</v>
      </c>
      <c r="B35" s="14" t="s">
        <v>166</v>
      </c>
      <c r="C35" s="14" t="s">
        <v>133</v>
      </c>
      <c r="D35" s="14" t="s">
        <v>133</v>
      </c>
      <c r="E35" s="14">
        <v>177631</v>
      </c>
      <c r="F35" s="15">
        <v>45778</v>
      </c>
      <c r="G35" s="16">
        <v>250</v>
      </c>
      <c r="H35" s="17">
        <f>G35</f>
        <v>250</v>
      </c>
      <c r="I35" s="14"/>
      <c r="J35" s="18">
        <v>250</v>
      </c>
      <c r="K35" s="17">
        <f>H35-J35</f>
        <v>0</v>
      </c>
      <c r="L35" s="12"/>
    </row>
    <row r="36" spans="1:12" hidden="1" outlineLevel="3" x14ac:dyDescent="0.25">
      <c r="A36" s="14" t="s">
        <v>131</v>
      </c>
      <c r="B36" s="14" t="s">
        <v>166</v>
      </c>
      <c r="C36" s="14" t="s">
        <v>136</v>
      </c>
      <c r="D36" s="14" t="s">
        <v>136</v>
      </c>
      <c r="E36" s="14">
        <v>177631</v>
      </c>
      <c r="F36" s="15">
        <v>45778</v>
      </c>
      <c r="G36" s="16">
        <v>1600</v>
      </c>
      <c r="H36" s="17">
        <f>G36</f>
        <v>1600</v>
      </c>
      <c r="I36" s="14"/>
      <c r="J36" s="18">
        <v>1600</v>
      </c>
      <c r="K36" s="17">
        <f>H36-J36</f>
        <v>0</v>
      </c>
      <c r="L36" s="12"/>
    </row>
    <row r="37" spans="1:12" hidden="1" outlineLevel="3" x14ac:dyDescent="0.25">
      <c r="A37" s="14" t="s">
        <v>131</v>
      </c>
      <c r="B37" s="14" t="s">
        <v>166</v>
      </c>
      <c r="C37" s="14" t="s">
        <v>137</v>
      </c>
      <c r="D37" s="14" t="s">
        <v>137</v>
      </c>
      <c r="E37" s="14">
        <v>177631</v>
      </c>
      <c r="F37" s="15">
        <v>45778</v>
      </c>
      <c r="G37" s="16">
        <v>3288.79</v>
      </c>
      <c r="H37" s="17">
        <f>G37</f>
        <v>3288.79</v>
      </c>
      <c r="I37" s="14"/>
      <c r="J37" s="18">
        <v>3288.79</v>
      </c>
      <c r="K37" s="17">
        <f>H37-J37</f>
        <v>0</v>
      </c>
      <c r="L37" s="12"/>
    </row>
    <row r="38" spans="1:12" outlineLevel="2" collapsed="1" x14ac:dyDescent="0.25">
      <c r="A38" s="14"/>
      <c r="B38" s="8" t="s">
        <v>167</v>
      </c>
      <c r="C38" s="14"/>
      <c r="D38" s="14"/>
      <c r="E38" s="14"/>
      <c r="F38" s="15"/>
      <c r="G38" s="16">
        <f>SUBTOTAL(9,G35:G37)</f>
        <v>5138.79</v>
      </c>
      <c r="H38" s="17"/>
      <c r="I38" s="14"/>
      <c r="J38" s="18">
        <f>SUBTOTAL(9,J35:J37)</f>
        <v>5138.79</v>
      </c>
      <c r="K38" s="17">
        <f>SUBTOTAL(9,K35:K37)</f>
        <v>0</v>
      </c>
      <c r="L38" s="12"/>
    </row>
    <row r="39" spans="1:12" hidden="1" outlineLevel="3" x14ac:dyDescent="0.25">
      <c r="A39" s="14" t="s">
        <v>131</v>
      </c>
      <c r="B39" s="14" t="s">
        <v>168</v>
      </c>
      <c r="C39" s="14" t="s">
        <v>143</v>
      </c>
      <c r="D39" s="14" t="s">
        <v>169</v>
      </c>
      <c r="E39" s="14" t="s">
        <v>170</v>
      </c>
      <c r="F39" s="15">
        <v>45778</v>
      </c>
      <c r="G39" s="16">
        <v>375</v>
      </c>
      <c r="H39" s="17">
        <f>G39</f>
        <v>375</v>
      </c>
      <c r="I39" s="14"/>
      <c r="J39" s="18">
        <v>350</v>
      </c>
      <c r="K39" s="17">
        <f>H39-J39</f>
        <v>25</v>
      </c>
      <c r="L39" s="12"/>
    </row>
    <row r="40" spans="1:12" hidden="1" outlineLevel="3" x14ac:dyDescent="0.25">
      <c r="A40" s="14" t="s">
        <v>131</v>
      </c>
      <c r="B40" s="14" t="s">
        <v>168</v>
      </c>
      <c r="C40" s="14" t="s">
        <v>133</v>
      </c>
      <c r="D40" s="14" t="s">
        <v>133</v>
      </c>
      <c r="E40" s="14" t="s">
        <v>170</v>
      </c>
      <c r="F40" s="15">
        <v>45778</v>
      </c>
      <c r="G40" s="16">
        <v>646.62239999999997</v>
      </c>
      <c r="H40" s="17">
        <f>G40</f>
        <v>646.62239999999997</v>
      </c>
      <c r="I40" s="14"/>
      <c r="J40" s="18">
        <v>510.63959999999997</v>
      </c>
      <c r="K40" s="17">
        <f>H40-J40</f>
        <v>135.9828</v>
      </c>
      <c r="L40" s="12"/>
    </row>
    <row r="41" spans="1:12" hidden="1" outlineLevel="3" x14ac:dyDescent="0.25">
      <c r="A41" s="14" t="s">
        <v>131</v>
      </c>
      <c r="B41" s="14" t="s">
        <v>168</v>
      </c>
      <c r="C41" s="14" t="s">
        <v>136</v>
      </c>
      <c r="D41" s="14" t="s">
        <v>136</v>
      </c>
      <c r="E41" s="14" t="s">
        <v>170</v>
      </c>
      <c r="F41" s="15">
        <v>45778</v>
      </c>
      <c r="G41" s="16">
        <v>538.5</v>
      </c>
      <c r="H41" s="17">
        <f>G41</f>
        <v>538.5</v>
      </c>
      <c r="I41" s="14"/>
      <c r="J41" s="18">
        <v>517.5</v>
      </c>
      <c r="K41" s="17">
        <f>H41-J41</f>
        <v>21</v>
      </c>
      <c r="L41" s="12"/>
    </row>
    <row r="42" spans="1:12" hidden="1" outlineLevel="3" x14ac:dyDescent="0.25">
      <c r="A42" s="14" t="s">
        <v>131</v>
      </c>
      <c r="B42" s="14" t="s">
        <v>168</v>
      </c>
      <c r="C42" s="14" t="s">
        <v>137</v>
      </c>
      <c r="D42" s="14" t="s">
        <v>137</v>
      </c>
      <c r="E42" s="14" t="s">
        <v>170</v>
      </c>
      <c r="F42" s="15">
        <v>45778</v>
      </c>
      <c r="G42" s="16">
        <v>1758.09</v>
      </c>
      <c r="H42" s="17">
        <f>G42</f>
        <v>1758.09</v>
      </c>
      <c r="I42" s="14"/>
      <c r="J42" s="18">
        <v>1758.0904</v>
      </c>
      <c r="K42" s="17">
        <f>H42-J42</f>
        <v>-4.0000000012696546E-4</v>
      </c>
      <c r="L42" s="12"/>
    </row>
    <row r="43" spans="1:12" hidden="1" outlineLevel="3" x14ac:dyDescent="0.25">
      <c r="A43" s="14" t="s">
        <v>131</v>
      </c>
      <c r="B43" s="14" t="s">
        <v>168</v>
      </c>
      <c r="C43" s="14"/>
      <c r="D43" s="14"/>
      <c r="E43" s="14" t="s">
        <v>171</v>
      </c>
      <c r="F43" s="14"/>
      <c r="G43" s="27">
        <v>-23.57</v>
      </c>
      <c r="H43" s="27">
        <f>G43</f>
        <v>-23.57</v>
      </c>
      <c r="I43" s="14"/>
      <c r="J43" s="28"/>
      <c r="K43" s="17">
        <f>H43-J43</f>
        <v>-23.57</v>
      </c>
      <c r="L43" s="12" t="s">
        <v>172</v>
      </c>
    </row>
    <row r="44" spans="1:12" outlineLevel="2" collapsed="1" x14ac:dyDescent="0.25">
      <c r="A44" s="14"/>
      <c r="B44" s="8" t="s">
        <v>173</v>
      </c>
      <c r="C44" s="14"/>
      <c r="D44" s="14"/>
      <c r="E44" s="14"/>
      <c r="F44" s="14"/>
      <c r="G44" s="27">
        <f>SUBTOTAL(9,G39:G43)</f>
        <v>3294.6423999999997</v>
      </c>
      <c r="H44" s="27"/>
      <c r="I44" s="14"/>
      <c r="J44" s="28">
        <f>SUBTOTAL(9,J39:J43)</f>
        <v>3136.23</v>
      </c>
      <c r="K44" s="17">
        <f>SUBTOTAL(9,K39:K43)</f>
        <v>158.41239999999988</v>
      </c>
      <c r="L44" s="12"/>
    </row>
    <row r="45" spans="1:12" hidden="1" outlineLevel="3" x14ac:dyDescent="0.25">
      <c r="A45" s="14" t="s">
        <v>131</v>
      </c>
      <c r="B45" s="14" t="s">
        <v>174</v>
      </c>
      <c r="C45" s="14" t="s">
        <v>143</v>
      </c>
      <c r="D45" s="14" t="s">
        <v>143</v>
      </c>
      <c r="E45" s="14">
        <v>177669</v>
      </c>
      <c r="F45" s="15">
        <v>45778</v>
      </c>
      <c r="G45" s="16">
        <v>636</v>
      </c>
      <c r="H45" s="17">
        <f>G45</f>
        <v>636</v>
      </c>
      <c r="I45" s="14"/>
      <c r="J45" s="18">
        <v>636</v>
      </c>
      <c r="K45" s="17">
        <f>H45-J45</f>
        <v>0</v>
      </c>
      <c r="L45" s="12"/>
    </row>
    <row r="46" spans="1:12" hidden="1" outlineLevel="3" x14ac:dyDescent="0.25">
      <c r="A46" s="14" t="s">
        <v>131</v>
      </c>
      <c r="B46" s="14" t="s">
        <v>174</v>
      </c>
      <c r="C46" s="14" t="s">
        <v>133</v>
      </c>
      <c r="D46" s="14" t="s">
        <v>133</v>
      </c>
      <c r="E46" s="14">
        <v>177669</v>
      </c>
      <c r="F46" s="15">
        <v>45778</v>
      </c>
      <c r="G46" s="16">
        <v>142</v>
      </c>
      <c r="H46" s="17">
        <f>G46</f>
        <v>142</v>
      </c>
      <c r="I46" s="14"/>
      <c r="J46" s="18">
        <v>154</v>
      </c>
      <c r="K46" s="17">
        <f>H46-J46</f>
        <v>-12</v>
      </c>
      <c r="L46" s="12"/>
    </row>
    <row r="47" spans="1:12" hidden="1" outlineLevel="3" x14ac:dyDescent="0.25">
      <c r="A47" s="14" t="s">
        <v>131</v>
      </c>
      <c r="B47" s="14" t="s">
        <v>174</v>
      </c>
      <c r="C47" s="14" t="s">
        <v>136</v>
      </c>
      <c r="D47" s="14" t="s">
        <v>136</v>
      </c>
      <c r="E47" s="14">
        <v>177669</v>
      </c>
      <c r="F47" s="15">
        <v>45778</v>
      </c>
      <c r="G47" s="16">
        <v>969</v>
      </c>
      <c r="H47" s="17">
        <f>G47</f>
        <v>969</v>
      </c>
      <c r="I47" s="14"/>
      <c r="J47" s="18">
        <v>478</v>
      </c>
      <c r="K47" s="17">
        <f>H47-J47</f>
        <v>491</v>
      </c>
      <c r="L47" s="12" t="s">
        <v>135</v>
      </c>
    </row>
    <row r="48" spans="1:12" hidden="1" outlineLevel="3" x14ac:dyDescent="0.25">
      <c r="A48" s="14" t="s">
        <v>131</v>
      </c>
      <c r="B48" s="14" t="s">
        <v>174</v>
      </c>
      <c r="C48" s="14" t="s">
        <v>137</v>
      </c>
      <c r="D48" s="14" t="s">
        <v>137</v>
      </c>
      <c r="E48" s="14">
        <v>177669</v>
      </c>
      <c r="F48" s="15">
        <v>45778</v>
      </c>
      <c r="G48" s="16">
        <v>1964.35</v>
      </c>
      <c r="H48" s="17">
        <f>G48</f>
        <v>1964.35</v>
      </c>
      <c r="I48" s="14"/>
      <c r="J48" s="18">
        <v>2190.9499999999998</v>
      </c>
      <c r="K48" s="17">
        <f>H48-J48</f>
        <v>-226.59999999999991</v>
      </c>
      <c r="L48" s="12"/>
    </row>
    <row r="49" spans="1:12" outlineLevel="2" collapsed="1" x14ac:dyDescent="0.25">
      <c r="A49" s="14"/>
      <c r="B49" s="8" t="s">
        <v>175</v>
      </c>
      <c r="C49" s="14"/>
      <c r="D49" s="14"/>
      <c r="E49" s="14"/>
      <c r="F49" s="15"/>
      <c r="G49" s="16">
        <f>SUBTOTAL(9,G45:G48)</f>
        <v>3711.35</v>
      </c>
      <c r="H49" s="17"/>
      <c r="I49" s="14"/>
      <c r="J49" s="18">
        <f>SUBTOTAL(9,J45:J48)</f>
        <v>3458.95</v>
      </c>
      <c r="K49" s="17">
        <f>SUBTOTAL(9,K45:K48)</f>
        <v>252.40000000000009</v>
      </c>
      <c r="L49" s="12"/>
    </row>
    <row r="50" spans="1:12" hidden="1" outlineLevel="3" x14ac:dyDescent="0.25">
      <c r="A50" s="29" t="s">
        <v>131</v>
      </c>
      <c r="B50" s="29" t="s">
        <v>176</v>
      </c>
      <c r="C50" s="29" t="s">
        <v>140</v>
      </c>
      <c r="D50" s="29" t="s">
        <v>140</v>
      </c>
      <c r="E50" s="29">
        <v>177919</v>
      </c>
      <c r="F50" s="30">
        <v>45778</v>
      </c>
      <c r="G50" s="31">
        <v>260</v>
      </c>
      <c r="H50" s="32">
        <f>G50</f>
        <v>260</v>
      </c>
      <c r="I50" s="29"/>
      <c r="J50" s="33">
        <v>0</v>
      </c>
      <c r="K50" s="32">
        <f>H50-J50</f>
        <v>260</v>
      </c>
      <c r="L50" s="12" t="s">
        <v>177</v>
      </c>
    </row>
    <row r="51" spans="1:12" hidden="1" outlineLevel="3" x14ac:dyDescent="0.25">
      <c r="A51" s="14" t="s">
        <v>131</v>
      </c>
      <c r="B51" s="14" t="s">
        <v>176</v>
      </c>
      <c r="C51" s="14" t="s">
        <v>133</v>
      </c>
      <c r="D51" s="14" t="s">
        <v>133</v>
      </c>
      <c r="E51" s="14">
        <v>177962</v>
      </c>
      <c r="F51" s="15">
        <v>45778</v>
      </c>
      <c r="G51" s="16">
        <v>3427.8398000000002</v>
      </c>
      <c r="H51" s="17">
        <f>G51</f>
        <v>3427.8398000000002</v>
      </c>
      <c r="I51" s="14"/>
      <c r="J51" s="18">
        <v>3317</v>
      </c>
      <c r="K51" s="17">
        <f>H51-J51</f>
        <v>110.8398000000002</v>
      </c>
      <c r="L51" s="12"/>
    </row>
    <row r="52" spans="1:12" hidden="1" outlineLevel="3" x14ac:dyDescent="0.25">
      <c r="A52" s="14" t="s">
        <v>131</v>
      </c>
      <c r="B52" s="14" t="s">
        <v>176</v>
      </c>
      <c r="C52" s="14" t="s">
        <v>136</v>
      </c>
      <c r="D52" s="14" t="s">
        <v>136</v>
      </c>
      <c r="E52" s="14">
        <v>177962</v>
      </c>
      <c r="F52" s="15">
        <v>45778</v>
      </c>
      <c r="G52" s="16">
        <v>3764</v>
      </c>
      <c r="H52" s="17">
        <f>G52</f>
        <v>3764</v>
      </c>
      <c r="I52" s="14"/>
      <c r="J52" s="18">
        <v>815</v>
      </c>
      <c r="K52" s="17">
        <f>H52-J52</f>
        <v>2949</v>
      </c>
      <c r="L52" s="12" t="s">
        <v>135</v>
      </c>
    </row>
    <row r="53" spans="1:12" hidden="1" outlineLevel="3" x14ac:dyDescent="0.25">
      <c r="A53" s="14" t="s">
        <v>131</v>
      </c>
      <c r="B53" s="14" t="s">
        <v>176</v>
      </c>
      <c r="C53" s="14" t="s">
        <v>137</v>
      </c>
      <c r="D53" s="14" t="s">
        <v>137</v>
      </c>
      <c r="E53" s="14">
        <v>177962</v>
      </c>
      <c r="F53" s="15">
        <v>45778</v>
      </c>
      <c r="G53" s="16">
        <v>9415.0002000000004</v>
      </c>
      <c r="H53" s="17">
        <f>G53</f>
        <v>9415.0002000000004</v>
      </c>
      <c r="I53" s="14"/>
      <c r="J53" s="18">
        <v>9500</v>
      </c>
      <c r="K53" s="17">
        <f>H53-J53</f>
        <v>-84.999799999999595</v>
      </c>
      <c r="L53" s="12"/>
    </row>
    <row r="54" spans="1:12" ht="30" outlineLevel="2" collapsed="1" x14ac:dyDescent="0.25">
      <c r="A54" s="14"/>
      <c r="B54" s="8" t="s">
        <v>178</v>
      </c>
      <c r="C54" s="14"/>
      <c r="D54" s="14"/>
      <c r="E54" s="14"/>
      <c r="F54" s="15"/>
      <c r="G54" s="16">
        <f>SUBTOTAL(9,G50:G53)</f>
        <v>16866.84</v>
      </c>
      <c r="H54" s="17"/>
      <c r="I54" s="14"/>
      <c r="J54" s="18">
        <f>SUBTOTAL(9,J50:J53)</f>
        <v>13632</v>
      </c>
      <c r="K54" s="17">
        <f>SUBTOTAL(9,K50:K53)</f>
        <v>3234.8400000000006</v>
      </c>
      <c r="L54" s="12" t="s">
        <v>179</v>
      </c>
    </row>
    <row r="55" spans="1:12" hidden="1" outlineLevel="3" x14ac:dyDescent="0.25">
      <c r="A55" s="14" t="s">
        <v>131</v>
      </c>
      <c r="B55" s="14" t="s">
        <v>180</v>
      </c>
      <c r="C55" s="14" t="s">
        <v>133</v>
      </c>
      <c r="D55" s="14" t="s">
        <v>133</v>
      </c>
      <c r="E55" s="14">
        <v>177936</v>
      </c>
      <c r="F55" s="15">
        <v>45778</v>
      </c>
      <c r="G55" s="16">
        <v>456</v>
      </c>
      <c r="H55" s="17">
        <f>G55</f>
        <v>456</v>
      </c>
      <c r="I55" s="14"/>
      <c r="J55" s="18">
        <v>72</v>
      </c>
      <c r="K55" s="17">
        <f>H55-J55</f>
        <v>384</v>
      </c>
      <c r="L55" s="12" t="s">
        <v>135</v>
      </c>
    </row>
    <row r="56" spans="1:12" hidden="1" outlineLevel="3" x14ac:dyDescent="0.25">
      <c r="A56" s="14" t="s">
        <v>131</v>
      </c>
      <c r="B56" s="14" t="s">
        <v>180</v>
      </c>
      <c r="C56" s="14" t="s">
        <v>136</v>
      </c>
      <c r="D56" s="14" t="s">
        <v>136</v>
      </c>
      <c r="E56" s="14">
        <v>177936</v>
      </c>
      <c r="F56" s="15">
        <v>45778</v>
      </c>
      <c r="G56" s="16">
        <v>419</v>
      </c>
      <c r="H56" s="17">
        <f>G56</f>
        <v>419</v>
      </c>
      <c r="I56" s="14"/>
      <c r="J56" s="18">
        <v>80</v>
      </c>
      <c r="K56" s="17">
        <f>H56-J56</f>
        <v>339</v>
      </c>
      <c r="L56" s="12" t="s">
        <v>135</v>
      </c>
    </row>
    <row r="57" spans="1:12" hidden="1" outlineLevel="3" x14ac:dyDescent="0.25">
      <c r="A57" s="14" t="s">
        <v>131</v>
      </c>
      <c r="B57" s="14" t="s">
        <v>180</v>
      </c>
      <c r="C57" s="14" t="s">
        <v>137</v>
      </c>
      <c r="D57" s="14" t="s">
        <v>181</v>
      </c>
      <c r="E57" s="14">
        <v>177936</v>
      </c>
      <c r="F57" s="15">
        <v>45778</v>
      </c>
      <c r="G57" s="16">
        <v>1235</v>
      </c>
      <c r="H57" s="17">
        <f>G57</f>
        <v>1235</v>
      </c>
      <c r="I57" s="14"/>
      <c r="J57" s="18">
        <v>891</v>
      </c>
      <c r="K57" s="17">
        <f>H57-J57</f>
        <v>344</v>
      </c>
      <c r="L57" s="12" t="s">
        <v>135</v>
      </c>
    </row>
    <row r="58" spans="1:12" outlineLevel="2" collapsed="1" x14ac:dyDescent="0.25">
      <c r="A58" s="14"/>
      <c r="B58" s="8" t="s">
        <v>182</v>
      </c>
      <c r="C58" s="14"/>
      <c r="D58" s="14"/>
      <c r="E58" s="14"/>
      <c r="F58" s="15"/>
      <c r="G58" s="16">
        <f>SUBTOTAL(9,G55:G57)</f>
        <v>2110</v>
      </c>
      <c r="H58" s="17"/>
      <c r="I58" s="14"/>
      <c r="J58" s="18">
        <f>SUBTOTAL(9,J55:J57)</f>
        <v>1043</v>
      </c>
      <c r="K58" s="17">
        <f>SUBTOTAL(9,K55:K57)</f>
        <v>1067</v>
      </c>
      <c r="L58" s="12" t="s">
        <v>135</v>
      </c>
    </row>
    <row r="59" spans="1:12" hidden="1" outlineLevel="3" x14ac:dyDescent="0.25">
      <c r="A59" s="14" t="s">
        <v>131</v>
      </c>
      <c r="B59" s="14" t="s">
        <v>183</v>
      </c>
      <c r="C59" s="14" t="s">
        <v>140</v>
      </c>
      <c r="D59" s="14" t="s">
        <v>184</v>
      </c>
      <c r="E59" s="14">
        <v>177451</v>
      </c>
      <c r="F59" s="15">
        <v>45762</v>
      </c>
      <c r="G59" s="16">
        <v>530.5</v>
      </c>
      <c r="H59" s="17">
        <f>G59</f>
        <v>530.5</v>
      </c>
      <c r="I59" s="14"/>
      <c r="J59" s="18">
        <v>530.5</v>
      </c>
      <c r="K59" s="17">
        <f>H59-J59</f>
        <v>0</v>
      </c>
      <c r="L59" s="12"/>
    </row>
    <row r="60" spans="1:12" hidden="1" outlineLevel="3" x14ac:dyDescent="0.25">
      <c r="A60" s="14" t="s">
        <v>131</v>
      </c>
      <c r="B60" s="14" t="s">
        <v>183</v>
      </c>
      <c r="C60" s="14" t="s">
        <v>133</v>
      </c>
      <c r="D60" s="14" t="s">
        <v>133</v>
      </c>
      <c r="E60" s="14">
        <v>177451</v>
      </c>
      <c r="F60" s="15">
        <v>45762</v>
      </c>
      <c r="G60" s="16">
        <v>1540</v>
      </c>
      <c r="H60" s="17">
        <f>G60</f>
        <v>1540</v>
      </c>
      <c r="I60" s="14"/>
      <c r="J60" s="18">
        <v>1540</v>
      </c>
      <c r="K60" s="17">
        <f>H60-J60</f>
        <v>0</v>
      </c>
      <c r="L60" s="12"/>
    </row>
    <row r="61" spans="1:12" hidden="1" outlineLevel="3" x14ac:dyDescent="0.25">
      <c r="A61" s="14" t="s">
        <v>131</v>
      </c>
      <c r="B61" s="14" t="s">
        <v>183</v>
      </c>
      <c r="C61" s="14" t="s">
        <v>136</v>
      </c>
      <c r="D61" s="14" t="s">
        <v>136</v>
      </c>
      <c r="E61" s="14">
        <v>177451</v>
      </c>
      <c r="F61" s="15">
        <v>45762</v>
      </c>
      <c r="G61" s="16">
        <v>250</v>
      </c>
      <c r="H61" s="17">
        <f>G61</f>
        <v>250</v>
      </c>
      <c r="I61" s="14"/>
      <c r="J61" s="18">
        <v>250</v>
      </c>
      <c r="K61" s="17">
        <f>H61-J61</f>
        <v>0</v>
      </c>
      <c r="L61" s="12"/>
    </row>
    <row r="62" spans="1:12" hidden="1" outlineLevel="3" x14ac:dyDescent="0.25">
      <c r="A62" s="14" t="s">
        <v>131</v>
      </c>
      <c r="B62" s="14" t="s">
        <v>183</v>
      </c>
      <c r="C62" s="14" t="s">
        <v>137</v>
      </c>
      <c r="D62" s="14" t="s">
        <v>137</v>
      </c>
      <c r="E62" s="14">
        <v>177451</v>
      </c>
      <c r="F62" s="15">
        <v>45762</v>
      </c>
      <c r="G62" s="16">
        <v>2520</v>
      </c>
      <c r="H62" s="17">
        <f>G62</f>
        <v>2520</v>
      </c>
      <c r="I62" s="14"/>
      <c r="J62" s="18">
        <v>2520</v>
      </c>
      <c r="K62" s="17">
        <f>H62-J62</f>
        <v>0</v>
      </c>
      <c r="L62" s="12"/>
    </row>
    <row r="63" spans="1:12" outlineLevel="2" collapsed="1" x14ac:dyDescent="0.25">
      <c r="A63" s="14"/>
      <c r="B63" s="8" t="s">
        <v>185</v>
      </c>
      <c r="C63" s="14"/>
      <c r="D63" s="14"/>
      <c r="E63" s="14"/>
      <c r="F63" s="15"/>
      <c r="G63" s="16">
        <f>SUBTOTAL(9,G59:G62)</f>
        <v>4840.5</v>
      </c>
      <c r="H63" s="17"/>
      <c r="I63" s="14"/>
      <c r="J63" s="18">
        <f>SUBTOTAL(9,J59:J62)</f>
        <v>4840.5</v>
      </c>
      <c r="K63" s="17">
        <f>SUBTOTAL(9,K59:K62)</f>
        <v>0</v>
      </c>
      <c r="L63" s="12"/>
    </row>
    <row r="64" spans="1:12" hidden="1" outlineLevel="3" x14ac:dyDescent="0.25">
      <c r="A64" s="34" t="s">
        <v>131</v>
      </c>
      <c r="B64" s="34" t="s">
        <v>186</v>
      </c>
      <c r="C64" s="34" t="s">
        <v>133</v>
      </c>
      <c r="D64" s="34" t="s">
        <v>133</v>
      </c>
      <c r="E64" s="34"/>
      <c r="F64" s="35"/>
      <c r="G64" s="36">
        <v>-766.7</v>
      </c>
      <c r="H64" s="36">
        <f>G64</f>
        <v>-766.7</v>
      </c>
      <c r="I64" s="34"/>
      <c r="J64" s="36">
        <v>55</v>
      </c>
      <c r="K64" s="37">
        <f>H64-J64</f>
        <v>-821.7</v>
      </c>
      <c r="L64" s="38" t="s">
        <v>187</v>
      </c>
    </row>
    <row r="65" spans="1:12" hidden="1" outlineLevel="3" x14ac:dyDescent="0.25">
      <c r="A65" s="34" t="s">
        <v>131</v>
      </c>
      <c r="B65" s="34" t="s">
        <v>186</v>
      </c>
      <c r="C65" s="34" t="s">
        <v>136</v>
      </c>
      <c r="D65" s="34" t="s">
        <v>136</v>
      </c>
      <c r="E65" s="34"/>
      <c r="F65" s="35"/>
      <c r="G65" s="36"/>
      <c r="H65" s="36">
        <f>G65</f>
        <v>0</v>
      </c>
      <c r="I65" s="34"/>
      <c r="J65" s="36">
        <v>348</v>
      </c>
      <c r="K65" s="37">
        <f>H65-J65</f>
        <v>-348</v>
      </c>
      <c r="L65" s="38" t="s">
        <v>187</v>
      </c>
    </row>
    <row r="66" spans="1:12" hidden="1" outlineLevel="3" x14ac:dyDescent="0.25">
      <c r="A66" s="34" t="s">
        <v>131</v>
      </c>
      <c r="B66" s="34" t="s">
        <v>186</v>
      </c>
      <c r="C66" s="34" t="s">
        <v>137</v>
      </c>
      <c r="D66" s="34" t="s">
        <v>137</v>
      </c>
      <c r="E66" s="34"/>
      <c r="F66" s="35"/>
      <c r="G66" s="36"/>
      <c r="H66" s="36">
        <f>G66</f>
        <v>0</v>
      </c>
      <c r="I66" s="34"/>
      <c r="J66" s="36">
        <v>361.7</v>
      </c>
      <c r="K66" s="37">
        <f>H66-J66</f>
        <v>-361.7</v>
      </c>
      <c r="L66" s="38" t="s">
        <v>187</v>
      </c>
    </row>
    <row r="67" spans="1:12" outlineLevel="2" collapsed="1" x14ac:dyDescent="0.25">
      <c r="A67" s="34"/>
      <c r="B67" s="39" t="s">
        <v>188</v>
      </c>
      <c r="C67" s="34"/>
      <c r="D67" s="34"/>
      <c r="E67" s="34"/>
      <c r="F67" s="35"/>
      <c r="G67" s="36">
        <f>SUBTOTAL(9,G64:G66)</f>
        <v>-766.7</v>
      </c>
      <c r="H67" s="36"/>
      <c r="I67" s="34"/>
      <c r="J67" s="36">
        <f>SUBTOTAL(9,J64:J66)</f>
        <v>764.7</v>
      </c>
      <c r="K67" s="37">
        <f>SUBTOTAL(9,K64:K66)</f>
        <v>-1531.4</v>
      </c>
      <c r="L67" s="38" t="s">
        <v>189</v>
      </c>
    </row>
    <row r="68" spans="1:12" hidden="1" outlineLevel="3" x14ac:dyDescent="0.25">
      <c r="A68" s="14" t="s">
        <v>131</v>
      </c>
      <c r="B68" s="14" t="s">
        <v>190</v>
      </c>
      <c r="C68" s="14" t="s">
        <v>140</v>
      </c>
      <c r="D68" s="14" t="s">
        <v>140</v>
      </c>
      <c r="E68" s="14">
        <v>177673</v>
      </c>
      <c r="F68" s="15">
        <v>45778</v>
      </c>
      <c r="G68" s="16">
        <v>500</v>
      </c>
      <c r="H68" s="17">
        <f>G68</f>
        <v>500</v>
      </c>
      <c r="I68" s="14"/>
      <c r="J68" s="18">
        <v>500</v>
      </c>
      <c r="K68" s="17">
        <f>H68-J68</f>
        <v>0</v>
      </c>
      <c r="L68" s="12"/>
    </row>
    <row r="69" spans="1:12" hidden="1" outlineLevel="3" x14ac:dyDescent="0.25">
      <c r="A69" s="14" t="s">
        <v>131</v>
      </c>
      <c r="B69" s="14" t="s">
        <v>190</v>
      </c>
      <c r="C69" s="14" t="s">
        <v>143</v>
      </c>
      <c r="D69" s="14" t="s">
        <v>143</v>
      </c>
      <c r="E69" s="14">
        <v>177673</v>
      </c>
      <c r="F69" s="15">
        <v>45778</v>
      </c>
      <c r="G69" s="16">
        <v>664.8</v>
      </c>
      <c r="H69" s="17">
        <f>G69</f>
        <v>664.8</v>
      </c>
      <c r="I69" s="14"/>
      <c r="J69" s="18">
        <v>604.79999999999995</v>
      </c>
      <c r="K69" s="17">
        <f>H69-J69</f>
        <v>60</v>
      </c>
      <c r="L69" s="12"/>
    </row>
    <row r="70" spans="1:12" hidden="1" outlineLevel="3" x14ac:dyDescent="0.25">
      <c r="A70" s="14" t="s">
        <v>131</v>
      </c>
      <c r="B70" s="14" t="s">
        <v>190</v>
      </c>
      <c r="C70" s="14" t="s">
        <v>133</v>
      </c>
      <c r="D70" s="14" t="s">
        <v>133</v>
      </c>
      <c r="E70" s="14">
        <v>177673</v>
      </c>
      <c r="F70" s="15">
        <v>45778</v>
      </c>
      <c r="G70" s="16">
        <v>100.5</v>
      </c>
      <c r="H70" s="17">
        <f>G70</f>
        <v>100.5</v>
      </c>
      <c r="I70" s="14"/>
      <c r="J70" s="18">
        <v>105.5</v>
      </c>
      <c r="K70" s="17">
        <f>H70-J70</f>
        <v>-5</v>
      </c>
      <c r="L70" s="12"/>
    </row>
    <row r="71" spans="1:12" hidden="1" outlineLevel="3" x14ac:dyDescent="0.25">
      <c r="A71" s="14" t="s">
        <v>131</v>
      </c>
      <c r="B71" s="14" t="s">
        <v>190</v>
      </c>
      <c r="C71" s="14" t="s">
        <v>136</v>
      </c>
      <c r="D71" s="14" t="s">
        <v>136</v>
      </c>
      <c r="E71" s="14">
        <v>177673</v>
      </c>
      <c r="F71" s="15">
        <v>45778</v>
      </c>
      <c r="G71" s="16">
        <v>439</v>
      </c>
      <c r="H71" s="17">
        <f>G71</f>
        <v>439</v>
      </c>
      <c r="I71" s="14"/>
      <c r="J71" s="18">
        <v>439</v>
      </c>
      <c r="K71" s="17">
        <f>H71-J71</f>
        <v>0</v>
      </c>
      <c r="L71" s="12"/>
    </row>
    <row r="72" spans="1:12" hidden="1" outlineLevel="3" x14ac:dyDescent="0.25">
      <c r="A72" s="14" t="s">
        <v>131</v>
      </c>
      <c r="B72" s="14" t="s">
        <v>190</v>
      </c>
      <c r="C72" s="14" t="s">
        <v>137</v>
      </c>
      <c r="D72" s="14" t="s">
        <v>137</v>
      </c>
      <c r="E72" s="14">
        <v>177673</v>
      </c>
      <c r="F72" s="15">
        <v>45778</v>
      </c>
      <c r="G72" s="16">
        <v>1672.37</v>
      </c>
      <c r="H72" s="17">
        <f>G72</f>
        <v>1672.37</v>
      </c>
      <c r="I72" s="14"/>
      <c r="J72" s="18">
        <v>1672.37</v>
      </c>
      <c r="K72" s="17">
        <f>H72-J72</f>
        <v>0</v>
      </c>
      <c r="L72" s="12"/>
    </row>
    <row r="73" spans="1:12" outlineLevel="2" collapsed="1" x14ac:dyDescent="0.25">
      <c r="A73" s="14"/>
      <c r="B73" s="8" t="s">
        <v>191</v>
      </c>
      <c r="C73" s="14"/>
      <c r="D73" s="14"/>
      <c r="E73" s="14"/>
      <c r="F73" s="15"/>
      <c r="G73" s="16">
        <f>SUBTOTAL(9,G68:G72)</f>
        <v>3376.67</v>
      </c>
      <c r="H73" s="17"/>
      <c r="I73" s="14"/>
      <c r="J73" s="18">
        <f>SUBTOTAL(9,J68:J72)</f>
        <v>3321.67</v>
      </c>
      <c r="K73" s="17">
        <f>SUBTOTAL(9,K68:K72)</f>
        <v>55</v>
      </c>
      <c r="L73" s="12"/>
    </row>
    <row r="74" spans="1:12" hidden="1" outlineLevel="3" x14ac:dyDescent="0.25">
      <c r="A74" s="14" t="s">
        <v>131</v>
      </c>
      <c r="B74" s="14" t="s">
        <v>192</v>
      </c>
      <c r="C74" s="14" t="s">
        <v>193</v>
      </c>
      <c r="D74" s="14" t="s">
        <v>194</v>
      </c>
      <c r="E74" s="14">
        <v>177453</v>
      </c>
      <c r="F74" s="15">
        <v>45762</v>
      </c>
      <c r="G74" s="27">
        <v>116</v>
      </c>
      <c r="H74" s="27">
        <f>G74</f>
        <v>116</v>
      </c>
      <c r="I74" s="14"/>
      <c r="J74" s="27">
        <v>0</v>
      </c>
      <c r="K74" s="17">
        <f>H74-J74</f>
        <v>116</v>
      </c>
      <c r="L74" s="12" t="s">
        <v>195</v>
      </c>
    </row>
    <row r="75" spans="1:12" outlineLevel="2" collapsed="1" x14ac:dyDescent="0.25">
      <c r="A75" s="14"/>
      <c r="B75" s="8" t="s">
        <v>196</v>
      </c>
      <c r="C75" s="14"/>
      <c r="D75" s="14"/>
      <c r="E75" s="14"/>
      <c r="F75" s="15"/>
      <c r="G75" s="27">
        <f>SUBTOTAL(9,G74:G74)</f>
        <v>116</v>
      </c>
      <c r="H75" s="27"/>
      <c r="I75" s="14"/>
      <c r="J75" s="27">
        <f>SUBTOTAL(9,J74:J74)</f>
        <v>0</v>
      </c>
      <c r="K75" s="17">
        <f>SUBTOTAL(9,K74:K74)</f>
        <v>116</v>
      </c>
      <c r="L75" s="12" t="s">
        <v>195</v>
      </c>
    </row>
    <row r="76" spans="1:12" hidden="1" outlineLevel="3" x14ac:dyDescent="0.25">
      <c r="A76" s="14" t="s">
        <v>131</v>
      </c>
      <c r="B76" s="14" t="s">
        <v>197</v>
      </c>
      <c r="C76" s="14" t="s">
        <v>136</v>
      </c>
      <c r="D76" s="14" t="s">
        <v>198</v>
      </c>
      <c r="E76" s="14">
        <v>177674</v>
      </c>
      <c r="F76" s="15">
        <v>45778</v>
      </c>
      <c r="G76" s="16">
        <v>855</v>
      </c>
      <c r="H76" s="17">
        <f>G76</f>
        <v>855</v>
      </c>
      <c r="I76" s="14"/>
      <c r="J76" s="18">
        <v>110</v>
      </c>
      <c r="K76" s="17">
        <f>H76-J76</f>
        <v>745</v>
      </c>
      <c r="L76" s="12" t="s">
        <v>135</v>
      </c>
    </row>
    <row r="77" spans="1:12" hidden="1" outlineLevel="3" x14ac:dyDescent="0.25">
      <c r="A77" s="14" t="s">
        <v>131</v>
      </c>
      <c r="B77" s="14" t="s">
        <v>197</v>
      </c>
      <c r="C77" s="14" t="s">
        <v>137</v>
      </c>
      <c r="D77" s="14" t="s">
        <v>181</v>
      </c>
      <c r="E77" s="14">
        <v>177674</v>
      </c>
      <c r="F77" s="15">
        <v>45778</v>
      </c>
      <c r="G77" s="16">
        <v>3092</v>
      </c>
      <c r="H77" s="17">
        <f>G77</f>
        <v>3092</v>
      </c>
      <c r="I77" s="14"/>
      <c r="J77" s="18">
        <v>2583</v>
      </c>
      <c r="K77" s="17">
        <f>H77-J77</f>
        <v>509</v>
      </c>
      <c r="L77" s="12"/>
    </row>
    <row r="78" spans="1:12" outlineLevel="2" collapsed="1" x14ac:dyDescent="0.25">
      <c r="A78" s="14"/>
      <c r="B78" s="8" t="s">
        <v>199</v>
      </c>
      <c r="C78" s="14"/>
      <c r="D78" s="14"/>
      <c r="E78" s="14"/>
      <c r="F78" s="15"/>
      <c r="G78" s="16">
        <f>SUBTOTAL(9,G76:G77)</f>
        <v>3947</v>
      </c>
      <c r="H78" s="17"/>
      <c r="I78" s="14"/>
      <c r="J78" s="18">
        <f>SUBTOTAL(9,J76:J77)</f>
        <v>2693</v>
      </c>
      <c r="K78" s="17">
        <f>SUBTOTAL(9,K76:K77)</f>
        <v>1254</v>
      </c>
      <c r="L78" s="12" t="s">
        <v>135</v>
      </c>
    </row>
    <row r="79" spans="1:12" hidden="1" outlineLevel="3" x14ac:dyDescent="0.25">
      <c r="A79" s="14" t="s">
        <v>131</v>
      </c>
      <c r="B79" s="14" t="s">
        <v>200</v>
      </c>
      <c r="C79" s="14" t="s">
        <v>143</v>
      </c>
      <c r="D79" s="14" t="s">
        <v>143</v>
      </c>
      <c r="E79" s="14">
        <v>177633</v>
      </c>
      <c r="F79" s="15">
        <v>45778</v>
      </c>
      <c r="G79" s="16">
        <v>1026</v>
      </c>
      <c r="H79" s="17">
        <f>G79</f>
        <v>1026</v>
      </c>
      <c r="I79" s="14"/>
      <c r="J79" s="18">
        <v>1026</v>
      </c>
      <c r="K79" s="17">
        <f>H79-J79</f>
        <v>0</v>
      </c>
      <c r="L79" s="12"/>
    </row>
    <row r="80" spans="1:12" hidden="1" outlineLevel="3" x14ac:dyDescent="0.25">
      <c r="A80" s="14" t="s">
        <v>131</v>
      </c>
      <c r="B80" s="14" t="s">
        <v>200</v>
      </c>
      <c r="C80" s="14" t="s">
        <v>133</v>
      </c>
      <c r="D80" s="14" t="s">
        <v>133</v>
      </c>
      <c r="E80" s="14">
        <v>177633</v>
      </c>
      <c r="F80" s="15">
        <v>45778</v>
      </c>
      <c r="G80" s="16">
        <v>757.37720000000002</v>
      </c>
      <c r="H80" s="17">
        <f>G80</f>
        <v>757.37720000000002</v>
      </c>
      <c r="I80" s="14"/>
      <c r="J80" s="18">
        <v>669.71860000000004</v>
      </c>
      <c r="K80" s="17">
        <f>H80-J80</f>
        <v>87.658599999999979</v>
      </c>
      <c r="L80" s="12"/>
    </row>
    <row r="81" spans="1:12" hidden="1" outlineLevel="3" x14ac:dyDescent="0.25">
      <c r="A81" s="14" t="s">
        <v>131</v>
      </c>
      <c r="B81" s="14" t="s">
        <v>200</v>
      </c>
      <c r="C81" s="14" t="s">
        <v>136</v>
      </c>
      <c r="D81" s="14" t="s">
        <v>136</v>
      </c>
      <c r="E81" s="14">
        <v>177633</v>
      </c>
      <c r="F81" s="15">
        <v>45778</v>
      </c>
      <c r="G81" s="16">
        <v>743</v>
      </c>
      <c r="H81" s="17">
        <f>G81</f>
        <v>743</v>
      </c>
      <c r="I81" s="14"/>
      <c r="J81" s="18">
        <v>722</v>
      </c>
      <c r="K81" s="17">
        <f>H81-J81</f>
        <v>21</v>
      </c>
      <c r="L81" s="12"/>
    </row>
    <row r="82" spans="1:12" hidden="1" outlineLevel="3" x14ac:dyDescent="0.25">
      <c r="A82" s="14" t="s">
        <v>131</v>
      </c>
      <c r="B82" s="14" t="s">
        <v>200</v>
      </c>
      <c r="C82" s="14" t="s">
        <v>137</v>
      </c>
      <c r="D82" s="14" t="s">
        <v>137</v>
      </c>
      <c r="E82" s="14">
        <v>177633</v>
      </c>
      <c r="F82" s="15">
        <v>45778</v>
      </c>
      <c r="G82" s="16">
        <v>2708.9427999999998</v>
      </c>
      <c r="H82" s="17">
        <f>G82</f>
        <v>2708.9427999999998</v>
      </c>
      <c r="I82" s="14"/>
      <c r="J82" s="18">
        <v>2708.9414000000002</v>
      </c>
      <c r="K82" s="17">
        <f>H82-J82</f>
        <v>1.3999999996485712E-3</v>
      </c>
      <c r="L82" s="12"/>
    </row>
    <row r="83" spans="1:12" hidden="1" outlineLevel="3" x14ac:dyDescent="0.25">
      <c r="A83" s="14" t="s">
        <v>131</v>
      </c>
      <c r="B83" s="14" t="s">
        <v>200</v>
      </c>
      <c r="C83" s="14" t="s">
        <v>201</v>
      </c>
      <c r="D83" s="14" t="s">
        <v>201</v>
      </c>
      <c r="E83" s="14">
        <v>177633</v>
      </c>
      <c r="F83" s="15">
        <v>45778</v>
      </c>
      <c r="G83" s="16">
        <v>55</v>
      </c>
      <c r="H83" s="17">
        <f>G83</f>
        <v>55</v>
      </c>
      <c r="I83" s="14"/>
      <c r="J83" s="18">
        <v>55</v>
      </c>
      <c r="K83" s="17">
        <f>H83-J83</f>
        <v>0</v>
      </c>
      <c r="L83" s="12"/>
    </row>
    <row r="84" spans="1:12" outlineLevel="2" collapsed="1" x14ac:dyDescent="0.25">
      <c r="A84" s="14"/>
      <c r="B84" s="8" t="s">
        <v>202</v>
      </c>
      <c r="C84" s="14"/>
      <c r="D84" s="14"/>
      <c r="E84" s="14"/>
      <c r="F84" s="15"/>
      <c r="G84" s="16">
        <f>SUBTOTAL(9,G79:G83)</f>
        <v>5290.32</v>
      </c>
      <c r="H84" s="17"/>
      <c r="I84" s="14"/>
      <c r="J84" s="18">
        <f>SUBTOTAL(9,J79:J83)</f>
        <v>5181.66</v>
      </c>
      <c r="K84" s="17">
        <f>SUBTOTAL(9,K79:K83)</f>
        <v>108.65999999999963</v>
      </c>
      <c r="L84" s="12"/>
    </row>
    <row r="85" spans="1:12" hidden="1" outlineLevel="3" x14ac:dyDescent="0.25">
      <c r="A85" s="14" t="s">
        <v>131</v>
      </c>
      <c r="B85" s="14" t="s">
        <v>203</v>
      </c>
      <c r="C85" s="14" t="s">
        <v>143</v>
      </c>
      <c r="D85" s="14" t="s">
        <v>143</v>
      </c>
      <c r="E85" s="14">
        <v>177675</v>
      </c>
      <c r="F85" s="15">
        <v>45778</v>
      </c>
      <c r="G85" s="16">
        <v>27</v>
      </c>
      <c r="H85" s="17">
        <f>G85</f>
        <v>27</v>
      </c>
      <c r="I85" s="14"/>
      <c r="J85" s="18">
        <v>27</v>
      </c>
      <c r="K85" s="17">
        <f>H85-J85</f>
        <v>0</v>
      </c>
      <c r="L85" s="12"/>
    </row>
    <row r="86" spans="1:12" hidden="1" outlineLevel="3" x14ac:dyDescent="0.25">
      <c r="A86" s="14" t="s">
        <v>131</v>
      </c>
      <c r="B86" s="14" t="s">
        <v>203</v>
      </c>
      <c r="C86" s="14" t="s">
        <v>133</v>
      </c>
      <c r="D86" s="14" t="s">
        <v>133</v>
      </c>
      <c r="E86" s="14">
        <v>177675</v>
      </c>
      <c r="F86" s="15">
        <v>45778</v>
      </c>
      <c r="G86" s="16">
        <v>599.41300000000001</v>
      </c>
      <c r="H86" s="17">
        <f>G86</f>
        <v>599.41300000000001</v>
      </c>
      <c r="I86" s="14"/>
      <c r="J86" s="18">
        <v>685.78340000000003</v>
      </c>
      <c r="K86" s="17">
        <f>H86-J86</f>
        <v>-86.370400000000018</v>
      </c>
      <c r="L86" s="12"/>
    </row>
    <row r="87" spans="1:12" hidden="1" outlineLevel="3" x14ac:dyDescent="0.25">
      <c r="A87" s="14" t="s">
        <v>131</v>
      </c>
      <c r="B87" s="14" t="s">
        <v>203</v>
      </c>
      <c r="C87" s="14" t="s">
        <v>136</v>
      </c>
      <c r="D87" s="14" t="s">
        <v>136</v>
      </c>
      <c r="E87" s="14">
        <v>177675</v>
      </c>
      <c r="F87" s="15">
        <v>45778</v>
      </c>
      <c r="G87" s="16">
        <v>895</v>
      </c>
      <c r="H87" s="17">
        <f>G87</f>
        <v>895</v>
      </c>
      <c r="I87" s="14"/>
      <c r="J87" s="18">
        <v>910</v>
      </c>
      <c r="K87" s="17">
        <f>H87-J87</f>
        <v>-15</v>
      </c>
      <c r="L87" s="12"/>
    </row>
    <row r="88" spans="1:12" hidden="1" outlineLevel="3" x14ac:dyDescent="0.25">
      <c r="A88" s="14" t="s">
        <v>131</v>
      </c>
      <c r="B88" s="14" t="s">
        <v>203</v>
      </c>
      <c r="C88" s="14" t="s">
        <v>137</v>
      </c>
      <c r="D88" s="14" t="s">
        <v>137</v>
      </c>
      <c r="E88" s="14">
        <v>177675</v>
      </c>
      <c r="F88" s="15">
        <v>45778</v>
      </c>
      <c r="G88" s="16">
        <v>7219.01</v>
      </c>
      <c r="H88" s="17">
        <f>G88</f>
        <v>7219.01</v>
      </c>
      <c r="I88" s="14"/>
      <c r="J88" s="18">
        <v>7219.01</v>
      </c>
      <c r="K88" s="17">
        <f>H88-J88</f>
        <v>0</v>
      </c>
      <c r="L88" s="12"/>
    </row>
    <row r="89" spans="1:12" outlineLevel="2" collapsed="1" x14ac:dyDescent="0.25">
      <c r="A89" s="14"/>
      <c r="B89" s="8" t="s">
        <v>204</v>
      </c>
      <c r="C89" s="14"/>
      <c r="D89" s="14"/>
      <c r="E89" s="14"/>
      <c r="F89" s="15"/>
      <c r="G89" s="16">
        <f>SUBTOTAL(9,G85:G88)</f>
        <v>8740.4230000000007</v>
      </c>
      <c r="H89" s="17"/>
      <c r="I89" s="14"/>
      <c r="J89" s="18">
        <f>SUBTOTAL(9,J85:J88)</f>
        <v>8841.7934000000005</v>
      </c>
      <c r="K89" s="17">
        <f>SUBTOTAL(9,K85:K88)</f>
        <v>-101.37040000000002</v>
      </c>
      <c r="L89" s="12"/>
    </row>
    <row r="90" spans="1:12" hidden="1" outlineLevel="3" x14ac:dyDescent="0.25">
      <c r="A90" s="14" t="s">
        <v>131</v>
      </c>
      <c r="B90" s="14" t="s">
        <v>205</v>
      </c>
      <c r="C90" s="14" t="s">
        <v>143</v>
      </c>
      <c r="D90" s="14" t="s">
        <v>143</v>
      </c>
      <c r="E90" s="14">
        <v>177634</v>
      </c>
      <c r="F90" s="15">
        <v>45778</v>
      </c>
      <c r="G90" s="16">
        <v>388</v>
      </c>
      <c r="H90" s="17">
        <f>G90</f>
        <v>388</v>
      </c>
      <c r="I90" s="14"/>
      <c r="J90" s="18">
        <v>388</v>
      </c>
      <c r="K90" s="17">
        <f>H90-J90</f>
        <v>0</v>
      </c>
      <c r="L90" s="12"/>
    </row>
    <row r="91" spans="1:12" hidden="1" outlineLevel="3" x14ac:dyDescent="0.25">
      <c r="A91" s="14" t="s">
        <v>131</v>
      </c>
      <c r="B91" s="14" t="s">
        <v>205</v>
      </c>
      <c r="C91" s="14" t="s">
        <v>133</v>
      </c>
      <c r="D91" s="14" t="s">
        <v>133</v>
      </c>
      <c r="E91" s="14">
        <v>177634</v>
      </c>
      <c r="F91" s="15">
        <v>45778</v>
      </c>
      <c r="G91" s="16">
        <v>357.74459999999999</v>
      </c>
      <c r="H91" s="17">
        <f>G91</f>
        <v>357.74459999999999</v>
      </c>
      <c r="I91" s="14"/>
      <c r="J91" s="18">
        <v>333.20940000000002</v>
      </c>
      <c r="K91" s="17">
        <f>H91-J91</f>
        <v>24.535199999999975</v>
      </c>
      <c r="L91" s="12"/>
    </row>
    <row r="92" spans="1:12" hidden="1" outlineLevel="3" x14ac:dyDescent="0.25">
      <c r="A92" s="14" t="s">
        <v>131</v>
      </c>
      <c r="B92" s="14" t="s">
        <v>205</v>
      </c>
      <c r="C92" s="14" t="s">
        <v>136</v>
      </c>
      <c r="D92" s="14" t="s">
        <v>136</v>
      </c>
      <c r="E92" s="14">
        <v>177634</v>
      </c>
      <c r="F92" s="15">
        <v>45778</v>
      </c>
      <c r="G92" s="16">
        <v>245</v>
      </c>
      <c r="H92" s="17">
        <f>G92</f>
        <v>245</v>
      </c>
      <c r="I92" s="14"/>
      <c r="J92" s="18">
        <v>245</v>
      </c>
      <c r="K92" s="17">
        <f>H92-J92</f>
        <v>0</v>
      </c>
      <c r="L92" s="12"/>
    </row>
    <row r="93" spans="1:12" hidden="1" outlineLevel="3" x14ac:dyDescent="0.25">
      <c r="A93" s="14" t="s">
        <v>131</v>
      </c>
      <c r="B93" s="14" t="s">
        <v>205</v>
      </c>
      <c r="C93" s="14" t="s">
        <v>137</v>
      </c>
      <c r="D93" s="14" t="s">
        <v>137</v>
      </c>
      <c r="E93" s="14">
        <v>177634</v>
      </c>
      <c r="F93" s="15">
        <v>45778</v>
      </c>
      <c r="G93" s="16">
        <v>1451.47</v>
      </c>
      <c r="H93" s="17">
        <f>G93</f>
        <v>1451.47</v>
      </c>
      <c r="I93" s="14"/>
      <c r="J93" s="18">
        <v>1451.4706000000001</v>
      </c>
      <c r="K93" s="17">
        <f>H93-J93</f>
        <v>-6.0000000007676135E-4</v>
      </c>
      <c r="L93" s="12"/>
    </row>
    <row r="94" spans="1:12" outlineLevel="2" collapsed="1" x14ac:dyDescent="0.25">
      <c r="A94" s="14"/>
      <c r="B94" s="8" t="s">
        <v>206</v>
      </c>
      <c r="C94" s="14"/>
      <c r="D94" s="14"/>
      <c r="E94" s="14"/>
      <c r="F94" s="15"/>
      <c r="G94" s="16">
        <f>SUBTOTAL(9,G90:G93)</f>
        <v>2442.2146000000002</v>
      </c>
      <c r="H94" s="17"/>
      <c r="I94" s="14"/>
      <c r="J94" s="18">
        <f>SUBTOTAL(9,J90:J93)</f>
        <v>2417.6800000000003</v>
      </c>
      <c r="K94" s="17">
        <f>SUBTOTAL(9,K90:K93)</f>
        <v>24.534599999999898</v>
      </c>
      <c r="L94" s="12"/>
    </row>
    <row r="95" spans="1:12" hidden="1" outlineLevel="3" x14ac:dyDescent="0.25">
      <c r="A95" s="14" t="s">
        <v>131</v>
      </c>
      <c r="B95" s="14" t="s">
        <v>207</v>
      </c>
      <c r="C95" s="14" t="s">
        <v>140</v>
      </c>
      <c r="D95" s="14" t="s">
        <v>140</v>
      </c>
      <c r="E95" s="14">
        <v>177676</v>
      </c>
      <c r="F95" s="15">
        <v>45778</v>
      </c>
      <c r="G95" s="16">
        <v>493</v>
      </c>
      <c r="H95" s="17">
        <f>G95</f>
        <v>493</v>
      </c>
      <c r="I95" s="14"/>
      <c r="J95" s="18">
        <v>293</v>
      </c>
      <c r="K95" s="17">
        <f>H95-J95</f>
        <v>200</v>
      </c>
      <c r="L95" s="12" t="s">
        <v>208</v>
      </c>
    </row>
    <row r="96" spans="1:12" hidden="1" outlineLevel="3" x14ac:dyDescent="0.25">
      <c r="A96" s="14" t="s">
        <v>131</v>
      </c>
      <c r="B96" s="14" t="s">
        <v>207</v>
      </c>
      <c r="C96" s="14" t="s">
        <v>143</v>
      </c>
      <c r="D96" s="14" t="s">
        <v>209</v>
      </c>
      <c r="E96" s="14">
        <v>177676</v>
      </c>
      <c r="F96" s="15">
        <v>45778</v>
      </c>
      <c r="G96" s="16">
        <v>352</v>
      </c>
      <c r="H96" s="17">
        <f>G96</f>
        <v>352</v>
      </c>
      <c r="I96" s="14"/>
      <c r="J96" s="18">
        <v>352</v>
      </c>
      <c r="K96" s="17">
        <f>H96-J96</f>
        <v>0</v>
      </c>
      <c r="L96" s="12"/>
    </row>
    <row r="97" spans="1:12" hidden="1" outlineLevel="3" x14ac:dyDescent="0.25">
      <c r="A97" s="14" t="s">
        <v>131</v>
      </c>
      <c r="B97" s="14" t="s">
        <v>207</v>
      </c>
      <c r="C97" s="14" t="s">
        <v>133</v>
      </c>
      <c r="D97" s="14" t="s">
        <v>133</v>
      </c>
      <c r="E97" s="14">
        <v>177676</v>
      </c>
      <c r="F97" s="15">
        <v>45778</v>
      </c>
      <c r="G97" s="16">
        <v>119.5</v>
      </c>
      <c r="H97" s="17">
        <f>G97</f>
        <v>119.5</v>
      </c>
      <c r="I97" s="14"/>
      <c r="J97" s="18">
        <v>119.5</v>
      </c>
      <c r="K97" s="17">
        <f>H97-J97</f>
        <v>0</v>
      </c>
      <c r="L97" s="12"/>
    </row>
    <row r="98" spans="1:12" ht="30" hidden="1" outlineLevel="3" x14ac:dyDescent="0.25">
      <c r="A98" s="14" t="s">
        <v>131</v>
      </c>
      <c r="B98" s="14" t="s">
        <v>207</v>
      </c>
      <c r="C98" s="14" t="s">
        <v>136</v>
      </c>
      <c r="D98" s="14" t="s">
        <v>136</v>
      </c>
      <c r="E98" s="14">
        <v>177676</v>
      </c>
      <c r="F98" s="15">
        <v>45778</v>
      </c>
      <c r="G98" s="16">
        <v>355</v>
      </c>
      <c r="H98" s="17">
        <f>G98</f>
        <v>355</v>
      </c>
      <c r="I98" s="14"/>
      <c r="J98" s="18">
        <v>91</v>
      </c>
      <c r="K98" s="17">
        <f>H98-J98</f>
        <v>264</v>
      </c>
      <c r="L98" s="12" t="s">
        <v>210</v>
      </c>
    </row>
    <row r="99" spans="1:12" hidden="1" outlineLevel="3" x14ac:dyDescent="0.25">
      <c r="A99" s="20" t="s">
        <v>131</v>
      </c>
      <c r="B99" s="20" t="s">
        <v>207</v>
      </c>
      <c r="C99" s="20" t="s">
        <v>137</v>
      </c>
      <c r="D99" s="20" t="s">
        <v>211</v>
      </c>
      <c r="E99" s="20">
        <v>177676</v>
      </c>
      <c r="F99" s="21">
        <v>45778</v>
      </c>
      <c r="G99" s="22">
        <v>4522.21</v>
      </c>
      <c r="H99" s="23">
        <f>G99</f>
        <v>4522.21</v>
      </c>
      <c r="I99" s="20"/>
      <c r="J99" s="24">
        <v>4372.21</v>
      </c>
      <c r="K99" s="23">
        <f>H99-J99</f>
        <v>150</v>
      </c>
      <c r="L99" s="25" t="s">
        <v>162</v>
      </c>
    </row>
    <row r="100" spans="1:12" ht="30" outlineLevel="2" collapsed="1" x14ac:dyDescent="0.25">
      <c r="A100" s="20"/>
      <c r="B100" s="26" t="s">
        <v>212</v>
      </c>
      <c r="C100" s="20"/>
      <c r="D100" s="20"/>
      <c r="E100" s="20"/>
      <c r="F100" s="21"/>
      <c r="G100" s="22">
        <f>SUBTOTAL(9,G95:G99)</f>
        <v>5841.71</v>
      </c>
      <c r="H100" s="23"/>
      <c r="I100" s="20"/>
      <c r="J100" s="24">
        <f>SUBTOTAL(9,J95:J99)</f>
        <v>5227.71</v>
      </c>
      <c r="K100" s="23">
        <f>SUBTOTAL(9,K95:K99)</f>
        <v>614</v>
      </c>
      <c r="L100" s="25" t="s">
        <v>213</v>
      </c>
    </row>
    <row r="101" spans="1:12" hidden="1" outlineLevel="3" x14ac:dyDescent="0.25">
      <c r="A101" s="20" t="s">
        <v>131</v>
      </c>
      <c r="B101" s="20" t="s">
        <v>214</v>
      </c>
      <c r="C101" s="20" t="s">
        <v>140</v>
      </c>
      <c r="D101" s="20" t="s">
        <v>215</v>
      </c>
      <c r="E101" s="20">
        <v>177478</v>
      </c>
      <c r="F101" s="21">
        <v>45762</v>
      </c>
      <c r="G101" s="22">
        <v>334.75</v>
      </c>
      <c r="H101" s="23">
        <f>G101</f>
        <v>334.75</v>
      </c>
      <c r="I101" s="20"/>
      <c r="J101" s="24">
        <v>325</v>
      </c>
      <c r="K101" s="23">
        <f>H101-J101</f>
        <v>9.75</v>
      </c>
      <c r="L101" s="25" t="s">
        <v>162</v>
      </c>
    </row>
    <row r="102" spans="1:12" hidden="1" outlineLevel="3" x14ac:dyDescent="0.25">
      <c r="A102" s="14" t="s">
        <v>131</v>
      </c>
      <c r="B102" s="14" t="s">
        <v>214</v>
      </c>
      <c r="C102" s="14" t="s">
        <v>133</v>
      </c>
      <c r="D102" s="14" t="s">
        <v>133</v>
      </c>
      <c r="E102" s="14">
        <v>177478</v>
      </c>
      <c r="F102" s="15">
        <v>45762</v>
      </c>
      <c r="G102" s="16">
        <v>0</v>
      </c>
      <c r="H102" s="17">
        <f>G102</f>
        <v>0</v>
      </c>
      <c r="I102" s="14"/>
      <c r="J102" s="18">
        <v>0</v>
      </c>
      <c r="K102" s="17">
        <f>H102-J102</f>
        <v>0</v>
      </c>
      <c r="L102" s="12"/>
    </row>
    <row r="103" spans="1:12" hidden="1" outlineLevel="3" x14ac:dyDescent="0.25">
      <c r="A103" s="14" t="s">
        <v>131</v>
      </c>
      <c r="B103" s="14" t="s">
        <v>214</v>
      </c>
      <c r="C103" s="14" t="s">
        <v>136</v>
      </c>
      <c r="D103" s="14" t="s">
        <v>136</v>
      </c>
      <c r="E103" s="14">
        <v>177478</v>
      </c>
      <c r="F103" s="15">
        <v>45762</v>
      </c>
      <c r="G103" s="16">
        <v>299</v>
      </c>
      <c r="H103" s="17">
        <f>G103</f>
        <v>299</v>
      </c>
      <c r="I103" s="14"/>
      <c r="J103" s="18">
        <v>299</v>
      </c>
      <c r="K103" s="17">
        <f>H103-J103</f>
        <v>0</v>
      </c>
      <c r="L103" s="12"/>
    </row>
    <row r="104" spans="1:12" hidden="1" outlineLevel="3" x14ac:dyDescent="0.25">
      <c r="A104" s="20" t="s">
        <v>131</v>
      </c>
      <c r="B104" s="20" t="s">
        <v>214</v>
      </c>
      <c r="C104" s="20" t="s">
        <v>137</v>
      </c>
      <c r="D104" s="20" t="s">
        <v>137</v>
      </c>
      <c r="E104" s="20">
        <v>177478</v>
      </c>
      <c r="F104" s="21">
        <v>45762</v>
      </c>
      <c r="G104" s="22">
        <v>919.3</v>
      </c>
      <c r="H104" s="23">
        <f>G104</f>
        <v>919.3</v>
      </c>
      <c r="I104" s="20"/>
      <c r="J104" s="24">
        <v>892.5</v>
      </c>
      <c r="K104" s="23">
        <f>H104-J104</f>
        <v>26.799999999999955</v>
      </c>
      <c r="L104" s="25" t="s">
        <v>162</v>
      </c>
    </row>
    <row r="105" spans="1:12" outlineLevel="2" collapsed="1" x14ac:dyDescent="0.25">
      <c r="A105" s="20"/>
      <c r="B105" s="26" t="s">
        <v>216</v>
      </c>
      <c r="C105" s="20"/>
      <c r="D105" s="20"/>
      <c r="E105" s="20"/>
      <c r="F105" s="21"/>
      <c r="G105" s="22">
        <f>SUBTOTAL(9,G101:G104)</f>
        <v>1553.05</v>
      </c>
      <c r="H105" s="23"/>
      <c r="I105" s="20"/>
      <c r="J105" s="24">
        <f>SUBTOTAL(9,J101:J104)</f>
        <v>1516.5</v>
      </c>
      <c r="K105" s="23">
        <f>SUBTOTAL(9,K101:K104)</f>
        <v>36.549999999999955</v>
      </c>
      <c r="L105" s="25" t="s">
        <v>162</v>
      </c>
    </row>
    <row r="106" spans="1:12" hidden="1" outlineLevel="3" x14ac:dyDescent="0.25">
      <c r="A106" s="14" t="s">
        <v>131</v>
      </c>
      <c r="B106" s="14" t="s">
        <v>217</v>
      </c>
      <c r="C106" s="14" t="s">
        <v>137</v>
      </c>
      <c r="D106" s="14" t="s">
        <v>137</v>
      </c>
      <c r="E106" s="14">
        <v>177677</v>
      </c>
      <c r="F106" s="15">
        <v>45778</v>
      </c>
      <c r="G106" s="16">
        <v>8127</v>
      </c>
      <c r="H106" s="17">
        <f>G106</f>
        <v>8127</v>
      </c>
      <c r="I106" s="14"/>
      <c r="J106" s="18">
        <v>8127</v>
      </c>
      <c r="K106" s="17">
        <f>H106-J106</f>
        <v>0</v>
      </c>
      <c r="L106" s="12"/>
    </row>
    <row r="107" spans="1:12" outlineLevel="2" collapsed="1" x14ac:dyDescent="0.25">
      <c r="A107" s="14"/>
      <c r="B107" s="8" t="s">
        <v>218</v>
      </c>
      <c r="C107" s="14"/>
      <c r="D107" s="14"/>
      <c r="E107" s="14"/>
      <c r="F107" s="15"/>
      <c r="G107" s="16">
        <f>SUBTOTAL(9,G106:G106)</f>
        <v>8127</v>
      </c>
      <c r="H107" s="17"/>
      <c r="I107" s="14"/>
      <c r="J107" s="18">
        <f>SUBTOTAL(9,J106:J106)</f>
        <v>8127</v>
      </c>
      <c r="K107" s="17">
        <f>SUBTOTAL(9,K106:K106)</f>
        <v>0</v>
      </c>
      <c r="L107" s="12"/>
    </row>
    <row r="108" spans="1:12" hidden="1" outlineLevel="3" x14ac:dyDescent="0.25">
      <c r="A108" s="14" t="s">
        <v>131</v>
      </c>
      <c r="B108" s="14" t="s">
        <v>219</v>
      </c>
      <c r="C108" s="14" t="s">
        <v>133</v>
      </c>
      <c r="D108" s="14" t="s">
        <v>133</v>
      </c>
      <c r="E108" s="14">
        <v>177678</v>
      </c>
      <c r="F108" s="15">
        <v>45778</v>
      </c>
      <c r="G108" s="16">
        <v>175.3244</v>
      </c>
      <c r="H108" s="17">
        <f>G108</f>
        <v>175.3244</v>
      </c>
      <c r="I108" s="14"/>
      <c r="J108" s="18">
        <v>159.892</v>
      </c>
      <c r="K108" s="17">
        <f>H108-J108</f>
        <v>15.432400000000001</v>
      </c>
      <c r="L108" s="12"/>
    </row>
    <row r="109" spans="1:12" hidden="1" outlineLevel="3" x14ac:dyDescent="0.25">
      <c r="A109" s="14" t="s">
        <v>131</v>
      </c>
      <c r="B109" s="14" t="s">
        <v>219</v>
      </c>
      <c r="C109" s="14" t="s">
        <v>136</v>
      </c>
      <c r="D109" s="14" t="s">
        <v>136</v>
      </c>
      <c r="E109" s="14">
        <v>177678</v>
      </c>
      <c r="F109" s="15">
        <v>45778</v>
      </c>
      <c r="G109" s="16">
        <v>495</v>
      </c>
      <c r="H109" s="17">
        <f>G109</f>
        <v>495</v>
      </c>
      <c r="I109" s="14"/>
      <c r="J109" s="18">
        <v>495</v>
      </c>
      <c r="K109" s="17">
        <f>H109-J109</f>
        <v>0</v>
      </c>
      <c r="L109" s="12"/>
    </row>
    <row r="110" spans="1:12" hidden="1" outlineLevel="3" x14ac:dyDescent="0.25">
      <c r="A110" s="14" t="s">
        <v>131</v>
      </c>
      <c r="B110" s="14" t="s">
        <v>219</v>
      </c>
      <c r="C110" s="14" t="s">
        <v>137</v>
      </c>
      <c r="D110" s="14" t="s">
        <v>220</v>
      </c>
      <c r="E110" s="14">
        <v>177678</v>
      </c>
      <c r="F110" s="15">
        <v>45778</v>
      </c>
      <c r="G110" s="16">
        <v>2832.85</v>
      </c>
      <c r="H110" s="17">
        <f>G110</f>
        <v>2832.85</v>
      </c>
      <c r="I110" s="14"/>
      <c r="J110" s="18">
        <v>2832.85</v>
      </c>
      <c r="K110" s="17">
        <f>H110-J110</f>
        <v>0</v>
      </c>
      <c r="L110" s="12"/>
    </row>
    <row r="111" spans="1:12" hidden="1" outlineLevel="3" x14ac:dyDescent="0.25">
      <c r="A111" s="14" t="s">
        <v>131</v>
      </c>
      <c r="B111" s="14" t="s">
        <v>219</v>
      </c>
      <c r="C111" s="14" t="s">
        <v>201</v>
      </c>
      <c r="D111" s="14" t="s">
        <v>201</v>
      </c>
      <c r="E111" s="14">
        <v>177678</v>
      </c>
      <c r="F111" s="15">
        <v>45778</v>
      </c>
      <c r="G111" s="16">
        <v>236.25</v>
      </c>
      <c r="H111" s="17">
        <f>G111</f>
        <v>236.25</v>
      </c>
      <c r="I111" s="14"/>
      <c r="J111" s="18">
        <v>236.25</v>
      </c>
      <c r="K111" s="17">
        <f>H111-J111</f>
        <v>0</v>
      </c>
      <c r="L111" s="12"/>
    </row>
    <row r="112" spans="1:12" outlineLevel="2" collapsed="1" x14ac:dyDescent="0.25">
      <c r="A112" s="14"/>
      <c r="B112" s="8" t="s">
        <v>221</v>
      </c>
      <c r="C112" s="14"/>
      <c r="D112" s="14"/>
      <c r="E112" s="14"/>
      <c r="F112" s="15"/>
      <c r="G112" s="16">
        <f>SUBTOTAL(9,G108:G111)</f>
        <v>3739.4243999999999</v>
      </c>
      <c r="H112" s="17"/>
      <c r="I112" s="14"/>
      <c r="J112" s="18">
        <f>SUBTOTAL(9,J108:J111)</f>
        <v>3723.9920000000002</v>
      </c>
      <c r="K112" s="17">
        <f>SUBTOTAL(9,K108:K111)</f>
        <v>15.432400000000001</v>
      </c>
      <c r="L112" s="12"/>
    </row>
    <row r="113" spans="1:12" hidden="1" outlineLevel="3" x14ac:dyDescent="0.25">
      <c r="A113" s="14" t="s">
        <v>131</v>
      </c>
      <c r="B113" s="14" t="s">
        <v>222</v>
      </c>
      <c r="C113" s="14" t="s">
        <v>133</v>
      </c>
      <c r="D113" s="14" t="s">
        <v>223</v>
      </c>
      <c r="E113" s="14">
        <v>177679</v>
      </c>
      <c r="F113" s="15">
        <v>45778</v>
      </c>
      <c r="G113" s="16">
        <v>559.5</v>
      </c>
      <c r="H113" s="17">
        <f>G113</f>
        <v>559.5</v>
      </c>
      <c r="I113" s="14"/>
      <c r="J113" s="18">
        <v>559.5</v>
      </c>
      <c r="K113" s="17">
        <f>H113-J113</f>
        <v>0</v>
      </c>
      <c r="L113" s="12"/>
    </row>
    <row r="114" spans="1:12" hidden="1" outlineLevel="3" x14ac:dyDescent="0.25">
      <c r="A114" s="14" t="s">
        <v>131</v>
      </c>
      <c r="B114" s="14" t="s">
        <v>222</v>
      </c>
      <c r="C114" s="14" t="s">
        <v>136</v>
      </c>
      <c r="D114" s="14" t="s">
        <v>224</v>
      </c>
      <c r="E114" s="14">
        <v>177679</v>
      </c>
      <c r="F114" s="15">
        <v>45778</v>
      </c>
      <c r="G114" s="16">
        <v>390</v>
      </c>
      <c r="H114" s="17">
        <f>G114</f>
        <v>390</v>
      </c>
      <c r="I114" s="14"/>
      <c r="J114" s="18">
        <v>390</v>
      </c>
      <c r="K114" s="17">
        <f>H114-J114</f>
        <v>0</v>
      </c>
      <c r="L114" s="12"/>
    </row>
    <row r="115" spans="1:12" hidden="1" outlineLevel="3" x14ac:dyDescent="0.25">
      <c r="A115" s="14" t="s">
        <v>131</v>
      </c>
      <c r="B115" s="14" t="s">
        <v>222</v>
      </c>
      <c r="C115" s="14" t="s">
        <v>137</v>
      </c>
      <c r="D115" s="14" t="s">
        <v>225</v>
      </c>
      <c r="E115" s="14">
        <v>177679</v>
      </c>
      <c r="F115" s="15">
        <v>45778</v>
      </c>
      <c r="G115" s="16">
        <v>3031</v>
      </c>
      <c r="H115" s="17">
        <f>G115</f>
        <v>3031</v>
      </c>
      <c r="I115" s="14"/>
      <c r="J115" s="18">
        <v>3031</v>
      </c>
      <c r="K115" s="17">
        <f>H115-J115</f>
        <v>0</v>
      </c>
      <c r="L115" s="12"/>
    </row>
    <row r="116" spans="1:12" outlineLevel="2" collapsed="1" x14ac:dyDescent="0.25">
      <c r="A116" s="14"/>
      <c r="B116" s="8" t="s">
        <v>226</v>
      </c>
      <c r="C116" s="14"/>
      <c r="D116" s="14"/>
      <c r="E116" s="14"/>
      <c r="F116" s="15"/>
      <c r="G116" s="16">
        <f>SUBTOTAL(9,G113:G115)</f>
        <v>3980.5</v>
      </c>
      <c r="H116" s="17"/>
      <c r="I116" s="14"/>
      <c r="J116" s="18">
        <f>SUBTOTAL(9,J113:J115)</f>
        <v>3980.5</v>
      </c>
      <c r="K116" s="17">
        <f>SUBTOTAL(9,K113:K115)</f>
        <v>0</v>
      </c>
      <c r="L116" s="12"/>
    </row>
    <row r="117" spans="1:12" hidden="1" outlineLevel="3" x14ac:dyDescent="0.25">
      <c r="A117" s="14" t="s">
        <v>131</v>
      </c>
      <c r="B117" s="14" t="s">
        <v>227</v>
      </c>
      <c r="C117" s="14" t="s">
        <v>143</v>
      </c>
      <c r="D117" s="14" t="s">
        <v>143</v>
      </c>
      <c r="E117" s="14">
        <v>177680</v>
      </c>
      <c r="F117" s="15">
        <v>45778</v>
      </c>
      <c r="G117" s="16">
        <v>361.2</v>
      </c>
      <c r="H117" s="17">
        <f>G117</f>
        <v>361.2</v>
      </c>
      <c r="I117" s="14"/>
      <c r="J117" s="18">
        <v>331.2</v>
      </c>
      <c r="K117" s="17">
        <f>H117-J117</f>
        <v>30</v>
      </c>
      <c r="L117" s="12"/>
    </row>
    <row r="118" spans="1:12" hidden="1" outlineLevel="3" x14ac:dyDescent="0.25">
      <c r="A118" s="14" t="s">
        <v>131</v>
      </c>
      <c r="B118" s="14" t="s">
        <v>227</v>
      </c>
      <c r="C118" s="14" t="s">
        <v>133</v>
      </c>
      <c r="D118" s="14" t="s">
        <v>133</v>
      </c>
      <c r="E118" s="14">
        <v>177680</v>
      </c>
      <c r="F118" s="15">
        <v>45778</v>
      </c>
      <c r="G118" s="16">
        <v>257.5052</v>
      </c>
      <c r="H118" s="17">
        <f>G118</f>
        <v>257.5052</v>
      </c>
      <c r="I118" s="14"/>
      <c r="J118" s="18">
        <v>209.45660000000001</v>
      </c>
      <c r="K118" s="17">
        <f>H118-J118</f>
        <v>48.048599999999993</v>
      </c>
      <c r="L118" s="12"/>
    </row>
    <row r="119" spans="1:12" hidden="1" outlineLevel="3" x14ac:dyDescent="0.25">
      <c r="A119" s="14" t="s">
        <v>131</v>
      </c>
      <c r="B119" s="14" t="s">
        <v>227</v>
      </c>
      <c r="C119" s="14" t="s">
        <v>136</v>
      </c>
      <c r="D119" s="14" t="s">
        <v>155</v>
      </c>
      <c r="E119" s="14">
        <v>177680</v>
      </c>
      <c r="F119" s="15">
        <v>45778</v>
      </c>
      <c r="G119" s="16">
        <v>428</v>
      </c>
      <c r="H119" s="17">
        <f>G119</f>
        <v>428</v>
      </c>
      <c r="I119" s="14"/>
      <c r="J119" s="18">
        <v>124</v>
      </c>
      <c r="K119" s="17">
        <f>H119-J119</f>
        <v>304</v>
      </c>
      <c r="L119" s="12" t="s">
        <v>135</v>
      </c>
    </row>
    <row r="120" spans="1:12" hidden="1" outlineLevel="3" x14ac:dyDescent="0.25">
      <c r="A120" s="14" t="s">
        <v>131</v>
      </c>
      <c r="B120" s="14" t="s">
        <v>227</v>
      </c>
      <c r="C120" s="14" t="s">
        <v>137</v>
      </c>
      <c r="D120" s="14" t="s">
        <v>147</v>
      </c>
      <c r="E120" s="14">
        <v>177680</v>
      </c>
      <c r="F120" s="15">
        <v>45778</v>
      </c>
      <c r="G120" s="16">
        <v>890.00480000000005</v>
      </c>
      <c r="H120" s="17">
        <f>G120</f>
        <v>890.00480000000005</v>
      </c>
      <c r="I120" s="14"/>
      <c r="J120" s="18">
        <v>890.00340000000006</v>
      </c>
      <c r="K120" s="17">
        <f>H120-J120</f>
        <v>1.3999999999896318E-3</v>
      </c>
      <c r="L120" s="12"/>
    </row>
    <row r="121" spans="1:12" outlineLevel="2" collapsed="1" x14ac:dyDescent="0.25">
      <c r="A121" s="14"/>
      <c r="B121" s="8" t="s">
        <v>228</v>
      </c>
      <c r="C121" s="14"/>
      <c r="D121" s="14"/>
      <c r="E121" s="14"/>
      <c r="F121" s="15"/>
      <c r="G121" s="16">
        <f>SUBTOTAL(9,G117:G120)</f>
        <v>1936.71</v>
      </c>
      <c r="H121" s="17"/>
      <c r="I121" s="14"/>
      <c r="J121" s="18">
        <f>SUBTOTAL(9,J117:J120)</f>
        <v>1554.66</v>
      </c>
      <c r="K121" s="17">
        <f>SUBTOTAL(9,K117:K120)</f>
        <v>382.04999999999995</v>
      </c>
      <c r="L121" s="12" t="s">
        <v>135</v>
      </c>
    </row>
    <row r="122" spans="1:12" hidden="1" outlineLevel="3" x14ac:dyDescent="0.25">
      <c r="A122" s="14" t="s">
        <v>131</v>
      </c>
      <c r="B122" s="14" t="s">
        <v>229</v>
      </c>
      <c r="C122" s="14" t="s">
        <v>143</v>
      </c>
      <c r="D122" s="14" t="s">
        <v>143</v>
      </c>
      <c r="E122" s="14">
        <v>177681</v>
      </c>
      <c r="F122" s="15">
        <v>45778</v>
      </c>
      <c r="G122" s="16">
        <v>4107.8</v>
      </c>
      <c r="H122" s="17">
        <f>G122</f>
        <v>4107.8</v>
      </c>
      <c r="I122" s="14"/>
      <c r="J122" s="18">
        <v>4086.9</v>
      </c>
      <c r="K122" s="17">
        <f>H122-J122</f>
        <v>20.900000000000091</v>
      </c>
      <c r="L122" s="12"/>
    </row>
    <row r="123" spans="1:12" hidden="1" outlineLevel="3" x14ac:dyDescent="0.25">
      <c r="A123" s="14" t="s">
        <v>131</v>
      </c>
      <c r="B123" s="14" t="s">
        <v>229</v>
      </c>
      <c r="C123" s="14" t="s">
        <v>133</v>
      </c>
      <c r="D123" s="14" t="s">
        <v>133</v>
      </c>
      <c r="E123" s="14">
        <v>177681</v>
      </c>
      <c r="F123" s="15">
        <v>45778</v>
      </c>
      <c r="G123" s="16">
        <v>844</v>
      </c>
      <c r="H123" s="17">
        <f>G123</f>
        <v>844</v>
      </c>
      <c r="I123" s="14"/>
      <c r="J123" s="18">
        <v>756</v>
      </c>
      <c r="K123" s="17">
        <f>H123-J123</f>
        <v>88</v>
      </c>
      <c r="L123" s="12"/>
    </row>
    <row r="124" spans="1:12" hidden="1" outlineLevel="3" x14ac:dyDescent="0.25">
      <c r="A124" s="14" t="s">
        <v>131</v>
      </c>
      <c r="B124" s="14" t="s">
        <v>229</v>
      </c>
      <c r="C124" s="14" t="s">
        <v>136</v>
      </c>
      <c r="D124" s="14" t="s">
        <v>136</v>
      </c>
      <c r="E124" s="14">
        <v>177681</v>
      </c>
      <c r="F124" s="15">
        <v>45778</v>
      </c>
      <c r="G124" s="16">
        <v>3026</v>
      </c>
      <c r="H124" s="17">
        <f>G124</f>
        <v>3026</v>
      </c>
      <c r="I124" s="14"/>
      <c r="J124" s="18">
        <v>895</v>
      </c>
      <c r="K124" s="17">
        <f>H124-J124</f>
        <v>2131</v>
      </c>
      <c r="L124" s="12" t="s">
        <v>135</v>
      </c>
    </row>
    <row r="125" spans="1:12" hidden="1" outlineLevel="3" x14ac:dyDescent="0.25">
      <c r="A125" s="14" t="s">
        <v>131</v>
      </c>
      <c r="B125" s="14" t="s">
        <v>229</v>
      </c>
      <c r="C125" s="14" t="s">
        <v>137</v>
      </c>
      <c r="D125" s="14" t="s">
        <v>230</v>
      </c>
      <c r="E125" s="14">
        <v>177681</v>
      </c>
      <c r="F125" s="15">
        <v>45778</v>
      </c>
      <c r="G125" s="16">
        <v>13435</v>
      </c>
      <c r="H125" s="17">
        <f>G125</f>
        <v>13435</v>
      </c>
      <c r="I125" s="14"/>
      <c r="J125" s="18">
        <v>13435</v>
      </c>
      <c r="K125" s="17">
        <f>H125-J125</f>
        <v>0</v>
      </c>
      <c r="L125" s="12"/>
    </row>
    <row r="126" spans="1:12" outlineLevel="2" collapsed="1" x14ac:dyDescent="0.25">
      <c r="A126" s="14"/>
      <c r="B126" s="8" t="s">
        <v>231</v>
      </c>
      <c r="C126" s="14"/>
      <c r="D126" s="14"/>
      <c r="E126" s="14"/>
      <c r="F126" s="15"/>
      <c r="G126" s="16">
        <f>SUBTOTAL(9,G122:G125)</f>
        <v>21412.799999999999</v>
      </c>
      <c r="H126" s="17"/>
      <c r="I126" s="14"/>
      <c r="J126" s="18">
        <f>SUBTOTAL(9,J122:J125)</f>
        <v>19172.900000000001</v>
      </c>
      <c r="K126" s="17">
        <f>SUBTOTAL(9,K122:K125)</f>
        <v>2239.9</v>
      </c>
      <c r="L126" s="12" t="s">
        <v>135</v>
      </c>
    </row>
    <row r="127" spans="1:12" hidden="1" outlineLevel="3" x14ac:dyDescent="0.25">
      <c r="A127" s="14" t="s">
        <v>131</v>
      </c>
      <c r="B127" s="14" t="s">
        <v>232</v>
      </c>
      <c r="C127" s="14" t="s">
        <v>143</v>
      </c>
      <c r="D127" s="14" t="s">
        <v>233</v>
      </c>
      <c r="E127" s="14">
        <v>177685</v>
      </c>
      <c r="F127" s="15">
        <v>45778</v>
      </c>
      <c r="G127" s="16">
        <v>2638</v>
      </c>
      <c r="H127" s="17">
        <f t="shared" ref="H127:H134" si="0">G127</f>
        <v>2638</v>
      </c>
      <c r="I127" s="14"/>
      <c r="J127" s="18">
        <v>2638</v>
      </c>
      <c r="K127" s="17">
        <f t="shared" ref="K127:K134" si="1">H127-J127</f>
        <v>0</v>
      </c>
      <c r="L127" s="12"/>
    </row>
    <row r="128" spans="1:12" hidden="1" outlineLevel="3" x14ac:dyDescent="0.25">
      <c r="A128" s="14" t="s">
        <v>131</v>
      </c>
      <c r="B128" s="14" t="s">
        <v>232</v>
      </c>
      <c r="C128" s="14" t="s">
        <v>133</v>
      </c>
      <c r="D128" s="14" t="s">
        <v>234</v>
      </c>
      <c r="E128" s="14">
        <v>177683</v>
      </c>
      <c r="F128" s="15">
        <v>45778</v>
      </c>
      <c r="G128" s="16">
        <v>760</v>
      </c>
      <c r="H128" s="17">
        <f t="shared" si="0"/>
        <v>760</v>
      </c>
      <c r="I128" s="14"/>
      <c r="J128" s="18">
        <v>760</v>
      </c>
      <c r="K128" s="17">
        <f t="shared" si="1"/>
        <v>0</v>
      </c>
      <c r="L128" s="12"/>
    </row>
    <row r="129" spans="1:12" hidden="1" outlineLevel="3" x14ac:dyDescent="0.25">
      <c r="A129" s="14" t="s">
        <v>131</v>
      </c>
      <c r="B129" s="14" t="s">
        <v>232</v>
      </c>
      <c r="C129" s="14" t="s">
        <v>133</v>
      </c>
      <c r="D129" s="14" t="s">
        <v>133</v>
      </c>
      <c r="E129" s="14">
        <v>177687</v>
      </c>
      <c r="F129" s="15">
        <v>45778</v>
      </c>
      <c r="G129" s="16">
        <v>830</v>
      </c>
      <c r="H129" s="17">
        <f t="shared" si="0"/>
        <v>830</v>
      </c>
      <c r="I129" s="14"/>
      <c r="J129" s="18">
        <v>830</v>
      </c>
      <c r="K129" s="17">
        <f t="shared" si="1"/>
        <v>0</v>
      </c>
      <c r="L129" s="12"/>
    </row>
    <row r="130" spans="1:12" hidden="1" outlineLevel="3" x14ac:dyDescent="0.25">
      <c r="A130" s="14" t="s">
        <v>131</v>
      </c>
      <c r="B130" s="14" t="s">
        <v>232</v>
      </c>
      <c r="C130" s="14" t="s">
        <v>133</v>
      </c>
      <c r="D130" s="14" t="s">
        <v>235</v>
      </c>
      <c r="E130" s="14">
        <v>177682</v>
      </c>
      <c r="F130" s="15">
        <v>45778</v>
      </c>
      <c r="G130" s="16">
        <v>1089</v>
      </c>
      <c r="H130" s="17">
        <f t="shared" si="0"/>
        <v>1089</v>
      </c>
      <c r="I130" s="14"/>
      <c r="J130" s="18">
        <v>1089</v>
      </c>
      <c r="K130" s="17">
        <f t="shared" si="1"/>
        <v>0</v>
      </c>
      <c r="L130" s="12"/>
    </row>
    <row r="131" spans="1:12" hidden="1" outlineLevel="3" x14ac:dyDescent="0.25">
      <c r="A131" s="14" t="s">
        <v>131</v>
      </c>
      <c r="B131" s="14" t="s">
        <v>232</v>
      </c>
      <c r="C131" s="14" t="s">
        <v>136</v>
      </c>
      <c r="D131" s="14" t="s">
        <v>136</v>
      </c>
      <c r="E131" s="14">
        <v>177686</v>
      </c>
      <c r="F131" s="15">
        <v>45778</v>
      </c>
      <c r="G131" s="16">
        <v>2000.5</v>
      </c>
      <c r="H131" s="17">
        <f t="shared" si="0"/>
        <v>2000.5</v>
      </c>
      <c r="I131" s="14"/>
      <c r="J131" s="18">
        <v>1997</v>
      </c>
      <c r="K131" s="17">
        <f t="shared" si="1"/>
        <v>3.5</v>
      </c>
      <c r="L131" s="12"/>
    </row>
    <row r="132" spans="1:12" hidden="1" outlineLevel="3" x14ac:dyDescent="0.25">
      <c r="A132" s="14" t="s">
        <v>131</v>
      </c>
      <c r="B132" s="14" t="s">
        <v>232</v>
      </c>
      <c r="C132" s="14" t="s">
        <v>137</v>
      </c>
      <c r="D132" s="14" t="s">
        <v>236</v>
      </c>
      <c r="E132" s="14">
        <v>177687</v>
      </c>
      <c r="F132" s="15">
        <v>45778</v>
      </c>
      <c r="G132" s="16">
        <v>2601</v>
      </c>
      <c r="H132" s="17">
        <f t="shared" si="0"/>
        <v>2601</v>
      </c>
      <c r="I132" s="14"/>
      <c r="J132" s="18">
        <v>2601</v>
      </c>
      <c r="K132" s="17">
        <f t="shared" si="1"/>
        <v>0</v>
      </c>
      <c r="L132" s="12"/>
    </row>
    <row r="133" spans="1:12" hidden="1" outlineLevel="3" x14ac:dyDescent="0.25">
      <c r="A133" s="14" t="s">
        <v>131</v>
      </c>
      <c r="B133" s="14" t="s">
        <v>232</v>
      </c>
      <c r="C133" s="14" t="s">
        <v>137</v>
      </c>
      <c r="D133" s="14" t="s">
        <v>237</v>
      </c>
      <c r="E133" s="14">
        <v>177684</v>
      </c>
      <c r="F133" s="15">
        <v>45778</v>
      </c>
      <c r="G133" s="16">
        <v>8321</v>
      </c>
      <c r="H133" s="17">
        <f t="shared" si="0"/>
        <v>8321</v>
      </c>
      <c r="I133" s="14"/>
      <c r="J133" s="18">
        <v>8321</v>
      </c>
      <c r="K133" s="17">
        <f t="shared" si="1"/>
        <v>0</v>
      </c>
      <c r="L133" s="12"/>
    </row>
    <row r="134" spans="1:12" hidden="1" outlineLevel="3" x14ac:dyDescent="0.25">
      <c r="A134" s="14" t="s">
        <v>131</v>
      </c>
      <c r="B134" s="14" t="s">
        <v>232</v>
      </c>
      <c r="C134" s="14" t="s">
        <v>201</v>
      </c>
      <c r="D134" s="14" t="s">
        <v>201</v>
      </c>
      <c r="E134" s="14">
        <v>177686</v>
      </c>
      <c r="F134" s="15">
        <v>45778</v>
      </c>
      <c r="G134" s="16">
        <v>750</v>
      </c>
      <c r="H134" s="17">
        <f t="shared" si="0"/>
        <v>750</v>
      </c>
      <c r="I134" s="14"/>
      <c r="J134" s="18">
        <v>750</v>
      </c>
      <c r="K134" s="17">
        <f t="shared" si="1"/>
        <v>0</v>
      </c>
      <c r="L134" s="12"/>
    </row>
    <row r="135" spans="1:12" outlineLevel="2" collapsed="1" x14ac:dyDescent="0.25">
      <c r="A135" s="14"/>
      <c r="B135" s="8" t="s">
        <v>238</v>
      </c>
      <c r="C135" s="14"/>
      <c r="D135" s="14"/>
      <c r="E135" s="14"/>
      <c r="F135" s="15"/>
      <c r="G135" s="16">
        <f>SUBTOTAL(9,G127:G134)</f>
        <v>18989.5</v>
      </c>
      <c r="H135" s="17"/>
      <c r="I135" s="14"/>
      <c r="J135" s="18">
        <f>SUBTOTAL(9,J127:J134)</f>
        <v>18986</v>
      </c>
      <c r="K135" s="17">
        <f>SUBTOTAL(9,K127:K134)</f>
        <v>3.5</v>
      </c>
      <c r="L135" s="12"/>
    </row>
    <row r="136" spans="1:12" hidden="1" outlineLevel="3" x14ac:dyDescent="0.25">
      <c r="A136" s="14" t="s">
        <v>131</v>
      </c>
      <c r="B136" s="14" t="s">
        <v>239</v>
      </c>
      <c r="C136" s="14" t="s">
        <v>140</v>
      </c>
      <c r="D136" s="14" t="s">
        <v>240</v>
      </c>
      <c r="E136" s="14">
        <v>177635</v>
      </c>
      <c r="F136" s="15">
        <v>45778</v>
      </c>
      <c r="G136" s="16">
        <v>2185.71</v>
      </c>
      <c r="H136" s="17">
        <f>G136</f>
        <v>2185.71</v>
      </c>
      <c r="I136" s="14"/>
      <c r="J136" s="18">
        <v>2185.71</v>
      </c>
      <c r="K136" s="17">
        <f>H136-J136</f>
        <v>0</v>
      </c>
      <c r="L136" s="12"/>
    </row>
    <row r="137" spans="1:12" hidden="1" outlineLevel="3" x14ac:dyDescent="0.25">
      <c r="A137" s="14" t="s">
        <v>131</v>
      </c>
      <c r="B137" s="14" t="s">
        <v>239</v>
      </c>
      <c r="C137" s="14" t="s">
        <v>143</v>
      </c>
      <c r="D137" s="14" t="s">
        <v>143</v>
      </c>
      <c r="E137" s="14">
        <v>177635</v>
      </c>
      <c r="F137" s="15">
        <v>45778</v>
      </c>
      <c r="G137" s="16">
        <v>788</v>
      </c>
      <c r="H137" s="17">
        <f>G137</f>
        <v>788</v>
      </c>
      <c r="I137" s="14"/>
      <c r="J137" s="18">
        <v>788</v>
      </c>
      <c r="K137" s="17">
        <f>H137-J137</f>
        <v>0</v>
      </c>
      <c r="L137" s="12"/>
    </row>
    <row r="138" spans="1:12" hidden="1" outlineLevel="3" x14ac:dyDescent="0.25">
      <c r="A138" s="14" t="s">
        <v>131</v>
      </c>
      <c r="B138" s="14" t="s">
        <v>239</v>
      </c>
      <c r="C138" s="14" t="s">
        <v>133</v>
      </c>
      <c r="D138" s="14" t="s">
        <v>133</v>
      </c>
      <c r="E138" s="14">
        <v>177635</v>
      </c>
      <c r="F138" s="15">
        <v>45778</v>
      </c>
      <c r="G138" s="16">
        <v>478.75</v>
      </c>
      <c r="H138" s="17">
        <f>G138</f>
        <v>478.75</v>
      </c>
      <c r="I138" s="14"/>
      <c r="J138" s="18">
        <v>478.75</v>
      </c>
      <c r="K138" s="17">
        <f>H138-J138</f>
        <v>0</v>
      </c>
      <c r="L138" s="12"/>
    </row>
    <row r="139" spans="1:12" hidden="1" outlineLevel="3" x14ac:dyDescent="0.25">
      <c r="A139" s="14" t="s">
        <v>131</v>
      </c>
      <c r="B139" s="14" t="s">
        <v>239</v>
      </c>
      <c r="C139" s="14" t="s">
        <v>136</v>
      </c>
      <c r="D139" s="14" t="s">
        <v>136</v>
      </c>
      <c r="E139" s="14">
        <v>177635</v>
      </c>
      <c r="F139" s="15">
        <v>45778</v>
      </c>
      <c r="G139" s="16">
        <v>273</v>
      </c>
      <c r="H139" s="17">
        <f>G139</f>
        <v>273</v>
      </c>
      <c r="I139" s="14"/>
      <c r="J139" s="18">
        <v>273</v>
      </c>
      <c r="K139" s="17">
        <f>H139-J139</f>
        <v>0</v>
      </c>
      <c r="L139" s="12"/>
    </row>
    <row r="140" spans="1:12" hidden="1" outlineLevel="3" x14ac:dyDescent="0.25">
      <c r="A140" s="14" t="s">
        <v>131</v>
      </c>
      <c r="B140" s="14" t="s">
        <v>239</v>
      </c>
      <c r="C140" s="14" t="s">
        <v>137</v>
      </c>
      <c r="D140" s="14" t="s">
        <v>137</v>
      </c>
      <c r="E140" s="14">
        <v>177635</v>
      </c>
      <c r="F140" s="15">
        <v>45778</v>
      </c>
      <c r="G140" s="16">
        <v>2231.25</v>
      </c>
      <c r="H140" s="17">
        <f>G140</f>
        <v>2231.25</v>
      </c>
      <c r="I140" s="14"/>
      <c r="J140" s="18">
        <v>2231.25</v>
      </c>
      <c r="K140" s="17">
        <f>H140-J140</f>
        <v>0</v>
      </c>
      <c r="L140" s="12"/>
    </row>
    <row r="141" spans="1:12" outlineLevel="2" collapsed="1" x14ac:dyDescent="0.25">
      <c r="A141" s="14"/>
      <c r="B141" s="8" t="s">
        <v>241</v>
      </c>
      <c r="C141" s="14"/>
      <c r="D141" s="14"/>
      <c r="E141" s="14"/>
      <c r="F141" s="15"/>
      <c r="G141" s="16">
        <f>SUBTOTAL(9,G136:G140)</f>
        <v>5956.71</v>
      </c>
      <c r="H141" s="17"/>
      <c r="I141" s="14"/>
      <c r="J141" s="18">
        <f>SUBTOTAL(9,J136:J140)</f>
        <v>5956.71</v>
      </c>
      <c r="K141" s="17">
        <f>SUBTOTAL(9,K136:K140)</f>
        <v>0</v>
      </c>
      <c r="L141" s="12"/>
    </row>
    <row r="142" spans="1:12" hidden="1" outlineLevel="3" x14ac:dyDescent="0.25">
      <c r="A142" s="29" t="s">
        <v>131</v>
      </c>
      <c r="B142" s="29" t="s">
        <v>242</v>
      </c>
      <c r="C142" s="29" t="s">
        <v>133</v>
      </c>
      <c r="D142" s="29" t="s">
        <v>133</v>
      </c>
      <c r="E142" s="29">
        <v>177967</v>
      </c>
      <c r="F142" s="30">
        <v>45778</v>
      </c>
      <c r="G142" s="31">
        <v>192.72219999999999</v>
      </c>
      <c r="H142" s="32">
        <f>G142</f>
        <v>192.72219999999999</v>
      </c>
      <c r="I142" s="29"/>
      <c r="J142" s="33">
        <v>0</v>
      </c>
      <c r="K142" s="32">
        <f>H142-J142</f>
        <v>192.72219999999999</v>
      </c>
      <c r="L142" s="40" t="s">
        <v>243</v>
      </c>
    </row>
    <row r="143" spans="1:12" hidden="1" outlineLevel="3" x14ac:dyDescent="0.25">
      <c r="A143" s="29" t="s">
        <v>131</v>
      </c>
      <c r="B143" s="29" t="s">
        <v>242</v>
      </c>
      <c r="C143" s="29" t="s">
        <v>136</v>
      </c>
      <c r="D143" s="29" t="s">
        <v>136</v>
      </c>
      <c r="E143" s="29">
        <v>177966</v>
      </c>
      <c r="F143" s="30">
        <v>45778</v>
      </c>
      <c r="G143" s="31">
        <v>625.5</v>
      </c>
      <c r="H143" s="32">
        <f>G143</f>
        <v>625.5</v>
      </c>
      <c r="I143" s="29"/>
      <c r="J143" s="33">
        <v>0</v>
      </c>
      <c r="K143" s="32">
        <f>H143-J143</f>
        <v>625.5</v>
      </c>
      <c r="L143" s="40" t="s">
        <v>243</v>
      </c>
    </row>
    <row r="144" spans="1:12" hidden="1" outlineLevel="3" x14ac:dyDescent="0.25">
      <c r="A144" s="29" t="s">
        <v>131</v>
      </c>
      <c r="B144" s="29" t="s">
        <v>242</v>
      </c>
      <c r="C144" s="29" t="s">
        <v>137</v>
      </c>
      <c r="D144" s="29" t="s">
        <v>244</v>
      </c>
      <c r="E144" s="29">
        <v>177966</v>
      </c>
      <c r="F144" s="30">
        <v>45778</v>
      </c>
      <c r="G144" s="31">
        <v>2859</v>
      </c>
      <c r="H144" s="32">
        <f>G144</f>
        <v>2859</v>
      </c>
      <c r="I144" s="29"/>
      <c r="J144" s="33">
        <v>0</v>
      </c>
      <c r="K144" s="32">
        <f>H144-J144</f>
        <v>2859</v>
      </c>
      <c r="L144" s="40" t="s">
        <v>243</v>
      </c>
    </row>
    <row r="145" spans="1:12" outlineLevel="2" collapsed="1" x14ac:dyDescent="0.25">
      <c r="A145" s="29"/>
      <c r="B145" s="41" t="s">
        <v>245</v>
      </c>
      <c r="C145" s="29"/>
      <c r="D145" s="29"/>
      <c r="E145" s="29"/>
      <c r="F145" s="30"/>
      <c r="G145" s="31">
        <f>SUBTOTAL(9,G142:G144)</f>
        <v>3677.2222000000002</v>
      </c>
      <c r="H145" s="32"/>
      <c r="I145" s="29"/>
      <c r="J145" s="33">
        <f>SUBTOTAL(9,J142:J144)</f>
        <v>0</v>
      </c>
      <c r="K145" s="32">
        <f>SUBTOTAL(9,K142:K144)</f>
        <v>3677.2222000000002</v>
      </c>
      <c r="L145" s="40" t="s">
        <v>243</v>
      </c>
    </row>
    <row r="146" spans="1:12" hidden="1" outlineLevel="3" x14ac:dyDescent="0.25">
      <c r="A146" s="14" t="s">
        <v>131</v>
      </c>
      <c r="B146" s="14" t="s">
        <v>246</v>
      </c>
      <c r="C146" s="14" t="s">
        <v>143</v>
      </c>
      <c r="D146" s="14" t="s">
        <v>247</v>
      </c>
      <c r="E146" s="14">
        <v>177636</v>
      </c>
      <c r="F146" s="15">
        <v>45778</v>
      </c>
      <c r="G146" s="16">
        <v>4224</v>
      </c>
      <c r="H146" s="17">
        <f>G146</f>
        <v>4224</v>
      </c>
      <c r="I146" s="14"/>
      <c r="J146" s="18">
        <v>4224</v>
      </c>
      <c r="K146" s="17">
        <f>H146-J146</f>
        <v>0</v>
      </c>
      <c r="L146" s="12"/>
    </row>
    <row r="147" spans="1:12" hidden="1" outlineLevel="3" x14ac:dyDescent="0.25">
      <c r="A147" s="14" t="s">
        <v>131</v>
      </c>
      <c r="B147" s="14" t="s">
        <v>246</v>
      </c>
      <c r="C147" s="14" t="s">
        <v>133</v>
      </c>
      <c r="D147" s="14" t="s">
        <v>248</v>
      </c>
      <c r="E147" s="14">
        <v>177637</v>
      </c>
      <c r="F147" s="15">
        <v>45778</v>
      </c>
      <c r="G147" s="16">
        <v>1726</v>
      </c>
      <c r="H147" s="17">
        <f>G147</f>
        <v>1726</v>
      </c>
      <c r="I147" s="14"/>
      <c r="J147" s="18">
        <v>1726</v>
      </c>
      <c r="K147" s="17">
        <f>H147-J147</f>
        <v>0</v>
      </c>
      <c r="L147" s="12"/>
    </row>
    <row r="148" spans="1:12" hidden="1" outlineLevel="3" x14ac:dyDescent="0.25">
      <c r="A148" s="14" t="s">
        <v>131</v>
      </c>
      <c r="B148" s="14" t="s">
        <v>246</v>
      </c>
      <c r="C148" s="14" t="s">
        <v>136</v>
      </c>
      <c r="D148" s="14" t="s">
        <v>249</v>
      </c>
      <c r="E148" s="14">
        <v>177637</v>
      </c>
      <c r="F148" s="15">
        <v>45778</v>
      </c>
      <c r="G148" s="16">
        <v>3202</v>
      </c>
      <c r="H148" s="17">
        <f>G148</f>
        <v>3202</v>
      </c>
      <c r="I148" s="14"/>
      <c r="J148" s="18">
        <v>3228</v>
      </c>
      <c r="K148" s="17">
        <f>H148-J148</f>
        <v>-26</v>
      </c>
      <c r="L148" s="12"/>
    </row>
    <row r="149" spans="1:12" hidden="1" outlineLevel="3" x14ac:dyDescent="0.25">
      <c r="A149" s="14" t="s">
        <v>131</v>
      </c>
      <c r="B149" s="14" t="s">
        <v>246</v>
      </c>
      <c r="C149" s="14" t="s">
        <v>137</v>
      </c>
      <c r="D149" s="14" t="s">
        <v>250</v>
      </c>
      <c r="E149" s="14">
        <v>177637</v>
      </c>
      <c r="F149" s="15">
        <v>45778</v>
      </c>
      <c r="G149" s="16">
        <v>5370</v>
      </c>
      <c r="H149" s="17">
        <f>G149</f>
        <v>5370</v>
      </c>
      <c r="I149" s="14"/>
      <c r="J149" s="18">
        <v>5370</v>
      </c>
      <c r="K149" s="17">
        <f>H149-J149</f>
        <v>0</v>
      </c>
      <c r="L149" s="12"/>
    </row>
    <row r="150" spans="1:12" outlineLevel="2" collapsed="1" x14ac:dyDescent="0.25">
      <c r="A150" s="14"/>
      <c r="B150" s="8" t="s">
        <v>251</v>
      </c>
      <c r="C150" s="14"/>
      <c r="D150" s="14"/>
      <c r="E150" s="14"/>
      <c r="F150" s="15"/>
      <c r="G150" s="16">
        <f>SUBTOTAL(9,G146:G149)</f>
        <v>14522</v>
      </c>
      <c r="H150" s="17"/>
      <c r="I150" s="14"/>
      <c r="J150" s="18">
        <f>SUBTOTAL(9,J146:J149)</f>
        <v>14548</v>
      </c>
      <c r="K150" s="17">
        <f>SUBTOTAL(9,K146:K149)</f>
        <v>-26</v>
      </c>
      <c r="L150" s="12"/>
    </row>
    <row r="151" spans="1:12" hidden="1" outlineLevel="3" x14ac:dyDescent="0.25">
      <c r="A151" s="14" t="s">
        <v>131</v>
      </c>
      <c r="B151" s="14" t="s">
        <v>252</v>
      </c>
      <c r="C151" s="14" t="s">
        <v>140</v>
      </c>
      <c r="D151" s="14" t="s">
        <v>253</v>
      </c>
      <c r="E151" s="14">
        <v>177913</v>
      </c>
      <c r="F151" s="15">
        <v>45778</v>
      </c>
      <c r="G151" s="16">
        <v>1400</v>
      </c>
      <c r="H151" s="17">
        <f>G151</f>
        <v>1400</v>
      </c>
      <c r="I151" s="14"/>
      <c r="J151" s="18">
        <v>1400</v>
      </c>
      <c r="K151" s="17">
        <f>H151-J151</f>
        <v>0</v>
      </c>
      <c r="L151" s="12"/>
    </row>
    <row r="152" spans="1:12" hidden="1" outlineLevel="3" x14ac:dyDescent="0.25">
      <c r="A152" s="14" t="s">
        <v>131</v>
      </c>
      <c r="B152" s="14" t="s">
        <v>252</v>
      </c>
      <c r="C152" s="14" t="s">
        <v>143</v>
      </c>
      <c r="D152" s="14" t="s">
        <v>254</v>
      </c>
      <c r="E152" s="14">
        <v>177913</v>
      </c>
      <c r="F152" s="15">
        <v>45778</v>
      </c>
      <c r="G152" s="16">
        <v>446</v>
      </c>
      <c r="H152" s="17">
        <f>G152</f>
        <v>446</v>
      </c>
      <c r="I152" s="14"/>
      <c r="J152" s="18">
        <v>446</v>
      </c>
      <c r="K152" s="17">
        <f>H152-J152</f>
        <v>0</v>
      </c>
      <c r="L152" s="12"/>
    </row>
    <row r="153" spans="1:12" hidden="1" outlineLevel="3" x14ac:dyDescent="0.25">
      <c r="A153" s="14" t="s">
        <v>131</v>
      </c>
      <c r="B153" s="14" t="s">
        <v>252</v>
      </c>
      <c r="C153" s="14" t="s">
        <v>133</v>
      </c>
      <c r="D153" s="14" t="s">
        <v>133</v>
      </c>
      <c r="E153" s="14">
        <v>177913</v>
      </c>
      <c r="F153" s="15">
        <v>45778</v>
      </c>
      <c r="G153" s="16">
        <v>641.75</v>
      </c>
      <c r="H153" s="17">
        <f>G153</f>
        <v>641.75</v>
      </c>
      <c r="I153" s="14"/>
      <c r="J153" s="18">
        <v>676.75</v>
      </c>
      <c r="K153" s="17">
        <f>H153-J153</f>
        <v>-35</v>
      </c>
      <c r="L153" s="12"/>
    </row>
    <row r="154" spans="1:12" hidden="1" outlineLevel="3" x14ac:dyDescent="0.25">
      <c r="A154" s="14" t="s">
        <v>131</v>
      </c>
      <c r="B154" s="14" t="s">
        <v>252</v>
      </c>
      <c r="C154" s="14" t="s">
        <v>136</v>
      </c>
      <c r="D154" s="14" t="s">
        <v>136</v>
      </c>
      <c r="E154" s="14">
        <v>177913</v>
      </c>
      <c r="F154" s="15">
        <v>45778</v>
      </c>
      <c r="G154" s="16">
        <v>477</v>
      </c>
      <c r="H154" s="17">
        <f>G154</f>
        <v>477</v>
      </c>
      <c r="I154" s="14"/>
      <c r="J154" s="18">
        <v>474</v>
      </c>
      <c r="K154" s="17">
        <f>H154-J154</f>
        <v>3</v>
      </c>
      <c r="L154" s="12"/>
    </row>
    <row r="155" spans="1:12" hidden="1" outlineLevel="3" x14ac:dyDescent="0.25">
      <c r="A155" s="14" t="s">
        <v>131</v>
      </c>
      <c r="B155" s="14" t="s">
        <v>252</v>
      </c>
      <c r="C155" s="14" t="s">
        <v>137</v>
      </c>
      <c r="D155" s="14" t="s">
        <v>255</v>
      </c>
      <c r="E155" s="14">
        <v>177913</v>
      </c>
      <c r="F155" s="15">
        <v>45778</v>
      </c>
      <c r="G155" s="42">
        <v>1560.42</v>
      </c>
      <c r="H155" s="17">
        <f>G155</f>
        <v>1560.42</v>
      </c>
      <c r="I155" s="14"/>
      <c r="J155" s="28">
        <v>1514.97</v>
      </c>
      <c r="K155" s="17">
        <f>H155-J155</f>
        <v>45.450000000000045</v>
      </c>
      <c r="L155" s="12"/>
    </row>
    <row r="156" spans="1:12" outlineLevel="2" collapsed="1" x14ac:dyDescent="0.25">
      <c r="A156" s="14"/>
      <c r="B156" s="8" t="s">
        <v>256</v>
      </c>
      <c r="C156" s="14"/>
      <c r="D156" s="14"/>
      <c r="E156" s="14"/>
      <c r="F156" s="15"/>
      <c r="G156" s="42">
        <f>SUBTOTAL(9,G151:G155)</f>
        <v>4525.17</v>
      </c>
      <c r="H156" s="17"/>
      <c r="I156" s="14"/>
      <c r="J156" s="28">
        <f>SUBTOTAL(9,J151:J155)</f>
        <v>4511.72</v>
      </c>
      <c r="K156" s="17">
        <f>SUBTOTAL(9,K151:K155)</f>
        <v>13.450000000000045</v>
      </c>
      <c r="L156" s="12"/>
    </row>
    <row r="157" spans="1:12" hidden="1" outlineLevel="3" x14ac:dyDescent="0.25">
      <c r="A157" s="14" t="s">
        <v>131</v>
      </c>
      <c r="B157" s="14" t="s">
        <v>257</v>
      </c>
      <c r="C157" s="14" t="s">
        <v>143</v>
      </c>
      <c r="D157" s="14" t="s">
        <v>143</v>
      </c>
      <c r="E157" s="14">
        <v>177642</v>
      </c>
      <c r="F157" s="15">
        <v>45778</v>
      </c>
      <c r="G157" s="16">
        <v>3108</v>
      </c>
      <c r="H157" s="17">
        <f>G157</f>
        <v>3108</v>
      </c>
      <c r="I157" s="14"/>
      <c r="J157" s="18">
        <v>3108</v>
      </c>
      <c r="K157" s="17">
        <f>H157-J157</f>
        <v>0</v>
      </c>
      <c r="L157" s="12"/>
    </row>
    <row r="158" spans="1:12" hidden="1" outlineLevel="3" x14ac:dyDescent="0.25">
      <c r="A158" s="14" t="s">
        <v>131</v>
      </c>
      <c r="B158" s="14" t="s">
        <v>257</v>
      </c>
      <c r="C158" s="14" t="s">
        <v>133</v>
      </c>
      <c r="D158" s="14" t="s">
        <v>133</v>
      </c>
      <c r="E158" s="14">
        <v>177640</v>
      </c>
      <c r="F158" s="15">
        <v>45778</v>
      </c>
      <c r="G158" s="16">
        <v>1800</v>
      </c>
      <c r="H158" s="17">
        <f>G158</f>
        <v>1800</v>
      </c>
      <c r="I158" s="14"/>
      <c r="J158" s="18">
        <v>1735</v>
      </c>
      <c r="K158" s="17">
        <f>H158-J158</f>
        <v>65</v>
      </c>
      <c r="L158" s="12"/>
    </row>
    <row r="159" spans="1:12" hidden="1" outlineLevel="3" x14ac:dyDescent="0.25">
      <c r="A159" s="14" t="s">
        <v>131</v>
      </c>
      <c r="B159" s="14" t="s">
        <v>257</v>
      </c>
      <c r="C159" s="14" t="s">
        <v>136</v>
      </c>
      <c r="D159" s="14" t="s">
        <v>136</v>
      </c>
      <c r="E159" s="14">
        <v>177641</v>
      </c>
      <c r="F159" s="15">
        <v>45778</v>
      </c>
      <c r="G159" s="16">
        <v>1260</v>
      </c>
      <c r="H159" s="17">
        <f>G159</f>
        <v>1260</v>
      </c>
      <c r="I159" s="14"/>
      <c r="J159" s="18">
        <v>1284</v>
      </c>
      <c r="K159" s="17">
        <f>H159-J159</f>
        <v>-24</v>
      </c>
      <c r="L159" s="12"/>
    </row>
    <row r="160" spans="1:12" hidden="1" outlineLevel="3" x14ac:dyDescent="0.25">
      <c r="A160" s="14" t="s">
        <v>131</v>
      </c>
      <c r="B160" s="14" t="s">
        <v>257</v>
      </c>
      <c r="C160" s="14" t="s">
        <v>137</v>
      </c>
      <c r="D160" s="14" t="s">
        <v>137</v>
      </c>
      <c r="E160" s="14">
        <v>177639</v>
      </c>
      <c r="F160" s="15">
        <v>45778</v>
      </c>
      <c r="G160" s="16">
        <v>4700</v>
      </c>
      <c r="H160" s="17">
        <f>G160</f>
        <v>4700</v>
      </c>
      <c r="I160" s="14"/>
      <c r="J160" s="18">
        <v>4700</v>
      </c>
      <c r="K160" s="17">
        <f>H160-J160</f>
        <v>0</v>
      </c>
      <c r="L160" s="12"/>
    </row>
    <row r="161" spans="1:12" outlineLevel="2" collapsed="1" x14ac:dyDescent="0.25">
      <c r="A161" s="14"/>
      <c r="B161" s="8" t="s">
        <v>258</v>
      </c>
      <c r="C161" s="14"/>
      <c r="D161" s="14"/>
      <c r="E161" s="14"/>
      <c r="F161" s="15"/>
      <c r="G161" s="16">
        <f>SUBTOTAL(9,G157:G160)</f>
        <v>10868</v>
      </c>
      <c r="H161" s="17"/>
      <c r="I161" s="14"/>
      <c r="J161" s="18">
        <f>SUBTOTAL(9,J157:J160)</f>
        <v>10827</v>
      </c>
      <c r="K161" s="17">
        <f>SUBTOTAL(9,K157:K160)</f>
        <v>41</v>
      </c>
      <c r="L161" s="12"/>
    </row>
    <row r="162" spans="1:12" ht="30" hidden="1" outlineLevel="3" x14ac:dyDescent="0.25">
      <c r="A162" s="14" t="s">
        <v>131</v>
      </c>
      <c r="B162" s="14" t="s">
        <v>259</v>
      </c>
      <c r="C162" s="14" t="s">
        <v>133</v>
      </c>
      <c r="D162" s="14" t="s">
        <v>133</v>
      </c>
      <c r="E162" s="14">
        <v>177688</v>
      </c>
      <c r="F162" s="15">
        <v>45778</v>
      </c>
      <c r="G162" s="16">
        <v>939.73680000000002</v>
      </c>
      <c r="H162" s="17">
        <f>G162</f>
        <v>939.73680000000002</v>
      </c>
      <c r="I162" s="14"/>
      <c r="J162" s="18">
        <v>704.26859999999999</v>
      </c>
      <c r="K162" s="17">
        <f>H162-J162</f>
        <v>235.46820000000002</v>
      </c>
      <c r="L162" s="12" t="s">
        <v>260</v>
      </c>
    </row>
    <row r="163" spans="1:12" hidden="1" outlineLevel="3" x14ac:dyDescent="0.25">
      <c r="A163" s="14" t="s">
        <v>131</v>
      </c>
      <c r="B163" s="14" t="s">
        <v>259</v>
      </c>
      <c r="C163" s="14" t="s">
        <v>136</v>
      </c>
      <c r="D163" s="14" t="s">
        <v>136</v>
      </c>
      <c r="E163" s="14">
        <v>177688</v>
      </c>
      <c r="F163" s="15">
        <v>45778</v>
      </c>
      <c r="G163" s="16">
        <v>1426</v>
      </c>
      <c r="H163" s="17">
        <f>G163</f>
        <v>1426</v>
      </c>
      <c r="I163" s="14"/>
      <c r="J163" s="18">
        <v>1426</v>
      </c>
      <c r="K163" s="17">
        <f>H163-J163</f>
        <v>0</v>
      </c>
      <c r="L163" s="12"/>
    </row>
    <row r="164" spans="1:12" hidden="1" outlineLevel="3" x14ac:dyDescent="0.25">
      <c r="A164" s="14" t="s">
        <v>131</v>
      </c>
      <c r="B164" s="14" t="s">
        <v>259</v>
      </c>
      <c r="C164" s="14" t="s">
        <v>137</v>
      </c>
      <c r="D164" s="14" t="s">
        <v>230</v>
      </c>
      <c r="E164" s="14">
        <v>177688</v>
      </c>
      <c r="F164" s="15">
        <v>45778</v>
      </c>
      <c r="G164" s="16">
        <v>3903.0032000000001</v>
      </c>
      <c r="H164" s="17">
        <f>G164</f>
        <v>3903.0032000000001</v>
      </c>
      <c r="I164" s="14"/>
      <c r="J164" s="18">
        <v>3903.0014000000001</v>
      </c>
      <c r="K164" s="17">
        <f>H164-J164</f>
        <v>1.8000000000029104E-3</v>
      </c>
      <c r="L164" s="12"/>
    </row>
    <row r="165" spans="1:12" ht="30" hidden="1" outlineLevel="3" x14ac:dyDescent="0.25">
      <c r="A165" s="14" t="s">
        <v>131</v>
      </c>
      <c r="B165" s="14" t="s">
        <v>259</v>
      </c>
      <c r="C165" s="14"/>
      <c r="D165" s="14"/>
      <c r="E165" s="14" t="s">
        <v>261</v>
      </c>
      <c r="F165" s="14"/>
      <c r="G165" s="27">
        <v>-453</v>
      </c>
      <c r="H165" s="27">
        <f>G165</f>
        <v>-453</v>
      </c>
      <c r="I165" s="14"/>
      <c r="J165" s="28"/>
      <c r="K165" s="17">
        <f>H165-J165</f>
        <v>-453</v>
      </c>
      <c r="L165" s="12" t="s">
        <v>262</v>
      </c>
    </row>
    <row r="166" spans="1:12" ht="30" outlineLevel="2" collapsed="1" x14ac:dyDescent="0.25">
      <c r="A166" s="14"/>
      <c r="B166" s="8" t="s">
        <v>263</v>
      </c>
      <c r="C166" s="14"/>
      <c r="D166" s="14"/>
      <c r="E166" s="14"/>
      <c r="F166" s="14"/>
      <c r="G166" s="27">
        <f>SUBTOTAL(9,G162:G165)</f>
        <v>5815.74</v>
      </c>
      <c r="H166" s="27"/>
      <c r="I166" s="14"/>
      <c r="J166" s="28">
        <f>SUBTOTAL(9,J162:J165)</f>
        <v>6033.27</v>
      </c>
      <c r="K166" s="17">
        <f>SUBTOTAL(9,K162:K165)</f>
        <v>-217.52999999999997</v>
      </c>
      <c r="L166" s="12" t="s">
        <v>264</v>
      </c>
    </row>
    <row r="167" spans="1:12" hidden="1" outlineLevel="3" x14ac:dyDescent="0.25">
      <c r="A167" s="14" t="s">
        <v>131</v>
      </c>
      <c r="B167" s="14" t="s">
        <v>265</v>
      </c>
      <c r="C167" s="14" t="s">
        <v>133</v>
      </c>
      <c r="D167" s="14" t="s">
        <v>133</v>
      </c>
      <c r="E167" s="14">
        <v>177643</v>
      </c>
      <c r="F167" s="15">
        <v>45778</v>
      </c>
      <c r="G167" s="42">
        <v>0</v>
      </c>
      <c r="H167" s="17">
        <f>G167</f>
        <v>0</v>
      </c>
      <c r="I167" s="14"/>
      <c r="J167" s="28">
        <v>0</v>
      </c>
      <c r="K167" s="17">
        <f>H167-J167</f>
        <v>0</v>
      </c>
      <c r="L167" s="12"/>
    </row>
    <row r="168" spans="1:12" hidden="1" outlineLevel="3" x14ac:dyDescent="0.25">
      <c r="A168" s="14" t="s">
        <v>131</v>
      </c>
      <c r="B168" s="14" t="s">
        <v>265</v>
      </c>
      <c r="C168" s="14" t="s">
        <v>136</v>
      </c>
      <c r="D168" s="14" t="s">
        <v>136</v>
      </c>
      <c r="E168" s="14">
        <v>177643</v>
      </c>
      <c r="F168" s="15">
        <v>45778</v>
      </c>
      <c r="G168" s="42">
        <v>70</v>
      </c>
      <c r="H168" s="17">
        <f>G168</f>
        <v>70</v>
      </c>
      <c r="I168" s="14"/>
      <c r="J168" s="28">
        <v>70</v>
      </c>
      <c r="K168" s="17">
        <f>H168-J168</f>
        <v>0</v>
      </c>
      <c r="L168" s="12"/>
    </row>
    <row r="169" spans="1:12" hidden="1" outlineLevel="3" x14ac:dyDescent="0.25">
      <c r="A169" s="14" t="s">
        <v>131</v>
      </c>
      <c r="B169" s="14" t="s">
        <v>265</v>
      </c>
      <c r="C169" s="14" t="s">
        <v>137</v>
      </c>
      <c r="D169" s="14" t="s">
        <v>137</v>
      </c>
      <c r="E169" s="14">
        <v>177643</v>
      </c>
      <c r="F169" s="15">
        <v>45778</v>
      </c>
      <c r="G169" s="42">
        <v>885.59</v>
      </c>
      <c r="H169" s="17">
        <f>G169</f>
        <v>885.59</v>
      </c>
      <c r="I169" s="14"/>
      <c r="J169" s="28">
        <v>885.59</v>
      </c>
      <c r="K169" s="17">
        <f>H169-J169</f>
        <v>0</v>
      </c>
      <c r="L169" s="12"/>
    </row>
    <row r="170" spans="1:12" outlineLevel="2" collapsed="1" x14ac:dyDescent="0.25">
      <c r="A170" s="14"/>
      <c r="B170" s="8" t="s">
        <v>266</v>
      </c>
      <c r="C170" s="14"/>
      <c r="D170" s="14"/>
      <c r="E170" s="14"/>
      <c r="F170" s="15"/>
      <c r="G170" s="42">
        <f>SUBTOTAL(9,G167:G169)</f>
        <v>955.59</v>
      </c>
      <c r="H170" s="17"/>
      <c r="I170" s="14"/>
      <c r="J170" s="28">
        <f>SUBTOTAL(9,J167:J169)</f>
        <v>955.59</v>
      </c>
      <c r="K170" s="17">
        <f>SUBTOTAL(9,K167:K169)</f>
        <v>0</v>
      </c>
      <c r="L170" s="12"/>
    </row>
    <row r="171" spans="1:12" hidden="1" outlineLevel="3" x14ac:dyDescent="0.25">
      <c r="A171" s="14" t="s">
        <v>131</v>
      </c>
      <c r="B171" s="14" t="s">
        <v>267</v>
      </c>
      <c r="C171" s="14" t="s">
        <v>143</v>
      </c>
      <c r="D171" s="14" t="s">
        <v>268</v>
      </c>
      <c r="E171" s="14">
        <v>177689</v>
      </c>
      <c r="F171" s="15">
        <v>45778</v>
      </c>
      <c r="G171" s="42">
        <v>2121.4</v>
      </c>
      <c r="H171" s="17">
        <f>G171</f>
        <v>2121.4</v>
      </c>
      <c r="I171" s="14"/>
      <c r="J171" s="28">
        <v>1937.4</v>
      </c>
      <c r="K171" s="17">
        <f>H171-J171</f>
        <v>184</v>
      </c>
      <c r="L171" s="12"/>
    </row>
    <row r="172" spans="1:12" ht="45" hidden="1" outlineLevel="3" x14ac:dyDescent="0.25">
      <c r="A172" s="14" t="s">
        <v>131</v>
      </c>
      <c r="B172" s="14" t="s">
        <v>267</v>
      </c>
      <c r="C172" s="14" t="s">
        <v>133</v>
      </c>
      <c r="D172" s="14" t="s">
        <v>269</v>
      </c>
      <c r="E172" s="14">
        <v>177690</v>
      </c>
      <c r="F172" s="15">
        <v>45778</v>
      </c>
      <c r="G172" s="42">
        <v>725</v>
      </c>
      <c r="H172" s="17">
        <f>G172</f>
        <v>725</v>
      </c>
      <c r="I172" s="14"/>
      <c r="J172" s="28">
        <v>485</v>
      </c>
      <c r="K172" s="17">
        <f>H172-J172</f>
        <v>240</v>
      </c>
      <c r="L172" s="12" t="s">
        <v>270</v>
      </c>
    </row>
    <row r="173" spans="1:12" hidden="1" outlineLevel="3" x14ac:dyDescent="0.25">
      <c r="A173" s="14" t="s">
        <v>131</v>
      </c>
      <c r="B173" s="14" t="s">
        <v>267</v>
      </c>
      <c r="C173" s="14" t="s">
        <v>136</v>
      </c>
      <c r="D173" s="14" t="s">
        <v>271</v>
      </c>
      <c r="E173" s="14">
        <v>177690</v>
      </c>
      <c r="F173" s="15">
        <v>45778</v>
      </c>
      <c r="G173" s="42">
        <v>1934</v>
      </c>
      <c r="H173" s="17">
        <f>G173</f>
        <v>1934</v>
      </c>
      <c r="I173" s="14"/>
      <c r="J173" s="28">
        <v>1732</v>
      </c>
      <c r="K173" s="17">
        <f>H173-J173</f>
        <v>202</v>
      </c>
      <c r="L173" s="12"/>
    </row>
    <row r="174" spans="1:12" ht="45" hidden="1" outlineLevel="3" x14ac:dyDescent="0.25">
      <c r="A174" s="14" t="s">
        <v>131</v>
      </c>
      <c r="B174" s="14" t="s">
        <v>267</v>
      </c>
      <c r="C174" s="14" t="s">
        <v>137</v>
      </c>
      <c r="D174" s="14" t="s">
        <v>272</v>
      </c>
      <c r="E174" s="14">
        <v>177690</v>
      </c>
      <c r="F174" s="15">
        <v>45778</v>
      </c>
      <c r="G174" s="42">
        <v>3854</v>
      </c>
      <c r="H174" s="17">
        <f>G174</f>
        <v>3854</v>
      </c>
      <c r="I174" s="14"/>
      <c r="J174" s="28">
        <v>2414</v>
      </c>
      <c r="K174" s="17">
        <f>H174-J174</f>
        <v>1440</v>
      </c>
      <c r="L174" s="12" t="s">
        <v>270</v>
      </c>
    </row>
    <row r="175" spans="1:12" hidden="1" outlineLevel="3" x14ac:dyDescent="0.25">
      <c r="A175" s="14" t="s">
        <v>131</v>
      </c>
      <c r="B175" s="14" t="s">
        <v>267</v>
      </c>
      <c r="C175" s="14"/>
      <c r="D175" s="14"/>
      <c r="E175" s="14" t="s">
        <v>273</v>
      </c>
      <c r="F175" s="15"/>
      <c r="G175" s="27">
        <v>-1593</v>
      </c>
      <c r="H175" s="27">
        <f>G175</f>
        <v>-1593</v>
      </c>
      <c r="I175" s="14"/>
      <c r="J175" s="27"/>
      <c r="K175" s="17">
        <f>H175-J175</f>
        <v>-1593</v>
      </c>
      <c r="L175" s="12" t="s">
        <v>274</v>
      </c>
    </row>
    <row r="176" spans="1:12" ht="30" outlineLevel="2" collapsed="1" x14ac:dyDescent="0.25">
      <c r="A176" s="14"/>
      <c r="B176" s="8" t="s">
        <v>275</v>
      </c>
      <c r="C176" s="14"/>
      <c r="D176" s="14"/>
      <c r="E176" s="14"/>
      <c r="F176" s="15"/>
      <c r="G176" s="27">
        <f>SUBTOTAL(9,G171:G175)</f>
        <v>7041.4</v>
      </c>
      <c r="H176" s="27"/>
      <c r="I176" s="14"/>
      <c r="J176" s="27">
        <f>SUBTOTAL(9,J171:J175)</f>
        <v>6568.4</v>
      </c>
      <c r="K176" s="17">
        <f>SUBTOTAL(9,K171:K175)</f>
        <v>473</v>
      </c>
      <c r="L176" s="12" t="s">
        <v>276</v>
      </c>
    </row>
    <row r="177" spans="1:12" hidden="1" outlineLevel="3" x14ac:dyDescent="0.25">
      <c r="A177" s="14" t="s">
        <v>131</v>
      </c>
      <c r="B177" s="14" t="s">
        <v>277</v>
      </c>
      <c r="C177" s="14" t="s">
        <v>143</v>
      </c>
      <c r="D177" s="14" t="s">
        <v>278</v>
      </c>
      <c r="E177" s="14">
        <v>177691</v>
      </c>
      <c r="F177" s="15">
        <v>45778</v>
      </c>
      <c r="G177" s="42">
        <v>928</v>
      </c>
      <c r="H177" s="17">
        <f>G177</f>
        <v>928</v>
      </c>
      <c r="I177" s="14"/>
      <c r="J177" s="28">
        <v>928</v>
      </c>
      <c r="K177" s="17">
        <f>H177-J177</f>
        <v>0</v>
      </c>
      <c r="L177" s="12"/>
    </row>
    <row r="178" spans="1:12" hidden="1" outlineLevel="3" x14ac:dyDescent="0.25">
      <c r="A178" s="14" t="s">
        <v>131</v>
      </c>
      <c r="B178" s="14" t="s">
        <v>277</v>
      </c>
      <c r="C178" s="14" t="s">
        <v>133</v>
      </c>
      <c r="D178" s="14" t="s">
        <v>133</v>
      </c>
      <c r="E178" s="14">
        <v>177691</v>
      </c>
      <c r="F178" s="15">
        <v>45778</v>
      </c>
      <c r="G178" s="42">
        <v>393.5</v>
      </c>
      <c r="H178" s="17">
        <f>G178</f>
        <v>393.5</v>
      </c>
      <c r="I178" s="14"/>
      <c r="J178" s="28">
        <v>393.5</v>
      </c>
      <c r="K178" s="17">
        <f>H178-J178</f>
        <v>0</v>
      </c>
      <c r="L178" s="12"/>
    </row>
    <row r="179" spans="1:12" hidden="1" outlineLevel="3" x14ac:dyDescent="0.25">
      <c r="A179" s="14" t="s">
        <v>131</v>
      </c>
      <c r="B179" s="14" t="s">
        <v>277</v>
      </c>
      <c r="C179" s="14" t="s">
        <v>136</v>
      </c>
      <c r="D179" s="14" t="s">
        <v>136</v>
      </c>
      <c r="E179" s="14">
        <v>177691</v>
      </c>
      <c r="F179" s="15">
        <v>45778</v>
      </c>
      <c r="G179" s="42">
        <v>337.4</v>
      </c>
      <c r="H179" s="17">
        <f>G179</f>
        <v>337.4</v>
      </c>
      <c r="I179" s="14"/>
      <c r="J179" s="28">
        <v>301.39999999999998</v>
      </c>
      <c r="K179" s="17">
        <f>H179-J179</f>
        <v>36</v>
      </c>
      <c r="L179" s="12"/>
    </row>
    <row r="180" spans="1:12" hidden="1" outlineLevel="3" x14ac:dyDescent="0.25">
      <c r="A180" s="14" t="s">
        <v>131</v>
      </c>
      <c r="B180" s="14" t="s">
        <v>277</v>
      </c>
      <c r="C180" s="14" t="s">
        <v>137</v>
      </c>
      <c r="D180" s="14" t="s">
        <v>279</v>
      </c>
      <c r="E180" s="14">
        <v>177691</v>
      </c>
      <c r="F180" s="15">
        <v>45778</v>
      </c>
      <c r="G180" s="42">
        <v>4754.25</v>
      </c>
      <c r="H180" s="17">
        <f>G180</f>
        <v>4754.25</v>
      </c>
      <c r="I180" s="14"/>
      <c r="J180" s="28">
        <v>4754.25</v>
      </c>
      <c r="K180" s="17">
        <f>H180-J180</f>
        <v>0</v>
      </c>
      <c r="L180" s="12"/>
    </row>
    <row r="181" spans="1:12" hidden="1" outlineLevel="3" x14ac:dyDescent="0.25">
      <c r="A181" s="14" t="s">
        <v>131</v>
      </c>
      <c r="B181" s="14" t="s">
        <v>277</v>
      </c>
      <c r="C181" s="14" t="s">
        <v>201</v>
      </c>
      <c r="D181" s="14" t="s">
        <v>280</v>
      </c>
      <c r="E181" s="14">
        <v>177691</v>
      </c>
      <c r="F181" s="15">
        <v>45778</v>
      </c>
      <c r="G181" s="42">
        <v>3.19</v>
      </c>
      <c r="H181" s="17">
        <f>G181</f>
        <v>3.19</v>
      </c>
      <c r="I181" s="14"/>
      <c r="J181" s="28">
        <v>3.19</v>
      </c>
      <c r="K181" s="17">
        <f>H181-J181</f>
        <v>0</v>
      </c>
      <c r="L181" s="12"/>
    </row>
    <row r="182" spans="1:12" outlineLevel="2" collapsed="1" x14ac:dyDescent="0.25">
      <c r="A182" s="14"/>
      <c r="B182" s="8" t="s">
        <v>281</v>
      </c>
      <c r="C182" s="14"/>
      <c r="D182" s="14"/>
      <c r="E182" s="14"/>
      <c r="F182" s="15"/>
      <c r="G182" s="42">
        <f>SUBTOTAL(9,G177:G181)</f>
        <v>6416.3399999999992</v>
      </c>
      <c r="H182" s="17"/>
      <c r="I182" s="14"/>
      <c r="J182" s="28">
        <f>SUBTOTAL(9,J177:J181)</f>
        <v>6380.3399999999992</v>
      </c>
      <c r="K182" s="17">
        <f>SUBTOTAL(9,K177:K181)</f>
        <v>36</v>
      </c>
      <c r="L182" s="12"/>
    </row>
    <row r="183" spans="1:12" hidden="1" outlineLevel="3" x14ac:dyDescent="0.25">
      <c r="A183" s="14" t="s">
        <v>131</v>
      </c>
      <c r="B183" s="14" t="s">
        <v>282</v>
      </c>
      <c r="C183" s="14" t="s">
        <v>140</v>
      </c>
      <c r="D183" s="14" t="s">
        <v>140</v>
      </c>
      <c r="E183" s="14">
        <v>177692</v>
      </c>
      <c r="F183" s="15">
        <v>45778</v>
      </c>
      <c r="G183" s="42">
        <v>600</v>
      </c>
      <c r="H183" s="17">
        <f t="shared" ref="H183:H188" si="2">G183</f>
        <v>600</v>
      </c>
      <c r="I183" s="14"/>
      <c r="J183" s="28">
        <v>600</v>
      </c>
      <c r="K183" s="17">
        <f t="shared" ref="K183:K188" si="3">H183-J183</f>
        <v>0</v>
      </c>
      <c r="L183" s="12"/>
    </row>
    <row r="184" spans="1:12" hidden="1" outlineLevel="3" x14ac:dyDescent="0.25">
      <c r="A184" s="14" t="s">
        <v>131</v>
      </c>
      <c r="B184" s="14" t="s">
        <v>282</v>
      </c>
      <c r="C184" s="14" t="s">
        <v>143</v>
      </c>
      <c r="D184" s="14" t="s">
        <v>143</v>
      </c>
      <c r="E184" s="14">
        <v>177692</v>
      </c>
      <c r="F184" s="15">
        <v>45778</v>
      </c>
      <c r="G184" s="42">
        <v>1330</v>
      </c>
      <c r="H184" s="17">
        <f t="shared" si="2"/>
        <v>1330</v>
      </c>
      <c r="I184" s="14"/>
      <c r="J184" s="28">
        <v>1330</v>
      </c>
      <c r="K184" s="17">
        <f t="shared" si="3"/>
        <v>0</v>
      </c>
      <c r="L184" s="12"/>
    </row>
    <row r="185" spans="1:12" hidden="1" outlineLevel="3" x14ac:dyDescent="0.25">
      <c r="A185" s="14" t="s">
        <v>131</v>
      </c>
      <c r="B185" s="14" t="s">
        <v>282</v>
      </c>
      <c r="C185" s="14" t="s">
        <v>133</v>
      </c>
      <c r="D185" s="14" t="s">
        <v>133</v>
      </c>
      <c r="E185" s="14">
        <v>177692</v>
      </c>
      <c r="F185" s="15">
        <v>45778</v>
      </c>
      <c r="G185" s="42">
        <v>250.2242</v>
      </c>
      <c r="H185" s="17">
        <f t="shared" si="2"/>
        <v>250.2242</v>
      </c>
      <c r="I185" s="14"/>
      <c r="J185" s="28">
        <v>222.2242</v>
      </c>
      <c r="K185" s="17">
        <f t="shared" si="3"/>
        <v>28</v>
      </c>
      <c r="L185" s="12"/>
    </row>
    <row r="186" spans="1:12" hidden="1" outlineLevel="3" x14ac:dyDescent="0.25">
      <c r="A186" s="14" t="s">
        <v>131</v>
      </c>
      <c r="B186" s="14" t="s">
        <v>282</v>
      </c>
      <c r="C186" s="14" t="s">
        <v>136</v>
      </c>
      <c r="D186" s="14" t="s">
        <v>136</v>
      </c>
      <c r="E186" s="14">
        <v>177692</v>
      </c>
      <c r="F186" s="15">
        <v>45778</v>
      </c>
      <c r="G186" s="42">
        <v>2069</v>
      </c>
      <c r="H186" s="17">
        <f t="shared" si="2"/>
        <v>2069</v>
      </c>
      <c r="I186" s="14"/>
      <c r="J186" s="28">
        <v>1448</v>
      </c>
      <c r="K186" s="17">
        <f t="shared" si="3"/>
        <v>621</v>
      </c>
      <c r="L186" s="12" t="s">
        <v>135</v>
      </c>
    </row>
    <row r="187" spans="1:12" ht="30" hidden="1" outlineLevel="3" x14ac:dyDescent="0.25">
      <c r="A187" s="14" t="s">
        <v>131</v>
      </c>
      <c r="B187" s="14" t="s">
        <v>282</v>
      </c>
      <c r="C187" s="14" t="s">
        <v>137</v>
      </c>
      <c r="D187" s="14" t="s">
        <v>137</v>
      </c>
      <c r="E187" s="14">
        <v>177692</v>
      </c>
      <c r="F187" s="15">
        <v>45778</v>
      </c>
      <c r="G187" s="42">
        <v>3689</v>
      </c>
      <c r="H187" s="17">
        <f t="shared" si="2"/>
        <v>3689</v>
      </c>
      <c r="I187" s="14"/>
      <c r="J187" s="28">
        <v>6384</v>
      </c>
      <c r="K187" s="17">
        <f t="shared" si="3"/>
        <v>-2695</v>
      </c>
      <c r="L187" s="12" t="s">
        <v>283</v>
      </c>
    </row>
    <row r="188" spans="1:12" ht="30" hidden="1" outlineLevel="3" x14ac:dyDescent="0.25">
      <c r="A188" s="14" t="s">
        <v>131</v>
      </c>
      <c r="B188" s="14" t="s">
        <v>282</v>
      </c>
      <c r="C188" s="14"/>
      <c r="D188" s="14"/>
      <c r="E188" s="14"/>
      <c r="F188" s="15"/>
      <c r="G188" s="27"/>
      <c r="H188" s="27">
        <f t="shared" si="2"/>
        <v>0</v>
      </c>
      <c r="I188" s="14"/>
      <c r="J188" s="27">
        <v>-2255</v>
      </c>
      <c r="K188" s="17">
        <f t="shared" si="3"/>
        <v>2255</v>
      </c>
      <c r="L188" s="12" t="s">
        <v>283</v>
      </c>
    </row>
    <row r="189" spans="1:12" outlineLevel="2" collapsed="1" x14ac:dyDescent="0.25">
      <c r="A189" s="14"/>
      <c r="B189" s="8" t="s">
        <v>284</v>
      </c>
      <c r="C189" s="14"/>
      <c r="D189" s="14"/>
      <c r="E189" s="14"/>
      <c r="F189" s="15"/>
      <c r="G189" s="27">
        <f>SUBTOTAL(9,G183:G188)</f>
        <v>7938.2242000000006</v>
      </c>
      <c r="H189" s="27"/>
      <c r="I189" s="14"/>
      <c r="J189" s="27">
        <f>SUBTOTAL(9,J183:J188)</f>
        <v>7729.2242000000006</v>
      </c>
      <c r="K189" s="17">
        <f>SUBTOTAL(9,K183:K188)</f>
        <v>209</v>
      </c>
      <c r="L189" s="12"/>
    </row>
    <row r="190" spans="1:12" hidden="1" outlineLevel="3" x14ac:dyDescent="0.25">
      <c r="A190" s="14" t="s">
        <v>131</v>
      </c>
      <c r="B190" s="14" t="s">
        <v>285</v>
      </c>
      <c r="C190" s="14" t="s">
        <v>143</v>
      </c>
      <c r="D190" s="14" t="s">
        <v>143</v>
      </c>
      <c r="E190" s="14">
        <v>177693</v>
      </c>
      <c r="F190" s="15">
        <v>45778</v>
      </c>
      <c r="G190" s="42">
        <v>1731.6</v>
      </c>
      <c r="H190" s="17">
        <f>G190</f>
        <v>1731.6</v>
      </c>
      <c r="I190" s="14"/>
      <c r="J190" s="28">
        <v>1731.6</v>
      </c>
      <c r="K190" s="17">
        <f>H190-J190</f>
        <v>0</v>
      </c>
      <c r="L190" s="12"/>
    </row>
    <row r="191" spans="1:12" hidden="1" outlineLevel="3" x14ac:dyDescent="0.25">
      <c r="A191" s="14" t="s">
        <v>131</v>
      </c>
      <c r="B191" s="14" t="s">
        <v>285</v>
      </c>
      <c r="C191" s="14" t="s">
        <v>133</v>
      </c>
      <c r="D191" s="14" t="s">
        <v>133</v>
      </c>
      <c r="E191" s="14">
        <v>177693</v>
      </c>
      <c r="F191" s="15">
        <v>45778</v>
      </c>
      <c r="G191" s="42">
        <v>332</v>
      </c>
      <c r="H191" s="17">
        <f>G191</f>
        <v>332</v>
      </c>
      <c r="I191" s="14"/>
      <c r="J191" s="28">
        <v>332</v>
      </c>
      <c r="K191" s="17">
        <f>H191-J191</f>
        <v>0</v>
      </c>
      <c r="L191" s="12"/>
    </row>
    <row r="192" spans="1:12" hidden="1" outlineLevel="3" x14ac:dyDescent="0.25">
      <c r="A192" s="14" t="s">
        <v>131</v>
      </c>
      <c r="B192" s="14" t="s">
        <v>285</v>
      </c>
      <c r="C192" s="14" t="s">
        <v>136</v>
      </c>
      <c r="D192" s="14" t="s">
        <v>136</v>
      </c>
      <c r="E192" s="14">
        <v>177693</v>
      </c>
      <c r="F192" s="15">
        <v>45778</v>
      </c>
      <c r="G192" s="42">
        <v>1464</v>
      </c>
      <c r="H192" s="17">
        <f>G192</f>
        <v>1464</v>
      </c>
      <c r="I192" s="14"/>
      <c r="J192" s="28">
        <v>475</v>
      </c>
      <c r="K192" s="17">
        <f>H192-J192</f>
        <v>989</v>
      </c>
      <c r="L192" s="12" t="s">
        <v>135</v>
      </c>
    </row>
    <row r="193" spans="1:12" hidden="1" outlineLevel="3" x14ac:dyDescent="0.25">
      <c r="A193" s="14" t="s">
        <v>131</v>
      </c>
      <c r="B193" s="14" t="s">
        <v>285</v>
      </c>
      <c r="C193" s="14" t="s">
        <v>137</v>
      </c>
      <c r="D193" s="14" t="s">
        <v>137</v>
      </c>
      <c r="E193" s="14">
        <v>177693</v>
      </c>
      <c r="F193" s="15">
        <v>45778</v>
      </c>
      <c r="G193" s="42">
        <v>5762.85</v>
      </c>
      <c r="H193" s="17">
        <f>G193</f>
        <v>5762.85</v>
      </c>
      <c r="I193" s="14"/>
      <c r="J193" s="28">
        <v>5150</v>
      </c>
      <c r="K193" s="17">
        <f>H193-J193</f>
        <v>612.85000000000036</v>
      </c>
      <c r="L193" s="12" t="s">
        <v>286</v>
      </c>
    </row>
    <row r="194" spans="1:12" ht="30" outlineLevel="2" collapsed="1" x14ac:dyDescent="0.25">
      <c r="A194" s="20"/>
      <c r="B194" s="26" t="s">
        <v>287</v>
      </c>
      <c r="C194" s="20"/>
      <c r="D194" s="20"/>
      <c r="E194" s="20"/>
      <c r="F194" s="21"/>
      <c r="G194" s="22">
        <f>SUBTOTAL(9,G190:G193)</f>
        <v>9290.4500000000007</v>
      </c>
      <c r="H194" s="23"/>
      <c r="I194" s="20"/>
      <c r="J194" s="24">
        <f>SUBTOTAL(9,J190:J193)</f>
        <v>7688.6</v>
      </c>
      <c r="K194" s="23">
        <f>SUBTOTAL(9,K190:K193)</f>
        <v>1601.8500000000004</v>
      </c>
      <c r="L194" s="25" t="s">
        <v>288</v>
      </c>
    </row>
    <row r="195" spans="1:12" hidden="1" outlineLevel="3" x14ac:dyDescent="0.25">
      <c r="A195" s="14" t="s">
        <v>131</v>
      </c>
      <c r="B195" s="14" t="s">
        <v>289</v>
      </c>
      <c r="C195" s="14" t="s">
        <v>140</v>
      </c>
      <c r="D195" s="14" t="s">
        <v>140</v>
      </c>
      <c r="E195" s="14">
        <v>177694</v>
      </c>
      <c r="F195" s="15">
        <v>45778</v>
      </c>
      <c r="G195" s="42">
        <v>800</v>
      </c>
      <c r="H195" s="17">
        <f t="shared" ref="H195:H200" si="4">G195</f>
        <v>800</v>
      </c>
      <c r="I195" s="14"/>
      <c r="J195" s="28">
        <v>0</v>
      </c>
      <c r="K195" s="17">
        <f t="shared" ref="K195:K200" si="5">H195-J195</f>
        <v>800</v>
      </c>
      <c r="L195" s="12" t="s">
        <v>290</v>
      </c>
    </row>
    <row r="196" spans="1:12" hidden="1" outlineLevel="3" x14ac:dyDescent="0.25">
      <c r="A196" s="14" t="s">
        <v>131</v>
      </c>
      <c r="B196" s="14" t="s">
        <v>289</v>
      </c>
      <c r="C196" s="14" t="s">
        <v>143</v>
      </c>
      <c r="D196" s="14" t="s">
        <v>291</v>
      </c>
      <c r="E196" s="14">
        <v>177694</v>
      </c>
      <c r="F196" s="15">
        <v>45778</v>
      </c>
      <c r="G196" s="42">
        <v>660.9</v>
      </c>
      <c r="H196" s="17">
        <f t="shared" si="4"/>
        <v>660.9</v>
      </c>
      <c r="I196" s="14"/>
      <c r="J196" s="28">
        <v>660.9</v>
      </c>
      <c r="K196" s="17">
        <f t="shared" si="5"/>
        <v>0</v>
      </c>
      <c r="L196" s="12"/>
    </row>
    <row r="197" spans="1:12" hidden="1" outlineLevel="3" x14ac:dyDescent="0.25">
      <c r="A197" s="14" t="s">
        <v>131</v>
      </c>
      <c r="B197" s="14" t="s">
        <v>289</v>
      </c>
      <c r="C197" s="14" t="s">
        <v>133</v>
      </c>
      <c r="D197" s="14" t="s">
        <v>133</v>
      </c>
      <c r="E197" s="14">
        <v>177694</v>
      </c>
      <c r="F197" s="15">
        <v>45778</v>
      </c>
      <c r="G197" s="42">
        <v>171</v>
      </c>
      <c r="H197" s="17">
        <f t="shared" si="4"/>
        <v>171</v>
      </c>
      <c r="I197" s="14"/>
      <c r="J197" s="28">
        <v>186</v>
      </c>
      <c r="K197" s="17">
        <f t="shared" si="5"/>
        <v>-15</v>
      </c>
      <c r="L197" s="12"/>
    </row>
    <row r="198" spans="1:12" hidden="1" outlineLevel="3" x14ac:dyDescent="0.25">
      <c r="A198" s="14" t="s">
        <v>131</v>
      </c>
      <c r="B198" s="14" t="s">
        <v>289</v>
      </c>
      <c r="C198" s="14" t="s">
        <v>136</v>
      </c>
      <c r="D198" s="14" t="s">
        <v>136</v>
      </c>
      <c r="E198" s="14">
        <v>177694</v>
      </c>
      <c r="F198" s="15">
        <v>45778</v>
      </c>
      <c r="G198" s="42">
        <v>525</v>
      </c>
      <c r="H198" s="17">
        <f t="shared" si="4"/>
        <v>525</v>
      </c>
      <c r="I198" s="14"/>
      <c r="J198" s="28">
        <v>525</v>
      </c>
      <c r="K198" s="17">
        <f t="shared" si="5"/>
        <v>0</v>
      </c>
      <c r="L198" s="12"/>
    </row>
    <row r="199" spans="1:12" hidden="1" outlineLevel="3" x14ac:dyDescent="0.25">
      <c r="A199" s="14" t="s">
        <v>131</v>
      </c>
      <c r="B199" s="14" t="s">
        <v>289</v>
      </c>
      <c r="C199" s="14" t="s">
        <v>137</v>
      </c>
      <c r="D199" s="14" t="s">
        <v>137</v>
      </c>
      <c r="E199" s="14">
        <v>177694</v>
      </c>
      <c r="F199" s="15">
        <v>45778</v>
      </c>
      <c r="G199" s="42">
        <v>7124.51</v>
      </c>
      <c r="H199" s="17">
        <f t="shared" si="4"/>
        <v>7124.51</v>
      </c>
      <c r="I199" s="14"/>
      <c r="J199" s="28">
        <v>7124.51</v>
      </c>
      <c r="K199" s="17">
        <f t="shared" si="5"/>
        <v>0</v>
      </c>
      <c r="L199" s="12"/>
    </row>
    <row r="200" spans="1:12" hidden="1" outlineLevel="3" x14ac:dyDescent="0.25">
      <c r="A200" s="14" t="s">
        <v>131</v>
      </c>
      <c r="B200" s="14" t="s">
        <v>289</v>
      </c>
      <c r="C200" s="14" t="s">
        <v>201</v>
      </c>
      <c r="D200" s="14" t="s">
        <v>201</v>
      </c>
      <c r="E200" s="14">
        <v>177694</v>
      </c>
      <c r="F200" s="15">
        <v>45778</v>
      </c>
      <c r="G200" s="42">
        <v>2635.5</v>
      </c>
      <c r="H200" s="17">
        <f t="shared" si="4"/>
        <v>2635.5</v>
      </c>
      <c r="I200" s="14"/>
      <c r="J200" s="28">
        <v>2635.5</v>
      </c>
      <c r="K200" s="17">
        <f t="shared" si="5"/>
        <v>0</v>
      </c>
      <c r="L200" s="12"/>
    </row>
    <row r="201" spans="1:12" outlineLevel="2" collapsed="1" x14ac:dyDescent="0.25">
      <c r="A201" s="14"/>
      <c r="B201" s="8" t="s">
        <v>292</v>
      </c>
      <c r="C201" s="14"/>
      <c r="D201" s="14"/>
      <c r="E201" s="14"/>
      <c r="F201" s="15"/>
      <c r="G201" s="42">
        <f>SUBTOTAL(9,G195:G200)</f>
        <v>11916.91</v>
      </c>
      <c r="H201" s="17"/>
      <c r="I201" s="14"/>
      <c r="J201" s="28">
        <f>SUBTOTAL(9,J195:J200)</f>
        <v>11131.91</v>
      </c>
      <c r="K201" s="17">
        <f>SUBTOTAL(9,K195:K200)</f>
        <v>785</v>
      </c>
      <c r="L201" s="12"/>
    </row>
    <row r="202" spans="1:12" hidden="1" outlineLevel="3" x14ac:dyDescent="0.25">
      <c r="A202" s="14" t="s">
        <v>131</v>
      </c>
      <c r="B202" s="14" t="s">
        <v>293</v>
      </c>
      <c r="C202" s="14" t="s">
        <v>143</v>
      </c>
      <c r="D202" s="14" t="s">
        <v>143</v>
      </c>
      <c r="E202" s="14">
        <v>177695</v>
      </c>
      <c r="F202" s="15">
        <v>45778</v>
      </c>
      <c r="G202" s="42">
        <v>565.20000000000005</v>
      </c>
      <c r="H202" s="17">
        <f>G202</f>
        <v>565.20000000000005</v>
      </c>
      <c r="I202" s="14"/>
      <c r="J202" s="28">
        <v>565.20000000000005</v>
      </c>
      <c r="K202" s="17">
        <f>H202-J202</f>
        <v>0</v>
      </c>
      <c r="L202" s="12"/>
    </row>
    <row r="203" spans="1:12" hidden="1" outlineLevel="3" x14ac:dyDescent="0.25">
      <c r="A203" s="14" t="s">
        <v>131</v>
      </c>
      <c r="B203" s="14" t="s">
        <v>293</v>
      </c>
      <c r="C203" s="14" t="s">
        <v>133</v>
      </c>
      <c r="D203" s="14" t="s">
        <v>133</v>
      </c>
      <c r="E203" s="14">
        <v>177695</v>
      </c>
      <c r="F203" s="15">
        <v>45778</v>
      </c>
      <c r="G203" s="42">
        <v>88</v>
      </c>
      <c r="H203" s="17">
        <f>G203</f>
        <v>88</v>
      </c>
      <c r="I203" s="14"/>
      <c r="J203" s="28">
        <v>84</v>
      </c>
      <c r="K203" s="17">
        <f>H203-J203</f>
        <v>4</v>
      </c>
      <c r="L203" s="12"/>
    </row>
    <row r="204" spans="1:12" hidden="1" outlineLevel="3" x14ac:dyDescent="0.25">
      <c r="A204" s="14" t="s">
        <v>131</v>
      </c>
      <c r="B204" s="14" t="s">
        <v>293</v>
      </c>
      <c r="C204" s="14" t="s">
        <v>136</v>
      </c>
      <c r="D204" s="14" t="s">
        <v>136</v>
      </c>
      <c r="E204" s="14">
        <v>177695</v>
      </c>
      <c r="F204" s="15">
        <v>45778</v>
      </c>
      <c r="G204" s="42">
        <v>569.5</v>
      </c>
      <c r="H204" s="17">
        <f>G204</f>
        <v>569.5</v>
      </c>
      <c r="I204" s="14"/>
      <c r="J204" s="28">
        <v>479</v>
      </c>
      <c r="K204" s="17">
        <f>H204-J204</f>
        <v>90.5</v>
      </c>
      <c r="L204" s="12"/>
    </row>
    <row r="205" spans="1:12" hidden="1" outlineLevel="3" x14ac:dyDescent="0.25">
      <c r="A205" s="14" t="s">
        <v>131</v>
      </c>
      <c r="B205" s="14" t="s">
        <v>293</v>
      </c>
      <c r="C205" s="14" t="s">
        <v>137</v>
      </c>
      <c r="D205" s="14" t="s">
        <v>137</v>
      </c>
      <c r="E205" s="14">
        <v>177695</v>
      </c>
      <c r="F205" s="15">
        <v>45778</v>
      </c>
      <c r="G205" s="42">
        <v>2052</v>
      </c>
      <c r="H205" s="17">
        <f>G205</f>
        <v>2052</v>
      </c>
      <c r="I205" s="14"/>
      <c r="J205" s="28">
        <v>1152</v>
      </c>
      <c r="K205" s="17">
        <f>H205-J205</f>
        <v>900</v>
      </c>
      <c r="L205" s="12" t="s">
        <v>294</v>
      </c>
    </row>
    <row r="206" spans="1:12" outlineLevel="2" collapsed="1" x14ac:dyDescent="0.25">
      <c r="A206" s="14"/>
      <c r="B206" s="8" t="s">
        <v>295</v>
      </c>
      <c r="C206" s="14"/>
      <c r="D206" s="14"/>
      <c r="E206" s="14"/>
      <c r="F206" s="15"/>
      <c r="G206" s="42">
        <f>SUBTOTAL(9,G202:G205)</f>
        <v>3274.7</v>
      </c>
      <c r="H206" s="17"/>
      <c r="I206" s="14"/>
      <c r="J206" s="28">
        <f>SUBTOTAL(9,J202:J205)</f>
        <v>2280.1999999999998</v>
      </c>
      <c r="K206" s="17">
        <f>SUBTOTAL(9,K202:K205)</f>
        <v>994.5</v>
      </c>
      <c r="L206" s="12"/>
    </row>
    <row r="207" spans="1:12" hidden="1" outlineLevel="3" x14ac:dyDescent="0.25">
      <c r="A207" s="14" t="s">
        <v>131</v>
      </c>
      <c r="B207" s="14" t="s">
        <v>296</v>
      </c>
      <c r="C207" s="14" t="s">
        <v>143</v>
      </c>
      <c r="D207" s="14" t="s">
        <v>297</v>
      </c>
      <c r="E207" s="14">
        <v>177696</v>
      </c>
      <c r="F207" s="15">
        <v>45778</v>
      </c>
      <c r="G207" s="16">
        <v>1544</v>
      </c>
      <c r="H207" s="17">
        <f>G207</f>
        <v>1544</v>
      </c>
      <c r="I207" s="14"/>
      <c r="J207" s="18">
        <v>1544</v>
      </c>
      <c r="K207" s="17">
        <f>H207-J207</f>
        <v>0</v>
      </c>
      <c r="L207" s="12"/>
    </row>
    <row r="208" spans="1:12" hidden="1" outlineLevel="3" x14ac:dyDescent="0.25">
      <c r="A208" s="14" t="s">
        <v>131</v>
      </c>
      <c r="B208" s="14" t="s">
        <v>296</v>
      </c>
      <c r="C208" s="14" t="s">
        <v>133</v>
      </c>
      <c r="D208" s="14" t="s">
        <v>133</v>
      </c>
      <c r="E208" s="14">
        <v>177696</v>
      </c>
      <c r="F208" s="15">
        <v>45778</v>
      </c>
      <c r="G208" s="16">
        <v>1077.04</v>
      </c>
      <c r="H208" s="17">
        <f>G208</f>
        <v>1077.04</v>
      </c>
      <c r="I208" s="14"/>
      <c r="J208" s="18">
        <v>829.82</v>
      </c>
      <c r="K208" s="17">
        <f>H208-J208</f>
        <v>247.21999999999991</v>
      </c>
      <c r="L208" s="12"/>
    </row>
    <row r="209" spans="1:12" hidden="1" outlineLevel="3" x14ac:dyDescent="0.25">
      <c r="A209" s="14" t="s">
        <v>131</v>
      </c>
      <c r="B209" s="14" t="s">
        <v>296</v>
      </c>
      <c r="C209" s="14" t="s">
        <v>136</v>
      </c>
      <c r="D209" s="14" t="s">
        <v>136</v>
      </c>
      <c r="E209" s="14">
        <v>177696</v>
      </c>
      <c r="F209" s="15">
        <v>45778</v>
      </c>
      <c r="G209" s="16">
        <v>640</v>
      </c>
      <c r="H209" s="17">
        <f>G209</f>
        <v>640</v>
      </c>
      <c r="I209" s="14"/>
      <c r="J209" s="18">
        <v>396.5</v>
      </c>
      <c r="K209" s="17">
        <f>H209-J209</f>
        <v>243.5</v>
      </c>
      <c r="L209" s="12" t="s">
        <v>298</v>
      </c>
    </row>
    <row r="210" spans="1:12" hidden="1" outlineLevel="3" x14ac:dyDescent="0.25">
      <c r="A210" s="14" t="s">
        <v>131</v>
      </c>
      <c r="B210" s="14" t="s">
        <v>296</v>
      </c>
      <c r="C210" s="14" t="s">
        <v>137</v>
      </c>
      <c r="D210" s="14" t="s">
        <v>296</v>
      </c>
      <c r="E210" s="14">
        <v>177696</v>
      </c>
      <c r="F210" s="15">
        <v>45778</v>
      </c>
      <c r="G210" s="16">
        <v>2983.15</v>
      </c>
      <c r="H210" s="17">
        <f>G210</f>
        <v>2983.15</v>
      </c>
      <c r="I210" s="14"/>
      <c r="J210" s="18">
        <v>2983.15</v>
      </c>
      <c r="K210" s="17">
        <f>H210-J210</f>
        <v>0</v>
      </c>
      <c r="L210" s="12"/>
    </row>
    <row r="211" spans="1:12" outlineLevel="2" collapsed="1" x14ac:dyDescent="0.25">
      <c r="A211" s="14"/>
      <c r="B211" s="8" t="s">
        <v>299</v>
      </c>
      <c r="C211" s="14"/>
      <c r="D211" s="14"/>
      <c r="E211" s="14"/>
      <c r="F211" s="15"/>
      <c r="G211" s="16">
        <f>SUBTOTAL(9,G207:G210)</f>
        <v>6244.1900000000005</v>
      </c>
      <c r="H211" s="17"/>
      <c r="I211" s="14"/>
      <c r="J211" s="18">
        <f>SUBTOTAL(9,J207:J210)</f>
        <v>5753.47</v>
      </c>
      <c r="K211" s="17">
        <f>SUBTOTAL(9,K207:K210)</f>
        <v>490.71999999999991</v>
      </c>
      <c r="L211" s="12"/>
    </row>
    <row r="212" spans="1:12" hidden="1" outlineLevel="3" x14ac:dyDescent="0.25">
      <c r="A212" s="14" t="s">
        <v>131</v>
      </c>
      <c r="B212" s="14" t="s">
        <v>300</v>
      </c>
      <c r="C212" s="14" t="s">
        <v>143</v>
      </c>
      <c r="D212" s="14" t="s">
        <v>301</v>
      </c>
      <c r="E212" s="14">
        <v>177697</v>
      </c>
      <c r="F212" s="15">
        <v>45778</v>
      </c>
      <c r="G212" s="16">
        <v>954</v>
      </c>
      <c r="H212" s="17">
        <f>G212</f>
        <v>954</v>
      </c>
      <c r="I212" s="14"/>
      <c r="J212" s="18">
        <v>954</v>
      </c>
      <c r="K212" s="17">
        <f>H212-J212</f>
        <v>0</v>
      </c>
      <c r="L212" s="12"/>
    </row>
    <row r="213" spans="1:12" hidden="1" outlineLevel="3" x14ac:dyDescent="0.25">
      <c r="A213" s="14" t="s">
        <v>131</v>
      </c>
      <c r="B213" s="14" t="s">
        <v>300</v>
      </c>
      <c r="C213" s="14" t="s">
        <v>133</v>
      </c>
      <c r="D213" s="14" t="s">
        <v>133</v>
      </c>
      <c r="E213" s="14">
        <v>177697</v>
      </c>
      <c r="F213" s="15">
        <v>45778</v>
      </c>
      <c r="G213" s="16">
        <v>235</v>
      </c>
      <c r="H213" s="17">
        <f>G213</f>
        <v>235</v>
      </c>
      <c r="I213" s="14"/>
      <c r="J213" s="18">
        <v>260</v>
      </c>
      <c r="K213" s="17">
        <f>H213-J213</f>
        <v>-25</v>
      </c>
      <c r="L213" s="12"/>
    </row>
    <row r="214" spans="1:12" hidden="1" outlineLevel="3" x14ac:dyDescent="0.25">
      <c r="A214" s="14" t="s">
        <v>131</v>
      </c>
      <c r="B214" s="14" t="s">
        <v>300</v>
      </c>
      <c r="C214" s="14" t="s">
        <v>136</v>
      </c>
      <c r="D214" s="14" t="s">
        <v>136</v>
      </c>
      <c r="E214" s="14">
        <v>177697</v>
      </c>
      <c r="F214" s="15">
        <v>45778</v>
      </c>
      <c r="G214" s="16">
        <v>488</v>
      </c>
      <c r="H214" s="17">
        <f>G214</f>
        <v>488</v>
      </c>
      <c r="I214" s="14"/>
      <c r="J214" s="18">
        <v>502</v>
      </c>
      <c r="K214" s="17">
        <f>H214-J214</f>
        <v>-14</v>
      </c>
      <c r="L214" s="12"/>
    </row>
    <row r="215" spans="1:12" hidden="1" outlineLevel="3" x14ac:dyDescent="0.25">
      <c r="A215" s="14" t="s">
        <v>131</v>
      </c>
      <c r="B215" s="14" t="s">
        <v>300</v>
      </c>
      <c r="C215" s="14" t="s">
        <v>137</v>
      </c>
      <c r="D215" s="14" t="s">
        <v>300</v>
      </c>
      <c r="E215" s="14">
        <v>177697</v>
      </c>
      <c r="F215" s="15">
        <v>45778</v>
      </c>
      <c r="G215" s="16">
        <v>1622.25</v>
      </c>
      <c r="H215" s="17">
        <f>G215</f>
        <v>1622.25</v>
      </c>
      <c r="I215" s="14"/>
      <c r="J215" s="18">
        <v>1622.25</v>
      </c>
      <c r="K215" s="17">
        <f>H215-J215</f>
        <v>0</v>
      </c>
      <c r="L215" s="12"/>
    </row>
    <row r="216" spans="1:12" outlineLevel="2" collapsed="1" x14ac:dyDescent="0.25">
      <c r="A216" s="14"/>
      <c r="B216" s="8" t="s">
        <v>302</v>
      </c>
      <c r="C216" s="14"/>
      <c r="D216" s="14"/>
      <c r="E216" s="14"/>
      <c r="F216" s="15"/>
      <c r="G216" s="16">
        <f>SUBTOTAL(9,G212:G215)</f>
        <v>3299.25</v>
      </c>
      <c r="H216" s="17"/>
      <c r="I216" s="14"/>
      <c r="J216" s="18">
        <f>SUBTOTAL(9,J212:J215)</f>
        <v>3338.25</v>
      </c>
      <c r="K216" s="17">
        <f>SUBTOTAL(9,K212:K215)</f>
        <v>-39</v>
      </c>
      <c r="L216" s="12"/>
    </row>
    <row r="217" spans="1:12" hidden="1" outlineLevel="3" x14ac:dyDescent="0.25">
      <c r="A217" s="14" t="s">
        <v>131</v>
      </c>
      <c r="B217" s="14" t="s">
        <v>303</v>
      </c>
      <c r="C217" s="14" t="s">
        <v>143</v>
      </c>
      <c r="D217" s="14" t="s">
        <v>143</v>
      </c>
      <c r="E217" s="14">
        <v>177698</v>
      </c>
      <c r="F217" s="15">
        <v>45778</v>
      </c>
      <c r="G217" s="16">
        <v>363</v>
      </c>
      <c r="H217" s="17">
        <f>G217</f>
        <v>363</v>
      </c>
      <c r="I217" s="14"/>
      <c r="J217" s="18">
        <v>363</v>
      </c>
      <c r="K217" s="17">
        <f>H217-J217</f>
        <v>0</v>
      </c>
      <c r="L217" s="12"/>
    </row>
    <row r="218" spans="1:12" hidden="1" outlineLevel="3" x14ac:dyDescent="0.25">
      <c r="A218" s="14" t="s">
        <v>131</v>
      </c>
      <c r="B218" s="14" t="s">
        <v>303</v>
      </c>
      <c r="C218" s="14" t="s">
        <v>133</v>
      </c>
      <c r="D218" s="14" t="s">
        <v>133</v>
      </c>
      <c r="E218" s="14">
        <v>177698</v>
      </c>
      <c r="F218" s="15">
        <v>45778</v>
      </c>
      <c r="G218" s="16">
        <v>332.75</v>
      </c>
      <c r="H218" s="17">
        <f>G218</f>
        <v>332.75</v>
      </c>
      <c r="I218" s="14"/>
      <c r="J218" s="18">
        <v>332.75</v>
      </c>
      <c r="K218" s="17">
        <f>H218-J218</f>
        <v>0</v>
      </c>
      <c r="L218" s="12"/>
    </row>
    <row r="219" spans="1:12" hidden="1" outlineLevel="3" x14ac:dyDescent="0.25">
      <c r="A219" s="14" t="s">
        <v>131</v>
      </c>
      <c r="B219" s="14" t="s">
        <v>303</v>
      </c>
      <c r="C219" s="14" t="s">
        <v>136</v>
      </c>
      <c r="D219" s="14" t="s">
        <v>136</v>
      </c>
      <c r="E219" s="14">
        <v>177698</v>
      </c>
      <c r="F219" s="15">
        <v>45778</v>
      </c>
      <c r="G219" s="16">
        <v>287</v>
      </c>
      <c r="H219" s="17">
        <f>G219</f>
        <v>287</v>
      </c>
      <c r="I219" s="14"/>
      <c r="J219" s="18">
        <v>287</v>
      </c>
      <c r="K219" s="17">
        <f>H219-J219</f>
        <v>0</v>
      </c>
      <c r="L219" s="12"/>
    </row>
    <row r="220" spans="1:12" hidden="1" outlineLevel="3" x14ac:dyDescent="0.25">
      <c r="A220" s="14" t="s">
        <v>131</v>
      </c>
      <c r="B220" s="14" t="s">
        <v>303</v>
      </c>
      <c r="C220" s="14" t="s">
        <v>137</v>
      </c>
      <c r="D220" s="14" t="s">
        <v>137</v>
      </c>
      <c r="E220" s="14">
        <v>177698</v>
      </c>
      <c r="F220" s="15">
        <v>45778</v>
      </c>
      <c r="G220" s="16">
        <v>2965</v>
      </c>
      <c r="H220" s="17">
        <f>G220</f>
        <v>2965</v>
      </c>
      <c r="I220" s="14"/>
      <c r="J220" s="18">
        <v>2965</v>
      </c>
      <c r="K220" s="17">
        <f>H220-J220</f>
        <v>0</v>
      </c>
      <c r="L220" s="12"/>
    </row>
    <row r="221" spans="1:12" outlineLevel="2" collapsed="1" x14ac:dyDescent="0.25">
      <c r="A221" s="14"/>
      <c r="B221" s="8" t="s">
        <v>304</v>
      </c>
      <c r="C221" s="14"/>
      <c r="D221" s="14"/>
      <c r="E221" s="14"/>
      <c r="F221" s="15"/>
      <c r="G221" s="16">
        <f>SUBTOTAL(9,G217:G220)</f>
        <v>3947.75</v>
      </c>
      <c r="H221" s="17"/>
      <c r="I221" s="14"/>
      <c r="J221" s="18">
        <f>SUBTOTAL(9,J217:J220)</f>
        <v>3947.75</v>
      </c>
      <c r="K221" s="17">
        <f>SUBTOTAL(9,K217:K220)</f>
        <v>0</v>
      </c>
      <c r="L221" s="12"/>
    </row>
    <row r="222" spans="1:12" hidden="1" outlineLevel="3" x14ac:dyDescent="0.25">
      <c r="A222" s="14" t="s">
        <v>131</v>
      </c>
      <c r="B222" s="14" t="s">
        <v>305</v>
      </c>
      <c r="C222" s="14" t="s">
        <v>133</v>
      </c>
      <c r="D222" s="14" t="s">
        <v>306</v>
      </c>
      <c r="E222" s="14">
        <v>177700</v>
      </c>
      <c r="F222" s="15">
        <v>45778</v>
      </c>
      <c r="G222" s="16">
        <v>250</v>
      </c>
      <c r="H222" s="17">
        <f>G222</f>
        <v>250</v>
      </c>
      <c r="I222" s="14"/>
      <c r="J222" s="18">
        <v>250</v>
      </c>
      <c r="K222" s="17">
        <f>H222-J222</f>
        <v>0</v>
      </c>
      <c r="L222" s="12"/>
    </row>
    <row r="223" spans="1:12" hidden="1" outlineLevel="3" x14ac:dyDescent="0.25">
      <c r="A223" s="14" t="s">
        <v>131</v>
      </c>
      <c r="B223" s="14" t="s">
        <v>305</v>
      </c>
      <c r="C223" s="14" t="s">
        <v>133</v>
      </c>
      <c r="D223" s="14" t="s">
        <v>133</v>
      </c>
      <c r="E223" s="14">
        <v>177699</v>
      </c>
      <c r="F223" s="15">
        <v>45778</v>
      </c>
      <c r="G223" s="16">
        <v>20</v>
      </c>
      <c r="H223" s="17">
        <f>G223</f>
        <v>20</v>
      </c>
      <c r="I223" s="14"/>
      <c r="J223" s="18">
        <v>20</v>
      </c>
      <c r="K223" s="17">
        <f>H223-J223</f>
        <v>0</v>
      </c>
      <c r="L223" s="12"/>
    </row>
    <row r="224" spans="1:12" hidden="1" outlineLevel="3" x14ac:dyDescent="0.25">
      <c r="A224" s="14" t="s">
        <v>131</v>
      </c>
      <c r="B224" s="14" t="s">
        <v>305</v>
      </c>
      <c r="C224" s="14" t="s">
        <v>136</v>
      </c>
      <c r="D224" s="14" t="s">
        <v>136</v>
      </c>
      <c r="E224" s="14">
        <v>177701</v>
      </c>
      <c r="F224" s="15">
        <v>45778</v>
      </c>
      <c r="G224" s="16">
        <v>2983.5</v>
      </c>
      <c r="H224" s="17">
        <f>G224</f>
        <v>2983.5</v>
      </c>
      <c r="I224" s="14"/>
      <c r="J224" s="18">
        <v>2966.5</v>
      </c>
      <c r="K224" s="17">
        <f>H224-J224</f>
        <v>17</v>
      </c>
      <c r="L224" s="12"/>
    </row>
    <row r="225" spans="1:12" hidden="1" outlineLevel="3" x14ac:dyDescent="0.25">
      <c r="A225" s="14" t="s">
        <v>131</v>
      </c>
      <c r="B225" s="14" t="s">
        <v>305</v>
      </c>
      <c r="C225" s="14" t="s">
        <v>137</v>
      </c>
      <c r="D225" s="14" t="s">
        <v>137</v>
      </c>
      <c r="E225" s="14">
        <v>177699</v>
      </c>
      <c r="F225" s="15">
        <v>45778</v>
      </c>
      <c r="G225" s="16">
        <v>5274.05</v>
      </c>
      <c r="H225" s="17">
        <f>G225</f>
        <v>5274.05</v>
      </c>
      <c r="I225" s="14"/>
      <c r="J225" s="18">
        <v>5274.05</v>
      </c>
      <c r="K225" s="17">
        <f>H225-J225</f>
        <v>0</v>
      </c>
      <c r="L225" s="12"/>
    </row>
    <row r="226" spans="1:12" outlineLevel="2" collapsed="1" x14ac:dyDescent="0.25">
      <c r="A226" s="14"/>
      <c r="B226" s="8" t="s">
        <v>307</v>
      </c>
      <c r="C226" s="14"/>
      <c r="D226" s="14"/>
      <c r="E226" s="14"/>
      <c r="F226" s="15"/>
      <c r="G226" s="16">
        <f>SUBTOTAL(9,G222:G225)</f>
        <v>8527.5499999999993</v>
      </c>
      <c r="H226" s="17"/>
      <c r="I226" s="14"/>
      <c r="J226" s="18">
        <f>SUBTOTAL(9,J222:J225)</f>
        <v>8510.5499999999993</v>
      </c>
      <c r="K226" s="17">
        <f>SUBTOTAL(9,K222:K225)</f>
        <v>17</v>
      </c>
      <c r="L226" s="12"/>
    </row>
    <row r="227" spans="1:12" hidden="1" outlineLevel="3" x14ac:dyDescent="0.25">
      <c r="A227" s="14" t="s">
        <v>131</v>
      </c>
      <c r="B227" s="14" t="s">
        <v>308</v>
      </c>
      <c r="C227" s="14" t="s">
        <v>140</v>
      </c>
      <c r="D227" s="14" t="s">
        <v>309</v>
      </c>
      <c r="E227" s="14">
        <v>177703</v>
      </c>
      <c r="F227" s="15">
        <v>45778</v>
      </c>
      <c r="G227" s="16">
        <v>2483.7600000000002</v>
      </c>
      <c r="H227" s="17">
        <f>G227</f>
        <v>2483.7600000000002</v>
      </c>
      <c r="I227" s="14"/>
      <c r="J227" s="18">
        <v>2483.7600000000002</v>
      </c>
      <c r="K227" s="17">
        <f>H227-J227</f>
        <v>0</v>
      </c>
      <c r="L227" s="12"/>
    </row>
    <row r="228" spans="1:12" hidden="1" outlineLevel="3" x14ac:dyDescent="0.25">
      <c r="A228" s="14" t="s">
        <v>131</v>
      </c>
      <c r="B228" s="14" t="s">
        <v>308</v>
      </c>
      <c r="C228" s="14" t="s">
        <v>143</v>
      </c>
      <c r="D228" s="14" t="s">
        <v>247</v>
      </c>
      <c r="E228" s="14">
        <v>177702</v>
      </c>
      <c r="F228" s="15">
        <v>45778</v>
      </c>
      <c r="G228" s="16">
        <v>1496</v>
      </c>
      <c r="H228" s="17">
        <f>G228</f>
        <v>1496</v>
      </c>
      <c r="I228" s="14"/>
      <c r="J228" s="18">
        <v>1496</v>
      </c>
      <c r="K228" s="17">
        <f>H228-J228</f>
        <v>0</v>
      </c>
      <c r="L228" s="12"/>
    </row>
    <row r="229" spans="1:12" hidden="1" outlineLevel="3" x14ac:dyDescent="0.25">
      <c r="A229" s="14" t="s">
        <v>131</v>
      </c>
      <c r="B229" s="14" t="s">
        <v>308</v>
      </c>
      <c r="C229" s="14" t="s">
        <v>133</v>
      </c>
      <c r="D229" s="14" t="s">
        <v>310</v>
      </c>
      <c r="E229" s="14">
        <v>177703</v>
      </c>
      <c r="F229" s="15">
        <v>45778</v>
      </c>
      <c r="G229" s="16">
        <v>518.91999999999996</v>
      </c>
      <c r="H229" s="17">
        <f>G229</f>
        <v>518.91999999999996</v>
      </c>
      <c r="I229" s="14"/>
      <c r="J229" s="18">
        <v>518.91999999999996</v>
      </c>
      <c r="K229" s="17">
        <f>H229-J229</f>
        <v>0</v>
      </c>
      <c r="L229" s="12"/>
    </row>
    <row r="230" spans="1:12" hidden="1" outlineLevel="3" x14ac:dyDescent="0.25">
      <c r="A230" s="14" t="s">
        <v>131</v>
      </c>
      <c r="B230" s="14" t="s">
        <v>308</v>
      </c>
      <c r="C230" s="14" t="s">
        <v>136</v>
      </c>
      <c r="D230" s="14" t="s">
        <v>311</v>
      </c>
      <c r="E230" s="14">
        <v>177703</v>
      </c>
      <c r="F230" s="15">
        <v>45778</v>
      </c>
      <c r="G230" s="16">
        <v>2939.82</v>
      </c>
      <c r="H230" s="17">
        <f>G230</f>
        <v>2939.82</v>
      </c>
      <c r="I230" s="14"/>
      <c r="J230" s="18">
        <v>2839.09</v>
      </c>
      <c r="K230" s="17">
        <f>H230-J230</f>
        <v>100.73000000000002</v>
      </c>
      <c r="L230" s="12"/>
    </row>
    <row r="231" spans="1:12" hidden="1" outlineLevel="3" x14ac:dyDescent="0.25">
      <c r="A231" s="14" t="s">
        <v>131</v>
      </c>
      <c r="B231" s="14" t="s">
        <v>308</v>
      </c>
      <c r="C231" s="14" t="s">
        <v>137</v>
      </c>
      <c r="D231" s="14" t="s">
        <v>312</v>
      </c>
      <c r="E231" s="14">
        <v>177703</v>
      </c>
      <c r="F231" s="15">
        <v>45778</v>
      </c>
      <c r="G231" s="16">
        <v>2494.75</v>
      </c>
      <c r="H231" s="17">
        <f>G231</f>
        <v>2494.75</v>
      </c>
      <c r="I231" s="14"/>
      <c r="J231" s="18">
        <v>2494.75</v>
      </c>
      <c r="K231" s="17">
        <f>H231-J231</f>
        <v>0</v>
      </c>
      <c r="L231" s="12"/>
    </row>
    <row r="232" spans="1:12" outlineLevel="2" collapsed="1" x14ac:dyDescent="0.25">
      <c r="A232" s="14"/>
      <c r="B232" s="8" t="s">
        <v>313</v>
      </c>
      <c r="C232" s="14"/>
      <c r="D232" s="14"/>
      <c r="E232" s="14"/>
      <c r="F232" s="15"/>
      <c r="G232" s="16">
        <f>SUBTOTAL(9,G227:G231)</f>
        <v>9933.25</v>
      </c>
      <c r="H232" s="17"/>
      <c r="I232" s="14"/>
      <c r="J232" s="18">
        <f>SUBTOTAL(9,J227:J231)</f>
        <v>9832.52</v>
      </c>
      <c r="K232" s="17">
        <f>SUBTOTAL(9,K227:K231)</f>
        <v>100.73000000000002</v>
      </c>
      <c r="L232" s="12"/>
    </row>
    <row r="233" spans="1:12" hidden="1" outlineLevel="3" x14ac:dyDescent="0.25">
      <c r="A233" s="14" t="s">
        <v>131</v>
      </c>
      <c r="B233" s="14" t="s">
        <v>314</v>
      </c>
      <c r="C233" s="14" t="s">
        <v>133</v>
      </c>
      <c r="D233" s="14" t="s">
        <v>133</v>
      </c>
      <c r="E233" s="14">
        <v>177662</v>
      </c>
      <c r="F233" s="15">
        <v>45778</v>
      </c>
      <c r="G233" s="16">
        <v>0</v>
      </c>
      <c r="H233" s="17">
        <f>G233</f>
        <v>0</v>
      </c>
      <c r="I233" s="14"/>
      <c r="J233" s="18">
        <v>0</v>
      </c>
      <c r="K233" s="17">
        <f>H233-J233</f>
        <v>0</v>
      </c>
      <c r="L233" s="12"/>
    </row>
    <row r="234" spans="1:12" hidden="1" outlineLevel="3" x14ac:dyDescent="0.25">
      <c r="A234" s="14" t="s">
        <v>131</v>
      </c>
      <c r="B234" s="14" t="s">
        <v>314</v>
      </c>
      <c r="C234" s="14" t="s">
        <v>136</v>
      </c>
      <c r="D234" s="14" t="s">
        <v>136</v>
      </c>
      <c r="E234" s="14">
        <v>177662</v>
      </c>
      <c r="F234" s="15">
        <v>45778</v>
      </c>
      <c r="G234" s="16">
        <v>154</v>
      </c>
      <c r="H234" s="17">
        <f>G234</f>
        <v>154</v>
      </c>
      <c r="I234" s="14"/>
      <c r="J234" s="18">
        <v>154</v>
      </c>
      <c r="K234" s="17">
        <f>H234-J234</f>
        <v>0</v>
      </c>
      <c r="L234" s="12"/>
    </row>
    <row r="235" spans="1:12" hidden="1" outlineLevel="3" x14ac:dyDescent="0.25">
      <c r="A235" s="20" t="s">
        <v>131</v>
      </c>
      <c r="B235" s="20" t="s">
        <v>314</v>
      </c>
      <c r="C235" s="20" t="s">
        <v>137</v>
      </c>
      <c r="D235" s="20" t="s">
        <v>137</v>
      </c>
      <c r="E235" s="20">
        <v>177662</v>
      </c>
      <c r="F235" s="21">
        <v>45778</v>
      </c>
      <c r="G235" s="22">
        <v>1061.32</v>
      </c>
      <c r="H235" s="23">
        <f>G235</f>
        <v>1061.32</v>
      </c>
      <c r="I235" s="20"/>
      <c r="J235" s="24">
        <v>1030.4100000000001</v>
      </c>
      <c r="K235" s="23">
        <f>H235-J235</f>
        <v>30.909999999999854</v>
      </c>
      <c r="L235" s="25" t="s">
        <v>162</v>
      </c>
    </row>
    <row r="236" spans="1:12" outlineLevel="2" collapsed="1" x14ac:dyDescent="0.25">
      <c r="A236" s="20"/>
      <c r="B236" s="26" t="s">
        <v>315</v>
      </c>
      <c r="C236" s="20"/>
      <c r="D236" s="20"/>
      <c r="E236" s="20"/>
      <c r="F236" s="21"/>
      <c r="G236" s="22">
        <f>SUBTOTAL(9,G233:G235)</f>
        <v>1215.32</v>
      </c>
      <c r="H236" s="23"/>
      <c r="I236" s="20"/>
      <c r="J236" s="24">
        <f>SUBTOTAL(9,J233:J235)</f>
        <v>1184.4100000000001</v>
      </c>
      <c r="K236" s="23">
        <f>SUBTOTAL(9,K233:K235)</f>
        <v>30.909999999999854</v>
      </c>
      <c r="L236" s="25" t="s">
        <v>162</v>
      </c>
    </row>
    <row r="237" spans="1:12" hidden="1" outlineLevel="3" x14ac:dyDescent="0.25">
      <c r="A237" s="14" t="s">
        <v>131</v>
      </c>
      <c r="B237" s="14" t="s">
        <v>316</v>
      </c>
      <c r="C237" s="14" t="s">
        <v>133</v>
      </c>
      <c r="D237" s="14" t="s">
        <v>133</v>
      </c>
      <c r="E237" s="14">
        <v>177704</v>
      </c>
      <c r="F237" s="15">
        <v>45778</v>
      </c>
      <c r="G237" s="16">
        <v>95</v>
      </c>
      <c r="H237" s="17">
        <f>G237</f>
        <v>95</v>
      </c>
      <c r="I237" s="14"/>
      <c r="J237" s="18">
        <v>95</v>
      </c>
      <c r="K237" s="17">
        <f>H237-J237</f>
        <v>0</v>
      </c>
      <c r="L237" s="12"/>
    </row>
    <row r="238" spans="1:12" hidden="1" outlineLevel="3" x14ac:dyDescent="0.25">
      <c r="A238" s="14" t="s">
        <v>131</v>
      </c>
      <c r="B238" s="14" t="s">
        <v>316</v>
      </c>
      <c r="C238" s="14" t="s">
        <v>136</v>
      </c>
      <c r="D238" s="14" t="s">
        <v>136</v>
      </c>
      <c r="E238" s="14">
        <v>177704</v>
      </c>
      <c r="F238" s="15">
        <v>45778</v>
      </c>
      <c r="G238" s="16">
        <v>643</v>
      </c>
      <c r="H238" s="17">
        <f>G238</f>
        <v>643</v>
      </c>
      <c r="I238" s="14"/>
      <c r="J238" s="18">
        <v>629</v>
      </c>
      <c r="K238" s="17">
        <f>H238-J238</f>
        <v>14</v>
      </c>
      <c r="L238" s="12"/>
    </row>
    <row r="239" spans="1:12" hidden="1" outlineLevel="3" x14ac:dyDescent="0.25">
      <c r="A239" s="14" t="s">
        <v>131</v>
      </c>
      <c r="B239" s="14" t="s">
        <v>316</v>
      </c>
      <c r="C239" s="14" t="s">
        <v>137</v>
      </c>
      <c r="D239" s="14" t="s">
        <v>230</v>
      </c>
      <c r="E239" s="14">
        <v>177704</v>
      </c>
      <c r="F239" s="15">
        <v>45778</v>
      </c>
      <c r="G239" s="16">
        <v>1520</v>
      </c>
      <c r="H239" s="17">
        <f>G239</f>
        <v>1520</v>
      </c>
      <c r="I239" s="14"/>
      <c r="J239" s="18">
        <v>1520</v>
      </c>
      <c r="K239" s="17">
        <f>H239-J239</f>
        <v>0</v>
      </c>
      <c r="L239" s="12"/>
    </row>
    <row r="240" spans="1:12" outlineLevel="2" collapsed="1" x14ac:dyDescent="0.25">
      <c r="A240" s="14"/>
      <c r="B240" s="8" t="s">
        <v>317</v>
      </c>
      <c r="C240" s="14"/>
      <c r="D240" s="14"/>
      <c r="E240" s="14"/>
      <c r="F240" s="15"/>
      <c r="G240" s="16">
        <f>SUBTOTAL(9,G237:G239)</f>
        <v>2258</v>
      </c>
      <c r="H240" s="17"/>
      <c r="I240" s="14"/>
      <c r="J240" s="18">
        <f>SUBTOTAL(9,J237:J239)</f>
        <v>2244</v>
      </c>
      <c r="K240" s="17">
        <f>SUBTOTAL(9,K237:K239)</f>
        <v>14</v>
      </c>
      <c r="L240" s="12"/>
    </row>
    <row r="241" spans="1:12" hidden="1" outlineLevel="3" x14ac:dyDescent="0.25">
      <c r="A241" s="14" t="s">
        <v>131</v>
      </c>
      <c r="B241" s="14" t="s">
        <v>318</v>
      </c>
      <c r="C241" s="14" t="s">
        <v>143</v>
      </c>
      <c r="D241" s="14" t="s">
        <v>319</v>
      </c>
      <c r="E241" s="14">
        <v>177705</v>
      </c>
      <c r="F241" s="15">
        <v>45778</v>
      </c>
      <c r="G241" s="16">
        <v>387.5</v>
      </c>
      <c r="H241" s="17">
        <f>G241</f>
        <v>387.5</v>
      </c>
      <c r="I241" s="14"/>
      <c r="J241" s="18">
        <v>387.5</v>
      </c>
      <c r="K241" s="17">
        <f>H241-J241</f>
        <v>0</v>
      </c>
      <c r="L241" s="12"/>
    </row>
    <row r="242" spans="1:12" hidden="1" outlineLevel="3" x14ac:dyDescent="0.25">
      <c r="A242" s="14" t="s">
        <v>131</v>
      </c>
      <c r="B242" s="14" t="s">
        <v>318</v>
      </c>
      <c r="C242" s="14" t="s">
        <v>133</v>
      </c>
      <c r="D242" s="14" t="s">
        <v>133</v>
      </c>
      <c r="E242" s="14">
        <v>177705</v>
      </c>
      <c r="F242" s="15">
        <v>45778</v>
      </c>
      <c r="G242" s="16">
        <v>180</v>
      </c>
      <c r="H242" s="17">
        <f>G242</f>
        <v>180</v>
      </c>
      <c r="I242" s="14"/>
      <c r="J242" s="18">
        <v>180</v>
      </c>
      <c r="K242" s="17">
        <f>H242-J242</f>
        <v>0</v>
      </c>
      <c r="L242" s="12"/>
    </row>
    <row r="243" spans="1:12" hidden="1" outlineLevel="3" x14ac:dyDescent="0.25">
      <c r="A243" s="14" t="s">
        <v>131</v>
      </c>
      <c r="B243" s="14" t="s">
        <v>318</v>
      </c>
      <c r="C243" s="14" t="s">
        <v>136</v>
      </c>
      <c r="D243" s="14" t="s">
        <v>136</v>
      </c>
      <c r="E243" s="14">
        <v>177705</v>
      </c>
      <c r="F243" s="15">
        <v>45778</v>
      </c>
      <c r="G243" s="16">
        <v>945.5</v>
      </c>
      <c r="H243" s="17">
        <f>G243</f>
        <v>945.5</v>
      </c>
      <c r="I243" s="14"/>
      <c r="J243" s="18">
        <v>952.5</v>
      </c>
      <c r="K243" s="17">
        <f>H243-J243</f>
        <v>-7</v>
      </c>
      <c r="L243" s="12"/>
    </row>
    <row r="244" spans="1:12" hidden="1" outlineLevel="3" x14ac:dyDescent="0.25">
      <c r="A244" s="14" t="s">
        <v>131</v>
      </c>
      <c r="B244" s="14" t="s">
        <v>318</v>
      </c>
      <c r="C244" s="14" t="s">
        <v>137</v>
      </c>
      <c r="D244" s="14" t="s">
        <v>320</v>
      </c>
      <c r="E244" s="14">
        <v>177705</v>
      </c>
      <c r="F244" s="15">
        <v>45778</v>
      </c>
      <c r="G244" s="16">
        <v>3150</v>
      </c>
      <c r="H244" s="17">
        <f>G244</f>
        <v>3150</v>
      </c>
      <c r="I244" s="14"/>
      <c r="J244" s="18">
        <v>3150</v>
      </c>
      <c r="K244" s="17">
        <f>H244-J244</f>
        <v>0</v>
      </c>
      <c r="L244" s="12"/>
    </row>
    <row r="245" spans="1:12" hidden="1" outlineLevel="3" x14ac:dyDescent="0.25">
      <c r="A245" s="14" t="s">
        <v>131</v>
      </c>
      <c r="B245" s="14" t="s">
        <v>318</v>
      </c>
      <c r="C245" s="14" t="s">
        <v>201</v>
      </c>
      <c r="D245" s="14" t="s">
        <v>201</v>
      </c>
      <c r="E245" s="14">
        <v>177705</v>
      </c>
      <c r="F245" s="15">
        <v>45778</v>
      </c>
      <c r="G245" s="16">
        <v>106.5</v>
      </c>
      <c r="H245" s="17">
        <f>G245</f>
        <v>106.5</v>
      </c>
      <c r="I245" s="14"/>
      <c r="J245" s="18">
        <v>106.5</v>
      </c>
      <c r="K245" s="17">
        <f>H245-J245</f>
        <v>0</v>
      </c>
      <c r="L245" s="12"/>
    </row>
    <row r="246" spans="1:12" outlineLevel="2" collapsed="1" x14ac:dyDescent="0.25">
      <c r="A246" s="14"/>
      <c r="B246" s="8" t="s">
        <v>321</v>
      </c>
      <c r="C246" s="14"/>
      <c r="D246" s="14"/>
      <c r="E246" s="14"/>
      <c r="F246" s="15"/>
      <c r="G246" s="16">
        <f>SUBTOTAL(9,G241:G245)</f>
        <v>4769.5</v>
      </c>
      <c r="H246" s="17"/>
      <c r="I246" s="14"/>
      <c r="J246" s="18">
        <f>SUBTOTAL(9,J241:J245)</f>
        <v>4776.5</v>
      </c>
      <c r="K246" s="17">
        <f>SUBTOTAL(9,K241:K245)</f>
        <v>-7</v>
      </c>
      <c r="L246" s="12"/>
    </row>
    <row r="247" spans="1:12" hidden="1" outlineLevel="3" x14ac:dyDescent="0.25">
      <c r="A247" s="14" t="s">
        <v>131</v>
      </c>
      <c r="B247" s="14" t="s">
        <v>322</v>
      </c>
      <c r="C247" s="14" t="s">
        <v>140</v>
      </c>
      <c r="D247" s="14" t="s">
        <v>140</v>
      </c>
      <c r="E247" s="14">
        <v>177645</v>
      </c>
      <c r="F247" s="15">
        <v>45778</v>
      </c>
      <c r="G247" s="16">
        <v>150</v>
      </c>
      <c r="H247" s="17">
        <f>G247</f>
        <v>150</v>
      </c>
      <c r="I247" s="14"/>
      <c r="J247" s="18">
        <v>150</v>
      </c>
      <c r="K247" s="17">
        <f>H247-J247</f>
        <v>0</v>
      </c>
      <c r="L247" s="12"/>
    </row>
    <row r="248" spans="1:12" hidden="1" outlineLevel="3" x14ac:dyDescent="0.25">
      <c r="A248" s="14" t="s">
        <v>131</v>
      </c>
      <c r="B248" s="14" t="s">
        <v>322</v>
      </c>
      <c r="C248" s="14" t="s">
        <v>143</v>
      </c>
      <c r="D248" s="14" t="s">
        <v>143</v>
      </c>
      <c r="E248" s="14">
        <v>177645</v>
      </c>
      <c r="F248" s="15">
        <v>45778</v>
      </c>
      <c r="G248" s="16">
        <v>272.5</v>
      </c>
      <c r="H248" s="17">
        <f>G248</f>
        <v>272.5</v>
      </c>
      <c r="I248" s="14"/>
      <c r="J248" s="18">
        <v>272.5</v>
      </c>
      <c r="K248" s="17">
        <f>H248-J248</f>
        <v>0</v>
      </c>
      <c r="L248" s="12"/>
    </row>
    <row r="249" spans="1:12" hidden="1" outlineLevel="3" x14ac:dyDescent="0.25">
      <c r="A249" s="14" t="s">
        <v>131</v>
      </c>
      <c r="B249" s="14" t="s">
        <v>322</v>
      </c>
      <c r="C249" s="14" t="s">
        <v>133</v>
      </c>
      <c r="D249" s="14" t="s">
        <v>133</v>
      </c>
      <c r="E249" s="14">
        <v>177645</v>
      </c>
      <c r="F249" s="15">
        <v>45778</v>
      </c>
      <c r="G249" s="16">
        <v>0</v>
      </c>
      <c r="H249" s="17">
        <f>G249</f>
        <v>0</v>
      </c>
      <c r="I249" s="14"/>
      <c r="J249" s="18">
        <v>0</v>
      </c>
      <c r="K249" s="17">
        <f>H249-J249</f>
        <v>0</v>
      </c>
      <c r="L249" s="12"/>
    </row>
    <row r="250" spans="1:12" hidden="1" outlineLevel="3" x14ac:dyDescent="0.25">
      <c r="A250" s="14" t="s">
        <v>131</v>
      </c>
      <c r="B250" s="14" t="s">
        <v>322</v>
      </c>
      <c r="C250" s="14" t="s">
        <v>136</v>
      </c>
      <c r="D250" s="14" t="s">
        <v>136</v>
      </c>
      <c r="E250" s="14">
        <v>177645</v>
      </c>
      <c r="F250" s="15">
        <v>45778</v>
      </c>
      <c r="G250" s="16">
        <v>432.35</v>
      </c>
      <c r="H250" s="17">
        <f>G250</f>
        <v>432.35</v>
      </c>
      <c r="I250" s="14"/>
      <c r="J250" s="18">
        <v>412.05</v>
      </c>
      <c r="K250" s="17">
        <f>H250-J250</f>
        <v>20.300000000000011</v>
      </c>
      <c r="L250" s="12"/>
    </row>
    <row r="251" spans="1:12" hidden="1" outlineLevel="3" x14ac:dyDescent="0.25">
      <c r="A251" s="14" t="s">
        <v>131</v>
      </c>
      <c r="B251" s="14" t="s">
        <v>322</v>
      </c>
      <c r="C251" s="14" t="s">
        <v>137</v>
      </c>
      <c r="D251" s="14" t="s">
        <v>137</v>
      </c>
      <c r="E251" s="14">
        <v>177645</v>
      </c>
      <c r="F251" s="15">
        <v>45778</v>
      </c>
      <c r="G251" s="16">
        <v>1563.3</v>
      </c>
      <c r="H251" s="17">
        <f>G251</f>
        <v>1563.3</v>
      </c>
      <c r="I251" s="14"/>
      <c r="J251" s="18">
        <v>1563.3</v>
      </c>
      <c r="K251" s="17">
        <f>H251-J251</f>
        <v>0</v>
      </c>
      <c r="L251" s="12"/>
    </row>
    <row r="252" spans="1:12" outlineLevel="2" collapsed="1" x14ac:dyDescent="0.25">
      <c r="A252" s="14"/>
      <c r="B252" s="8" t="s">
        <v>323</v>
      </c>
      <c r="C252" s="14"/>
      <c r="D252" s="14"/>
      <c r="E252" s="14"/>
      <c r="F252" s="15"/>
      <c r="G252" s="16">
        <f>SUBTOTAL(9,G247:G251)</f>
        <v>2418.15</v>
      </c>
      <c r="H252" s="17"/>
      <c r="I252" s="14"/>
      <c r="J252" s="18">
        <f>SUBTOTAL(9,J247:J251)</f>
        <v>2397.85</v>
      </c>
      <c r="K252" s="17">
        <f>SUBTOTAL(9,K247:K251)</f>
        <v>20.300000000000011</v>
      </c>
      <c r="L252" s="12"/>
    </row>
    <row r="253" spans="1:12" hidden="1" outlineLevel="3" x14ac:dyDescent="0.25">
      <c r="A253" s="14" t="s">
        <v>131</v>
      </c>
      <c r="B253" s="14" t="s">
        <v>324</v>
      </c>
      <c r="C253" s="14" t="s">
        <v>140</v>
      </c>
      <c r="D253" s="14" t="s">
        <v>140</v>
      </c>
      <c r="E253" s="14">
        <v>177455</v>
      </c>
      <c r="F253" s="15">
        <v>45762</v>
      </c>
      <c r="G253" s="16">
        <v>200</v>
      </c>
      <c r="H253" s="17">
        <f>G253</f>
        <v>200</v>
      </c>
      <c r="I253" s="14"/>
      <c r="J253" s="18">
        <v>200</v>
      </c>
      <c r="K253" s="17">
        <f>H253-J253</f>
        <v>0</v>
      </c>
      <c r="L253" s="12"/>
    </row>
    <row r="254" spans="1:12" hidden="1" outlineLevel="3" x14ac:dyDescent="0.25">
      <c r="A254" s="14" t="s">
        <v>131</v>
      </c>
      <c r="B254" s="14" t="s">
        <v>324</v>
      </c>
      <c r="C254" s="14" t="s">
        <v>143</v>
      </c>
      <c r="D254" s="14" t="s">
        <v>247</v>
      </c>
      <c r="E254" s="14">
        <v>177455</v>
      </c>
      <c r="F254" s="15">
        <v>45762</v>
      </c>
      <c r="G254" s="16">
        <v>1619.5</v>
      </c>
      <c r="H254" s="17">
        <f>G254</f>
        <v>1619.5</v>
      </c>
      <c r="I254" s="14"/>
      <c r="J254" s="18">
        <v>1619.5</v>
      </c>
      <c r="K254" s="17">
        <f>H254-J254</f>
        <v>0</v>
      </c>
      <c r="L254" s="12"/>
    </row>
    <row r="255" spans="1:12" hidden="1" outlineLevel="3" x14ac:dyDescent="0.25">
      <c r="A255" s="14" t="s">
        <v>131</v>
      </c>
      <c r="B255" s="14" t="s">
        <v>324</v>
      </c>
      <c r="C255" s="14" t="s">
        <v>133</v>
      </c>
      <c r="D255" s="14" t="s">
        <v>133</v>
      </c>
      <c r="E255" s="14">
        <v>177455</v>
      </c>
      <c r="F255" s="15">
        <v>45762</v>
      </c>
      <c r="G255" s="16">
        <v>350.5</v>
      </c>
      <c r="H255" s="17">
        <f>G255</f>
        <v>350.5</v>
      </c>
      <c r="I255" s="14"/>
      <c r="J255" s="18">
        <v>350.5</v>
      </c>
      <c r="K255" s="17">
        <f>H255-J255</f>
        <v>0</v>
      </c>
      <c r="L255" s="12"/>
    </row>
    <row r="256" spans="1:12" hidden="1" outlineLevel="3" x14ac:dyDescent="0.25">
      <c r="A256" s="14" t="s">
        <v>131</v>
      </c>
      <c r="B256" s="14" t="s">
        <v>324</v>
      </c>
      <c r="C256" s="14" t="s">
        <v>136</v>
      </c>
      <c r="D256" s="14" t="s">
        <v>136</v>
      </c>
      <c r="E256" s="14">
        <v>177455</v>
      </c>
      <c r="F256" s="15">
        <v>45762</v>
      </c>
      <c r="G256" s="16">
        <v>737.45</v>
      </c>
      <c r="H256" s="17">
        <f>G256</f>
        <v>737.45</v>
      </c>
      <c r="I256" s="14"/>
      <c r="J256" s="18">
        <v>737.45</v>
      </c>
      <c r="K256" s="17">
        <f>H256-J256</f>
        <v>0</v>
      </c>
      <c r="L256" s="12"/>
    </row>
    <row r="257" spans="1:12" hidden="1" outlineLevel="3" x14ac:dyDescent="0.25">
      <c r="A257" s="14" t="s">
        <v>131</v>
      </c>
      <c r="B257" s="14" t="s">
        <v>324</v>
      </c>
      <c r="C257" s="14" t="s">
        <v>137</v>
      </c>
      <c r="D257" s="14" t="s">
        <v>137</v>
      </c>
      <c r="E257" s="14">
        <v>177455</v>
      </c>
      <c r="F257" s="15">
        <v>45762</v>
      </c>
      <c r="G257" s="16">
        <v>2850.6</v>
      </c>
      <c r="H257" s="17">
        <f>G257</f>
        <v>2850.6</v>
      </c>
      <c r="I257" s="14"/>
      <c r="J257" s="18">
        <v>2850.6</v>
      </c>
      <c r="K257" s="17">
        <f>H257-J257</f>
        <v>0</v>
      </c>
      <c r="L257" s="12"/>
    </row>
    <row r="258" spans="1:12" outlineLevel="2" collapsed="1" x14ac:dyDescent="0.25">
      <c r="A258" s="14"/>
      <c r="B258" s="8" t="s">
        <v>325</v>
      </c>
      <c r="C258" s="14"/>
      <c r="D258" s="14"/>
      <c r="E258" s="14"/>
      <c r="F258" s="15"/>
      <c r="G258" s="16">
        <f>SUBTOTAL(9,G253:G257)</f>
        <v>5758.0499999999993</v>
      </c>
      <c r="H258" s="17"/>
      <c r="I258" s="14"/>
      <c r="J258" s="18">
        <f>SUBTOTAL(9,J253:J257)</f>
        <v>5758.0499999999993</v>
      </c>
      <c r="K258" s="17">
        <f>SUBTOTAL(9,K253:K257)</f>
        <v>0</v>
      </c>
      <c r="L258" s="12"/>
    </row>
    <row r="259" spans="1:12" hidden="1" outlineLevel="3" x14ac:dyDescent="0.25">
      <c r="A259" s="14" t="s">
        <v>131</v>
      </c>
      <c r="B259" s="14" t="s">
        <v>326</v>
      </c>
      <c r="C259" s="14" t="s">
        <v>133</v>
      </c>
      <c r="D259" s="14" t="s">
        <v>133</v>
      </c>
      <c r="E259" s="14">
        <v>177646</v>
      </c>
      <c r="F259" s="15">
        <v>45778</v>
      </c>
      <c r="G259" s="16">
        <v>262.5</v>
      </c>
      <c r="H259" s="17">
        <f>G259</f>
        <v>262.5</v>
      </c>
      <c r="I259" s="14"/>
      <c r="J259" s="18">
        <v>262.5</v>
      </c>
      <c r="K259" s="17">
        <f>H259-J259</f>
        <v>0</v>
      </c>
      <c r="L259" s="12"/>
    </row>
    <row r="260" spans="1:12" hidden="1" outlineLevel="3" x14ac:dyDescent="0.25">
      <c r="A260" s="14" t="s">
        <v>131</v>
      </c>
      <c r="B260" s="14" t="s">
        <v>326</v>
      </c>
      <c r="C260" s="14" t="s">
        <v>136</v>
      </c>
      <c r="D260" s="14" t="s">
        <v>136</v>
      </c>
      <c r="E260" s="14">
        <v>177646</v>
      </c>
      <c r="F260" s="15">
        <v>45778</v>
      </c>
      <c r="G260" s="16">
        <v>541</v>
      </c>
      <c r="H260" s="17">
        <f>G260</f>
        <v>541</v>
      </c>
      <c r="I260" s="14"/>
      <c r="J260" s="18">
        <v>541</v>
      </c>
      <c r="K260" s="17">
        <f>H260-J260</f>
        <v>0</v>
      </c>
      <c r="L260" s="12"/>
    </row>
    <row r="261" spans="1:12" hidden="1" outlineLevel="3" x14ac:dyDescent="0.25">
      <c r="A261" s="14" t="s">
        <v>131</v>
      </c>
      <c r="B261" s="14" t="s">
        <v>326</v>
      </c>
      <c r="C261" s="14" t="s">
        <v>137</v>
      </c>
      <c r="D261" s="14" t="s">
        <v>137</v>
      </c>
      <c r="E261" s="14">
        <v>177646</v>
      </c>
      <c r="F261" s="15">
        <v>45778</v>
      </c>
      <c r="G261" s="16">
        <v>949.36</v>
      </c>
      <c r="H261" s="17">
        <f>G261</f>
        <v>949.36</v>
      </c>
      <c r="I261" s="14"/>
      <c r="J261" s="18">
        <v>910.52179999999998</v>
      </c>
      <c r="K261" s="17">
        <f>H261-J261</f>
        <v>38.838200000000029</v>
      </c>
      <c r="L261" s="12"/>
    </row>
    <row r="262" spans="1:12" outlineLevel="2" collapsed="1" x14ac:dyDescent="0.25">
      <c r="A262" s="14"/>
      <c r="B262" s="8" t="s">
        <v>327</v>
      </c>
      <c r="C262" s="14"/>
      <c r="D262" s="14"/>
      <c r="E262" s="14"/>
      <c r="F262" s="15"/>
      <c r="G262" s="16">
        <f>SUBTOTAL(9,G259:G261)</f>
        <v>1752.8600000000001</v>
      </c>
      <c r="H262" s="17"/>
      <c r="I262" s="14"/>
      <c r="J262" s="18">
        <f>SUBTOTAL(9,J259:J261)</f>
        <v>1714.0218</v>
      </c>
      <c r="K262" s="17">
        <f>SUBTOTAL(9,K259:K261)</f>
        <v>38.838200000000029</v>
      </c>
      <c r="L262" s="12"/>
    </row>
    <row r="263" spans="1:12" hidden="1" outlineLevel="3" x14ac:dyDescent="0.25">
      <c r="A263" s="14" t="s">
        <v>131</v>
      </c>
      <c r="B263" s="14" t="s">
        <v>328</v>
      </c>
      <c r="C263" s="14" t="s">
        <v>143</v>
      </c>
      <c r="D263" s="14" t="s">
        <v>329</v>
      </c>
      <c r="E263" s="14">
        <v>177980</v>
      </c>
      <c r="F263" s="15">
        <v>45778</v>
      </c>
      <c r="G263" s="16">
        <v>4.8</v>
      </c>
      <c r="H263" s="17">
        <f t="shared" ref="H263:H300" si="6">G263</f>
        <v>4.8</v>
      </c>
      <c r="I263" s="14"/>
      <c r="J263" s="18">
        <v>4.8</v>
      </c>
      <c r="K263" s="17">
        <f t="shared" ref="K263:K300" si="7">H263-J263</f>
        <v>0</v>
      </c>
      <c r="L263" s="12"/>
    </row>
    <row r="264" spans="1:12" hidden="1" outlineLevel="3" x14ac:dyDescent="0.25">
      <c r="A264" s="14" t="s">
        <v>131</v>
      </c>
      <c r="B264" s="14" t="s">
        <v>328</v>
      </c>
      <c r="C264" s="14" t="s">
        <v>143</v>
      </c>
      <c r="D264" s="14" t="s">
        <v>330</v>
      </c>
      <c r="E264" s="14">
        <v>177972</v>
      </c>
      <c r="F264" s="15">
        <v>45778</v>
      </c>
      <c r="G264" s="16">
        <v>57.6</v>
      </c>
      <c r="H264" s="17">
        <f t="shared" si="6"/>
        <v>57.6</v>
      </c>
      <c r="I264" s="14"/>
      <c r="J264" s="18">
        <v>62.4</v>
      </c>
      <c r="K264" s="17">
        <f t="shared" si="7"/>
        <v>-4.7999999999999972</v>
      </c>
      <c r="L264" s="12"/>
    </row>
    <row r="265" spans="1:12" hidden="1" outlineLevel="3" x14ac:dyDescent="0.25">
      <c r="A265" s="14" t="s">
        <v>131</v>
      </c>
      <c r="B265" s="14" t="s">
        <v>328</v>
      </c>
      <c r="C265" s="14" t="s">
        <v>143</v>
      </c>
      <c r="D265" s="14" t="s">
        <v>331</v>
      </c>
      <c r="E265" s="14">
        <v>177977</v>
      </c>
      <c r="F265" s="15">
        <v>45778</v>
      </c>
      <c r="G265" s="16">
        <v>9.6</v>
      </c>
      <c r="H265" s="17">
        <f t="shared" si="6"/>
        <v>9.6</v>
      </c>
      <c r="I265" s="14"/>
      <c r="J265" s="18">
        <v>4.8</v>
      </c>
      <c r="K265" s="17">
        <f t="shared" si="7"/>
        <v>4.8</v>
      </c>
      <c r="L265" s="12" t="s">
        <v>332</v>
      </c>
    </row>
    <row r="266" spans="1:12" hidden="1" outlineLevel="3" x14ac:dyDescent="0.25">
      <c r="A266" s="14" t="s">
        <v>131</v>
      </c>
      <c r="B266" s="14" t="s">
        <v>328</v>
      </c>
      <c r="C266" s="14" t="s">
        <v>143</v>
      </c>
      <c r="D266" s="14" t="s">
        <v>333</v>
      </c>
      <c r="E266" s="14">
        <v>177978</v>
      </c>
      <c r="F266" s="15">
        <v>45778</v>
      </c>
      <c r="G266" s="16">
        <v>9.6</v>
      </c>
      <c r="H266" s="17">
        <f t="shared" si="6"/>
        <v>9.6</v>
      </c>
      <c r="I266" s="14"/>
      <c r="J266" s="18">
        <v>9.6</v>
      </c>
      <c r="K266" s="17">
        <f t="shared" si="7"/>
        <v>0</v>
      </c>
      <c r="L266" s="12"/>
    </row>
    <row r="267" spans="1:12" hidden="1" outlineLevel="3" x14ac:dyDescent="0.25">
      <c r="A267" s="14" t="s">
        <v>131</v>
      </c>
      <c r="B267" s="14" t="s">
        <v>328</v>
      </c>
      <c r="C267" s="14" t="s">
        <v>143</v>
      </c>
      <c r="D267" s="14" t="s">
        <v>334</v>
      </c>
      <c r="E267" s="14">
        <v>177979</v>
      </c>
      <c r="F267" s="15">
        <v>45778</v>
      </c>
      <c r="G267" s="16">
        <v>4.8</v>
      </c>
      <c r="H267" s="17">
        <f t="shared" si="6"/>
        <v>4.8</v>
      </c>
      <c r="I267" s="14"/>
      <c r="J267" s="18">
        <v>4.8</v>
      </c>
      <c r="K267" s="17">
        <f t="shared" si="7"/>
        <v>0</v>
      </c>
      <c r="L267" s="12"/>
    </row>
    <row r="268" spans="1:12" hidden="1" outlineLevel="3" x14ac:dyDescent="0.25">
      <c r="A268" s="14" t="s">
        <v>131</v>
      </c>
      <c r="B268" s="14" t="s">
        <v>328</v>
      </c>
      <c r="C268" s="14" t="s">
        <v>143</v>
      </c>
      <c r="D268" s="14" t="s">
        <v>335</v>
      </c>
      <c r="E268" s="14" t="s">
        <v>336</v>
      </c>
      <c r="F268" s="15">
        <v>45778</v>
      </c>
      <c r="G268" s="16">
        <v>1171.2</v>
      </c>
      <c r="H268" s="17">
        <f t="shared" si="6"/>
        <v>1171.2</v>
      </c>
      <c r="I268" s="14"/>
      <c r="J268" s="18">
        <v>1516.8</v>
      </c>
      <c r="K268" s="17">
        <f t="shared" si="7"/>
        <v>-345.59999999999991</v>
      </c>
      <c r="L268" s="12" t="s">
        <v>332</v>
      </c>
    </row>
    <row r="269" spans="1:12" hidden="1" outlineLevel="3" x14ac:dyDescent="0.25">
      <c r="A269" s="14" t="s">
        <v>131</v>
      </c>
      <c r="B269" s="14" t="s">
        <v>328</v>
      </c>
      <c r="C269" s="14" t="s">
        <v>143</v>
      </c>
      <c r="D269" s="14" t="s">
        <v>337</v>
      </c>
      <c r="E269" s="14">
        <v>177973</v>
      </c>
      <c r="F269" s="15">
        <v>45778</v>
      </c>
      <c r="G269" s="16">
        <v>84</v>
      </c>
      <c r="H269" s="17">
        <f t="shared" si="6"/>
        <v>84</v>
      </c>
      <c r="I269" s="14"/>
      <c r="J269" s="18">
        <v>62.4</v>
      </c>
      <c r="K269" s="17">
        <f t="shared" si="7"/>
        <v>21.6</v>
      </c>
      <c r="L269" s="12" t="s">
        <v>332</v>
      </c>
    </row>
    <row r="270" spans="1:12" hidden="1" outlineLevel="3" x14ac:dyDescent="0.25">
      <c r="A270" s="14" t="s">
        <v>131</v>
      </c>
      <c r="B270" s="14" t="s">
        <v>328</v>
      </c>
      <c r="C270" s="14" t="s">
        <v>143</v>
      </c>
      <c r="D270" s="14" t="s">
        <v>338</v>
      </c>
      <c r="E270" s="14">
        <v>177981</v>
      </c>
      <c r="F270" s="15">
        <v>45778</v>
      </c>
      <c r="G270" s="16">
        <v>4.8</v>
      </c>
      <c r="H270" s="17">
        <f t="shared" si="6"/>
        <v>4.8</v>
      </c>
      <c r="I270" s="14"/>
      <c r="J270" s="18">
        <v>4.8</v>
      </c>
      <c r="K270" s="17">
        <f t="shared" si="7"/>
        <v>0</v>
      </c>
      <c r="L270" s="12"/>
    </row>
    <row r="271" spans="1:12" hidden="1" outlineLevel="3" x14ac:dyDescent="0.25">
      <c r="A271" s="14" t="s">
        <v>131</v>
      </c>
      <c r="B271" s="14" t="s">
        <v>328</v>
      </c>
      <c r="C271" s="14" t="s">
        <v>143</v>
      </c>
      <c r="D271" s="14" t="s">
        <v>339</v>
      </c>
      <c r="E271" s="14">
        <v>177971</v>
      </c>
      <c r="F271" s="15">
        <v>45778</v>
      </c>
      <c r="G271" s="16">
        <v>36</v>
      </c>
      <c r="H271" s="17">
        <f t="shared" si="6"/>
        <v>36</v>
      </c>
      <c r="I271" s="14"/>
      <c r="J271" s="18">
        <v>84</v>
      </c>
      <c r="K271" s="17">
        <f t="shared" si="7"/>
        <v>-48</v>
      </c>
      <c r="L271" s="12" t="s">
        <v>332</v>
      </c>
    </row>
    <row r="272" spans="1:12" hidden="1" outlineLevel="3" x14ac:dyDescent="0.25">
      <c r="A272" s="14" t="s">
        <v>131</v>
      </c>
      <c r="B272" s="14" t="s">
        <v>328</v>
      </c>
      <c r="C272" s="14" t="s">
        <v>143</v>
      </c>
      <c r="D272" s="14" t="s">
        <v>340</v>
      </c>
      <c r="E272" s="14">
        <v>177974</v>
      </c>
      <c r="F272" s="15">
        <v>45778</v>
      </c>
      <c r="G272" s="16">
        <v>62.4</v>
      </c>
      <c r="H272" s="17">
        <f t="shared" si="6"/>
        <v>62.4</v>
      </c>
      <c r="I272" s="14"/>
      <c r="J272" s="18">
        <v>57.6</v>
      </c>
      <c r="K272" s="17">
        <f t="shared" si="7"/>
        <v>4.7999999999999972</v>
      </c>
      <c r="L272" s="12"/>
    </row>
    <row r="273" spans="1:12" hidden="1" outlineLevel="3" x14ac:dyDescent="0.25">
      <c r="A273" s="14" t="s">
        <v>131</v>
      </c>
      <c r="B273" s="14" t="s">
        <v>328</v>
      </c>
      <c r="C273" s="14" t="s">
        <v>143</v>
      </c>
      <c r="D273" s="14" t="s">
        <v>341</v>
      </c>
      <c r="E273" s="14">
        <v>177975</v>
      </c>
      <c r="F273" s="15">
        <v>45778</v>
      </c>
      <c r="G273" s="16">
        <v>52.8</v>
      </c>
      <c r="H273" s="17">
        <f t="shared" si="6"/>
        <v>52.8</v>
      </c>
      <c r="I273" s="14"/>
      <c r="J273" s="18">
        <v>57.6</v>
      </c>
      <c r="K273" s="17">
        <f t="shared" si="7"/>
        <v>-4.8000000000000043</v>
      </c>
      <c r="L273" s="12"/>
    </row>
    <row r="274" spans="1:12" hidden="1" outlineLevel="3" x14ac:dyDescent="0.25">
      <c r="A274" s="14" t="s">
        <v>131</v>
      </c>
      <c r="B274" s="14" t="s">
        <v>328</v>
      </c>
      <c r="C274" s="14" t="s">
        <v>143</v>
      </c>
      <c r="D274" s="14" t="s">
        <v>342</v>
      </c>
      <c r="E274" s="14">
        <v>177976</v>
      </c>
      <c r="F274" s="15">
        <v>45778</v>
      </c>
      <c r="G274" s="16">
        <v>31.2</v>
      </c>
      <c r="H274" s="17">
        <f t="shared" si="6"/>
        <v>31.2</v>
      </c>
      <c r="I274" s="14"/>
      <c r="J274" s="18">
        <v>31.2</v>
      </c>
      <c r="K274" s="17">
        <f t="shared" si="7"/>
        <v>0</v>
      </c>
      <c r="L274" s="12"/>
    </row>
    <row r="275" spans="1:12" hidden="1" outlineLevel="3" x14ac:dyDescent="0.25">
      <c r="A275" s="14" t="s">
        <v>131</v>
      </c>
      <c r="B275" s="14" t="s">
        <v>328</v>
      </c>
      <c r="C275" s="14" t="s">
        <v>143</v>
      </c>
      <c r="D275" s="14" t="s">
        <v>343</v>
      </c>
      <c r="E275" s="14">
        <v>177983</v>
      </c>
      <c r="F275" s="15">
        <v>45778</v>
      </c>
      <c r="G275" s="16">
        <v>4.8</v>
      </c>
      <c r="H275" s="17">
        <f t="shared" si="6"/>
        <v>4.8</v>
      </c>
      <c r="I275" s="14"/>
      <c r="J275" s="18">
        <v>4.8</v>
      </c>
      <c r="K275" s="17">
        <f t="shared" si="7"/>
        <v>0</v>
      </c>
      <c r="L275" s="12"/>
    </row>
    <row r="276" spans="1:12" hidden="1" outlineLevel="3" x14ac:dyDescent="0.25">
      <c r="A276" s="14" t="s">
        <v>131</v>
      </c>
      <c r="B276" s="14" t="s">
        <v>328</v>
      </c>
      <c r="C276" s="14" t="s">
        <v>143</v>
      </c>
      <c r="D276" s="14" t="s">
        <v>344</v>
      </c>
      <c r="E276" s="14">
        <v>177982</v>
      </c>
      <c r="F276" s="15">
        <v>45778</v>
      </c>
      <c r="G276" s="16">
        <v>4.8</v>
      </c>
      <c r="H276" s="17">
        <f t="shared" si="6"/>
        <v>4.8</v>
      </c>
      <c r="I276" s="14"/>
      <c r="J276" s="18">
        <v>4.8</v>
      </c>
      <c r="K276" s="17">
        <f t="shared" si="7"/>
        <v>0</v>
      </c>
      <c r="L276" s="12"/>
    </row>
    <row r="277" spans="1:12" hidden="1" outlineLevel="3" x14ac:dyDescent="0.25">
      <c r="A277" s="14" t="s">
        <v>131</v>
      </c>
      <c r="B277" s="14" t="s">
        <v>328</v>
      </c>
      <c r="C277" s="14" t="s">
        <v>133</v>
      </c>
      <c r="D277" s="14" t="s">
        <v>345</v>
      </c>
      <c r="E277" s="14">
        <v>177972</v>
      </c>
      <c r="F277" s="15">
        <v>45778</v>
      </c>
      <c r="G277" s="16">
        <v>58</v>
      </c>
      <c r="H277" s="17">
        <f t="shared" si="6"/>
        <v>58</v>
      </c>
      <c r="I277" s="14"/>
      <c r="J277" s="18">
        <v>54</v>
      </c>
      <c r="K277" s="17">
        <f t="shared" si="7"/>
        <v>4</v>
      </c>
      <c r="L277" s="12"/>
    </row>
    <row r="278" spans="1:12" hidden="1" outlineLevel="3" x14ac:dyDescent="0.25">
      <c r="A278" s="14" t="s">
        <v>131</v>
      </c>
      <c r="B278" s="14" t="s">
        <v>328</v>
      </c>
      <c r="C278" s="14" t="s">
        <v>133</v>
      </c>
      <c r="D278" s="14" t="s">
        <v>346</v>
      </c>
      <c r="E278" s="14">
        <v>177977</v>
      </c>
      <c r="F278" s="15">
        <v>45778</v>
      </c>
      <c r="G278" s="16">
        <v>4</v>
      </c>
      <c r="H278" s="17">
        <f t="shared" si="6"/>
        <v>4</v>
      </c>
      <c r="I278" s="14"/>
      <c r="J278" s="18">
        <v>4</v>
      </c>
      <c r="K278" s="17">
        <f t="shared" si="7"/>
        <v>0</v>
      </c>
      <c r="L278" s="12"/>
    </row>
    <row r="279" spans="1:12" hidden="1" outlineLevel="3" x14ac:dyDescent="0.25">
      <c r="A279" s="14" t="s">
        <v>131</v>
      </c>
      <c r="B279" s="14" t="s">
        <v>328</v>
      </c>
      <c r="C279" s="14" t="s">
        <v>133</v>
      </c>
      <c r="D279" s="14" t="s">
        <v>347</v>
      </c>
      <c r="E279" s="14" t="s">
        <v>336</v>
      </c>
      <c r="F279" s="15">
        <v>45778</v>
      </c>
      <c r="G279" s="16">
        <v>362</v>
      </c>
      <c r="H279" s="17">
        <f t="shared" si="6"/>
        <v>362</v>
      </c>
      <c r="I279" s="14"/>
      <c r="J279" s="18">
        <v>362</v>
      </c>
      <c r="K279" s="17">
        <f t="shared" si="7"/>
        <v>0</v>
      </c>
      <c r="L279" s="12"/>
    </row>
    <row r="280" spans="1:12" hidden="1" outlineLevel="3" x14ac:dyDescent="0.25">
      <c r="A280" s="14" t="s">
        <v>131</v>
      </c>
      <c r="B280" s="14" t="s">
        <v>328</v>
      </c>
      <c r="C280" s="14" t="s">
        <v>133</v>
      </c>
      <c r="D280" s="14" t="s">
        <v>348</v>
      </c>
      <c r="E280" s="14">
        <v>177976</v>
      </c>
      <c r="F280" s="15">
        <v>45778</v>
      </c>
      <c r="G280" s="16">
        <v>49</v>
      </c>
      <c r="H280" s="17">
        <f t="shared" si="6"/>
        <v>49</v>
      </c>
      <c r="I280" s="14"/>
      <c r="J280" s="18">
        <v>49</v>
      </c>
      <c r="K280" s="17">
        <f t="shared" si="7"/>
        <v>0</v>
      </c>
      <c r="L280" s="12"/>
    </row>
    <row r="281" spans="1:12" hidden="1" outlineLevel="3" x14ac:dyDescent="0.25">
      <c r="A281" s="14" t="s">
        <v>131</v>
      </c>
      <c r="B281" s="14" t="s">
        <v>328</v>
      </c>
      <c r="C281" s="14" t="s">
        <v>133</v>
      </c>
      <c r="D281" s="14" t="s">
        <v>349</v>
      </c>
      <c r="E281" s="14">
        <v>177974</v>
      </c>
      <c r="F281" s="15">
        <v>45778</v>
      </c>
      <c r="G281" s="16">
        <v>50</v>
      </c>
      <c r="H281" s="17">
        <f t="shared" si="6"/>
        <v>50</v>
      </c>
      <c r="I281" s="14"/>
      <c r="J281" s="18">
        <v>50</v>
      </c>
      <c r="K281" s="17">
        <f t="shared" si="7"/>
        <v>0</v>
      </c>
      <c r="L281" s="12"/>
    </row>
    <row r="282" spans="1:12" hidden="1" outlineLevel="3" x14ac:dyDescent="0.25">
      <c r="A282" s="14" t="s">
        <v>131</v>
      </c>
      <c r="B282" s="14" t="s">
        <v>328</v>
      </c>
      <c r="C282" s="14" t="s">
        <v>133</v>
      </c>
      <c r="D282" s="14" t="s">
        <v>350</v>
      </c>
      <c r="E282" s="14">
        <v>177973</v>
      </c>
      <c r="F282" s="15">
        <v>45778</v>
      </c>
      <c r="G282" s="16">
        <v>62</v>
      </c>
      <c r="H282" s="17">
        <f t="shared" si="6"/>
        <v>62</v>
      </c>
      <c r="I282" s="14"/>
      <c r="J282" s="18">
        <v>62</v>
      </c>
      <c r="K282" s="17">
        <f t="shared" si="7"/>
        <v>0</v>
      </c>
      <c r="L282" s="12"/>
    </row>
    <row r="283" spans="1:12" hidden="1" outlineLevel="3" x14ac:dyDescent="0.25">
      <c r="A283" s="14" t="s">
        <v>131</v>
      </c>
      <c r="B283" s="14" t="s">
        <v>328</v>
      </c>
      <c r="C283" s="14" t="s">
        <v>133</v>
      </c>
      <c r="D283" s="14" t="s">
        <v>351</v>
      </c>
      <c r="E283" s="14">
        <v>177971</v>
      </c>
      <c r="F283" s="15">
        <v>45778</v>
      </c>
      <c r="G283" s="16">
        <v>8</v>
      </c>
      <c r="H283" s="17">
        <f t="shared" si="6"/>
        <v>8</v>
      </c>
      <c r="I283" s="14"/>
      <c r="J283" s="18">
        <v>16</v>
      </c>
      <c r="K283" s="17">
        <f t="shared" si="7"/>
        <v>-8</v>
      </c>
      <c r="L283" s="12" t="s">
        <v>332</v>
      </c>
    </row>
    <row r="284" spans="1:12" hidden="1" outlineLevel="3" x14ac:dyDescent="0.25">
      <c r="A284" s="14" t="s">
        <v>131</v>
      </c>
      <c r="B284" s="14" t="s">
        <v>328</v>
      </c>
      <c r="C284" s="14" t="s">
        <v>133</v>
      </c>
      <c r="D284" s="14" t="s">
        <v>352</v>
      </c>
      <c r="E284" s="14">
        <v>177975</v>
      </c>
      <c r="F284" s="15">
        <v>45778</v>
      </c>
      <c r="G284" s="16">
        <v>8</v>
      </c>
      <c r="H284" s="17">
        <f t="shared" si="6"/>
        <v>8</v>
      </c>
      <c r="I284" s="14"/>
      <c r="J284" s="18">
        <v>8</v>
      </c>
      <c r="K284" s="17">
        <f t="shared" si="7"/>
        <v>0</v>
      </c>
      <c r="L284" s="12"/>
    </row>
    <row r="285" spans="1:12" hidden="1" outlineLevel="3" x14ac:dyDescent="0.25">
      <c r="A285" s="14" t="s">
        <v>131</v>
      </c>
      <c r="B285" s="14" t="s">
        <v>328</v>
      </c>
      <c r="C285" s="14" t="s">
        <v>136</v>
      </c>
      <c r="D285" s="14" t="s">
        <v>353</v>
      </c>
      <c r="E285" s="14">
        <v>177972</v>
      </c>
      <c r="F285" s="15">
        <v>45778</v>
      </c>
      <c r="G285" s="16">
        <v>342.5</v>
      </c>
      <c r="H285" s="17">
        <f t="shared" si="6"/>
        <v>342.5</v>
      </c>
      <c r="I285" s="14"/>
      <c r="J285" s="18">
        <v>318.5</v>
      </c>
      <c r="K285" s="17">
        <f t="shared" si="7"/>
        <v>24</v>
      </c>
      <c r="L285" s="12"/>
    </row>
    <row r="286" spans="1:12" hidden="1" outlineLevel="3" x14ac:dyDescent="0.25">
      <c r="A286" s="14" t="s">
        <v>131</v>
      </c>
      <c r="B286" s="14" t="s">
        <v>328</v>
      </c>
      <c r="C286" s="14" t="s">
        <v>136</v>
      </c>
      <c r="D286" s="14" t="s">
        <v>354</v>
      </c>
      <c r="E286" s="14" t="s">
        <v>336</v>
      </c>
      <c r="F286" s="15">
        <v>45778</v>
      </c>
      <c r="G286" s="16">
        <v>1247.5</v>
      </c>
      <c r="H286" s="17">
        <f t="shared" si="6"/>
        <v>1247.5</v>
      </c>
      <c r="I286" s="14"/>
      <c r="J286" s="18">
        <v>967.5</v>
      </c>
      <c r="K286" s="17">
        <f t="shared" si="7"/>
        <v>280</v>
      </c>
      <c r="L286" s="12" t="s">
        <v>332</v>
      </c>
    </row>
    <row r="287" spans="1:12" hidden="1" outlineLevel="3" x14ac:dyDescent="0.25">
      <c r="A287" s="14" t="s">
        <v>131</v>
      </c>
      <c r="B287" s="14" t="s">
        <v>328</v>
      </c>
      <c r="C287" s="14" t="s">
        <v>136</v>
      </c>
      <c r="D287" s="14" t="s">
        <v>355</v>
      </c>
      <c r="E287" s="14">
        <v>177971</v>
      </c>
      <c r="F287" s="15">
        <v>45778</v>
      </c>
      <c r="G287" s="16">
        <v>362</v>
      </c>
      <c r="H287" s="17">
        <f t="shared" si="6"/>
        <v>362</v>
      </c>
      <c r="I287" s="14"/>
      <c r="J287" s="18">
        <v>374</v>
      </c>
      <c r="K287" s="17">
        <f t="shared" si="7"/>
        <v>-12</v>
      </c>
      <c r="L287" s="12"/>
    </row>
    <row r="288" spans="1:12" hidden="1" outlineLevel="3" x14ac:dyDescent="0.25">
      <c r="A288" s="14" t="s">
        <v>131</v>
      </c>
      <c r="B288" s="14" t="s">
        <v>328</v>
      </c>
      <c r="C288" s="14" t="s">
        <v>136</v>
      </c>
      <c r="D288" s="14" t="s">
        <v>356</v>
      </c>
      <c r="E288" s="14">
        <v>177974</v>
      </c>
      <c r="F288" s="15">
        <v>45778</v>
      </c>
      <c r="G288" s="16">
        <v>325.5</v>
      </c>
      <c r="H288" s="17">
        <f t="shared" si="6"/>
        <v>325.5</v>
      </c>
      <c r="I288" s="14"/>
      <c r="J288" s="18">
        <v>319.5</v>
      </c>
      <c r="K288" s="17">
        <f t="shared" si="7"/>
        <v>6</v>
      </c>
      <c r="L288" s="12"/>
    </row>
    <row r="289" spans="1:12" hidden="1" outlineLevel="3" x14ac:dyDescent="0.25">
      <c r="A289" s="14" t="s">
        <v>131</v>
      </c>
      <c r="B289" s="14" t="s">
        <v>328</v>
      </c>
      <c r="C289" s="14" t="s">
        <v>136</v>
      </c>
      <c r="D289" s="14" t="s">
        <v>357</v>
      </c>
      <c r="E289" s="14">
        <v>177975</v>
      </c>
      <c r="F289" s="15">
        <v>45778</v>
      </c>
      <c r="G289" s="16">
        <v>49</v>
      </c>
      <c r="H289" s="17">
        <f t="shared" si="6"/>
        <v>49</v>
      </c>
      <c r="I289" s="14"/>
      <c r="J289" s="18">
        <v>37</v>
      </c>
      <c r="K289" s="17">
        <f t="shared" si="7"/>
        <v>12</v>
      </c>
      <c r="L289" s="12" t="s">
        <v>332</v>
      </c>
    </row>
    <row r="290" spans="1:12" hidden="1" outlineLevel="3" x14ac:dyDescent="0.25">
      <c r="A290" s="14" t="s">
        <v>131</v>
      </c>
      <c r="B290" s="14" t="s">
        <v>328</v>
      </c>
      <c r="C290" s="14" t="s">
        <v>136</v>
      </c>
      <c r="D290" s="14" t="s">
        <v>358</v>
      </c>
      <c r="E290" s="14">
        <v>177977</v>
      </c>
      <c r="F290" s="15">
        <v>45778</v>
      </c>
      <c r="G290" s="16">
        <v>24.5</v>
      </c>
      <c r="H290" s="17">
        <f t="shared" si="6"/>
        <v>24.5</v>
      </c>
      <c r="I290" s="14"/>
      <c r="J290" s="18">
        <v>18.5</v>
      </c>
      <c r="K290" s="17">
        <f t="shared" si="7"/>
        <v>6</v>
      </c>
      <c r="L290" s="12" t="s">
        <v>332</v>
      </c>
    </row>
    <row r="291" spans="1:12" hidden="1" outlineLevel="3" x14ac:dyDescent="0.25">
      <c r="A291" s="14" t="s">
        <v>131</v>
      </c>
      <c r="B291" s="14" t="s">
        <v>328</v>
      </c>
      <c r="C291" s="14" t="s">
        <v>136</v>
      </c>
      <c r="D291" s="14" t="s">
        <v>359</v>
      </c>
      <c r="E291" s="14">
        <v>177973</v>
      </c>
      <c r="F291" s="15">
        <v>45778</v>
      </c>
      <c r="G291" s="16">
        <v>373.5</v>
      </c>
      <c r="H291" s="17">
        <f t="shared" si="6"/>
        <v>373.5</v>
      </c>
      <c r="I291" s="14"/>
      <c r="J291" s="18">
        <v>355.5</v>
      </c>
      <c r="K291" s="17">
        <f t="shared" si="7"/>
        <v>18</v>
      </c>
      <c r="L291" s="12"/>
    </row>
    <row r="292" spans="1:12" hidden="1" outlineLevel="3" x14ac:dyDescent="0.25">
      <c r="A292" s="14" t="s">
        <v>131</v>
      </c>
      <c r="B292" s="14" t="s">
        <v>328</v>
      </c>
      <c r="C292" s="14" t="s">
        <v>136</v>
      </c>
      <c r="D292" s="14" t="s">
        <v>360</v>
      </c>
      <c r="E292" s="14">
        <v>177976</v>
      </c>
      <c r="F292" s="15">
        <v>45778</v>
      </c>
      <c r="G292" s="16">
        <v>24.5</v>
      </c>
      <c r="H292" s="17">
        <f t="shared" si="6"/>
        <v>24.5</v>
      </c>
      <c r="I292" s="14"/>
      <c r="J292" s="18">
        <v>18.5</v>
      </c>
      <c r="K292" s="17">
        <f t="shared" si="7"/>
        <v>6</v>
      </c>
      <c r="L292" s="12" t="s">
        <v>332</v>
      </c>
    </row>
    <row r="293" spans="1:12" hidden="1" outlineLevel="3" x14ac:dyDescent="0.25">
      <c r="A293" s="14" t="s">
        <v>131</v>
      </c>
      <c r="B293" s="14" t="s">
        <v>328</v>
      </c>
      <c r="C293" s="14" t="s">
        <v>137</v>
      </c>
      <c r="D293" s="14" t="s">
        <v>361</v>
      </c>
      <c r="E293" s="14">
        <v>177972</v>
      </c>
      <c r="F293" s="15">
        <v>45778</v>
      </c>
      <c r="G293" s="16">
        <v>681.93</v>
      </c>
      <c r="H293" s="17">
        <f t="shared" si="6"/>
        <v>681.93</v>
      </c>
      <c r="I293" s="14"/>
      <c r="J293" s="18">
        <v>328.15</v>
      </c>
      <c r="K293" s="17">
        <f t="shared" si="7"/>
        <v>353.78</v>
      </c>
      <c r="L293" s="12" t="s">
        <v>362</v>
      </c>
    </row>
    <row r="294" spans="1:12" hidden="1" outlineLevel="3" x14ac:dyDescent="0.25">
      <c r="A294" s="14" t="s">
        <v>131</v>
      </c>
      <c r="B294" s="14" t="s">
        <v>328</v>
      </c>
      <c r="C294" s="14" t="s">
        <v>137</v>
      </c>
      <c r="D294" s="14" t="s">
        <v>363</v>
      </c>
      <c r="E294" s="14">
        <v>177977</v>
      </c>
      <c r="F294" s="15">
        <v>45778</v>
      </c>
      <c r="G294" s="16">
        <v>350.15</v>
      </c>
      <c r="H294" s="17">
        <f t="shared" si="6"/>
        <v>350.15</v>
      </c>
      <c r="I294" s="14"/>
      <c r="J294" s="18">
        <v>350.15</v>
      </c>
      <c r="K294" s="17">
        <f t="shared" si="7"/>
        <v>0</v>
      </c>
      <c r="L294" s="12"/>
    </row>
    <row r="295" spans="1:12" hidden="1" outlineLevel="3" x14ac:dyDescent="0.25">
      <c r="A295" s="14" t="s">
        <v>131</v>
      </c>
      <c r="B295" s="14" t="s">
        <v>328</v>
      </c>
      <c r="C295" s="14" t="s">
        <v>137</v>
      </c>
      <c r="D295" s="14" t="s">
        <v>364</v>
      </c>
      <c r="E295" s="14" t="s">
        <v>336</v>
      </c>
      <c r="F295" s="15">
        <v>45778</v>
      </c>
      <c r="G295" s="16">
        <v>4047.8</v>
      </c>
      <c r="H295" s="17">
        <f t="shared" si="6"/>
        <v>4047.8</v>
      </c>
      <c r="I295" s="14"/>
      <c r="J295" s="18">
        <v>4047.8</v>
      </c>
      <c r="K295" s="17">
        <f t="shared" si="7"/>
        <v>0</v>
      </c>
      <c r="L295" s="12"/>
    </row>
    <row r="296" spans="1:12" hidden="1" outlineLevel="3" x14ac:dyDescent="0.25">
      <c r="A296" s="14" t="s">
        <v>131</v>
      </c>
      <c r="B296" s="14" t="s">
        <v>328</v>
      </c>
      <c r="C296" s="14" t="s">
        <v>137</v>
      </c>
      <c r="D296" s="14" t="s">
        <v>365</v>
      </c>
      <c r="E296" s="14">
        <v>177973</v>
      </c>
      <c r="F296" s="15">
        <v>45778</v>
      </c>
      <c r="G296" s="16">
        <v>584.45000000000005</v>
      </c>
      <c r="H296" s="17">
        <f t="shared" si="6"/>
        <v>584.45000000000005</v>
      </c>
      <c r="I296" s="14"/>
      <c r="J296" s="18">
        <v>584.45000000000005</v>
      </c>
      <c r="K296" s="17">
        <f t="shared" si="7"/>
        <v>0</v>
      </c>
      <c r="L296" s="12"/>
    </row>
    <row r="297" spans="1:12" hidden="1" outlineLevel="3" x14ac:dyDescent="0.25">
      <c r="A297" s="14" t="s">
        <v>131</v>
      </c>
      <c r="B297" s="14" t="s">
        <v>328</v>
      </c>
      <c r="C297" s="14" t="s">
        <v>137</v>
      </c>
      <c r="D297" s="14" t="s">
        <v>366</v>
      </c>
      <c r="E297" s="14">
        <v>177976</v>
      </c>
      <c r="F297" s="15">
        <v>45778</v>
      </c>
      <c r="G297" s="16">
        <v>328.15</v>
      </c>
      <c r="H297" s="17">
        <f t="shared" si="6"/>
        <v>328.15</v>
      </c>
      <c r="I297" s="14"/>
      <c r="J297" s="18">
        <v>328.15</v>
      </c>
      <c r="K297" s="17">
        <f t="shared" si="7"/>
        <v>0</v>
      </c>
      <c r="L297" s="12"/>
    </row>
    <row r="298" spans="1:12" hidden="1" outlineLevel="3" x14ac:dyDescent="0.25">
      <c r="A298" s="14" t="s">
        <v>131</v>
      </c>
      <c r="B298" s="14" t="s">
        <v>328</v>
      </c>
      <c r="C298" s="14" t="s">
        <v>137</v>
      </c>
      <c r="D298" s="14" t="s">
        <v>367</v>
      </c>
      <c r="E298" s="14">
        <v>177974</v>
      </c>
      <c r="F298" s="15">
        <v>45778</v>
      </c>
      <c r="G298" s="16">
        <v>505.63</v>
      </c>
      <c r="H298" s="17">
        <f t="shared" si="6"/>
        <v>505.63</v>
      </c>
      <c r="I298" s="14"/>
      <c r="J298" s="18">
        <v>584.45000000000005</v>
      </c>
      <c r="K298" s="17">
        <f t="shared" si="7"/>
        <v>-78.82000000000005</v>
      </c>
      <c r="L298" s="12"/>
    </row>
    <row r="299" spans="1:12" hidden="1" outlineLevel="3" x14ac:dyDescent="0.25">
      <c r="A299" s="14" t="s">
        <v>131</v>
      </c>
      <c r="B299" s="14" t="s">
        <v>328</v>
      </c>
      <c r="C299" s="14" t="s">
        <v>137</v>
      </c>
      <c r="D299" s="14" t="s">
        <v>368</v>
      </c>
      <c r="E299" s="14">
        <v>177975</v>
      </c>
      <c r="F299" s="15">
        <v>45778</v>
      </c>
      <c r="G299" s="16">
        <v>456.3</v>
      </c>
      <c r="H299" s="17">
        <f t="shared" si="6"/>
        <v>456.3</v>
      </c>
      <c r="I299" s="14"/>
      <c r="J299" s="18">
        <v>456.3</v>
      </c>
      <c r="K299" s="17">
        <f t="shared" si="7"/>
        <v>0</v>
      </c>
      <c r="L299" s="12"/>
    </row>
    <row r="300" spans="1:12" hidden="1" outlineLevel="3" x14ac:dyDescent="0.25">
      <c r="A300" s="14" t="s">
        <v>131</v>
      </c>
      <c r="B300" s="14" t="s">
        <v>328</v>
      </c>
      <c r="C300" s="14" t="s">
        <v>137</v>
      </c>
      <c r="D300" s="14" t="s">
        <v>369</v>
      </c>
      <c r="E300" s="14">
        <v>177971</v>
      </c>
      <c r="F300" s="15">
        <v>45778</v>
      </c>
      <c r="G300" s="16">
        <v>741.93</v>
      </c>
      <c r="H300" s="17">
        <f t="shared" si="6"/>
        <v>741.93</v>
      </c>
      <c r="I300" s="14"/>
      <c r="J300" s="18">
        <v>712.6</v>
      </c>
      <c r="K300" s="17">
        <f t="shared" si="7"/>
        <v>29.329999999999927</v>
      </c>
      <c r="L300" s="12"/>
    </row>
    <row r="301" spans="1:12" outlineLevel="2" collapsed="1" x14ac:dyDescent="0.25">
      <c r="A301" s="14"/>
      <c r="B301" s="8" t="s">
        <v>370</v>
      </c>
      <c r="C301" s="14"/>
      <c r="D301" s="14"/>
      <c r="E301" s="14"/>
      <c r="F301" s="15"/>
      <c r="G301" s="16">
        <f>SUBTOTAL(9,G263:G300)</f>
        <v>12584.739999999998</v>
      </c>
      <c r="H301" s="17"/>
      <c r="I301" s="14"/>
      <c r="J301" s="18">
        <f>SUBTOTAL(9,J263:J300)</f>
        <v>12316.45</v>
      </c>
      <c r="K301" s="17">
        <f>SUBTOTAL(9,K263:K300)</f>
        <v>268.28999999999996</v>
      </c>
      <c r="L301" s="12"/>
    </row>
    <row r="302" spans="1:12" hidden="1" outlineLevel="3" x14ac:dyDescent="0.25">
      <c r="A302" s="14" t="s">
        <v>131</v>
      </c>
      <c r="B302" s="14" t="s">
        <v>371</v>
      </c>
      <c r="C302" s="14" t="s">
        <v>133</v>
      </c>
      <c r="D302" s="14" t="s">
        <v>133</v>
      </c>
      <c r="E302" s="14">
        <v>177720</v>
      </c>
      <c r="F302" s="15">
        <v>45778</v>
      </c>
      <c r="G302" s="16">
        <v>246.3366</v>
      </c>
      <c r="H302" s="17">
        <f>G302</f>
        <v>246.3366</v>
      </c>
      <c r="I302" s="14"/>
      <c r="J302" s="18">
        <v>227.0772</v>
      </c>
      <c r="K302" s="17">
        <f>H302-J302</f>
        <v>19.259399999999999</v>
      </c>
      <c r="L302" s="12"/>
    </row>
    <row r="303" spans="1:12" hidden="1" outlineLevel="3" x14ac:dyDescent="0.25">
      <c r="A303" s="14" t="s">
        <v>131</v>
      </c>
      <c r="B303" s="14" t="s">
        <v>371</v>
      </c>
      <c r="C303" s="14" t="s">
        <v>136</v>
      </c>
      <c r="D303" s="14" t="s">
        <v>136</v>
      </c>
      <c r="E303" s="14">
        <v>177720</v>
      </c>
      <c r="F303" s="15">
        <v>45778</v>
      </c>
      <c r="G303" s="16">
        <v>302</v>
      </c>
      <c r="H303" s="17">
        <f>G303</f>
        <v>302</v>
      </c>
      <c r="I303" s="14"/>
      <c r="J303" s="18">
        <v>302</v>
      </c>
      <c r="K303" s="17">
        <f>H303-J303</f>
        <v>0</v>
      </c>
      <c r="L303" s="12"/>
    </row>
    <row r="304" spans="1:12" hidden="1" outlineLevel="3" x14ac:dyDescent="0.25">
      <c r="A304" s="14" t="s">
        <v>131</v>
      </c>
      <c r="B304" s="14" t="s">
        <v>371</v>
      </c>
      <c r="C304" s="14" t="s">
        <v>137</v>
      </c>
      <c r="D304" s="14" t="s">
        <v>372</v>
      </c>
      <c r="E304" s="14">
        <v>177720</v>
      </c>
      <c r="F304" s="15">
        <v>45778</v>
      </c>
      <c r="G304" s="16">
        <v>1252.0634</v>
      </c>
      <c r="H304" s="17">
        <f>G304</f>
        <v>1252.0634</v>
      </c>
      <c r="I304" s="14"/>
      <c r="J304" s="18">
        <v>1252.0627999999999</v>
      </c>
      <c r="K304" s="17">
        <f>H304-J304</f>
        <v>6.0000000007676135E-4</v>
      </c>
      <c r="L304" s="12"/>
    </row>
    <row r="305" spans="1:12" outlineLevel="2" collapsed="1" x14ac:dyDescent="0.25">
      <c r="A305" s="14"/>
      <c r="B305" s="8" t="s">
        <v>373</v>
      </c>
      <c r="C305" s="14"/>
      <c r="D305" s="14"/>
      <c r="E305" s="14"/>
      <c r="F305" s="15"/>
      <c r="G305" s="16">
        <f>SUBTOTAL(9,G302:G304)</f>
        <v>1800.4</v>
      </c>
      <c r="H305" s="17"/>
      <c r="I305" s="14"/>
      <c r="J305" s="18">
        <f>SUBTOTAL(9,J302:J304)</f>
        <v>1781.1399999999999</v>
      </c>
      <c r="K305" s="17">
        <f>SUBTOTAL(9,K302:K304)</f>
        <v>19.260000000000076</v>
      </c>
      <c r="L305" s="12"/>
    </row>
    <row r="306" spans="1:12" hidden="1" outlineLevel="3" x14ac:dyDescent="0.25">
      <c r="A306" s="14" t="s">
        <v>131</v>
      </c>
      <c r="B306" s="14" t="s">
        <v>374</v>
      </c>
      <c r="C306" s="14" t="s">
        <v>140</v>
      </c>
      <c r="D306" s="14" t="s">
        <v>375</v>
      </c>
      <c r="E306" s="14">
        <v>177647</v>
      </c>
      <c r="F306" s="15">
        <v>45778</v>
      </c>
      <c r="G306" s="16">
        <v>2872.5</v>
      </c>
      <c r="H306" s="17">
        <f>G306</f>
        <v>2872.5</v>
      </c>
      <c r="I306" s="14"/>
      <c r="J306" s="18">
        <v>2872.5</v>
      </c>
      <c r="K306" s="17">
        <f>H306-J306</f>
        <v>0</v>
      </c>
      <c r="L306" s="12"/>
    </row>
    <row r="307" spans="1:12" hidden="1" outlineLevel="3" x14ac:dyDescent="0.25">
      <c r="A307" s="14" t="s">
        <v>131</v>
      </c>
      <c r="B307" s="14" t="s">
        <v>374</v>
      </c>
      <c r="C307" s="14" t="s">
        <v>133</v>
      </c>
      <c r="D307" s="14" t="s">
        <v>376</v>
      </c>
      <c r="E307" s="14">
        <v>177647</v>
      </c>
      <c r="F307" s="15">
        <v>45778</v>
      </c>
      <c r="G307" s="16">
        <v>643.8202</v>
      </c>
      <c r="H307" s="17">
        <f>G307</f>
        <v>643.8202</v>
      </c>
      <c r="I307" s="14"/>
      <c r="J307" s="18">
        <v>612.73059999999998</v>
      </c>
      <c r="K307" s="17">
        <f>H307-J307</f>
        <v>31.089600000000019</v>
      </c>
      <c r="L307" s="12"/>
    </row>
    <row r="308" spans="1:12" hidden="1" outlineLevel="3" x14ac:dyDescent="0.25">
      <c r="A308" s="14" t="s">
        <v>131</v>
      </c>
      <c r="B308" s="14" t="s">
        <v>374</v>
      </c>
      <c r="C308" s="14" t="s">
        <v>136</v>
      </c>
      <c r="D308" s="14" t="s">
        <v>377</v>
      </c>
      <c r="E308" s="14">
        <v>177647</v>
      </c>
      <c r="F308" s="15">
        <v>45778</v>
      </c>
      <c r="G308" s="16">
        <v>2015.7</v>
      </c>
      <c r="H308" s="17">
        <f>G308</f>
        <v>2015.7</v>
      </c>
      <c r="I308" s="14"/>
      <c r="J308" s="18">
        <v>2086.6</v>
      </c>
      <c r="K308" s="17">
        <f>H308-J308</f>
        <v>-70.899999999999864</v>
      </c>
      <c r="L308" s="12"/>
    </row>
    <row r="309" spans="1:12" hidden="1" outlineLevel="3" x14ac:dyDescent="0.25">
      <c r="A309" s="14" t="s">
        <v>131</v>
      </c>
      <c r="B309" s="14" t="s">
        <v>374</v>
      </c>
      <c r="C309" s="14" t="s">
        <v>137</v>
      </c>
      <c r="D309" s="14" t="s">
        <v>378</v>
      </c>
      <c r="E309" s="14">
        <v>177647</v>
      </c>
      <c r="F309" s="15">
        <v>45778</v>
      </c>
      <c r="G309" s="16">
        <v>1310</v>
      </c>
      <c r="H309" s="17">
        <f>G309</f>
        <v>1310</v>
      </c>
      <c r="I309" s="14"/>
      <c r="J309" s="18">
        <v>1310</v>
      </c>
      <c r="K309" s="17">
        <f>H309-J309</f>
        <v>0</v>
      </c>
      <c r="L309" s="12"/>
    </row>
    <row r="310" spans="1:12" outlineLevel="2" collapsed="1" x14ac:dyDescent="0.25">
      <c r="A310" s="14"/>
      <c r="B310" s="8" t="s">
        <v>379</v>
      </c>
      <c r="C310" s="14"/>
      <c r="D310" s="14"/>
      <c r="E310" s="14"/>
      <c r="F310" s="15"/>
      <c r="G310" s="16">
        <f>SUBTOTAL(9,G306:G309)</f>
        <v>6842.0201999999999</v>
      </c>
      <c r="H310" s="17"/>
      <c r="I310" s="14"/>
      <c r="J310" s="18">
        <f>SUBTOTAL(9,J306:J309)</f>
        <v>6881.8305999999993</v>
      </c>
      <c r="K310" s="17">
        <f>SUBTOTAL(9,K306:K309)</f>
        <v>-39.810399999999845</v>
      </c>
      <c r="L310" s="12"/>
    </row>
    <row r="311" spans="1:12" hidden="1" outlineLevel="3" x14ac:dyDescent="0.25">
      <c r="A311" s="14" t="s">
        <v>131</v>
      </c>
      <c r="B311" s="14" t="s">
        <v>380</v>
      </c>
      <c r="C311" s="14" t="s">
        <v>140</v>
      </c>
      <c r="D311" s="14" t="s">
        <v>381</v>
      </c>
      <c r="E311" s="14">
        <v>177456</v>
      </c>
      <c r="F311" s="15">
        <v>45762</v>
      </c>
      <c r="G311" s="16">
        <v>1966.5</v>
      </c>
      <c r="H311" s="17">
        <f t="shared" ref="H311:H316" si="8">G311</f>
        <v>1966.5</v>
      </c>
      <c r="I311" s="14"/>
      <c r="J311" s="18">
        <v>1966.5</v>
      </c>
      <c r="K311" s="17">
        <f t="shared" ref="K311:K316" si="9">H311-J311</f>
        <v>0</v>
      </c>
      <c r="L311" s="12"/>
    </row>
    <row r="312" spans="1:12" hidden="1" outlineLevel="3" x14ac:dyDescent="0.25">
      <c r="A312" s="14" t="s">
        <v>131</v>
      </c>
      <c r="B312" s="14" t="s">
        <v>380</v>
      </c>
      <c r="C312" s="14" t="s">
        <v>143</v>
      </c>
      <c r="D312" s="14" t="s">
        <v>382</v>
      </c>
      <c r="E312" s="14">
        <v>177456</v>
      </c>
      <c r="F312" s="15">
        <v>45762</v>
      </c>
      <c r="G312" s="16">
        <v>4942</v>
      </c>
      <c r="H312" s="17">
        <f t="shared" si="8"/>
        <v>4942</v>
      </c>
      <c r="I312" s="14"/>
      <c r="J312" s="18">
        <v>4942</v>
      </c>
      <c r="K312" s="17">
        <f t="shared" si="9"/>
        <v>0</v>
      </c>
      <c r="L312" s="12"/>
    </row>
    <row r="313" spans="1:12" hidden="1" outlineLevel="3" x14ac:dyDescent="0.25">
      <c r="A313" s="14" t="s">
        <v>131</v>
      </c>
      <c r="B313" s="14" t="s">
        <v>380</v>
      </c>
      <c r="C313" s="14" t="s">
        <v>133</v>
      </c>
      <c r="D313" s="14" t="s">
        <v>383</v>
      </c>
      <c r="E313" s="14">
        <v>177456</v>
      </c>
      <c r="F313" s="15">
        <v>45762</v>
      </c>
      <c r="G313" s="16">
        <v>50</v>
      </c>
      <c r="H313" s="17">
        <f t="shared" si="8"/>
        <v>50</v>
      </c>
      <c r="I313" s="14"/>
      <c r="J313" s="18">
        <v>50</v>
      </c>
      <c r="K313" s="17">
        <f t="shared" si="9"/>
        <v>0</v>
      </c>
      <c r="L313" s="12"/>
    </row>
    <row r="314" spans="1:12" hidden="1" outlineLevel="3" x14ac:dyDescent="0.25">
      <c r="A314" s="14" t="s">
        <v>131</v>
      </c>
      <c r="B314" s="14" t="s">
        <v>380</v>
      </c>
      <c r="C314" s="14" t="s">
        <v>133</v>
      </c>
      <c r="D314" s="14" t="s">
        <v>133</v>
      </c>
      <c r="E314" s="14">
        <v>177456</v>
      </c>
      <c r="F314" s="15">
        <v>45762</v>
      </c>
      <c r="G314" s="16">
        <v>2224.56</v>
      </c>
      <c r="H314" s="17">
        <f t="shared" si="8"/>
        <v>2224.56</v>
      </c>
      <c r="I314" s="14"/>
      <c r="J314" s="18">
        <v>2224.56</v>
      </c>
      <c r="K314" s="17">
        <f t="shared" si="9"/>
        <v>0</v>
      </c>
      <c r="L314" s="12"/>
    </row>
    <row r="315" spans="1:12" hidden="1" outlineLevel="3" x14ac:dyDescent="0.25">
      <c r="A315" s="14" t="s">
        <v>131</v>
      </c>
      <c r="B315" s="14" t="s">
        <v>380</v>
      </c>
      <c r="C315" s="14" t="s">
        <v>136</v>
      </c>
      <c r="D315" s="14" t="s">
        <v>136</v>
      </c>
      <c r="E315" s="14">
        <v>177456</v>
      </c>
      <c r="F315" s="15">
        <v>45762</v>
      </c>
      <c r="G315" s="16">
        <v>1020</v>
      </c>
      <c r="H315" s="17">
        <f t="shared" si="8"/>
        <v>1020</v>
      </c>
      <c r="I315" s="14"/>
      <c r="J315" s="18">
        <v>1002</v>
      </c>
      <c r="K315" s="17">
        <f t="shared" si="9"/>
        <v>18</v>
      </c>
      <c r="L315" s="12"/>
    </row>
    <row r="316" spans="1:12" hidden="1" outlineLevel="3" x14ac:dyDescent="0.25">
      <c r="A316" s="14" t="s">
        <v>131</v>
      </c>
      <c r="B316" s="14" t="s">
        <v>380</v>
      </c>
      <c r="C316" s="14" t="s">
        <v>137</v>
      </c>
      <c r="D316" s="14" t="s">
        <v>384</v>
      </c>
      <c r="E316" s="14">
        <v>177456</v>
      </c>
      <c r="F316" s="15">
        <v>45762</v>
      </c>
      <c r="G316" s="16">
        <v>12149.4</v>
      </c>
      <c r="H316" s="17">
        <f t="shared" si="8"/>
        <v>12149.4</v>
      </c>
      <c r="I316" s="14"/>
      <c r="J316" s="18">
        <v>12149.4</v>
      </c>
      <c r="K316" s="17">
        <f t="shared" si="9"/>
        <v>0</v>
      </c>
      <c r="L316" s="12"/>
    </row>
    <row r="317" spans="1:12" outlineLevel="2" collapsed="1" x14ac:dyDescent="0.25">
      <c r="A317" s="14"/>
      <c r="B317" s="8" t="s">
        <v>385</v>
      </c>
      <c r="C317" s="14"/>
      <c r="D317" s="14"/>
      <c r="E317" s="14"/>
      <c r="F317" s="15"/>
      <c r="G317" s="16">
        <f>SUBTOTAL(9,G311:G316)</f>
        <v>22352.46</v>
      </c>
      <c r="H317" s="17"/>
      <c r="I317" s="14"/>
      <c r="J317" s="18">
        <f>SUBTOTAL(9,J311:J316)</f>
        <v>22334.46</v>
      </c>
      <c r="K317" s="17">
        <f>SUBTOTAL(9,K311:K316)</f>
        <v>18</v>
      </c>
      <c r="L317" s="12"/>
    </row>
    <row r="318" spans="1:12" ht="30" hidden="1" outlineLevel="3" x14ac:dyDescent="0.25">
      <c r="A318" s="14" t="s">
        <v>131</v>
      </c>
      <c r="B318" s="14" t="s">
        <v>386</v>
      </c>
      <c r="C318" s="14" t="s">
        <v>143</v>
      </c>
      <c r="D318" s="14" t="s">
        <v>143</v>
      </c>
      <c r="E318" s="14">
        <v>177721</v>
      </c>
      <c r="F318" s="15">
        <v>45778</v>
      </c>
      <c r="G318" s="16">
        <v>1462</v>
      </c>
      <c r="H318" s="17">
        <f>G318</f>
        <v>1462</v>
      </c>
      <c r="I318" s="14"/>
      <c r="J318" s="18">
        <v>2690</v>
      </c>
      <c r="K318" s="17">
        <f>H318-J318</f>
        <v>-1228</v>
      </c>
      <c r="L318" s="12" t="s">
        <v>387</v>
      </c>
    </row>
    <row r="319" spans="1:12" ht="30" hidden="1" outlineLevel="3" x14ac:dyDescent="0.25">
      <c r="A319" s="14" t="s">
        <v>131</v>
      </c>
      <c r="B319" s="14" t="s">
        <v>386</v>
      </c>
      <c r="C319" s="14" t="s">
        <v>133</v>
      </c>
      <c r="D319" s="14" t="s">
        <v>388</v>
      </c>
      <c r="E319" s="14">
        <v>177721</v>
      </c>
      <c r="F319" s="15">
        <v>45778</v>
      </c>
      <c r="G319" s="16">
        <v>7727.3581000000004</v>
      </c>
      <c r="H319" s="17">
        <f>G319</f>
        <v>7727.3581000000004</v>
      </c>
      <c r="I319" s="14"/>
      <c r="J319" s="18">
        <v>4226.3788000000004</v>
      </c>
      <c r="K319" s="17">
        <f>H319-J319</f>
        <v>3500.9793</v>
      </c>
      <c r="L319" s="12" t="s">
        <v>389</v>
      </c>
    </row>
    <row r="320" spans="1:12" hidden="1" outlineLevel="3" x14ac:dyDescent="0.25">
      <c r="A320" s="14" t="s">
        <v>131</v>
      </c>
      <c r="B320" s="14" t="s">
        <v>386</v>
      </c>
      <c r="C320" s="14" t="s">
        <v>136</v>
      </c>
      <c r="D320" s="14" t="s">
        <v>136</v>
      </c>
      <c r="E320" s="14">
        <v>177721</v>
      </c>
      <c r="F320" s="15">
        <v>45778</v>
      </c>
      <c r="G320" s="16">
        <v>2126</v>
      </c>
      <c r="H320" s="17">
        <f>G320</f>
        <v>2126</v>
      </c>
      <c r="I320" s="14"/>
      <c r="J320" s="18">
        <v>2012</v>
      </c>
      <c r="K320" s="17">
        <f>H320-J320</f>
        <v>114</v>
      </c>
      <c r="L320" s="12"/>
    </row>
    <row r="321" spans="1:12" hidden="1" outlineLevel="3" x14ac:dyDescent="0.25">
      <c r="A321" s="14" t="s">
        <v>131</v>
      </c>
      <c r="B321" s="14" t="s">
        <v>386</v>
      </c>
      <c r="C321" s="14" t="s">
        <v>137</v>
      </c>
      <c r="D321" s="14" t="s">
        <v>137</v>
      </c>
      <c r="E321" s="14">
        <v>177721</v>
      </c>
      <c r="F321" s="15">
        <v>45778</v>
      </c>
      <c r="G321" s="16">
        <v>3882.0019000000002</v>
      </c>
      <c r="H321" s="17">
        <f>G321</f>
        <v>3882.0019000000002</v>
      </c>
      <c r="I321" s="14"/>
      <c r="J321" s="18">
        <v>4597.0011999999997</v>
      </c>
      <c r="K321" s="17">
        <f>H321-J321</f>
        <v>-714.99929999999949</v>
      </c>
      <c r="L321" s="12"/>
    </row>
    <row r="322" spans="1:12" outlineLevel="2" collapsed="1" x14ac:dyDescent="0.25">
      <c r="A322" s="14"/>
      <c r="B322" s="8" t="s">
        <v>390</v>
      </c>
      <c r="C322" s="14"/>
      <c r="D322" s="14"/>
      <c r="E322" s="14"/>
      <c r="F322" s="15"/>
      <c r="G322" s="16">
        <f>SUBTOTAL(9,G318:G321)</f>
        <v>15197.36</v>
      </c>
      <c r="H322" s="17"/>
      <c r="I322" s="14"/>
      <c r="J322" s="18">
        <f>SUBTOTAL(9,J318:J321)</f>
        <v>13525.380000000001</v>
      </c>
      <c r="K322" s="17">
        <f>SUBTOTAL(9,K318:K321)</f>
        <v>1671.9800000000005</v>
      </c>
      <c r="L322" s="12"/>
    </row>
    <row r="323" spans="1:12" hidden="1" outlineLevel="3" x14ac:dyDescent="0.25">
      <c r="A323" s="34" t="s">
        <v>131</v>
      </c>
      <c r="B323" s="34" t="s">
        <v>391</v>
      </c>
      <c r="C323" s="34" t="s">
        <v>137</v>
      </c>
      <c r="D323" s="34" t="s">
        <v>392</v>
      </c>
      <c r="E323" s="34"/>
      <c r="F323" s="35"/>
      <c r="G323" s="36"/>
      <c r="H323" s="36">
        <f>G323</f>
        <v>0</v>
      </c>
      <c r="I323" s="34"/>
      <c r="J323" s="36">
        <v>420</v>
      </c>
      <c r="K323" s="37">
        <f>H323-J323</f>
        <v>-420</v>
      </c>
      <c r="L323" s="38" t="s">
        <v>189</v>
      </c>
    </row>
    <row r="324" spans="1:12" outlineLevel="2" collapsed="1" x14ac:dyDescent="0.25">
      <c r="A324" s="34"/>
      <c r="B324" s="39" t="s">
        <v>393</v>
      </c>
      <c r="C324" s="34"/>
      <c r="D324" s="34"/>
      <c r="E324" s="34"/>
      <c r="F324" s="35"/>
      <c r="G324" s="36">
        <f>SUBTOTAL(9,G323:G323)</f>
        <v>0</v>
      </c>
      <c r="H324" s="36"/>
      <c r="I324" s="34"/>
      <c r="J324" s="36">
        <f>SUBTOTAL(9,J323:J323)</f>
        <v>420</v>
      </c>
      <c r="K324" s="37">
        <f>SUBTOTAL(9,K323:K323)</f>
        <v>-420</v>
      </c>
      <c r="L324" s="38" t="s">
        <v>189</v>
      </c>
    </row>
    <row r="325" spans="1:12" hidden="1" outlineLevel="3" x14ac:dyDescent="0.25">
      <c r="A325" s="14" t="s">
        <v>131</v>
      </c>
      <c r="B325" s="14" t="s">
        <v>394</v>
      </c>
      <c r="C325" s="14" t="s">
        <v>143</v>
      </c>
      <c r="D325" s="14" t="s">
        <v>395</v>
      </c>
      <c r="E325" s="14">
        <v>177723</v>
      </c>
      <c r="F325" s="15">
        <v>45778</v>
      </c>
      <c r="G325" s="16">
        <v>70.599999999999994</v>
      </c>
      <c r="H325" s="17">
        <f>G325</f>
        <v>70.599999999999994</v>
      </c>
      <c r="I325" s="14"/>
      <c r="J325" s="18">
        <v>70.599999999999994</v>
      </c>
      <c r="K325" s="17">
        <f>H325-J325</f>
        <v>0</v>
      </c>
      <c r="L325" s="12"/>
    </row>
    <row r="326" spans="1:12" hidden="1" outlineLevel="3" x14ac:dyDescent="0.25">
      <c r="A326" s="14" t="s">
        <v>131</v>
      </c>
      <c r="B326" s="14" t="s">
        <v>394</v>
      </c>
      <c r="C326" s="14" t="s">
        <v>133</v>
      </c>
      <c r="D326" s="14" t="s">
        <v>133</v>
      </c>
      <c r="E326" s="14">
        <v>177723</v>
      </c>
      <c r="F326" s="15">
        <v>45778</v>
      </c>
      <c r="G326" s="16">
        <v>1785</v>
      </c>
      <c r="H326" s="17">
        <f>G326</f>
        <v>1785</v>
      </c>
      <c r="I326" s="14"/>
      <c r="J326" s="18">
        <v>1845</v>
      </c>
      <c r="K326" s="17">
        <f>H326-J326</f>
        <v>-60</v>
      </c>
      <c r="L326" s="12"/>
    </row>
    <row r="327" spans="1:12" hidden="1" outlineLevel="3" x14ac:dyDescent="0.25">
      <c r="A327" s="14" t="s">
        <v>131</v>
      </c>
      <c r="B327" s="14" t="s">
        <v>394</v>
      </c>
      <c r="C327" s="14" t="s">
        <v>136</v>
      </c>
      <c r="D327" s="14" t="s">
        <v>136</v>
      </c>
      <c r="E327" s="14">
        <v>177723</v>
      </c>
      <c r="F327" s="15">
        <v>45778</v>
      </c>
      <c r="G327" s="16">
        <v>2720</v>
      </c>
      <c r="H327" s="17">
        <f>G327</f>
        <v>2720</v>
      </c>
      <c r="I327" s="14"/>
      <c r="J327" s="18">
        <v>2440</v>
      </c>
      <c r="K327" s="17">
        <f>H327-J327</f>
        <v>280</v>
      </c>
      <c r="L327" s="12"/>
    </row>
    <row r="328" spans="1:12" hidden="1" outlineLevel="3" x14ac:dyDescent="0.25">
      <c r="A328" s="14" t="s">
        <v>131</v>
      </c>
      <c r="B328" s="14" t="s">
        <v>394</v>
      </c>
      <c r="C328" s="14" t="s">
        <v>137</v>
      </c>
      <c r="D328" s="14" t="s">
        <v>396</v>
      </c>
      <c r="E328" s="14">
        <v>177723</v>
      </c>
      <c r="F328" s="15">
        <v>45778</v>
      </c>
      <c r="G328" s="16">
        <v>4274.5</v>
      </c>
      <c r="H328" s="17">
        <f>G328</f>
        <v>4274.5</v>
      </c>
      <c r="I328" s="14"/>
      <c r="J328" s="18">
        <v>4274.5</v>
      </c>
      <c r="K328" s="17">
        <f>H328-J328</f>
        <v>0</v>
      </c>
      <c r="L328" s="12"/>
    </row>
    <row r="329" spans="1:12" outlineLevel="2" collapsed="1" x14ac:dyDescent="0.25">
      <c r="A329" s="14"/>
      <c r="B329" s="8" t="s">
        <v>397</v>
      </c>
      <c r="C329" s="14"/>
      <c r="D329" s="14"/>
      <c r="E329" s="14"/>
      <c r="F329" s="15"/>
      <c r="G329" s="16">
        <f>SUBTOTAL(9,G325:G328)</f>
        <v>8850.1</v>
      </c>
      <c r="H329" s="17"/>
      <c r="I329" s="14"/>
      <c r="J329" s="18">
        <f>SUBTOTAL(9,J325:J328)</f>
        <v>8630.1</v>
      </c>
      <c r="K329" s="17">
        <f>SUBTOTAL(9,K325:K328)</f>
        <v>220</v>
      </c>
      <c r="L329" s="12"/>
    </row>
    <row r="330" spans="1:12" hidden="1" outlineLevel="3" x14ac:dyDescent="0.25">
      <c r="A330" s="14" t="s">
        <v>131</v>
      </c>
      <c r="B330" s="14" t="s">
        <v>398</v>
      </c>
      <c r="C330" s="14" t="s">
        <v>143</v>
      </c>
      <c r="D330" s="14" t="s">
        <v>143</v>
      </c>
      <c r="E330" s="14">
        <v>177724</v>
      </c>
      <c r="F330" s="15">
        <v>45778</v>
      </c>
      <c r="G330" s="16">
        <v>668.8</v>
      </c>
      <c r="H330" s="17">
        <f>G330</f>
        <v>668.8</v>
      </c>
      <c r="I330" s="14"/>
      <c r="J330" s="18">
        <v>668.8</v>
      </c>
      <c r="K330" s="17">
        <f>H330-J330</f>
        <v>0</v>
      </c>
      <c r="L330" s="12"/>
    </row>
    <row r="331" spans="1:12" hidden="1" outlineLevel="3" x14ac:dyDescent="0.25">
      <c r="A331" s="14" t="s">
        <v>131</v>
      </c>
      <c r="B331" s="14" t="s">
        <v>398</v>
      </c>
      <c r="C331" s="14" t="s">
        <v>136</v>
      </c>
      <c r="D331" s="14" t="s">
        <v>136</v>
      </c>
      <c r="E331" s="14">
        <v>177724</v>
      </c>
      <c r="F331" s="15">
        <v>45778</v>
      </c>
      <c r="G331" s="16">
        <v>1043</v>
      </c>
      <c r="H331" s="17">
        <f>G331</f>
        <v>1043</v>
      </c>
      <c r="I331" s="14"/>
      <c r="J331" s="18">
        <v>250</v>
      </c>
      <c r="K331" s="17">
        <f>H331-J331</f>
        <v>793</v>
      </c>
      <c r="L331" s="12" t="s">
        <v>135</v>
      </c>
    </row>
    <row r="332" spans="1:12" hidden="1" outlineLevel="3" x14ac:dyDescent="0.25">
      <c r="A332" s="14" t="s">
        <v>131</v>
      </c>
      <c r="B332" s="14" t="s">
        <v>398</v>
      </c>
      <c r="C332" s="14" t="s">
        <v>137</v>
      </c>
      <c r="D332" s="14" t="s">
        <v>137</v>
      </c>
      <c r="E332" s="14">
        <v>177724</v>
      </c>
      <c r="F332" s="15">
        <v>45778</v>
      </c>
      <c r="G332" s="16">
        <v>2236</v>
      </c>
      <c r="H332" s="17">
        <f>G332</f>
        <v>2236</v>
      </c>
      <c r="I332" s="14"/>
      <c r="J332" s="18">
        <v>2215</v>
      </c>
      <c r="K332" s="17">
        <f>H332-J332</f>
        <v>21</v>
      </c>
      <c r="L332" s="12"/>
    </row>
    <row r="333" spans="1:12" outlineLevel="2" collapsed="1" x14ac:dyDescent="0.25">
      <c r="A333" s="14"/>
      <c r="B333" s="8" t="s">
        <v>399</v>
      </c>
      <c r="C333" s="14"/>
      <c r="D333" s="14"/>
      <c r="E333" s="14"/>
      <c r="F333" s="15"/>
      <c r="G333" s="16">
        <f>SUBTOTAL(9,G330:G332)</f>
        <v>3947.8</v>
      </c>
      <c r="H333" s="17"/>
      <c r="I333" s="14"/>
      <c r="J333" s="18">
        <f>SUBTOTAL(9,J330:J332)</f>
        <v>3133.8</v>
      </c>
      <c r="K333" s="17">
        <f>SUBTOTAL(9,K330:K332)</f>
        <v>814</v>
      </c>
      <c r="L333" s="12" t="s">
        <v>135</v>
      </c>
    </row>
    <row r="334" spans="1:12" hidden="1" outlineLevel="3" x14ac:dyDescent="0.25">
      <c r="A334" s="20" t="s">
        <v>131</v>
      </c>
      <c r="B334" s="20" t="s">
        <v>400</v>
      </c>
      <c r="C334" s="20" t="s">
        <v>137</v>
      </c>
      <c r="D334" s="20" t="s">
        <v>401</v>
      </c>
      <c r="E334" s="20">
        <v>177917</v>
      </c>
      <c r="F334" s="21">
        <v>45778</v>
      </c>
      <c r="G334" s="22">
        <v>1380.6</v>
      </c>
      <c r="H334" s="23">
        <f>G334</f>
        <v>1380.6</v>
      </c>
      <c r="I334" s="20"/>
      <c r="J334" s="24">
        <v>1340.39</v>
      </c>
      <c r="K334" s="23">
        <f>H334-J334</f>
        <v>40.209999999999809</v>
      </c>
      <c r="L334" s="25" t="s">
        <v>162</v>
      </c>
    </row>
    <row r="335" spans="1:12" outlineLevel="2" collapsed="1" x14ac:dyDescent="0.25">
      <c r="A335" s="20"/>
      <c r="B335" s="26" t="s">
        <v>402</v>
      </c>
      <c r="C335" s="20"/>
      <c r="D335" s="20"/>
      <c r="E335" s="20"/>
      <c r="F335" s="21"/>
      <c r="G335" s="22">
        <f>SUBTOTAL(9,G334:G334)</f>
        <v>1380.6</v>
      </c>
      <c r="H335" s="23"/>
      <c r="I335" s="20"/>
      <c r="J335" s="24">
        <f>SUBTOTAL(9,J334:J334)</f>
        <v>1340.39</v>
      </c>
      <c r="K335" s="23">
        <f>SUBTOTAL(9,K334:K334)</f>
        <v>40.209999999999809</v>
      </c>
      <c r="L335" s="25" t="s">
        <v>162</v>
      </c>
    </row>
    <row r="336" spans="1:12" hidden="1" outlineLevel="3" x14ac:dyDescent="0.25">
      <c r="A336" s="20" t="s">
        <v>131</v>
      </c>
      <c r="B336" s="20" t="s">
        <v>403</v>
      </c>
      <c r="C336" s="20" t="s">
        <v>137</v>
      </c>
      <c r="D336" s="20" t="s">
        <v>404</v>
      </c>
      <c r="E336" s="20">
        <v>177916</v>
      </c>
      <c r="F336" s="21">
        <v>45778</v>
      </c>
      <c r="G336" s="22">
        <v>1542.83</v>
      </c>
      <c r="H336" s="23">
        <f>G336</f>
        <v>1542.83</v>
      </c>
      <c r="I336" s="20"/>
      <c r="J336" s="24">
        <v>1497.89</v>
      </c>
      <c r="K336" s="23">
        <f>H336-J336</f>
        <v>44.939999999999827</v>
      </c>
      <c r="L336" s="25" t="s">
        <v>162</v>
      </c>
    </row>
    <row r="337" spans="1:12" outlineLevel="2" collapsed="1" x14ac:dyDescent="0.25">
      <c r="A337" s="20"/>
      <c r="B337" s="26" t="s">
        <v>405</v>
      </c>
      <c r="C337" s="20"/>
      <c r="D337" s="20"/>
      <c r="E337" s="20"/>
      <c r="F337" s="21"/>
      <c r="G337" s="22">
        <f>SUBTOTAL(9,G336:G336)</f>
        <v>1542.83</v>
      </c>
      <c r="H337" s="23"/>
      <c r="I337" s="20"/>
      <c r="J337" s="24">
        <f>SUBTOTAL(9,J336:J336)</f>
        <v>1497.89</v>
      </c>
      <c r="K337" s="23">
        <f>SUBTOTAL(9,K336:K336)</f>
        <v>44.939999999999827</v>
      </c>
      <c r="L337" s="25" t="s">
        <v>162</v>
      </c>
    </row>
    <row r="338" spans="1:12" hidden="1" outlineLevel="3" x14ac:dyDescent="0.25">
      <c r="A338" s="14" t="s">
        <v>131</v>
      </c>
      <c r="B338" s="14" t="s">
        <v>406</v>
      </c>
      <c r="C338" s="14" t="s">
        <v>143</v>
      </c>
      <c r="D338" s="14" t="s">
        <v>247</v>
      </c>
      <c r="E338" s="14">
        <v>177914</v>
      </c>
      <c r="F338" s="15">
        <v>45778</v>
      </c>
      <c r="G338" s="16">
        <v>330.72</v>
      </c>
      <c r="H338" s="17">
        <f>G338</f>
        <v>330.72</v>
      </c>
      <c r="I338" s="14"/>
      <c r="J338" s="18">
        <v>330.72</v>
      </c>
      <c r="K338" s="17">
        <f>H338-J338</f>
        <v>0</v>
      </c>
      <c r="L338" s="12"/>
    </row>
    <row r="339" spans="1:12" hidden="1" outlineLevel="3" x14ac:dyDescent="0.25">
      <c r="A339" s="14" t="s">
        <v>131</v>
      </c>
      <c r="B339" s="14" t="s">
        <v>406</v>
      </c>
      <c r="C339" s="14" t="s">
        <v>133</v>
      </c>
      <c r="D339" s="14" t="s">
        <v>133</v>
      </c>
      <c r="E339" s="14">
        <v>177914</v>
      </c>
      <c r="F339" s="15">
        <v>45778</v>
      </c>
      <c r="G339" s="16">
        <v>712.12800000000004</v>
      </c>
      <c r="H339" s="17">
        <f>G339</f>
        <v>712.12800000000004</v>
      </c>
      <c r="I339" s="14"/>
      <c r="J339" s="18">
        <v>648.11519999999996</v>
      </c>
      <c r="K339" s="17">
        <f>H339-J339</f>
        <v>64.012800000000084</v>
      </c>
      <c r="L339" s="12"/>
    </row>
    <row r="340" spans="1:12" hidden="1" outlineLevel="3" x14ac:dyDescent="0.25">
      <c r="A340" s="14" t="s">
        <v>131</v>
      </c>
      <c r="B340" s="14" t="s">
        <v>406</v>
      </c>
      <c r="C340" s="14" t="s">
        <v>136</v>
      </c>
      <c r="D340" s="14" t="s">
        <v>136</v>
      </c>
      <c r="E340" s="14">
        <v>177914</v>
      </c>
      <c r="F340" s="15">
        <v>45778</v>
      </c>
      <c r="G340" s="16">
        <v>1278.9000000000001</v>
      </c>
      <c r="H340" s="17">
        <f>G340</f>
        <v>1278.9000000000001</v>
      </c>
      <c r="I340" s="14"/>
      <c r="J340" s="18">
        <v>1286.26</v>
      </c>
      <c r="K340" s="17">
        <f>H340-J340</f>
        <v>-7.3599999999999</v>
      </c>
      <c r="L340" s="12"/>
    </row>
    <row r="341" spans="1:12" hidden="1" outlineLevel="3" x14ac:dyDescent="0.25">
      <c r="A341" s="20" t="s">
        <v>131</v>
      </c>
      <c r="B341" s="20" t="s">
        <v>406</v>
      </c>
      <c r="C341" s="20" t="s">
        <v>137</v>
      </c>
      <c r="D341" s="20" t="s">
        <v>407</v>
      </c>
      <c r="E341" s="20">
        <v>177914</v>
      </c>
      <c r="F341" s="21">
        <v>45778</v>
      </c>
      <c r="G341" s="22">
        <v>1380.6020000000001</v>
      </c>
      <c r="H341" s="23">
        <f>G341</f>
        <v>1380.6020000000001</v>
      </c>
      <c r="I341" s="20"/>
      <c r="J341" s="24">
        <v>1340.3948</v>
      </c>
      <c r="K341" s="23">
        <f>H341-J341</f>
        <v>40.207200000000057</v>
      </c>
      <c r="L341" s="25" t="s">
        <v>162</v>
      </c>
    </row>
    <row r="342" spans="1:12" outlineLevel="2" collapsed="1" x14ac:dyDescent="0.25">
      <c r="A342" s="20"/>
      <c r="B342" s="26" t="s">
        <v>408</v>
      </c>
      <c r="C342" s="20"/>
      <c r="D342" s="20"/>
      <c r="E342" s="20"/>
      <c r="F342" s="21"/>
      <c r="G342" s="22">
        <f>SUBTOTAL(9,G338:G341)</f>
        <v>3702.3500000000004</v>
      </c>
      <c r="H342" s="23"/>
      <c r="I342" s="20"/>
      <c r="J342" s="24">
        <f>SUBTOTAL(9,J338:J341)</f>
        <v>3605.49</v>
      </c>
      <c r="K342" s="23">
        <f>SUBTOTAL(9,K338:K341)</f>
        <v>96.860000000000241</v>
      </c>
      <c r="L342" s="25" t="s">
        <v>162</v>
      </c>
    </row>
    <row r="343" spans="1:12" hidden="1" outlineLevel="3" x14ac:dyDescent="0.25">
      <c r="A343" s="20" t="s">
        <v>131</v>
      </c>
      <c r="B343" s="20" t="s">
        <v>409</v>
      </c>
      <c r="C343" s="20" t="s">
        <v>137</v>
      </c>
      <c r="D343" s="20" t="s">
        <v>410</v>
      </c>
      <c r="E343" s="20">
        <v>177918</v>
      </c>
      <c r="F343" s="21">
        <v>45778</v>
      </c>
      <c r="G343" s="22">
        <v>1380.6</v>
      </c>
      <c r="H343" s="23">
        <f>G343</f>
        <v>1380.6</v>
      </c>
      <c r="I343" s="20"/>
      <c r="J343" s="24">
        <v>1340.39</v>
      </c>
      <c r="K343" s="23">
        <f>H343-J343</f>
        <v>40.209999999999809</v>
      </c>
      <c r="L343" s="25" t="s">
        <v>162</v>
      </c>
    </row>
    <row r="344" spans="1:12" outlineLevel="2" collapsed="1" x14ac:dyDescent="0.25">
      <c r="A344" s="20"/>
      <c r="B344" s="26" t="s">
        <v>411</v>
      </c>
      <c r="C344" s="20"/>
      <c r="D344" s="20"/>
      <c r="E344" s="20"/>
      <c r="F344" s="21"/>
      <c r="G344" s="22">
        <f>SUBTOTAL(9,G343:G343)</f>
        <v>1380.6</v>
      </c>
      <c r="H344" s="23"/>
      <c r="I344" s="20"/>
      <c r="J344" s="24">
        <f>SUBTOTAL(9,J343:J343)</f>
        <v>1340.39</v>
      </c>
      <c r="K344" s="23">
        <f>SUBTOTAL(9,K343:K343)</f>
        <v>40.209999999999809</v>
      </c>
      <c r="L344" s="25" t="s">
        <v>162</v>
      </c>
    </row>
    <row r="345" spans="1:12" hidden="1" outlineLevel="3" x14ac:dyDescent="0.25">
      <c r="A345" s="14" t="s">
        <v>131</v>
      </c>
      <c r="B345" s="14" t="s">
        <v>412</v>
      </c>
      <c r="C345" s="14" t="s">
        <v>133</v>
      </c>
      <c r="D345" s="14" t="s">
        <v>133</v>
      </c>
      <c r="E345" s="14">
        <v>177725</v>
      </c>
      <c r="F345" s="15">
        <v>45778</v>
      </c>
      <c r="G345" s="16">
        <v>438.30360000000002</v>
      </c>
      <c r="H345" s="17">
        <f>G345</f>
        <v>438.30360000000002</v>
      </c>
      <c r="I345" s="14"/>
      <c r="J345" s="18">
        <v>360</v>
      </c>
      <c r="K345" s="17">
        <f>H345-J345</f>
        <v>78.303600000000017</v>
      </c>
      <c r="L345" s="12"/>
    </row>
    <row r="346" spans="1:12" hidden="1" outlineLevel="3" x14ac:dyDescent="0.25">
      <c r="A346" s="14" t="s">
        <v>131</v>
      </c>
      <c r="B346" s="14" t="s">
        <v>412</v>
      </c>
      <c r="C346" s="14" t="s">
        <v>136</v>
      </c>
      <c r="D346" s="14" t="s">
        <v>136</v>
      </c>
      <c r="E346" s="14">
        <v>177725</v>
      </c>
      <c r="F346" s="15">
        <v>45778</v>
      </c>
      <c r="G346" s="16">
        <v>2445</v>
      </c>
      <c r="H346" s="17">
        <f>G346</f>
        <v>2445</v>
      </c>
      <c r="I346" s="14"/>
      <c r="J346" s="18">
        <v>2390</v>
      </c>
      <c r="K346" s="17">
        <f>H346-J346</f>
        <v>55</v>
      </c>
      <c r="L346" s="12"/>
    </row>
    <row r="347" spans="1:12" hidden="1" outlineLevel="3" x14ac:dyDescent="0.25">
      <c r="A347" s="14" t="s">
        <v>131</v>
      </c>
      <c r="B347" s="14" t="s">
        <v>412</v>
      </c>
      <c r="C347" s="14" t="s">
        <v>137</v>
      </c>
      <c r="D347" s="14" t="s">
        <v>137</v>
      </c>
      <c r="E347" s="14">
        <v>177725</v>
      </c>
      <c r="F347" s="15">
        <v>45778</v>
      </c>
      <c r="G347" s="16">
        <v>5575</v>
      </c>
      <c r="H347" s="17">
        <f>G347</f>
        <v>5575</v>
      </c>
      <c r="I347" s="14"/>
      <c r="J347" s="18">
        <v>5582</v>
      </c>
      <c r="K347" s="17">
        <f>H347-J347</f>
        <v>-7</v>
      </c>
      <c r="L347" s="12"/>
    </row>
    <row r="348" spans="1:12" outlineLevel="2" collapsed="1" x14ac:dyDescent="0.25">
      <c r="A348" s="14"/>
      <c r="B348" s="8" t="s">
        <v>413</v>
      </c>
      <c r="C348" s="14"/>
      <c r="D348" s="14"/>
      <c r="E348" s="14"/>
      <c r="F348" s="15"/>
      <c r="G348" s="16">
        <f>SUBTOTAL(9,G345:G347)</f>
        <v>8458.3035999999993</v>
      </c>
      <c r="H348" s="17"/>
      <c r="I348" s="14"/>
      <c r="J348" s="18">
        <f>SUBTOTAL(9,J345:J347)</f>
        <v>8332</v>
      </c>
      <c r="K348" s="17">
        <f>SUBTOTAL(9,K345:K347)</f>
        <v>126.30360000000002</v>
      </c>
      <c r="L348" s="12"/>
    </row>
    <row r="349" spans="1:12" hidden="1" outlineLevel="3" x14ac:dyDescent="0.25">
      <c r="A349" s="14" t="s">
        <v>131</v>
      </c>
      <c r="B349" s="14" t="s">
        <v>414</v>
      </c>
      <c r="C349" s="14" t="s">
        <v>143</v>
      </c>
      <c r="D349" s="14" t="s">
        <v>415</v>
      </c>
      <c r="E349" s="14">
        <v>177652</v>
      </c>
      <c r="F349" s="15">
        <v>45778</v>
      </c>
      <c r="G349" s="16">
        <v>3191.2</v>
      </c>
      <c r="H349" s="17">
        <f>G349</f>
        <v>3191.2</v>
      </c>
      <c r="I349" s="14"/>
      <c r="J349" s="18">
        <v>3191.2</v>
      </c>
      <c r="K349" s="17">
        <f>H349-J349</f>
        <v>0</v>
      </c>
      <c r="L349" s="12"/>
    </row>
    <row r="350" spans="1:12" hidden="1" outlineLevel="3" x14ac:dyDescent="0.25">
      <c r="A350" s="14" t="s">
        <v>131</v>
      </c>
      <c r="B350" s="14" t="s">
        <v>414</v>
      </c>
      <c r="C350" s="14" t="s">
        <v>133</v>
      </c>
      <c r="D350" s="14" t="s">
        <v>133</v>
      </c>
      <c r="E350" s="14">
        <v>177652</v>
      </c>
      <c r="F350" s="15">
        <v>45778</v>
      </c>
      <c r="G350" s="16">
        <v>846.53899999999999</v>
      </c>
      <c r="H350" s="17">
        <f>G350</f>
        <v>846.53899999999999</v>
      </c>
      <c r="I350" s="14"/>
      <c r="J350" s="18">
        <v>810.8886</v>
      </c>
      <c r="K350" s="17">
        <f>H350-J350</f>
        <v>35.650399999999991</v>
      </c>
      <c r="L350" s="12"/>
    </row>
    <row r="351" spans="1:12" hidden="1" outlineLevel="3" x14ac:dyDescent="0.25">
      <c r="A351" s="14" t="s">
        <v>131</v>
      </c>
      <c r="B351" s="14" t="s">
        <v>414</v>
      </c>
      <c r="C351" s="14" t="s">
        <v>136</v>
      </c>
      <c r="D351" s="14" t="s">
        <v>136</v>
      </c>
      <c r="E351" s="14">
        <v>177652</v>
      </c>
      <c r="F351" s="15">
        <v>45778</v>
      </c>
      <c r="G351" s="16">
        <v>1074.4100000000001</v>
      </c>
      <c r="H351" s="17">
        <f>G351</f>
        <v>1074.4100000000001</v>
      </c>
      <c r="I351" s="14"/>
      <c r="J351" s="18">
        <v>591.41</v>
      </c>
      <c r="K351" s="17">
        <f>H351-J351</f>
        <v>483.00000000000011</v>
      </c>
      <c r="L351" s="12" t="s">
        <v>416</v>
      </c>
    </row>
    <row r="352" spans="1:12" hidden="1" outlineLevel="3" x14ac:dyDescent="0.25">
      <c r="A352" s="14" t="s">
        <v>131</v>
      </c>
      <c r="B352" s="14" t="s">
        <v>414</v>
      </c>
      <c r="C352" s="14" t="s">
        <v>137</v>
      </c>
      <c r="D352" s="14" t="s">
        <v>417</v>
      </c>
      <c r="E352" s="14">
        <v>177652</v>
      </c>
      <c r="F352" s="15">
        <v>45778</v>
      </c>
      <c r="G352" s="16">
        <v>2792.0909999999999</v>
      </c>
      <c r="H352" s="17">
        <f>G352</f>
        <v>2792.0909999999999</v>
      </c>
      <c r="I352" s="14"/>
      <c r="J352" s="18">
        <v>2792.0913999999998</v>
      </c>
      <c r="K352" s="17">
        <f>H352-J352</f>
        <v>-3.9999999989959178E-4</v>
      </c>
      <c r="L352" s="12"/>
    </row>
    <row r="353" spans="1:12" outlineLevel="2" collapsed="1" x14ac:dyDescent="0.25">
      <c r="A353" s="14"/>
      <c r="B353" s="8" t="s">
        <v>418</v>
      </c>
      <c r="C353" s="14"/>
      <c r="D353" s="14"/>
      <c r="E353" s="14"/>
      <c r="F353" s="15"/>
      <c r="G353" s="16">
        <f>SUBTOTAL(9,G349:G352)</f>
        <v>7904.24</v>
      </c>
      <c r="H353" s="17"/>
      <c r="I353" s="14"/>
      <c r="J353" s="18">
        <f>SUBTOTAL(9,J349:J352)</f>
        <v>7385.59</v>
      </c>
      <c r="K353" s="17">
        <f>SUBTOTAL(9,K349:K352)</f>
        <v>518.6500000000002</v>
      </c>
      <c r="L353" s="12" t="s">
        <v>416</v>
      </c>
    </row>
    <row r="354" spans="1:12" hidden="1" outlineLevel="3" x14ac:dyDescent="0.25">
      <c r="A354" s="14" t="s">
        <v>131</v>
      </c>
      <c r="B354" s="14" t="s">
        <v>419</v>
      </c>
      <c r="C354" s="14" t="s">
        <v>140</v>
      </c>
      <c r="D354" s="14" t="s">
        <v>140</v>
      </c>
      <c r="E354" s="14">
        <v>177726</v>
      </c>
      <c r="F354" s="15">
        <v>45778</v>
      </c>
      <c r="G354" s="16">
        <v>700</v>
      </c>
      <c r="H354" s="17">
        <f>G354</f>
        <v>700</v>
      </c>
      <c r="I354" s="14"/>
      <c r="J354" s="18">
        <v>700</v>
      </c>
      <c r="K354" s="17">
        <f>H354-J354</f>
        <v>0</v>
      </c>
      <c r="L354" s="12"/>
    </row>
    <row r="355" spans="1:12" hidden="1" outlineLevel="3" x14ac:dyDescent="0.25">
      <c r="A355" s="14" t="s">
        <v>131</v>
      </c>
      <c r="B355" s="14" t="s">
        <v>419</v>
      </c>
      <c r="C355" s="14" t="s">
        <v>143</v>
      </c>
      <c r="D355" s="14" t="s">
        <v>420</v>
      </c>
      <c r="E355" s="14">
        <v>177726</v>
      </c>
      <c r="F355" s="15">
        <v>45778</v>
      </c>
      <c r="G355" s="16">
        <v>191</v>
      </c>
      <c r="H355" s="17">
        <f>G355</f>
        <v>191</v>
      </c>
      <c r="I355" s="14"/>
      <c r="J355" s="18">
        <v>169</v>
      </c>
      <c r="K355" s="17">
        <f>H355-J355</f>
        <v>22</v>
      </c>
      <c r="L355" s="12"/>
    </row>
    <row r="356" spans="1:12" hidden="1" outlineLevel="3" x14ac:dyDescent="0.25">
      <c r="A356" s="14" t="s">
        <v>131</v>
      </c>
      <c r="B356" s="14" t="s">
        <v>419</v>
      </c>
      <c r="C356" s="14" t="s">
        <v>133</v>
      </c>
      <c r="D356" s="14" t="s">
        <v>133</v>
      </c>
      <c r="E356" s="14">
        <v>177726</v>
      </c>
      <c r="F356" s="15">
        <v>45778</v>
      </c>
      <c r="G356" s="16">
        <v>10</v>
      </c>
      <c r="H356" s="17">
        <f>G356</f>
        <v>10</v>
      </c>
      <c r="I356" s="14"/>
      <c r="J356" s="18">
        <v>10</v>
      </c>
      <c r="K356" s="17">
        <f>H356-J356</f>
        <v>0</v>
      </c>
      <c r="L356" s="12"/>
    </row>
    <row r="357" spans="1:12" hidden="1" outlineLevel="3" x14ac:dyDescent="0.25">
      <c r="A357" s="14" t="s">
        <v>131</v>
      </c>
      <c r="B357" s="14" t="s">
        <v>419</v>
      </c>
      <c r="C357" s="14" t="s">
        <v>136</v>
      </c>
      <c r="D357" s="14" t="s">
        <v>136</v>
      </c>
      <c r="E357" s="14">
        <v>177726</v>
      </c>
      <c r="F357" s="15">
        <v>45778</v>
      </c>
      <c r="G357" s="16">
        <v>292</v>
      </c>
      <c r="H357" s="17">
        <f>G357</f>
        <v>292</v>
      </c>
      <c r="I357" s="14"/>
      <c r="J357" s="18">
        <v>292</v>
      </c>
      <c r="K357" s="17">
        <f>H357-J357</f>
        <v>0</v>
      </c>
      <c r="L357" s="12"/>
    </row>
    <row r="358" spans="1:12" hidden="1" outlineLevel="3" x14ac:dyDescent="0.25">
      <c r="A358" s="14" t="s">
        <v>131</v>
      </c>
      <c r="B358" s="14" t="s">
        <v>419</v>
      </c>
      <c r="C358" s="14" t="s">
        <v>137</v>
      </c>
      <c r="D358" s="14" t="s">
        <v>137</v>
      </c>
      <c r="E358" s="14">
        <v>177726</v>
      </c>
      <c r="F358" s="15">
        <v>45778</v>
      </c>
      <c r="G358" s="16">
        <v>1949.38</v>
      </c>
      <c r="H358" s="17">
        <f>G358</f>
        <v>1949.38</v>
      </c>
      <c r="I358" s="14"/>
      <c r="J358" s="18">
        <v>1949.38</v>
      </c>
      <c r="K358" s="17">
        <f>H358-J358</f>
        <v>0</v>
      </c>
      <c r="L358" s="12"/>
    </row>
    <row r="359" spans="1:12" outlineLevel="2" collapsed="1" x14ac:dyDescent="0.25">
      <c r="A359" s="14"/>
      <c r="B359" s="8" t="s">
        <v>421</v>
      </c>
      <c r="C359" s="14"/>
      <c r="D359" s="14"/>
      <c r="E359" s="14"/>
      <c r="F359" s="15"/>
      <c r="G359" s="16">
        <f>SUBTOTAL(9,G354:G358)</f>
        <v>3142.38</v>
      </c>
      <c r="H359" s="17"/>
      <c r="I359" s="14"/>
      <c r="J359" s="18">
        <f>SUBTOTAL(9,J354:J358)</f>
        <v>3120.38</v>
      </c>
      <c r="K359" s="17">
        <f>SUBTOTAL(9,K354:K358)</f>
        <v>22</v>
      </c>
      <c r="L359" s="12"/>
    </row>
    <row r="360" spans="1:12" hidden="1" outlineLevel="3" x14ac:dyDescent="0.25">
      <c r="A360" s="14" t="s">
        <v>131</v>
      </c>
      <c r="B360" s="14" t="s">
        <v>422</v>
      </c>
      <c r="C360" s="14" t="s">
        <v>140</v>
      </c>
      <c r="D360" s="14" t="s">
        <v>140</v>
      </c>
      <c r="E360" s="14">
        <v>177457</v>
      </c>
      <c r="F360" s="15">
        <v>45762</v>
      </c>
      <c r="G360" s="16">
        <v>350</v>
      </c>
      <c r="H360" s="17">
        <f>G360</f>
        <v>350</v>
      </c>
      <c r="I360" s="14"/>
      <c r="J360" s="18">
        <v>350</v>
      </c>
      <c r="K360" s="17">
        <f>H360-J360</f>
        <v>0</v>
      </c>
      <c r="L360" s="12"/>
    </row>
    <row r="361" spans="1:12" hidden="1" outlineLevel="3" x14ac:dyDescent="0.25">
      <c r="A361" s="14" t="s">
        <v>131</v>
      </c>
      <c r="B361" s="14" t="s">
        <v>422</v>
      </c>
      <c r="C361" s="14" t="s">
        <v>133</v>
      </c>
      <c r="D361" s="14" t="s">
        <v>133</v>
      </c>
      <c r="E361" s="14">
        <v>177457</v>
      </c>
      <c r="F361" s="15">
        <v>45762</v>
      </c>
      <c r="G361" s="16">
        <v>738.25</v>
      </c>
      <c r="H361" s="17">
        <f>G361</f>
        <v>738.25</v>
      </c>
      <c r="I361" s="14"/>
      <c r="J361" s="18">
        <v>738.25</v>
      </c>
      <c r="K361" s="17">
        <f>H361-J361</f>
        <v>0</v>
      </c>
      <c r="L361" s="12"/>
    </row>
    <row r="362" spans="1:12" hidden="1" outlineLevel="3" x14ac:dyDescent="0.25">
      <c r="A362" s="14" t="s">
        <v>131</v>
      </c>
      <c r="B362" s="14" t="s">
        <v>422</v>
      </c>
      <c r="C362" s="14" t="s">
        <v>136</v>
      </c>
      <c r="D362" s="14" t="s">
        <v>136</v>
      </c>
      <c r="E362" s="14">
        <v>177457</v>
      </c>
      <c r="F362" s="15">
        <v>45762</v>
      </c>
      <c r="G362" s="16">
        <v>359.1</v>
      </c>
      <c r="H362" s="17">
        <f>G362</f>
        <v>359.1</v>
      </c>
      <c r="I362" s="14"/>
      <c r="J362" s="18">
        <v>359.1</v>
      </c>
      <c r="K362" s="17">
        <f>H362-J362</f>
        <v>0</v>
      </c>
      <c r="L362" s="12"/>
    </row>
    <row r="363" spans="1:12" outlineLevel="2" collapsed="1" x14ac:dyDescent="0.25">
      <c r="A363" s="14"/>
      <c r="B363" s="8" t="s">
        <v>423</v>
      </c>
      <c r="C363" s="14"/>
      <c r="D363" s="14"/>
      <c r="E363" s="14"/>
      <c r="F363" s="15"/>
      <c r="G363" s="16">
        <f>SUBTOTAL(9,G360:G362)</f>
        <v>1447.35</v>
      </c>
      <c r="H363" s="17"/>
      <c r="I363" s="14"/>
      <c r="J363" s="18">
        <f>SUBTOTAL(9,J360:J362)</f>
        <v>1447.35</v>
      </c>
      <c r="K363" s="17">
        <f>SUBTOTAL(9,K360:K362)</f>
        <v>0</v>
      </c>
      <c r="L363" s="12"/>
    </row>
    <row r="364" spans="1:12" hidden="1" outlineLevel="3" x14ac:dyDescent="0.25">
      <c r="A364" s="14" t="s">
        <v>131</v>
      </c>
      <c r="B364" s="14" t="s">
        <v>424</v>
      </c>
      <c r="C364" s="14" t="s">
        <v>143</v>
      </c>
      <c r="D364" s="14" t="s">
        <v>425</v>
      </c>
      <c r="E364" s="14">
        <v>177727</v>
      </c>
      <c r="F364" s="15">
        <v>45778</v>
      </c>
      <c r="G364" s="16">
        <v>638.4</v>
      </c>
      <c r="H364" s="17">
        <f>G364</f>
        <v>638.4</v>
      </c>
      <c r="I364" s="14"/>
      <c r="J364" s="18">
        <v>388.8</v>
      </c>
      <c r="K364" s="17">
        <f>H364-J364</f>
        <v>249.59999999999997</v>
      </c>
      <c r="L364" s="12" t="s">
        <v>426</v>
      </c>
    </row>
    <row r="365" spans="1:12" hidden="1" outlineLevel="3" x14ac:dyDescent="0.25">
      <c r="A365" s="14" t="s">
        <v>131</v>
      </c>
      <c r="B365" s="14" t="s">
        <v>424</v>
      </c>
      <c r="C365" s="14" t="s">
        <v>133</v>
      </c>
      <c r="D365" s="14" t="s">
        <v>133</v>
      </c>
      <c r="E365" s="14">
        <v>177727</v>
      </c>
      <c r="F365" s="15">
        <v>45778</v>
      </c>
      <c r="G365" s="16">
        <v>215.04079999999999</v>
      </c>
      <c r="H365" s="17">
        <f>G365</f>
        <v>215.04079999999999</v>
      </c>
      <c r="I365" s="14"/>
      <c r="J365" s="18">
        <v>213.5522</v>
      </c>
      <c r="K365" s="17">
        <f>H365-J365</f>
        <v>1.488599999999991</v>
      </c>
      <c r="L365" s="12"/>
    </row>
    <row r="366" spans="1:12" hidden="1" outlineLevel="3" x14ac:dyDescent="0.25">
      <c r="A366" s="14" t="s">
        <v>131</v>
      </c>
      <c r="B366" s="14" t="s">
        <v>424</v>
      </c>
      <c r="C366" s="14" t="s">
        <v>136</v>
      </c>
      <c r="D366" s="14" t="s">
        <v>136</v>
      </c>
      <c r="E366" s="14">
        <v>177727</v>
      </c>
      <c r="F366" s="15">
        <v>45778</v>
      </c>
      <c r="G366" s="16">
        <v>1225</v>
      </c>
      <c r="H366" s="17">
        <f>G366</f>
        <v>1225</v>
      </c>
      <c r="I366" s="14"/>
      <c r="J366" s="18">
        <v>420</v>
      </c>
      <c r="K366" s="17">
        <f>H366-J366</f>
        <v>805</v>
      </c>
      <c r="L366" s="12" t="s">
        <v>135</v>
      </c>
    </row>
    <row r="367" spans="1:12" hidden="1" outlineLevel="3" x14ac:dyDescent="0.25">
      <c r="A367" s="14" t="s">
        <v>131</v>
      </c>
      <c r="B367" s="14" t="s">
        <v>424</v>
      </c>
      <c r="C367" s="14" t="s">
        <v>137</v>
      </c>
      <c r="D367" s="14" t="s">
        <v>137</v>
      </c>
      <c r="E367" s="14">
        <v>177727</v>
      </c>
      <c r="F367" s="15">
        <v>45778</v>
      </c>
      <c r="G367" s="16">
        <v>3257</v>
      </c>
      <c r="H367" s="17">
        <f>G367</f>
        <v>3257</v>
      </c>
      <c r="I367" s="14"/>
      <c r="J367" s="18">
        <v>3319</v>
      </c>
      <c r="K367" s="17">
        <f>H367-J367</f>
        <v>-62</v>
      </c>
      <c r="L367" s="12"/>
    </row>
    <row r="368" spans="1:12" ht="30" outlineLevel="2" collapsed="1" x14ac:dyDescent="0.25">
      <c r="A368" s="14"/>
      <c r="B368" s="8" t="s">
        <v>427</v>
      </c>
      <c r="C368" s="14"/>
      <c r="D368" s="14"/>
      <c r="E368" s="14"/>
      <c r="F368" s="15"/>
      <c r="G368" s="16">
        <f>SUBTOTAL(9,G364:G367)</f>
        <v>5335.4408000000003</v>
      </c>
      <c r="H368" s="17"/>
      <c r="I368" s="14"/>
      <c r="J368" s="18">
        <f>SUBTOTAL(9,J364:J367)</f>
        <v>4341.3522000000003</v>
      </c>
      <c r="K368" s="17">
        <f>SUBTOTAL(9,K364:K367)</f>
        <v>994.08860000000004</v>
      </c>
      <c r="L368" s="12" t="s">
        <v>428</v>
      </c>
    </row>
    <row r="369" spans="1:12" hidden="1" outlineLevel="3" x14ac:dyDescent="0.25">
      <c r="A369" s="14" t="s">
        <v>131</v>
      </c>
      <c r="B369" s="14" t="s">
        <v>429</v>
      </c>
      <c r="C369" s="14" t="s">
        <v>133</v>
      </c>
      <c r="D369" s="14" t="s">
        <v>133</v>
      </c>
      <c r="E369" s="14">
        <v>177729</v>
      </c>
      <c r="F369" s="15">
        <v>45778</v>
      </c>
      <c r="G369" s="16">
        <v>1185</v>
      </c>
      <c r="H369" s="17">
        <f>G369</f>
        <v>1185</v>
      </c>
      <c r="I369" s="14"/>
      <c r="J369" s="18">
        <v>1185</v>
      </c>
      <c r="K369" s="17">
        <f>H369-J369</f>
        <v>0</v>
      </c>
      <c r="L369" s="12"/>
    </row>
    <row r="370" spans="1:12" hidden="1" outlineLevel="3" x14ac:dyDescent="0.25">
      <c r="A370" s="14" t="s">
        <v>131</v>
      </c>
      <c r="B370" s="14" t="s">
        <v>429</v>
      </c>
      <c r="C370" s="14" t="s">
        <v>137</v>
      </c>
      <c r="D370" s="14" t="s">
        <v>430</v>
      </c>
      <c r="E370" s="14">
        <v>177728</v>
      </c>
      <c r="F370" s="15">
        <v>45778</v>
      </c>
      <c r="G370" s="16">
        <v>12812</v>
      </c>
      <c r="H370" s="17">
        <f>G370</f>
        <v>12812</v>
      </c>
      <c r="I370" s="14"/>
      <c r="J370" s="18">
        <v>12812</v>
      </c>
      <c r="K370" s="17">
        <f>H370-J370</f>
        <v>0</v>
      </c>
      <c r="L370" s="12"/>
    </row>
    <row r="371" spans="1:12" outlineLevel="2" collapsed="1" x14ac:dyDescent="0.25">
      <c r="A371" s="14"/>
      <c r="B371" s="8" t="s">
        <v>431</v>
      </c>
      <c r="C371" s="14"/>
      <c r="D371" s="14"/>
      <c r="E371" s="14"/>
      <c r="F371" s="15"/>
      <c r="G371" s="16">
        <f>SUBTOTAL(9,G369:G370)</f>
        <v>13997</v>
      </c>
      <c r="H371" s="17"/>
      <c r="I371" s="14"/>
      <c r="J371" s="18">
        <f>SUBTOTAL(9,J369:J370)</f>
        <v>13997</v>
      </c>
      <c r="K371" s="17">
        <f>SUBTOTAL(9,K369:K370)</f>
        <v>0</v>
      </c>
      <c r="L371" s="12"/>
    </row>
    <row r="372" spans="1:12" hidden="1" outlineLevel="3" x14ac:dyDescent="0.25">
      <c r="A372" s="14" t="s">
        <v>131</v>
      </c>
      <c r="B372" s="14" t="s">
        <v>432</v>
      </c>
      <c r="C372" s="14" t="s">
        <v>140</v>
      </c>
      <c r="D372" s="14" t="s">
        <v>433</v>
      </c>
      <c r="E372" s="14">
        <v>177458</v>
      </c>
      <c r="F372" s="15">
        <v>45762</v>
      </c>
      <c r="G372" s="16">
        <v>177.125</v>
      </c>
      <c r="H372" s="17">
        <f>G372</f>
        <v>177.125</v>
      </c>
      <c r="I372" s="14"/>
      <c r="J372" s="18">
        <v>177.125</v>
      </c>
      <c r="K372" s="17">
        <f>H372-J372</f>
        <v>0</v>
      </c>
      <c r="L372" s="12"/>
    </row>
    <row r="373" spans="1:12" hidden="1" outlineLevel="3" x14ac:dyDescent="0.25">
      <c r="A373" s="14" t="s">
        <v>131</v>
      </c>
      <c r="B373" s="14" t="s">
        <v>432</v>
      </c>
      <c r="C373" s="14" t="s">
        <v>143</v>
      </c>
      <c r="D373" s="14" t="s">
        <v>434</v>
      </c>
      <c r="E373" s="14">
        <v>177458</v>
      </c>
      <c r="F373" s="15">
        <v>45762</v>
      </c>
      <c r="G373" s="16">
        <v>3322</v>
      </c>
      <c r="H373" s="17">
        <f>G373</f>
        <v>3322</v>
      </c>
      <c r="I373" s="14"/>
      <c r="J373" s="18">
        <v>3322</v>
      </c>
      <c r="K373" s="17">
        <f>H373-J373</f>
        <v>0</v>
      </c>
      <c r="L373" s="12"/>
    </row>
    <row r="374" spans="1:12" hidden="1" outlineLevel="3" x14ac:dyDescent="0.25">
      <c r="A374" s="14" t="s">
        <v>131</v>
      </c>
      <c r="B374" s="14" t="s">
        <v>432</v>
      </c>
      <c r="C374" s="14" t="s">
        <v>133</v>
      </c>
      <c r="D374" s="14" t="s">
        <v>133</v>
      </c>
      <c r="E374" s="14">
        <v>177458</v>
      </c>
      <c r="F374" s="15">
        <v>45762</v>
      </c>
      <c r="G374" s="16">
        <v>771</v>
      </c>
      <c r="H374" s="17">
        <f>G374</f>
        <v>771</v>
      </c>
      <c r="I374" s="14"/>
      <c r="J374" s="18">
        <v>771</v>
      </c>
      <c r="K374" s="17">
        <f>H374-J374</f>
        <v>0</v>
      </c>
      <c r="L374" s="12"/>
    </row>
    <row r="375" spans="1:12" hidden="1" outlineLevel="3" x14ac:dyDescent="0.25">
      <c r="A375" s="14" t="s">
        <v>131</v>
      </c>
      <c r="B375" s="14" t="s">
        <v>432</v>
      </c>
      <c r="C375" s="14" t="s">
        <v>136</v>
      </c>
      <c r="D375" s="14" t="s">
        <v>136</v>
      </c>
      <c r="E375" s="14">
        <v>177458</v>
      </c>
      <c r="F375" s="15">
        <v>45762</v>
      </c>
      <c r="G375" s="16">
        <v>630</v>
      </c>
      <c r="H375" s="17">
        <f>G375</f>
        <v>630</v>
      </c>
      <c r="I375" s="14"/>
      <c r="J375" s="18">
        <v>630</v>
      </c>
      <c r="K375" s="17">
        <f>H375-J375</f>
        <v>0</v>
      </c>
      <c r="L375" s="12"/>
    </row>
    <row r="376" spans="1:12" hidden="1" outlineLevel="3" x14ac:dyDescent="0.25">
      <c r="A376" s="14" t="s">
        <v>131</v>
      </c>
      <c r="B376" s="14" t="s">
        <v>432</v>
      </c>
      <c r="C376" s="14" t="s">
        <v>137</v>
      </c>
      <c r="D376" s="14" t="s">
        <v>137</v>
      </c>
      <c r="E376" s="14">
        <v>177458</v>
      </c>
      <c r="F376" s="15">
        <v>45762</v>
      </c>
      <c r="G376" s="16">
        <v>7951.5050000000001</v>
      </c>
      <c r="H376" s="17">
        <f>G376</f>
        <v>7951.5050000000001</v>
      </c>
      <c r="I376" s="14"/>
      <c r="J376" s="18">
        <v>7951.5050000000001</v>
      </c>
      <c r="K376" s="17">
        <f>H376-J376</f>
        <v>0</v>
      </c>
      <c r="L376" s="12"/>
    </row>
    <row r="377" spans="1:12" outlineLevel="2" collapsed="1" x14ac:dyDescent="0.25">
      <c r="A377" s="14"/>
      <c r="B377" s="8" t="s">
        <v>435</v>
      </c>
      <c r="C377" s="14"/>
      <c r="D377" s="14"/>
      <c r="E377" s="14"/>
      <c r="F377" s="15"/>
      <c r="G377" s="16">
        <f>SUBTOTAL(9,G372:G376)</f>
        <v>12851.630000000001</v>
      </c>
      <c r="H377" s="17"/>
      <c r="I377" s="14"/>
      <c r="J377" s="18">
        <f>SUBTOTAL(9,J372:J376)</f>
        <v>12851.630000000001</v>
      </c>
      <c r="K377" s="17">
        <f>SUBTOTAL(9,K372:K376)</f>
        <v>0</v>
      </c>
      <c r="L377" s="12"/>
    </row>
    <row r="378" spans="1:12" hidden="1" outlineLevel="3" x14ac:dyDescent="0.25">
      <c r="A378" s="14" t="s">
        <v>131</v>
      </c>
      <c r="B378" s="14" t="s">
        <v>436</v>
      </c>
      <c r="C378" s="14" t="s">
        <v>143</v>
      </c>
      <c r="D378" s="14" t="s">
        <v>437</v>
      </c>
      <c r="E378" s="14">
        <v>177731</v>
      </c>
      <c r="F378" s="15">
        <v>45778</v>
      </c>
      <c r="G378" s="16">
        <v>1478.4</v>
      </c>
      <c r="H378" s="17">
        <f>G378</f>
        <v>1478.4</v>
      </c>
      <c r="I378" s="14"/>
      <c r="J378" s="18">
        <v>1478.4</v>
      </c>
      <c r="K378" s="17">
        <f>H378-J378</f>
        <v>0</v>
      </c>
      <c r="L378" s="12"/>
    </row>
    <row r="379" spans="1:12" ht="45" hidden="1" outlineLevel="3" x14ac:dyDescent="0.25">
      <c r="A379" s="14" t="s">
        <v>131</v>
      </c>
      <c r="B379" s="14" t="s">
        <v>436</v>
      </c>
      <c r="C379" s="14" t="s">
        <v>133</v>
      </c>
      <c r="D379" s="14" t="s">
        <v>134</v>
      </c>
      <c r="E379" s="14">
        <v>177730</v>
      </c>
      <c r="F379" s="15">
        <v>45778</v>
      </c>
      <c r="G379" s="16">
        <v>268</v>
      </c>
      <c r="H379" s="17">
        <f>G379</f>
        <v>268</v>
      </c>
      <c r="I379" s="14"/>
      <c r="J379" s="18">
        <v>180</v>
      </c>
      <c r="K379" s="17">
        <f>H379-J379</f>
        <v>88</v>
      </c>
      <c r="L379" s="12" t="s">
        <v>438</v>
      </c>
    </row>
    <row r="380" spans="1:12" ht="45" hidden="1" outlineLevel="3" x14ac:dyDescent="0.25">
      <c r="A380" s="14" t="s">
        <v>131</v>
      </c>
      <c r="B380" s="14" t="s">
        <v>436</v>
      </c>
      <c r="C380" s="14" t="s">
        <v>136</v>
      </c>
      <c r="D380" s="14" t="s">
        <v>155</v>
      </c>
      <c r="E380" s="14">
        <v>177730</v>
      </c>
      <c r="F380" s="15">
        <v>45778</v>
      </c>
      <c r="G380" s="16">
        <v>1766</v>
      </c>
      <c r="H380" s="17">
        <f>G380</f>
        <v>1766</v>
      </c>
      <c r="I380" s="14"/>
      <c r="J380" s="18">
        <v>1285</v>
      </c>
      <c r="K380" s="17">
        <f>H380-J380</f>
        <v>481</v>
      </c>
      <c r="L380" s="12" t="s">
        <v>438</v>
      </c>
    </row>
    <row r="381" spans="1:12" ht="45" hidden="1" outlineLevel="3" x14ac:dyDescent="0.25">
      <c r="A381" s="14" t="s">
        <v>131</v>
      </c>
      <c r="B381" s="14" t="s">
        <v>436</v>
      </c>
      <c r="C381" s="14" t="s">
        <v>137</v>
      </c>
      <c r="D381" s="14" t="s">
        <v>147</v>
      </c>
      <c r="E381" s="14">
        <v>177730</v>
      </c>
      <c r="F381" s="15">
        <v>45778</v>
      </c>
      <c r="G381" s="16">
        <v>4628</v>
      </c>
      <c r="H381" s="17">
        <f>G381</f>
        <v>4628</v>
      </c>
      <c r="I381" s="14"/>
      <c r="J381" s="18">
        <v>3411</v>
      </c>
      <c r="K381" s="17">
        <f>H381-J381</f>
        <v>1217</v>
      </c>
      <c r="L381" s="12" t="s">
        <v>438</v>
      </c>
    </row>
    <row r="382" spans="1:12" ht="45" outlineLevel="2" collapsed="1" x14ac:dyDescent="0.25">
      <c r="A382" s="14"/>
      <c r="B382" s="8" t="s">
        <v>439</v>
      </c>
      <c r="C382" s="14"/>
      <c r="D382" s="14"/>
      <c r="E382" s="14"/>
      <c r="F382" s="15"/>
      <c r="G382" s="16">
        <f>SUBTOTAL(9,G378:G381)</f>
        <v>8140.4</v>
      </c>
      <c r="H382" s="17"/>
      <c r="I382" s="14"/>
      <c r="J382" s="18">
        <f>SUBTOTAL(9,J378:J381)</f>
        <v>6354.4</v>
      </c>
      <c r="K382" s="17">
        <f>SUBTOTAL(9,K378:K381)</f>
        <v>1786</v>
      </c>
      <c r="L382" s="12" t="s">
        <v>438</v>
      </c>
    </row>
    <row r="383" spans="1:12" hidden="1" outlineLevel="3" x14ac:dyDescent="0.25">
      <c r="A383" s="14" t="s">
        <v>131</v>
      </c>
      <c r="B383" s="14" t="s">
        <v>440</v>
      </c>
      <c r="C383" s="14" t="s">
        <v>143</v>
      </c>
      <c r="D383" s="14" t="s">
        <v>425</v>
      </c>
      <c r="E383" s="14">
        <v>177732</v>
      </c>
      <c r="F383" s="15">
        <v>45778</v>
      </c>
      <c r="G383" s="16">
        <v>290.39999999999998</v>
      </c>
      <c r="H383" s="17">
        <f>G383</f>
        <v>290.39999999999998</v>
      </c>
      <c r="I383" s="14"/>
      <c r="J383" s="18">
        <v>290.39999999999998</v>
      </c>
      <c r="K383" s="17">
        <f>H383-J383</f>
        <v>0</v>
      </c>
      <c r="L383" s="12"/>
    </row>
    <row r="384" spans="1:12" outlineLevel="2" collapsed="1" x14ac:dyDescent="0.25">
      <c r="A384" s="14"/>
      <c r="B384" s="8" t="s">
        <v>441</v>
      </c>
      <c r="C384" s="14"/>
      <c r="D384" s="14"/>
      <c r="E384" s="14"/>
      <c r="F384" s="15"/>
      <c r="G384" s="16">
        <f>SUBTOTAL(9,G383:G383)</f>
        <v>290.39999999999998</v>
      </c>
      <c r="H384" s="17"/>
      <c r="I384" s="14"/>
      <c r="J384" s="18">
        <f>SUBTOTAL(9,J383:J383)</f>
        <v>290.39999999999998</v>
      </c>
      <c r="K384" s="17">
        <f>SUBTOTAL(9,K383:K383)</f>
        <v>0</v>
      </c>
      <c r="L384" s="12"/>
    </row>
    <row r="385" spans="1:12" hidden="1" outlineLevel="3" x14ac:dyDescent="0.25">
      <c r="A385" s="14" t="s">
        <v>131</v>
      </c>
      <c r="B385" s="14" t="s">
        <v>442</v>
      </c>
      <c r="C385" s="14" t="s">
        <v>133</v>
      </c>
      <c r="D385" s="14" t="s">
        <v>133</v>
      </c>
      <c r="E385" s="14">
        <v>177459</v>
      </c>
      <c r="F385" s="15">
        <v>45762</v>
      </c>
      <c r="G385" s="16">
        <v>0</v>
      </c>
      <c r="H385" s="17">
        <f>G385</f>
        <v>0</v>
      </c>
      <c r="I385" s="14"/>
      <c r="J385" s="18">
        <v>0</v>
      </c>
      <c r="K385" s="17">
        <f>H385-J385</f>
        <v>0</v>
      </c>
      <c r="L385" s="12"/>
    </row>
    <row r="386" spans="1:12" hidden="1" outlineLevel="3" x14ac:dyDescent="0.25">
      <c r="A386" s="14" t="s">
        <v>131</v>
      </c>
      <c r="B386" s="14" t="s">
        <v>442</v>
      </c>
      <c r="C386" s="14" t="s">
        <v>136</v>
      </c>
      <c r="D386" s="14" t="s">
        <v>136</v>
      </c>
      <c r="E386" s="14">
        <v>177459</v>
      </c>
      <c r="F386" s="15">
        <v>45762</v>
      </c>
      <c r="G386" s="16">
        <v>77</v>
      </c>
      <c r="H386" s="17">
        <f>G386</f>
        <v>77</v>
      </c>
      <c r="I386" s="14"/>
      <c r="J386" s="18">
        <v>84</v>
      </c>
      <c r="K386" s="17">
        <f>H386-J386</f>
        <v>-7</v>
      </c>
      <c r="L386" s="12"/>
    </row>
    <row r="387" spans="1:12" hidden="1" outlineLevel="3" x14ac:dyDescent="0.25">
      <c r="A387" s="14" t="s">
        <v>131</v>
      </c>
      <c r="B387" s="14" t="s">
        <v>442</v>
      </c>
      <c r="C387" s="14" t="s">
        <v>137</v>
      </c>
      <c r="D387" s="14" t="s">
        <v>137</v>
      </c>
      <c r="E387" s="14">
        <v>177459</v>
      </c>
      <c r="F387" s="15">
        <v>45762</v>
      </c>
      <c r="G387" s="16">
        <v>1338.75</v>
      </c>
      <c r="H387" s="17">
        <f>G387</f>
        <v>1338.75</v>
      </c>
      <c r="I387" s="14"/>
      <c r="J387" s="18">
        <v>1338.75</v>
      </c>
      <c r="K387" s="17">
        <f>H387-J387</f>
        <v>0</v>
      </c>
      <c r="L387" s="12"/>
    </row>
    <row r="388" spans="1:12" outlineLevel="2" collapsed="1" x14ac:dyDescent="0.25">
      <c r="A388" s="14"/>
      <c r="B388" s="8" t="s">
        <v>443</v>
      </c>
      <c r="C388" s="14"/>
      <c r="D388" s="14"/>
      <c r="E388" s="14"/>
      <c r="F388" s="15"/>
      <c r="G388" s="16">
        <f>SUBTOTAL(9,G385:G387)</f>
        <v>1415.75</v>
      </c>
      <c r="H388" s="17"/>
      <c r="I388" s="14"/>
      <c r="J388" s="18">
        <f>SUBTOTAL(9,J385:J387)</f>
        <v>1422.75</v>
      </c>
      <c r="K388" s="17">
        <f>SUBTOTAL(9,K385:K387)</f>
        <v>-7</v>
      </c>
      <c r="L388" s="12"/>
    </row>
    <row r="389" spans="1:12" hidden="1" outlineLevel="3" x14ac:dyDescent="0.25">
      <c r="A389" s="14" t="s">
        <v>131</v>
      </c>
      <c r="B389" s="14" t="s">
        <v>444</v>
      </c>
      <c r="C389" s="14" t="s">
        <v>136</v>
      </c>
      <c r="D389" s="14" t="s">
        <v>136</v>
      </c>
      <c r="E389" s="14">
        <v>177734</v>
      </c>
      <c r="F389" s="15">
        <v>45778</v>
      </c>
      <c r="G389" s="16">
        <v>5265.16</v>
      </c>
      <c r="H389" s="17">
        <f>G389</f>
        <v>5265.16</v>
      </c>
      <c r="I389" s="14"/>
      <c r="J389" s="18">
        <v>5249.64</v>
      </c>
      <c r="K389" s="17">
        <f>H389-J389</f>
        <v>15.519999999999527</v>
      </c>
      <c r="L389" s="12"/>
    </row>
    <row r="390" spans="1:12" hidden="1" outlineLevel="3" x14ac:dyDescent="0.25">
      <c r="A390" s="14" t="s">
        <v>131</v>
      </c>
      <c r="B390" s="14" t="s">
        <v>444</v>
      </c>
      <c r="C390" s="14" t="s">
        <v>137</v>
      </c>
      <c r="D390" s="14" t="s">
        <v>445</v>
      </c>
      <c r="E390" s="14">
        <v>177733</v>
      </c>
      <c r="F390" s="15">
        <v>45778</v>
      </c>
      <c r="G390" s="16">
        <v>3125.14</v>
      </c>
      <c r="H390" s="17">
        <f>G390</f>
        <v>3125.14</v>
      </c>
      <c r="I390" s="14"/>
      <c r="J390" s="18">
        <v>3125.14</v>
      </c>
      <c r="K390" s="17">
        <f>H390-J390</f>
        <v>0</v>
      </c>
      <c r="L390" s="12"/>
    </row>
    <row r="391" spans="1:12" outlineLevel="2" collapsed="1" x14ac:dyDescent="0.25">
      <c r="A391" s="14"/>
      <c r="B391" s="8" t="s">
        <v>446</v>
      </c>
      <c r="C391" s="14"/>
      <c r="D391" s="14"/>
      <c r="E391" s="14"/>
      <c r="F391" s="15"/>
      <c r="G391" s="16">
        <f>SUBTOTAL(9,G389:G390)</f>
        <v>8390.2999999999993</v>
      </c>
      <c r="H391" s="17"/>
      <c r="I391" s="14"/>
      <c r="J391" s="18">
        <f>SUBTOTAL(9,J389:J390)</f>
        <v>8374.7800000000007</v>
      </c>
      <c r="K391" s="17">
        <f>SUBTOTAL(9,K389:K390)</f>
        <v>15.519999999999527</v>
      </c>
      <c r="L391" s="12"/>
    </row>
    <row r="392" spans="1:12" hidden="1" outlineLevel="3" x14ac:dyDescent="0.25">
      <c r="A392" s="14" t="s">
        <v>131</v>
      </c>
      <c r="B392" s="14" t="s">
        <v>447</v>
      </c>
      <c r="C392" s="14" t="s">
        <v>140</v>
      </c>
      <c r="D392" s="14" t="s">
        <v>140</v>
      </c>
      <c r="E392" s="14">
        <v>177653</v>
      </c>
      <c r="F392" s="15">
        <v>45778</v>
      </c>
      <c r="G392" s="16">
        <v>586</v>
      </c>
      <c r="H392" s="17">
        <f>G392</f>
        <v>586</v>
      </c>
      <c r="I392" s="14"/>
      <c r="J392" s="18">
        <v>586</v>
      </c>
      <c r="K392" s="17">
        <f>H392-J392</f>
        <v>0</v>
      </c>
      <c r="L392" s="12"/>
    </row>
    <row r="393" spans="1:12" hidden="1" outlineLevel="3" x14ac:dyDescent="0.25">
      <c r="A393" s="14" t="s">
        <v>131</v>
      </c>
      <c r="B393" s="14" t="s">
        <v>447</v>
      </c>
      <c r="C393" s="14" t="s">
        <v>143</v>
      </c>
      <c r="D393" s="14" t="s">
        <v>448</v>
      </c>
      <c r="E393" s="14">
        <v>177653</v>
      </c>
      <c r="F393" s="15">
        <v>45778</v>
      </c>
      <c r="G393" s="16">
        <v>130.5</v>
      </c>
      <c r="H393" s="17">
        <f>G393</f>
        <v>130.5</v>
      </c>
      <c r="I393" s="14"/>
      <c r="J393" s="18">
        <v>130.5</v>
      </c>
      <c r="K393" s="17">
        <f>H393-J393</f>
        <v>0</v>
      </c>
      <c r="L393" s="12"/>
    </row>
    <row r="394" spans="1:12" hidden="1" outlineLevel="3" x14ac:dyDescent="0.25">
      <c r="A394" s="14" t="s">
        <v>131</v>
      </c>
      <c r="B394" s="14" t="s">
        <v>447</v>
      </c>
      <c r="C394" s="14" t="s">
        <v>133</v>
      </c>
      <c r="D394" s="14" t="s">
        <v>133</v>
      </c>
      <c r="E394" s="14">
        <v>177653</v>
      </c>
      <c r="F394" s="15">
        <v>45778</v>
      </c>
      <c r="G394" s="16">
        <v>22.5</v>
      </c>
      <c r="H394" s="17">
        <f>G394</f>
        <v>22.5</v>
      </c>
      <c r="I394" s="14"/>
      <c r="J394" s="18">
        <v>37.5</v>
      </c>
      <c r="K394" s="17">
        <f>H394-J394</f>
        <v>-15</v>
      </c>
      <c r="L394" s="12"/>
    </row>
    <row r="395" spans="1:12" hidden="1" outlineLevel="3" x14ac:dyDescent="0.25">
      <c r="A395" s="14" t="s">
        <v>131</v>
      </c>
      <c r="B395" s="14" t="s">
        <v>447</v>
      </c>
      <c r="C395" s="14" t="s">
        <v>136</v>
      </c>
      <c r="D395" s="14" t="s">
        <v>136</v>
      </c>
      <c r="E395" s="14">
        <v>177653</v>
      </c>
      <c r="F395" s="15">
        <v>45778</v>
      </c>
      <c r="G395" s="16">
        <v>518.53</v>
      </c>
      <c r="H395" s="17">
        <f>G395</f>
        <v>518.53</v>
      </c>
      <c r="I395" s="14"/>
      <c r="J395" s="18">
        <v>518.53</v>
      </c>
      <c r="K395" s="17">
        <f>H395-J395</f>
        <v>0</v>
      </c>
      <c r="L395" s="12"/>
    </row>
    <row r="396" spans="1:12" hidden="1" outlineLevel="3" x14ac:dyDescent="0.25">
      <c r="A396" s="14" t="s">
        <v>131</v>
      </c>
      <c r="B396" s="14" t="s">
        <v>447</v>
      </c>
      <c r="C396" s="14" t="s">
        <v>137</v>
      </c>
      <c r="D396" s="14" t="s">
        <v>449</v>
      </c>
      <c r="E396" s="14">
        <v>177653</v>
      </c>
      <c r="F396" s="15">
        <v>45778</v>
      </c>
      <c r="G396" s="16">
        <v>1579.52</v>
      </c>
      <c r="H396" s="17">
        <f>G396</f>
        <v>1579.52</v>
      </c>
      <c r="I396" s="14"/>
      <c r="J396" s="18">
        <v>1579.52</v>
      </c>
      <c r="K396" s="17">
        <f>H396-J396</f>
        <v>0</v>
      </c>
      <c r="L396" s="12"/>
    </row>
    <row r="397" spans="1:12" outlineLevel="2" collapsed="1" x14ac:dyDescent="0.25">
      <c r="A397" s="14"/>
      <c r="B397" s="8" t="s">
        <v>450</v>
      </c>
      <c r="C397" s="14"/>
      <c r="D397" s="14"/>
      <c r="E397" s="14"/>
      <c r="F397" s="15"/>
      <c r="G397" s="16">
        <f>SUBTOTAL(9,G392:G396)</f>
        <v>2837.05</v>
      </c>
      <c r="H397" s="17"/>
      <c r="I397" s="14"/>
      <c r="J397" s="18">
        <f>SUBTOTAL(9,J392:J396)</f>
        <v>2852.05</v>
      </c>
      <c r="K397" s="17">
        <f>SUBTOTAL(9,K392:K396)</f>
        <v>-15</v>
      </c>
      <c r="L397" s="12"/>
    </row>
    <row r="398" spans="1:12" hidden="1" outlineLevel="3" x14ac:dyDescent="0.25">
      <c r="A398" s="14" t="s">
        <v>131</v>
      </c>
      <c r="B398" s="14" t="s">
        <v>451</v>
      </c>
      <c r="C398" s="14" t="s">
        <v>143</v>
      </c>
      <c r="D398" s="14" t="s">
        <v>452</v>
      </c>
      <c r="E398" s="14">
        <v>177736</v>
      </c>
      <c r="F398" s="15">
        <v>45778</v>
      </c>
      <c r="G398" s="16">
        <v>770</v>
      </c>
      <c r="H398" s="17">
        <f>G398</f>
        <v>770</v>
      </c>
      <c r="I398" s="14"/>
      <c r="J398" s="18">
        <v>770</v>
      </c>
      <c r="K398" s="17">
        <f>H398-J398</f>
        <v>0</v>
      </c>
      <c r="L398" s="12"/>
    </row>
    <row r="399" spans="1:12" hidden="1" outlineLevel="3" x14ac:dyDescent="0.25">
      <c r="A399" s="14" t="s">
        <v>131</v>
      </c>
      <c r="B399" s="14" t="s">
        <v>451</v>
      </c>
      <c r="C399" s="14" t="s">
        <v>133</v>
      </c>
      <c r="D399" s="14" t="s">
        <v>133</v>
      </c>
      <c r="E399" s="14">
        <v>177735</v>
      </c>
      <c r="F399" s="15">
        <v>45778</v>
      </c>
      <c r="G399" s="16">
        <v>330.928</v>
      </c>
      <c r="H399" s="17">
        <f>G399</f>
        <v>330.928</v>
      </c>
      <c r="I399" s="14"/>
      <c r="J399" s="18">
        <v>335.142</v>
      </c>
      <c r="K399" s="17">
        <f>H399-J399</f>
        <v>-4.2139999999999986</v>
      </c>
      <c r="L399" s="12"/>
    </row>
    <row r="400" spans="1:12" hidden="1" outlineLevel="3" x14ac:dyDescent="0.25">
      <c r="A400" s="14" t="s">
        <v>131</v>
      </c>
      <c r="B400" s="14" t="s">
        <v>451</v>
      </c>
      <c r="C400" s="14" t="s">
        <v>136</v>
      </c>
      <c r="D400" s="14" t="s">
        <v>136</v>
      </c>
      <c r="E400" s="14">
        <v>177735</v>
      </c>
      <c r="F400" s="15">
        <v>45778</v>
      </c>
      <c r="G400" s="16">
        <v>988</v>
      </c>
      <c r="H400" s="17">
        <f>G400</f>
        <v>988</v>
      </c>
      <c r="I400" s="14"/>
      <c r="J400" s="18">
        <v>972</v>
      </c>
      <c r="K400" s="17">
        <f>H400-J400</f>
        <v>16</v>
      </c>
      <c r="L400" s="12"/>
    </row>
    <row r="401" spans="1:12" hidden="1" outlineLevel="3" x14ac:dyDescent="0.25">
      <c r="A401" s="14" t="s">
        <v>131</v>
      </c>
      <c r="B401" s="14" t="s">
        <v>451</v>
      </c>
      <c r="C401" s="14" t="s">
        <v>137</v>
      </c>
      <c r="D401" s="14" t="s">
        <v>137</v>
      </c>
      <c r="E401" s="14">
        <v>177735</v>
      </c>
      <c r="F401" s="15">
        <v>45778</v>
      </c>
      <c r="G401" s="16">
        <v>1520.002</v>
      </c>
      <c r="H401" s="17">
        <f>G401</f>
        <v>1520.002</v>
      </c>
      <c r="I401" s="14"/>
      <c r="J401" s="18">
        <v>1520</v>
      </c>
      <c r="K401" s="17">
        <f>H401-J401</f>
        <v>1.9999999999527063E-3</v>
      </c>
      <c r="L401" s="12"/>
    </row>
    <row r="402" spans="1:12" outlineLevel="2" collapsed="1" x14ac:dyDescent="0.25">
      <c r="A402" s="14"/>
      <c r="B402" s="8" t="s">
        <v>453</v>
      </c>
      <c r="C402" s="14"/>
      <c r="D402" s="14"/>
      <c r="E402" s="14"/>
      <c r="F402" s="15"/>
      <c r="G402" s="16">
        <f>SUBTOTAL(9,G398:G401)</f>
        <v>3608.93</v>
      </c>
      <c r="H402" s="17"/>
      <c r="I402" s="14"/>
      <c r="J402" s="18">
        <f>SUBTOTAL(9,J398:J401)</f>
        <v>3597.1419999999998</v>
      </c>
      <c r="K402" s="17">
        <f>SUBTOTAL(9,K398:K401)</f>
        <v>11.787999999999954</v>
      </c>
      <c r="L402" s="12"/>
    </row>
    <row r="403" spans="1:12" hidden="1" outlineLevel="3" x14ac:dyDescent="0.25">
      <c r="A403" s="14" t="s">
        <v>131</v>
      </c>
      <c r="B403" s="14" t="s">
        <v>454</v>
      </c>
      <c r="C403" s="14" t="s">
        <v>143</v>
      </c>
      <c r="D403" s="14" t="s">
        <v>247</v>
      </c>
      <c r="E403" s="14">
        <v>177460</v>
      </c>
      <c r="F403" s="15">
        <v>45762</v>
      </c>
      <c r="G403" s="16">
        <v>415.2</v>
      </c>
      <c r="H403" s="17">
        <f>G403</f>
        <v>415.2</v>
      </c>
      <c r="I403" s="14"/>
      <c r="J403" s="18">
        <v>415.2</v>
      </c>
      <c r="K403" s="17">
        <f>H403-J403</f>
        <v>0</v>
      </c>
      <c r="L403" s="12"/>
    </row>
    <row r="404" spans="1:12" hidden="1" outlineLevel="3" x14ac:dyDescent="0.25">
      <c r="A404" s="14" t="s">
        <v>131</v>
      </c>
      <c r="B404" s="14" t="s">
        <v>454</v>
      </c>
      <c r="C404" s="14" t="s">
        <v>133</v>
      </c>
      <c r="D404" s="14" t="s">
        <v>133</v>
      </c>
      <c r="E404" s="14">
        <v>177460</v>
      </c>
      <c r="F404" s="15">
        <v>45762</v>
      </c>
      <c r="G404" s="16">
        <v>60</v>
      </c>
      <c r="H404" s="17">
        <f>G404</f>
        <v>60</v>
      </c>
      <c r="I404" s="14"/>
      <c r="J404" s="18">
        <v>60</v>
      </c>
      <c r="K404" s="17">
        <f>H404-J404</f>
        <v>0</v>
      </c>
      <c r="L404" s="12"/>
    </row>
    <row r="405" spans="1:12" hidden="1" outlineLevel="3" x14ac:dyDescent="0.25">
      <c r="A405" s="14" t="s">
        <v>131</v>
      </c>
      <c r="B405" s="14" t="s">
        <v>454</v>
      </c>
      <c r="C405" s="14" t="s">
        <v>136</v>
      </c>
      <c r="D405" s="14" t="s">
        <v>136</v>
      </c>
      <c r="E405" s="14">
        <v>177460</v>
      </c>
      <c r="F405" s="15">
        <v>45762</v>
      </c>
      <c r="G405" s="16">
        <v>205</v>
      </c>
      <c r="H405" s="17">
        <f>G405</f>
        <v>205</v>
      </c>
      <c r="I405" s="14"/>
      <c r="J405" s="18">
        <v>205</v>
      </c>
      <c r="K405" s="17">
        <f>H405-J405</f>
        <v>0</v>
      </c>
      <c r="L405" s="12"/>
    </row>
    <row r="406" spans="1:12" hidden="1" outlineLevel="3" x14ac:dyDescent="0.25">
      <c r="A406" s="14" t="s">
        <v>131</v>
      </c>
      <c r="B406" s="14" t="s">
        <v>454</v>
      </c>
      <c r="C406" s="14" t="s">
        <v>137</v>
      </c>
      <c r="D406" s="14" t="s">
        <v>455</v>
      </c>
      <c r="E406" s="14">
        <v>177460</v>
      </c>
      <c r="F406" s="15">
        <v>45762</v>
      </c>
      <c r="G406" s="16">
        <v>1064.7</v>
      </c>
      <c r="H406" s="17">
        <f>G406</f>
        <v>1064.7</v>
      </c>
      <c r="I406" s="14"/>
      <c r="J406" s="18">
        <v>1064.7</v>
      </c>
      <c r="K406" s="17">
        <f>H406-J406</f>
        <v>0</v>
      </c>
      <c r="L406" s="12"/>
    </row>
    <row r="407" spans="1:12" hidden="1" outlineLevel="3" x14ac:dyDescent="0.25">
      <c r="A407" s="14" t="s">
        <v>131</v>
      </c>
      <c r="B407" s="14" t="s">
        <v>454</v>
      </c>
      <c r="C407" s="14"/>
      <c r="D407" s="14"/>
      <c r="E407" s="14" t="s">
        <v>456</v>
      </c>
      <c r="F407" s="15">
        <v>45774</v>
      </c>
      <c r="G407" s="27">
        <v>-194.3</v>
      </c>
      <c r="H407" s="27">
        <f>G407</f>
        <v>-194.3</v>
      </c>
      <c r="I407" s="14"/>
      <c r="J407" s="28"/>
      <c r="K407" s="17">
        <f>H407-J407</f>
        <v>-194.3</v>
      </c>
      <c r="L407" s="12" t="s">
        <v>457</v>
      </c>
    </row>
    <row r="408" spans="1:12" outlineLevel="2" collapsed="1" x14ac:dyDescent="0.25">
      <c r="A408" s="14"/>
      <c r="B408" s="8" t="s">
        <v>458</v>
      </c>
      <c r="C408" s="14"/>
      <c r="D408" s="14"/>
      <c r="E408" s="14"/>
      <c r="F408" s="15"/>
      <c r="G408" s="27">
        <f>SUBTOTAL(9,G403:G407)</f>
        <v>1550.6000000000001</v>
      </c>
      <c r="H408" s="27"/>
      <c r="I408" s="14"/>
      <c r="J408" s="28">
        <f>SUBTOTAL(9,J403:J407)</f>
        <v>1744.9</v>
      </c>
      <c r="K408" s="17">
        <f>SUBTOTAL(9,K403:K407)</f>
        <v>-194.3</v>
      </c>
      <c r="L408" s="12" t="s">
        <v>457</v>
      </c>
    </row>
    <row r="409" spans="1:12" hidden="1" outlineLevel="3" x14ac:dyDescent="0.25">
      <c r="A409" s="14" t="s">
        <v>131</v>
      </c>
      <c r="B409" s="14" t="s">
        <v>459</v>
      </c>
      <c r="C409" s="14" t="s">
        <v>140</v>
      </c>
      <c r="D409" s="14" t="s">
        <v>309</v>
      </c>
      <c r="E409" s="14">
        <v>177910</v>
      </c>
      <c r="F409" s="15">
        <v>45778</v>
      </c>
      <c r="G409" s="42">
        <v>600</v>
      </c>
      <c r="H409" s="17">
        <f>G409</f>
        <v>600</v>
      </c>
      <c r="I409" s="14"/>
      <c r="J409" s="28">
        <v>600</v>
      </c>
      <c r="K409" s="17">
        <f>H409-J409</f>
        <v>0</v>
      </c>
      <c r="L409" s="12"/>
    </row>
    <row r="410" spans="1:12" hidden="1" outlineLevel="3" x14ac:dyDescent="0.25">
      <c r="A410" s="14" t="s">
        <v>131</v>
      </c>
      <c r="B410" s="14" t="s">
        <v>459</v>
      </c>
      <c r="C410" s="14" t="s">
        <v>143</v>
      </c>
      <c r="D410" s="14" t="s">
        <v>247</v>
      </c>
      <c r="E410" s="14">
        <v>177910</v>
      </c>
      <c r="F410" s="15">
        <v>45778</v>
      </c>
      <c r="G410" s="42">
        <v>24.9</v>
      </c>
      <c r="H410" s="17">
        <f>G410</f>
        <v>24.9</v>
      </c>
      <c r="I410" s="14"/>
      <c r="J410" s="28">
        <v>24.9</v>
      </c>
      <c r="K410" s="17">
        <f>H410-J410</f>
        <v>0</v>
      </c>
      <c r="L410" s="12"/>
    </row>
    <row r="411" spans="1:12" hidden="1" outlineLevel="3" x14ac:dyDescent="0.25">
      <c r="A411" s="14" t="s">
        <v>131</v>
      </c>
      <c r="B411" s="14" t="s">
        <v>459</v>
      </c>
      <c r="C411" s="14" t="s">
        <v>133</v>
      </c>
      <c r="D411" s="14" t="s">
        <v>133</v>
      </c>
      <c r="E411" s="14">
        <v>177910</v>
      </c>
      <c r="F411" s="15">
        <v>45778</v>
      </c>
      <c r="G411" s="42">
        <v>50</v>
      </c>
      <c r="H411" s="17">
        <f>G411</f>
        <v>50</v>
      </c>
      <c r="I411" s="14"/>
      <c r="J411" s="28">
        <v>50</v>
      </c>
      <c r="K411" s="17">
        <f>H411-J411</f>
        <v>0</v>
      </c>
      <c r="L411" s="12"/>
    </row>
    <row r="412" spans="1:12" hidden="1" outlineLevel="3" x14ac:dyDescent="0.25">
      <c r="A412" s="14" t="s">
        <v>131</v>
      </c>
      <c r="B412" s="14" t="s">
        <v>459</v>
      </c>
      <c r="C412" s="14" t="s">
        <v>136</v>
      </c>
      <c r="D412" s="14" t="s">
        <v>136</v>
      </c>
      <c r="E412" s="14">
        <v>177910</v>
      </c>
      <c r="F412" s="15">
        <v>45778</v>
      </c>
      <c r="G412" s="42">
        <v>1596.52</v>
      </c>
      <c r="H412" s="17">
        <f>G412</f>
        <v>1596.52</v>
      </c>
      <c r="I412" s="14"/>
      <c r="J412" s="28">
        <v>1596.52</v>
      </c>
      <c r="K412" s="17">
        <f>H412-J412</f>
        <v>0</v>
      </c>
      <c r="L412" s="12"/>
    </row>
    <row r="413" spans="1:12" hidden="1" outlineLevel="3" x14ac:dyDescent="0.25">
      <c r="A413" s="20" t="s">
        <v>131</v>
      </c>
      <c r="B413" s="20" t="s">
        <v>459</v>
      </c>
      <c r="C413" s="20" t="s">
        <v>137</v>
      </c>
      <c r="D413" s="20" t="s">
        <v>137</v>
      </c>
      <c r="E413" s="20">
        <v>177910</v>
      </c>
      <c r="F413" s="21">
        <v>45778</v>
      </c>
      <c r="G413" s="22">
        <v>6981.87</v>
      </c>
      <c r="H413" s="23">
        <f>G413</f>
        <v>6981.87</v>
      </c>
      <c r="I413" s="20"/>
      <c r="J413" s="24">
        <v>6778.5</v>
      </c>
      <c r="K413" s="23">
        <f>H413-J413</f>
        <v>203.36999999999989</v>
      </c>
      <c r="L413" s="25" t="s">
        <v>162</v>
      </c>
    </row>
    <row r="414" spans="1:12" outlineLevel="2" collapsed="1" x14ac:dyDescent="0.25">
      <c r="A414" s="20"/>
      <c r="B414" s="26" t="s">
        <v>460</v>
      </c>
      <c r="C414" s="20"/>
      <c r="D414" s="20"/>
      <c r="E414" s="20"/>
      <c r="F414" s="21"/>
      <c r="G414" s="22">
        <f>SUBTOTAL(9,G409:G413)</f>
        <v>9253.2900000000009</v>
      </c>
      <c r="H414" s="23"/>
      <c r="I414" s="20"/>
      <c r="J414" s="24">
        <f>SUBTOTAL(9,J409:J413)</f>
        <v>9049.92</v>
      </c>
      <c r="K414" s="23">
        <f>SUBTOTAL(9,K409:K413)</f>
        <v>203.36999999999989</v>
      </c>
      <c r="L414" s="25" t="s">
        <v>162</v>
      </c>
    </row>
    <row r="415" spans="1:12" hidden="1" outlineLevel="3" x14ac:dyDescent="0.25">
      <c r="A415" s="14" t="s">
        <v>131</v>
      </c>
      <c r="B415" s="14" t="s">
        <v>461</v>
      </c>
      <c r="C415" s="14" t="s">
        <v>133</v>
      </c>
      <c r="D415" s="14" t="s">
        <v>133</v>
      </c>
      <c r="E415" s="14">
        <v>177738</v>
      </c>
      <c r="F415" s="15">
        <v>45778</v>
      </c>
      <c r="G415" s="42">
        <v>262.5</v>
      </c>
      <c r="H415" s="17">
        <f>G415</f>
        <v>262.5</v>
      </c>
      <c r="I415" s="14"/>
      <c r="J415" s="28">
        <v>262.5</v>
      </c>
      <c r="K415" s="17">
        <f>H415-J415</f>
        <v>0</v>
      </c>
      <c r="L415" s="12"/>
    </row>
    <row r="416" spans="1:12" hidden="1" outlineLevel="3" x14ac:dyDescent="0.25">
      <c r="A416" s="14" t="s">
        <v>131</v>
      </c>
      <c r="B416" s="14" t="s">
        <v>461</v>
      </c>
      <c r="C416" s="14" t="s">
        <v>136</v>
      </c>
      <c r="D416" s="14" t="s">
        <v>136</v>
      </c>
      <c r="E416" s="14">
        <v>177739</v>
      </c>
      <c r="F416" s="15">
        <v>45778</v>
      </c>
      <c r="G416" s="42">
        <v>1644.5</v>
      </c>
      <c r="H416" s="17">
        <f>G416</f>
        <v>1644.5</v>
      </c>
      <c r="I416" s="14"/>
      <c r="J416" s="28">
        <v>1683.5</v>
      </c>
      <c r="K416" s="17">
        <f>H416-J416</f>
        <v>-39</v>
      </c>
      <c r="L416" s="12"/>
    </row>
    <row r="417" spans="1:12" hidden="1" outlineLevel="3" x14ac:dyDescent="0.25">
      <c r="A417" s="14" t="s">
        <v>131</v>
      </c>
      <c r="B417" s="14" t="s">
        <v>461</v>
      </c>
      <c r="C417" s="14" t="s">
        <v>137</v>
      </c>
      <c r="D417" s="14" t="s">
        <v>137</v>
      </c>
      <c r="E417" s="14">
        <v>177738</v>
      </c>
      <c r="F417" s="15">
        <v>45778</v>
      </c>
      <c r="G417" s="42">
        <v>10860.92</v>
      </c>
      <c r="H417" s="17">
        <f>G417</f>
        <v>10860.92</v>
      </c>
      <c r="I417" s="14"/>
      <c r="J417" s="28">
        <v>10860.92</v>
      </c>
      <c r="K417" s="17">
        <f>H417-J417</f>
        <v>0</v>
      </c>
      <c r="L417" s="12"/>
    </row>
    <row r="418" spans="1:12" outlineLevel="2" collapsed="1" x14ac:dyDescent="0.25">
      <c r="A418" s="14"/>
      <c r="B418" s="8" t="s">
        <v>462</v>
      </c>
      <c r="C418" s="14"/>
      <c r="D418" s="14"/>
      <c r="E418" s="14"/>
      <c r="F418" s="15"/>
      <c r="G418" s="42">
        <f>SUBTOTAL(9,G415:G417)</f>
        <v>12767.92</v>
      </c>
      <c r="H418" s="17"/>
      <c r="I418" s="14"/>
      <c r="J418" s="28">
        <f>SUBTOTAL(9,J415:J417)</f>
        <v>12806.92</v>
      </c>
      <c r="K418" s="17">
        <f>SUBTOTAL(9,K415:K417)</f>
        <v>-39</v>
      </c>
      <c r="L418" s="12"/>
    </row>
    <row r="419" spans="1:12" hidden="1" outlineLevel="3" x14ac:dyDescent="0.25">
      <c r="A419" s="14" t="s">
        <v>131</v>
      </c>
      <c r="B419" s="14" t="s">
        <v>463</v>
      </c>
      <c r="C419" s="14" t="s">
        <v>133</v>
      </c>
      <c r="D419" s="14" t="s">
        <v>133</v>
      </c>
      <c r="E419" s="14">
        <v>177461</v>
      </c>
      <c r="F419" s="15">
        <v>45762</v>
      </c>
      <c r="G419" s="42">
        <v>309.24</v>
      </c>
      <c r="H419" s="17">
        <f>G419</f>
        <v>309.24</v>
      </c>
      <c r="I419" s="14"/>
      <c r="J419" s="28">
        <v>309.24</v>
      </c>
      <c r="K419" s="17">
        <f>H419-J419</f>
        <v>0</v>
      </c>
      <c r="L419" s="12"/>
    </row>
    <row r="420" spans="1:12" outlineLevel="2" collapsed="1" x14ac:dyDescent="0.25">
      <c r="A420" s="14"/>
      <c r="B420" s="8" t="s">
        <v>464</v>
      </c>
      <c r="C420" s="14"/>
      <c r="D420" s="14"/>
      <c r="E420" s="14"/>
      <c r="F420" s="15"/>
      <c r="G420" s="42">
        <f>SUBTOTAL(9,G419:G419)</f>
        <v>309.24</v>
      </c>
      <c r="H420" s="17"/>
      <c r="I420" s="14"/>
      <c r="J420" s="28">
        <f>SUBTOTAL(9,J419:J419)</f>
        <v>309.24</v>
      </c>
      <c r="K420" s="17">
        <f>SUBTOTAL(9,K419:K419)</f>
        <v>0</v>
      </c>
      <c r="L420" s="12"/>
    </row>
    <row r="421" spans="1:12" hidden="1" outlineLevel="3" x14ac:dyDescent="0.25">
      <c r="A421" s="14" t="s">
        <v>131</v>
      </c>
      <c r="B421" s="14" t="s">
        <v>465</v>
      </c>
      <c r="C421" s="14" t="s">
        <v>136</v>
      </c>
      <c r="D421" s="14" t="s">
        <v>136</v>
      </c>
      <c r="E421" s="14">
        <v>177740</v>
      </c>
      <c r="F421" s="15">
        <v>45778</v>
      </c>
      <c r="G421" s="42">
        <v>97.05</v>
      </c>
      <c r="H421" s="17">
        <f>G421</f>
        <v>97.05</v>
      </c>
      <c r="I421" s="14"/>
      <c r="J421" s="28">
        <v>97.05</v>
      </c>
      <c r="K421" s="17">
        <f>H421-J421</f>
        <v>0</v>
      </c>
      <c r="L421" s="12"/>
    </row>
    <row r="422" spans="1:12" outlineLevel="2" collapsed="1" x14ac:dyDescent="0.25">
      <c r="A422" s="14"/>
      <c r="B422" s="8" t="s">
        <v>466</v>
      </c>
      <c r="C422" s="14"/>
      <c r="D422" s="14"/>
      <c r="E422" s="14"/>
      <c r="F422" s="15"/>
      <c r="G422" s="42">
        <f>SUBTOTAL(9,G421:G421)</f>
        <v>97.05</v>
      </c>
      <c r="H422" s="17"/>
      <c r="I422" s="14"/>
      <c r="J422" s="28">
        <f>SUBTOTAL(9,J421:J421)</f>
        <v>97.05</v>
      </c>
      <c r="K422" s="17">
        <f>SUBTOTAL(9,K421:K421)</f>
        <v>0</v>
      </c>
      <c r="L422" s="12"/>
    </row>
    <row r="423" spans="1:12" hidden="1" outlineLevel="3" x14ac:dyDescent="0.25">
      <c r="A423" s="14" t="s">
        <v>131</v>
      </c>
      <c r="B423" s="14" t="s">
        <v>467</v>
      </c>
      <c r="C423" s="14" t="s">
        <v>143</v>
      </c>
      <c r="D423" s="14" t="s">
        <v>247</v>
      </c>
      <c r="E423" s="14">
        <v>177462</v>
      </c>
      <c r="F423" s="15">
        <v>45762</v>
      </c>
      <c r="G423" s="42">
        <v>165</v>
      </c>
      <c r="H423" s="17">
        <f>G423</f>
        <v>165</v>
      </c>
      <c r="I423" s="14"/>
      <c r="J423" s="28">
        <v>165</v>
      </c>
      <c r="K423" s="17">
        <f>H423-J423</f>
        <v>0</v>
      </c>
      <c r="L423" s="12"/>
    </row>
    <row r="424" spans="1:12" hidden="1" outlineLevel="3" x14ac:dyDescent="0.25">
      <c r="A424" s="14" t="s">
        <v>131</v>
      </c>
      <c r="B424" s="14" t="s">
        <v>467</v>
      </c>
      <c r="C424" s="14" t="s">
        <v>133</v>
      </c>
      <c r="D424" s="14" t="s">
        <v>133</v>
      </c>
      <c r="E424" s="14">
        <v>177462</v>
      </c>
      <c r="F424" s="15">
        <v>45762</v>
      </c>
      <c r="G424" s="42">
        <v>200.5</v>
      </c>
      <c r="H424" s="17">
        <f>G424</f>
        <v>200.5</v>
      </c>
      <c r="I424" s="14"/>
      <c r="J424" s="28">
        <v>200.5</v>
      </c>
      <c r="K424" s="17">
        <f>H424-J424</f>
        <v>0</v>
      </c>
      <c r="L424" s="12"/>
    </row>
    <row r="425" spans="1:12" hidden="1" outlineLevel="3" x14ac:dyDescent="0.25">
      <c r="A425" s="14" t="s">
        <v>131</v>
      </c>
      <c r="B425" s="14" t="s">
        <v>467</v>
      </c>
      <c r="C425" s="14" t="s">
        <v>136</v>
      </c>
      <c r="D425" s="14" t="s">
        <v>136</v>
      </c>
      <c r="E425" s="14">
        <v>177462</v>
      </c>
      <c r="F425" s="15">
        <v>45762</v>
      </c>
      <c r="G425" s="42">
        <v>420</v>
      </c>
      <c r="H425" s="17">
        <f>G425</f>
        <v>420</v>
      </c>
      <c r="I425" s="14"/>
      <c r="J425" s="28">
        <v>399</v>
      </c>
      <c r="K425" s="17">
        <f>H425-J425</f>
        <v>21</v>
      </c>
      <c r="L425" s="12"/>
    </row>
    <row r="426" spans="1:12" hidden="1" outlineLevel="3" x14ac:dyDescent="0.25">
      <c r="A426" s="14" t="s">
        <v>131</v>
      </c>
      <c r="B426" s="14" t="s">
        <v>467</v>
      </c>
      <c r="C426" s="14" t="s">
        <v>137</v>
      </c>
      <c r="D426" s="14" t="s">
        <v>137</v>
      </c>
      <c r="E426" s="14">
        <v>177462</v>
      </c>
      <c r="F426" s="15">
        <v>45762</v>
      </c>
      <c r="G426" s="42">
        <v>2977</v>
      </c>
      <c r="H426" s="17">
        <f>G426</f>
        <v>2977</v>
      </c>
      <c r="I426" s="14"/>
      <c r="J426" s="28">
        <v>2843</v>
      </c>
      <c r="K426" s="17">
        <f>H426-J426</f>
        <v>134</v>
      </c>
      <c r="L426" s="12"/>
    </row>
    <row r="427" spans="1:12" outlineLevel="2" collapsed="1" x14ac:dyDescent="0.25">
      <c r="A427" s="14"/>
      <c r="B427" s="8" t="s">
        <v>468</v>
      </c>
      <c r="C427" s="14"/>
      <c r="D427" s="14"/>
      <c r="E427" s="14"/>
      <c r="F427" s="15"/>
      <c r="G427" s="42">
        <f>SUBTOTAL(9,G423:G426)</f>
        <v>3762.5</v>
      </c>
      <c r="H427" s="17"/>
      <c r="I427" s="14"/>
      <c r="J427" s="28">
        <f>SUBTOTAL(9,J423:J426)</f>
        <v>3607.5</v>
      </c>
      <c r="K427" s="17">
        <f>SUBTOTAL(9,K423:K426)</f>
        <v>155</v>
      </c>
      <c r="L427" s="12"/>
    </row>
    <row r="428" spans="1:12" hidden="1" outlineLevel="3" x14ac:dyDescent="0.25">
      <c r="A428" s="14" t="s">
        <v>131</v>
      </c>
      <c r="B428" s="14" t="s">
        <v>469</v>
      </c>
      <c r="C428" s="14" t="s">
        <v>143</v>
      </c>
      <c r="D428" s="14" t="s">
        <v>143</v>
      </c>
      <c r="E428" s="14">
        <v>177654</v>
      </c>
      <c r="F428" s="15">
        <v>45778</v>
      </c>
      <c r="G428" s="42">
        <v>20</v>
      </c>
      <c r="H428" s="17">
        <f>G428</f>
        <v>20</v>
      </c>
      <c r="I428" s="14"/>
      <c r="J428" s="28">
        <v>20</v>
      </c>
      <c r="K428" s="17">
        <f>H428-J428</f>
        <v>0</v>
      </c>
      <c r="L428" s="12"/>
    </row>
    <row r="429" spans="1:12" hidden="1" outlineLevel="3" x14ac:dyDescent="0.25">
      <c r="A429" s="14" t="s">
        <v>131</v>
      </c>
      <c r="B429" s="14" t="s">
        <v>469</v>
      </c>
      <c r="C429" s="14" t="s">
        <v>133</v>
      </c>
      <c r="D429" s="14" t="s">
        <v>133</v>
      </c>
      <c r="E429" s="14">
        <v>177654</v>
      </c>
      <c r="F429" s="15">
        <v>45778</v>
      </c>
      <c r="G429" s="42">
        <v>110.5</v>
      </c>
      <c r="H429" s="17">
        <f>G429</f>
        <v>110.5</v>
      </c>
      <c r="I429" s="14"/>
      <c r="J429" s="28">
        <v>110.5</v>
      </c>
      <c r="K429" s="17">
        <f>H429-J429</f>
        <v>0</v>
      </c>
      <c r="L429" s="12"/>
    </row>
    <row r="430" spans="1:12" hidden="1" outlineLevel="3" x14ac:dyDescent="0.25">
      <c r="A430" s="14" t="s">
        <v>131</v>
      </c>
      <c r="B430" s="14" t="s">
        <v>469</v>
      </c>
      <c r="C430" s="14" t="s">
        <v>136</v>
      </c>
      <c r="D430" s="14" t="s">
        <v>136</v>
      </c>
      <c r="E430" s="14">
        <v>177654</v>
      </c>
      <c r="F430" s="15">
        <v>45778</v>
      </c>
      <c r="G430" s="42">
        <v>854</v>
      </c>
      <c r="H430" s="17">
        <f>G430</f>
        <v>854</v>
      </c>
      <c r="I430" s="14"/>
      <c r="J430" s="28">
        <v>854</v>
      </c>
      <c r="K430" s="17">
        <f>H430-J430</f>
        <v>0</v>
      </c>
      <c r="L430" s="12"/>
    </row>
    <row r="431" spans="1:12" hidden="1" outlineLevel="3" x14ac:dyDescent="0.25">
      <c r="A431" s="14" t="s">
        <v>131</v>
      </c>
      <c r="B431" s="14" t="s">
        <v>469</v>
      </c>
      <c r="C431" s="14" t="s">
        <v>137</v>
      </c>
      <c r="D431" s="14" t="s">
        <v>137</v>
      </c>
      <c r="E431" s="14">
        <v>177654</v>
      </c>
      <c r="F431" s="15">
        <v>45778</v>
      </c>
      <c r="G431" s="42">
        <v>2784.87</v>
      </c>
      <c r="H431" s="17">
        <f>G431</f>
        <v>2784.87</v>
      </c>
      <c r="I431" s="14"/>
      <c r="J431" s="28">
        <v>2784.87</v>
      </c>
      <c r="K431" s="17">
        <f>H431-J431</f>
        <v>0</v>
      </c>
      <c r="L431" s="12"/>
    </row>
    <row r="432" spans="1:12" outlineLevel="2" collapsed="1" x14ac:dyDescent="0.25">
      <c r="A432" s="14"/>
      <c r="B432" s="8" t="s">
        <v>470</v>
      </c>
      <c r="C432" s="14"/>
      <c r="D432" s="14"/>
      <c r="E432" s="14"/>
      <c r="F432" s="15"/>
      <c r="G432" s="42">
        <f>SUBTOTAL(9,G428:G431)</f>
        <v>3769.37</v>
      </c>
      <c r="H432" s="17"/>
      <c r="I432" s="14"/>
      <c r="J432" s="28">
        <f>SUBTOTAL(9,J428:J431)</f>
        <v>3769.37</v>
      </c>
      <c r="K432" s="17">
        <f>SUBTOTAL(9,K428:K431)</f>
        <v>0</v>
      </c>
      <c r="L432" s="12"/>
    </row>
    <row r="433" spans="1:12" hidden="1" outlineLevel="3" x14ac:dyDescent="0.25">
      <c r="A433" s="29" t="s">
        <v>131</v>
      </c>
      <c r="B433" s="29" t="s">
        <v>471</v>
      </c>
      <c r="C433" s="29" t="s">
        <v>143</v>
      </c>
      <c r="D433" s="29" t="s">
        <v>143</v>
      </c>
      <c r="E433" s="29">
        <v>177986</v>
      </c>
      <c r="F433" s="30">
        <v>45778</v>
      </c>
      <c r="G433" s="31">
        <v>564.29999999999995</v>
      </c>
      <c r="H433" s="32">
        <f>G433</f>
        <v>564.29999999999995</v>
      </c>
      <c r="I433" s="29"/>
      <c r="J433" s="33">
        <v>564.29999999999995</v>
      </c>
      <c r="K433" s="32">
        <f>H433-J433</f>
        <v>0</v>
      </c>
      <c r="L433" s="40"/>
    </row>
    <row r="434" spans="1:12" hidden="1" outlineLevel="3" x14ac:dyDescent="0.25">
      <c r="A434" s="29" t="s">
        <v>131</v>
      </c>
      <c r="B434" s="29" t="s">
        <v>471</v>
      </c>
      <c r="C434" s="29" t="s">
        <v>133</v>
      </c>
      <c r="D434" s="29" t="s">
        <v>133</v>
      </c>
      <c r="E434" s="29">
        <v>177985</v>
      </c>
      <c r="F434" s="30">
        <v>45778</v>
      </c>
      <c r="G434" s="31">
        <v>192.5</v>
      </c>
      <c r="H434" s="32">
        <f>G434</f>
        <v>192.5</v>
      </c>
      <c r="I434" s="29"/>
      <c r="J434" s="33">
        <v>0</v>
      </c>
      <c r="K434" s="32">
        <f>H434-J434</f>
        <v>192.5</v>
      </c>
      <c r="L434" s="40" t="s">
        <v>243</v>
      </c>
    </row>
    <row r="435" spans="1:12" hidden="1" outlineLevel="3" x14ac:dyDescent="0.25">
      <c r="A435" s="29" t="s">
        <v>131</v>
      </c>
      <c r="B435" s="29" t="s">
        <v>471</v>
      </c>
      <c r="C435" s="29" t="s">
        <v>136</v>
      </c>
      <c r="D435" s="29" t="s">
        <v>136</v>
      </c>
      <c r="E435" s="29">
        <v>177985</v>
      </c>
      <c r="F435" s="30">
        <v>45778</v>
      </c>
      <c r="G435" s="31">
        <v>7742</v>
      </c>
      <c r="H435" s="32">
        <f>G435</f>
        <v>7742</v>
      </c>
      <c r="I435" s="29"/>
      <c r="J435" s="33">
        <v>0</v>
      </c>
      <c r="K435" s="32">
        <f>H435-J435</f>
        <v>7742</v>
      </c>
      <c r="L435" s="40" t="s">
        <v>243</v>
      </c>
    </row>
    <row r="436" spans="1:12" hidden="1" outlineLevel="3" x14ac:dyDescent="0.25">
      <c r="A436" s="29" t="s">
        <v>131</v>
      </c>
      <c r="B436" s="29" t="s">
        <v>471</v>
      </c>
      <c r="C436" s="29" t="s">
        <v>137</v>
      </c>
      <c r="D436" s="29" t="s">
        <v>137</v>
      </c>
      <c r="E436" s="29">
        <v>177985</v>
      </c>
      <c r="F436" s="30">
        <v>45778</v>
      </c>
      <c r="G436" s="31">
        <v>10810</v>
      </c>
      <c r="H436" s="32">
        <f>G436</f>
        <v>10810</v>
      </c>
      <c r="I436" s="29"/>
      <c r="J436" s="33">
        <v>0</v>
      </c>
      <c r="K436" s="32">
        <f>H436-J436</f>
        <v>10810</v>
      </c>
      <c r="L436" s="40" t="s">
        <v>243</v>
      </c>
    </row>
    <row r="437" spans="1:12" outlineLevel="2" collapsed="1" x14ac:dyDescent="0.25">
      <c r="A437" s="29"/>
      <c r="B437" s="41" t="s">
        <v>472</v>
      </c>
      <c r="C437" s="29"/>
      <c r="D437" s="29"/>
      <c r="E437" s="29"/>
      <c r="F437" s="30"/>
      <c r="G437" s="31">
        <f>SUBTOTAL(9,G433:G436)</f>
        <v>19308.8</v>
      </c>
      <c r="H437" s="32"/>
      <c r="I437" s="29"/>
      <c r="J437" s="33">
        <f>SUBTOTAL(9,J433:J436)</f>
        <v>564.29999999999995</v>
      </c>
      <c r="K437" s="32">
        <f>SUBTOTAL(9,K433:K436)</f>
        <v>18744.5</v>
      </c>
      <c r="L437" s="40" t="s">
        <v>243</v>
      </c>
    </row>
    <row r="438" spans="1:12" hidden="1" outlineLevel="3" x14ac:dyDescent="0.25">
      <c r="A438" s="14" t="s">
        <v>131</v>
      </c>
      <c r="B438" s="14" t="s">
        <v>473</v>
      </c>
      <c r="C438" s="14" t="s">
        <v>140</v>
      </c>
      <c r="D438" s="14" t="s">
        <v>140</v>
      </c>
      <c r="E438" s="14">
        <v>177463</v>
      </c>
      <c r="F438" s="15">
        <v>45762</v>
      </c>
      <c r="G438" s="42">
        <v>1746.16</v>
      </c>
      <c r="H438" s="17">
        <f>G438</f>
        <v>1746.16</v>
      </c>
      <c r="I438" s="14"/>
      <c r="J438" s="28">
        <v>1746.16</v>
      </c>
      <c r="K438" s="17">
        <f>H438-J438</f>
        <v>0</v>
      </c>
      <c r="L438" s="12"/>
    </row>
    <row r="439" spans="1:12" hidden="1" outlineLevel="3" x14ac:dyDescent="0.25">
      <c r="A439" s="14" t="s">
        <v>131</v>
      </c>
      <c r="B439" s="14" t="s">
        <v>473</v>
      </c>
      <c r="C439" s="14" t="s">
        <v>143</v>
      </c>
      <c r="D439" s="14" t="s">
        <v>143</v>
      </c>
      <c r="E439" s="14">
        <v>177463</v>
      </c>
      <c r="F439" s="15">
        <v>45762</v>
      </c>
      <c r="G439" s="42">
        <v>176</v>
      </c>
      <c r="H439" s="17">
        <f>G439</f>
        <v>176</v>
      </c>
      <c r="I439" s="14"/>
      <c r="J439" s="28">
        <v>176</v>
      </c>
      <c r="K439" s="17">
        <f>H439-J439</f>
        <v>0</v>
      </c>
      <c r="L439" s="12"/>
    </row>
    <row r="440" spans="1:12" hidden="1" outlineLevel="3" x14ac:dyDescent="0.25">
      <c r="A440" s="14" t="s">
        <v>131</v>
      </c>
      <c r="B440" s="14" t="s">
        <v>473</v>
      </c>
      <c r="C440" s="14" t="s">
        <v>133</v>
      </c>
      <c r="D440" s="14" t="s">
        <v>133</v>
      </c>
      <c r="E440" s="14">
        <v>177463</v>
      </c>
      <c r="F440" s="15">
        <v>45762</v>
      </c>
      <c r="G440" s="42">
        <v>368.58</v>
      </c>
      <c r="H440" s="17">
        <f>G440</f>
        <v>368.58</v>
      </c>
      <c r="I440" s="14"/>
      <c r="J440" s="28">
        <v>368.58</v>
      </c>
      <c r="K440" s="17">
        <f>H440-J440</f>
        <v>0</v>
      </c>
      <c r="L440" s="12"/>
    </row>
    <row r="441" spans="1:12" hidden="1" outlineLevel="3" x14ac:dyDescent="0.25">
      <c r="A441" s="14" t="s">
        <v>131</v>
      </c>
      <c r="B441" s="14" t="s">
        <v>473</v>
      </c>
      <c r="C441" s="14" t="s">
        <v>136</v>
      </c>
      <c r="D441" s="14" t="s">
        <v>136</v>
      </c>
      <c r="E441" s="14">
        <v>177463</v>
      </c>
      <c r="F441" s="15">
        <v>45762</v>
      </c>
      <c r="G441" s="42">
        <v>70</v>
      </c>
      <c r="H441" s="17">
        <f>G441</f>
        <v>70</v>
      </c>
      <c r="I441" s="14"/>
      <c r="J441" s="28">
        <v>70</v>
      </c>
      <c r="K441" s="17">
        <f>H441-J441</f>
        <v>0</v>
      </c>
      <c r="L441" s="12"/>
    </row>
    <row r="442" spans="1:12" hidden="1" outlineLevel="3" x14ac:dyDescent="0.25">
      <c r="A442" s="14" t="s">
        <v>131</v>
      </c>
      <c r="B442" s="14" t="s">
        <v>473</v>
      </c>
      <c r="C442" s="14" t="s">
        <v>201</v>
      </c>
      <c r="D442" s="14" t="s">
        <v>201</v>
      </c>
      <c r="E442" s="14">
        <v>177463</v>
      </c>
      <c r="F442" s="15">
        <v>45762</v>
      </c>
      <c r="G442" s="42">
        <v>250</v>
      </c>
      <c r="H442" s="17">
        <f>G442</f>
        <v>250</v>
      </c>
      <c r="I442" s="14"/>
      <c r="J442" s="28">
        <v>250</v>
      </c>
      <c r="K442" s="17">
        <f>H442-J442</f>
        <v>0</v>
      </c>
      <c r="L442" s="12"/>
    </row>
    <row r="443" spans="1:12" outlineLevel="2" collapsed="1" x14ac:dyDescent="0.25">
      <c r="A443" s="14"/>
      <c r="B443" s="8" t="s">
        <v>474</v>
      </c>
      <c r="C443" s="14"/>
      <c r="D443" s="14"/>
      <c r="E443" s="14"/>
      <c r="F443" s="15"/>
      <c r="G443" s="42">
        <f>SUBTOTAL(9,G438:G442)</f>
        <v>2610.7400000000002</v>
      </c>
      <c r="H443" s="17"/>
      <c r="I443" s="14"/>
      <c r="J443" s="28">
        <f>SUBTOTAL(9,J438:J442)</f>
        <v>2610.7400000000002</v>
      </c>
      <c r="K443" s="17">
        <f>SUBTOTAL(9,K438:K442)</f>
        <v>0</v>
      </c>
      <c r="L443" s="12"/>
    </row>
    <row r="444" spans="1:12" hidden="1" outlineLevel="3" x14ac:dyDescent="0.25">
      <c r="A444" s="14" t="s">
        <v>131</v>
      </c>
      <c r="B444" s="14" t="s">
        <v>475</v>
      </c>
      <c r="C444" s="14" t="s">
        <v>143</v>
      </c>
      <c r="D444" s="14" t="s">
        <v>247</v>
      </c>
      <c r="E444" s="14">
        <v>177743</v>
      </c>
      <c r="F444" s="15">
        <v>45778</v>
      </c>
      <c r="G444" s="42">
        <v>129.62</v>
      </c>
      <c r="H444" s="17">
        <f>G444</f>
        <v>129.62</v>
      </c>
      <c r="I444" s="14"/>
      <c r="J444" s="28">
        <v>129.62</v>
      </c>
      <c r="K444" s="17">
        <f>H444-J444</f>
        <v>0</v>
      </c>
      <c r="L444" s="12"/>
    </row>
    <row r="445" spans="1:12" hidden="1" outlineLevel="3" x14ac:dyDescent="0.25">
      <c r="A445" s="14" t="s">
        <v>131</v>
      </c>
      <c r="B445" s="14" t="s">
        <v>475</v>
      </c>
      <c r="C445" s="14" t="s">
        <v>133</v>
      </c>
      <c r="D445" s="14" t="s">
        <v>134</v>
      </c>
      <c r="E445" s="14">
        <v>177743</v>
      </c>
      <c r="F445" s="15">
        <v>45778</v>
      </c>
      <c r="G445" s="42">
        <v>116</v>
      </c>
      <c r="H445" s="17">
        <f>G445</f>
        <v>116</v>
      </c>
      <c r="I445" s="14"/>
      <c r="J445" s="28">
        <v>128</v>
      </c>
      <c r="K445" s="17">
        <f>H445-J445</f>
        <v>-12</v>
      </c>
      <c r="L445" s="12"/>
    </row>
    <row r="446" spans="1:12" hidden="1" outlineLevel="3" x14ac:dyDescent="0.25">
      <c r="A446" s="14" t="s">
        <v>131</v>
      </c>
      <c r="B446" s="14" t="s">
        <v>475</v>
      </c>
      <c r="C446" s="14" t="s">
        <v>136</v>
      </c>
      <c r="D446" s="14" t="s">
        <v>136</v>
      </c>
      <c r="E446" s="14">
        <v>177743</v>
      </c>
      <c r="F446" s="15">
        <v>45778</v>
      </c>
      <c r="G446" s="42">
        <v>734</v>
      </c>
      <c r="H446" s="17">
        <f>G446</f>
        <v>734</v>
      </c>
      <c r="I446" s="14"/>
      <c r="J446" s="28">
        <v>308</v>
      </c>
      <c r="K446" s="17">
        <f>H446-J446</f>
        <v>426</v>
      </c>
      <c r="L446" s="12" t="s">
        <v>135</v>
      </c>
    </row>
    <row r="447" spans="1:12" hidden="1" outlineLevel="3" x14ac:dyDescent="0.25">
      <c r="A447" s="14" t="s">
        <v>131</v>
      </c>
      <c r="B447" s="14" t="s">
        <v>475</v>
      </c>
      <c r="C447" s="14" t="s">
        <v>137</v>
      </c>
      <c r="D447" s="14" t="s">
        <v>137</v>
      </c>
      <c r="E447" s="14">
        <v>177743</v>
      </c>
      <c r="F447" s="15">
        <v>45778</v>
      </c>
      <c r="G447" s="42">
        <v>2353.5500000000002</v>
      </c>
      <c r="H447" s="17">
        <f>G447</f>
        <v>2353.5500000000002</v>
      </c>
      <c r="I447" s="14"/>
      <c r="J447" s="28">
        <v>2270</v>
      </c>
      <c r="K447" s="17">
        <f>H447-J447</f>
        <v>83.550000000000182</v>
      </c>
      <c r="L447" s="12"/>
    </row>
    <row r="448" spans="1:12" ht="30" outlineLevel="2" collapsed="1" x14ac:dyDescent="0.25">
      <c r="A448" s="20"/>
      <c r="B448" s="26" t="s">
        <v>476</v>
      </c>
      <c r="C448" s="20"/>
      <c r="D448" s="20"/>
      <c r="E448" s="20"/>
      <c r="F448" s="21"/>
      <c r="G448" s="22">
        <f>SUBTOTAL(9,G444:G447)</f>
        <v>3333.17</v>
      </c>
      <c r="H448" s="23"/>
      <c r="I448" s="20"/>
      <c r="J448" s="24">
        <f>SUBTOTAL(9,J444:J447)</f>
        <v>2835.62</v>
      </c>
      <c r="K448" s="23">
        <f>SUBTOTAL(9,K444:K447)</f>
        <v>497.55000000000018</v>
      </c>
      <c r="L448" s="25" t="s">
        <v>477</v>
      </c>
    </row>
    <row r="449" spans="1:12" hidden="1" outlineLevel="3" x14ac:dyDescent="0.25">
      <c r="A449" s="14" t="s">
        <v>131</v>
      </c>
      <c r="B449" s="14" t="s">
        <v>478</v>
      </c>
      <c r="C449" s="14" t="s">
        <v>133</v>
      </c>
      <c r="D449" s="14" t="s">
        <v>134</v>
      </c>
      <c r="E449" s="14">
        <v>177744</v>
      </c>
      <c r="F449" s="15">
        <v>45778</v>
      </c>
      <c r="G449" s="42">
        <v>184</v>
      </c>
      <c r="H449" s="17">
        <f>G449</f>
        <v>184</v>
      </c>
      <c r="I449" s="14"/>
      <c r="J449" s="28">
        <v>136</v>
      </c>
      <c r="K449" s="17">
        <f>H449-J449</f>
        <v>48</v>
      </c>
      <c r="L449" s="12" t="s">
        <v>479</v>
      </c>
    </row>
    <row r="450" spans="1:12" hidden="1" outlineLevel="3" x14ac:dyDescent="0.25">
      <c r="A450" s="14" t="s">
        <v>131</v>
      </c>
      <c r="B450" s="14" t="s">
        <v>478</v>
      </c>
      <c r="C450" s="14" t="s">
        <v>136</v>
      </c>
      <c r="D450" s="14" t="s">
        <v>155</v>
      </c>
      <c r="E450" s="14">
        <v>177744</v>
      </c>
      <c r="F450" s="15">
        <v>45778</v>
      </c>
      <c r="G450" s="42">
        <v>1472</v>
      </c>
      <c r="H450" s="17">
        <f>G450</f>
        <v>1472</v>
      </c>
      <c r="I450" s="14"/>
      <c r="J450" s="28">
        <v>996</v>
      </c>
      <c r="K450" s="17">
        <f>H450-J450</f>
        <v>476</v>
      </c>
      <c r="L450" s="12" t="s">
        <v>135</v>
      </c>
    </row>
    <row r="451" spans="1:12" hidden="1" outlineLevel="3" x14ac:dyDescent="0.25">
      <c r="A451" s="14" t="s">
        <v>131</v>
      </c>
      <c r="B451" s="14" t="s">
        <v>478</v>
      </c>
      <c r="C451" s="14" t="s">
        <v>137</v>
      </c>
      <c r="D451" s="14" t="s">
        <v>147</v>
      </c>
      <c r="E451" s="14">
        <v>177744</v>
      </c>
      <c r="F451" s="15">
        <v>45778</v>
      </c>
      <c r="G451" s="42">
        <v>3232</v>
      </c>
      <c r="H451" s="17">
        <f>G451</f>
        <v>3232</v>
      </c>
      <c r="I451" s="14"/>
      <c r="J451" s="28">
        <v>3458</v>
      </c>
      <c r="K451" s="17">
        <f>H451-J451</f>
        <v>-226</v>
      </c>
      <c r="L451" s="12"/>
    </row>
    <row r="452" spans="1:12" outlineLevel="2" collapsed="1" x14ac:dyDescent="0.25">
      <c r="A452" s="14"/>
      <c r="B452" s="8" t="s">
        <v>480</v>
      </c>
      <c r="C452" s="14"/>
      <c r="D452" s="14"/>
      <c r="E452" s="14"/>
      <c r="F452" s="15"/>
      <c r="G452" s="42">
        <f>SUBTOTAL(9,G449:G451)</f>
        <v>4888</v>
      </c>
      <c r="H452" s="17"/>
      <c r="I452" s="14"/>
      <c r="J452" s="28">
        <f>SUBTOTAL(9,J449:J451)</f>
        <v>4590</v>
      </c>
      <c r="K452" s="17">
        <f>SUBTOTAL(9,K449:K451)</f>
        <v>298</v>
      </c>
      <c r="L452" s="12"/>
    </row>
    <row r="453" spans="1:12" hidden="1" outlineLevel="3" x14ac:dyDescent="0.25">
      <c r="A453" s="14" t="s">
        <v>131</v>
      </c>
      <c r="B453" s="14" t="s">
        <v>481</v>
      </c>
      <c r="C453" s="14" t="s">
        <v>140</v>
      </c>
      <c r="D453" s="14" t="s">
        <v>140</v>
      </c>
      <c r="E453" s="14">
        <v>177464</v>
      </c>
      <c r="F453" s="15">
        <v>45762</v>
      </c>
      <c r="G453" s="42">
        <v>450.8</v>
      </c>
      <c r="H453" s="17">
        <f>G453</f>
        <v>450.8</v>
      </c>
      <c r="I453" s="14"/>
      <c r="J453" s="28">
        <v>450.8</v>
      </c>
      <c r="K453" s="17">
        <f>H453-J453</f>
        <v>0</v>
      </c>
      <c r="L453" s="12"/>
    </row>
    <row r="454" spans="1:12" hidden="1" outlineLevel="3" x14ac:dyDescent="0.25">
      <c r="A454" s="14" t="s">
        <v>131</v>
      </c>
      <c r="B454" s="14" t="s">
        <v>481</v>
      </c>
      <c r="C454" s="14" t="s">
        <v>133</v>
      </c>
      <c r="D454" s="14" t="s">
        <v>133</v>
      </c>
      <c r="E454" s="14">
        <v>177464</v>
      </c>
      <c r="F454" s="15">
        <v>45762</v>
      </c>
      <c r="G454" s="42">
        <v>1277.06</v>
      </c>
      <c r="H454" s="17">
        <f>G454</f>
        <v>1277.06</v>
      </c>
      <c r="I454" s="14"/>
      <c r="J454" s="28">
        <v>1277.06</v>
      </c>
      <c r="K454" s="17">
        <f>H454-J454</f>
        <v>0</v>
      </c>
      <c r="L454" s="12"/>
    </row>
    <row r="455" spans="1:12" hidden="1" outlineLevel="3" x14ac:dyDescent="0.25">
      <c r="A455" s="14" t="s">
        <v>131</v>
      </c>
      <c r="B455" s="14" t="s">
        <v>481</v>
      </c>
      <c r="C455" s="14" t="s">
        <v>136</v>
      </c>
      <c r="D455" s="14" t="s">
        <v>136</v>
      </c>
      <c r="E455" s="14">
        <v>177464</v>
      </c>
      <c r="F455" s="15">
        <v>45762</v>
      </c>
      <c r="G455" s="42">
        <v>91</v>
      </c>
      <c r="H455" s="17">
        <f>G455</f>
        <v>91</v>
      </c>
      <c r="I455" s="14"/>
      <c r="J455" s="28">
        <v>91</v>
      </c>
      <c r="K455" s="17">
        <f>H455-J455</f>
        <v>0</v>
      </c>
      <c r="L455" s="12"/>
    </row>
    <row r="456" spans="1:12" outlineLevel="2" collapsed="1" x14ac:dyDescent="0.25">
      <c r="A456" s="14"/>
      <c r="B456" s="8" t="s">
        <v>482</v>
      </c>
      <c r="C456" s="14"/>
      <c r="D456" s="14"/>
      <c r="E456" s="14"/>
      <c r="F456" s="15"/>
      <c r="G456" s="42">
        <f>SUBTOTAL(9,G453:G455)</f>
        <v>1818.86</v>
      </c>
      <c r="H456" s="17"/>
      <c r="I456" s="14"/>
      <c r="J456" s="28">
        <f>SUBTOTAL(9,J453:J455)</f>
        <v>1818.86</v>
      </c>
      <c r="K456" s="17">
        <f>SUBTOTAL(9,K453:K455)</f>
        <v>0</v>
      </c>
      <c r="L456" s="12"/>
    </row>
    <row r="457" spans="1:12" hidden="1" outlineLevel="3" x14ac:dyDescent="0.25">
      <c r="A457" s="14" t="s">
        <v>131</v>
      </c>
      <c r="B457" s="14" t="s">
        <v>483</v>
      </c>
      <c r="C457" s="14" t="s">
        <v>143</v>
      </c>
      <c r="D457" s="14" t="s">
        <v>247</v>
      </c>
      <c r="E457" s="14">
        <v>177479</v>
      </c>
      <c r="F457" s="15">
        <v>45762</v>
      </c>
      <c r="G457" s="42">
        <v>190.5</v>
      </c>
      <c r="H457" s="17">
        <f>G457</f>
        <v>190.5</v>
      </c>
      <c r="I457" s="14"/>
      <c r="J457" s="28">
        <v>190.5</v>
      </c>
      <c r="K457" s="17">
        <f>H457-J457</f>
        <v>0</v>
      </c>
      <c r="L457" s="12"/>
    </row>
    <row r="458" spans="1:12" hidden="1" outlineLevel="3" x14ac:dyDescent="0.25">
      <c r="A458" s="14" t="s">
        <v>131</v>
      </c>
      <c r="B458" s="14" t="s">
        <v>483</v>
      </c>
      <c r="C458" s="14" t="s">
        <v>133</v>
      </c>
      <c r="D458" s="14" t="s">
        <v>133</v>
      </c>
      <c r="E458" s="14">
        <v>177477</v>
      </c>
      <c r="F458" s="15">
        <v>45762</v>
      </c>
      <c r="G458" s="42">
        <v>314.51</v>
      </c>
      <c r="H458" s="17">
        <f>G458</f>
        <v>314.51</v>
      </c>
      <c r="I458" s="14"/>
      <c r="J458" s="28">
        <v>314.51</v>
      </c>
      <c r="K458" s="17">
        <f>H458-J458</f>
        <v>0</v>
      </c>
      <c r="L458" s="12"/>
    </row>
    <row r="459" spans="1:12" hidden="1" outlineLevel="3" x14ac:dyDescent="0.25">
      <c r="A459" s="14" t="s">
        <v>131</v>
      </c>
      <c r="B459" s="14" t="s">
        <v>483</v>
      </c>
      <c r="C459" s="14" t="s">
        <v>136</v>
      </c>
      <c r="D459" s="14" t="s">
        <v>136</v>
      </c>
      <c r="E459" s="14">
        <v>177477</v>
      </c>
      <c r="F459" s="15">
        <v>45762</v>
      </c>
      <c r="G459" s="42">
        <v>833</v>
      </c>
      <c r="H459" s="17">
        <f>G459</f>
        <v>833</v>
      </c>
      <c r="I459" s="14"/>
      <c r="J459" s="28">
        <v>749</v>
      </c>
      <c r="K459" s="17">
        <f>H459-J459</f>
        <v>84</v>
      </c>
      <c r="L459" s="12"/>
    </row>
    <row r="460" spans="1:12" hidden="1" outlineLevel="3" x14ac:dyDescent="0.25">
      <c r="A460" s="20" t="s">
        <v>131</v>
      </c>
      <c r="B460" s="20" t="s">
        <v>483</v>
      </c>
      <c r="C460" s="20" t="s">
        <v>137</v>
      </c>
      <c r="D460" s="20" t="s">
        <v>137</v>
      </c>
      <c r="E460" s="20">
        <v>177477</v>
      </c>
      <c r="F460" s="21">
        <v>45762</v>
      </c>
      <c r="G460" s="22">
        <v>1517.52</v>
      </c>
      <c r="H460" s="23">
        <f>G460</f>
        <v>1517.52</v>
      </c>
      <c r="I460" s="20"/>
      <c r="J460" s="24">
        <v>1474</v>
      </c>
      <c r="K460" s="23">
        <f>H460-J460</f>
        <v>43.519999999999982</v>
      </c>
      <c r="L460" s="25" t="s">
        <v>162</v>
      </c>
    </row>
    <row r="461" spans="1:12" outlineLevel="2" collapsed="1" x14ac:dyDescent="0.25">
      <c r="A461" s="20"/>
      <c r="B461" s="26" t="s">
        <v>484</v>
      </c>
      <c r="C461" s="20"/>
      <c r="D461" s="20"/>
      <c r="E461" s="20"/>
      <c r="F461" s="21"/>
      <c r="G461" s="22">
        <f>SUBTOTAL(9,G457:G460)</f>
        <v>2855.5299999999997</v>
      </c>
      <c r="H461" s="23"/>
      <c r="I461" s="20"/>
      <c r="J461" s="24">
        <f>SUBTOTAL(9,J457:J460)</f>
        <v>2728.01</v>
      </c>
      <c r="K461" s="23">
        <f>SUBTOTAL(9,K457:K460)</f>
        <v>127.51999999999998</v>
      </c>
      <c r="L461" s="25" t="s">
        <v>162</v>
      </c>
    </row>
    <row r="462" spans="1:12" hidden="1" outlineLevel="3" x14ac:dyDescent="0.25">
      <c r="A462" s="14" t="s">
        <v>131</v>
      </c>
      <c r="B462" s="14" t="s">
        <v>485</v>
      </c>
      <c r="C462" s="14" t="s">
        <v>143</v>
      </c>
      <c r="D462" s="14" t="s">
        <v>247</v>
      </c>
      <c r="E462" s="14">
        <v>177655</v>
      </c>
      <c r="F462" s="15">
        <v>45778</v>
      </c>
      <c r="G462" s="42">
        <v>1815.6</v>
      </c>
      <c r="H462" s="17">
        <f>G462</f>
        <v>1815.6</v>
      </c>
      <c r="I462" s="14"/>
      <c r="J462" s="28">
        <v>1815.6</v>
      </c>
      <c r="K462" s="17">
        <f>H462-J462</f>
        <v>0</v>
      </c>
      <c r="L462" s="12"/>
    </row>
    <row r="463" spans="1:12" hidden="1" outlineLevel="3" x14ac:dyDescent="0.25">
      <c r="A463" s="14" t="s">
        <v>131</v>
      </c>
      <c r="B463" s="14" t="s">
        <v>485</v>
      </c>
      <c r="C463" s="14" t="s">
        <v>133</v>
      </c>
      <c r="D463" s="14" t="s">
        <v>133</v>
      </c>
      <c r="E463" s="14">
        <v>177655</v>
      </c>
      <c r="F463" s="15">
        <v>45778</v>
      </c>
      <c r="G463" s="42">
        <v>873</v>
      </c>
      <c r="H463" s="17">
        <f>G463</f>
        <v>873</v>
      </c>
      <c r="I463" s="14"/>
      <c r="J463" s="28">
        <v>983</v>
      </c>
      <c r="K463" s="17">
        <f>H463-J463</f>
        <v>-110</v>
      </c>
      <c r="L463" s="12"/>
    </row>
    <row r="464" spans="1:12" hidden="1" outlineLevel="3" x14ac:dyDescent="0.25">
      <c r="A464" s="14" t="s">
        <v>131</v>
      </c>
      <c r="B464" s="14" t="s">
        <v>485</v>
      </c>
      <c r="C464" s="14" t="s">
        <v>136</v>
      </c>
      <c r="D464" s="14" t="s">
        <v>136</v>
      </c>
      <c r="E464" s="14">
        <v>177655</v>
      </c>
      <c r="F464" s="15">
        <v>45778</v>
      </c>
      <c r="G464" s="42">
        <v>1767</v>
      </c>
      <c r="H464" s="17">
        <f>G464</f>
        <v>1767</v>
      </c>
      <c r="I464" s="14"/>
      <c r="J464" s="28">
        <v>1703.5</v>
      </c>
      <c r="K464" s="17">
        <f>H464-J464</f>
        <v>63.5</v>
      </c>
      <c r="L464" s="12"/>
    </row>
    <row r="465" spans="1:12" hidden="1" outlineLevel="3" x14ac:dyDescent="0.25">
      <c r="A465" s="14" t="s">
        <v>131</v>
      </c>
      <c r="B465" s="14" t="s">
        <v>485</v>
      </c>
      <c r="C465" s="14" t="s">
        <v>137</v>
      </c>
      <c r="D465" s="14" t="s">
        <v>137</v>
      </c>
      <c r="E465" s="14">
        <v>177655</v>
      </c>
      <c r="F465" s="15">
        <v>45778</v>
      </c>
      <c r="G465" s="42">
        <v>5421.3</v>
      </c>
      <c r="H465" s="17">
        <f>G465</f>
        <v>5421.3</v>
      </c>
      <c r="I465" s="14"/>
      <c r="J465" s="28">
        <v>5421.3</v>
      </c>
      <c r="K465" s="17">
        <f>H465-J465</f>
        <v>0</v>
      </c>
      <c r="L465" s="12"/>
    </row>
    <row r="466" spans="1:12" hidden="1" outlineLevel="3" x14ac:dyDescent="0.25">
      <c r="A466" s="14" t="s">
        <v>131</v>
      </c>
      <c r="B466" s="14" t="s">
        <v>485</v>
      </c>
      <c r="C466" s="14"/>
      <c r="D466" s="14"/>
      <c r="E466" s="14" t="s">
        <v>486</v>
      </c>
      <c r="F466" s="15"/>
      <c r="G466" s="27">
        <v>-22</v>
      </c>
      <c r="H466" s="27">
        <f>G466</f>
        <v>-22</v>
      </c>
      <c r="I466" s="14"/>
      <c r="J466" s="27"/>
      <c r="K466" s="17">
        <f>H466-J466</f>
        <v>-22</v>
      </c>
      <c r="L466" s="12" t="s">
        <v>487</v>
      </c>
    </row>
    <row r="467" spans="1:12" outlineLevel="2" collapsed="1" x14ac:dyDescent="0.25">
      <c r="A467" s="14"/>
      <c r="B467" s="8" t="s">
        <v>488</v>
      </c>
      <c r="C467" s="14"/>
      <c r="D467" s="14"/>
      <c r="E467" s="14"/>
      <c r="F467" s="15"/>
      <c r="G467" s="27">
        <f>SUBTOTAL(9,G462:G466)</f>
        <v>9854.9000000000015</v>
      </c>
      <c r="H467" s="27"/>
      <c r="I467" s="14"/>
      <c r="J467" s="27">
        <f>SUBTOTAL(9,J462:J466)</f>
        <v>9923.4000000000015</v>
      </c>
      <c r="K467" s="17">
        <f>SUBTOTAL(9,K462:K466)</f>
        <v>-68.5</v>
      </c>
      <c r="L467" s="12"/>
    </row>
    <row r="468" spans="1:12" hidden="1" outlineLevel="3" x14ac:dyDescent="0.25">
      <c r="A468" s="14" t="s">
        <v>131</v>
      </c>
      <c r="B468" s="14" t="s">
        <v>489</v>
      </c>
      <c r="C468" s="14" t="s">
        <v>143</v>
      </c>
      <c r="D468" s="14" t="s">
        <v>490</v>
      </c>
      <c r="E468" s="14">
        <v>177745</v>
      </c>
      <c r="F468" s="15">
        <v>45778</v>
      </c>
      <c r="G468" s="42">
        <v>1181.0999999999999</v>
      </c>
      <c r="H468" s="17">
        <f>G468</f>
        <v>1181.0999999999999</v>
      </c>
      <c r="I468" s="14"/>
      <c r="J468" s="28">
        <v>1137.0999999999999</v>
      </c>
      <c r="K468" s="17">
        <f>H468-J468</f>
        <v>44</v>
      </c>
      <c r="L468" s="12"/>
    </row>
    <row r="469" spans="1:12" hidden="1" outlineLevel="3" x14ac:dyDescent="0.25">
      <c r="A469" s="14" t="s">
        <v>131</v>
      </c>
      <c r="B469" s="14" t="s">
        <v>489</v>
      </c>
      <c r="C469" s="14" t="s">
        <v>133</v>
      </c>
      <c r="D469" s="14" t="s">
        <v>133</v>
      </c>
      <c r="E469" s="14">
        <v>177745</v>
      </c>
      <c r="F469" s="15">
        <v>45778</v>
      </c>
      <c r="G469" s="42">
        <v>0</v>
      </c>
      <c r="H469" s="17">
        <f>G469</f>
        <v>0</v>
      </c>
      <c r="I469" s="14"/>
      <c r="J469" s="28">
        <v>0</v>
      </c>
      <c r="K469" s="17">
        <f>H469-J469</f>
        <v>0</v>
      </c>
      <c r="L469" s="12"/>
    </row>
    <row r="470" spans="1:12" hidden="1" outlineLevel="3" x14ac:dyDescent="0.25">
      <c r="A470" s="14" t="s">
        <v>131</v>
      </c>
      <c r="B470" s="14" t="s">
        <v>489</v>
      </c>
      <c r="C470" s="14" t="s">
        <v>136</v>
      </c>
      <c r="D470" s="14" t="s">
        <v>136</v>
      </c>
      <c r="E470" s="14">
        <v>177745</v>
      </c>
      <c r="F470" s="15">
        <v>45778</v>
      </c>
      <c r="G470" s="42">
        <v>250</v>
      </c>
      <c r="H470" s="17">
        <f>G470</f>
        <v>250</v>
      </c>
      <c r="I470" s="14"/>
      <c r="J470" s="28">
        <v>250</v>
      </c>
      <c r="K470" s="17">
        <f>H470-J470</f>
        <v>0</v>
      </c>
      <c r="L470" s="12"/>
    </row>
    <row r="471" spans="1:12" hidden="1" outlineLevel="3" x14ac:dyDescent="0.25">
      <c r="A471" s="14" t="s">
        <v>131</v>
      </c>
      <c r="B471" s="14" t="s">
        <v>489</v>
      </c>
      <c r="C471" s="14" t="s">
        <v>137</v>
      </c>
      <c r="D471" s="14" t="s">
        <v>491</v>
      </c>
      <c r="E471" s="14">
        <v>177745</v>
      </c>
      <c r="F471" s="15">
        <v>45778</v>
      </c>
      <c r="G471" s="42">
        <v>5512.5</v>
      </c>
      <c r="H471" s="17">
        <f>G471</f>
        <v>5512.5</v>
      </c>
      <c r="I471" s="14"/>
      <c r="J471" s="28">
        <v>5512.5</v>
      </c>
      <c r="K471" s="17">
        <f>H471-J471</f>
        <v>0</v>
      </c>
      <c r="L471" s="12"/>
    </row>
    <row r="472" spans="1:12" outlineLevel="2" collapsed="1" x14ac:dyDescent="0.25">
      <c r="A472" s="14"/>
      <c r="B472" s="8" t="s">
        <v>492</v>
      </c>
      <c r="C472" s="14"/>
      <c r="D472" s="14"/>
      <c r="E472" s="14"/>
      <c r="F472" s="15"/>
      <c r="G472" s="42">
        <f>SUBTOTAL(9,G468:G471)</f>
        <v>6943.6</v>
      </c>
      <c r="H472" s="17"/>
      <c r="I472" s="14"/>
      <c r="J472" s="28">
        <f>SUBTOTAL(9,J468:J471)</f>
        <v>6899.6</v>
      </c>
      <c r="K472" s="17">
        <f>SUBTOTAL(9,K468:K471)</f>
        <v>44</v>
      </c>
      <c r="L472" s="12"/>
    </row>
    <row r="473" spans="1:12" hidden="1" outlineLevel="3" x14ac:dyDescent="0.25">
      <c r="A473" s="14" t="s">
        <v>131</v>
      </c>
      <c r="B473" s="14" t="s">
        <v>493</v>
      </c>
      <c r="C473" s="14" t="s">
        <v>143</v>
      </c>
      <c r="D473" s="14" t="s">
        <v>143</v>
      </c>
      <c r="E473" s="14">
        <v>177746</v>
      </c>
      <c r="F473" s="15">
        <v>45778</v>
      </c>
      <c r="G473" s="42">
        <v>2751.2</v>
      </c>
      <c r="H473" s="17">
        <f>G473</f>
        <v>2751.2</v>
      </c>
      <c r="I473" s="14"/>
      <c r="J473" s="28">
        <v>2751.2</v>
      </c>
      <c r="K473" s="17">
        <f>H473-J473</f>
        <v>0</v>
      </c>
      <c r="L473" s="12"/>
    </row>
    <row r="474" spans="1:12" hidden="1" outlineLevel="3" x14ac:dyDescent="0.25">
      <c r="A474" s="14" t="s">
        <v>131</v>
      </c>
      <c r="B474" s="14" t="s">
        <v>493</v>
      </c>
      <c r="C474" s="14" t="s">
        <v>133</v>
      </c>
      <c r="D474" s="14" t="s">
        <v>133</v>
      </c>
      <c r="E474" s="14">
        <v>177746</v>
      </c>
      <c r="F474" s="15">
        <v>45778</v>
      </c>
      <c r="G474" s="42">
        <v>471</v>
      </c>
      <c r="H474" s="17">
        <f>G474</f>
        <v>471</v>
      </c>
      <c r="I474" s="14"/>
      <c r="J474" s="28">
        <v>471</v>
      </c>
      <c r="K474" s="17">
        <f>H474-J474</f>
        <v>0</v>
      </c>
      <c r="L474" s="12"/>
    </row>
    <row r="475" spans="1:12" hidden="1" outlineLevel="3" x14ac:dyDescent="0.25">
      <c r="A475" s="14" t="s">
        <v>131</v>
      </c>
      <c r="B475" s="14" t="s">
        <v>493</v>
      </c>
      <c r="C475" s="14" t="s">
        <v>133</v>
      </c>
      <c r="D475" s="14" t="s">
        <v>494</v>
      </c>
      <c r="E475" s="14">
        <v>177748</v>
      </c>
      <c r="F475" s="15">
        <v>45778</v>
      </c>
      <c r="G475" s="42">
        <v>60</v>
      </c>
      <c r="H475" s="17">
        <f>G475</f>
        <v>60</v>
      </c>
      <c r="I475" s="14"/>
      <c r="J475" s="28">
        <v>60</v>
      </c>
      <c r="K475" s="17">
        <f>H475-J475</f>
        <v>0</v>
      </c>
      <c r="L475" s="12"/>
    </row>
    <row r="476" spans="1:12" hidden="1" outlineLevel="3" x14ac:dyDescent="0.25">
      <c r="A476" s="14" t="s">
        <v>131</v>
      </c>
      <c r="B476" s="14" t="s">
        <v>493</v>
      </c>
      <c r="C476" s="14" t="s">
        <v>136</v>
      </c>
      <c r="D476" s="14" t="s">
        <v>136</v>
      </c>
      <c r="E476" s="14">
        <v>177747</v>
      </c>
      <c r="F476" s="15">
        <v>45778</v>
      </c>
      <c r="G476" s="42">
        <v>1169.25</v>
      </c>
      <c r="H476" s="17">
        <f>G476</f>
        <v>1169.25</v>
      </c>
      <c r="I476" s="14"/>
      <c r="J476" s="28">
        <v>1179</v>
      </c>
      <c r="K476" s="17">
        <f>H476-J476</f>
        <v>-9.75</v>
      </c>
      <c r="L476" s="12"/>
    </row>
    <row r="477" spans="1:12" hidden="1" outlineLevel="3" x14ac:dyDescent="0.25">
      <c r="A477" s="14" t="s">
        <v>131</v>
      </c>
      <c r="B477" s="14" t="s">
        <v>493</v>
      </c>
      <c r="C477" s="14" t="s">
        <v>137</v>
      </c>
      <c r="D477" s="14" t="s">
        <v>495</v>
      </c>
      <c r="E477" s="14">
        <v>177746</v>
      </c>
      <c r="F477" s="15">
        <v>45778</v>
      </c>
      <c r="G477" s="42">
        <v>10757.78</v>
      </c>
      <c r="H477" s="17">
        <f>G477</f>
        <v>10757.78</v>
      </c>
      <c r="I477" s="14"/>
      <c r="J477" s="28">
        <v>10757.78</v>
      </c>
      <c r="K477" s="17">
        <f>H477-J477</f>
        <v>0</v>
      </c>
      <c r="L477" s="12"/>
    </row>
    <row r="478" spans="1:12" outlineLevel="2" collapsed="1" x14ac:dyDescent="0.25">
      <c r="A478" s="14"/>
      <c r="B478" s="8" t="s">
        <v>496</v>
      </c>
      <c r="C478" s="14"/>
      <c r="D478" s="14"/>
      <c r="E478" s="14"/>
      <c r="F478" s="15"/>
      <c r="G478" s="42">
        <f>SUBTOTAL(9,G473:G477)</f>
        <v>15209.23</v>
      </c>
      <c r="H478" s="17"/>
      <c r="I478" s="14"/>
      <c r="J478" s="28">
        <f>SUBTOTAL(9,J473:J477)</f>
        <v>15218.98</v>
      </c>
      <c r="K478" s="17">
        <f>SUBTOTAL(9,K473:K477)</f>
        <v>-9.75</v>
      </c>
      <c r="L478" s="12"/>
    </row>
    <row r="479" spans="1:12" hidden="1" outlineLevel="3" x14ac:dyDescent="0.25">
      <c r="A479" s="14" t="s">
        <v>131</v>
      </c>
      <c r="B479" s="14" t="s">
        <v>497</v>
      </c>
      <c r="C479" s="14" t="s">
        <v>133</v>
      </c>
      <c r="D479" s="14" t="s">
        <v>133</v>
      </c>
      <c r="E479" s="14">
        <v>177749</v>
      </c>
      <c r="F479" s="15">
        <v>45778</v>
      </c>
      <c r="G479" s="42">
        <v>1428.6322</v>
      </c>
      <c r="H479" s="17">
        <f>G479</f>
        <v>1428.6322</v>
      </c>
      <c r="I479" s="14"/>
      <c r="J479" s="28">
        <v>1428.1120000000001</v>
      </c>
      <c r="K479" s="17">
        <f>H479-J479</f>
        <v>0.52019999999993161</v>
      </c>
      <c r="L479" s="12"/>
    </row>
    <row r="480" spans="1:12" hidden="1" outlineLevel="3" x14ac:dyDescent="0.25">
      <c r="A480" s="14" t="s">
        <v>131</v>
      </c>
      <c r="B480" s="14" t="s">
        <v>497</v>
      </c>
      <c r="C480" s="14" t="s">
        <v>136</v>
      </c>
      <c r="D480" s="14" t="s">
        <v>136</v>
      </c>
      <c r="E480" s="14">
        <v>177749</v>
      </c>
      <c r="F480" s="15">
        <v>45778</v>
      </c>
      <c r="G480" s="42">
        <v>338</v>
      </c>
      <c r="H480" s="17">
        <f>G480</f>
        <v>338</v>
      </c>
      <c r="I480" s="14"/>
      <c r="J480" s="28">
        <v>338</v>
      </c>
      <c r="K480" s="17">
        <f>H480-J480</f>
        <v>0</v>
      </c>
      <c r="L480" s="12"/>
    </row>
    <row r="481" spans="1:12" hidden="1" outlineLevel="3" x14ac:dyDescent="0.25">
      <c r="A481" s="14" t="s">
        <v>131</v>
      </c>
      <c r="B481" s="14" t="s">
        <v>497</v>
      </c>
      <c r="C481" s="14" t="s">
        <v>137</v>
      </c>
      <c r="D481" s="14" t="s">
        <v>498</v>
      </c>
      <c r="E481" s="14">
        <v>177749</v>
      </c>
      <c r="F481" s="15">
        <v>45778</v>
      </c>
      <c r="G481" s="42">
        <v>0</v>
      </c>
      <c r="H481" s="17">
        <f>G481</f>
        <v>0</v>
      </c>
      <c r="I481" s="14"/>
      <c r="J481" s="28">
        <v>0</v>
      </c>
      <c r="K481" s="17">
        <f>H481-J481</f>
        <v>0</v>
      </c>
      <c r="L481" s="12"/>
    </row>
    <row r="482" spans="1:12" outlineLevel="2" collapsed="1" x14ac:dyDescent="0.25">
      <c r="A482" s="14"/>
      <c r="B482" s="8" t="s">
        <v>499</v>
      </c>
      <c r="C482" s="14"/>
      <c r="D482" s="14"/>
      <c r="E482" s="14"/>
      <c r="F482" s="15"/>
      <c r="G482" s="42">
        <f>SUBTOTAL(9,G479:G481)</f>
        <v>1766.6322</v>
      </c>
      <c r="H482" s="17"/>
      <c r="I482" s="14"/>
      <c r="J482" s="28">
        <f>SUBTOTAL(9,J479:J481)</f>
        <v>1766.1120000000001</v>
      </c>
      <c r="K482" s="17">
        <f>SUBTOTAL(9,K479:K481)</f>
        <v>0.52019999999993161</v>
      </c>
      <c r="L482" s="12"/>
    </row>
    <row r="483" spans="1:12" hidden="1" outlineLevel="3" x14ac:dyDescent="0.25">
      <c r="A483" s="14" t="s">
        <v>131</v>
      </c>
      <c r="B483" s="14" t="s">
        <v>500</v>
      </c>
      <c r="C483" s="14" t="s">
        <v>143</v>
      </c>
      <c r="D483" s="14" t="s">
        <v>143</v>
      </c>
      <c r="E483" s="14">
        <v>177911</v>
      </c>
      <c r="F483" s="15">
        <v>45778</v>
      </c>
      <c r="G483" s="42">
        <v>1586.5</v>
      </c>
      <c r="H483" s="17">
        <f>G483</f>
        <v>1586.5</v>
      </c>
      <c r="I483" s="14"/>
      <c r="J483" s="28">
        <v>1549.5</v>
      </c>
      <c r="K483" s="17">
        <f>H483-J483</f>
        <v>37</v>
      </c>
      <c r="L483" s="12"/>
    </row>
    <row r="484" spans="1:12" hidden="1" outlineLevel="3" x14ac:dyDescent="0.25">
      <c r="A484" s="14" t="s">
        <v>131</v>
      </c>
      <c r="B484" s="14" t="s">
        <v>500</v>
      </c>
      <c r="C484" s="14" t="s">
        <v>133</v>
      </c>
      <c r="D484" s="14" t="s">
        <v>133</v>
      </c>
      <c r="E484" s="14">
        <v>177911</v>
      </c>
      <c r="F484" s="15">
        <v>45778</v>
      </c>
      <c r="G484" s="42">
        <v>10</v>
      </c>
      <c r="H484" s="17">
        <f>G484</f>
        <v>10</v>
      </c>
      <c r="I484" s="14"/>
      <c r="J484" s="28">
        <v>10</v>
      </c>
      <c r="K484" s="17">
        <f>H484-J484</f>
        <v>0</v>
      </c>
      <c r="L484" s="12"/>
    </row>
    <row r="485" spans="1:12" hidden="1" outlineLevel="3" x14ac:dyDescent="0.25">
      <c r="A485" s="20" t="s">
        <v>131</v>
      </c>
      <c r="B485" s="20" t="s">
        <v>500</v>
      </c>
      <c r="C485" s="20" t="s">
        <v>136</v>
      </c>
      <c r="D485" s="20" t="s">
        <v>136</v>
      </c>
      <c r="E485" s="20">
        <v>177911</v>
      </c>
      <c r="F485" s="21">
        <v>45778</v>
      </c>
      <c r="G485" s="22">
        <v>1195</v>
      </c>
      <c r="H485" s="23">
        <f>G485</f>
        <v>1195</v>
      </c>
      <c r="I485" s="20"/>
      <c r="J485" s="24">
        <v>1165</v>
      </c>
      <c r="K485" s="23">
        <f>H485-J485</f>
        <v>30</v>
      </c>
      <c r="L485" s="25" t="s">
        <v>162</v>
      </c>
    </row>
    <row r="486" spans="1:12" hidden="1" outlineLevel="3" x14ac:dyDescent="0.25">
      <c r="A486" s="20" t="s">
        <v>131</v>
      </c>
      <c r="B486" s="20" t="s">
        <v>500</v>
      </c>
      <c r="C486" s="20" t="s">
        <v>137</v>
      </c>
      <c r="D486" s="20" t="s">
        <v>137</v>
      </c>
      <c r="E486" s="20">
        <v>177911</v>
      </c>
      <c r="F486" s="21">
        <v>45778</v>
      </c>
      <c r="G486" s="22">
        <v>4991</v>
      </c>
      <c r="H486" s="23">
        <f>G486</f>
        <v>4991</v>
      </c>
      <c r="I486" s="20"/>
      <c r="J486" s="24">
        <v>4850</v>
      </c>
      <c r="K486" s="23">
        <f>H486-J486</f>
        <v>141</v>
      </c>
      <c r="L486" s="25" t="s">
        <v>162</v>
      </c>
    </row>
    <row r="487" spans="1:12" hidden="1" outlineLevel="3" x14ac:dyDescent="0.25">
      <c r="A487" s="14" t="s">
        <v>131</v>
      </c>
      <c r="B487" s="14" t="s">
        <v>500</v>
      </c>
      <c r="C487" s="14" t="s">
        <v>201</v>
      </c>
      <c r="D487" s="14" t="s">
        <v>201</v>
      </c>
      <c r="E487" s="14">
        <v>177911</v>
      </c>
      <c r="F487" s="15">
        <v>45778</v>
      </c>
      <c r="G487" s="42">
        <v>750</v>
      </c>
      <c r="H487" s="17">
        <f>G487</f>
        <v>750</v>
      </c>
      <c r="I487" s="14"/>
      <c r="J487" s="28">
        <v>750</v>
      </c>
      <c r="K487" s="17">
        <f>H487-J487</f>
        <v>0</v>
      </c>
      <c r="L487" s="12"/>
    </row>
    <row r="488" spans="1:12" outlineLevel="2" collapsed="1" x14ac:dyDescent="0.25">
      <c r="A488" s="20"/>
      <c r="B488" s="26" t="s">
        <v>501</v>
      </c>
      <c r="C488" s="20"/>
      <c r="D488" s="20"/>
      <c r="E488" s="20"/>
      <c r="F488" s="21"/>
      <c r="G488" s="22">
        <f>SUBTOTAL(9,G483:G487)</f>
        <v>8532.5</v>
      </c>
      <c r="H488" s="23"/>
      <c r="I488" s="20"/>
      <c r="J488" s="24">
        <f>SUBTOTAL(9,J483:J487)</f>
        <v>8324.5</v>
      </c>
      <c r="K488" s="23">
        <f>SUBTOTAL(9,K483:K487)</f>
        <v>208</v>
      </c>
      <c r="L488" s="25" t="s">
        <v>162</v>
      </c>
    </row>
    <row r="489" spans="1:12" hidden="1" outlineLevel="3" x14ac:dyDescent="0.25">
      <c r="A489" s="14" t="s">
        <v>131</v>
      </c>
      <c r="B489" s="14" t="s">
        <v>502</v>
      </c>
      <c r="C489" s="14" t="s">
        <v>133</v>
      </c>
      <c r="D489" s="14" t="s">
        <v>133</v>
      </c>
      <c r="E489" s="14">
        <v>177751</v>
      </c>
      <c r="F489" s="15">
        <v>45778</v>
      </c>
      <c r="G489" s="42">
        <v>0</v>
      </c>
      <c r="H489" s="17">
        <f>G489</f>
        <v>0</v>
      </c>
      <c r="I489" s="14"/>
      <c r="J489" s="28">
        <v>0</v>
      </c>
      <c r="K489" s="17">
        <f>H489-J489</f>
        <v>0</v>
      </c>
      <c r="L489" s="12"/>
    </row>
    <row r="490" spans="1:12" hidden="1" outlineLevel="3" x14ac:dyDescent="0.25">
      <c r="A490" s="14" t="s">
        <v>131</v>
      </c>
      <c r="B490" s="14" t="s">
        <v>502</v>
      </c>
      <c r="C490" s="14" t="s">
        <v>137</v>
      </c>
      <c r="D490" s="14" t="s">
        <v>503</v>
      </c>
      <c r="E490" s="14">
        <v>177751</v>
      </c>
      <c r="F490" s="15">
        <v>45778</v>
      </c>
      <c r="G490" s="42">
        <v>3675</v>
      </c>
      <c r="H490" s="17">
        <f>G490</f>
        <v>3675</v>
      </c>
      <c r="I490" s="14"/>
      <c r="J490" s="28">
        <v>3675</v>
      </c>
      <c r="K490" s="17">
        <f>H490-J490</f>
        <v>0</v>
      </c>
      <c r="L490" s="12"/>
    </row>
    <row r="491" spans="1:12" outlineLevel="2" collapsed="1" x14ac:dyDescent="0.25">
      <c r="A491" s="14"/>
      <c r="B491" s="8" t="s">
        <v>504</v>
      </c>
      <c r="C491" s="14"/>
      <c r="D491" s="14"/>
      <c r="E491" s="14"/>
      <c r="F491" s="15"/>
      <c r="G491" s="42">
        <f>SUBTOTAL(9,G489:G490)</f>
        <v>3675</v>
      </c>
      <c r="H491" s="17"/>
      <c r="I491" s="14"/>
      <c r="J491" s="28">
        <f>SUBTOTAL(9,J489:J490)</f>
        <v>3675</v>
      </c>
      <c r="K491" s="17">
        <f>SUBTOTAL(9,K489:K490)</f>
        <v>0</v>
      </c>
      <c r="L491" s="12"/>
    </row>
    <row r="492" spans="1:12" hidden="1" outlineLevel="3" x14ac:dyDescent="0.25">
      <c r="A492" s="14" t="s">
        <v>131</v>
      </c>
      <c r="B492" s="14" t="s">
        <v>505</v>
      </c>
      <c r="C492" s="14" t="s">
        <v>143</v>
      </c>
      <c r="D492" s="14" t="s">
        <v>143</v>
      </c>
      <c r="E492" s="14">
        <v>177752</v>
      </c>
      <c r="F492" s="15">
        <v>45778</v>
      </c>
      <c r="G492" s="16">
        <v>125</v>
      </c>
      <c r="H492" s="17">
        <f>G492</f>
        <v>125</v>
      </c>
      <c r="I492" s="14"/>
      <c r="J492" s="18">
        <v>125</v>
      </c>
      <c r="K492" s="17">
        <f>H492-J492</f>
        <v>0</v>
      </c>
      <c r="L492" s="12"/>
    </row>
    <row r="493" spans="1:12" hidden="1" outlineLevel="3" x14ac:dyDescent="0.25">
      <c r="A493" s="14" t="s">
        <v>131</v>
      </c>
      <c r="B493" s="14" t="s">
        <v>505</v>
      </c>
      <c r="C493" s="14" t="s">
        <v>133</v>
      </c>
      <c r="D493" s="14" t="s">
        <v>133</v>
      </c>
      <c r="E493" s="14">
        <v>177752</v>
      </c>
      <c r="F493" s="15">
        <v>45778</v>
      </c>
      <c r="G493" s="16">
        <v>254.75</v>
      </c>
      <c r="H493" s="17">
        <f>G493</f>
        <v>254.75</v>
      </c>
      <c r="I493" s="14"/>
      <c r="J493" s="18">
        <v>254.75</v>
      </c>
      <c r="K493" s="17">
        <f>H493-J493</f>
        <v>0</v>
      </c>
      <c r="L493" s="12"/>
    </row>
    <row r="494" spans="1:12" hidden="1" outlineLevel="3" x14ac:dyDescent="0.25">
      <c r="A494" s="14" t="s">
        <v>131</v>
      </c>
      <c r="B494" s="14" t="s">
        <v>505</v>
      </c>
      <c r="C494" s="14" t="s">
        <v>136</v>
      </c>
      <c r="D494" s="14" t="s">
        <v>136</v>
      </c>
      <c r="E494" s="14">
        <v>177752</v>
      </c>
      <c r="F494" s="15">
        <v>45778</v>
      </c>
      <c r="G494" s="16">
        <v>91</v>
      </c>
      <c r="H494" s="17">
        <f>G494</f>
        <v>91</v>
      </c>
      <c r="I494" s="14"/>
      <c r="J494" s="18">
        <v>91</v>
      </c>
      <c r="K494" s="17">
        <f>H494-J494</f>
        <v>0</v>
      </c>
      <c r="L494" s="12"/>
    </row>
    <row r="495" spans="1:12" hidden="1" outlineLevel="3" x14ac:dyDescent="0.25">
      <c r="A495" s="14" t="s">
        <v>131</v>
      </c>
      <c r="B495" s="14" t="s">
        <v>505</v>
      </c>
      <c r="C495" s="14" t="s">
        <v>137</v>
      </c>
      <c r="D495" s="14" t="s">
        <v>506</v>
      </c>
      <c r="E495" s="14">
        <v>177752</v>
      </c>
      <c r="F495" s="15">
        <v>45778</v>
      </c>
      <c r="G495" s="16">
        <v>2060.8000000000002</v>
      </c>
      <c r="H495" s="17">
        <f>G495</f>
        <v>2060.8000000000002</v>
      </c>
      <c r="I495" s="14"/>
      <c r="J495" s="18">
        <v>2060.8000000000002</v>
      </c>
      <c r="K495" s="17">
        <f>H495-J495</f>
        <v>0</v>
      </c>
      <c r="L495" s="12"/>
    </row>
    <row r="496" spans="1:12" outlineLevel="2" collapsed="1" x14ac:dyDescent="0.25">
      <c r="A496" s="14"/>
      <c r="B496" s="8" t="s">
        <v>507</v>
      </c>
      <c r="C496" s="14"/>
      <c r="D496" s="14"/>
      <c r="E496" s="14"/>
      <c r="F496" s="15"/>
      <c r="G496" s="16">
        <f>SUBTOTAL(9,G492:G495)</f>
        <v>2531.5500000000002</v>
      </c>
      <c r="H496" s="17"/>
      <c r="I496" s="14"/>
      <c r="J496" s="18">
        <f>SUBTOTAL(9,J492:J495)</f>
        <v>2531.5500000000002</v>
      </c>
      <c r="K496" s="17">
        <f>SUBTOTAL(9,K492:K495)</f>
        <v>0</v>
      </c>
      <c r="L496" s="12"/>
    </row>
    <row r="497" spans="1:12" hidden="1" outlineLevel="3" x14ac:dyDescent="0.25">
      <c r="A497" s="14" t="s">
        <v>131</v>
      </c>
      <c r="B497" s="14" t="s">
        <v>508</v>
      </c>
      <c r="C497" s="14" t="s">
        <v>140</v>
      </c>
      <c r="D497" s="14" t="s">
        <v>509</v>
      </c>
      <c r="E497" s="14">
        <v>177753</v>
      </c>
      <c r="F497" s="15">
        <v>45778</v>
      </c>
      <c r="G497" s="16">
        <v>586</v>
      </c>
      <c r="H497" s="17">
        <f>G497</f>
        <v>586</v>
      </c>
      <c r="I497" s="14"/>
      <c r="J497" s="18">
        <v>586</v>
      </c>
      <c r="K497" s="17">
        <f>H497-J497</f>
        <v>0</v>
      </c>
      <c r="L497" s="12"/>
    </row>
    <row r="498" spans="1:12" hidden="1" outlineLevel="3" x14ac:dyDescent="0.25">
      <c r="A498" s="14" t="s">
        <v>131</v>
      </c>
      <c r="B498" s="14" t="s">
        <v>508</v>
      </c>
      <c r="C498" s="14" t="s">
        <v>133</v>
      </c>
      <c r="D498" s="14" t="s">
        <v>133</v>
      </c>
      <c r="E498" s="14">
        <v>177753</v>
      </c>
      <c r="F498" s="15">
        <v>45778</v>
      </c>
      <c r="G498" s="16">
        <v>63</v>
      </c>
      <c r="H498" s="17">
        <f>G498</f>
        <v>63</v>
      </c>
      <c r="I498" s="14"/>
      <c r="J498" s="18">
        <v>63</v>
      </c>
      <c r="K498" s="17">
        <f>H498-J498</f>
        <v>0</v>
      </c>
      <c r="L498" s="12"/>
    </row>
    <row r="499" spans="1:12" hidden="1" outlineLevel="3" x14ac:dyDescent="0.25">
      <c r="A499" s="14" t="s">
        <v>131</v>
      </c>
      <c r="B499" s="14" t="s">
        <v>508</v>
      </c>
      <c r="C499" s="14" t="s">
        <v>136</v>
      </c>
      <c r="D499" s="14" t="s">
        <v>136</v>
      </c>
      <c r="E499" s="14">
        <v>177753</v>
      </c>
      <c r="F499" s="15">
        <v>45778</v>
      </c>
      <c r="G499" s="16">
        <v>140</v>
      </c>
      <c r="H499" s="17">
        <f>G499</f>
        <v>140</v>
      </c>
      <c r="I499" s="14"/>
      <c r="J499" s="18">
        <v>140</v>
      </c>
      <c r="K499" s="17">
        <f>H499-J499</f>
        <v>0</v>
      </c>
      <c r="L499" s="12"/>
    </row>
    <row r="500" spans="1:12" hidden="1" outlineLevel="3" x14ac:dyDescent="0.25">
      <c r="A500" s="14" t="s">
        <v>131</v>
      </c>
      <c r="B500" s="14" t="s">
        <v>508</v>
      </c>
      <c r="C500" s="14" t="s">
        <v>137</v>
      </c>
      <c r="D500" s="14" t="s">
        <v>510</v>
      </c>
      <c r="E500" s="14">
        <v>177753</v>
      </c>
      <c r="F500" s="15">
        <v>45778</v>
      </c>
      <c r="G500" s="16">
        <v>2163</v>
      </c>
      <c r="H500" s="17">
        <f>G500</f>
        <v>2163</v>
      </c>
      <c r="I500" s="14"/>
      <c r="J500" s="18">
        <v>2163</v>
      </c>
      <c r="K500" s="17">
        <f>H500-J500</f>
        <v>0</v>
      </c>
      <c r="L500" s="12"/>
    </row>
    <row r="501" spans="1:12" outlineLevel="2" collapsed="1" x14ac:dyDescent="0.25">
      <c r="A501" s="14"/>
      <c r="B501" s="8" t="s">
        <v>511</v>
      </c>
      <c r="C501" s="14"/>
      <c r="D501" s="14"/>
      <c r="E501" s="14"/>
      <c r="F501" s="15"/>
      <c r="G501" s="16">
        <f>SUBTOTAL(9,G497:G500)</f>
        <v>2952</v>
      </c>
      <c r="H501" s="17"/>
      <c r="I501" s="14"/>
      <c r="J501" s="18">
        <f>SUBTOTAL(9,J497:J500)</f>
        <v>2952</v>
      </c>
      <c r="K501" s="17">
        <f>SUBTOTAL(9,K497:K500)</f>
        <v>0</v>
      </c>
      <c r="L501" s="12"/>
    </row>
    <row r="502" spans="1:12" hidden="1" outlineLevel="3" x14ac:dyDescent="0.25">
      <c r="A502" s="14" t="s">
        <v>131</v>
      </c>
      <c r="B502" s="14" t="s">
        <v>512</v>
      </c>
      <c r="C502" s="14" t="s">
        <v>133</v>
      </c>
      <c r="D502" s="14" t="s">
        <v>133</v>
      </c>
      <c r="E502" s="14">
        <v>177754</v>
      </c>
      <c r="F502" s="15">
        <v>45778</v>
      </c>
      <c r="G502" s="16">
        <v>309</v>
      </c>
      <c r="H502" s="17">
        <f>G502</f>
        <v>309</v>
      </c>
      <c r="I502" s="14"/>
      <c r="J502" s="18">
        <v>309</v>
      </c>
      <c r="K502" s="17">
        <f>H502-J502</f>
        <v>0</v>
      </c>
      <c r="L502" s="12"/>
    </row>
    <row r="503" spans="1:12" hidden="1" outlineLevel="3" x14ac:dyDescent="0.25">
      <c r="A503" s="14" t="s">
        <v>131</v>
      </c>
      <c r="B503" s="14" t="s">
        <v>512</v>
      </c>
      <c r="C503" s="14" t="s">
        <v>136</v>
      </c>
      <c r="D503" s="14" t="s">
        <v>136</v>
      </c>
      <c r="E503" s="14">
        <v>177754</v>
      </c>
      <c r="F503" s="15">
        <v>45778</v>
      </c>
      <c r="G503" s="16">
        <v>1068</v>
      </c>
      <c r="H503" s="17">
        <f>G503</f>
        <v>1068</v>
      </c>
      <c r="I503" s="14"/>
      <c r="J503" s="18">
        <v>1100</v>
      </c>
      <c r="K503" s="17">
        <f>H503-J503</f>
        <v>-32</v>
      </c>
      <c r="L503" s="12"/>
    </row>
    <row r="504" spans="1:12" hidden="1" outlineLevel="3" x14ac:dyDescent="0.25">
      <c r="A504" s="14" t="s">
        <v>131</v>
      </c>
      <c r="B504" s="14" t="s">
        <v>512</v>
      </c>
      <c r="C504" s="14" t="s">
        <v>137</v>
      </c>
      <c r="D504" s="14" t="s">
        <v>513</v>
      </c>
      <c r="E504" s="14">
        <v>177754</v>
      </c>
      <c r="F504" s="15">
        <v>45778</v>
      </c>
      <c r="G504" s="16">
        <v>5549.57</v>
      </c>
      <c r="H504" s="17">
        <f>G504</f>
        <v>5549.57</v>
      </c>
      <c r="I504" s="14"/>
      <c r="J504" s="18">
        <v>5549.57</v>
      </c>
      <c r="K504" s="17">
        <f>H504-J504</f>
        <v>0</v>
      </c>
      <c r="L504" s="12"/>
    </row>
    <row r="505" spans="1:12" hidden="1" outlineLevel="3" x14ac:dyDescent="0.25">
      <c r="A505" s="14" t="s">
        <v>131</v>
      </c>
      <c r="B505" s="14" t="s">
        <v>512</v>
      </c>
      <c r="C505" s="14" t="s">
        <v>201</v>
      </c>
      <c r="D505" s="14" t="s">
        <v>201</v>
      </c>
      <c r="E505" s="14">
        <v>177754</v>
      </c>
      <c r="F505" s="15">
        <v>45778</v>
      </c>
      <c r="G505" s="16">
        <v>101.51</v>
      </c>
      <c r="H505" s="17">
        <f>G505</f>
        <v>101.51</v>
      </c>
      <c r="I505" s="14"/>
      <c r="J505" s="18">
        <v>101.51</v>
      </c>
      <c r="K505" s="17">
        <f>H505-J505</f>
        <v>0</v>
      </c>
      <c r="L505" s="12"/>
    </row>
    <row r="506" spans="1:12" outlineLevel="2" collapsed="1" x14ac:dyDescent="0.25">
      <c r="A506" s="14"/>
      <c r="B506" s="8" t="s">
        <v>514</v>
      </c>
      <c r="C506" s="14"/>
      <c r="D506" s="14"/>
      <c r="E506" s="14"/>
      <c r="F506" s="15"/>
      <c r="G506" s="16">
        <f>SUBTOTAL(9,G502:G505)</f>
        <v>7028.08</v>
      </c>
      <c r="H506" s="17"/>
      <c r="I506" s="14"/>
      <c r="J506" s="18">
        <f>SUBTOTAL(9,J502:J505)</f>
        <v>7060.08</v>
      </c>
      <c r="K506" s="17">
        <f>SUBTOTAL(9,K502:K505)</f>
        <v>-32</v>
      </c>
      <c r="L506" s="12"/>
    </row>
    <row r="507" spans="1:12" hidden="1" outlineLevel="3" x14ac:dyDescent="0.25">
      <c r="A507" s="14" t="s">
        <v>131</v>
      </c>
      <c r="B507" s="14" t="s">
        <v>515</v>
      </c>
      <c r="C507" s="14" t="s">
        <v>133</v>
      </c>
      <c r="D507" s="14" t="s">
        <v>133</v>
      </c>
      <c r="E507" s="14">
        <v>177755</v>
      </c>
      <c r="F507" s="15">
        <v>45778</v>
      </c>
      <c r="G507" s="16">
        <v>130</v>
      </c>
      <c r="H507" s="17">
        <f>G507</f>
        <v>130</v>
      </c>
      <c r="I507" s="14"/>
      <c r="J507" s="18">
        <v>130</v>
      </c>
      <c r="K507" s="17">
        <f>H507-J507</f>
        <v>0</v>
      </c>
      <c r="L507" s="12"/>
    </row>
    <row r="508" spans="1:12" hidden="1" outlineLevel="3" x14ac:dyDescent="0.25">
      <c r="A508" s="14" t="s">
        <v>131</v>
      </c>
      <c r="B508" s="14" t="s">
        <v>515</v>
      </c>
      <c r="C508" s="14" t="s">
        <v>136</v>
      </c>
      <c r="D508" s="14" t="s">
        <v>136</v>
      </c>
      <c r="E508" s="14">
        <v>177755</v>
      </c>
      <c r="F508" s="15">
        <v>45778</v>
      </c>
      <c r="G508" s="16">
        <v>441</v>
      </c>
      <c r="H508" s="17">
        <f>G508</f>
        <v>441</v>
      </c>
      <c r="I508" s="14"/>
      <c r="J508" s="18">
        <v>443</v>
      </c>
      <c r="K508" s="17">
        <f>H508-J508</f>
        <v>-2</v>
      </c>
      <c r="L508" s="12"/>
    </row>
    <row r="509" spans="1:12" hidden="1" outlineLevel="3" x14ac:dyDescent="0.25">
      <c r="A509" s="14" t="s">
        <v>131</v>
      </c>
      <c r="B509" s="14" t="s">
        <v>515</v>
      </c>
      <c r="C509" s="14" t="s">
        <v>137</v>
      </c>
      <c r="D509" s="14" t="s">
        <v>516</v>
      </c>
      <c r="E509" s="14">
        <v>177755</v>
      </c>
      <c r="F509" s="15">
        <v>45778</v>
      </c>
      <c r="G509" s="16">
        <v>1591.35</v>
      </c>
      <c r="H509" s="17">
        <f>G509</f>
        <v>1591.35</v>
      </c>
      <c r="I509" s="14"/>
      <c r="J509" s="18">
        <v>1591.35</v>
      </c>
      <c r="K509" s="17">
        <f>H509-J509</f>
        <v>0</v>
      </c>
      <c r="L509" s="12"/>
    </row>
    <row r="510" spans="1:12" outlineLevel="2" collapsed="1" x14ac:dyDescent="0.25">
      <c r="A510" s="14"/>
      <c r="B510" s="8" t="s">
        <v>517</v>
      </c>
      <c r="C510" s="14"/>
      <c r="D510" s="14"/>
      <c r="E510" s="14"/>
      <c r="F510" s="15"/>
      <c r="G510" s="16">
        <f>SUBTOTAL(9,G507:G509)</f>
        <v>2162.35</v>
      </c>
      <c r="H510" s="17"/>
      <c r="I510" s="14"/>
      <c r="J510" s="18">
        <f>SUBTOTAL(9,J507:J509)</f>
        <v>2164.35</v>
      </c>
      <c r="K510" s="17">
        <f>SUBTOTAL(9,K507:K509)</f>
        <v>-2</v>
      </c>
      <c r="L510" s="12"/>
    </row>
    <row r="511" spans="1:12" hidden="1" outlineLevel="3" x14ac:dyDescent="0.25">
      <c r="A511" s="14" t="s">
        <v>131</v>
      </c>
      <c r="B511" s="14" t="s">
        <v>518</v>
      </c>
      <c r="C511" s="14" t="s">
        <v>143</v>
      </c>
      <c r="D511" s="14" t="s">
        <v>519</v>
      </c>
      <c r="E511" s="14">
        <v>177756</v>
      </c>
      <c r="F511" s="15">
        <v>45778</v>
      </c>
      <c r="G511" s="16">
        <v>348</v>
      </c>
      <c r="H511" s="17">
        <f>G511</f>
        <v>348</v>
      </c>
      <c r="I511" s="14"/>
      <c r="J511" s="18">
        <v>304</v>
      </c>
      <c r="K511" s="17">
        <f>H511-J511</f>
        <v>44</v>
      </c>
      <c r="L511" s="12"/>
    </row>
    <row r="512" spans="1:12" hidden="1" outlineLevel="3" x14ac:dyDescent="0.25">
      <c r="A512" s="14" t="s">
        <v>131</v>
      </c>
      <c r="B512" s="14" t="s">
        <v>518</v>
      </c>
      <c r="C512" s="14" t="s">
        <v>133</v>
      </c>
      <c r="D512" s="14" t="s">
        <v>133</v>
      </c>
      <c r="E512" s="14">
        <v>177756</v>
      </c>
      <c r="F512" s="15">
        <v>45778</v>
      </c>
      <c r="G512" s="16">
        <v>679.75</v>
      </c>
      <c r="H512" s="17">
        <f>G512</f>
        <v>679.75</v>
      </c>
      <c r="I512" s="14"/>
      <c r="J512" s="18">
        <v>684.75</v>
      </c>
      <c r="K512" s="17">
        <f>H512-J512</f>
        <v>-5</v>
      </c>
      <c r="L512" s="12"/>
    </row>
    <row r="513" spans="1:12" hidden="1" outlineLevel="3" x14ac:dyDescent="0.25">
      <c r="A513" s="14" t="s">
        <v>131</v>
      </c>
      <c r="B513" s="14" t="s">
        <v>518</v>
      </c>
      <c r="C513" s="14" t="s">
        <v>136</v>
      </c>
      <c r="D513" s="14" t="s">
        <v>136</v>
      </c>
      <c r="E513" s="14">
        <v>177756</v>
      </c>
      <c r="F513" s="15">
        <v>45778</v>
      </c>
      <c r="G513" s="16">
        <v>210</v>
      </c>
      <c r="H513" s="17">
        <f>G513</f>
        <v>210</v>
      </c>
      <c r="I513" s="14"/>
      <c r="J513" s="18">
        <v>210</v>
      </c>
      <c r="K513" s="17">
        <f>H513-J513</f>
        <v>0</v>
      </c>
      <c r="L513" s="12"/>
    </row>
    <row r="514" spans="1:12" hidden="1" outlineLevel="3" x14ac:dyDescent="0.25">
      <c r="A514" s="14" t="s">
        <v>131</v>
      </c>
      <c r="B514" s="14" t="s">
        <v>518</v>
      </c>
      <c r="C514" s="14" t="s">
        <v>137</v>
      </c>
      <c r="D514" s="14" t="s">
        <v>520</v>
      </c>
      <c r="E514" s="14">
        <v>177756</v>
      </c>
      <c r="F514" s="15">
        <v>45778</v>
      </c>
      <c r="G514" s="16">
        <v>1670.92</v>
      </c>
      <c r="H514" s="17">
        <f>G514</f>
        <v>1670.92</v>
      </c>
      <c r="I514" s="14"/>
      <c r="J514" s="18">
        <v>1670.92</v>
      </c>
      <c r="K514" s="17">
        <f>H514-J514</f>
        <v>0</v>
      </c>
      <c r="L514" s="12"/>
    </row>
    <row r="515" spans="1:12" outlineLevel="2" collapsed="1" x14ac:dyDescent="0.25">
      <c r="A515" s="14"/>
      <c r="B515" s="8" t="s">
        <v>521</v>
      </c>
      <c r="C515" s="14"/>
      <c r="D515" s="14"/>
      <c r="E515" s="14"/>
      <c r="F515" s="15"/>
      <c r="G515" s="16">
        <f>SUBTOTAL(9,G511:G514)</f>
        <v>2908.67</v>
      </c>
      <c r="H515" s="17"/>
      <c r="I515" s="14"/>
      <c r="J515" s="18">
        <f>SUBTOTAL(9,J511:J514)</f>
        <v>2869.67</v>
      </c>
      <c r="K515" s="17">
        <f>SUBTOTAL(9,K511:K514)</f>
        <v>39</v>
      </c>
      <c r="L515" s="12"/>
    </row>
    <row r="516" spans="1:12" hidden="1" outlineLevel="3" x14ac:dyDescent="0.25">
      <c r="A516" s="14" t="s">
        <v>131</v>
      </c>
      <c r="B516" s="14" t="s">
        <v>522</v>
      </c>
      <c r="C516" s="14" t="s">
        <v>143</v>
      </c>
      <c r="D516" s="14" t="s">
        <v>523</v>
      </c>
      <c r="E516" s="14">
        <v>177757</v>
      </c>
      <c r="F516" s="15">
        <v>45778</v>
      </c>
      <c r="G516" s="16">
        <v>140</v>
      </c>
      <c r="H516" s="17">
        <f>G516</f>
        <v>140</v>
      </c>
      <c r="I516" s="14"/>
      <c r="J516" s="18">
        <v>140</v>
      </c>
      <c r="K516" s="17">
        <f>H516-J516</f>
        <v>0</v>
      </c>
      <c r="L516" s="12"/>
    </row>
    <row r="517" spans="1:12" hidden="1" outlineLevel="3" x14ac:dyDescent="0.25">
      <c r="A517" s="14" t="s">
        <v>131</v>
      </c>
      <c r="B517" s="14" t="s">
        <v>522</v>
      </c>
      <c r="C517" s="14" t="s">
        <v>133</v>
      </c>
      <c r="D517" s="14" t="s">
        <v>133</v>
      </c>
      <c r="E517" s="14">
        <v>177757</v>
      </c>
      <c r="F517" s="15">
        <v>45778</v>
      </c>
      <c r="G517" s="16">
        <v>183.78</v>
      </c>
      <c r="H517" s="17">
        <f>G517</f>
        <v>183.78</v>
      </c>
      <c r="I517" s="14"/>
      <c r="J517" s="18">
        <v>178.52</v>
      </c>
      <c r="K517" s="17">
        <f>H517-J517</f>
        <v>5.2599999999999909</v>
      </c>
      <c r="L517" s="12"/>
    </row>
    <row r="518" spans="1:12" hidden="1" outlineLevel="3" x14ac:dyDescent="0.25">
      <c r="A518" s="14" t="s">
        <v>131</v>
      </c>
      <c r="B518" s="14" t="s">
        <v>522</v>
      </c>
      <c r="C518" s="14" t="s">
        <v>136</v>
      </c>
      <c r="D518" s="14" t="s">
        <v>136</v>
      </c>
      <c r="E518" s="14">
        <v>177757</v>
      </c>
      <c r="F518" s="15">
        <v>45778</v>
      </c>
      <c r="G518" s="16">
        <v>136.5</v>
      </c>
      <c r="H518" s="17">
        <f>G518</f>
        <v>136.5</v>
      </c>
      <c r="I518" s="14"/>
      <c r="J518" s="18">
        <v>131.25</v>
      </c>
      <c r="K518" s="17">
        <f>H518-J518</f>
        <v>5.25</v>
      </c>
      <c r="L518" s="12"/>
    </row>
    <row r="519" spans="1:12" hidden="1" outlineLevel="3" x14ac:dyDescent="0.25">
      <c r="A519" s="14" t="s">
        <v>131</v>
      </c>
      <c r="B519" s="14" t="s">
        <v>522</v>
      </c>
      <c r="C519" s="14" t="s">
        <v>137</v>
      </c>
      <c r="D519" s="14" t="s">
        <v>524</v>
      </c>
      <c r="E519" s="14">
        <v>177757</v>
      </c>
      <c r="F519" s="15">
        <v>45778</v>
      </c>
      <c r="G519" s="16">
        <v>2639.29</v>
      </c>
      <c r="H519" s="17">
        <f>G519</f>
        <v>2639.29</v>
      </c>
      <c r="I519" s="14"/>
      <c r="J519" s="18">
        <v>2639.29</v>
      </c>
      <c r="K519" s="17">
        <f>H519-J519</f>
        <v>0</v>
      </c>
      <c r="L519" s="12"/>
    </row>
    <row r="520" spans="1:12" hidden="1" outlineLevel="3" x14ac:dyDescent="0.25">
      <c r="A520" s="14" t="s">
        <v>131</v>
      </c>
      <c r="B520" s="14" t="s">
        <v>522</v>
      </c>
      <c r="C520" s="14" t="s">
        <v>201</v>
      </c>
      <c r="D520" s="14" t="s">
        <v>525</v>
      </c>
      <c r="E520" s="14">
        <v>177757</v>
      </c>
      <c r="F520" s="15">
        <v>45778</v>
      </c>
      <c r="G520" s="16">
        <v>919.28</v>
      </c>
      <c r="H520" s="17">
        <f>G520</f>
        <v>919.28</v>
      </c>
      <c r="I520" s="14"/>
      <c r="J520" s="18">
        <v>919.28</v>
      </c>
      <c r="K520" s="17">
        <f>H520-J520</f>
        <v>0</v>
      </c>
      <c r="L520" s="12"/>
    </row>
    <row r="521" spans="1:12" outlineLevel="2" collapsed="1" x14ac:dyDescent="0.25">
      <c r="A521" s="14"/>
      <c r="B521" s="8" t="s">
        <v>526</v>
      </c>
      <c r="C521" s="14"/>
      <c r="D521" s="14"/>
      <c r="E521" s="14"/>
      <c r="F521" s="15"/>
      <c r="G521" s="16">
        <f>SUBTOTAL(9,G516:G520)</f>
        <v>4018.8499999999995</v>
      </c>
      <c r="H521" s="17"/>
      <c r="I521" s="14"/>
      <c r="J521" s="18">
        <f>SUBTOTAL(9,J516:J520)</f>
        <v>4008.34</v>
      </c>
      <c r="K521" s="17">
        <f>SUBTOTAL(9,K516:K520)</f>
        <v>10.509999999999991</v>
      </c>
      <c r="L521" s="12"/>
    </row>
    <row r="522" spans="1:12" hidden="1" outlineLevel="3" x14ac:dyDescent="0.25">
      <c r="A522" s="14" t="s">
        <v>131</v>
      </c>
      <c r="B522" s="14" t="s">
        <v>527</v>
      </c>
      <c r="C522" s="14" t="s">
        <v>133</v>
      </c>
      <c r="D522" s="14" t="s">
        <v>528</v>
      </c>
      <c r="E522" s="14">
        <v>177760</v>
      </c>
      <c r="F522" s="15">
        <v>45778</v>
      </c>
      <c r="G522" s="16">
        <v>270</v>
      </c>
      <c r="H522" s="17">
        <f>G522</f>
        <v>270</v>
      </c>
      <c r="I522" s="14"/>
      <c r="J522" s="18">
        <v>270</v>
      </c>
      <c r="K522" s="17">
        <f>H522-J522</f>
        <v>0</v>
      </c>
      <c r="L522" s="12"/>
    </row>
    <row r="523" spans="1:12" hidden="1" outlineLevel="3" x14ac:dyDescent="0.25">
      <c r="A523" s="14" t="s">
        <v>131</v>
      </c>
      <c r="B523" s="14" t="s">
        <v>527</v>
      </c>
      <c r="C523" s="14" t="s">
        <v>133</v>
      </c>
      <c r="D523" s="14" t="s">
        <v>529</v>
      </c>
      <c r="E523" s="14">
        <v>177758</v>
      </c>
      <c r="F523" s="15">
        <v>45778</v>
      </c>
      <c r="G523" s="16">
        <v>352</v>
      </c>
      <c r="H523" s="17">
        <f>G523</f>
        <v>352</v>
      </c>
      <c r="I523" s="14"/>
      <c r="J523" s="18">
        <v>352</v>
      </c>
      <c r="K523" s="17">
        <f>H523-J523</f>
        <v>0</v>
      </c>
      <c r="L523" s="12"/>
    </row>
    <row r="524" spans="1:12" hidden="1" outlineLevel="3" x14ac:dyDescent="0.25">
      <c r="A524" s="14" t="s">
        <v>131</v>
      </c>
      <c r="B524" s="14" t="s">
        <v>527</v>
      </c>
      <c r="C524" s="14" t="s">
        <v>136</v>
      </c>
      <c r="D524" s="14" t="s">
        <v>136</v>
      </c>
      <c r="E524" s="14">
        <v>177761</v>
      </c>
      <c r="F524" s="15">
        <v>45778</v>
      </c>
      <c r="G524" s="16">
        <v>2070.25</v>
      </c>
      <c r="H524" s="17">
        <f>G524</f>
        <v>2070.25</v>
      </c>
      <c r="I524" s="14"/>
      <c r="J524" s="18">
        <v>2086.5</v>
      </c>
      <c r="K524" s="17">
        <f>H524-J524</f>
        <v>-16.25</v>
      </c>
      <c r="L524" s="12"/>
    </row>
    <row r="525" spans="1:12" hidden="1" outlineLevel="3" x14ac:dyDescent="0.25">
      <c r="A525" s="14" t="s">
        <v>131</v>
      </c>
      <c r="B525" s="14" t="s">
        <v>527</v>
      </c>
      <c r="C525" s="14" t="s">
        <v>137</v>
      </c>
      <c r="D525" s="14" t="s">
        <v>530</v>
      </c>
      <c r="E525" s="14">
        <v>177759</v>
      </c>
      <c r="F525" s="15">
        <v>45778</v>
      </c>
      <c r="G525" s="16">
        <v>11139.45</v>
      </c>
      <c r="H525" s="17">
        <f>G525</f>
        <v>11139.45</v>
      </c>
      <c r="I525" s="14"/>
      <c r="J525" s="18">
        <v>11139.45</v>
      </c>
      <c r="K525" s="17">
        <f>H525-J525</f>
        <v>0</v>
      </c>
      <c r="L525" s="12"/>
    </row>
    <row r="526" spans="1:12" outlineLevel="2" collapsed="1" x14ac:dyDescent="0.25">
      <c r="A526" s="14"/>
      <c r="B526" s="8" t="s">
        <v>531</v>
      </c>
      <c r="C526" s="14"/>
      <c r="D526" s="14"/>
      <c r="E526" s="14"/>
      <c r="F526" s="15"/>
      <c r="G526" s="16">
        <f>SUBTOTAL(9,G522:G525)</f>
        <v>13831.7</v>
      </c>
      <c r="H526" s="17"/>
      <c r="I526" s="14"/>
      <c r="J526" s="18">
        <f>SUBTOTAL(9,J522:J525)</f>
        <v>13847.95</v>
      </c>
      <c r="K526" s="17">
        <f>SUBTOTAL(9,K522:K525)</f>
        <v>-16.25</v>
      </c>
      <c r="L526" s="12"/>
    </row>
    <row r="527" spans="1:12" hidden="1" outlineLevel="3" x14ac:dyDescent="0.25">
      <c r="A527" s="14" t="s">
        <v>131</v>
      </c>
      <c r="B527" s="14" t="s">
        <v>532</v>
      </c>
      <c r="C527" s="14" t="s">
        <v>143</v>
      </c>
      <c r="D527" s="14" t="s">
        <v>533</v>
      </c>
      <c r="E527" s="14">
        <v>177912</v>
      </c>
      <c r="F527" s="15">
        <v>45778</v>
      </c>
      <c r="G527" s="16">
        <v>154</v>
      </c>
      <c r="H527" s="17">
        <f>G527</f>
        <v>154</v>
      </c>
      <c r="I527" s="14"/>
      <c r="J527" s="18">
        <v>154</v>
      </c>
      <c r="K527" s="17">
        <f>H527-J527</f>
        <v>0</v>
      </c>
      <c r="L527" s="12"/>
    </row>
    <row r="528" spans="1:12" hidden="1" outlineLevel="3" x14ac:dyDescent="0.25">
      <c r="A528" s="14" t="s">
        <v>131</v>
      </c>
      <c r="B528" s="14" t="s">
        <v>532</v>
      </c>
      <c r="C528" s="14" t="s">
        <v>143</v>
      </c>
      <c r="D528" s="14" t="s">
        <v>534</v>
      </c>
      <c r="E528" s="14">
        <v>177912</v>
      </c>
      <c r="F528" s="15">
        <v>45778</v>
      </c>
      <c r="G528" s="16">
        <v>1132</v>
      </c>
      <c r="H528" s="17">
        <f>G528</f>
        <v>1132</v>
      </c>
      <c r="I528" s="14"/>
      <c r="J528" s="18">
        <v>1132</v>
      </c>
      <c r="K528" s="17">
        <f>H528-J528</f>
        <v>0</v>
      </c>
      <c r="L528" s="12"/>
    </row>
    <row r="529" spans="1:12" hidden="1" outlineLevel="3" x14ac:dyDescent="0.25">
      <c r="A529" s="14" t="s">
        <v>131</v>
      </c>
      <c r="B529" s="14" t="s">
        <v>532</v>
      </c>
      <c r="C529" s="14" t="s">
        <v>133</v>
      </c>
      <c r="D529" s="14" t="s">
        <v>133</v>
      </c>
      <c r="E529" s="14">
        <v>177912</v>
      </c>
      <c r="F529" s="15">
        <v>45778</v>
      </c>
      <c r="G529" s="16">
        <v>804.25</v>
      </c>
      <c r="H529" s="17">
        <f>G529</f>
        <v>804.25</v>
      </c>
      <c r="I529" s="14"/>
      <c r="J529" s="18">
        <v>804.25</v>
      </c>
      <c r="K529" s="17">
        <f>H529-J529</f>
        <v>0</v>
      </c>
      <c r="L529" s="12"/>
    </row>
    <row r="530" spans="1:12" hidden="1" outlineLevel="3" x14ac:dyDescent="0.25">
      <c r="A530" s="14" t="s">
        <v>131</v>
      </c>
      <c r="B530" s="14" t="s">
        <v>532</v>
      </c>
      <c r="C530" s="14" t="s">
        <v>136</v>
      </c>
      <c r="D530" s="14" t="s">
        <v>136</v>
      </c>
      <c r="E530" s="14">
        <v>177912</v>
      </c>
      <c r="F530" s="15">
        <v>45778</v>
      </c>
      <c r="G530" s="16">
        <v>1784.6</v>
      </c>
      <c r="H530" s="17">
        <f>G530</f>
        <v>1784.6</v>
      </c>
      <c r="I530" s="14"/>
      <c r="J530" s="18">
        <v>1760.6</v>
      </c>
      <c r="K530" s="17">
        <f>H530-J530</f>
        <v>24</v>
      </c>
      <c r="L530" s="12"/>
    </row>
    <row r="531" spans="1:12" hidden="1" outlineLevel="3" x14ac:dyDescent="0.25">
      <c r="A531" s="20" t="s">
        <v>131</v>
      </c>
      <c r="B531" s="20" t="s">
        <v>532</v>
      </c>
      <c r="C531" s="20" t="s">
        <v>137</v>
      </c>
      <c r="D531" s="20" t="s">
        <v>137</v>
      </c>
      <c r="E531" s="20">
        <v>177912</v>
      </c>
      <c r="F531" s="21">
        <v>45778</v>
      </c>
      <c r="G531" s="22">
        <v>4372.3900000000003</v>
      </c>
      <c r="H531" s="23">
        <f>G531</f>
        <v>4372.3900000000003</v>
      </c>
      <c r="I531" s="20"/>
      <c r="J531" s="24">
        <v>4245.04</v>
      </c>
      <c r="K531" s="23">
        <f>H531-J531</f>
        <v>127.35000000000036</v>
      </c>
      <c r="L531" s="25" t="s">
        <v>162</v>
      </c>
    </row>
    <row r="532" spans="1:12" outlineLevel="2" collapsed="1" x14ac:dyDescent="0.25">
      <c r="A532" s="20"/>
      <c r="B532" s="26" t="s">
        <v>535</v>
      </c>
      <c r="C532" s="20"/>
      <c r="D532" s="20"/>
      <c r="E532" s="20"/>
      <c r="F532" s="21"/>
      <c r="G532" s="22">
        <f>SUBTOTAL(9,G527:G531)</f>
        <v>8247.24</v>
      </c>
      <c r="H532" s="23"/>
      <c r="I532" s="20"/>
      <c r="J532" s="24">
        <f>SUBTOTAL(9,J527:J531)</f>
        <v>8095.8899999999994</v>
      </c>
      <c r="K532" s="23">
        <f>SUBTOTAL(9,K527:K531)</f>
        <v>151.35000000000036</v>
      </c>
      <c r="L532" s="25" t="s">
        <v>162</v>
      </c>
    </row>
    <row r="533" spans="1:12" hidden="1" outlineLevel="3" x14ac:dyDescent="0.25">
      <c r="A533" s="14" t="s">
        <v>131</v>
      </c>
      <c r="B533" s="14" t="s">
        <v>536</v>
      </c>
      <c r="C533" s="14" t="s">
        <v>143</v>
      </c>
      <c r="D533" s="14" t="s">
        <v>143</v>
      </c>
      <c r="E533" s="14">
        <v>177763</v>
      </c>
      <c r="F533" s="15">
        <v>45778</v>
      </c>
      <c r="G533" s="16">
        <v>282</v>
      </c>
      <c r="H533" s="17">
        <f>G533</f>
        <v>282</v>
      </c>
      <c r="I533" s="14"/>
      <c r="J533" s="18">
        <v>282</v>
      </c>
      <c r="K533" s="17">
        <f>H533-J533</f>
        <v>0</v>
      </c>
      <c r="L533" s="12"/>
    </row>
    <row r="534" spans="1:12" hidden="1" outlineLevel="3" x14ac:dyDescent="0.25">
      <c r="A534" s="14" t="s">
        <v>131</v>
      </c>
      <c r="B534" s="14" t="s">
        <v>536</v>
      </c>
      <c r="C534" s="14" t="s">
        <v>133</v>
      </c>
      <c r="D534" s="14" t="s">
        <v>133</v>
      </c>
      <c r="E534" s="14">
        <v>177763</v>
      </c>
      <c r="F534" s="15">
        <v>45778</v>
      </c>
      <c r="G534" s="16">
        <v>753.48720000000003</v>
      </c>
      <c r="H534" s="17">
        <f>G534</f>
        <v>753.48720000000003</v>
      </c>
      <c r="I534" s="14"/>
      <c r="J534" s="18">
        <v>621.54920000000004</v>
      </c>
      <c r="K534" s="17">
        <f>H534-J534</f>
        <v>131.93799999999999</v>
      </c>
      <c r="L534" s="12"/>
    </row>
    <row r="535" spans="1:12" hidden="1" outlineLevel="3" x14ac:dyDescent="0.25">
      <c r="A535" s="14" t="s">
        <v>131</v>
      </c>
      <c r="B535" s="14" t="s">
        <v>536</v>
      </c>
      <c r="C535" s="14" t="s">
        <v>136</v>
      </c>
      <c r="D535" s="14" t="s">
        <v>136</v>
      </c>
      <c r="E535" s="14">
        <v>177763</v>
      </c>
      <c r="F535" s="15">
        <v>45778</v>
      </c>
      <c r="G535" s="16">
        <v>189</v>
      </c>
      <c r="H535" s="17">
        <f>G535</f>
        <v>189</v>
      </c>
      <c r="I535" s="14"/>
      <c r="J535" s="18">
        <v>189</v>
      </c>
      <c r="K535" s="17">
        <f>H535-J535</f>
        <v>0</v>
      </c>
      <c r="L535" s="12"/>
    </row>
    <row r="536" spans="1:12" hidden="1" outlineLevel="3" x14ac:dyDescent="0.25">
      <c r="A536" s="14" t="s">
        <v>131</v>
      </c>
      <c r="B536" s="14" t="s">
        <v>536</v>
      </c>
      <c r="C536" s="14" t="s">
        <v>137</v>
      </c>
      <c r="D536" s="14" t="s">
        <v>137</v>
      </c>
      <c r="E536" s="14">
        <v>177763</v>
      </c>
      <c r="F536" s="15">
        <v>45778</v>
      </c>
      <c r="G536" s="16">
        <v>1680.0028</v>
      </c>
      <c r="H536" s="17">
        <f>G536</f>
        <v>1680.0028</v>
      </c>
      <c r="I536" s="14"/>
      <c r="J536" s="18">
        <v>1680.0008</v>
      </c>
      <c r="K536" s="17">
        <f>H536-J536</f>
        <v>1.9999999999527063E-3</v>
      </c>
      <c r="L536" s="12"/>
    </row>
    <row r="537" spans="1:12" outlineLevel="2" collapsed="1" x14ac:dyDescent="0.25">
      <c r="A537" s="14"/>
      <c r="B537" s="8" t="s">
        <v>537</v>
      </c>
      <c r="C537" s="14"/>
      <c r="D537" s="14"/>
      <c r="E537" s="14"/>
      <c r="F537" s="15"/>
      <c r="G537" s="16">
        <f>SUBTOTAL(9,G533:G536)</f>
        <v>2904.49</v>
      </c>
      <c r="H537" s="17"/>
      <c r="I537" s="14"/>
      <c r="J537" s="18">
        <f>SUBTOTAL(9,J533:J536)</f>
        <v>2772.55</v>
      </c>
      <c r="K537" s="17">
        <f>SUBTOTAL(9,K533:K536)</f>
        <v>131.93999999999994</v>
      </c>
      <c r="L537" s="12"/>
    </row>
    <row r="538" spans="1:12" hidden="1" outlineLevel="3" x14ac:dyDescent="0.25">
      <c r="A538" s="14" t="s">
        <v>131</v>
      </c>
      <c r="B538" s="14" t="s">
        <v>538</v>
      </c>
      <c r="C538" s="14" t="s">
        <v>133</v>
      </c>
      <c r="D538" s="14" t="s">
        <v>223</v>
      </c>
      <c r="E538" s="14">
        <v>177765</v>
      </c>
      <c r="F538" s="15">
        <v>45778</v>
      </c>
      <c r="G538" s="16">
        <v>1131</v>
      </c>
      <c r="H538" s="17">
        <f>G538</f>
        <v>1131</v>
      </c>
      <c r="I538" s="14"/>
      <c r="J538" s="18">
        <v>1131</v>
      </c>
      <c r="K538" s="17">
        <f>H538-J538</f>
        <v>0</v>
      </c>
      <c r="L538" s="12"/>
    </row>
    <row r="539" spans="1:12" hidden="1" outlineLevel="3" x14ac:dyDescent="0.25">
      <c r="A539" s="14" t="s">
        <v>131</v>
      </c>
      <c r="B539" s="14" t="s">
        <v>538</v>
      </c>
      <c r="C539" s="14" t="s">
        <v>136</v>
      </c>
      <c r="D539" s="14" t="s">
        <v>136</v>
      </c>
      <c r="E539" s="14">
        <v>177766</v>
      </c>
      <c r="F539" s="15">
        <v>45778</v>
      </c>
      <c r="G539" s="16">
        <v>4294.5</v>
      </c>
      <c r="H539" s="17">
        <f>G539</f>
        <v>4294.5</v>
      </c>
      <c r="I539" s="14"/>
      <c r="J539" s="18">
        <v>4362.75</v>
      </c>
      <c r="K539" s="17">
        <f>H539-J539</f>
        <v>-68.25</v>
      </c>
      <c r="L539" s="12"/>
    </row>
    <row r="540" spans="1:12" hidden="1" outlineLevel="3" x14ac:dyDescent="0.25">
      <c r="A540" s="14" t="s">
        <v>131</v>
      </c>
      <c r="B540" s="14" t="s">
        <v>538</v>
      </c>
      <c r="C540" s="14" t="s">
        <v>137</v>
      </c>
      <c r="D540" s="14" t="s">
        <v>539</v>
      </c>
      <c r="E540" s="14">
        <v>177764</v>
      </c>
      <c r="F540" s="15">
        <v>45778</v>
      </c>
      <c r="G540" s="16">
        <v>618</v>
      </c>
      <c r="H540" s="17">
        <f>G540</f>
        <v>618</v>
      </c>
      <c r="I540" s="14"/>
      <c r="J540" s="18">
        <v>618</v>
      </c>
      <c r="K540" s="17">
        <f>H540-J540</f>
        <v>0</v>
      </c>
      <c r="L540" s="12"/>
    </row>
    <row r="541" spans="1:12" hidden="1" outlineLevel="3" x14ac:dyDescent="0.25">
      <c r="A541" s="14" t="s">
        <v>131</v>
      </c>
      <c r="B541" s="14" t="s">
        <v>538</v>
      </c>
      <c r="C541" s="14" t="s">
        <v>137</v>
      </c>
      <c r="D541" s="14" t="s">
        <v>147</v>
      </c>
      <c r="E541" s="14">
        <v>177766</v>
      </c>
      <c r="F541" s="15">
        <v>45778</v>
      </c>
      <c r="G541" s="16">
        <v>11028.25</v>
      </c>
      <c r="H541" s="17">
        <f>G541</f>
        <v>11028.25</v>
      </c>
      <c r="I541" s="14"/>
      <c r="J541" s="18">
        <v>11028.25</v>
      </c>
      <c r="K541" s="17">
        <f>H541-J541</f>
        <v>0</v>
      </c>
      <c r="L541" s="12"/>
    </row>
    <row r="542" spans="1:12" hidden="1" outlineLevel="3" x14ac:dyDescent="0.25">
      <c r="A542" s="14" t="s">
        <v>131</v>
      </c>
      <c r="B542" s="14" t="s">
        <v>538</v>
      </c>
      <c r="C542" s="14" t="s">
        <v>201</v>
      </c>
      <c r="D542" s="14" t="s">
        <v>540</v>
      </c>
      <c r="E542" s="14">
        <v>177766</v>
      </c>
      <c r="F542" s="15">
        <v>45778</v>
      </c>
      <c r="G542" s="16">
        <v>3650</v>
      </c>
      <c r="H542" s="17">
        <f>G542</f>
        <v>3650</v>
      </c>
      <c r="I542" s="14"/>
      <c r="J542" s="18">
        <v>3650</v>
      </c>
      <c r="K542" s="17">
        <f>H542-J542</f>
        <v>0</v>
      </c>
      <c r="L542" s="12"/>
    </row>
    <row r="543" spans="1:12" outlineLevel="2" collapsed="1" x14ac:dyDescent="0.25">
      <c r="A543" s="14"/>
      <c r="B543" s="8" t="s">
        <v>541</v>
      </c>
      <c r="C543" s="14"/>
      <c r="D543" s="14"/>
      <c r="E543" s="14"/>
      <c r="F543" s="15"/>
      <c r="G543" s="16">
        <f>SUBTOTAL(9,G538:G542)</f>
        <v>20721.75</v>
      </c>
      <c r="H543" s="17"/>
      <c r="I543" s="14"/>
      <c r="J543" s="18">
        <f>SUBTOTAL(9,J538:J542)</f>
        <v>20790</v>
      </c>
      <c r="K543" s="17">
        <f>SUBTOTAL(9,K538:K542)</f>
        <v>-68.25</v>
      </c>
      <c r="L543" s="12"/>
    </row>
    <row r="544" spans="1:12" hidden="1" outlineLevel="3" x14ac:dyDescent="0.25">
      <c r="A544" s="14" t="s">
        <v>131</v>
      </c>
      <c r="B544" s="14" t="s">
        <v>542</v>
      </c>
      <c r="C544" s="14" t="s">
        <v>143</v>
      </c>
      <c r="D544" s="14" t="s">
        <v>143</v>
      </c>
      <c r="E544" s="14">
        <v>177768</v>
      </c>
      <c r="F544" s="15">
        <v>45778</v>
      </c>
      <c r="G544" s="16">
        <v>1936.2</v>
      </c>
      <c r="H544" s="17">
        <f>G544</f>
        <v>1936.2</v>
      </c>
      <c r="I544" s="14"/>
      <c r="J544" s="18">
        <v>1883.4</v>
      </c>
      <c r="K544" s="17">
        <f>H544-J544</f>
        <v>52.799999999999955</v>
      </c>
      <c r="L544" s="12"/>
    </row>
    <row r="545" spans="1:12" hidden="1" outlineLevel="3" x14ac:dyDescent="0.25">
      <c r="A545" s="14" t="s">
        <v>131</v>
      </c>
      <c r="B545" s="14" t="s">
        <v>542</v>
      </c>
      <c r="C545" s="14" t="s">
        <v>133</v>
      </c>
      <c r="D545" s="14" t="s">
        <v>133</v>
      </c>
      <c r="E545" s="14">
        <v>177767</v>
      </c>
      <c r="F545" s="15">
        <v>45778</v>
      </c>
      <c r="G545" s="16">
        <v>294</v>
      </c>
      <c r="H545" s="17">
        <f>G545</f>
        <v>294</v>
      </c>
      <c r="I545" s="14"/>
      <c r="J545" s="18">
        <v>170</v>
      </c>
      <c r="K545" s="17">
        <f>H545-J545</f>
        <v>124</v>
      </c>
      <c r="L545" s="12" t="s">
        <v>543</v>
      </c>
    </row>
    <row r="546" spans="1:12" hidden="1" outlineLevel="3" x14ac:dyDescent="0.25">
      <c r="A546" s="14" t="s">
        <v>131</v>
      </c>
      <c r="B546" s="14" t="s">
        <v>542</v>
      </c>
      <c r="C546" s="14" t="s">
        <v>136</v>
      </c>
      <c r="D546" s="14" t="s">
        <v>136</v>
      </c>
      <c r="E546" s="14">
        <v>177767</v>
      </c>
      <c r="F546" s="15">
        <v>45778</v>
      </c>
      <c r="G546" s="16">
        <v>1331.5</v>
      </c>
      <c r="H546" s="17">
        <f>G546</f>
        <v>1331.5</v>
      </c>
      <c r="I546" s="14"/>
      <c r="J546" s="18">
        <v>1091</v>
      </c>
      <c r="K546" s="17">
        <f>H546-J546</f>
        <v>240.5</v>
      </c>
      <c r="L546" s="12"/>
    </row>
    <row r="547" spans="1:12" hidden="1" outlineLevel="3" x14ac:dyDescent="0.25">
      <c r="A547" s="14" t="s">
        <v>131</v>
      </c>
      <c r="B547" s="14" t="s">
        <v>542</v>
      </c>
      <c r="C547" s="14" t="s">
        <v>137</v>
      </c>
      <c r="D547" s="14" t="s">
        <v>137</v>
      </c>
      <c r="E547" s="14">
        <v>177767</v>
      </c>
      <c r="F547" s="15">
        <v>45778</v>
      </c>
      <c r="G547" s="16">
        <v>6319</v>
      </c>
      <c r="H547" s="17">
        <f>G547</f>
        <v>6319</v>
      </c>
      <c r="I547" s="14"/>
      <c r="J547" s="18">
        <v>3560</v>
      </c>
      <c r="K547" s="17">
        <f>H547-J547</f>
        <v>2759</v>
      </c>
      <c r="L547" s="12" t="s">
        <v>543</v>
      </c>
    </row>
    <row r="548" spans="1:12" hidden="1" outlineLevel="3" x14ac:dyDescent="0.25">
      <c r="A548" s="14" t="s">
        <v>131</v>
      </c>
      <c r="B548" s="14" t="s">
        <v>542</v>
      </c>
      <c r="C548" s="14"/>
      <c r="D548" s="14"/>
      <c r="E548" s="14" t="s">
        <v>544</v>
      </c>
      <c r="F548" s="15"/>
      <c r="G548" s="27">
        <v>-3100</v>
      </c>
      <c r="H548" s="27">
        <f>G548</f>
        <v>-3100</v>
      </c>
      <c r="I548" s="14"/>
      <c r="J548" s="27">
        <v>0</v>
      </c>
      <c r="K548" s="17">
        <f>H548-J548</f>
        <v>-3100</v>
      </c>
      <c r="L548" s="12" t="s">
        <v>545</v>
      </c>
    </row>
    <row r="549" spans="1:12" outlineLevel="2" collapsed="1" x14ac:dyDescent="0.25">
      <c r="A549" s="14"/>
      <c r="B549" s="8" t="s">
        <v>546</v>
      </c>
      <c r="C549" s="14"/>
      <c r="D549" s="14"/>
      <c r="E549" s="14"/>
      <c r="F549" s="15"/>
      <c r="G549" s="27">
        <f>SUBTOTAL(9,G544:G548)</f>
        <v>6780.7000000000007</v>
      </c>
      <c r="H549" s="27"/>
      <c r="I549" s="14"/>
      <c r="J549" s="27">
        <f>SUBTOTAL(9,J544:J548)</f>
        <v>6704.4</v>
      </c>
      <c r="K549" s="17">
        <f>SUBTOTAL(9,K544:K548)</f>
        <v>76.300000000000182</v>
      </c>
      <c r="L549" s="12"/>
    </row>
    <row r="550" spans="1:12" hidden="1" outlineLevel="3" x14ac:dyDescent="0.25">
      <c r="A550" s="14" t="s">
        <v>131</v>
      </c>
      <c r="B550" s="14" t="s">
        <v>547</v>
      </c>
      <c r="C550" s="14" t="s">
        <v>137</v>
      </c>
      <c r="D550" s="14" t="s">
        <v>137</v>
      </c>
      <c r="E550" s="14">
        <v>177769</v>
      </c>
      <c r="F550" s="15">
        <v>45778</v>
      </c>
      <c r="G550" s="42">
        <v>7135</v>
      </c>
      <c r="H550" s="17">
        <f>G550</f>
        <v>7135</v>
      </c>
      <c r="I550" s="14"/>
      <c r="J550" s="28">
        <v>7155</v>
      </c>
      <c r="K550" s="17">
        <f>H550-J550</f>
        <v>-20</v>
      </c>
      <c r="L550" s="12"/>
    </row>
    <row r="551" spans="1:12" outlineLevel="2" collapsed="1" x14ac:dyDescent="0.25">
      <c r="A551" s="14"/>
      <c r="B551" s="8" t="s">
        <v>548</v>
      </c>
      <c r="C551" s="14"/>
      <c r="D551" s="14"/>
      <c r="E551" s="14"/>
      <c r="F551" s="15"/>
      <c r="G551" s="42">
        <f>SUBTOTAL(9,G550:G550)</f>
        <v>7135</v>
      </c>
      <c r="H551" s="17"/>
      <c r="I551" s="14"/>
      <c r="J551" s="28">
        <f>SUBTOTAL(9,J550:J550)</f>
        <v>7155</v>
      </c>
      <c r="K551" s="17">
        <f>SUBTOTAL(9,K550:K550)</f>
        <v>-20</v>
      </c>
      <c r="L551" s="12"/>
    </row>
    <row r="552" spans="1:12" hidden="1" outlineLevel="3" x14ac:dyDescent="0.25">
      <c r="A552" s="14" t="s">
        <v>131</v>
      </c>
      <c r="B552" s="14" t="s">
        <v>549</v>
      </c>
      <c r="C552" s="14" t="s">
        <v>143</v>
      </c>
      <c r="D552" s="14" t="s">
        <v>143</v>
      </c>
      <c r="E552" s="14">
        <v>177656</v>
      </c>
      <c r="F552" s="15">
        <v>45778</v>
      </c>
      <c r="G552" s="42">
        <v>352</v>
      </c>
      <c r="H552" s="17">
        <f t="shared" ref="H552:H558" si="10">G552</f>
        <v>352</v>
      </c>
      <c r="I552" s="14"/>
      <c r="J552" s="28">
        <v>506</v>
      </c>
      <c r="K552" s="17">
        <f t="shared" ref="K552:K558" si="11">H552-J552</f>
        <v>-154</v>
      </c>
      <c r="L552" s="12" t="s">
        <v>550</v>
      </c>
    </row>
    <row r="553" spans="1:12" hidden="1" outlineLevel="3" x14ac:dyDescent="0.25">
      <c r="A553" s="14" t="s">
        <v>131</v>
      </c>
      <c r="B553" s="14" t="s">
        <v>549</v>
      </c>
      <c r="C553" s="14" t="s">
        <v>133</v>
      </c>
      <c r="D553" s="14" t="s">
        <v>133</v>
      </c>
      <c r="E553" s="14">
        <v>177656</v>
      </c>
      <c r="F553" s="15">
        <v>45778</v>
      </c>
      <c r="G553" s="42">
        <v>147.34</v>
      </c>
      <c r="H553" s="17">
        <f t="shared" si="10"/>
        <v>147.34</v>
      </c>
      <c r="I553" s="14"/>
      <c r="J553" s="28">
        <v>180.23</v>
      </c>
      <c r="K553" s="17">
        <f t="shared" si="11"/>
        <v>-32.889999999999986</v>
      </c>
      <c r="L553" s="12"/>
    </row>
    <row r="554" spans="1:12" hidden="1" outlineLevel="3" x14ac:dyDescent="0.25">
      <c r="A554" s="14" t="s">
        <v>131</v>
      </c>
      <c r="B554" s="14" t="s">
        <v>549</v>
      </c>
      <c r="C554" s="14" t="s">
        <v>136</v>
      </c>
      <c r="D554" s="14" t="s">
        <v>136</v>
      </c>
      <c r="E554" s="14">
        <v>177656</v>
      </c>
      <c r="F554" s="15">
        <v>45778</v>
      </c>
      <c r="G554" s="42">
        <v>1136.2</v>
      </c>
      <c r="H554" s="17">
        <f t="shared" si="10"/>
        <v>1136.2</v>
      </c>
      <c r="I554" s="14"/>
      <c r="J554" s="28">
        <v>1092.0999999999999</v>
      </c>
      <c r="K554" s="17">
        <f t="shared" si="11"/>
        <v>44.100000000000136</v>
      </c>
      <c r="L554" s="12"/>
    </row>
    <row r="555" spans="1:12" hidden="1" outlineLevel="3" x14ac:dyDescent="0.25">
      <c r="A555" s="14" t="s">
        <v>131</v>
      </c>
      <c r="B555" s="14" t="s">
        <v>549</v>
      </c>
      <c r="C555" s="14" t="s">
        <v>137</v>
      </c>
      <c r="D555" s="14" t="s">
        <v>137</v>
      </c>
      <c r="E555" s="14">
        <v>177656</v>
      </c>
      <c r="F555" s="15">
        <v>45778</v>
      </c>
      <c r="G555" s="42">
        <v>1801</v>
      </c>
      <c r="H555" s="17">
        <f t="shared" si="10"/>
        <v>1801</v>
      </c>
      <c r="I555" s="14"/>
      <c r="J555" s="28">
        <v>1801</v>
      </c>
      <c r="K555" s="17">
        <f t="shared" si="11"/>
        <v>0</v>
      </c>
      <c r="L555" s="12"/>
    </row>
    <row r="556" spans="1:12" hidden="1" outlineLevel="3" x14ac:dyDescent="0.25">
      <c r="A556" s="14" t="s">
        <v>131</v>
      </c>
      <c r="B556" s="14" t="s">
        <v>549</v>
      </c>
      <c r="C556" s="14" t="s">
        <v>201</v>
      </c>
      <c r="D556" s="14" t="s">
        <v>201</v>
      </c>
      <c r="E556" s="14">
        <v>177656</v>
      </c>
      <c r="F556" s="15">
        <v>45778</v>
      </c>
      <c r="G556" s="42">
        <v>92</v>
      </c>
      <c r="H556" s="17">
        <f t="shared" si="10"/>
        <v>92</v>
      </c>
      <c r="I556" s="14"/>
      <c r="J556" s="28">
        <v>92</v>
      </c>
      <c r="K556" s="17">
        <f t="shared" si="11"/>
        <v>0</v>
      </c>
      <c r="L556" s="12"/>
    </row>
    <row r="557" spans="1:12" hidden="1" outlineLevel="3" x14ac:dyDescent="0.25">
      <c r="A557" s="14" t="s">
        <v>131</v>
      </c>
      <c r="B557" s="14" t="s">
        <v>549</v>
      </c>
      <c r="C557" s="14" t="s">
        <v>137</v>
      </c>
      <c r="D557" s="14" t="s">
        <v>137</v>
      </c>
      <c r="E557" s="14"/>
      <c r="F557" s="15"/>
      <c r="G557" s="27"/>
      <c r="H557" s="27">
        <f t="shared" si="10"/>
        <v>0</v>
      </c>
      <c r="I557" s="14"/>
      <c r="J557" s="27">
        <v>-308</v>
      </c>
      <c r="K557" s="17">
        <f t="shared" si="11"/>
        <v>308</v>
      </c>
      <c r="L557" s="12" t="s">
        <v>551</v>
      </c>
    </row>
    <row r="558" spans="1:12" hidden="1" outlineLevel="3" x14ac:dyDescent="0.25">
      <c r="A558" s="14" t="s">
        <v>131</v>
      </c>
      <c r="B558" s="14" t="s">
        <v>549</v>
      </c>
      <c r="C558" s="14" t="s">
        <v>137</v>
      </c>
      <c r="D558" s="14" t="s">
        <v>137</v>
      </c>
      <c r="E558" s="14"/>
      <c r="F558" s="15"/>
      <c r="G558" s="27"/>
      <c r="H558" s="27">
        <f t="shared" si="10"/>
        <v>0</v>
      </c>
      <c r="I558" s="14"/>
      <c r="J558" s="27">
        <v>-101.35</v>
      </c>
      <c r="K558" s="17">
        <f t="shared" si="11"/>
        <v>101.35</v>
      </c>
      <c r="L558" s="12" t="s">
        <v>551</v>
      </c>
    </row>
    <row r="559" spans="1:12" outlineLevel="2" collapsed="1" x14ac:dyDescent="0.25">
      <c r="A559" s="14"/>
      <c r="B559" s="8" t="s">
        <v>552</v>
      </c>
      <c r="C559" s="14"/>
      <c r="D559" s="14"/>
      <c r="E559" s="14"/>
      <c r="F559" s="15"/>
      <c r="G559" s="27">
        <f>SUBTOTAL(9,G552:G558)</f>
        <v>3528.54</v>
      </c>
      <c r="H559" s="27"/>
      <c r="I559" s="14"/>
      <c r="J559" s="27">
        <f>SUBTOTAL(9,J552:J558)</f>
        <v>3261.98</v>
      </c>
      <c r="K559" s="17">
        <f>SUBTOTAL(9,K552:K558)</f>
        <v>266.56000000000017</v>
      </c>
      <c r="L559" s="12" t="s">
        <v>553</v>
      </c>
    </row>
    <row r="560" spans="1:12" hidden="1" outlineLevel="3" x14ac:dyDescent="0.25">
      <c r="A560" s="14" t="s">
        <v>131</v>
      </c>
      <c r="B560" s="14" t="s">
        <v>554</v>
      </c>
      <c r="C560" s="14" t="s">
        <v>140</v>
      </c>
      <c r="D560" s="14" t="s">
        <v>555</v>
      </c>
      <c r="E560" s="14">
        <v>177467</v>
      </c>
      <c r="F560" s="15">
        <v>45762</v>
      </c>
      <c r="G560" s="42">
        <v>329.4</v>
      </c>
      <c r="H560" s="17">
        <f>G560</f>
        <v>329.4</v>
      </c>
      <c r="I560" s="14"/>
      <c r="J560" s="28">
        <v>329.4</v>
      </c>
      <c r="K560" s="17">
        <f>H560-J560</f>
        <v>0</v>
      </c>
      <c r="L560" s="12"/>
    </row>
    <row r="561" spans="1:12" hidden="1" outlineLevel="3" x14ac:dyDescent="0.25">
      <c r="A561" s="14" t="s">
        <v>131</v>
      </c>
      <c r="B561" s="14" t="s">
        <v>554</v>
      </c>
      <c r="C561" s="14" t="s">
        <v>143</v>
      </c>
      <c r="D561" s="14" t="s">
        <v>556</v>
      </c>
      <c r="E561" s="14">
        <v>177467</v>
      </c>
      <c r="F561" s="15">
        <v>45762</v>
      </c>
      <c r="G561" s="42">
        <v>13439.8</v>
      </c>
      <c r="H561" s="17">
        <f>G561</f>
        <v>13439.8</v>
      </c>
      <c r="I561" s="14"/>
      <c r="J561" s="28">
        <v>12820</v>
      </c>
      <c r="K561" s="17">
        <f>H561-J561</f>
        <v>619.79999999999927</v>
      </c>
      <c r="L561" s="12"/>
    </row>
    <row r="562" spans="1:12" hidden="1" outlineLevel="3" x14ac:dyDescent="0.25">
      <c r="A562" s="14" t="s">
        <v>131</v>
      </c>
      <c r="B562" s="14" t="s">
        <v>554</v>
      </c>
      <c r="C562" s="14" t="s">
        <v>137</v>
      </c>
      <c r="D562" s="14" t="s">
        <v>137</v>
      </c>
      <c r="E562" s="14">
        <v>177467</v>
      </c>
      <c r="F562" s="15">
        <v>45762</v>
      </c>
      <c r="G562" s="42">
        <v>15</v>
      </c>
      <c r="H562" s="17">
        <f>G562</f>
        <v>15</v>
      </c>
      <c r="I562" s="14"/>
      <c r="J562" s="28">
        <v>15</v>
      </c>
      <c r="K562" s="17">
        <f>H562-J562</f>
        <v>0</v>
      </c>
      <c r="L562" s="12"/>
    </row>
    <row r="563" spans="1:12" ht="30" hidden="1" outlineLevel="3" x14ac:dyDescent="0.25">
      <c r="A563" s="14" t="s">
        <v>131</v>
      </c>
      <c r="B563" s="14" t="s">
        <v>554</v>
      </c>
      <c r="C563" s="14" t="s">
        <v>143</v>
      </c>
      <c r="D563" s="14" t="s">
        <v>143</v>
      </c>
      <c r="E563" s="14">
        <v>177468</v>
      </c>
      <c r="F563" s="15">
        <v>45762</v>
      </c>
      <c r="G563" s="27">
        <v>1080</v>
      </c>
      <c r="H563" s="27">
        <f>G563</f>
        <v>1080</v>
      </c>
      <c r="I563" s="14"/>
      <c r="J563" s="27">
        <v>0</v>
      </c>
      <c r="K563" s="17">
        <f>H563-J563</f>
        <v>1080</v>
      </c>
      <c r="L563" s="12" t="s">
        <v>557</v>
      </c>
    </row>
    <row r="564" spans="1:12" hidden="1" outlineLevel="3" x14ac:dyDescent="0.25">
      <c r="A564" s="14" t="s">
        <v>131</v>
      </c>
      <c r="B564" s="14" t="s">
        <v>554</v>
      </c>
      <c r="C564" s="14" t="s">
        <v>136</v>
      </c>
      <c r="D564" s="14" t="s">
        <v>136</v>
      </c>
      <c r="E564" s="14"/>
      <c r="F564" s="15"/>
      <c r="G564" s="27"/>
      <c r="H564" s="27">
        <f>G564</f>
        <v>0</v>
      </c>
      <c r="I564" s="14"/>
      <c r="J564" s="27">
        <v>1530</v>
      </c>
      <c r="K564" s="17">
        <f>H564-J564</f>
        <v>-1530</v>
      </c>
      <c r="L564" s="12"/>
    </row>
    <row r="565" spans="1:12" outlineLevel="2" collapsed="1" x14ac:dyDescent="0.25">
      <c r="A565" s="14"/>
      <c r="B565" s="8" t="s">
        <v>558</v>
      </c>
      <c r="C565" s="14"/>
      <c r="D565" s="14"/>
      <c r="E565" s="14"/>
      <c r="F565" s="15"/>
      <c r="G565" s="27">
        <f>SUBTOTAL(9,G560:G564)</f>
        <v>14864.199999999999</v>
      </c>
      <c r="H565" s="27"/>
      <c r="I565" s="14"/>
      <c r="J565" s="27">
        <f>SUBTOTAL(9,J560:J564)</f>
        <v>14694.4</v>
      </c>
      <c r="K565" s="17">
        <f>SUBTOTAL(9,K560:K564)</f>
        <v>169.79999999999927</v>
      </c>
      <c r="L565" s="12"/>
    </row>
    <row r="566" spans="1:12" hidden="1" outlineLevel="3" x14ac:dyDescent="0.25">
      <c r="A566" s="14" t="s">
        <v>131</v>
      </c>
      <c r="B566" s="14" t="s">
        <v>559</v>
      </c>
      <c r="C566" s="14" t="s">
        <v>143</v>
      </c>
      <c r="D566" s="14" t="s">
        <v>143</v>
      </c>
      <c r="E566" s="14">
        <v>177770</v>
      </c>
      <c r="F566" s="15">
        <v>45778</v>
      </c>
      <c r="G566" s="42">
        <v>16.5</v>
      </c>
      <c r="H566" s="17">
        <f>G566</f>
        <v>16.5</v>
      </c>
      <c r="I566" s="14"/>
      <c r="J566" s="28">
        <v>16.5</v>
      </c>
      <c r="K566" s="17">
        <f>H566-J566</f>
        <v>0</v>
      </c>
      <c r="L566" s="12"/>
    </row>
    <row r="567" spans="1:12" hidden="1" outlineLevel="3" x14ac:dyDescent="0.25">
      <c r="A567" s="14" t="s">
        <v>131</v>
      </c>
      <c r="B567" s="14" t="s">
        <v>559</v>
      </c>
      <c r="C567" s="14" t="s">
        <v>133</v>
      </c>
      <c r="D567" s="14" t="s">
        <v>133</v>
      </c>
      <c r="E567" s="14">
        <v>177770</v>
      </c>
      <c r="F567" s="15">
        <v>45778</v>
      </c>
      <c r="G567" s="42">
        <v>114.97</v>
      </c>
      <c r="H567" s="17">
        <f>G567</f>
        <v>114.97</v>
      </c>
      <c r="I567" s="14"/>
      <c r="J567" s="28">
        <v>114.97</v>
      </c>
      <c r="K567" s="17">
        <f>H567-J567</f>
        <v>0</v>
      </c>
      <c r="L567" s="12"/>
    </row>
    <row r="568" spans="1:12" hidden="1" outlineLevel="3" x14ac:dyDescent="0.25">
      <c r="A568" s="14" t="s">
        <v>131</v>
      </c>
      <c r="B568" s="14" t="s">
        <v>559</v>
      </c>
      <c r="C568" s="14" t="s">
        <v>136</v>
      </c>
      <c r="D568" s="14" t="s">
        <v>136</v>
      </c>
      <c r="E568" s="14">
        <v>177770</v>
      </c>
      <c r="F568" s="15">
        <v>45778</v>
      </c>
      <c r="G568" s="42">
        <v>446.3</v>
      </c>
      <c r="H568" s="17">
        <f>G568</f>
        <v>446.3</v>
      </c>
      <c r="I568" s="14"/>
      <c r="J568" s="28">
        <v>449.98</v>
      </c>
      <c r="K568" s="17">
        <f>H568-J568</f>
        <v>-3.6800000000000068</v>
      </c>
      <c r="L568" s="12"/>
    </row>
    <row r="569" spans="1:12" hidden="1" outlineLevel="3" x14ac:dyDescent="0.25">
      <c r="A569" s="14" t="s">
        <v>131</v>
      </c>
      <c r="B569" s="14" t="s">
        <v>559</v>
      </c>
      <c r="C569" s="14" t="s">
        <v>137</v>
      </c>
      <c r="D569" s="14" t="s">
        <v>137</v>
      </c>
      <c r="E569" s="14">
        <v>177770</v>
      </c>
      <c r="F569" s="15">
        <v>45778</v>
      </c>
      <c r="G569" s="42">
        <v>1207.5</v>
      </c>
      <c r="H569" s="17">
        <f>G569</f>
        <v>1207.5</v>
      </c>
      <c r="I569" s="14"/>
      <c r="J569" s="28">
        <v>1207.5</v>
      </c>
      <c r="K569" s="17">
        <f>H569-J569</f>
        <v>0</v>
      </c>
      <c r="L569" s="12"/>
    </row>
    <row r="570" spans="1:12" outlineLevel="2" collapsed="1" x14ac:dyDescent="0.25">
      <c r="A570" s="14"/>
      <c r="B570" s="8" t="s">
        <v>560</v>
      </c>
      <c r="C570" s="14"/>
      <c r="D570" s="14"/>
      <c r="E570" s="14"/>
      <c r="F570" s="15"/>
      <c r="G570" s="42">
        <f>SUBTOTAL(9,G566:G569)</f>
        <v>1785.27</v>
      </c>
      <c r="H570" s="17"/>
      <c r="I570" s="14"/>
      <c r="J570" s="28">
        <f>SUBTOTAL(9,J566:J569)</f>
        <v>1788.95</v>
      </c>
      <c r="K570" s="17">
        <f>SUBTOTAL(9,K566:K569)</f>
        <v>-3.6800000000000068</v>
      </c>
      <c r="L570" s="12"/>
    </row>
    <row r="571" spans="1:12" hidden="1" outlineLevel="3" x14ac:dyDescent="0.25">
      <c r="A571" s="14" t="s">
        <v>131</v>
      </c>
      <c r="B571" s="14" t="s">
        <v>561</v>
      </c>
      <c r="C571" s="14" t="s">
        <v>143</v>
      </c>
      <c r="D571" s="14" t="s">
        <v>562</v>
      </c>
      <c r="E571" s="14">
        <v>177657</v>
      </c>
      <c r="F571" s="15">
        <v>45778</v>
      </c>
      <c r="G571" s="42">
        <v>1780</v>
      </c>
      <c r="H571" s="17">
        <f>G571</f>
        <v>1780</v>
      </c>
      <c r="I571" s="14"/>
      <c r="J571" s="28">
        <v>1780</v>
      </c>
      <c r="K571" s="17">
        <f>H571-J571</f>
        <v>0</v>
      </c>
      <c r="L571" s="12"/>
    </row>
    <row r="572" spans="1:12" hidden="1" outlineLevel="3" x14ac:dyDescent="0.25">
      <c r="A572" s="14" t="s">
        <v>131</v>
      </c>
      <c r="B572" s="14" t="s">
        <v>561</v>
      </c>
      <c r="C572" s="14" t="s">
        <v>133</v>
      </c>
      <c r="D572" s="14" t="s">
        <v>563</v>
      </c>
      <c r="E572" s="14">
        <v>177657</v>
      </c>
      <c r="F572" s="15">
        <v>45778</v>
      </c>
      <c r="G572" s="42">
        <v>1353.9214999999999</v>
      </c>
      <c r="H572" s="17">
        <f>G572</f>
        <v>1353.9214999999999</v>
      </c>
      <c r="I572" s="14"/>
      <c r="J572" s="28">
        <v>1532.4549999999999</v>
      </c>
      <c r="K572" s="17">
        <f>H572-J572</f>
        <v>-178.5335</v>
      </c>
      <c r="L572" s="12"/>
    </row>
    <row r="573" spans="1:12" hidden="1" outlineLevel="3" x14ac:dyDescent="0.25">
      <c r="A573" s="14" t="s">
        <v>131</v>
      </c>
      <c r="B573" s="14" t="s">
        <v>561</v>
      </c>
      <c r="C573" s="14" t="s">
        <v>136</v>
      </c>
      <c r="D573" s="14" t="s">
        <v>564</v>
      </c>
      <c r="E573" s="14">
        <v>177657</v>
      </c>
      <c r="F573" s="15">
        <v>45778</v>
      </c>
      <c r="G573" s="42">
        <v>2327</v>
      </c>
      <c r="H573" s="17">
        <f>G573</f>
        <v>2327</v>
      </c>
      <c r="I573" s="14"/>
      <c r="J573" s="28">
        <v>2088</v>
      </c>
      <c r="K573" s="17">
        <f>H573-J573</f>
        <v>239</v>
      </c>
      <c r="L573" s="12"/>
    </row>
    <row r="574" spans="1:12" hidden="1" outlineLevel="3" x14ac:dyDescent="0.25">
      <c r="A574" s="14" t="s">
        <v>131</v>
      </c>
      <c r="B574" s="14" t="s">
        <v>561</v>
      </c>
      <c r="C574" s="14" t="s">
        <v>137</v>
      </c>
      <c r="D574" s="14" t="s">
        <v>565</v>
      </c>
      <c r="E574" s="14">
        <v>177657</v>
      </c>
      <c r="F574" s="15">
        <v>45778</v>
      </c>
      <c r="G574" s="42">
        <v>5570.85</v>
      </c>
      <c r="H574" s="17">
        <f>G574</f>
        <v>5570.85</v>
      </c>
      <c r="I574" s="14"/>
      <c r="J574" s="28">
        <v>5570.8549999999996</v>
      </c>
      <c r="K574" s="17">
        <f>H574-J574</f>
        <v>-4.9999999991996447E-3</v>
      </c>
      <c r="L574" s="12"/>
    </row>
    <row r="575" spans="1:12" hidden="1" outlineLevel="3" x14ac:dyDescent="0.25">
      <c r="A575" s="14" t="s">
        <v>131</v>
      </c>
      <c r="B575" s="14" t="s">
        <v>561</v>
      </c>
      <c r="C575" s="14"/>
      <c r="D575" s="14"/>
      <c r="E575" s="14" t="s">
        <v>566</v>
      </c>
      <c r="F575" s="14"/>
      <c r="G575" s="27">
        <v>312.39999999999998</v>
      </c>
      <c r="H575" s="27">
        <f>G575</f>
        <v>312.39999999999998</v>
      </c>
      <c r="I575" s="14"/>
      <c r="J575" s="28"/>
      <c r="K575" s="17">
        <f>H575-J575</f>
        <v>312.39999999999998</v>
      </c>
      <c r="L575" s="12"/>
    </row>
    <row r="576" spans="1:12" outlineLevel="2" collapsed="1" x14ac:dyDescent="0.25">
      <c r="A576" s="14"/>
      <c r="B576" s="8" t="s">
        <v>567</v>
      </c>
      <c r="C576" s="14"/>
      <c r="D576" s="14"/>
      <c r="E576" s="14"/>
      <c r="F576" s="14"/>
      <c r="G576" s="27">
        <f>SUBTOTAL(9,G571:G575)</f>
        <v>11344.1715</v>
      </c>
      <c r="H576" s="27"/>
      <c r="I576" s="14"/>
      <c r="J576" s="28">
        <f>SUBTOTAL(9,J571:J575)</f>
        <v>10971.31</v>
      </c>
      <c r="K576" s="17">
        <f>SUBTOTAL(9,K571:K575)</f>
        <v>372.86150000000077</v>
      </c>
      <c r="L576" s="12"/>
    </row>
    <row r="577" spans="1:12" hidden="1" outlineLevel="3" x14ac:dyDescent="0.25">
      <c r="A577" s="14" t="s">
        <v>131</v>
      </c>
      <c r="B577" s="14" t="s">
        <v>568</v>
      </c>
      <c r="C577" s="14" t="s">
        <v>133</v>
      </c>
      <c r="D577" s="14" t="s">
        <v>133</v>
      </c>
      <c r="E577" s="14">
        <v>177658</v>
      </c>
      <c r="F577" s="15">
        <v>45778</v>
      </c>
      <c r="G577" s="16">
        <v>347.7038</v>
      </c>
      <c r="H577" s="17">
        <f>G577</f>
        <v>347.7038</v>
      </c>
      <c r="I577" s="14"/>
      <c r="J577" s="18">
        <v>347.46080000000001</v>
      </c>
      <c r="K577" s="17">
        <f>H577-J577</f>
        <v>0.242999999999995</v>
      </c>
      <c r="L577" s="12"/>
    </row>
    <row r="578" spans="1:12" hidden="1" outlineLevel="3" x14ac:dyDescent="0.25">
      <c r="A578" s="14" t="s">
        <v>131</v>
      </c>
      <c r="B578" s="14" t="s">
        <v>568</v>
      </c>
      <c r="C578" s="14" t="s">
        <v>136</v>
      </c>
      <c r="D578" s="14" t="s">
        <v>136</v>
      </c>
      <c r="E578" s="14">
        <v>177658</v>
      </c>
      <c r="F578" s="15">
        <v>45778</v>
      </c>
      <c r="G578" s="16">
        <v>481</v>
      </c>
      <c r="H578" s="17">
        <f>G578</f>
        <v>481</v>
      </c>
      <c r="I578" s="14"/>
      <c r="J578" s="18">
        <v>481</v>
      </c>
      <c r="K578" s="17">
        <f>H578-J578</f>
        <v>0</v>
      </c>
      <c r="L578" s="12"/>
    </row>
    <row r="579" spans="1:12" hidden="1" outlineLevel="3" x14ac:dyDescent="0.25">
      <c r="A579" s="14" t="s">
        <v>131</v>
      </c>
      <c r="B579" s="14" t="s">
        <v>568</v>
      </c>
      <c r="C579" s="14" t="s">
        <v>137</v>
      </c>
      <c r="D579" s="14" t="s">
        <v>569</v>
      </c>
      <c r="E579" s="14">
        <v>177658</v>
      </c>
      <c r="F579" s="15">
        <v>45778</v>
      </c>
      <c r="G579" s="16">
        <v>2118.94</v>
      </c>
      <c r="H579" s="17">
        <f>G579</f>
        <v>2118.94</v>
      </c>
      <c r="I579" s="14"/>
      <c r="J579" s="18">
        <v>2118.94</v>
      </c>
      <c r="K579" s="17">
        <f>H579-J579</f>
        <v>0</v>
      </c>
      <c r="L579" s="12"/>
    </row>
    <row r="580" spans="1:12" outlineLevel="2" collapsed="1" x14ac:dyDescent="0.25">
      <c r="A580" s="14"/>
      <c r="B580" s="8" t="s">
        <v>570</v>
      </c>
      <c r="C580" s="14"/>
      <c r="D580" s="14"/>
      <c r="E580" s="14"/>
      <c r="F580" s="15"/>
      <c r="G580" s="16">
        <f>SUBTOTAL(9,G577:G579)</f>
        <v>2947.6437999999998</v>
      </c>
      <c r="H580" s="17"/>
      <c r="I580" s="14"/>
      <c r="J580" s="18">
        <f>SUBTOTAL(9,J577:J579)</f>
        <v>2947.4008000000003</v>
      </c>
      <c r="K580" s="17">
        <f>SUBTOTAL(9,K577:K579)</f>
        <v>0.242999999999995</v>
      </c>
      <c r="L580" s="12"/>
    </row>
    <row r="581" spans="1:12" hidden="1" outlineLevel="3" x14ac:dyDescent="0.25">
      <c r="A581" s="14" t="s">
        <v>131</v>
      </c>
      <c r="B581" s="14" t="s">
        <v>571</v>
      </c>
      <c r="C581" s="14" t="s">
        <v>143</v>
      </c>
      <c r="D581" s="14" t="s">
        <v>143</v>
      </c>
      <c r="E581" s="14">
        <v>177659</v>
      </c>
      <c r="F581" s="15">
        <v>45778</v>
      </c>
      <c r="G581" s="16">
        <v>976</v>
      </c>
      <c r="H581" s="17">
        <f>G581</f>
        <v>976</v>
      </c>
      <c r="I581" s="14"/>
      <c r="J581" s="18">
        <v>976</v>
      </c>
      <c r="K581" s="17">
        <f>H581-J581</f>
        <v>0</v>
      </c>
      <c r="L581" s="12"/>
    </row>
    <row r="582" spans="1:12" hidden="1" outlineLevel="3" x14ac:dyDescent="0.25">
      <c r="A582" s="14" t="s">
        <v>131</v>
      </c>
      <c r="B582" s="14" t="s">
        <v>571</v>
      </c>
      <c r="C582" s="14" t="s">
        <v>133</v>
      </c>
      <c r="D582" s="14" t="s">
        <v>133</v>
      </c>
      <c r="E582" s="14">
        <v>177659</v>
      </c>
      <c r="F582" s="15">
        <v>45778</v>
      </c>
      <c r="G582" s="16">
        <v>584.46699999999998</v>
      </c>
      <c r="H582" s="17">
        <f>G582</f>
        <v>584.46699999999998</v>
      </c>
      <c r="I582" s="14"/>
      <c r="J582" s="18">
        <v>644.03240000000005</v>
      </c>
      <c r="K582" s="17">
        <f>H582-J582</f>
        <v>-59.565400000000068</v>
      </c>
      <c r="L582" s="12"/>
    </row>
    <row r="583" spans="1:12" hidden="1" outlineLevel="3" x14ac:dyDescent="0.25">
      <c r="A583" s="14" t="s">
        <v>131</v>
      </c>
      <c r="B583" s="14" t="s">
        <v>571</v>
      </c>
      <c r="C583" s="14" t="s">
        <v>136</v>
      </c>
      <c r="D583" s="14" t="s">
        <v>136</v>
      </c>
      <c r="E583" s="14">
        <v>177659</v>
      </c>
      <c r="F583" s="15">
        <v>45778</v>
      </c>
      <c r="G583" s="16">
        <v>1015</v>
      </c>
      <c r="H583" s="17">
        <f>G583</f>
        <v>1015</v>
      </c>
      <c r="I583" s="14"/>
      <c r="J583" s="18">
        <v>1015</v>
      </c>
      <c r="K583" s="17">
        <f>H583-J583</f>
        <v>0</v>
      </c>
      <c r="L583" s="12"/>
    </row>
    <row r="584" spans="1:12" hidden="1" outlineLevel="3" x14ac:dyDescent="0.25">
      <c r="A584" s="14" t="s">
        <v>131</v>
      </c>
      <c r="B584" s="14" t="s">
        <v>571</v>
      </c>
      <c r="C584" s="14" t="s">
        <v>137</v>
      </c>
      <c r="D584" s="14" t="s">
        <v>137</v>
      </c>
      <c r="E584" s="14">
        <v>177659</v>
      </c>
      <c r="F584" s="15">
        <v>45778</v>
      </c>
      <c r="G584" s="16">
        <v>5315.6329999999998</v>
      </c>
      <c r="H584" s="17">
        <f>G584</f>
        <v>5315.6329999999998</v>
      </c>
      <c r="I584" s="14"/>
      <c r="J584" s="18">
        <v>5315.63</v>
      </c>
      <c r="K584" s="17">
        <f>H584-J584</f>
        <v>2.9999999997016857E-3</v>
      </c>
      <c r="L584" s="12"/>
    </row>
    <row r="585" spans="1:12" outlineLevel="2" collapsed="1" x14ac:dyDescent="0.25">
      <c r="A585" s="14"/>
      <c r="B585" s="8" t="s">
        <v>572</v>
      </c>
      <c r="C585" s="14"/>
      <c r="D585" s="14"/>
      <c r="E585" s="14"/>
      <c r="F585" s="15"/>
      <c r="G585" s="16">
        <f>SUBTOTAL(9,G581:G584)</f>
        <v>7891.1</v>
      </c>
      <c r="H585" s="17"/>
      <c r="I585" s="14"/>
      <c r="J585" s="18">
        <f>SUBTOTAL(9,J581:J584)</f>
        <v>7950.6624000000002</v>
      </c>
      <c r="K585" s="17">
        <f>SUBTOTAL(9,K581:K584)</f>
        <v>-59.562400000000366</v>
      </c>
      <c r="L585" s="12"/>
    </row>
    <row r="586" spans="1:12" hidden="1" outlineLevel="3" x14ac:dyDescent="0.25">
      <c r="A586" s="14" t="s">
        <v>131</v>
      </c>
      <c r="B586" s="14" t="s">
        <v>573</v>
      </c>
      <c r="C586" s="14" t="s">
        <v>133</v>
      </c>
      <c r="D586" s="14" t="s">
        <v>388</v>
      </c>
      <c r="E586" s="14">
        <v>177771</v>
      </c>
      <c r="F586" s="15">
        <v>45778</v>
      </c>
      <c r="G586" s="16">
        <v>280</v>
      </c>
      <c r="H586" s="17">
        <f>G586</f>
        <v>280</v>
      </c>
      <c r="I586" s="14"/>
      <c r="J586" s="18">
        <v>188</v>
      </c>
      <c r="K586" s="17">
        <f>H586-J586</f>
        <v>92</v>
      </c>
      <c r="L586" s="12"/>
    </row>
    <row r="587" spans="1:12" hidden="1" outlineLevel="3" x14ac:dyDescent="0.25">
      <c r="A587" s="14" t="s">
        <v>131</v>
      </c>
      <c r="B587" s="14" t="s">
        <v>573</v>
      </c>
      <c r="C587" s="14" t="s">
        <v>136</v>
      </c>
      <c r="D587" s="14" t="s">
        <v>198</v>
      </c>
      <c r="E587" s="14">
        <v>177771</v>
      </c>
      <c r="F587" s="15">
        <v>45778</v>
      </c>
      <c r="G587" s="16">
        <v>1517</v>
      </c>
      <c r="H587" s="17">
        <f>G587</f>
        <v>1517</v>
      </c>
      <c r="I587" s="14"/>
      <c r="J587" s="18">
        <v>1120</v>
      </c>
      <c r="K587" s="17">
        <f>H587-J587</f>
        <v>397</v>
      </c>
      <c r="L587" s="12" t="s">
        <v>135</v>
      </c>
    </row>
    <row r="588" spans="1:12" hidden="1" outlineLevel="3" x14ac:dyDescent="0.25">
      <c r="A588" s="14" t="s">
        <v>131</v>
      </c>
      <c r="B588" s="14" t="s">
        <v>573</v>
      </c>
      <c r="C588" s="14" t="s">
        <v>137</v>
      </c>
      <c r="D588" s="14" t="s">
        <v>181</v>
      </c>
      <c r="E588" s="14">
        <v>177771</v>
      </c>
      <c r="F588" s="15">
        <v>45778</v>
      </c>
      <c r="G588" s="16">
        <v>4579</v>
      </c>
      <c r="H588" s="17">
        <f>G588</f>
        <v>4579</v>
      </c>
      <c r="I588" s="14"/>
      <c r="J588" s="18">
        <v>4110</v>
      </c>
      <c r="K588" s="17">
        <f>H588-J588</f>
        <v>469</v>
      </c>
      <c r="L588" s="12"/>
    </row>
    <row r="589" spans="1:12" outlineLevel="2" collapsed="1" x14ac:dyDescent="0.25">
      <c r="A589" s="14"/>
      <c r="B589" s="8" t="s">
        <v>574</v>
      </c>
      <c r="C589" s="14"/>
      <c r="D589" s="14"/>
      <c r="E589" s="14"/>
      <c r="F589" s="15"/>
      <c r="G589" s="16">
        <f>SUBTOTAL(9,G586:G588)</f>
        <v>6376</v>
      </c>
      <c r="H589" s="17"/>
      <c r="I589" s="14"/>
      <c r="J589" s="18">
        <f>SUBTOTAL(9,J586:J588)</f>
        <v>5418</v>
      </c>
      <c r="K589" s="17">
        <f>SUBTOTAL(9,K586:K588)</f>
        <v>958</v>
      </c>
      <c r="L589" s="12" t="s">
        <v>135</v>
      </c>
    </row>
    <row r="590" spans="1:12" hidden="1" outlineLevel="3" x14ac:dyDescent="0.25">
      <c r="A590" s="14" t="s">
        <v>131</v>
      </c>
      <c r="B590" s="14" t="s">
        <v>575</v>
      </c>
      <c r="C590" s="14" t="s">
        <v>143</v>
      </c>
      <c r="D590" s="14" t="s">
        <v>143</v>
      </c>
      <c r="E590" s="14">
        <v>177772</v>
      </c>
      <c r="F590" s="15">
        <v>45778</v>
      </c>
      <c r="G590" s="16">
        <v>528</v>
      </c>
      <c r="H590" s="17">
        <f>G590</f>
        <v>528</v>
      </c>
      <c r="I590" s="14"/>
      <c r="J590" s="18">
        <v>528</v>
      </c>
      <c r="K590" s="17">
        <f>H590-J590</f>
        <v>0</v>
      </c>
      <c r="L590" s="12"/>
    </row>
    <row r="591" spans="1:12" hidden="1" outlineLevel="3" x14ac:dyDescent="0.25">
      <c r="A591" s="14" t="s">
        <v>131</v>
      </c>
      <c r="B591" s="14" t="s">
        <v>575</v>
      </c>
      <c r="C591" s="14" t="s">
        <v>133</v>
      </c>
      <c r="D591" s="14" t="s">
        <v>133</v>
      </c>
      <c r="E591" s="14">
        <v>177772</v>
      </c>
      <c r="F591" s="15">
        <v>45778</v>
      </c>
      <c r="G591" s="16">
        <v>335.5</v>
      </c>
      <c r="H591" s="17">
        <f>G591</f>
        <v>335.5</v>
      </c>
      <c r="I591" s="14"/>
      <c r="J591" s="18">
        <v>335.5</v>
      </c>
      <c r="K591" s="17">
        <f>H591-J591</f>
        <v>0</v>
      </c>
      <c r="L591" s="12"/>
    </row>
    <row r="592" spans="1:12" hidden="1" outlineLevel="3" x14ac:dyDescent="0.25">
      <c r="A592" s="14" t="s">
        <v>131</v>
      </c>
      <c r="B592" s="14" t="s">
        <v>575</v>
      </c>
      <c r="C592" s="14" t="s">
        <v>136</v>
      </c>
      <c r="D592" s="14" t="s">
        <v>136</v>
      </c>
      <c r="E592" s="14">
        <v>177772</v>
      </c>
      <c r="F592" s="15">
        <v>45778</v>
      </c>
      <c r="G592" s="16">
        <v>1021</v>
      </c>
      <c r="H592" s="17">
        <f>G592</f>
        <v>1021</v>
      </c>
      <c r="I592" s="14"/>
      <c r="J592" s="18">
        <v>1028</v>
      </c>
      <c r="K592" s="17">
        <f>H592-J592</f>
        <v>-7</v>
      </c>
      <c r="L592" s="12"/>
    </row>
    <row r="593" spans="1:12" hidden="1" outlineLevel="3" x14ac:dyDescent="0.25">
      <c r="A593" s="14" t="s">
        <v>131</v>
      </c>
      <c r="B593" s="14" t="s">
        <v>575</v>
      </c>
      <c r="C593" s="14" t="s">
        <v>137</v>
      </c>
      <c r="D593" s="14" t="s">
        <v>137</v>
      </c>
      <c r="E593" s="14">
        <v>177772</v>
      </c>
      <c r="F593" s="15">
        <v>45778</v>
      </c>
      <c r="G593" s="16">
        <v>1975</v>
      </c>
      <c r="H593" s="17">
        <f>G593</f>
        <v>1975</v>
      </c>
      <c r="I593" s="14"/>
      <c r="J593" s="18">
        <v>1975</v>
      </c>
      <c r="K593" s="17">
        <f>H593-J593</f>
        <v>0</v>
      </c>
      <c r="L593" s="12"/>
    </row>
    <row r="594" spans="1:12" outlineLevel="2" collapsed="1" x14ac:dyDescent="0.25">
      <c r="A594" s="14"/>
      <c r="B594" s="8" t="s">
        <v>576</v>
      </c>
      <c r="C594" s="14"/>
      <c r="D594" s="14"/>
      <c r="E594" s="14"/>
      <c r="F594" s="15"/>
      <c r="G594" s="16">
        <f>SUBTOTAL(9,G590:G593)</f>
        <v>3859.5</v>
      </c>
      <c r="H594" s="17"/>
      <c r="I594" s="14"/>
      <c r="J594" s="18">
        <f>SUBTOTAL(9,J590:J593)</f>
        <v>3866.5</v>
      </c>
      <c r="K594" s="17">
        <f>SUBTOTAL(9,K590:K593)</f>
        <v>-7</v>
      </c>
      <c r="L594" s="12"/>
    </row>
    <row r="595" spans="1:12" hidden="1" outlineLevel="3" x14ac:dyDescent="0.25">
      <c r="A595" s="14" t="s">
        <v>131</v>
      </c>
      <c r="B595" s="14" t="s">
        <v>577</v>
      </c>
      <c r="C595" s="14" t="s">
        <v>143</v>
      </c>
      <c r="D595" s="14" t="s">
        <v>578</v>
      </c>
      <c r="E595" s="14">
        <v>177660</v>
      </c>
      <c r="F595" s="15">
        <v>45778</v>
      </c>
      <c r="G595" s="16">
        <v>420</v>
      </c>
      <c r="H595" s="17">
        <f>G595</f>
        <v>420</v>
      </c>
      <c r="I595" s="14"/>
      <c r="J595" s="18">
        <v>420</v>
      </c>
      <c r="K595" s="17">
        <f>H595-J595</f>
        <v>0</v>
      </c>
      <c r="L595" s="12"/>
    </row>
    <row r="596" spans="1:12" hidden="1" outlineLevel="3" x14ac:dyDescent="0.25">
      <c r="A596" s="14" t="s">
        <v>131</v>
      </c>
      <c r="B596" s="14" t="s">
        <v>577</v>
      </c>
      <c r="C596" s="14" t="s">
        <v>133</v>
      </c>
      <c r="D596" s="14" t="s">
        <v>133</v>
      </c>
      <c r="E596" s="14">
        <v>177660</v>
      </c>
      <c r="F596" s="15">
        <v>45778</v>
      </c>
      <c r="G596" s="16">
        <v>80</v>
      </c>
      <c r="H596" s="17">
        <f>G596</f>
        <v>80</v>
      </c>
      <c r="I596" s="14"/>
      <c r="J596" s="18">
        <v>85</v>
      </c>
      <c r="K596" s="17">
        <f>H596-J596</f>
        <v>-5</v>
      </c>
      <c r="L596" s="12"/>
    </row>
    <row r="597" spans="1:12" hidden="1" outlineLevel="3" x14ac:dyDescent="0.25">
      <c r="A597" s="14" t="s">
        <v>131</v>
      </c>
      <c r="B597" s="14" t="s">
        <v>577</v>
      </c>
      <c r="C597" s="14" t="s">
        <v>136</v>
      </c>
      <c r="D597" s="14" t="s">
        <v>136</v>
      </c>
      <c r="E597" s="14">
        <v>177660</v>
      </c>
      <c r="F597" s="15">
        <v>45778</v>
      </c>
      <c r="G597" s="16">
        <v>147</v>
      </c>
      <c r="H597" s="17">
        <f>G597</f>
        <v>147</v>
      </c>
      <c r="I597" s="14"/>
      <c r="J597" s="18">
        <v>147</v>
      </c>
      <c r="K597" s="17">
        <f>H597-J597</f>
        <v>0</v>
      </c>
      <c r="L597" s="12"/>
    </row>
    <row r="598" spans="1:12" hidden="1" outlineLevel="3" x14ac:dyDescent="0.25">
      <c r="A598" s="14" t="s">
        <v>131</v>
      </c>
      <c r="B598" s="14" t="s">
        <v>577</v>
      </c>
      <c r="C598" s="14" t="s">
        <v>137</v>
      </c>
      <c r="D598" s="14" t="s">
        <v>579</v>
      </c>
      <c r="E598" s="14">
        <v>177660</v>
      </c>
      <c r="F598" s="15">
        <v>45778</v>
      </c>
      <c r="G598" s="16">
        <v>1473.22</v>
      </c>
      <c r="H598" s="17">
        <f>G598</f>
        <v>1473.22</v>
      </c>
      <c r="I598" s="14"/>
      <c r="J598" s="18">
        <v>1473.22</v>
      </c>
      <c r="K598" s="17">
        <f>H598-J598</f>
        <v>0</v>
      </c>
      <c r="L598" s="12"/>
    </row>
    <row r="599" spans="1:12" outlineLevel="2" collapsed="1" x14ac:dyDescent="0.25">
      <c r="A599" s="14"/>
      <c r="B599" s="8" t="s">
        <v>580</v>
      </c>
      <c r="C599" s="14"/>
      <c r="D599" s="14"/>
      <c r="E599" s="14"/>
      <c r="F599" s="15"/>
      <c r="G599" s="16">
        <f>SUBTOTAL(9,G595:G598)</f>
        <v>2120.2200000000003</v>
      </c>
      <c r="H599" s="17"/>
      <c r="I599" s="14"/>
      <c r="J599" s="18">
        <f>SUBTOTAL(9,J595:J598)</f>
        <v>2125.2200000000003</v>
      </c>
      <c r="K599" s="17">
        <f>SUBTOTAL(9,K595:K598)</f>
        <v>-5</v>
      </c>
      <c r="L599" s="12"/>
    </row>
    <row r="600" spans="1:12" hidden="1" outlineLevel="3" x14ac:dyDescent="0.25">
      <c r="A600" s="14" t="s">
        <v>131</v>
      </c>
      <c r="B600" s="14" t="s">
        <v>581</v>
      </c>
      <c r="C600" s="14" t="s">
        <v>143</v>
      </c>
      <c r="D600" s="14" t="s">
        <v>582</v>
      </c>
      <c r="E600" s="14">
        <v>177661</v>
      </c>
      <c r="F600" s="15">
        <v>45778</v>
      </c>
      <c r="G600" s="16">
        <v>107.9</v>
      </c>
      <c r="H600" s="17">
        <f>G600</f>
        <v>107.9</v>
      </c>
      <c r="I600" s="14"/>
      <c r="J600" s="18">
        <v>107.9</v>
      </c>
      <c r="K600" s="17">
        <f>H600-J600</f>
        <v>0</v>
      </c>
      <c r="L600" s="12"/>
    </row>
    <row r="601" spans="1:12" hidden="1" outlineLevel="3" x14ac:dyDescent="0.25">
      <c r="A601" s="14" t="s">
        <v>131</v>
      </c>
      <c r="B601" s="14" t="s">
        <v>581</v>
      </c>
      <c r="C601" s="14" t="s">
        <v>133</v>
      </c>
      <c r="D601" s="14" t="s">
        <v>133</v>
      </c>
      <c r="E601" s="14">
        <v>177661</v>
      </c>
      <c r="F601" s="15">
        <v>45778</v>
      </c>
      <c r="G601" s="16">
        <v>770.75</v>
      </c>
      <c r="H601" s="17">
        <f>G601</f>
        <v>770.75</v>
      </c>
      <c r="I601" s="14"/>
      <c r="J601" s="18">
        <v>785.75</v>
      </c>
      <c r="K601" s="17">
        <f>H601-J601</f>
        <v>-15</v>
      </c>
      <c r="L601" s="12"/>
    </row>
    <row r="602" spans="1:12" hidden="1" outlineLevel="3" x14ac:dyDescent="0.25">
      <c r="A602" s="14" t="s">
        <v>131</v>
      </c>
      <c r="B602" s="14" t="s">
        <v>581</v>
      </c>
      <c r="C602" s="14" t="s">
        <v>136</v>
      </c>
      <c r="D602" s="14" t="s">
        <v>583</v>
      </c>
      <c r="E602" s="14">
        <v>177661</v>
      </c>
      <c r="F602" s="15">
        <v>45778</v>
      </c>
      <c r="G602" s="16">
        <v>334.95</v>
      </c>
      <c r="H602" s="17">
        <f>G602</f>
        <v>334.95</v>
      </c>
      <c r="I602" s="14"/>
      <c r="J602" s="18">
        <v>357</v>
      </c>
      <c r="K602" s="17">
        <f>H602-J602</f>
        <v>-22.050000000000011</v>
      </c>
      <c r="L602" s="12"/>
    </row>
    <row r="603" spans="1:12" hidden="1" outlineLevel="3" x14ac:dyDescent="0.25">
      <c r="A603" s="14" t="s">
        <v>131</v>
      </c>
      <c r="B603" s="14" t="s">
        <v>581</v>
      </c>
      <c r="C603" s="14" t="s">
        <v>137</v>
      </c>
      <c r="D603" s="14" t="s">
        <v>584</v>
      </c>
      <c r="E603" s="14">
        <v>177661</v>
      </c>
      <c r="F603" s="15">
        <v>45778</v>
      </c>
      <c r="G603" s="16">
        <v>1752.61</v>
      </c>
      <c r="H603" s="17">
        <f>G603</f>
        <v>1752.61</v>
      </c>
      <c r="I603" s="14"/>
      <c r="J603" s="18">
        <v>1752.61</v>
      </c>
      <c r="K603" s="17">
        <f>H603-J603</f>
        <v>0</v>
      </c>
      <c r="L603" s="12"/>
    </row>
    <row r="604" spans="1:12" outlineLevel="2" collapsed="1" x14ac:dyDescent="0.25">
      <c r="A604" s="14"/>
      <c r="B604" s="8" t="s">
        <v>585</v>
      </c>
      <c r="C604" s="14"/>
      <c r="D604" s="14"/>
      <c r="E604" s="14"/>
      <c r="F604" s="15"/>
      <c r="G604" s="16">
        <f>SUBTOTAL(9,G600:G603)</f>
        <v>2966.21</v>
      </c>
      <c r="H604" s="17"/>
      <c r="I604" s="14"/>
      <c r="J604" s="18">
        <f>SUBTOTAL(9,J600:J603)</f>
        <v>3003.26</v>
      </c>
      <c r="K604" s="17">
        <f>SUBTOTAL(9,K600:K603)</f>
        <v>-37.050000000000011</v>
      </c>
      <c r="L604" s="12"/>
    </row>
    <row r="605" spans="1:12" hidden="1" outlineLevel="3" x14ac:dyDescent="0.25">
      <c r="A605" s="14" t="s">
        <v>131</v>
      </c>
      <c r="B605" s="14" t="s">
        <v>586</v>
      </c>
      <c r="C605" s="14" t="s">
        <v>140</v>
      </c>
      <c r="D605" s="14" t="s">
        <v>140</v>
      </c>
      <c r="E605" s="14">
        <v>177773</v>
      </c>
      <c r="F605" s="15">
        <v>45778</v>
      </c>
      <c r="G605" s="16">
        <v>465</v>
      </c>
      <c r="H605" s="17">
        <f>G605</f>
        <v>465</v>
      </c>
      <c r="I605" s="14"/>
      <c r="J605" s="18">
        <v>465</v>
      </c>
      <c r="K605" s="17">
        <f>H605-J605</f>
        <v>0</v>
      </c>
      <c r="L605" s="12"/>
    </row>
    <row r="606" spans="1:12" hidden="1" outlineLevel="3" x14ac:dyDescent="0.25">
      <c r="A606" s="14" t="s">
        <v>131</v>
      </c>
      <c r="B606" s="14" t="s">
        <v>586</v>
      </c>
      <c r="C606" s="14" t="s">
        <v>133</v>
      </c>
      <c r="D606" s="14" t="s">
        <v>133</v>
      </c>
      <c r="E606" s="14">
        <v>177773</v>
      </c>
      <c r="F606" s="15">
        <v>45778</v>
      </c>
      <c r="G606" s="16">
        <v>112</v>
      </c>
      <c r="H606" s="17">
        <f>G606</f>
        <v>112</v>
      </c>
      <c r="I606" s="14"/>
      <c r="J606" s="18">
        <v>92</v>
      </c>
      <c r="K606" s="17">
        <f>H606-J606</f>
        <v>20</v>
      </c>
      <c r="L606" s="12"/>
    </row>
    <row r="607" spans="1:12" hidden="1" outlineLevel="3" x14ac:dyDescent="0.25">
      <c r="A607" s="14" t="s">
        <v>131</v>
      </c>
      <c r="B607" s="14" t="s">
        <v>586</v>
      </c>
      <c r="C607" s="14" t="s">
        <v>136</v>
      </c>
      <c r="D607" s="14" t="s">
        <v>136</v>
      </c>
      <c r="E607" s="14">
        <v>177773</v>
      </c>
      <c r="F607" s="15">
        <v>45778</v>
      </c>
      <c r="G607" s="16">
        <v>1820</v>
      </c>
      <c r="H607" s="17">
        <f>G607</f>
        <v>1820</v>
      </c>
      <c r="I607" s="14"/>
      <c r="J607" s="18">
        <v>1799</v>
      </c>
      <c r="K607" s="17">
        <f>H607-J607</f>
        <v>21</v>
      </c>
      <c r="L607" s="12"/>
    </row>
    <row r="608" spans="1:12" hidden="1" outlineLevel="3" x14ac:dyDescent="0.25">
      <c r="A608" s="14" t="s">
        <v>131</v>
      </c>
      <c r="B608" s="14" t="s">
        <v>586</v>
      </c>
      <c r="C608" s="14" t="s">
        <v>137</v>
      </c>
      <c r="D608" s="14" t="s">
        <v>137</v>
      </c>
      <c r="E608" s="14">
        <v>177773</v>
      </c>
      <c r="F608" s="15">
        <v>45778</v>
      </c>
      <c r="G608" s="16">
        <v>3764</v>
      </c>
      <c r="H608" s="17">
        <f>G608</f>
        <v>3764</v>
      </c>
      <c r="I608" s="14"/>
      <c r="J608" s="18">
        <v>3264</v>
      </c>
      <c r="K608" s="17">
        <f>H608-J608</f>
        <v>500</v>
      </c>
      <c r="L608" s="12"/>
    </row>
    <row r="609" spans="1:12" ht="30" outlineLevel="2" collapsed="1" x14ac:dyDescent="0.25">
      <c r="A609" s="14"/>
      <c r="B609" s="8" t="s">
        <v>587</v>
      </c>
      <c r="C609" s="14"/>
      <c r="D609" s="14"/>
      <c r="E609" s="14"/>
      <c r="F609" s="15"/>
      <c r="G609" s="16">
        <f>SUBTOTAL(9,G605:G608)</f>
        <v>6161</v>
      </c>
      <c r="H609" s="17"/>
      <c r="I609" s="14"/>
      <c r="J609" s="18">
        <f>SUBTOTAL(9,J605:J608)</f>
        <v>5620</v>
      </c>
      <c r="K609" s="17">
        <f>SUBTOTAL(9,K605:K608)</f>
        <v>541</v>
      </c>
      <c r="L609" s="12" t="s">
        <v>588</v>
      </c>
    </row>
    <row r="610" spans="1:12" hidden="1" outlineLevel="3" x14ac:dyDescent="0.25">
      <c r="A610" s="14" t="s">
        <v>131</v>
      </c>
      <c r="B610" s="14" t="s">
        <v>589</v>
      </c>
      <c r="C610" s="14" t="s">
        <v>140</v>
      </c>
      <c r="D610" s="14" t="s">
        <v>590</v>
      </c>
      <c r="E610" s="14">
        <v>177774</v>
      </c>
      <c r="F610" s="15">
        <v>45778</v>
      </c>
      <c r="G610" s="16">
        <v>2008.5</v>
      </c>
      <c r="H610" s="17">
        <f>G610</f>
        <v>2008.5</v>
      </c>
      <c r="I610" s="14"/>
      <c r="J610" s="18">
        <v>2008.5</v>
      </c>
      <c r="K610" s="17">
        <f>H610-J610</f>
        <v>0</v>
      </c>
      <c r="L610" s="12"/>
    </row>
    <row r="611" spans="1:12" hidden="1" outlineLevel="3" x14ac:dyDescent="0.25">
      <c r="A611" s="14" t="s">
        <v>131</v>
      </c>
      <c r="B611" s="14" t="s">
        <v>589</v>
      </c>
      <c r="C611" s="14" t="s">
        <v>133</v>
      </c>
      <c r="D611" s="14" t="s">
        <v>133</v>
      </c>
      <c r="E611" s="14">
        <v>177774</v>
      </c>
      <c r="F611" s="15">
        <v>45778</v>
      </c>
      <c r="G611" s="16">
        <v>490.5</v>
      </c>
      <c r="H611" s="17">
        <f>G611</f>
        <v>490.5</v>
      </c>
      <c r="I611" s="14"/>
      <c r="J611" s="18">
        <v>490.5</v>
      </c>
      <c r="K611" s="17">
        <f>H611-J611</f>
        <v>0</v>
      </c>
      <c r="L611" s="12"/>
    </row>
    <row r="612" spans="1:12" hidden="1" outlineLevel="3" x14ac:dyDescent="0.25">
      <c r="A612" s="14" t="s">
        <v>131</v>
      </c>
      <c r="B612" s="14" t="s">
        <v>589</v>
      </c>
      <c r="C612" s="14" t="s">
        <v>136</v>
      </c>
      <c r="D612" s="14" t="s">
        <v>136</v>
      </c>
      <c r="E612" s="14">
        <v>177774</v>
      </c>
      <c r="F612" s="15">
        <v>45778</v>
      </c>
      <c r="G612" s="16">
        <v>2624</v>
      </c>
      <c r="H612" s="17">
        <f>G612</f>
        <v>2624</v>
      </c>
      <c r="I612" s="14"/>
      <c r="J612" s="18">
        <v>2624</v>
      </c>
      <c r="K612" s="17">
        <f>H612-J612</f>
        <v>0</v>
      </c>
      <c r="L612" s="12"/>
    </row>
    <row r="613" spans="1:12" hidden="1" outlineLevel="3" x14ac:dyDescent="0.25">
      <c r="A613" s="14" t="s">
        <v>131</v>
      </c>
      <c r="B613" s="14" t="s">
        <v>589</v>
      </c>
      <c r="C613" s="14" t="s">
        <v>137</v>
      </c>
      <c r="D613" s="14" t="s">
        <v>591</v>
      </c>
      <c r="E613" s="14">
        <v>177774</v>
      </c>
      <c r="F613" s="15">
        <v>45778</v>
      </c>
      <c r="G613" s="16">
        <v>5095</v>
      </c>
      <c r="H613" s="17">
        <f>G613</f>
        <v>5095</v>
      </c>
      <c r="I613" s="14"/>
      <c r="J613" s="18">
        <v>5095</v>
      </c>
      <c r="K613" s="17">
        <f>H613-J613</f>
        <v>0</v>
      </c>
      <c r="L613" s="12"/>
    </row>
    <row r="614" spans="1:12" outlineLevel="2" collapsed="1" x14ac:dyDescent="0.25">
      <c r="A614" s="14"/>
      <c r="B614" s="8" t="s">
        <v>592</v>
      </c>
      <c r="C614" s="14"/>
      <c r="D614" s="14"/>
      <c r="E614" s="14"/>
      <c r="F614" s="15"/>
      <c r="G614" s="16">
        <f>SUBTOTAL(9,G610:G613)</f>
        <v>10218</v>
      </c>
      <c r="H614" s="17"/>
      <c r="I614" s="14"/>
      <c r="J614" s="18">
        <f>SUBTOTAL(9,J610:J613)</f>
        <v>10218</v>
      </c>
      <c r="K614" s="17">
        <f>SUBTOTAL(9,K610:K613)</f>
        <v>0</v>
      </c>
      <c r="L614" s="12"/>
    </row>
    <row r="615" spans="1:12" hidden="1" outlineLevel="3" x14ac:dyDescent="0.25">
      <c r="A615" s="14" t="s">
        <v>131</v>
      </c>
      <c r="B615" s="14" t="s">
        <v>593</v>
      </c>
      <c r="C615" s="14" t="s">
        <v>143</v>
      </c>
      <c r="D615" s="14" t="s">
        <v>143</v>
      </c>
      <c r="E615" s="14">
        <v>177775</v>
      </c>
      <c r="F615" s="15">
        <v>45778</v>
      </c>
      <c r="G615" s="16">
        <v>2560</v>
      </c>
      <c r="H615" s="17">
        <f>G615</f>
        <v>2560</v>
      </c>
      <c r="I615" s="14"/>
      <c r="J615" s="18">
        <v>2560</v>
      </c>
      <c r="K615" s="17">
        <f>H615-J615</f>
        <v>0</v>
      </c>
      <c r="L615" s="12"/>
    </row>
    <row r="616" spans="1:12" hidden="1" outlineLevel="3" x14ac:dyDescent="0.25">
      <c r="A616" s="14" t="s">
        <v>131</v>
      </c>
      <c r="B616" s="14" t="s">
        <v>593</v>
      </c>
      <c r="C616" s="14" t="s">
        <v>136</v>
      </c>
      <c r="D616" s="14" t="s">
        <v>136</v>
      </c>
      <c r="E616" s="14">
        <v>177775</v>
      </c>
      <c r="F616" s="15">
        <v>45778</v>
      </c>
      <c r="G616" s="16">
        <v>1982</v>
      </c>
      <c r="H616" s="17">
        <f>G616</f>
        <v>1982</v>
      </c>
      <c r="I616" s="14"/>
      <c r="J616" s="18">
        <v>1982</v>
      </c>
      <c r="K616" s="17">
        <f>H616-J616</f>
        <v>0</v>
      </c>
      <c r="L616" s="12"/>
    </row>
    <row r="617" spans="1:12" hidden="1" outlineLevel="3" x14ac:dyDescent="0.25">
      <c r="A617" s="14" t="s">
        <v>131</v>
      </c>
      <c r="B617" s="14" t="s">
        <v>593</v>
      </c>
      <c r="C617" s="14" t="s">
        <v>137</v>
      </c>
      <c r="D617" s="14" t="s">
        <v>137</v>
      </c>
      <c r="E617" s="14">
        <v>177775</v>
      </c>
      <c r="F617" s="15">
        <v>45778</v>
      </c>
      <c r="G617" s="16">
        <v>5992</v>
      </c>
      <c r="H617" s="17">
        <f>G617</f>
        <v>5992</v>
      </c>
      <c r="I617" s="14"/>
      <c r="J617" s="18">
        <v>5992</v>
      </c>
      <c r="K617" s="17">
        <f>H617-J617</f>
        <v>0</v>
      </c>
      <c r="L617" s="12"/>
    </row>
    <row r="618" spans="1:12" outlineLevel="2" collapsed="1" x14ac:dyDescent="0.25">
      <c r="A618" s="14"/>
      <c r="B618" s="8" t="s">
        <v>594</v>
      </c>
      <c r="C618" s="14"/>
      <c r="D618" s="14"/>
      <c r="E618" s="14"/>
      <c r="F618" s="15"/>
      <c r="G618" s="16">
        <f>SUBTOTAL(9,G615:G617)</f>
        <v>10534</v>
      </c>
      <c r="H618" s="17"/>
      <c r="I618" s="14"/>
      <c r="J618" s="18">
        <f>SUBTOTAL(9,J615:J617)</f>
        <v>10534</v>
      </c>
      <c r="K618" s="17">
        <f>SUBTOTAL(9,K615:K617)</f>
        <v>0</v>
      </c>
      <c r="L618" s="12"/>
    </row>
    <row r="619" spans="1:12" hidden="1" outlineLevel="3" x14ac:dyDescent="0.25">
      <c r="A619" s="14" t="s">
        <v>131</v>
      </c>
      <c r="B619" s="14" t="s">
        <v>595</v>
      </c>
      <c r="C619" s="14" t="s">
        <v>137</v>
      </c>
      <c r="D619" s="14" t="s">
        <v>565</v>
      </c>
      <c r="E619" s="14">
        <v>177776</v>
      </c>
      <c r="F619" s="15">
        <v>45778</v>
      </c>
      <c r="G619" s="16">
        <v>1000</v>
      </c>
      <c r="H619" s="17">
        <f>G619</f>
        <v>1000</v>
      </c>
      <c r="I619" s="14"/>
      <c r="J619" s="18">
        <v>1000</v>
      </c>
      <c r="K619" s="17">
        <f>H619-J619</f>
        <v>0</v>
      </c>
      <c r="L619" s="12"/>
    </row>
    <row r="620" spans="1:12" outlineLevel="2" collapsed="1" x14ac:dyDescent="0.25">
      <c r="A620" s="14"/>
      <c r="B620" s="8" t="s">
        <v>596</v>
      </c>
      <c r="C620" s="14"/>
      <c r="D620" s="14"/>
      <c r="E620" s="14"/>
      <c r="F620" s="15"/>
      <c r="G620" s="16">
        <f>SUBTOTAL(9,G619:G619)</f>
        <v>1000</v>
      </c>
      <c r="H620" s="17"/>
      <c r="I620" s="14"/>
      <c r="J620" s="18">
        <f>SUBTOTAL(9,J619:J619)</f>
        <v>1000</v>
      </c>
      <c r="K620" s="17">
        <f>SUBTOTAL(9,K619:K619)</f>
        <v>0</v>
      </c>
      <c r="L620" s="12"/>
    </row>
    <row r="621" spans="1:12" hidden="1" outlineLevel="3" x14ac:dyDescent="0.25">
      <c r="A621" s="14" t="s">
        <v>131</v>
      </c>
      <c r="B621" s="14" t="s">
        <v>597</v>
      </c>
      <c r="C621" s="14" t="s">
        <v>140</v>
      </c>
      <c r="D621" s="14" t="s">
        <v>140</v>
      </c>
      <c r="E621" s="14">
        <v>177469</v>
      </c>
      <c r="F621" s="15">
        <v>45762</v>
      </c>
      <c r="G621" s="16">
        <v>33.6</v>
      </c>
      <c r="H621" s="17">
        <f>G621</f>
        <v>33.6</v>
      </c>
      <c r="I621" s="14"/>
      <c r="J621" s="18">
        <v>33.6</v>
      </c>
      <c r="K621" s="17">
        <f>H621-J621</f>
        <v>0</v>
      </c>
      <c r="L621" s="12"/>
    </row>
    <row r="622" spans="1:12" hidden="1" outlineLevel="3" x14ac:dyDescent="0.25">
      <c r="A622" s="14" t="s">
        <v>131</v>
      </c>
      <c r="B622" s="14" t="s">
        <v>597</v>
      </c>
      <c r="C622" s="14" t="s">
        <v>133</v>
      </c>
      <c r="D622" s="14" t="s">
        <v>133</v>
      </c>
      <c r="E622" s="14">
        <v>177469</v>
      </c>
      <c r="F622" s="15">
        <v>45762</v>
      </c>
      <c r="G622" s="16">
        <v>178.96</v>
      </c>
      <c r="H622" s="17">
        <f>G622</f>
        <v>178.96</v>
      </c>
      <c r="I622" s="14"/>
      <c r="J622" s="18">
        <v>178.96</v>
      </c>
      <c r="K622" s="17">
        <f>H622-J622</f>
        <v>0</v>
      </c>
      <c r="L622" s="12"/>
    </row>
    <row r="623" spans="1:12" hidden="1" outlineLevel="3" x14ac:dyDescent="0.25">
      <c r="A623" s="14" t="s">
        <v>131</v>
      </c>
      <c r="B623" s="14" t="s">
        <v>597</v>
      </c>
      <c r="C623" s="14" t="s">
        <v>136</v>
      </c>
      <c r="D623" s="14" t="s">
        <v>136</v>
      </c>
      <c r="E623" s="14">
        <v>177469</v>
      </c>
      <c r="F623" s="15">
        <v>45762</v>
      </c>
      <c r="G623" s="16">
        <v>28</v>
      </c>
      <c r="H623" s="17">
        <f>G623</f>
        <v>28</v>
      </c>
      <c r="I623" s="14"/>
      <c r="J623" s="18">
        <v>35</v>
      </c>
      <c r="K623" s="17">
        <f>H623-J623</f>
        <v>-7</v>
      </c>
      <c r="L623" s="12"/>
    </row>
    <row r="624" spans="1:12" hidden="1" outlineLevel="3" x14ac:dyDescent="0.25">
      <c r="A624" s="14" t="s">
        <v>131</v>
      </c>
      <c r="B624" s="14" t="s">
        <v>597</v>
      </c>
      <c r="C624" s="14" t="s">
        <v>137</v>
      </c>
      <c r="D624" s="14" t="s">
        <v>137</v>
      </c>
      <c r="E624" s="14">
        <v>177469</v>
      </c>
      <c r="F624" s="15">
        <v>45762</v>
      </c>
      <c r="G624" s="16">
        <v>446.25</v>
      </c>
      <c r="H624" s="17">
        <f>G624</f>
        <v>446.25</v>
      </c>
      <c r="I624" s="14"/>
      <c r="J624" s="18">
        <v>446.25</v>
      </c>
      <c r="K624" s="17">
        <f>H624-J624</f>
        <v>0</v>
      </c>
      <c r="L624" s="12"/>
    </row>
    <row r="625" spans="1:12" outlineLevel="2" collapsed="1" x14ac:dyDescent="0.25">
      <c r="A625" s="14"/>
      <c r="B625" s="8" t="s">
        <v>598</v>
      </c>
      <c r="C625" s="14"/>
      <c r="D625" s="14"/>
      <c r="E625" s="14"/>
      <c r="F625" s="15"/>
      <c r="G625" s="16">
        <f>SUBTOTAL(9,G621:G624)</f>
        <v>686.81</v>
      </c>
      <c r="H625" s="17"/>
      <c r="I625" s="14"/>
      <c r="J625" s="18">
        <f>SUBTOTAL(9,J621:J624)</f>
        <v>693.81</v>
      </c>
      <c r="K625" s="17">
        <f>SUBTOTAL(9,K621:K624)</f>
        <v>-7</v>
      </c>
      <c r="L625" s="12"/>
    </row>
    <row r="626" spans="1:12" outlineLevel="1" x14ac:dyDescent="0.25">
      <c r="A626" s="8" t="s">
        <v>599</v>
      </c>
      <c r="B626" s="14"/>
      <c r="C626" s="14"/>
      <c r="D626" s="14"/>
      <c r="E626" s="14"/>
      <c r="F626" s="15"/>
      <c r="G626" s="16">
        <f>SUBTOTAL(9,G2:G624)</f>
        <v>783741.94830000005</v>
      </c>
      <c r="H626" s="17"/>
      <c r="I626" s="14"/>
      <c r="J626" s="18">
        <f>SUBTOTAL(9,J2:J624)</f>
        <v>729918.87784999982</v>
      </c>
      <c r="K626" s="17">
        <f>SUBTOTAL(9,K2:K624)</f>
        <v>53823.070449999992</v>
      </c>
      <c r="L626" s="12"/>
    </row>
    <row r="627" spans="1:12" ht="45" hidden="1" outlineLevel="3" x14ac:dyDescent="0.25">
      <c r="A627" s="34" t="s">
        <v>600</v>
      </c>
      <c r="B627" s="34" t="s">
        <v>601</v>
      </c>
      <c r="C627" s="34"/>
      <c r="D627" s="34"/>
      <c r="E627" s="34" t="s">
        <v>602</v>
      </c>
      <c r="F627" s="34"/>
      <c r="G627" s="43">
        <v>-3987.5</v>
      </c>
      <c r="H627" s="43">
        <f>G627</f>
        <v>-3987.5</v>
      </c>
      <c r="I627" s="43"/>
      <c r="J627" s="43"/>
      <c r="K627" s="43">
        <f>H627-J627</f>
        <v>-3987.5</v>
      </c>
      <c r="L627" s="38" t="s">
        <v>603</v>
      </c>
    </row>
    <row r="628" spans="1:12" ht="45" outlineLevel="2" collapsed="1" x14ac:dyDescent="0.25">
      <c r="A628" s="34"/>
      <c r="B628" s="39" t="s">
        <v>604</v>
      </c>
      <c r="C628" s="34"/>
      <c r="D628" s="34"/>
      <c r="E628" s="34"/>
      <c r="F628" s="34"/>
      <c r="G628" s="43">
        <f>SUBTOTAL(9,G627:G627)</f>
        <v>-3987.5</v>
      </c>
      <c r="H628" s="43"/>
      <c r="I628" s="43"/>
      <c r="J628" s="43">
        <f>SUBTOTAL(9,J627:J627)</f>
        <v>0</v>
      </c>
      <c r="K628" s="43">
        <f>SUBTOTAL(9,K627:K627)</f>
        <v>-3987.5</v>
      </c>
      <c r="L628" s="38" t="s">
        <v>603</v>
      </c>
    </row>
    <row r="629" spans="1:12" hidden="1" outlineLevel="3" x14ac:dyDescent="0.25">
      <c r="A629" s="14" t="s">
        <v>600</v>
      </c>
      <c r="B629" s="14" t="s">
        <v>605</v>
      </c>
      <c r="C629" s="14" t="s">
        <v>137</v>
      </c>
      <c r="D629" s="14" t="s">
        <v>137</v>
      </c>
      <c r="E629" s="14" t="s">
        <v>606</v>
      </c>
      <c r="F629" s="15">
        <v>45778</v>
      </c>
      <c r="G629" s="18">
        <v>2758.75</v>
      </c>
      <c r="H629" s="17">
        <f>G629</f>
        <v>2758.75</v>
      </c>
      <c r="I629" s="14"/>
      <c r="J629" s="18">
        <v>2958.75</v>
      </c>
      <c r="K629" s="17">
        <f>H629-J629</f>
        <v>-200</v>
      </c>
      <c r="L629" s="12"/>
    </row>
    <row r="630" spans="1:12" outlineLevel="2" collapsed="1" x14ac:dyDescent="0.25">
      <c r="A630" s="14"/>
      <c r="B630" s="8" t="s">
        <v>607</v>
      </c>
      <c r="C630" s="14"/>
      <c r="D630" s="14"/>
      <c r="E630" s="14"/>
      <c r="F630" s="15"/>
      <c r="G630" s="18">
        <f>SUBTOTAL(9,G629:G629)</f>
        <v>2758.75</v>
      </c>
      <c r="H630" s="17"/>
      <c r="I630" s="14"/>
      <c r="J630" s="18">
        <f>SUBTOTAL(9,J629:J629)</f>
        <v>2958.75</v>
      </c>
      <c r="K630" s="17">
        <f>SUBTOTAL(9,K629:K629)</f>
        <v>-200</v>
      </c>
      <c r="L630" s="12"/>
    </row>
    <row r="631" spans="1:12" hidden="1" outlineLevel="3" x14ac:dyDescent="0.25">
      <c r="A631" s="14" t="s">
        <v>600</v>
      </c>
      <c r="B631" s="14" t="s">
        <v>608</v>
      </c>
      <c r="C631" s="14" t="s">
        <v>609</v>
      </c>
      <c r="D631" s="14" t="s">
        <v>610</v>
      </c>
      <c r="E631" s="14" t="s">
        <v>611</v>
      </c>
      <c r="F631" s="15">
        <v>45778</v>
      </c>
      <c r="G631" s="18">
        <v>1256.25</v>
      </c>
      <c r="H631" s="17">
        <f>G631</f>
        <v>1256.25</v>
      </c>
      <c r="I631" s="14"/>
      <c r="J631" s="18">
        <v>1256.25</v>
      </c>
      <c r="K631" s="17">
        <f>H631-J631</f>
        <v>0</v>
      </c>
      <c r="L631" s="12"/>
    </row>
    <row r="632" spans="1:12" outlineLevel="2" collapsed="1" x14ac:dyDescent="0.25">
      <c r="A632" s="14"/>
      <c r="B632" s="8" t="s">
        <v>612</v>
      </c>
      <c r="C632" s="14"/>
      <c r="D632" s="14"/>
      <c r="E632" s="14"/>
      <c r="F632" s="15"/>
      <c r="G632" s="18">
        <f>SUBTOTAL(9,G631:G631)</f>
        <v>1256.25</v>
      </c>
      <c r="H632" s="17"/>
      <c r="I632" s="14"/>
      <c r="J632" s="18">
        <f>SUBTOTAL(9,J631:J631)</f>
        <v>1256.25</v>
      </c>
      <c r="K632" s="17">
        <f>SUBTOTAL(9,K631:K631)</f>
        <v>0</v>
      </c>
      <c r="L632" s="12"/>
    </row>
    <row r="633" spans="1:12" hidden="1" outlineLevel="3" x14ac:dyDescent="0.25">
      <c r="A633" s="14" t="s">
        <v>600</v>
      </c>
      <c r="B633" s="14" t="s">
        <v>613</v>
      </c>
      <c r="C633" s="14" t="s">
        <v>137</v>
      </c>
      <c r="D633" s="14" t="s">
        <v>614</v>
      </c>
      <c r="E633" s="14" t="s">
        <v>615</v>
      </c>
      <c r="F633" s="15">
        <v>45778</v>
      </c>
      <c r="G633" s="18">
        <v>950</v>
      </c>
      <c r="H633" s="17">
        <f>G633</f>
        <v>950</v>
      </c>
      <c r="I633" s="14"/>
      <c r="J633" s="18">
        <v>950</v>
      </c>
      <c r="K633" s="17">
        <f>H633-J633</f>
        <v>0</v>
      </c>
      <c r="L633" s="12"/>
    </row>
    <row r="634" spans="1:12" outlineLevel="2" collapsed="1" x14ac:dyDescent="0.25">
      <c r="A634" s="14"/>
      <c r="B634" s="8" t="s">
        <v>616</v>
      </c>
      <c r="C634" s="14"/>
      <c r="D634" s="14"/>
      <c r="E634" s="14"/>
      <c r="F634" s="15"/>
      <c r="G634" s="18">
        <f>SUBTOTAL(9,G633:G633)</f>
        <v>950</v>
      </c>
      <c r="H634" s="17"/>
      <c r="I634" s="14"/>
      <c r="J634" s="18">
        <f>SUBTOTAL(9,J633:J633)</f>
        <v>950</v>
      </c>
      <c r="K634" s="17">
        <f>SUBTOTAL(9,K633:K633)</f>
        <v>0</v>
      </c>
      <c r="L634" s="12"/>
    </row>
    <row r="635" spans="1:12" hidden="1" outlineLevel="3" x14ac:dyDescent="0.25">
      <c r="A635" s="14" t="s">
        <v>600</v>
      </c>
      <c r="B635" s="14" t="s">
        <v>617</v>
      </c>
      <c r="C635" s="14" t="s">
        <v>609</v>
      </c>
      <c r="D635" s="14" t="s">
        <v>618</v>
      </c>
      <c r="E635" s="14" t="s">
        <v>619</v>
      </c>
      <c r="F635" s="15">
        <v>45778</v>
      </c>
      <c r="G635" s="18">
        <v>111.5</v>
      </c>
      <c r="H635" s="17">
        <f>G635</f>
        <v>111.5</v>
      </c>
      <c r="I635" s="14"/>
      <c r="J635" s="18">
        <v>111.5</v>
      </c>
      <c r="K635" s="17">
        <f>H635-J635</f>
        <v>0</v>
      </c>
      <c r="L635" s="12"/>
    </row>
    <row r="636" spans="1:12" hidden="1" outlineLevel="3" x14ac:dyDescent="0.25">
      <c r="A636" s="14" t="s">
        <v>600</v>
      </c>
      <c r="B636" s="14" t="s">
        <v>617</v>
      </c>
      <c r="C636" s="14" t="s">
        <v>133</v>
      </c>
      <c r="D636" s="14" t="s">
        <v>620</v>
      </c>
      <c r="E636" s="14" t="s">
        <v>621</v>
      </c>
      <c r="F636" s="15">
        <v>45778</v>
      </c>
      <c r="G636" s="18">
        <v>205</v>
      </c>
      <c r="H636" s="17">
        <f>G636</f>
        <v>205</v>
      </c>
      <c r="I636" s="14"/>
      <c r="J636" s="18">
        <v>205</v>
      </c>
      <c r="K636" s="17">
        <f>H636-J636</f>
        <v>0</v>
      </c>
      <c r="L636" s="12"/>
    </row>
    <row r="637" spans="1:12" hidden="1" outlineLevel="3" x14ac:dyDescent="0.25">
      <c r="A637" s="14" t="s">
        <v>600</v>
      </c>
      <c r="B637" s="14" t="s">
        <v>617</v>
      </c>
      <c r="C637" s="14" t="s">
        <v>136</v>
      </c>
      <c r="D637" s="14" t="s">
        <v>622</v>
      </c>
      <c r="E637" s="14" t="s">
        <v>621</v>
      </c>
      <c r="F637" s="15">
        <v>45778</v>
      </c>
      <c r="G637" s="18">
        <v>35</v>
      </c>
      <c r="H637" s="17">
        <f>G637</f>
        <v>35</v>
      </c>
      <c r="I637" s="14"/>
      <c r="J637" s="18">
        <v>35</v>
      </c>
      <c r="K637" s="17">
        <f>H637-J637</f>
        <v>0</v>
      </c>
      <c r="L637" s="12"/>
    </row>
    <row r="638" spans="1:12" hidden="1" outlineLevel="3" x14ac:dyDescent="0.25">
      <c r="A638" s="14" t="s">
        <v>600</v>
      </c>
      <c r="B638" s="14" t="s">
        <v>617</v>
      </c>
      <c r="C638" s="14" t="s">
        <v>623</v>
      </c>
      <c r="D638" s="14" t="s">
        <v>624</v>
      </c>
      <c r="E638" s="14" t="s">
        <v>625</v>
      </c>
      <c r="F638" s="15">
        <v>45779</v>
      </c>
      <c r="G638" s="18">
        <v>446</v>
      </c>
      <c r="H638" s="17">
        <f>G638</f>
        <v>446</v>
      </c>
      <c r="I638" s="14"/>
      <c r="J638" s="18">
        <v>446</v>
      </c>
      <c r="K638" s="17">
        <f>H638-J638</f>
        <v>0</v>
      </c>
      <c r="L638" s="12"/>
    </row>
    <row r="639" spans="1:12" hidden="1" outlineLevel="3" x14ac:dyDescent="0.25">
      <c r="A639" s="14" t="s">
        <v>600</v>
      </c>
      <c r="B639" s="14" t="s">
        <v>617</v>
      </c>
      <c r="C639" s="14" t="s">
        <v>137</v>
      </c>
      <c r="D639" s="14" t="s">
        <v>626</v>
      </c>
      <c r="E639" s="14" t="s">
        <v>621</v>
      </c>
      <c r="F639" s="15">
        <v>45778</v>
      </c>
      <c r="G639" s="18">
        <v>2845.5</v>
      </c>
      <c r="H639" s="17">
        <f>G639</f>
        <v>2845.5</v>
      </c>
      <c r="I639" s="14"/>
      <c r="J639" s="18">
        <v>2845.5</v>
      </c>
      <c r="K639" s="17">
        <f>H639-J639</f>
        <v>0</v>
      </c>
      <c r="L639" s="12"/>
    </row>
    <row r="640" spans="1:12" outlineLevel="2" collapsed="1" x14ac:dyDescent="0.25">
      <c r="A640" s="14"/>
      <c r="B640" s="8" t="s">
        <v>627</v>
      </c>
      <c r="C640" s="14"/>
      <c r="D640" s="14"/>
      <c r="E640" s="14"/>
      <c r="F640" s="15"/>
      <c r="G640" s="18">
        <f>SUBTOTAL(9,G635:G639)</f>
        <v>3643</v>
      </c>
      <c r="H640" s="17"/>
      <c r="I640" s="14"/>
      <c r="J640" s="18">
        <f>SUBTOTAL(9,J635:J639)</f>
        <v>3643</v>
      </c>
      <c r="K640" s="17">
        <f>SUBTOTAL(9,K635:K639)</f>
        <v>0</v>
      </c>
      <c r="L640" s="12"/>
    </row>
    <row r="641" spans="1:12" hidden="1" outlineLevel="3" x14ac:dyDescent="0.25">
      <c r="A641" s="14" t="s">
        <v>600</v>
      </c>
      <c r="B641" s="14" t="s">
        <v>628</v>
      </c>
      <c r="C641" s="14" t="s">
        <v>609</v>
      </c>
      <c r="D641" s="14" t="s">
        <v>618</v>
      </c>
      <c r="E641" s="14" t="s">
        <v>629</v>
      </c>
      <c r="F641" s="15">
        <v>45778</v>
      </c>
      <c r="G641" s="18">
        <v>143.19999999999999</v>
      </c>
      <c r="H641" s="17">
        <f>G641</f>
        <v>143.19999999999999</v>
      </c>
      <c r="I641" s="14"/>
      <c r="J641" s="18">
        <v>143.19999999999999</v>
      </c>
      <c r="K641" s="17">
        <f>H641-J641</f>
        <v>0</v>
      </c>
      <c r="L641" s="12"/>
    </row>
    <row r="642" spans="1:12" hidden="1" outlineLevel="3" x14ac:dyDescent="0.25">
      <c r="A642" s="14" t="s">
        <v>600</v>
      </c>
      <c r="B642" s="14" t="s">
        <v>628</v>
      </c>
      <c r="C642" s="14" t="s">
        <v>623</v>
      </c>
      <c r="D642" s="14" t="s">
        <v>630</v>
      </c>
      <c r="E642" s="14" t="s">
        <v>631</v>
      </c>
      <c r="F642" s="15">
        <v>45779</v>
      </c>
      <c r="G642" s="18">
        <v>572.79999999999995</v>
      </c>
      <c r="H642" s="17">
        <f>G642</f>
        <v>572.79999999999995</v>
      </c>
      <c r="I642" s="14"/>
      <c r="J642" s="18">
        <v>572.79999999999995</v>
      </c>
      <c r="K642" s="17">
        <f>H642-J642</f>
        <v>0</v>
      </c>
      <c r="L642" s="12"/>
    </row>
    <row r="643" spans="1:12" hidden="1" outlineLevel="3" x14ac:dyDescent="0.25">
      <c r="A643" s="14" t="s">
        <v>600</v>
      </c>
      <c r="B643" s="14" t="s">
        <v>628</v>
      </c>
      <c r="C643" s="14" t="s">
        <v>137</v>
      </c>
      <c r="D643" s="14" t="s">
        <v>632</v>
      </c>
      <c r="E643" s="14" t="s">
        <v>633</v>
      </c>
      <c r="F643" s="15">
        <v>45778</v>
      </c>
      <c r="G643" s="18">
        <v>1058</v>
      </c>
      <c r="H643" s="17">
        <f>G643</f>
        <v>1058</v>
      </c>
      <c r="I643" s="14"/>
      <c r="J643" s="18">
        <v>1058</v>
      </c>
      <c r="K643" s="17">
        <f>H643-J643</f>
        <v>0</v>
      </c>
      <c r="L643" s="12"/>
    </row>
    <row r="644" spans="1:12" hidden="1" outlineLevel="3" x14ac:dyDescent="0.25">
      <c r="A644" s="14" t="s">
        <v>600</v>
      </c>
      <c r="B644" s="14" t="s">
        <v>628</v>
      </c>
      <c r="C644" s="14" t="s">
        <v>137</v>
      </c>
      <c r="D644" s="14" t="s">
        <v>634</v>
      </c>
      <c r="E644" s="14" t="s">
        <v>635</v>
      </c>
      <c r="F644" s="15">
        <v>45778</v>
      </c>
      <c r="G644" s="18">
        <v>530</v>
      </c>
      <c r="H644" s="17">
        <f>G644</f>
        <v>530</v>
      </c>
      <c r="I644" s="14"/>
      <c r="J644" s="18">
        <v>530</v>
      </c>
      <c r="K644" s="17">
        <f>H644-J644</f>
        <v>0</v>
      </c>
      <c r="L644" s="12"/>
    </row>
    <row r="645" spans="1:12" outlineLevel="2" collapsed="1" x14ac:dyDescent="0.25">
      <c r="A645" s="14"/>
      <c r="B645" s="8" t="s">
        <v>636</v>
      </c>
      <c r="C645" s="14"/>
      <c r="D645" s="14"/>
      <c r="E645" s="14"/>
      <c r="F645" s="15"/>
      <c r="G645" s="18">
        <f>SUBTOTAL(9,G641:G644)</f>
        <v>2304</v>
      </c>
      <c r="H645" s="17"/>
      <c r="I645" s="14"/>
      <c r="J645" s="18">
        <f>SUBTOTAL(9,J641:J644)</f>
        <v>2304</v>
      </c>
      <c r="K645" s="17">
        <f>SUBTOTAL(9,K641:K644)</f>
        <v>0</v>
      </c>
      <c r="L645" s="12"/>
    </row>
    <row r="646" spans="1:12" hidden="1" outlineLevel="3" x14ac:dyDescent="0.25">
      <c r="A646" s="14" t="s">
        <v>600</v>
      </c>
      <c r="B646" s="14" t="s">
        <v>637</v>
      </c>
      <c r="C646" s="14" t="s">
        <v>609</v>
      </c>
      <c r="D646" s="14" t="s">
        <v>618</v>
      </c>
      <c r="E646" s="14" t="s">
        <v>638</v>
      </c>
      <c r="F646" s="15">
        <v>45778</v>
      </c>
      <c r="G646" s="18">
        <v>61.35</v>
      </c>
      <c r="H646" s="17">
        <f>G646</f>
        <v>61.35</v>
      </c>
      <c r="I646" s="14"/>
      <c r="J646" s="18">
        <v>61.35</v>
      </c>
      <c r="K646" s="17">
        <f>H646-J646</f>
        <v>0</v>
      </c>
      <c r="L646" s="12"/>
    </row>
    <row r="647" spans="1:12" hidden="1" outlineLevel="3" x14ac:dyDescent="0.25">
      <c r="A647" s="14" t="s">
        <v>600</v>
      </c>
      <c r="B647" s="14" t="s">
        <v>637</v>
      </c>
      <c r="C647" s="14" t="s">
        <v>133</v>
      </c>
      <c r="D647" s="14" t="s">
        <v>134</v>
      </c>
      <c r="E647" s="14" t="s">
        <v>639</v>
      </c>
      <c r="F647" s="15">
        <v>45778</v>
      </c>
      <c r="G647" s="18">
        <v>207.48</v>
      </c>
      <c r="H647" s="17">
        <f>G647</f>
        <v>207.48</v>
      </c>
      <c r="I647" s="14"/>
      <c r="J647" s="18">
        <v>207.48</v>
      </c>
      <c r="K647" s="17">
        <f>H647-J647</f>
        <v>0</v>
      </c>
      <c r="L647" s="12"/>
    </row>
    <row r="648" spans="1:12" hidden="1" outlineLevel="3" x14ac:dyDescent="0.25">
      <c r="A648" s="14" t="s">
        <v>600</v>
      </c>
      <c r="B648" s="14" t="s">
        <v>637</v>
      </c>
      <c r="C648" s="14" t="s">
        <v>136</v>
      </c>
      <c r="D648" s="14" t="s">
        <v>155</v>
      </c>
      <c r="E648" s="14" t="s">
        <v>639</v>
      </c>
      <c r="F648" s="15">
        <v>45778</v>
      </c>
      <c r="G648" s="18">
        <v>217</v>
      </c>
      <c r="H648" s="17">
        <f>G648</f>
        <v>217</v>
      </c>
      <c r="I648" s="14"/>
      <c r="J648" s="18">
        <v>217</v>
      </c>
      <c r="K648" s="17">
        <f>H648-J648</f>
        <v>0</v>
      </c>
      <c r="L648" s="12"/>
    </row>
    <row r="649" spans="1:12" hidden="1" outlineLevel="3" x14ac:dyDescent="0.25">
      <c r="A649" s="14" t="s">
        <v>600</v>
      </c>
      <c r="B649" s="14" t="s">
        <v>637</v>
      </c>
      <c r="C649" s="14" t="s">
        <v>623</v>
      </c>
      <c r="D649" s="14" t="s">
        <v>630</v>
      </c>
      <c r="E649" s="14" t="s">
        <v>640</v>
      </c>
      <c r="F649" s="15">
        <v>45779</v>
      </c>
      <c r="G649" s="18">
        <v>347.65</v>
      </c>
      <c r="H649" s="17">
        <f>G649</f>
        <v>347.65</v>
      </c>
      <c r="I649" s="14"/>
      <c r="J649" s="18">
        <v>347.65</v>
      </c>
      <c r="K649" s="17">
        <f>H649-J649</f>
        <v>0</v>
      </c>
      <c r="L649" s="12"/>
    </row>
    <row r="650" spans="1:12" hidden="1" outlineLevel="3" x14ac:dyDescent="0.25">
      <c r="A650" s="14" t="s">
        <v>600</v>
      </c>
      <c r="B650" s="14" t="s">
        <v>637</v>
      </c>
      <c r="C650" s="14" t="s">
        <v>137</v>
      </c>
      <c r="D650" s="14" t="s">
        <v>641</v>
      </c>
      <c r="E650" s="14" t="s">
        <v>639</v>
      </c>
      <c r="F650" s="15">
        <v>45778</v>
      </c>
      <c r="G650" s="18">
        <v>2174</v>
      </c>
      <c r="H650" s="17">
        <f>G650</f>
        <v>2174</v>
      </c>
      <c r="I650" s="14"/>
      <c r="J650" s="18">
        <v>2174</v>
      </c>
      <c r="K650" s="17">
        <f>H650-J650</f>
        <v>0</v>
      </c>
      <c r="L650" s="12"/>
    </row>
    <row r="651" spans="1:12" outlineLevel="2" collapsed="1" x14ac:dyDescent="0.25">
      <c r="A651" s="14"/>
      <c r="B651" s="8" t="s">
        <v>642</v>
      </c>
      <c r="C651" s="14"/>
      <c r="D651" s="14"/>
      <c r="E651" s="14"/>
      <c r="F651" s="15"/>
      <c r="G651" s="18">
        <f>SUBTOTAL(9,G646:G650)</f>
        <v>3007.48</v>
      </c>
      <c r="H651" s="17"/>
      <c r="I651" s="14"/>
      <c r="J651" s="18">
        <f>SUBTOTAL(9,J646:J650)</f>
        <v>3007.48</v>
      </c>
      <c r="K651" s="17">
        <f>SUBTOTAL(9,K646:K650)</f>
        <v>0</v>
      </c>
      <c r="L651" s="12"/>
    </row>
    <row r="652" spans="1:12" hidden="1" outlineLevel="3" x14ac:dyDescent="0.25">
      <c r="A652" s="14" t="s">
        <v>600</v>
      </c>
      <c r="B652" s="14" t="s">
        <v>643</v>
      </c>
      <c r="C652" s="14" t="s">
        <v>609</v>
      </c>
      <c r="D652" s="14" t="s">
        <v>644</v>
      </c>
      <c r="E652" s="14" t="s">
        <v>645</v>
      </c>
      <c r="F652" s="15">
        <v>45778</v>
      </c>
      <c r="G652" s="18">
        <v>208</v>
      </c>
      <c r="H652" s="17">
        <f>G652</f>
        <v>208</v>
      </c>
      <c r="I652" s="14"/>
      <c r="J652" s="18">
        <v>208</v>
      </c>
      <c r="K652" s="17">
        <f>H652-J652</f>
        <v>0</v>
      </c>
      <c r="L652" s="12"/>
    </row>
    <row r="653" spans="1:12" hidden="1" outlineLevel="3" x14ac:dyDescent="0.25">
      <c r="A653" s="14" t="s">
        <v>600</v>
      </c>
      <c r="B653" s="14" t="s">
        <v>643</v>
      </c>
      <c r="C653" s="14" t="s">
        <v>143</v>
      </c>
      <c r="D653" s="14" t="s">
        <v>247</v>
      </c>
      <c r="E653" s="14" t="s">
        <v>646</v>
      </c>
      <c r="F653" s="15">
        <v>45778</v>
      </c>
      <c r="G653" s="18">
        <v>67.099999999999994</v>
      </c>
      <c r="H653" s="17">
        <f>G653</f>
        <v>67.099999999999994</v>
      </c>
      <c r="I653" s="14"/>
      <c r="J653" s="18">
        <v>67.099999999999994</v>
      </c>
      <c r="K653" s="17">
        <f>H653-J653</f>
        <v>0</v>
      </c>
      <c r="L653" s="12"/>
    </row>
    <row r="654" spans="1:12" hidden="1" outlineLevel="3" x14ac:dyDescent="0.25">
      <c r="A654" s="14" t="s">
        <v>600</v>
      </c>
      <c r="B654" s="14" t="s">
        <v>643</v>
      </c>
      <c r="C654" s="14" t="s">
        <v>623</v>
      </c>
      <c r="D654" s="14" t="s">
        <v>623</v>
      </c>
      <c r="E654" s="14" t="s">
        <v>647</v>
      </c>
      <c r="F654" s="15">
        <v>45779</v>
      </c>
      <c r="G654" s="18">
        <v>208</v>
      </c>
      <c r="H654" s="17">
        <f>G654</f>
        <v>208</v>
      </c>
      <c r="I654" s="14"/>
      <c r="J654" s="18">
        <v>208</v>
      </c>
      <c r="K654" s="17">
        <f>H654-J654</f>
        <v>0</v>
      </c>
      <c r="L654" s="12"/>
    </row>
    <row r="655" spans="1:12" outlineLevel="2" collapsed="1" x14ac:dyDescent="0.25">
      <c r="A655" s="14"/>
      <c r="B655" s="8" t="s">
        <v>648</v>
      </c>
      <c r="C655" s="14"/>
      <c r="D655" s="14"/>
      <c r="E655" s="14"/>
      <c r="F655" s="15"/>
      <c r="G655" s="18">
        <f>SUBTOTAL(9,G652:G654)</f>
        <v>483.1</v>
      </c>
      <c r="H655" s="17"/>
      <c r="I655" s="14"/>
      <c r="J655" s="18">
        <f>SUBTOTAL(9,J652:J654)</f>
        <v>483.1</v>
      </c>
      <c r="K655" s="17">
        <f>SUBTOTAL(9,K652:K654)</f>
        <v>0</v>
      </c>
      <c r="L655" s="12"/>
    </row>
    <row r="656" spans="1:12" hidden="1" outlineLevel="3" x14ac:dyDescent="0.25">
      <c r="A656" s="14" t="s">
        <v>600</v>
      </c>
      <c r="B656" s="14" t="s">
        <v>649</v>
      </c>
      <c r="C656" s="14" t="s">
        <v>650</v>
      </c>
      <c r="D656" s="14" t="s">
        <v>651</v>
      </c>
      <c r="E656" s="14" t="s">
        <v>652</v>
      </c>
      <c r="F656" s="15">
        <v>45778</v>
      </c>
      <c r="G656" s="18">
        <v>4250</v>
      </c>
      <c r="H656" s="17">
        <f t="shared" ref="H656:H663" si="12">G656</f>
        <v>4250</v>
      </c>
      <c r="I656" s="14"/>
      <c r="J656" s="18">
        <v>4250</v>
      </c>
      <c r="K656" s="17">
        <f t="shared" ref="K656:K663" si="13">H656-J656</f>
        <v>0</v>
      </c>
      <c r="L656" s="12"/>
    </row>
    <row r="657" spans="1:12" hidden="1" outlineLevel="3" x14ac:dyDescent="0.25">
      <c r="A657" s="14" t="s">
        <v>600</v>
      </c>
      <c r="B657" s="14" t="s">
        <v>649</v>
      </c>
      <c r="C657" s="14" t="s">
        <v>609</v>
      </c>
      <c r="D657" s="14" t="s">
        <v>618</v>
      </c>
      <c r="E657" s="14" t="s">
        <v>653</v>
      </c>
      <c r="F657" s="15">
        <v>45778</v>
      </c>
      <c r="G657" s="18">
        <v>46.8</v>
      </c>
      <c r="H657" s="17">
        <f t="shared" si="12"/>
        <v>46.8</v>
      </c>
      <c r="I657" s="14"/>
      <c r="J657" s="18">
        <v>46.8</v>
      </c>
      <c r="K657" s="17">
        <f t="shared" si="13"/>
        <v>0</v>
      </c>
      <c r="L657" s="12"/>
    </row>
    <row r="658" spans="1:12" hidden="1" outlineLevel="3" x14ac:dyDescent="0.25">
      <c r="A658" s="14" t="s">
        <v>600</v>
      </c>
      <c r="B658" s="14" t="s">
        <v>649</v>
      </c>
      <c r="C658" s="14" t="s">
        <v>143</v>
      </c>
      <c r="D658" s="14" t="s">
        <v>143</v>
      </c>
      <c r="E658" s="14" t="s">
        <v>654</v>
      </c>
      <c r="F658" s="15">
        <v>45778</v>
      </c>
      <c r="G658" s="18">
        <v>493</v>
      </c>
      <c r="H658" s="17">
        <f t="shared" si="12"/>
        <v>493</v>
      </c>
      <c r="I658" s="14"/>
      <c r="J658" s="18">
        <v>493</v>
      </c>
      <c r="K658" s="17">
        <f t="shared" si="13"/>
        <v>0</v>
      </c>
      <c r="L658" s="12"/>
    </row>
    <row r="659" spans="1:12" hidden="1" outlineLevel="3" x14ac:dyDescent="0.25">
      <c r="A659" s="14" t="s">
        <v>600</v>
      </c>
      <c r="B659" s="14" t="s">
        <v>649</v>
      </c>
      <c r="C659" s="14" t="s">
        <v>133</v>
      </c>
      <c r="D659" s="14" t="s">
        <v>223</v>
      </c>
      <c r="E659" s="14" t="s">
        <v>654</v>
      </c>
      <c r="F659" s="15">
        <v>45778</v>
      </c>
      <c r="G659" s="18">
        <v>455</v>
      </c>
      <c r="H659" s="17">
        <f t="shared" si="12"/>
        <v>455</v>
      </c>
      <c r="I659" s="14"/>
      <c r="J659" s="18">
        <v>455</v>
      </c>
      <c r="K659" s="17">
        <f t="shared" si="13"/>
        <v>0</v>
      </c>
      <c r="L659" s="12"/>
    </row>
    <row r="660" spans="1:12" hidden="1" outlineLevel="3" x14ac:dyDescent="0.25">
      <c r="A660" s="14" t="s">
        <v>600</v>
      </c>
      <c r="B660" s="14" t="s">
        <v>649</v>
      </c>
      <c r="C660" s="14" t="s">
        <v>136</v>
      </c>
      <c r="D660" s="14" t="s">
        <v>224</v>
      </c>
      <c r="E660" s="14" t="s">
        <v>654</v>
      </c>
      <c r="F660" s="15">
        <v>45778</v>
      </c>
      <c r="G660" s="18">
        <v>796.5</v>
      </c>
      <c r="H660" s="17">
        <f t="shared" si="12"/>
        <v>796.5</v>
      </c>
      <c r="I660" s="14"/>
      <c r="J660" s="18">
        <v>780.5</v>
      </c>
      <c r="K660" s="17">
        <f t="shared" si="13"/>
        <v>16</v>
      </c>
      <c r="L660" s="12"/>
    </row>
    <row r="661" spans="1:12" hidden="1" outlineLevel="3" x14ac:dyDescent="0.25">
      <c r="A661" s="14" t="s">
        <v>600</v>
      </c>
      <c r="B661" s="14" t="s">
        <v>649</v>
      </c>
      <c r="C661" s="14" t="s">
        <v>623</v>
      </c>
      <c r="D661" s="14" t="s">
        <v>630</v>
      </c>
      <c r="E661" s="14" t="s">
        <v>655</v>
      </c>
      <c r="F661" s="15">
        <v>45779</v>
      </c>
      <c r="G661" s="18">
        <v>265.2</v>
      </c>
      <c r="H661" s="17">
        <f t="shared" si="12"/>
        <v>265.2</v>
      </c>
      <c r="I661" s="14"/>
      <c r="J661" s="18">
        <v>265.2</v>
      </c>
      <c r="K661" s="17">
        <f t="shared" si="13"/>
        <v>0</v>
      </c>
      <c r="L661" s="12"/>
    </row>
    <row r="662" spans="1:12" hidden="1" outlineLevel="3" x14ac:dyDescent="0.25">
      <c r="A662" s="14" t="s">
        <v>600</v>
      </c>
      <c r="B662" s="14" t="s">
        <v>649</v>
      </c>
      <c r="C662" s="14" t="s">
        <v>137</v>
      </c>
      <c r="D662" s="14" t="s">
        <v>656</v>
      </c>
      <c r="E662" s="14" t="s">
        <v>657</v>
      </c>
      <c r="F662" s="15">
        <v>45778</v>
      </c>
      <c r="G662" s="18">
        <v>379.5</v>
      </c>
      <c r="H662" s="17">
        <f t="shared" si="12"/>
        <v>379.5</v>
      </c>
      <c r="I662" s="14"/>
      <c r="J662" s="18">
        <v>379.5</v>
      </c>
      <c r="K662" s="17">
        <f t="shared" si="13"/>
        <v>0</v>
      </c>
      <c r="L662" s="12"/>
    </row>
    <row r="663" spans="1:12" hidden="1" outlineLevel="3" x14ac:dyDescent="0.25">
      <c r="A663" s="14" t="s">
        <v>600</v>
      </c>
      <c r="B663" s="14" t="s">
        <v>649</v>
      </c>
      <c r="C663" s="14" t="s">
        <v>137</v>
      </c>
      <c r="D663" s="14" t="s">
        <v>658</v>
      </c>
      <c r="E663" s="14" t="s">
        <v>654</v>
      </c>
      <c r="F663" s="15">
        <v>45778</v>
      </c>
      <c r="G663" s="18">
        <v>4718.5</v>
      </c>
      <c r="H663" s="17">
        <f t="shared" si="12"/>
        <v>4718.5</v>
      </c>
      <c r="I663" s="14"/>
      <c r="J663" s="18">
        <v>4718.5</v>
      </c>
      <c r="K663" s="17">
        <f t="shared" si="13"/>
        <v>0</v>
      </c>
      <c r="L663" s="12"/>
    </row>
    <row r="664" spans="1:12" outlineLevel="2" collapsed="1" x14ac:dyDescent="0.25">
      <c r="A664" s="14"/>
      <c r="B664" s="8" t="s">
        <v>659</v>
      </c>
      <c r="C664" s="14"/>
      <c r="D664" s="14"/>
      <c r="E664" s="14"/>
      <c r="F664" s="15"/>
      <c r="G664" s="18">
        <f>SUBTOTAL(9,G656:G663)</f>
        <v>11404.5</v>
      </c>
      <c r="H664" s="17"/>
      <c r="I664" s="14"/>
      <c r="J664" s="18">
        <f>SUBTOTAL(9,J656:J663)</f>
        <v>11388.5</v>
      </c>
      <c r="K664" s="17">
        <f>SUBTOTAL(9,K656:K663)</f>
        <v>16</v>
      </c>
      <c r="L664" s="12"/>
    </row>
    <row r="665" spans="1:12" hidden="1" outlineLevel="3" x14ac:dyDescent="0.25">
      <c r="A665" s="14" t="s">
        <v>600</v>
      </c>
      <c r="B665" s="14" t="s">
        <v>660</v>
      </c>
      <c r="C665" s="14" t="s">
        <v>136</v>
      </c>
      <c r="D665" s="14" t="s">
        <v>224</v>
      </c>
      <c r="E665" s="14" t="s">
        <v>661</v>
      </c>
      <c r="F665" s="15">
        <v>45778</v>
      </c>
      <c r="G665" s="18">
        <v>77</v>
      </c>
      <c r="H665" s="17">
        <f>G665</f>
        <v>77</v>
      </c>
      <c r="I665" s="14"/>
      <c r="J665" s="18">
        <v>84</v>
      </c>
      <c r="K665" s="17">
        <f>H665-J665</f>
        <v>-7</v>
      </c>
      <c r="L665" s="12"/>
    </row>
    <row r="666" spans="1:12" hidden="1" outlineLevel="3" x14ac:dyDescent="0.25">
      <c r="A666" s="14" t="s">
        <v>600</v>
      </c>
      <c r="B666" s="14" t="s">
        <v>660</v>
      </c>
      <c r="C666" s="14" t="s">
        <v>137</v>
      </c>
      <c r="D666" s="14" t="s">
        <v>658</v>
      </c>
      <c r="E666" s="14" t="s">
        <v>661</v>
      </c>
      <c r="F666" s="15">
        <v>45778</v>
      </c>
      <c r="G666" s="18">
        <v>1580</v>
      </c>
      <c r="H666" s="17">
        <f>G666</f>
        <v>1580</v>
      </c>
      <c r="I666" s="14"/>
      <c r="J666" s="18">
        <v>1580</v>
      </c>
      <c r="K666" s="17">
        <f>H666-J666</f>
        <v>0</v>
      </c>
      <c r="L666" s="12"/>
    </row>
    <row r="667" spans="1:12" outlineLevel="2" collapsed="1" x14ac:dyDescent="0.25">
      <c r="A667" s="14"/>
      <c r="B667" s="8" t="s">
        <v>662</v>
      </c>
      <c r="C667" s="14"/>
      <c r="D667" s="14"/>
      <c r="E667" s="14"/>
      <c r="F667" s="15"/>
      <c r="G667" s="18">
        <f>SUBTOTAL(9,G665:G666)</f>
        <v>1657</v>
      </c>
      <c r="H667" s="17"/>
      <c r="I667" s="14"/>
      <c r="J667" s="18">
        <f>SUBTOTAL(9,J665:J666)</f>
        <v>1664</v>
      </c>
      <c r="K667" s="17">
        <f>SUBTOTAL(9,K665:K666)</f>
        <v>-7</v>
      </c>
      <c r="L667" s="12"/>
    </row>
    <row r="668" spans="1:12" hidden="1" outlineLevel="3" x14ac:dyDescent="0.25">
      <c r="A668" s="14" t="s">
        <v>600</v>
      </c>
      <c r="B668" s="14" t="s">
        <v>663</v>
      </c>
      <c r="C668" s="14" t="s">
        <v>133</v>
      </c>
      <c r="D668" s="14" t="s">
        <v>133</v>
      </c>
      <c r="E668" s="14" t="s">
        <v>664</v>
      </c>
      <c r="F668" s="15">
        <v>45778</v>
      </c>
      <c r="G668" s="18">
        <v>50</v>
      </c>
      <c r="H668" s="17">
        <f>G668</f>
        <v>50</v>
      </c>
      <c r="I668" s="14"/>
      <c r="J668" s="18">
        <v>50</v>
      </c>
      <c r="K668" s="17">
        <f>H668-J668</f>
        <v>0</v>
      </c>
      <c r="L668" s="12"/>
    </row>
    <row r="669" spans="1:12" hidden="1" outlineLevel="3" x14ac:dyDescent="0.25">
      <c r="A669" s="14" t="s">
        <v>600</v>
      </c>
      <c r="B669" s="14" t="s">
        <v>663</v>
      </c>
      <c r="C669" s="14" t="s">
        <v>137</v>
      </c>
      <c r="D669" s="14" t="s">
        <v>137</v>
      </c>
      <c r="E669" s="14" t="s">
        <v>664</v>
      </c>
      <c r="F669" s="15">
        <v>45778</v>
      </c>
      <c r="G669" s="18">
        <v>310.41000000000003</v>
      </c>
      <c r="H669" s="17">
        <f>G669</f>
        <v>310.41000000000003</v>
      </c>
      <c r="I669" s="14"/>
      <c r="J669" s="18">
        <v>310.41000000000003</v>
      </c>
      <c r="K669" s="17">
        <f>H669-J669</f>
        <v>0</v>
      </c>
      <c r="L669" s="12"/>
    </row>
    <row r="670" spans="1:12" outlineLevel="2" collapsed="1" x14ac:dyDescent="0.25">
      <c r="A670" s="14"/>
      <c r="B670" s="8" t="s">
        <v>665</v>
      </c>
      <c r="C670" s="14"/>
      <c r="D670" s="14"/>
      <c r="E670" s="14"/>
      <c r="F670" s="15"/>
      <c r="G670" s="18">
        <f>SUBTOTAL(9,G668:G669)</f>
        <v>360.41</v>
      </c>
      <c r="H670" s="17"/>
      <c r="I670" s="14"/>
      <c r="J670" s="18">
        <f>SUBTOTAL(9,J668:J669)</f>
        <v>360.41</v>
      </c>
      <c r="K670" s="17">
        <f>SUBTOTAL(9,K668:K669)</f>
        <v>0</v>
      </c>
      <c r="L670" s="12"/>
    </row>
    <row r="671" spans="1:12" hidden="1" outlineLevel="3" x14ac:dyDescent="0.25">
      <c r="A671" s="14" t="s">
        <v>600</v>
      </c>
      <c r="B671" s="14" t="s">
        <v>666</v>
      </c>
      <c r="C671" s="14" t="s">
        <v>133</v>
      </c>
      <c r="D671" s="14" t="s">
        <v>151</v>
      </c>
      <c r="E671" s="14" t="s">
        <v>667</v>
      </c>
      <c r="F671" s="15">
        <v>45778</v>
      </c>
      <c r="G671" s="18">
        <v>178.5</v>
      </c>
      <c r="H671" s="17">
        <f>G671</f>
        <v>178.5</v>
      </c>
      <c r="I671" s="14"/>
      <c r="J671" s="18">
        <v>178.5</v>
      </c>
      <c r="K671" s="17">
        <f>H671-J671</f>
        <v>0</v>
      </c>
      <c r="L671" s="12"/>
    </row>
    <row r="672" spans="1:12" hidden="1" outlineLevel="3" x14ac:dyDescent="0.25">
      <c r="A672" s="14" t="s">
        <v>600</v>
      </c>
      <c r="B672" s="14" t="s">
        <v>666</v>
      </c>
      <c r="C672" s="14" t="s">
        <v>137</v>
      </c>
      <c r="D672" s="14" t="s">
        <v>137</v>
      </c>
      <c r="E672" s="14" t="s">
        <v>668</v>
      </c>
      <c r="F672" s="15">
        <v>45778</v>
      </c>
      <c r="G672" s="18">
        <v>1260</v>
      </c>
      <c r="H672" s="17">
        <f>G672</f>
        <v>1260</v>
      </c>
      <c r="I672" s="14"/>
      <c r="J672" s="18">
        <v>1260</v>
      </c>
      <c r="K672" s="17">
        <f>H672-J672</f>
        <v>0</v>
      </c>
      <c r="L672" s="12"/>
    </row>
    <row r="673" spans="1:12" outlineLevel="2" collapsed="1" x14ac:dyDescent="0.25">
      <c r="A673" s="14"/>
      <c r="B673" s="8" t="s">
        <v>669</v>
      </c>
      <c r="C673" s="14"/>
      <c r="D673" s="14"/>
      <c r="E673" s="14"/>
      <c r="F673" s="15"/>
      <c r="G673" s="18">
        <f>SUBTOTAL(9,G671:G672)</f>
        <v>1438.5</v>
      </c>
      <c r="H673" s="17"/>
      <c r="I673" s="14"/>
      <c r="J673" s="18">
        <f>SUBTOTAL(9,J671:J672)</f>
        <v>1438.5</v>
      </c>
      <c r="K673" s="17">
        <f>SUBTOTAL(9,K671:K672)</f>
        <v>0</v>
      </c>
      <c r="L673" s="12"/>
    </row>
    <row r="674" spans="1:12" hidden="1" outlineLevel="3" x14ac:dyDescent="0.25">
      <c r="A674" s="14" t="s">
        <v>600</v>
      </c>
      <c r="B674" s="14" t="s">
        <v>670</v>
      </c>
      <c r="C674" s="14" t="s">
        <v>136</v>
      </c>
      <c r="D674" s="14" t="s">
        <v>136</v>
      </c>
      <c r="E674" s="14" t="s">
        <v>671</v>
      </c>
      <c r="F674" s="15">
        <v>45778</v>
      </c>
      <c r="G674" s="18">
        <v>35</v>
      </c>
      <c r="H674" s="17">
        <f>G674</f>
        <v>35</v>
      </c>
      <c r="I674" s="14"/>
      <c r="J674" s="18">
        <v>35</v>
      </c>
      <c r="K674" s="17">
        <f>H674-J674</f>
        <v>0</v>
      </c>
      <c r="L674" s="12"/>
    </row>
    <row r="675" spans="1:12" hidden="1" outlineLevel="3" x14ac:dyDescent="0.25">
      <c r="A675" s="14" t="s">
        <v>600</v>
      </c>
      <c r="B675" s="14" t="s">
        <v>670</v>
      </c>
      <c r="C675" s="14" t="s">
        <v>137</v>
      </c>
      <c r="D675" s="14" t="s">
        <v>672</v>
      </c>
      <c r="E675" s="14" t="s">
        <v>671</v>
      </c>
      <c r="F675" s="15">
        <v>45778</v>
      </c>
      <c r="G675" s="18">
        <v>231.66</v>
      </c>
      <c r="H675" s="17">
        <f>G675</f>
        <v>231.66</v>
      </c>
      <c r="I675" s="14"/>
      <c r="J675" s="18">
        <v>225</v>
      </c>
      <c r="K675" s="17">
        <f>H675-J675</f>
        <v>6.6599999999999966</v>
      </c>
      <c r="L675" s="12"/>
    </row>
    <row r="676" spans="1:12" outlineLevel="2" collapsed="1" x14ac:dyDescent="0.25">
      <c r="A676" s="14"/>
      <c r="B676" s="8" t="s">
        <v>673</v>
      </c>
      <c r="C676" s="14"/>
      <c r="D676" s="14"/>
      <c r="E676" s="14"/>
      <c r="F676" s="15"/>
      <c r="G676" s="18">
        <f>SUBTOTAL(9,G674:G675)</f>
        <v>266.65999999999997</v>
      </c>
      <c r="H676" s="17"/>
      <c r="I676" s="14"/>
      <c r="J676" s="18">
        <f>SUBTOTAL(9,J674:J675)</f>
        <v>260</v>
      </c>
      <c r="K676" s="17">
        <f>SUBTOTAL(9,K674:K675)</f>
        <v>6.6599999999999966</v>
      </c>
      <c r="L676" s="12"/>
    </row>
    <row r="677" spans="1:12" hidden="1" outlineLevel="3" x14ac:dyDescent="0.25">
      <c r="A677" s="14" t="s">
        <v>600</v>
      </c>
      <c r="B677" s="14" t="s">
        <v>674</v>
      </c>
      <c r="C677" s="14" t="s">
        <v>609</v>
      </c>
      <c r="D677" s="14" t="s">
        <v>618</v>
      </c>
      <c r="E677" s="14" t="s">
        <v>675</v>
      </c>
      <c r="F677" s="15">
        <v>45778</v>
      </c>
      <c r="G677" s="18">
        <v>90.15</v>
      </c>
      <c r="H677" s="17">
        <f>G677</f>
        <v>90.15</v>
      </c>
      <c r="I677" s="14"/>
      <c r="J677" s="18">
        <v>90.15</v>
      </c>
      <c r="K677" s="17">
        <f>H677-J677</f>
        <v>0</v>
      </c>
      <c r="L677" s="12"/>
    </row>
    <row r="678" spans="1:12" hidden="1" outlineLevel="3" x14ac:dyDescent="0.25">
      <c r="A678" s="14" t="s">
        <v>600</v>
      </c>
      <c r="B678" s="14" t="s">
        <v>674</v>
      </c>
      <c r="C678" s="14" t="s">
        <v>623</v>
      </c>
      <c r="D678" s="14" t="s">
        <v>630</v>
      </c>
      <c r="E678" s="14" t="s">
        <v>676</v>
      </c>
      <c r="F678" s="15">
        <v>45779</v>
      </c>
      <c r="G678" s="18">
        <v>510.85</v>
      </c>
      <c r="H678" s="17">
        <f>G678</f>
        <v>510.85</v>
      </c>
      <c r="I678" s="14"/>
      <c r="J678" s="18">
        <v>510.85</v>
      </c>
      <c r="K678" s="17">
        <f>H678-J678</f>
        <v>0</v>
      </c>
      <c r="L678" s="12"/>
    </row>
    <row r="679" spans="1:12" hidden="1" outlineLevel="3" x14ac:dyDescent="0.25">
      <c r="A679" s="14" t="s">
        <v>600</v>
      </c>
      <c r="B679" s="14" t="s">
        <v>674</v>
      </c>
      <c r="C679" s="14" t="s">
        <v>137</v>
      </c>
      <c r="D679" s="14" t="s">
        <v>677</v>
      </c>
      <c r="E679" s="14" t="s">
        <v>678</v>
      </c>
      <c r="F679" s="15">
        <v>45778</v>
      </c>
      <c r="G679" s="18">
        <v>352</v>
      </c>
      <c r="H679" s="17">
        <f>G679</f>
        <v>352</v>
      </c>
      <c r="I679" s="14"/>
      <c r="J679" s="18">
        <v>352</v>
      </c>
      <c r="K679" s="17">
        <f>H679-J679</f>
        <v>0</v>
      </c>
      <c r="L679" s="12"/>
    </row>
    <row r="680" spans="1:12" outlineLevel="2" collapsed="1" x14ac:dyDescent="0.25">
      <c r="A680" s="14"/>
      <c r="B680" s="8" t="s">
        <v>679</v>
      </c>
      <c r="C680" s="14"/>
      <c r="D680" s="14"/>
      <c r="E680" s="14"/>
      <c r="F680" s="15"/>
      <c r="G680" s="18">
        <f>SUBTOTAL(9,G677:G679)</f>
        <v>953</v>
      </c>
      <c r="H680" s="17"/>
      <c r="I680" s="14"/>
      <c r="J680" s="18">
        <f>SUBTOTAL(9,J677:J679)</f>
        <v>953</v>
      </c>
      <c r="K680" s="17">
        <f>SUBTOTAL(9,K677:K679)</f>
        <v>0</v>
      </c>
      <c r="L680" s="12"/>
    </row>
    <row r="681" spans="1:12" hidden="1" outlineLevel="3" x14ac:dyDescent="0.25">
      <c r="A681" s="14" t="s">
        <v>600</v>
      </c>
      <c r="B681" s="14" t="s">
        <v>680</v>
      </c>
      <c r="C681" s="14" t="s">
        <v>133</v>
      </c>
      <c r="D681" s="14" t="s">
        <v>310</v>
      </c>
      <c r="E681" s="14" t="s">
        <v>681</v>
      </c>
      <c r="F681" s="15">
        <v>45778</v>
      </c>
      <c r="G681" s="18">
        <v>813.12</v>
      </c>
      <c r="H681" s="17">
        <f>G681</f>
        <v>813.12</v>
      </c>
      <c r="I681" s="14"/>
      <c r="J681" s="18">
        <v>813.12</v>
      </c>
      <c r="K681" s="17">
        <f>H681-J681</f>
        <v>0</v>
      </c>
      <c r="L681" s="12"/>
    </row>
    <row r="682" spans="1:12" hidden="1" outlineLevel="3" x14ac:dyDescent="0.25">
      <c r="A682" s="14" t="s">
        <v>600</v>
      </c>
      <c r="B682" s="14" t="s">
        <v>680</v>
      </c>
      <c r="C682" s="14" t="s">
        <v>136</v>
      </c>
      <c r="D682" s="14" t="s">
        <v>311</v>
      </c>
      <c r="E682" s="14" t="s">
        <v>681</v>
      </c>
      <c r="F682" s="15">
        <v>45778</v>
      </c>
      <c r="G682" s="18">
        <v>507</v>
      </c>
      <c r="H682" s="17">
        <f>G682</f>
        <v>507</v>
      </c>
      <c r="I682" s="14"/>
      <c r="J682" s="18">
        <v>520</v>
      </c>
      <c r="K682" s="17">
        <f>H682-J682</f>
        <v>-13</v>
      </c>
      <c r="L682" s="12"/>
    </row>
    <row r="683" spans="1:12" hidden="1" outlineLevel="3" x14ac:dyDescent="0.25">
      <c r="A683" s="14" t="s">
        <v>600</v>
      </c>
      <c r="B683" s="14" t="s">
        <v>680</v>
      </c>
      <c r="C683" s="14" t="s">
        <v>137</v>
      </c>
      <c r="D683" s="14" t="s">
        <v>312</v>
      </c>
      <c r="E683" s="14" t="s">
        <v>681</v>
      </c>
      <c r="F683" s="15">
        <v>45778</v>
      </c>
      <c r="G683" s="18">
        <v>3415</v>
      </c>
      <c r="H683" s="17">
        <f>G683</f>
        <v>3415</v>
      </c>
      <c r="I683" s="14"/>
      <c r="J683" s="18">
        <v>3415</v>
      </c>
      <c r="K683" s="17">
        <f>H683-J683</f>
        <v>0</v>
      </c>
      <c r="L683" s="12"/>
    </row>
    <row r="684" spans="1:12" outlineLevel="2" collapsed="1" x14ac:dyDescent="0.25">
      <c r="A684" s="14"/>
      <c r="B684" s="8" t="s">
        <v>682</v>
      </c>
      <c r="C684" s="14"/>
      <c r="D684" s="14"/>
      <c r="E684" s="14"/>
      <c r="F684" s="15"/>
      <c r="G684" s="18">
        <f>SUBTOTAL(9,G681:G683)</f>
        <v>4735.12</v>
      </c>
      <c r="H684" s="17"/>
      <c r="I684" s="14"/>
      <c r="J684" s="18">
        <f>SUBTOTAL(9,J681:J683)</f>
        <v>4748.12</v>
      </c>
      <c r="K684" s="17">
        <f>SUBTOTAL(9,K681:K683)</f>
        <v>-13</v>
      </c>
      <c r="L684" s="12"/>
    </row>
    <row r="685" spans="1:12" hidden="1" outlineLevel="3" x14ac:dyDescent="0.25">
      <c r="A685" s="14" t="s">
        <v>600</v>
      </c>
      <c r="B685" s="14" t="s">
        <v>683</v>
      </c>
      <c r="C685" s="14" t="s">
        <v>609</v>
      </c>
      <c r="D685" s="14" t="s">
        <v>684</v>
      </c>
      <c r="E685" s="14" t="s">
        <v>685</v>
      </c>
      <c r="F685" s="15">
        <v>45778</v>
      </c>
      <c r="G685" s="18">
        <v>17.03</v>
      </c>
      <c r="H685" s="17">
        <f>G685</f>
        <v>17.03</v>
      </c>
      <c r="I685" s="14"/>
      <c r="J685" s="18">
        <v>17.03</v>
      </c>
      <c r="K685" s="17">
        <f>H685-J685</f>
        <v>0</v>
      </c>
      <c r="L685" s="12"/>
    </row>
    <row r="686" spans="1:12" hidden="1" outlineLevel="3" x14ac:dyDescent="0.25">
      <c r="A686" s="14" t="s">
        <v>600</v>
      </c>
      <c r="B686" s="14" t="s">
        <v>683</v>
      </c>
      <c r="C686" s="14" t="s">
        <v>623</v>
      </c>
      <c r="D686" s="14" t="s">
        <v>686</v>
      </c>
      <c r="E686" s="14" t="s">
        <v>687</v>
      </c>
      <c r="F686" s="15">
        <v>45779</v>
      </c>
      <c r="G686" s="18">
        <v>96.48</v>
      </c>
      <c r="H686" s="17">
        <f>G686</f>
        <v>96.48</v>
      </c>
      <c r="I686" s="14"/>
      <c r="J686" s="18">
        <v>96.48</v>
      </c>
      <c r="K686" s="17">
        <f>H686-J686</f>
        <v>0</v>
      </c>
      <c r="L686" s="12"/>
    </row>
    <row r="687" spans="1:12" outlineLevel="2" collapsed="1" x14ac:dyDescent="0.25">
      <c r="A687" s="14"/>
      <c r="B687" s="8" t="s">
        <v>688</v>
      </c>
      <c r="C687" s="14"/>
      <c r="D687" s="14"/>
      <c r="E687" s="14"/>
      <c r="F687" s="15"/>
      <c r="G687" s="18">
        <f>SUBTOTAL(9,G685:G686)</f>
        <v>113.51</v>
      </c>
      <c r="H687" s="17"/>
      <c r="I687" s="14"/>
      <c r="J687" s="18">
        <f>SUBTOTAL(9,J685:J686)</f>
        <v>113.51</v>
      </c>
      <c r="K687" s="17">
        <f>SUBTOTAL(9,K685:K686)</f>
        <v>0</v>
      </c>
      <c r="L687" s="12"/>
    </row>
    <row r="688" spans="1:12" hidden="1" outlineLevel="3" x14ac:dyDescent="0.25">
      <c r="A688" s="14" t="s">
        <v>600</v>
      </c>
      <c r="B688" s="14" t="s">
        <v>689</v>
      </c>
      <c r="C688" s="14" t="s">
        <v>133</v>
      </c>
      <c r="D688" s="14" t="s">
        <v>690</v>
      </c>
      <c r="E688" s="14" t="s">
        <v>691</v>
      </c>
      <c r="F688" s="15">
        <v>45778</v>
      </c>
      <c r="G688" s="18">
        <v>44.504199999999997</v>
      </c>
      <c r="H688" s="17">
        <f>G688</f>
        <v>44.504199999999997</v>
      </c>
      <c r="I688" s="14"/>
      <c r="J688" s="18">
        <v>44.589399999999998</v>
      </c>
      <c r="K688" s="17">
        <f>H688-J688</f>
        <v>-8.5200000000000387E-2</v>
      </c>
      <c r="L688" s="12"/>
    </row>
    <row r="689" spans="1:12" hidden="1" outlineLevel="3" x14ac:dyDescent="0.25">
      <c r="A689" s="14" t="s">
        <v>600</v>
      </c>
      <c r="B689" s="14" t="s">
        <v>689</v>
      </c>
      <c r="C689" s="14" t="s">
        <v>136</v>
      </c>
      <c r="D689" s="14" t="s">
        <v>692</v>
      </c>
      <c r="E689" s="14" t="s">
        <v>691</v>
      </c>
      <c r="F689" s="15">
        <v>45778</v>
      </c>
      <c r="G689" s="18">
        <v>112</v>
      </c>
      <c r="H689" s="17">
        <f>G689</f>
        <v>112</v>
      </c>
      <c r="I689" s="14"/>
      <c r="J689" s="18">
        <v>112</v>
      </c>
      <c r="K689" s="17">
        <f>H689-J689</f>
        <v>0</v>
      </c>
      <c r="L689" s="12"/>
    </row>
    <row r="690" spans="1:12" hidden="1" outlineLevel="3" x14ac:dyDescent="0.25">
      <c r="A690" s="14" t="s">
        <v>600</v>
      </c>
      <c r="B690" s="14" t="s">
        <v>689</v>
      </c>
      <c r="C690" s="14" t="s">
        <v>137</v>
      </c>
      <c r="D690" s="14" t="s">
        <v>693</v>
      </c>
      <c r="E690" s="14" t="s">
        <v>691</v>
      </c>
      <c r="F690" s="15">
        <v>45778</v>
      </c>
      <c r="G690" s="18">
        <v>543</v>
      </c>
      <c r="H690" s="17">
        <f>G690</f>
        <v>543</v>
      </c>
      <c r="I690" s="14"/>
      <c r="J690" s="18">
        <v>543.00059999999996</v>
      </c>
      <c r="K690" s="17">
        <f>H690-J690</f>
        <v>-5.9999999996307452E-4</v>
      </c>
      <c r="L690" s="12"/>
    </row>
    <row r="691" spans="1:12" outlineLevel="2" collapsed="1" x14ac:dyDescent="0.25">
      <c r="A691" s="14"/>
      <c r="B691" s="8" t="s">
        <v>694</v>
      </c>
      <c r="C691" s="14"/>
      <c r="D691" s="14"/>
      <c r="E691" s="14"/>
      <c r="F691" s="15"/>
      <c r="G691" s="18">
        <f>SUBTOTAL(9,G688:G690)</f>
        <v>699.50419999999997</v>
      </c>
      <c r="H691" s="17"/>
      <c r="I691" s="14"/>
      <c r="J691" s="18">
        <f>SUBTOTAL(9,J688:J690)</f>
        <v>699.58999999999992</v>
      </c>
      <c r="K691" s="17">
        <f>SUBTOTAL(9,K688:K690)</f>
        <v>-8.5799999999963461E-2</v>
      </c>
      <c r="L691" s="12"/>
    </row>
    <row r="692" spans="1:12" hidden="1" outlineLevel="3" x14ac:dyDescent="0.25">
      <c r="A692" s="14" t="s">
        <v>600</v>
      </c>
      <c r="B692" s="14" t="s">
        <v>695</v>
      </c>
      <c r="C692" s="14" t="s">
        <v>609</v>
      </c>
      <c r="D692" s="14" t="s">
        <v>618</v>
      </c>
      <c r="E692" s="14" t="s">
        <v>696</v>
      </c>
      <c r="F692" s="15">
        <v>45778</v>
      </c>
      <c r="G692" s="18">
        <v>72.650000000000006</v>
      </c>
      <c r="H692" s="17">
        <f t="shared" ref="H692:H697" si="14">G692</f>
        <v>72.650000000000006</v>
      </c>
      <c r="I692" s="14"/>
      <c r="J692" s="18">
        <v>72.650000000000006</v>
      </c>
      <c r="K692" s="17">
        <f t="shared" ref="K692:K697" si="15">H692-J692</f>
        <v>0</v>
      </c>
      <c r="L692" s="12"/>
    </row>
    <row r="693" spans="1:12" hidden="1" outlineLevel="3" x14ac:dyDescent="0.25">
      <c r="A693" s="14" t="s">
        <v>600</v>
      </c>
      <c r="B693" s="14" t="s">
        <v>695</v>
      </c>
      <c r="C693" s="14" t="s">
        <v>143</v>
      </c>
      <c r="D693" s="14" t="s">
        <v>247</v>
      </c>
      <c r="E693" s="14" t="s">
        <v>697</v>
      </c>
      <c r="F693" s="15">
        <v>45778</v>
      </c>
      <c r="G693" s="18">
        <v>13.8</v>
      </c>
      <c r="H693" s="17">
        <f t="shared" si="14"/>
        <v>13.8</v>
      </c>
      <c r="I693" s="14"/>
      <c r="J693" s="18">
        <v>13.8</v>
      </c>
      <c r="K693" s="17">
        <f t="shared" si="15"/>
        <v>0</v>
      </c>
      <c r="L693" s="12"/>
    </row>
    <row r="694" spans="1:12" hidden="1" outlineLevel="3" x14ac:dyDescent="0.25">
      <c r="A694" s="14" t="s">
        <v>600</v>
      </c>
      <c r="B694" s="14" t="s">
        <v>695</v>
      </c>
      <c r="C694" s="14" t="s">
        <v>133</v>
      </c>
      <c r="D694" s="14" t="s">
        <v>133</v>
      </c>
      <c r="E694" s="14" t="s">
        <v>697</v>
      </c>
      <c r="F694" s="15">
        <v>45778</v>
      </c>
      <c r="G694" s="18">
        <v>243.0136</v>
      </c>
      <c r="H694" s="17">
        <f t="shared" si="14"/>
        <v>243.0136</v>
      </c>
      <c r="I694" s="14"/>
      <c r="J694" s="18">
        <v>232.38220000000001</v>
      </c>
      <c r="K694" s="17">
        <f t="shared" si="15"/>
        <v>10.631399999999985</v>
      </c>
      <c r="L694" s="12"/>
    </row>
    <row r="695" spans="1:12" hidden="1" outlineLevel="3" x14ac:dyDescent="0.25">
      <c r="A695" s="14" t="s">
        <v>600</v>
      </c>
      <c r="B695" s="14" t="s">
        <v>695</v>
      </c>
      <c r="C695" s="14" t="s">
        <v>136</v>
      </c>
      <c r="D695" s="14" t="s">
        <v>136</v>
      </c>
      <c r="E695" s="14" t="s">
        <v>697</v>
      </c>
      <c r="F695" s="15">
        <v>45778</v>
      </c>
      <c r="G695" s="18">
        <v>252</v>
      </c>
      <c r="H695" s="17">
        <f t="shared" si="14"/>
        <v>252</v>
      </c>
      <c r="I695" s="14"/>
      <c r="J695" s="18">
        <v>273</v>
      </c>
      <c r="K695" s="17">
        <f t="shared" si="15"/>
        <v>-21</v>
      </c>
      <c r="L695" s="12"/>
    </row>
    <row r="696" spans="1:12" hidden="1" outlineLevel="3" x14ac:dyDescent="0.25">
      <c r="A696" s="14" t="s">
        <v>600</v>
      </c>
      <c r="B696" s="14" t="s">
        <v>695</v>
      </c>
      <c r="C696" s="14" t="s">
        <v>623</v>
      </c>
      <c r="D696" s="14" t="s">
        <v>630</v>
      </c>
      <c r="E696" s="14" t="s">
        <v>698</v>
      </c>
      <c r="F696" s="15">
        <v>45779</v>
      </c>
      <c r="G696" s="18">
        <v>290.60000000000002</v>
      </c>
      <c r="H696" s="17">
        <f t="shared" si="14"/>
        <v>290.60000000000002</v>
      </c>
      <c r="I696" s="14"/>
      <c r="J696" s="18">
        <v>290.60000000000002</v>
      </c>
      <c r="K696" s="17">
        <f t="shared" si="15"/>
        <v>0</v>
      </c>
      <c r="L696" s="12"/>
    </row>
    <row r="697" spans="1:12" hidden="1" outlineLevel="3" x14ac:dyDescent="0.25">
      <c r="A697" s="14" t="s">
        <v>600</v>
      </c>
      <c r="B697" s="14" t="s">
        <v>695</v>
      </c>
      <c r="C697" s="14" t="s">
        <v>137</v>
      </c>
      <c r="D697" s="14" t="s">
        <v>699</v>
      </c>
      <c r="E697" s="14" t="s">
        <v>697</v>
      </c>
      <c r="F697" s="15">
        <v>45778</v>
      </c>
      <c r="G697" s="18">
        <v>2328.12</v>
      </c>
      <c r="H697" s="17">
        <f t="shared" si="14"/>
        <v>2328.12</v>
      </c>
      <c r="I697" s="14"/>
      <c r="J697" s="18">
        <v>2328.12</v>
      </c>
      <c r="K697" s="17">
        <f t="shared" si="15"/>
        <v>0</v>
      </c>
      <c r="L697" s="12"/>
    </row>
    <row r="698" spans="1:12" outlineLevel="2" collapsed="1" x14ac:dyDescent="0.25">
      <c r="A698" s="14"/>
      <c r="B698" s="8" t="s">
        <v>700</v>
      </c>
      <c r="C698" s="14"/>
      <c r="D698" s="14"/>
      <c r="E698" s="14"/>
      <c r="F698" s="15"/>
      <c r="G698" s="18">
        <f>SUBTOTAL(9,G692:G697)</f>
        <v>3200.1835999999998</v>
      </c>
      <c r="H698" s="17"/>
      <c r="I698" s="14"/>
      <c r="J698" s="18">
        <f>SUBTOTAL(9,J692:J697)</f>
        <v>3210.5522000000001</v>
      </c>
      <c r="K698" s="17">
        <f>SUBTOTAL(9,K692:K697)</f>
        <v>-10.368600000000015</v>
      </c>
      <c r="L698" s="12"/>
    </row>
    <row r="699" spans="1:12" hidden="1" outlineLevel="3" x14ac:dyDescent="0.25">
      <c r="A699" s="14" t="s">
        <v>600</v>
      </c>
      <c r="B699" s="14" t="s">
        <v>701</v>
      </c>
      <c r="C699" s="14" t="s">
        <v>137</v>
      </c>
      <c r="D699" s="14" t="s">
        <v>702</v>
      </c>
      <c r="E699" s="14" t="s">
        <v>703</v>
      </c>
      <c r="F699" s="15">
        <v>45778</v>
      </c>
      <c r="G699" s="18">
        <v>225</v>
      </c>
      <c r="H699" s="17">
        <f t="shared" ref="H699:H704" si="16">G699</f>
        <v>225</v>
      </c>
      <c r="I699" s="14"/>
      <c r="J699" s="18">
        <v>225</v>
      </c>
      <c r="K699" s="17">
        <f t="shared" ref="K699:K704" si="17">H699-J699</f>
        <v>0</v>
      </c>
      <c r="L699" s="12"/>
    </row>
    <row r="700" spans="1:12" hidden="1" outlineLevel="3" x14ac:dyDescent="0.25">
      <c r="A700" s="14" t="s">
        <v>600</v>
      </c>
      <c r="B700" s="14" t="s">
        <v>701</v>
      </c>
      <c r="C700" s="14" t="s">
        <v>137</v>
      </c>
      <c r="D700" s="14" t="s">
        <v>704</v>
      </c>
      <c r="E700" s="14" t="s">
        <v>705</v>
      </c>
      <c r="F700" s="15">
        <v>45778</v>
      </c>
      <c r="G700" s="18">
        <v>222.5</v>
      </c>
      <c r="H700" s="17">
        <f t="shared" si="16"/>
        <v>222.5</v>
      </c>
      <c r="I700" s="14"/>
      <c r="J700" s="18">
        <v>222.5</v>
      </c>
      <c r="K700" s="17">
        <f t="shared" si="17"/>
        <v>0</v>
      </c>
      <c r="L700" s="12"/>
    </row>
    <row r="701" spans="1:12" hidden="1" outlineLevel="3" x14ac:dyDescent="0.25">
      <c r="A701" s="14" t="s">
        <v>600</v>
      </c>
      <c r="B701" s="14" t="s">
        <v>701</v>
      </c>
      <c r="C701" s="14" t="s">
        <v>137</v>
      </c>
      <c r="D701" s="14" t="s">
        <v>706</v>
      </c>
      <c r="E701" s="14" t="s">
        <v>707</v>
      </c>
      <c r="F701" s="15">
        <v>45778</v>
      </c>
      <c r="G701" s="18">
        <v>20</v>
      </c>
      <c r="H701" s="17">
        <f t="shared" si="16"/>
        <v>20</v>
      </c>
      <c r="I701" s="14"/>
      <c r="J701" s="18">
        <v>20</v>
      </c>
      <c r="K701" s="17">
        <f t="shared" si="17"/>
        <v>0</v>
      </c>
      <c r="L701" s="12"/>
    </row>
    <row r="702" spans="1:12" hidden="1" outlineLevel="3" x14ac:dyDescent="0.25">
      <c r="A702" s="14" t="s">
        <v>600</v>
      </c>
      <c r="B702" s="14" t="s">
        <v>701</v>
      </c>
      <c r="C702" s="14" t="s">
        <v>137</v>
      </c>
      <c r="D702" s="14" t="s">
        <v>708</v>
      </c>
      <c r="E702" s="14" t="s">
        <v>709</v>
      </c>
      <c r="F702" s="15">
        <v>45778</v>
      </c>
      <c r="G702" s="18">
        <v>227.5</v>
      </c>
      <c r="H702" s="17">
        <f t="shared" si="16"/>
        <v>227.5</v>
      </c>
      <c r="I702" s="14"/>
      <c r="J702" s="18">
        <v>227.5</v>
      </c>
      <c r="K702" s="17">
        <f t="shared" si="17"/>
        <v>0</v>
      </c>
      <c r="L702" s="12"/>
    </row>
    <row r="703" spans="1:12" hidden="1" outlineLevel="3" x14ac:dyDescent="0.25">
      <c r="A703" s="14" t="s">
        <v>600</v>
      </c>
      <c r="B703" s="14" t="s">
        <v>701</v>
      </c>
      <c r="C703" s="14" t="s">
        <v>137</v>
      </c>
      <c r="D703" s="14" t="s">
        <v>710</v>
      </c>
      <c r="E703" s="14" t="s">
        <v>711</v>
      </c>
      <c r="F703" s="15">
        <v>45778</v>
      </c>
      <c r="G703" s="18">
        <v>230</v>
      </c>
      <c r="H703" s="17">
        <f t="shared" si="16"/>
        <v>230</v>
      </c>
      <c r="I703" s="14"/>
      <c r="J703" s="18">
        <v>230</v>
      </c>
      <c r="K703" s="17">
        <f t="shared" si="17"/>
        <v>0</v>
      </c>
      <c r="L703" s="12"/>
    </row>
    <row r="704" spans="1:12" hidden="1" outlineLevel="3" x14ac:dyDescent="0.25">
      <c r="A704" s="14" t="s">
        <v>600</v>
      </c>
      <c r="B704" s="14" t="s">
        <v>701</v>
      </c>
      <c r="C704" s="14" t="s">
        <v>137</v>
      </c>
      <c r="D704" s="14" t="s">
        <v>712</v>
      </c>
      <c r="E704" s="14" t="s">
        <v>713</v>
      </c>
      <c r="F704" s="15">
        <v>45778</v>
      </c>
      <c r="G704" s="18">
        <v>190</v>
      </c>
      <c r="H704" s="17">
        <f t="shared" si="16"/>
        <v>190</v>
      </c>
      <c r="I704" s="14"/>
      <c r="J704" s="18">
        <v>190</v>
      </c>
      <c r="K704" s="17">
        <f t="shared" si="17"/>
        <v>0</v>
      </c>
      <c r="L704" s="12"/>
    </row>
    <row r="705" spans="1:12" outlineLevel="2" collapsed="1" x14ac:dyDescent="0.25">
      <c r="A705" s="14"/>
      <c r="B705" s="8" t="s">
        <v>714</v>
      </c>
      <c r="C705" s="14"/>
      <c r="D705" s="14"/>
      <c r="E705" s="14"/>
      <c r="F705" s="15"/>
      <c r="G705" s="18">
        <f>SUBTOTAL(9,G699:G704)</f>
        <v>1115</v>
      </c>
      <c r="H705" s="17"/>
      <c r="I705" s="14"/>
      <c r="J705" s="18">
        <f>SUBTOTAL(9,J699:J704)</f>
        <v>1115</v>
      </c>
      <c r="K705" s="17">
        <f>SUBTOTAL(9,K699:K704)</f>
        <v>0</v>
      </c>
      <c r="L705" s="12"/>
    </row>
    <row r="706" spans="1:12" hidden="1" outlineLevel="3" x14ac:dyDescent="0.25">
      <c r="A706" s="14" t="s">
        <v>600</v>
      </c>
      <c r="B706" s="14" t="s">
        <v>715</v>
      </c>
      <c r="C706" s="14" t="s">
        <v>609</v>
      </c>
      <c r="D706" s="14" t="s">
        <v>618</v>
      </c>
      <c r="E706" s="14" t="s">
        <v>716</v>
      </c>
      <c r="F706" s="15">
        <v>45778</v>
      </c>
      <c r="G706" s="18">
        <v>24.6</v>
      </c>
      <c r="H706" s="17">
        <f>G706</f>
        <v>24.6</v>
      </c>
      <c r="I706" s="14"/>
      <c r="J706" s="18">
        <v>24.6</v>
      </c>
      <c r="K706" s="17">
        <f>H706-J706</f>
        <v>0</v>
      </c>
      <c r="L706" s="12"/>
    </row>
    <row r="707" spans="1:12" hidden="1" outlineLevel="3" x14ac:dyDescent="0.25">
      <c r="A707" s="14" t="s">
        <v>600</v>
      </c>
      <c r="B707" s="14" t="s">
        <v>715</v>
      </c>
      <c r="C707" s="14" t="s">
        <v>623</v>
      </c>
      <c r="D707" s="14" t="s">
        <v>630</v>
      </c>
      <c r="E707" s="14" t="s">
        <v>717</v>
      </c>
      <c r="F707" s="15">
        <v>45779</v>
      </c>
      <c r="G707" s="18">
        <v>139.4</v>
      </c>
      <c r="H707" s="17">
        <f>G707</f>
        <v>139.4</v>
      </c>
      <c r="I707" s="14"/>
      <c r="J707" s="18">
        <v>139.4</v>
      </c>
      <c r="K707" s="17">
        <f>H707-J707</f>
        <v>0</v>
      </c>
      <c r="L707" s="12"/>
    </row>
    <row r="708" spans="1:12" outlineLevel="2" collapsed="1" x14ac:dyDescent="0.25">
      <c r="A708" s="14"/>
      <c r="B708" s="8" t="s">
        <v>718</v>
      </c>
      <c r="C708" s="14"/>
      <c r="D708" s="14"/>
      <c r="E708" s="14"/>
      <c r="F708" s="15"/>
      <c r="G708" s="18">
        <f>SUBTOTAL(9,G706:G707)</f>
        <v>164</v>
      </c>
      <c r="H708" s="17"/>
      <c r="I708" s="14"/>
      <c r="J708" s="18">
        <f>SUBTOTAL(9,J706:J707)</f>
        <v>164</v>
      </c>
      <c r="K708" s="17">
        <f>SUBTOTAL(9,K706:K707)</f>
        <v>0</v>
      </c>
      <c r="L708" s="12"/>
    </row>
    <row r="709" spans="1:12" hidden="1" outlineLevel="3" x14ac:dyDescent="0.25">
      <c r="A709" s="14" t="s">
        <v>600</v>
      </c>
      <c r="B709" s="14" t="s">
        <v>719</v>
      </c>
      <c r="C709" s="14" t="s">
        <v>609</v>
      </c>
      <c r="D709" s="14" t="s">
        <v>684</v>
      </c>
      <c r="E709" s="14" t="s">
        <v>720</v>
      </c>
      <c r="F709" s="15">
        <v>45778</v>
      </c>
      <c r="G709" s="18">
        <v>49.62</v>
      </c>
      <c r="H709" s="17">
        <f>G709</f>
        <v>49.62</v>
      </c>
      <c r="I709" s="14"/>
      <c r="J709" s="18">
        <v>49.62</v>
      </c>
      <c r="K709" s="17">
        <f>H709-J709</f>
        <v>0</v>
      </c>
      <c r="L709" s="12"/>
    </row>
    <row r="710" spans="1:12" hidden="1" outlineLevel="3" x14ac:dyDescent="0.25">
      <c r="A710" s="14" t="s">
        <v>600</v>
      </c>
      <c r="B710" s="14" t="s">
        <v>719</v>
      </c>
      <c r="C710" s="14" t="s">
        <v>136</v>
      </c>
      <c r="D710" s="14" t="s">
        <v>224</v>
      </c>
      <c r="E710" s="14" t="s">
        <v>721</v>
      </c>
      <c r="F710" s="15">
        <v>45778</v>
      </c>
      <c r="G710" s="18">
        <v>231</v>
      </c>
      <c r="H710" s="17">
        <f>G710</f>
        <v>231</v>
      </c>
      <c r="I710" s="14"/>
      <c r="J710" s="18">
        <v>224</v>
      </c>
      <c r="K710" s="17">
        <f>H710-J710</f>
        <v>7</v>
      </c>
      <c r="L710" s="12"/>
    </row>
    <row r="711" spans="1:12" hidden="1" outlineLevel="3" x14ac:dyDescent="0.25">
      <c r="A711" s="14" t="s">
        <v>600</v>
      </c>
      <c r="B711" s="14" t="s">
        <v>719</v>
      </c>
      <c r="C711" s="14" t="s">
        <v>623</v>
      </c>
      <c r="D711" s="14" t="s">
        <v>630</v>
      </c>
      <c r="E711" s="14" t="s">
        <v>722</v>
      </c>
      <c r="F711" s="15">
        <v>45779</v>
      </c>
      <c r="G711" s="18">
        <v>281.13</v>
      </c>
      <c r="H711" s="17">
        <f>G711</f>
        <v>281.13</v>
      </c>
      <c r="I711" s="14"/>
      <c r="J711" s="18">
        <v>281.13</v>
      </c>
      <c r="K711" s="17">
        <f>H711-J711</f>
        <v>0</v>
      </c>
      <c r="L711" s="12"/>
    </row>
    <row r="712" spans="1:12" hidden="1" outlineLevel="3" x14ac:dyDescent="0.25">
      <c r="A712" s="14" t="s">
        <v>600</v>
      </c>
      <c r="B712" s="14" t="s">
        <v>719</v>
      </c>
      <c r="C712" s="14" t="s">
        <v>137</v>
      </c>
      <c r="D712" s="14" t="s">
        <v>723</v>
      </c>
      <c r="E712" s="14" t="s">
        <v>721</v>
      </c>
      <c r="F712" s="15">
        <v>45778</v>
      </c>
      <c r="G712" s="18">
        <v>2294</v>
      </c>
      <c r="H712" s="17">
        <f>G712</f>
        <v>2294</v>
      </c>
      <c r="I712" s="14"/>
      <c r="J712" s="18">
        <v>2294</v>
      </c>
      <c r="K712" s="17">
        <f>H712-J712</f>
        <v>0</v>
      </c>
      <c r="L712" s="12"/>
    </row>
    <row r="713" spans="1:12" outlineLevel="2" collapsed="1" x14ac:dyDescent="0.25">
      <c r="A713" s="14"/>
      <c r="B713" s="8" t="s">
        <v>724</v>
      </c>
      <c r="C713" s="14"/>
      <c r="D713" s="14"/>
      <c r="E713" s="14"/>
      <c r="F713" s="15"/>
      <c r="G713" s="18">
        <f>SUBTOTAL(9,G709:G712)</f>
        <v>2855.75</v>
      </c>
      <c r="H713" s="17"/>
      <c r="I713" s="14"/>
      <c r="J713" s="18">
        <f>SUBTOTAL(9,J709:J712)</f>
        <v>2848.75</v>
      </c>
      <c r="K713" s="17">
        <f>SUBTOTAL(9,K709:K712)</f>
        <v>7</v>
      </c>
      <c r="L713" s="12"/>
    </row>
    <row r="714" spans="1:12" hidden="1" outlineLevel="3" x14ac:dyDescent="0.25">
      <c r="A714" s="14" t="s">
        <v>600</v>
      </c>
      <c r="B714" s="14" t="s">
        <v>725</v>
      </c>
      <c r="C714" s="14" t="s">
        <v>609</v>
      </c>
      <c r="D714" s="14" t="s">
        <v>618</v>
      </c>
      <c r="E714" s="14" t="s">
        <v>726</v>
      </c>
      <c r="F714" s="15">
        <v>45778</v>
      </c>
      <c r="G714" s="18">
        <v>59.85</v>
      </c>
      <c r="H714" s="17">
        <f>G714</f>
        <v>59.85</v>
      </c>
      <c r="I714" s="14"/>
      <c r="J714" s="18">
        <v>59.85</v>
      </c>
      <c r="K714" s="17">
        <f>H714-J714</f>
        <v>0</v>
      </c>
      <c r="L714" s="12"/>
    </row>
    <row r="715" spans="1:12" hidden="1" outlineLevel="3" x14ac:dyDescent="0.25">
      <c r="A715" s="14" t="s">
        <v>600</v>
      </c>
      <c r="B715" s="14" t="s">
        <v>725</v>
      </c>
      <c r="C715" s="14" t="s">
        <v>133</v>
      </c>
      <c r="D715" s="14" t="s">
        <v>494</v>
      </c>
      <c r="E715" s="14" t="s">
        <v>727</v>
      </c>
      <c r="F715" s="15">
        <v>45778</v>
      </c>
      <c r="G715" s="18">
        <v>249.8</v>
      </c>
      <c r="H715" s="17">
        <f>G715</f>
        <v>249.8</v>
      </c>
      <c r="I715" s="14"/>
      <c r="J715" s="18">
        <v>249.8</v>
      </c>
      <c r="K715" s="17">
        <f>H715-J715</f>
        <v>0</v>
      </c>
      <c r="L715" s="12"/>
    </row>
    <row r="716" spans="1:12" hidden="1" outlineLevel="3" x14ac:dyDescent="0.25">
      <c r="A716" s="14" t="s">
        <v>600</v>
      </c>
      <c r="B716" s="14" t="s">
        <v>725</v>
      </c>
      <c r="C716" s="14" t="s">
        <v>136</v>
      </c>
      <c r="D716" s="14" t="s">
        <v>728</v>
      </c>
      <c r="E716" s="14" t="s">
        <v>727</v>
      </c>
      <c r="F716" s="15">
        <v>45778</v>
      </c>
      <c r="G716" s="18">
        <v>245</v>
      </c>
      <c r="H716" s="17">
        <f>G716</f>
        <v>245</v>
      </c>
      <c r="I716" s="14"/>
      <c r="J716" s="18">
        <v>238</v>
      </c>
      <c r="K716" s="17">
        <f>H716-J716</f>
        <v>7</v>
      </c>
      <c r="L716" s="12"/>
    </row>
    <row r="717" spans="1:12" hidden="1" outlineLevel="3" x14ac:dyDescent="0.25">
      <c r="A717" s="14" t="s">
        <v>600</v>
      </c>
      <c r="B717" s="14" t="s">
        <v>725</v>
      </c>
      <c r="C717" s="14" t="s">
        <v>623</v>
      </c>
      <c r="D717" s="14" t="s">
        <v>630</v>
      </c>
      <c r="E717" s="14" t="s">
        <v>729</v>
      </c>
      <c r="F717" s="15">
        <v>45779</v>
      </c>
      <c r="G717" s="18">
        <v>339.15</v>
      </c>
      <c r="H717" s="17">
        <f>G717</f>
        <v>339.15</v>
      </c>
      <c r="I717" s="14"/>
      <c r="J717" s="18">
        <v>339.15</v>
      </c>
      <c r="K717" s="17">
        <f>H717-J717</f>
        <v>0</v>
      </c>
      <c r="L717" s="12"/>
    </row>
    <row r="718" spans="1:12" hidden="1" outlineLevel="3" x14ac:dyDescent="0.25">
      <c r="A718" s="14" t="s">
        <v>600</v>
      </c>
      <c r="B718" s="14" t="s">
        <v>725</v>
      </c>
      <c r="C718" s="14" t="s">
        <v>137</v>
      </c>
      <c r="D718" s="14" t="s">
        <v>730</v>
      </c>
      <c r="E718" s="14" t="s">
        <v>727</v>
      </c>
      <c r="F718" s="15">
        <v>45778</v>
      </c>
      <c r="G718" s="18">
        <v>2255</v>
      </c>
      <c r="H718" s="17">
        <f>G718</f>
        <v>2255</v>
      </c>
      <c r="I718" s="14"/>
      <c r="J718" s="18">
        <v>2255</v>
      </c>
      <c r="K718" s="17">
        <f>H718-J718</f>
        <v>0</v>
      </c>
      <c r="L718" s="12"/>
    </row>
    <row r="719" spans="1:12" outlineLevel="2" collapsed="1" x14ac:dyDescent="0.25">
      <c r="A719" s="14"/>
      <c r="B719" s="8" t="s">
        <v>731</v>
      </c>
      <c r="C719" s="14"/>
      <c r="D719" s="14"/>
      <c r="E719" s="14"/>
      <c r="F719" s="15"/>
      <c r="G719" s="18">
        <f>SUBTOTAL(9,G714:G718)</f>
        <v>3148.8</v>
      </c>
      <c r="H719" s="17"/>
      <c r="I719" s="14"/>
      <c r="J719" s="18">
        <f>SUBTOTAL(9,J714:J718)</f>
        <v>3141.8</v>
      </c>
      <c r="K719" s="17">
        <f>SUBTOTAL(9,K714:K718)</f>
        <v>7</v>
      </c>
      <c r="L719" s="12"/>
    </row>
    <row r="720" spans="1:12" hidden="1" outlineLevel="3" x14ac:dyDescent="0.25">
      <c r="A720" s="14" t="s">
        <v>600</v>
      </c>
      <c r="B720" s="14" t="s">
        <v>732</v>
      </c>
      <c r="C720" s="14" t="s">
        <v>133</v>
      </c>
      <c r="D720" s="14" t="s">
        <v>133</v>
      </c>
      <c r="E720" s="14" t="s">
        <v>733</v>
      </c>
      <c r="F720" s="15">
        <v>45778</v>
      </c>
      <c r="G720" s="18">
        <v>498.33080000000001</v>
      </c>
      <c r="H720" s="17">
        <f>G720</f>
        <v>498.33080000000001</v>
      </c>
      <c r="I720" s="14"/>
      <c r="J720" s="18">
        <v>521.51959999999997</v>
      </c>
      <c r="K720" s="17">
        <f>H720-J720</f>
        <v>-23.188799999999958</v>
      </c>
      <c r="L720" s="12"/>
    </row>
    <row r="721" spans="1:12" hidden="1" outlineLevel="3" x14ac:dyDescent="0.25">
      <c r="A721" s="14" t="s">
        <v>600</v>
      </c>
      <c r="B721" s="14" t="s">
        <v>732</v>
      </c>
      <c r="C721" s="14" t="s">
        <v>136</v>
      </c>
      <c r="D721" s="14" t="s">
        <v>734</v>
      </c>
      <c r="E721" s="14" t="s">
        <v>733</v>
      </c>
      <c r="F721" s="15">
        <v>45778</v>
      </c>
      <c r="G721" s="18">
        <v>624</v>
      </c>
      <c r="H721" s="17">
        <f>G721</f>
        <v>624</v>
      </c>
      <c r="I721" s="14"/>
      <c r="J721" s="18">
        <v>611</v>
      </c>
      <c r="K721" s="17">
        <f>H721-J721</f>
        <v>13</v>
      </c>
      <c r="L721" s="12"/>
    </row>
    <row r="722" spans="1:12" hidden="1" outlineLevel="3" x14ac:dyDescent="0.25">
      <c r="A722" s="14" t="s">
        <v>600</v>
      </c>
      <c r="B722" s="14" t="s">
        <v>732</v>
      </c>
      <c r="C722" s="14" t="s">
        <v>137</v>
      </c>
      <c r="D722" s="14" t="s">
        <v>735</v>
      </c>
      <c r="E722" s="14" t="s">
        <v>733</v>
      </c>
      <c r="F722" s="15">
        <v>45778</v>
      </c>
      <c r="G722" s="18">
        <v>6204.11</v>
      </c>
      <c r="H722" s="17">
        <f>G722</f>
        <v>6204.11</v>
      </c>
      <c r="I722" s="14"/>
      <c r="J722" s="18">
        <v>6204.1103999999996</v>
      </c>
      <c r="K722" s="17">
        <f>H722-J722</f>
        <v>-3.9999999989959178E-4</v>
      </c>
      <c r="L722" s="12"/>
    </row>
    <row r="723" spans="1:12" outlineLevel="2" collapsed="1" x14ac:dyDescent="0.25">
      <c r="A723" s="14"/>
      <c r="B723" s="8" t="s">
        <v>736</v>
      </c>
      <c r="C723" s="14"/>
      <c r="D723" s="14"/>
      <c r="E723" s="14"/>
      <c r="F723" s="15"/>
      <c r="G723" s="18">
        <f>SUBTOTAL(9,G720:G722)</f>
        <v>7326.4407999999994</v>
      </c>
      <c r="H723" s="17"/>
      <c r="I723" s="14"/>
      <c r="J723" s="18">
        <f>SUBTOTAL(9,J720:J722)</f>
        <v>7336.6299999999992</v>
      </c>
      <c r="K723" s="17">
        <f>SUBTOTAL(9,K720:K722)</f>
        <v>-10.189199999999857</v>
      </c>
      <c r="L723" s="12"/>
    </row>
    <row r="724" spans="1:12" hidden="1" outlineLevel="3" x14ac:dyDescent="0.25">
      <c r="A724" s="14" t="s">
        <v>600</v>
      </c>
      <c r="B724" s="14" t="s">
        <v>737</v>
      </c>
      <c r="C724" s="14" t="s">
        <v>609</v>
      </c>
      <c r="D724" s="14" t="s">
        <v>618</v>
      </c>
      <c r="E724" s="14" t="s">
        <v>738</v>
      </c>
      <c r="F724" s="15">
        <v>45778</v>
      </c>
      <c r="G724" s="18">
        <v>111.6</v>
      </c>
      <c r="H724" s="17">
        <f>G724</f>
        <v>111.6</v>
      </c>
      <c r="I724" s="14"/>
      <c r="J724" s="18">
        <v>111.6</v>
      </c>
      <c r="K724" s="17">
        <f>H724-J724</f>
        <v>0</v>
      </c>
      <c r="L724" s="12"/>
    </row>
    <row r="725" spans="1:12" hidden="1" outlineLevel="3" x14ac:dyDescent="0.25">
      <c r="A725" s="14" t="s">
        <v>600</v>
      </c>
      <c r="B725" s="14" t="s">
        <v>737</v>
      </c>
      <c r="C725" s="14" t="s">
        <v>136</v>
      </c>
      <c r="D725" s="14" t="s">
        <v>136</v>
      </c>
      <c r="E725" s="14" t="s">
        <v>739</v>
      </c>
      <c r="F725" s="15">
        <v>45778</v>
      </c>
      <c r="G725" s="18">
        <v>955.5</v>
      </c>
      <c r="H725" s="17">
        <f>G725</f>
        <v>955.5</v>
      </c>
      <c r="I725" s="14"/>
      <c r="J725" s="18">
        <v>962</v>
      </c>
      <c r="K725" s="17">
        <f>H725-J725</f>
        <v>-6.5</v>
      </c>
      <c r="L725" s="12"/>
    </row>
    <row r="726" spans="1:12" hidden="1" outlineLevel="3" x14ac:dyDescent="0.25">
      <c r="A726" s="14" t="s">
        <v>600</v>
      </c>
      <c r="B726" s="14" t="s">
        <v>737</v>
      </c>
      <c r="C726" s="14" t="s">
        <v>623</v>
      </c>
      <c r="D726" s="14" t="s">
        <v>630</v>
      </c>
      <c r="E726" s="14" t="s">
        <v>740</v>
      </c>
      <c r="F726" s="15">
        <v>45779</v>
      </c>
      <c r="G726" s="18">
        <v>632.4</v>
      </c>
      <c r="H726" s="17">
        <f>G726</f>
        <v>632.4</v>
      </c>
      <c r="I726" s="14"/>
      <c r="J726" s="18">
        <v>632.4</v>
      </c>
      <c r="K726" s="17">
        <f>H726-J726</f>
        <v>0</v>
      </c>
      <c r="L726" s="12"/>
    </row>
    <row r="727" spans="1:12" hidden="1" outlineLevel="3" x14ac:dyDescent="0.25">
      <c r="A727" s="14" t="s">
        <v>600</v>
      </c>
      <c r="B727" s="14" t="s">
        <v>737</v>
      </c>
      <c r="C727" s="14" t="s">
        <v>137</v>
      </c>
      <c r="D727" s="14" t="s">
        <v>735</v>
      </c>
      <c r="E727" s="14" t="s">
        <v>739</v>
      </c>
      <c r="F727" s="15">
        <v>45778</v>
      </c>
      <c r="G727" s="18">
        <v>6274.03</v>
      </c>
      <c r="H727" s="17">
        <f>G727</f>
        <v>6274.03</v>
      </c>
      <c r="I727" s="14"/>
      <c r="J727" s="18">
        <v>6274.03</v>
      </c>
      <c r="K727" s="17">
        <f>H727-J727</f>
        <v>0</v>
      </c>
      <c r="L727" s="12"/>
    </row>
    <row r="728" spans="1:12" outlineLevel="2" collapsed="1" x14ac:dyDescent="0.25">
      <c r="A728" s="14"/>
      <c r="B728" s="8" t="s">
        <v>741</v>
      </c>
      <c r="C728" s="14"/>
      <c r="D728" s="14"/>
      <c r="E728" s="14"/>
      <c r="F728" s="15"/>
      <c r="G728" s="18">
        <f>SUBTOTAL(9,G724:G727)</f>
        <v>7973.53</v>
      </c>
      <c r="H728" s="17"/>
      <c r="I728" s="14"/>
      <c r="J728" s="18">
        <f>SUBTOTAL(9,J724:J727)</f>
        <v>7980.03</v>
      </c>
      <c r="K728" s="17">
        <f>SUBTOTAL(9,K724:K727)</f>
        <v>-6.5</v>
      </c>
      <c r="L728" s="12"/>
    </row>
    <row r="729" spans="1:12" hidden="1" outlineLevel="3" x14ac:dyDescent="0.25">
      <c r="A729" s="14" t="s">
        <v>600</v>
      </c>
      <c r="B729" s="14" t="s">
        <v>742</v>
      </c>
      <c r="C729" s="14" t="s">
        <v>609</v>
      </c>
      <c r="D729" s="14" t="s">
        <v>618</v>
      </c>
      <c r="E729" s="14" t="s">
        <v>743</v>
      </c>
      <c r="F729" s="15">
        <v>45778</v>
      </c>
      <c r="G729" s="18">
        <v>74.59</v>
      </c>
      <c r="H729" s="17">
        <f>G729</f>
        <v>74.59</v>
      </c>
      <c r="I729" s="14"/>
      <c r="J729" s="18">
        <v>74.59</v>
      </c>
      <c r="K729" s="17">
        <f>H729-J729</f>
        <v>0</v>
      </c>
      <c r="L729" s="12"/>
    </row>
    <row r="730" spans="1:12" hidden="1" outlineLevel="3" x14ac:dyDescent="0.25">
      <c r="A730" s="14" t="s">
        <v>600</v>
      </c>
      <c r="B730" s="14" t="s">
        <v>742</v>
      </c>
      <c r="C730" s="14" t="s">
        <v>133</v>
      </c>
      <c r="D730" s="14" t="s">
        <v>223</v>
      </c>
      <c r="E730" s="14" t="s">
        <v>744</v>
      </c>
      <c r="F730" s="15">
        <v>45778</v>
      </c>
      <c r="G730" s="18">
        <v>475.79219999999998</v>
      </c>
      <c r="H730" s="17">
        <f>G730</f>
        <v>475.79219999999998</v>
      </c>
      <c r="I730" s="14"/>
      <c r="J730" s="18">
        <v>475.79219999999998</v>
      </c>
      <c r="K730" s="17">
        <f>H730-J730</f>
        <v>0</v>
      </c>
      <c r="L730" s="12"/>
    </row>
    <row r="731" spans="1:12" hidden="1" outlineLevel="3" x14ac:dyDescent="0.25">
      <c r="A731" s="14" t="s">
        <v>600</v>
      </c>
      <c r="B731" s="14" t="s">
        <v>742</v>
      </c>
      <c r="C731" s="14" t="s">
        <v>136</v>
      </c>
      <c r="D731" s="14" t="s">
        <v>224</v>
      </c>
      <c r="E731" s="14" t="s">
        <v>744</v>
      </c>
      <c r="F731" s="15">
        <v>45778</v>
      </c>
      <c r="G731" s="18">
        <v>336</v>
      </c>
      <c r="H731" s="17">
        <f>G731</f>
        <v>336</v>
      </c>
      <c r="I731" s="14"/>
      <c r="J731" s="18">
        <v>336</v>
      </c>
      <c r="K731" s="17">
        <f>H731-J731</f>
        <v>0</v>
      </c>
      <c r="L731" s="12"/>
    </row>
    <row r="732" spans="1:12" hidden="1" outlineLevel="3" x14ac:dyDescent="0.25">
      <c r="A732" s="14" t="s">
        <v>600</v>
      </c>
      <c r="B732" s="14" t="s">
        <v>742</v>
      </c>
      <c r="C732" s="14" t="s">
        <v>623</v>
      </c>
      <c r="D732" s="14" t="s">
        <v>630</v>
      </c>
      <c r="E732" s="14" t="s">
        <v>745</v>
      </c>
      <c r="F732" s="15">
        <v>45779</v>
      </c>
      <c r="G732" s="18">
        <v>422.66</v>
      </c>
      <c r="H732" s="17">
        <f>G732</f>
        <v>422.66</v>
      </c>
      <c r="I732" s="14"/>
      <c r="J732" s="18">
        <v>422.66</v>
      </c>
      <c r="K732" s="17">
        <f>H732-J732</f>
        <v>0</v>
      </c>
      <c r="L732" s="12"/>
    </row>
    <row r="733" spans="1:12" hidden="1" outlineLevel="3" x14ac:dyDescent="0.25">
      <c r="A733" s="14" t="s">
        <v>600</v>
      </c>
      <c r="B733" s="14" t="s">
        <v>742</v>
      </c>
      <c r="C733" s="14" t="s">
        <v>137</v>
      </c>
      <c r="D733" s="14" t="s">
        <v>658</v>
      </c>
      <c r="E733" s="14" t="s">
        <v>744</v>
      </c>
      <c r="F733" s="15">
        <v>45778</v>
      </c>
      <c r="G733" s="18">
        <v>3825.75</v>
      </c>
      <c r="H733" s="17">
        <f>G733</f>
        <v>3825.75</v>
      </c>
      <c r="I733" s="14"/>
      <c r="J733" s="18">
        <v>3825.75</v>
      </c>
      <c r="K733" s="17">
        <f>H733-J733</f>
        <v>0</v>
      </c>
      <c r="L733" s="12"/>
    </row>
    <row r="734" spans="1:12" outlineLevel="2" collapsed="1" x14ac:dyDescent="0.25">
      <c r="A734" s="14"/>
      <c r="B734" s="8" t="s">
        <v>746</v>
      </c>
      <c r="C734" s="14"/>
      <c r="D734" s="14"/>
      <c r="E734" s="14"/>
      <c r="F734" s="15"/>
      <c r="G734" s="18">
        <f>SUBTOTAL(9,G729:G733)</f>
        <v>5134.7921999999999</v>
      </c>
      <c r="H734" s="17"/>
      <c r="I734" s="14"/>
      <c r="J734" s="18">
        <f>SUBTOTAL(9,J729:J733)</f>
        <v>5134.7921999999999</v>
      </c>
      <c r="K734" s="17">
        <f>SUBTOTAL(9,K729:K733)</f>
        <v>0</v>
      </c>
      <c r="L734" s="12"/>
    </row>
    <row r="735" spans="1:12" hidden="1" outlineLevel="3" x14ac:dyDescent="0.25">
      <c r="A735" s="14" t="s">
        <v>600</v>
      </c>
      <c r="B735" s="14" t="s">
        <v>747</v>
      </c>
      <c r="C735" s="14" t="s">
        <v>609</v>
      </c>
      <c r="D735" s="14" t="s">
        <v>618</v>
      </c>
      <c r="E735" s="14" t="s">
        <v>748</v>
      </c>
      <c r="F735" s="15">
        <v>45778</v>
      </c>
      <c r="G735" s="18">
        <v>46.65</v>
      </c>
      <c r="H735" s="17">
        <f>G735</f>
        <v>46.65</v>
      </c>
      <c r="I735" s="14"/>
      <c r="J735" s="18">
        <v>46.65</v>
      </c>
      <c r="K735" s="17">
        <f>H735-J735</f>
        <v>0</v>
      </c>
      <c r="L735" s="12"/>
    </row>
    <row r="736" spans="1:12" hidden="1" outlineLevel="3" x14ac:dyDescent="0.25">
      <c r="A736" s="14" t="s">
        <v>600</v>
      </c>
      <c r="B736" s="14" t="s">
        <v>747</v>
      </c>
      <c r="C736" s="14" t="s">
        <v>133</v>
      </c>
      <c r="D736" s="14" t="s">
        <v>690</v>
      </c>
      <c r="E736" s="14" t="s">
        <v>749</v>
      </c>
      <c r="F736" s="15">
        <v>45778</v>
      </c>
      <c r="G736" s="18">
        <v>107.6</v>
      </c>
      <c r="H736" s="17">
        <f>G736</f>
        <v>107.6</v>
      </c>
      <c r="I736" s="14"/>
      <c r="J736" s="18">
        <v>107.6</v>
      </c>
      <c r="K736" s="17">
        <f>H736-J736</f>
        <v>0</v>
      </c>
      <c r="L736" s="12"/>
    </row>
    <row r="737" spans="1:12" hidden="1" outlineLevel="3" x14ac:dyDescent="0.25">
      <c r="A737" s="14" t="s">
        <v>600</v>
      </c>
      <c r="B737" s="14" t="s">
        <v>747</v>
      </c>
      <c r="C737" s="14" t="s">
        <v>136</v>
      </c>
      <c r="D737" s="14" t="s">
        <v>692</v>
      </c>
      <c r="E737" s="14" t="s">
        <v>749</v>
      </c>
      <c r="F737" s="15">
        <v>45778</v>
      </c>
      <c r="G737" s="18">
        <v>133</v>
      </c>
      <c r="H737" s="17">
        <f>G737</f>
        <v>133</v>
      </c>
      <c r="I737" s="14"/>
      <c r="J737" s="18">
        <v>147</v>
      </c>
      <c r="K737" s="17">
        <f>H737-J737</f>
        <v>-14</v>
      </c>
      <c r="L737" s="12"/>
    </row>
    <row r="738" spans="1:12" hidden="1" outlineLevel="3" x14ac:dyDescent="0.25">
      <c r="A738" s="14" t="s">
        <v>600</v>
      </c>
      <c r="B738" s="14" t="s">
        <v>747</v>
      </c>
      <c r="C738" s="14" t="s">
        <v>623</v>
      </c>
      <c r="D738" s="14" t="s">
        <v>630</v>
      </c>
      <c r="E738" s="14" t="s">
        <v>750</v>
      </c>
      <c r="F738" s="15">
        <v>45779</v>
      </c>
      <c r="G738" s="18">
        <v>264.35000000000002</v>
      </c>
      <c r="H738" s="17">
        <f>G738</f>
        <v>264.35000000000002</v>
      </c>
      <c r="I738" s="14"/>
      <c r="J738" s="18">
        <v>264.35000000000002</v>
      </c>
      <c r="K738" s="17">
        <f>H738-J738</f>
        <v>0</v>
      </c>
      <c r="L738" s="12"/>
    </row>
    <row r="739" spans="1:12" hidden="1" outlineLevel="3" x14ac:dyDescent="0.25">
      <c r="A739" s="14" t="s">
        <v>600</v>
      </c>
      <c r="B739" s="14" t="s">
        <v>747</v>
      </c>
      <c r="C739" s="14" t="s">
        <v>137</v>
      </c>
      <c r="D739" s="14" t="s">
        <v>693</v>
      </c>
      <c r="E739" s="14" t="s">
        <v>749</v>
      </c>
      <c r="F739" s="15">
        <v>45778</v>
      </c>
      <c r="G739" s="18">
        <v>2081</v>
      </c>
      <c r="H739" s="17">
        <f>G739</f>
        <v>2081</v>
      </c>
      <c r="I739" s="14"/>
      <c r="J739" s="18">
        <v>2081</v>
      </c>
      <c r="K739" s="17">
        <f>H739-J739</f>
        <v>0</v>
      </c>
      <c r="L739" s="12"/>
    </row>
    <row r="740" spans="1:12" outlineLevel="2" collapsed="1" x14ac:dyDescent="0.25">
      <c r="A740" s="14"/>
      <c r="B740" s="8" t="s">
        <v>751</v>
      </c>
      <c r="C740" s="14"/>
      <c r="D740" s="14"/>
      <c r="E740" s="14"/>
      <c r="F740" s="15"/>
      <c r="G740" s="18">
        <f>SUBTOTAL(9,G735:G739)</f>
        <v>2632.6</v>
      </c>
      <c r="H740" s="17"/>
      <c r="I740" s="14"/>
      <c r="J740" s="18">
        <f>SUBTOTAL(9,J735:J739)</f>
        <v>2646.6</v>
      </c>
      <c r="K740" s="17">
        <f>SUBTOTAL(9,K735:K739)</f>
        <v>-14</v>
      </c>
      <c r="L740" s="12"/>
    </row>
    <row r="741" spans="1:12" hidden="1" outlineLevel="3" x14ac:dyDescent="0.25">
      <c r="A741" s="14" t="s">
        <v>600</v>
      </c>
      <c r="B741" s="14" t="s">
        <v>752</v>
      </c>
      <c r="C741" s="14" t="s">
        <v>609</v>
      </c>
      <c r="D741" s="14" t="s">
        <v>753</v>
      </c>
      <c r="E741" s="14" t="s">
        <v>754</v>
      </c>
      <c r="F741" s="15">
        <v>45778</v>
      </c>
      <c r="G741" s="18">
        <v>103.35</v>
      </c>
      <c r="H741" s="17">
        <f>G741</f>
        <v>103.35</v>
      </c>
      <c r="I741" s="14"/>
      <c r="J741" s="18">
        <v>103.35</v>
      </c>
      <c r="K741" s="17">
        <f>H741-J741</f>
        <v>0</v>
      </c>
      <c r="L741" s="12"/>
    </row>
    <row r="742" spans="1:12" hidden="1" outlineLevel="3" x14ac:dyDescent="0.25">
      <c r="A742" s="14" t="s">
        <v>600</v>
      </c>
      <c r="B742" s="14" t="s">
        <v>752</v>
      </c>
      <c r="C742" s="14" t="s">
        <v>136</v>
      </c>
      <c r="D742" s="14" t="s">
        <v>692</v>
      </c>
      <c r="E742" s="14" t="s">
        <v>755</v>
      </c>
      <c r="F742" s="15">
        <v>45778</v>
      </c>
      <c r="G742" s="18">
        <v>617.5</v>
      </c>
      <c r="H742" s="17">
        <f>G742</f>
        <v>617.5</v>
      </c>
      <c r="I742" s="14"/>
      <c r="J742" s="18">
        <v>617.5</v>
      </c>
      <c r="K742" s="17">
        <f>H742-J742</f>
        <v>0</v>
      </c>
      <c r="L742" s="12"/>
    </row>
    <row r="743" spans="1:12" hidden="1" outlineLevel="3" x14ac:dyDescent="0.25">
      <c r="A743" s="14" t="s">
        <v>600</v>
      </c>
      <c r="B743" s="14" t="s">
        <v>752</v>
      </c>
      <c r="C743" s="14" t="s">
        <v>623</v>
      </c>
      <c r="D743" s="14" t="s">
        <v>756</v>
      </c>
      <c r="E743" s="14" t="s">
        <v>757</v>
      </c>
      <c r="F743" s="15">
        <v>45779</v>
      </c>
      <c r="G743" s="18">
        <v>585.65</v>
      </c>
      <c r="H743" s="17">
        <f>G743</f>
        <v>585.65</v>
      </c>
      <c r="I743" s="14"/>
      <c r="J743" s="18">
        <v>585.65</v>
      </c>
      <c r="K743" s="17">
        <f>H743-J743</f>
        <v>0</v>
      </c>
      <c r="L743" s="12"/>
    </row>
    <row r="744" spans="1:12" hidden="1" outlineLevel="3" x14ac:dyDescent="0.25">
      <c r="A744" s="14" t="s">
        <v>600</v>
      </c>
      <c r="B744" s="14" t="s">
        <v>752</v>
      </c>
      <c r="C744" s="14" t="s">
        <v>137</v>
      </c>
      <c r="D744" s="14" t="s">
        <v>693</v>
      </c>
      <c r="E744" s="14" t="s">
        <v>755</v>
      </c>
      <c r="F744" s="15">
        <v>45778</v>
      </c>
      <c r="G744" s="18">
        <v>4486</v>
      </c>
      <c r="H744" s="17">
        <f>G744</f>
        <v>4486</v>
      </c>
      <c r="I744" s="14"/>
      <c r="J744" s="18">
        <v>4486</v>
      </c>
      <c r="K744" s="17">
        <f>H744-J744</f>
        <v>0</v>
      </c>
      <c r="L744" s="12"/>
    </row>
    <row r="745" spans="1:12" outlineLevel="2" collapsed="1" x14ac:dyDescent="0.25">
      <c r="A745" s="14"/>
      <c r="B745" s="8" t="s">
        <v>758</v>
      </c>
      <c r="C745" s="14"/>
      <c r="D745" s="14"/>
      <c r="E745" s="14"/>
      <c r="F745" s="15"/>
      <c r="G745" s="18">
        <f>SUBTOTAL(9,G741:G744)</f>
        <v>5792.5</v>
      </c>
      <c r="H745" s="17"/>
      <c r="I745" s="14"/>
      <c r="J745" s="18">
        <f>SUBTOTAL(9,J741:J744)</f>
        <v>5792.5</v>
      </c>
      <c r="K745" s="17">
        <f>SUBTOTAL(9,K741:K744)</f>
        <v>0</v>
      </c>
      <c r="L745" s="12"/>
    </row>
    <row r="746" spans="1:12" hidden="1" outlineLevel="3" x14ac:dyDescent="0.25">
      <c r="A746" s="14" t="s">
        <v>600</v>
      </c>
      <c r="B746" s="14" t="s">
        <v>759</v>
      </c>
      <c r="C746" s="14" t="s">
        <v>609</v>
      </c>
      <c r="D746" s="14" t="s">
        <v>618</v>
      </c>
      <c r="E746" s="14" t="s">
        <v>760</v>
      </c>
      <c r="F746" s="15">
        <v>45778</v>
      </c>
      <c r="G746" s="18">
        <v>57.67</v>
      </c>
      <c r="H746" s="17">
        <f>G746</f>
        <v>57.67</v>
      </c>
      <c r="I746" s="14"/>
      <c r="J746" s="18">
        <v>57.67</v>
      </c>
      <c r="K746" s="17">
        <f>H746-J746</f>
        <v>0</v>
      </c>
      <c r="L746" s="12"/>
    </row>
    <row r="747" spans="1:12" hidden="1" outlineLevel="3" x14ac:dyDescent="0.25">
      <c r="A747" s="14" t="s">
        <v>600</v>
      </c>
      <c r="B747" s="14" t="s">
        <v>759</v>
      </c>
      <c r="C747" s="14" t="s">
        <v>133</v>
      </c>
      <c r="D747" s="14" t="s">
        <v>223</v>
      </c>
      <c r="E747" s="14" t="s">
        <v>761</v>
      </c>
      <c r="F747" s="15">
        <v>45778</v>
      </c>
      <c r="G747" s="18">
        <v>160.56</v>
      </c>
      <c r="H747" s="17">
        <f>G747</f>
        <v>160.56</v>
      </c>
      <c r="I747" s="14"/>
      <c r="J747" s="18">
        <v>160.56</v>
      </c>
      <c r="K747" s="17">
        <f>H747-J747</f>
        <v>0</v>
      </c>
      <c r="L747" s="12"/>
    </row>
    <row r="748" spans="1:12" hidden="1" outlineLevel="3" x14ac:dyDescent="0.25">
      <c r="A748" s="14" t="s">
        <v>600</v>
      </c>
      <c r="B748" s="14" t="s">
        <v>759</v>
      </c>
      <c r="C748" s="14" t="s">
        <v>136</v>
      </c>
      <c r="D748" s="14" t="s">
        <v>224</v>
      </c>
      <c r="E748" s="14" t="s">
        <v>761</v>
      </c>
      <c r="F748" s="15">
        <v>45778</v>
      </c>
      <c r="G748" s="18">
        <v>357.5</v>
      </c>
      <c r="H748" s="17">
        <f>G748</f>
        <v>357.5</v>
      </c>
      <c r="I748" s="14"/>
      <c r="J748" s="18">
        <v>357.5</v>
      </c>
      <c r="K748" s="17">
        <f>H748-J748</f>
        <v>0</v>
      </c>
      <c r="L748" s="12"/>
    </row>
    <row r="749" spans="1:12" hidden="1" outlineLevel="3" x14ac:dyDescent="0.25">
      <c r="A749" s="14" t="s">
        <v>600</v>
      </c>
      <c r="B749" s="14" t="s">
        <v>759</v>
      </c>
      <c r="C749" s="14" t="s">
        <v>623</v>
      </c>
      <c r="D749" s="14" t="s">
        <v>630</v>
      </c>
      <c r="E749" s="14" t="s">
        <v>762</v>
      </c>
      <c r="F749" s="15">
        <v>45779</v>
      </c>
      <c r="G749" s="18">
        <v>326.83</v>
      </c>
      <c r="H749" s="17">
        <f>G749</f>
        <v>326.83</v>
      </c>
      <c r="I749" s="14"/>
      <c r="J749" s="18">
        <v>326.83</v>
      </c>
      <c r="K749" s="17">
        <f>H749-J749</f>
        <v>0</v>
      </c>
      <c r="L749" s="12"/>
    </row>
    <row r="750" spans="1:12" hidden="1" outlineLevel="3" x14ac:dyDescent="0.25">
      <c r="A750" s="14" t="s">
        <v>600</v>
      </c>
      <c r="B750" s="14" t="s">
        <v>759</v>
      </c>
      <c r="C750" s="14" t="s">
        <v>137</v>
      </c>
      <c r="D750" s="14" t="s">
        <v>658</v>
      </c>
      <c r="E750" s="14" t="s">
        <v>761</v>
      </c>
      <c r="F750" s="15">
        <v>45778</v>
      </c>
      <c r="G750" s="18">
        <v>2714.5</v>
      </c>
      <c r="H750" s="17">
        <f>G750</f>
        <v>2714.5</v>
      </c>
      <c r="I750" s="14"/>
      <c r="J750" s="18">
        <v>2714.5</v>
      </c>
      <c r="K750" s="17">
        <f>H750-J750</f>
        <v>0</v>
      </c>
      <c r="L750" s="12"/>
    </row>
    <row r="751" spans="1:12" outlineLevel="2" collapsed="1" x14ac:dyDescent="0.25">
      <c r="A751" s="14"/>
      <c r="B751" s="8" t="s">
        <v>763</v>
      </c>
      <c r="C751" s="14"/>
      <c r="D751" s="14"/>
      <c r="E751" s="14"/>
      <c r="F751" s="15"/>
      <c r="G751" s="18">
        <f>SUBTOTAL(9,G746:G750)</f>
        <v>3617.06</v>
      </c>
      <c r="H751" s="17"/>
      <c r="I751" s="14"/>
      <c r="J751" s="18">
        <f>SUBTOTAL(9,J746:J750)</f>
        <v>3617.06</v>
      </c>
      <c r="K751" s="17">
        <f>SUBTOTAL(9,K746:K750)</f>
        <v>0</v>
      </c>
      <c r="L751" s="12"/>
    </row>
    <row r="752" spans="1:12" hidden="1" outlineLevel="3" x14ac:dyDescent="0.25">
      <c r="A752" s="14" t="s">
        <v>600</v>
      </c>
      <c r="B752" s="14" t="s">
        <v>764</v>
      </c>
      <c r="C752" s="14" t="s">
        <v>609</v>
      </c>
      <c r="D752" s="14" t="s">
        <v>618</v>
      </c>
      <c r="E752" s="14" t="s">
        <v>765</v>
      </c>
      <c r="F752" s="15">
        <v>45778</v>
      </c>
      <c r="G752" s="18">
        <v>156</v>
      </c>
      <c r="H752" s="17">
        <f t="shared" ref="H752:H757" si="18">G752</f>
        <v>156</v>
      </c>
      <c r="I752" s="14"/>
      <c r="J752" s="18">
        <v>156</v>
      </c>
      <c r="K752" s="17">
        <f t="shared" ref="K752:K757" si="19">H752-J752</f>
        <v>0</v>
      </c>
      <c r="L752" s="12"/>
    </row>
    <row r="753" spans="1:12" hidden="1" outlineLevel="3" x14ac:dyDescent="0.25">
      <c r="A753" s="14" t="s">
        <v>600</v>
      </c>
      <c r="B753" s="14" t="s">
        <v>764</v>
      </c>
      <c r="C753" s="14" t="s">
        <v>133</v>
      </c>
      <c r="D753" s="14" t="s">
        <v>310</v>
      </c>
      <c r="E753" s="14" t="s">
        <v>766</v>
      </c>
      <c r="F753" s="15">
        <v>45778</v>
      </c>
      <c r="G753" s="18">
        <v>240</v>
      </c>
      <c r="H753" s="17">
        <f t="shared" si="18"/>
        <v>240</v>
      </c>
      <c r="I753" s="14"/>
      <c r="J753" s="18">
        <v>240</v>
      </c>
      <c r="K753" s="17">
        <f t="shared" si="19"/>
        <v>0</v>
      </c>
      <c r="L753" s="12"/>
    </row>
    <row r="754" spans="1:12" hidden="1" outlineLevel="3" x14ac:dyDescent="0.25">
      <c r="A754" s="14" t="s">
        <v>600</v>
      </c>
      <c r="B754" s="14" t="s">
        <v>764</v>
      </c>
      <c r="C754" s="14" t="s">
        <v>136</v>
      </c>
      <c r="D754" s="14" t="s">
        <v>311</v>
      </c>
      <c r="E754" s="14" t="s">
        <v>766</v>
      </c>
      <c r="F754" s="15">
        <v>45778</v>
      </c>
      <c r="G754" s="18">
        <v>351</v>
      </c>
      <c r="H754" s="17">
        <f t="shared" si="18"/>
        <v>351</v>
      </c>
      <c r="I754" s="14"/>
      <c r="J754" s="18">
        <v>357.5</v>
      </c>
      <c r="K754" s="17">
        <f t="shared" si="19"/>
        <v>-6.5</v>
      </c>
      <c r="L754" s="12"/>
    </row>
    <row r="755" spans="1:12" hidden="1" outlineLevel="3" x14ac:dyDescent="0.25">
      <c r="A755" s="14" t="s">
        <v>600</v>
      </c>
      <c r="B755" s="14" t="s">
        <v>764</v>
      </c>
      <c r="C755" s="14" t="s">
        <v>623</v>
      </c>
      <c r="D755" s="14" t="s">
        <v>767</v>
      </c>
      <c r="E755" s="14" t="s">
        <v>768</v>
      </c>
      <c r="F755" s="15">
        <v>45779</v>
      </c>
      <c r="G755" s="18">
        <v>884</v>
      </c>
      <c r="H755" s="17">
        <f t="shared" si="18"/>
        <v>884</v>
      </c>
      <c r="I755" s="14"/>
      <c r="J755" s="18">
        <v>884</v>
      </c>
      <c r="K755" s="17">
        <f t="shared" si="19"/>
        <v>0</v>
      </c>
      <c r="L755" s="12"/>
    </row>
    <row r="756" spans="1:12" hidden="1" outlineLevel="3" x14ac:dyDescent="0.25">
      <c r="A756" s="14" t="s">
        <v>600</v>
      </c>
      <c r="B756" s="14" t="s">
        <v>764</v>
      </c>
      <c r="C756" s="14" t="s">
        <v>137</v>
      </c>
      <c r="D756" s="14" t="s">
        <v>769</v>
      </c>
      <c r="E756" s="14" t="s">
        <v>766</v>
      </c>
      <c r="F756" s="15">
        <v>45778</v>
      </c>
      <c r="G756" s="18">
        <v>1255</v>
      </c>
      <c r="H756" s="17">
        <f t="shared" si="18"/>
        <v>1255</v>
      </c>
      <c r="I756" s="14"/>
      <c r="J756" s="18">
        <v>1255</v>
      </c>
      <c r="K756" s="17">
        <f t="shared" si="19"/>
        <v>0</v>
      </c>
      <c r="L756" s="12"/>
    </row>
    <row r="757" spans="1:12" hidden="1" outlineLevel="3" x14ac:dyDescent="0.25">
      <c r="A757" s="14" t="s">
        <v>600</v>
      </c>
      <c r="B757" s="14" t="s">
        <v>764</v>
      </c>
      <c r="C757" s="14" t="s">
        <v>137</v>
      </c>
      <c r="D757" s="14" t="s">
        <v>312</v>
      </c>
      <c r="E757" s="14" t="s">
        <v>766</v>
      </c>
      <c r="F757" s="15">
        <v>45778</v>
      </c>
      <c r="G757" s="18">
        <v>2405</v>
      </c>
      <c r="H757" s="17">
        <f t="shared" si="18"/>
        <v>2405</v>
      </c>
      <c r="I757" s="14"/>
      <c r="J757" s="18">
        <v>2405</v>
      </c>
      <c r="K757" s="17">
        <f t="shared" si="19"/>
        <v>0</v>
      </c>
      <c r="L757" s="12"/>
    </row>
    <row r="758" spans="1:12" outlineLevel="2" collapsed="1" x14ac:dyDescent="0.25">
      <c r="A758" s="14"/>
      <c r="B758" s="8" t="s">
        <v>770</v>
      </c>
      <c r="C758" s="14"/>
      <c r="D758" s="14"/>
      <c r="E758" s="14"/>
      <c r="F758" s="15"/>
      <c r="G758" s="18">
        <f>SUBTOTAL(9,G752:G757)</f>
        <v>5291</v>
      </c>
      <c r="H758" s="17"/>
      <c r="I758" s="14"/>
      <c r="J758" s="18">
        <f>SUBTOTAL(9,J752:J757)</f>
        <v>5297.5</v>
      </c>
      <c r="K758" s="17">
        <f>SUBTOTAL(9,K752:K757)</f>
        <v>-6.5</v>
      </c>
      <c r="L758" s="12"/>
    </row>
    <row r="759" spans="1:12" hidden="1" outlineLevel="3" x14ac:dyDescent="0.25">
      <c r="A759" s="14" t="s">
        <v>600</v>
      </c>
      <c r="B759" s="14" t="s">
        <v>771</v>
      </c>
      <c r="C759" s="14" t="s">
        <v>650</v>
      </c>
      <c r="D759" s="14" t="s">
        <v>772</v>
      </c>
      <c r="E759" s="14" t="s">
        <v>773</v>
      </c>
      <c r="F759" s="15">
        <v>45778</v>
      </c>
      <c r="G759" s="18">
        <v>562.5</v>
      </c>
      <c r="H759" s="17">
        <f>G759</f>
        <v>562.5</v>
      </c>
      <c r="I759" s="14"/>
      <c r="J759" s="18">
        <v>562.5</v>
      </c>
      <c r="K759" s="17">
        <f>H759-J759</f>
        <v>0</v>
      </c>
      <c r="L759" s="12"/>
    </row>
    <row r="760" spans="1:12" hidden="1" outlineLevel="3" x14ac:dyDescent="0.25">
      <c r="A760" s="14" t="s">
        <v>600</v>
      </c>
      <c r="B760" s="14" t="s">
        <v>771</v>
      </c>
      <c r="C760" s="14" t="s">
        <v>133</v>
      </c>
      <c r="D760" s="14" t="s">
        <v>388</v>
      </c>
      <c r="E760" s="14" t="s">
        <v>773</v>
      </c>
      <c r="F760" s="15">
        <v>45778</v>
      </c>
      <c r="G760" s="18">
        <v>258</v>
      </c>
      <c r="H760" s="17">
        <f>G760</f>
        <v>258</v>
      </c>
      <c r="I760" s="14"/>
      <c r="J760" s="18">
        <v>258</v>
      </c>
      <c r="K760" s="17">
        <f>H760-J760</f>
        <v>0</v>
      </c>
      <c r="L760" s="12"/>
    </row>
    <row r="761" spans="1:12" hidden="1" outlineLevel="3" x14ac:dyDescent="0.25">
      <c r="A761" s="14" t="s">
        <v>600</v>
      </c>
      <c r="B761" s="14" t="s">
        <v>771</v>
      </c>
      <c r="C761" s="14" t="s">
        <v>136</v>
      </c>
      <c r="D761" s="14" t="s">
        <v>198</v>
      </c>
      <c r="E761" s="14" t="s">
        <v>773</v>
      </c>
      <c r="F761" s="15">
        <v>45778</v>
      </c>
      <c r="G761" s="18">
        <v>416</v>
      </c>
      <c r="H761" s="17">
        <f>G761</f>
        <v>416</v>
      </c>
      <c r="I761" s="14"/>
      <c r="J761" s="18">
        <v>416</v>
      </c>
      <c r="K761" s="17">
        <f>H761-J761</f>
        <v>0</v>
      </c>
      <c r="L761" s="12"/>
    </row>
    <row r="762" spans="1:12" hidden="1" outlineLevel="3" x14ac:dyDescent="0.25">
      <c r="A762" s="14" t="s">
        <v>600</v>
      </c>
      <c r="B762" s="14" t="s">
        <v>771</v>
      </c>
      <c r="C762" s="14" t="s">
        <v>137</v>
      </c>
      <c r="D762" s="14" t="s">
        <v>774</v>
      </c>
      <c r="E762" s="14" t="s">
        <v>773</v>
      </c>
      <c r="F762" s="15">
        <v>45778</v>
      </c>
      <c r="G762" s="18">
        <v>2438.9</v>
      </c>
      <c r="H762" s="17">
        <f>G762</f>
        <v>2438.9</v>
      </c>
      <c r="I762" s="14"/>
      <c r="J762" s="18">
        <v>2438.9</v>
      </c>
      <c r="K762" s="17">
        <f>H762-J762</f>
        <v>0</v>
      </c>
      <c r="L762" s="12"/>
    </row>
    <row r="763" spans="1:12" outlineLevel="2" collapsed="1" x14ac:dyDescent="0.25">
      <c r="A763" s="14"/>
      <c r="B763" s="8" t="s">
        <v>775</v>
      </c>
      <c r="C763" s="14"/>
      <c r="D763" s="14"/>
      <c r="E763" s="14"/>
      <c r="F763" s="15"/>
      <c r="G763" s="18">
        <f>SUBTOTAL(9,G759:G762)</f>
        <v>3675.4</v>
      </c>
      <c r="H763" s="17"/>
      <c r="I763" s="14"/>
      <c r="J763" s="18">
        <f>SUBTOTAL(9,J759:J762)</f>
        <v>3675.4</v>
      </c>
      <c r="K763" s="17">
        <f>SUBTOTAL(9,K759:K762)</f>
        <v>0</v>
      </c>
      <c r="L763" s="12"/>
    </row>
    <row r="764" spans="1:12" hidden="1" outlineLevel="3" x14ac:dyDescent="0.25">
      <c r="A764" s="14" t="s">
        <v>600</v>
      </c>
      <c r="B764" s="14" t="s">
        <v>776</v>
      </c>
      <c r="C764" s="14" t="s">
        <v>133</v>
      </c>
      <c r="D764" s="14" t="s">
        <v>690</v>
      </c>
      <c r="E764" s="14" t="s">
        <v>777</v>
      </c>
      <c r="F764" s="15">
        <v>45778</v>
      </c>
      <c r="G764" s="18">
        <v>80</v>
      </c>
      <c r="H764" s="17">
        <f>G764</f>
        <v>80</v>
      </c>
      <c r="I764" s="14"/>
      <c r="J764" s="18">
        <v>80</v>
      </c>
      <c r="K764" s="17">
        <f>H764-J764</f>
        <v>0</v>
      </c>
      <c r="L764" s="12"/>
    </row>
    <row r="765" spans="1:12" hidden="1" outlineLevel="3" x14ac:dyDescent="0.25">
      <c r="A765" s="14" t="s">
        <v>600</v>
      </c>
      <c r="B765" s="14" t="s">
        <v>776</v>
      </c>
      <c r="C765" s="14" t="s">
        <v>136</v>
      </c>
      <c r="D765" s="14" t="s">
        <v>692</v>
      </c>
      <c r="E765" s="14" t="s">
        <v>777</v>
      </c>
      <c r="F765" s="15">
        <v>45778</v>
      </c>
      <c r="G765" s="18">
        <v>196</v>
      </c>
      <c r="H765" s="17">
        <f>G765</f>
        <v>196</v>
      </c>
      <c r="I765" s="14"/>
      <c r="J765" s="18">
        <v>196</v>
      </c>
      <c r="K765" s="17">
        <f>H765-J765</f>
        <v>0</v>
      </c>
      <c r="L765" s="12"/>
    </row>
    <row r="766" spans="1:12" hidden="1" outlineLevel="3" x14ac:dyDescent="0.25">
      <c r="A766" s="14" t="s">
        <v>600</v>
      </c>
      <c r="B766" s="14" t="s">
        <v>776</v>
      </c>
      <c r="C766" s="14" t="s">
        <v>137</v>
      </c>
      <c r="D766" s="14" t="s">
        <v>693</v>
      </c>
      <c r="E766" s="14" t="s">
        <v>777</v>
      </c>
      <c r="F766" s="15">
        <v>45778</v>
      </c>
      <c r="G766" s="18">
        <v>1760.67</v>
      </c>
      <c r="H766" s="17">
        <f>G766</f>
        <v>1760.67</v>
      </c>
      <c r="I766" s="14"/>
      <c r="J766" s="18">
        <v>1760.67</v>
      </c>
      <c r="K766" s="17">
        <f>H766-J766</f>
        <v>0</v>
      </c>
      <c r="L766" s="12"/>
    </row>
    <row r="767" spans="1:12" outlineLevel="2" collapsed="1" x14ac:dyDescent="0.25">
      <c r="A767" s="14"/>
      <c r="B767" s="8" t="s">
        <v>778</v>
      </c>
      <c r="C767" s="14"/>
      <c r="D767" s="14"/>
      <c r="E767" s="14"/>
      <c r="F767" s="15"/>
      <c r="G767" s="18">
        <f>SUBTOTAL(9,G764:G766)</f>
        <v>2036.67</v>
      </c>
      <c r="H767" s="17"/>
      <c r="I767" s="14"/>
      <c r="J767" s="18">
        <f>SUBTOTAL(9,J764:J766)</f>
        <v>2036.67</v>
      </c>
      <c r="K767" s="17">
        <f>SUBTOTAL(9,K764:K766)</f>
        <v>0</v>
      </c>
      <c r="L767" s="12"/>
    </row>
    <row r="768" spans="1:12" hidden="1" outlineLevel="3" x14ac:dyDescent="0.25">
      <c r="A768" s="14" t="s">
        <v>600</v>
      </c>
      <c r="B768" s="14" t="s">
        <v>779</v>
      </c>
      <c r="C768" s="14" t="s">
        <v>133</v>
      </c>
      <c r="D768" s="14" t="s">
        <v>780</v>
      </c>
      <c r="E768" s="14" t="s">
        <v>781</v>
      </c>
      <c r="F768" s="15">
        <v>45778</v>
      </c>
      <c r="G768" s="18">
        <v>262</v>
      </c>
      <c r="H768" s="17">
        <f>G768</f>
        <v>262</v>
      </c>
      <c r="I768" s="14"/>
      <c r="J768" s="18">
        <v>262</v>
      </c>
      <c r="K768" s="17">
        <f>H768-J768</f>
        <v>0</v>
      </c>
      <c r="L768" s="12"/>
    </row>
    <row r="769" spans="1:12" outlineLevel="2" collapsed="1" x14ac:dyDescent="0.25">
      <c r="A769" s="14"/>
      <c r="B769" s="8" t="s">
        <v>782</v>
      </c>
      <c r="C769" s="14"/>
      <c r="D769" s="14"/>
      <c r="E769" s="14"/>
      <c r="F769" s="15"/>
      <c r="G769" s="18">
        <f>SUBTOTAL(9,G768:G768)</f>
        <v>262</v>
      </c>
      <c r="H769" s="17"/>
      <c r="I769" s="14"/>
      <c r="J769" s="18">
        <f>SUBTOTAL(9,J768:J768)</f>
        <v>262</v>
      </c>
      <c r="K769" s="17">
        <f>SUBTOTAL(9,K768:K768)</f>
        <v>0</v>
      </c>
      <c r="L769" s="12"/>
    </row>
    <row r="770" spans="1:12" hidden="1" outlineLevel="3" x14ac:dyDescent="0.25">
      <c r="A770" s="14" t="s">
        <v>600</v>
      </c>
      <c r="B770" s="14" t="s">
        <v>783</v>
      </c>
      <c r="C770" s="14" t="s">
        <v>609</v>
      </c>
      <c r="D770" s="14" t="s">
        <v>618</v>
      </c>
      <c r="E770" s="14" t="s">
        <v>784</v>
      </c>
      <c r="F770" s="15">
        <v>45778</v>
      </c>
      <c r="G770" s="18">
        <v>167</v>
      </c>
      <c r="H770" s="17">
        <f>G770</f>
        <v>167</v>
      </c>
      <c r="I770" s="14"/>
      <c r="J770" s="18">
        <v>167</v>
      </c>
      <c r="K770" s="17">
        <f>H770-J770</f>
        <v>0</v>
      </c>
      <c r="L770" s="12"/>
    </row>
    <row r="771" spans="1:12" hidden="1" outlineLevel="3" x14ac:dyDescent="0.25">
      <c r="A771" s="14" t="s">
        <v>600</v>
      </c>
      <c r="B771" s="14" t="s">
        <v>783</v>
      </c>
      <c r="C771" s="14" t="s">
        <v>623</v>
      </c>
      <c r="D771" s="14" t="s">
        <v>630</v>
      </c>
      <c r="E771" s="14" t="s">
        <v>785</v>
      </c>
      <c r="F771" s="15">
        <v>45779</v>
      </c>
      <c r="G771" s="18">
        <v>389.67</v>
      </c>
      <c r="H771" s="17">
        <f>G771</f>
        <v>389.67</v>
      </c>
      <c r="I771" s="14"/>
      <c r="J771" s="18">
        <v>389.67</v>
      </c>
      <c r="K771" s="17">
        <f>H771-J771</f>
        <v>0</v>
      </c>
      <c r="L771" s="12"/>
    </row>
    <row r="772" spans="1:12" outlineLevel="2" collapsed="1" x14ac:dyDescent="0.25">
      <c r="A772" s="14"/>
      <c r="B772" s="8" t="s">
        <v>786</v>
      </c>
      <c r="C772" s="14"/>
      <c r="D772" s="14"/>
      <c r="E772" s="14"/>
      <c r="F772" s="15"/>
      <c r="G772" s="18">
        <f>SUBTOTAL(9,G770:G771)</f>
        <v>556.67000000000007</v>
      </c>
      <c r="H772" s="17"/>
      <c r="I772" s="14"/>
      <c r="J772" s="18">
        <f>SUBTOTAL(9,J770:J771)</f>
        <v>556.67000000000007</v>
      </c>
      <c r="K772" s="17">
        <f>SUBTOTAL(9,K770:K771)</f>
        <v>0</v>
      </c>
      <c r="L772" s="12"/>
    </row>
    <row r="773" spans="1:12" hidden="1" outlineLevel="3" x14ac:dyDescent="0.25">
      <c r="A773" s="14" t="s">
        <v>600</v>
      </c>
      <c r="B773" s="14" t="s">
        <v>787</v>
      </c>
      <c r="C773" s="14" t="s">
        <v>609</v>
      </c>
      <c r="D773" s="14" t="s">
        <v>788</v>
      </c>
      <c r="E773" s="14" t="s">
        <v>789</v>
      </c>
      <c r="F773" s="15">
        <v>45778</v>
      </c>
      <c r="G773" s="18">
        <v>85.15</v>
      </c>
      <c r="H773" s="17">
        <f>G773</f>
        <v>85.15</v>
      </c>
      <c r="I773" s="14"/>
      <c r="J773" s="18">
        <v>85.15</v>
      </c>
      <c r="K773" s="17">
        <f>H773-J773</f>
        <v>0</v>
      </c>
      <c r="L773" s="12"/>
    </row>
    <row r="774" spans="1:12" hidden="1" outlineLevel="3" x14ac:dyDescent="0.25">
      <c r="A774" s="14" t="s">
        <v>600</v>
      </c>
      <c r="B774" s="14" t="s">
        <v>787</v>
      </c>
      <c r="C774" s="14" t="s">
        <v>623</v>
      </c>
      <c r="D774" s="14" t="s">
        <v>630</v>
      </c>
      <c r="E774" s="14" t="s">
        <v>790</v>
      </c>
      <c r="F774" s="15">
        <v>45779</v>
      </c>
      <c r="G774" s="18">
        <v>340.6</v>
      </c>
      <c r="H774" s="17">
        <f>G774</f>
        <v>340.6</v>
      </c>
      <c r="I774" s="14"/>
      <c r="J774" s="18">
        <v>340.6</v>
      </c>
      <c r="K774" s="17">
        <f>H774-J774</f>
        <v>0</v>
      </c>
      <c r="L774" s="12"/>
    </row>
    <row r="775" spans="1:12" outlineLevel="2" collapsed="1" x14ac:dyDescent="0.25">
      <c r="A775" s="14"/>
      <c r="B775" s="8" t="s">
        <v>791</v>
      </c>
      <c r="C775" s="14"/>
      <c r="D775" s="14"/>
      <c r="E775" s="14"/>
      <c r="F775" s="15"/>
      <c r="G775" s="18">
        <f>SUBTOTAL(9,G773:G774)</f>
        <v>425.75</v>
      </c>
      <c r="H775" s="17"/>
      <c r="I775" s="14"/>
      <c r="J775" s="18">
        <f>SUBTOTAL(9,J773:J774)</f>
        <v>425.75</v>
      </c>
      <c r="K775" s="17">
        <f>SUBTOTAL(9,K773:K774)</f>
        <v>0</v>
      </c>
      <c r="L775" s="12"/>
    </row>
    <row r="776" spans="1:12" hidden="1" outlineLevel="3" x14ac:dyDescent="0.25">
      <c r="A776" s="14" t="s">
        <v>600</v>
      </c>
      <c r="B776" s="14" t="s">
        <v>792</v>
      </c>
      <c r="C776" s="14" t="s">
        <v>609</v>
      </c>
      <c r="D776" s="14" t="s">
        <v>618</v>
      </c>
      <c r="E776" s="14" t="s">
        <v>793</v>
      </c>
      <c r="F776" s="15">
        <v>45778</v>
      </c>
      <c r="G776" s="18">
        <v>201.87</v>
      </c>
      <c r="H776" s="17">
        <f>G776</f>
        <v>201.87</v>
      </c>
      <c r="I776" s="14"/>
      <c r="J776" s="18">
        <v>201.87</v>
      </c>
      <c r="K776" s="17">
        <f>H776-J776</f>
        <v>0</v>
      </c>
      <c r="L776" s="12"/>
    </row>
    <row r="777" spans="1:12" hidden="1" outlineLevel="3" x14ac:dyDescent="0.25">
      <c r="A777" s="14" t="s">
        <v>600</v>
      </c>
      <c r="B777" s="14" t="s">
        <v>792</v>
      </c>
      <c r="C777" s="14" t="s">
        <v>623</v>
      </c>
      <c r="D777" s="14" t="s">
        <v>630</v>
      </c>
      <c r="E777" s="14" t="s">
        <v>794</v>
      </c>
      <c r="F777" s="15">
        <v>45779</v>
      </c>
      <c r="G777" s="18">
        <v>201.88</v>
      </c>
      <c r="H777" s="17">
        <f>G777</f>
        <v>201.88</v>
      </c>
      <c r="I777" s="14"/>
      <c r="J777" s="18">
        <v>201.88</v>
      </c>
      <c r="K777" s="17">
        <f>H777-J777</f>
        <v>0</v>
      </c>
      <c r="L777" s="12"/>
    </row>
    <row r="778" spans="1:12" outlineLevel="2" collapsed="1" x14ac:dyDescent="0.25">
      <c r="A778" s="14"/>
      <c r="B778" s="8" t="s">
        <v>795</v>
      </c>
      <c r="C778" s="14"/>
      <c r="D778" s="14"/>
      <c r="E778" s="14"/>
      <c r="F778" s="15"/>
      <c r="G778" s="18">
        <f>SUBTOTAL(9,G776:G777)</f>
        <v>403.75</v>
      </c>
      <c r="H778" s="17"/>
      <c r="I778" s="14"/>
      <c r="J778" s="18">
        <f>SUBTOTAL(9,J776:J777)</f>
        <v>403.75</v>
      </c>
      <c r="K778" s="17">
        <f>SUBTOTAL(9,K776:K777)</f>
        <v>0</v>
      </c>
      <c r="L778" s="12"/>
    </row>
    <row r="779" spans="1:12" hidden="1" outlineLevel="3" x14ac:dyDescent="0.25">
      <c r="A779" s="14" t="s">
        <v>600</v>
      </c>
      <c r="B779" s="14" t="s">
        <v>796</v>
      </c>
      <c r="C779" s="14" t="s">
        <v>609</v>
      </c>
      <c r="D779" s="14" t="s">
        <v>618</v>
      </c>
      <c r="E779" s="14" t="s">
        <v>797</v>
      </c>
      <c r="F779" s="15">
        <v>45778</v>
      </c>
      <c r="G779" s="18">
        <v>365.7</v>
      </c>
      <c r="H779" s="17">
        <f>G779</f>
        <v>365.7</v>
      </c>
      <c r="I779" s="14"/>
      <c r="J779" s="18">
        <v>365.7</v>
      </c>
      <c r="K779" s="17">
        <f>H779-J779</f>
        <v>0</v>
      </c>
      <c r="L779" s="12"/>
    </row>
    <row r="780" spans="1:12" hidden="1" outlineLevel="3" x14ac:dyDescent="0.25">
      <c r="A780" s="14" t="s">
        <v>600</v>
      </c>
      <c r="B780" s="14" t="s">
        <v>796</v>
      </c>
      <c r="C780" s="14" t="s">
        <v>623</v>
      </c>
      <c r="D780" s="14" t="s">
        <v>630</v>
      </c>
      <c r="E780" s="14" t="s">
        <v>798</v>
      </c>
      <c r="F780" s="15">
        <v>45779</v>
      </c>
      <c r="G780" s="18">
        <v>365.7</v>
      </c>
      <c r="H780" s="17">
        <f>G780</f>
        <v>365.7</v>
      </c>
      <c r="I780" s="14"/>
      <c r="J780" s="18">
        <v>365.7</v>
      </c>
      <c r="K780" s="17">
        <f>H780-J780</f>
        <v>0</v>
      </c>
      <c r="L780" s="12"/>
    </row>
    <row r="781" spans="1:12" outlineLevel="2" collapsed="1" x14ac:dyDescent="0.25">
      <c r="A781" s="14"/>
      <c r="B781" s="8" t="s">
        <v>799</v>
      </c>
      <c r="C781" s="14"/>
      <c r="D781" s="14"/>
      <c r="E781" s="14"/>
      <c r="F781" s="15"/>
      <c r="G781" s="18">
        <f>SUBTOTAL(9,G779:G780)</f>
        <v>731.4</v>
      </c>
      <c r="H781" s="17"/>
      <c r="I781" s="14"/>
      <c r="J781" s="18">
        <f>SUBTOTAL(9,J779:J780)</f>
        <v>731.4</v>
      </c>
      <c r="K781" s="17">
        <f>SUBTOTAL(9,K779:K780)</f>
        <v>0</v>
      </c>
      <c r="L781" s="12"/>
    </row>
    <row r="782" spans="1:12" hidden="1" outlineLevel="3" x14ac:dyDescent="0.25">
      <c r="A782" s="14" t="s">
        <v>600</v>
      </c>
      <c r="B782" s="14" t="s">
        <v>800</v>
      </c>
      <c r="C782" s="14" t="s">
        <v>133</v>
      </c>
      <c r="D782" s="14" t="s">
        <v>133</v>
      </c>
      <c r="E782" s="14" t="s">
        <v>801</v>
      </c>
      <c r="F782" s="15">
        <v>45778</v>
      </c>
      <c r="G782" s="18">
        <v>253.3348</v>
      </c>
      <c r="H782" s="17">
        <f>G782</f>
        <v>253.3348</v>
      </c>
      <c r="I782" s="14"/>
      <c r="J782" s="18">
        <v>251.72</v>
      </c>
      <c r="K782" s="17">
        <f>H782-J782</f>
        <v>1.6148000000000025</v>
      </c>
      <c r="L782" s="12"/>
    </row>
    <row r="783" spans="1:12" hidden="1" outlineLevel="3" x14ac:dyDescent="0.25">
      <c r="A783" s="14" t="s">
        <v>600</v>
      </c>
      <c r="B783" s="14" t="s">
        <v>800</v>
      </c>
      <c r="C783" s="14" t="s">
        <v>136</v>
      </c>
      <c r="D783" s="14" t="s">
        <v>802</v>
      </c>
      <c r="E783" s="14" t="s">
        <v>803</v>
      </c>
      <c r="F783" s="15">
        <v>45778</v>
      </c>
      <c r="G783" s="18">
        <v>993.5</v>
      </c>
      <c r="H783" s="17">
        <f>G783</f>
        <v>993.5</v>
      </c>
      <c r="I783" s="14"/>
      <c r="J783" s="18">
        <v>993.5</v>
      </c>
      <c r="K783" s="17">
        <f>H783-J783</f>
        <v>0</v>
      </c>
      <c r="L783" s="12"/>
    </row>
    <row r="784" spans="1:12" hidden="1" outlineLevel="3" x14ac:dyDescent="0.25">
      <c r="A784" s="14" t="s">
        <v>600</v>
      </c>
      <c r="B784" s="14" t="s">
        <v>800</v>
      </c>
      <c r="C784" s="14" t="s">
        <v>137</v>
      </c>
      <c r="D784" s="14" t="s">
        <v>804</v>
      </c>
      <c r="E784" s="14" t="s">
        <v>805</v>
      </c>
      <c r="F784" s="15">
        <v>45778</v>
      </c>
      <c r="G784" s="18">
        <v>5424.97</v>
      </c>
      <c r="H784" s="17">
        <f>G784</f>
        <v>5424.97</v>
      </c>
      <c r="I784" s="14"/>
      <c r="J784" s="18">
        <v>5424.97</v>
      </c>
      <c r="K784" s="17">
        <f>H784-J784</f>
        <v>0</v>
      </c>
      <c r="L784" s="12"/>
    </row>
    <row r="785" spans="1:12" outlineLevel="2" collapsed="1" x14ac:dyDescent="0.25">
      <c r="A785" s="14"/>
      <c r="B785" s="8" t="s">
        <v>806</v>
      </c>
      <c r="C785" s="14"/>
      <c r="D785" s="14"/>
      <c r="E785" s="14"/>
      <c r="F785" s="15"/>
      <c r="G785" s="18">
        <f>SUBTOTAL(9,G782:G784)</f>
        <v>6671.8047999999999</v>
      </c>
      <c r="H785" s="17"/>
      <c r="I785" s="14"/>
      <c r="J785" s="18">
        <f>SUBTOTAL(9,J782:J784)</f>
        <v>6670.1900000000005</v>
      </c>
      <c r="K785" s="17">
        <f>SUBTOTAL(9,K782:K784)</f>
        <v>1.6148000000000025</v>
      </c>
      <c r="L785" s="12"/>
    </row>
    <row r="786" spans="1:12" hidden="1" outlineLevel="3" x14ac:dyDescent="0.25">
      <c r="A786" s="14" t="s">
        <v>600</v>
      </c>
      <c r="B786" s="14" t="s">
        <v>807</v>
      </c>
      <c r="C786" s="14" t="s">
        <v>609</v>
      </c>
      <c r="D786" s="14" t="s">
        <v>618</v>
      </c>
      <c r="E786" s="14" t="s">
        <v>808</v>
      </c>
      <c r="F786" s="15">
        <v>45778</v>
      </c>
      <c r="G786" s="18">
        <v>37.18</v>
      </c>
      <c r="H786" s="17">
        <f>G786</f>
        <v>37.18</v>
      </c>
      <c r="I786" s="14"/>
      <c r="J786" s="18">
        <v>37.18</v>
      </c>
      <c r="K786" s="17">
        <f>H786-J786</f>
        <v>0</v>
      </c>
      <c r="L786" s="12"/>
    </row>
    <row r="787" spans="1:12" hidden="1" outlineLevel="3" x14ac:dyDescent="0.25">
      <c r="A787" s="14" t="s">
        <v>600</v>
      </c>
      <c r="B787" s="14" t="s">
        <v>807</v>
      </c>
      <c r="C787" s="14" t="s">
        <v>133</v>
      </c>
      <c r="D787" s="14" t="s">
        <v>388</v>
      </c>
      <c r="E787" s="14" t="s">
        <v>809</v>
      </c>
      <c r="F787" s="15">
        <v>45778</v>
      </c>
      <c r="G787" s="18">
        <v>2.6088</v>
      </c>
      <c r="H787" s="17">
        <f>G787</f>
        <v>2.6088</v>
      </c>
      <c r="I787" s="14"/>
      <c r="J787" s="18">
        <v>2.6088</v>
      </c>
      <c r="K787" s="17">
        <f>H787-J787</f>
        <v>0</v>
      </c>
      <c r="L787" s="12"/>
    </row>
    <row r="788" spans="1:12" hidden="1" outlineLevel="3" x14ac:dyDescent="0.25">
      <c r="A788" s="14" t="s">
        <v>600</v>
      </c>
      <c r="B788" s="14" t="s">
        <v>807</v>
      </c>
      <c r="C788" s="14" t="s">
        <v>136</v>
      </c>
      <c r="D788" s="14" t="s">
        <v>198</v>
      </c>
      <c r="E788" s="14" t="s">
        <v>809</v>
      </c>
      <c r="F788" s="15">
        <v>45778</v>
      </c>
      <c r="G788" s="18">
        <v>280</v>
      </c>
      <c r="H788" s="17">
        <f>G788</f>
        <v>280</v>
      </c>
      <c r="I788" s="14"/>
      <c r="J788" s="18">
        <v>266</v>
      </c>
      <c r="K788" s="17">
        <f>H788-J788</f>
        <v>14</v>
      </c>
      <c r="L788" s="12"/>
    </row>
    <row r="789" spans="1:12" hidden="1" outlineLevel="3" x14ac:dyDescent="0.25">
      <c r="A789" s="14" t="s">
        <v>600</v>
      </c>
      <c r="B789" s="14" t="s">
        <v>807</v>
      </c>
      <c r="C789" s="14" t="s">
        <v>623</v>
      </c>
      <c r="D789" s="14" t="s">
        <v>630</v>
      </c>
      <c r="E789" s="14" t="s">
        <v>810</v>
      </c>
      <c r="F789" s="15">
        <v>45779</v>
      </c>
      <c r="G789" s="18">
        <v>210.71</v>
      </c>
      <c r="H789" s="17">
        <f>G789</f>
        <v>210.71</v>
      </c>
      <c r="I789" s="14"/>
      <c r="J789" s="18">
        <v>210.71</v>
      </c>
      <c r="K789" s="17">
        <f>H789-J789</f>
        <v>0</v>
      </c>
      <c r="L789" s="12"/>
    </row>
    <row r="790" spans="1:12" hidden="1" outlineLevel="3" x14ac:dyDescent="0.25">
      <c r="A790" s="14" t="s">
        <v>600</v>
      </c>
      <c r="B790" s="14" t="s">
        <v>807</v>
      </c>
      <c r="C790" s="14" t="s">
        <v>137</v>
      </c>
      <c r="D790" s="14" t="s">
        <v>774</v>
      </c>
      <c r="E790" s="14" t="s">
        <v>809</v>
      </c>
      <c r="F790" s="15">
        <v>45778</v>
      </c>
      <c r="G790" s="18">
        <v>3145.0012000000002</v>
      </c>
      <c r="H790" s="17">
        <f>G790</f>
        <v>3145.0012000000002</v>
      </c>
      <c r="I790" s="14"/>
      <c r="J790" s="18">
        <v>3145.0012000000002</v>
      </c>
      <c r="K790" s="17">
        <f>H790-J790</f>
        <v>0</v>
      </c>
      <c r="L790" s="12"/>
    </row>
    <row r="791" spans="1:12" outlineLevel="2" collapsed="1" x14ac:dyDescent="0.25">
      <c r="A791" s="14"/>
      <c r="B791" s="8" t="s">
        <v>811</v>
      </c>
      <c r="C791" s="14"/>
      <c r="D791" s="14"/>
      <c r="E791" s="14"/>
      <c r="F791" s="15"/>
      <c r="G791" s="18">
        <f>SUBTOTAL(9,G786:G790)</f>
        <v>3675.5</v>
      </c>
      <c r="H791" s="17"/>
      <c r="I791" s="14"/>
      <c r="J791" s="18">
        <f>SUBTOTAL(9,J786:J790)</f>
        <v>3661.5</v>
      </c>
      <c r="K791" s="17">
        <f>SUBTOTAL(9,K786:K790)</f>
        <v>14</v>
      </c>
      <c r="L791" s="12"/>
    </row>
    <row r="792" spans="1:12" hidden="1" outlineLevel="3" x14ac:dyDescent="0.25">
      <c r="A792" s="14" t="s">
        <v>600</v>
      </c>
      <c r="B792" s="14" t="s">
        <v>812</v>
      </c>
      <c r="C792" s="14" t="s">
        <v>133</v>
      </c>
      <c r="D792" s="14" t="s">
        <v>813</v>
      </c>
      <c r="E792" s="14" t="s">
        <v>814</v>
      </c>
      <c r="F792" s="15">
        <v>45778</v>
      </c>
      <c r="G792" s="18">
        <v>1.7927999999999999</v>
      </c>
      <c r="H792" s="17">
        <f>G792</f>
        <v>1.7927999999999999</v>
      </c>
      <c r="I792" s="14"/>
      <c r="J792" s="18">
        <v>1.7927999999999999</v>
      </c>
      <c r="K792" s="17">
        <f>H792-J792</f>
        <v>0</v>
      </c>
      <c r="L792" s="12"/>
    </row>
    <row r="793" spans="1:12" hidden="1" outlineLevel="3" x14ac:dyDescent="0.25">
      <c r="A793" s="14" t="s">
        <v>600</v>
      </c>
      <c r="B793" s="14" t="s">
        <v>812</v>
      </c>
      <c r="C793" s="14" t="s">
        <v>136</v>
      </c>
      <c r="D793" s="14" t="s">
        <v>136</v>
      </c>
      <c r="E793" s="14" t="s">
        <v>814</v>
      </c>
      <c r="F793" s="15">
        <v>45778</v>
      </c>
      <c r="G793" s="18">
        <v>569</v>
      </c>
      <c r="H793" s="17">
        <f>G793</f>
        <v>569</v>
      </c>
      <c r="I793" s="14"/>
      <c r="J793" s="18">
        <v>562</v>
      </c>
      <c r="K793" s="17">
        <f>H793-J793</f>
        <v>7</v>
      </c>
      <c r="L793" s="12"/>
    </row>
    <row r="794" spans="1:12" hidden="1" outlineLevel="3" x14ac:dyDescent="0.25">
      <c r="A794" s="14" t="s">
        <v>600</v>
      </c>
      <c r="B794" s="14" t="s">
        <v>812</v>
      </c>
      <c r="C794" s="14" t="s">
        <v>137</v>
      </c>
      <c r="D794" s="14" t="s">
        <v>137</v>
      </c>
      <c r="E794" s="14" t="s">
        <v>814</v>
      </c>
      <c r="F794" s="15">
        <v>45778</v>
      </c>
      <c r="G794" s="18">
        <v>1916.5</v>
      </c>
      <c r="H794" s="17">
        <f>G794</f>
        <v>1916.5</v>
      </c>
      <c r="I794" s="14"/>
      <c r="J794" s="18">
        <v>1916.5</v>
      </c>
      <c r="K794" s="17">
        <f>H794-J794</f>
        <v>0</v>
      </c>
      <c r="L794" s="12"/>
    </row>
    <row r="795" spans="1:12" outlineLevel="2" collapsed="1" x14ac:dyDescent="0.25">
      <c r="A795" s="14"/>
      <c r="B795" s="8" t="s">
        <v>815</v>
      </c>
      <c r="C795" s="14"/>
      <c r="D795" s="14"/>
      <c r="E795" s="14"/>
      <c r="F795" s="15"/>
      <c r="G795" s="18">
        <f>SUBTOTAL(9,G792:G794)</f>
        <v>2487.2928000000002</v>
      </c>
      <c r="H795" s="17"/>
      <c r="I795" s="14"/>
      <c r="J795" s="18">
        <f>SUBTOTAL(9,J792:J794)</f>
        <v>2480.2928000000002</v>
      </c>
      <c r="K795" s="17">
        <f>SUBTOTAL(9,K792:K794)</f>
        <v>7</v>
      </c>
      <c r="L795" s="12"/>
    </row>
    <row r="796" spans="1:12" outlineLevel="3" x14ac:dyDescent="0.25">
      <c r="A796" s="14" t="s">
        <v>600</v>
      </c>
      <c r="B796" s="14" t="s">
        <v>816</v>
      </c>
      <c r="C796" s="14" t="s">
        <v>609</v>
      </c>
      <c r="D796" s="14" t="s">
        <v>817</v>
      </c>
      <c r="E796" s="14" t="s">
        <v>818</v>
      </c>
      <c r="F796" s="15">
        <v>45778</v>
      </c>
      <c r="G796" s="18">
        <v>298.37</v>
      </c>
      <c r="H796" s="17">
        <f>G796</f>
        <v>298.37</v>
      </c>
      <c r="I796" s="14"/>
      <c r="J796" s="18">
        <v>298.37</v>
      </c>
      <c r="K796" s="17">
        <f>H796-J796</f>
        <v>0</v>
      </c>
      <c r="L796" s="12"/>
    </row>
    <row r="797" spans="1:12" outlineLevel="3" x14ac:dyDescent="0.25">
      <c r="A797" s="14" t="s">
        <v>600</v>
      </c>
      <c r="B797" s="14" t="s">
        <v>816</v>
      </c>
      <c r="C797" s="14" t="s">
        <v>623</v>
      </c>
      <c r="D797" s="14" t="s">
        <v>819</v>
      </c>
      <c r="E797" s="14" t="s">
        <v>820</v>
      </c>
      <c r="F797" s="15">
        <v>45779</v>
      </c>
      <c r="G797" s="18">
        <v>1265</v>
      </c>
      <c r="H797" s="17">
        <f>G797</f>
        <v>1265</v>
      </c>
      <c r="I797" s="14"/>
      <c r="J797" s="18">
        <v>1265</v>
      </c>
      <c r="K797" s="17">
        <f>H797-J797</f>
        <v>0</v>
      </c>
      <c r="L797" s="12"/>
    </row>
    <row r="798" spans="1:12" ht="30" outlineLevel="3" x14ac:dyDescent="0.25">
      <c r="A798" s="34" t="s">
        <v>600</v>
      </c>
      <c r="B798" s="34" t="s">
        <v>816</v>
      </c>
      <c r="C798" s="34" t="s">
        <v>137</v>
      </c>
      <c r="D798" s="34" t="s">
        <v>821</v>
      </c>
      <c r="E798" s="39"/>
      <c r="F798" s="39"/>
      <c r="G798" s="44"/>
      <c r="H798" s="43">
        <f>G798</f>
        <v>0</v>
      </c>
      <c r="I798" s="43"/>
      <c r="J798" s="43">
        <v>14000</v>
      </c>
      <c r="K798" s="43">
        <f>H798-J798</f>
        <v>-14000</v>
      </c>
      <c r="L798" s="38" t="s">
        <v>822</v>
      </c>
    </row>
    <row r="799" spans="1:12" ht="30" outlineLevel="2" x14ac:dyDescent="0.25">
      <c r="A799" s="34"/>
      <c r="B799" s="39" t="s">
        <v>823</v>
      </c>
      <c r="C799" s="34"/>
      <c r="D799" s="34"/>
      <c r="E799" s="39"/>
      <c r="F799" s="39"/>
      <c r="G799" s="44">
        <f>SUBTOTAL(9,G796:G798)</f>
        <v>1563.37</v>
      </c>
      <c r="H799" s="43"/>
      <c r="I799" s="43"/>
      <c r="J799" s="43">
        <f>SUBTOTAL(9,J796:J798)</f>
        <v>15563.369999999999</v>
      </c>
      <c r="K799" s="43">
        <f>SUBTOTAL(9,K796:K798)</f>
        <v>-14000</v>
      </c>
      <c r="L799" s="38" t="s">
        <v>822</v>
      </c>
    </row>
    <row r="800" spans="1:12" hidden="1" outlineLevel="3" x14ac:dyDescent="0.25">
      <c r="A800" s="14" t="s">
        <v>600</v>
      </c>
      <c r="B800" s="14" t="s">
        <v>824</v>
      </c>
      <c r="C800" s="14" t="s">
        <v>609</v>
      </c>
      <c r="D800" s="14" t="s">
        <v>618</v>
      </c>
      <c r="E800" s="14" t="s">
        <v>825</v>
      </c>
      <c r="F800" s="15">
        <v>45778</v>
      </c>
      <c r="G800" s="18">
        <v>81.89</v>
      </c>
      <c r="H800" s="17">
        <f>G800</f>
        <v>81.89</v>
      </c>
      <c r="I800" s="14"/>
      <c r="J800" s="18">
        <v>81.89</v>
      </c>
      <c r="K800" s="17">
        <f>H800-J800</f>
        <v>0</v>
      </c>
      <c r="L800" s="12"/>
    </row>
    <row r="801" spans="1:12" hidden="1" outlineLevel="3" x14ac:dyDescent="0.25">
      <c r="A801" s="14" t="s">
        <v>600</v>
      </c>
      <c r="B801" s="14" t="s">
        <v>824</v>
      </c>
      <c r="C801" s="14" t="s">
        <v>133</v>
      </c>
      <c r="D801" s="14" t="s">
        <v>310</v>
      </c>
      <c r="E801" s="14" t="s">
        <v>826</v>
      </c>
      <c r="F801" s="15">
        <v>45778</v>
      </c>
      <c r="G801" s="18">
        <v>65.3</v>
      </c>
      <c r="H801" s="17">
        <f>G801</f>
        <v>65.3</v>
      </c>
      <c r="I801" s="14"/>
      <c r="J801" s="18">
        <v>65.3</v>
      </c>
      <c r="K801" s="17">
        <f>H801-J801</f>
        <v>0</v>
      </c>
      <c r="L801" s="12"/>
    </row>
    <row r="802" spans="1:12" hidden="1" outlineLevel="3" x14ac:dyDescent="0.25">
      <c r="A802" s="14" t="s">
        <v>600</v>
      </c>
      <c r="B802" s="14" t="s">
        <v>824</v>
      </c>
      <c r="C802" s="14" t="s">
        <v>136</v>
      </c>
      <c r="D802" s="14" t="s">
        <v>311</v>
      </c>
      <c r="E802" s="14" t="s">
        <v>826</v>
      </c>
      <c r="F802" s="15">
        <v>45778</v>
      </c>
      <c r="G802" s="18">
        <v>182</v>
      </c>
      <c r="H802" s="17">
        <f>G802</f>
        <v>182</v>
      </c>
      <c r="I802" s="14"/>
      <c r="J802" s="18">
        <v>168</v>
      </c>
      <c r="K802" s="17">
        <f>H802-J802</f>
        <v>14</v>
      </c>
      <c r="L802" s="12"/>
    </row>
    <row r="803" spans="1:12" hidden="1" outlineLevel="3" x14ac:dyDescent="0.25">
      <c r="A803" s="14" t="s">
        <v>600</v>
      </c>
      <c r="B803" s="14" t="s">
        <v>824</v>
      </c>
      <c r="C803" s="14" t="s">
        <v>623</v>
      </c>
      <c r="D803" s="14" t="s">
        <v>630</v>
      </c>
      <c r="E803" s="14" t="s">
        <v>827</v>
      </c>
      <c r="F803" s="15">
        <v>45779</v>
      </c>
      <c r="G803" s="18">
        <v>464.07</v>
      </c>
      <c r="H803" s="17">
        <f>G803</f>
        <v>464.07</v>
      </c>
      <c r="I803" s="14"/>
      <c r="J803" s="18">
        <v>464.07</v>
      </c>
      <c r="K803" s="17">
        <f>H803-J803</f>
        <v>0</v>
      </c>
      <c r="L803" s="12"/>
    </row>
    <row r="804" spans="1:12" hidden="1" outlineLevel="3" x14ac:dyDescent="0.25">
      <c r="A804" s="14" t="s">
        <v>600</v>
      </c>
      <c r="B804" s="14" t="s">
        <v>824</v>
      </c>
      <c r="C804" s="14" t="s">
        <v>137</v>
      </c>
      <c r="D804" s="14" t="s">
        <v>312</v>
      </c>
      <c r="E804" s="14" t="s">
        <v>826</v>
      </c>
      <c r="F804" s="15">
        <v>45778</v>
      </c>
      <c r="G804" s="18">
        <v>1974.5</v>
      </c>
      <c r="H804" s="17">
        <f>G804</f>
        <v>1974.5</v>
      </c>
      <c r="I804" s="14"/>
      <c r="J804" s="18">
        <v>1974.5</v>
      </c>
      <c r="K804" s="17">
        <f>H804-J804</f>
        <v>0</v>
      </c>
      <c r="L804" s="12"/>
    </row>
    <row r="805" spans="1:12" outlineLevel="2" collapsed="1" x14ac:dyDescent="0.25">
      <c r="A805" s="14"/>
      <c r="B805" s="8" t="s">
        <v>828</v>
      </c>
      <c r="C805" s="14"/>
      <c r="D805" s="14"/>
      <c r="E805" s="14"/>
      <c r="F805" s="15"/>
      <c r="G805" s="18">
        <f>SUBTOTAL(9,G800:G804)</f>
        <v>2767.76</v>
      </c>
      <c r="H805" s="17"/>
      <c r="I805" s="14"/>
      <c r="J805" s="18">
        <f>SUBTOTAL(9,J800:J804)</f>
        <v>2753.76</v>
      </c>
      <c r="K805" s="17">
        <f>SUBTOTAL(9,K800:K804)</f>
        <v>14</v>
      </c>
      <c r="L805" s="12"/>
    </row>
    <row r="806" spans="1:12" ht="45" hidden="1" outlineLevel="3" x14ac:dyDescent="0.25">
      <c r="A806" s="14" t="s">
        <v>600</v>
      </c>
      <c r="B806" s="14" t="s">
        <v>829</v>
      </c>
      <c r="C806" s="14" t="s">
        <v>133</v>
      </c>
      <c r="D806" s="14" t="s">
        <v>830</v>
      </c>
      <c r="E806" s="14" t="s">
        <v>831</v>
      </c>
      <c r="F806" s="15">
        <v>45778</v>
      </c>
      <c r="G806" s="18">
        <v>1718.1</v>
      </c>
      <c r="H806" s="18">
        <f>G806</f>
        <v>1718.1</v>
      </c>
      <c r="I806" s="18"/>
      <c r="J806" s="18">
        <v>2348.1</v>
      </c>
      <c r="K806" s="17">
        <f>H806-J806</f>
        <v>-630</v>
      </c>
      <c r="L806" s="12" t="s">
        <v>832</v>
      </c>
    </row>
    <row r="807" spans="1:12" ht="45" outlineLevel="2" collapsed="1" x14ac:dyDescent="0.25">
      <c r="A807" s="14"/>
      <c r="B807" s="8" t="s">
        <v>833</v>
      </c>
      <c r="C807" s="14"/>
      <c r="D807" s="14"/>
      <c r="E807" s="14"/>
      <c r="F807" s="15"/>
      <c r="G807" s="18">
        <f>SUBTOTAL(9,G806:G806)</f>
        <v>1718.1</v>
      </c>
      <c r="H807" s="18"/>
      <c r="I807" s="18"/>
      <c r="J807" s="18">
        <f>SUBTOTAL(9,J806:J806)</f>
        <v>2348.1</v>
      </c>
      <c r="K807" s="17">
        <f>SUBTOTAL(9,K806:K806)</f>
        <v>-630</v>
      </c>
      <c r="L807" s="12" t="s">
        <v>832</v>
      </c>
    </row>
    <row r="808" spans="1:12" hidden="1" outlineLevel="3" x14ac:dyDescent="0.25">
      <c r="A808" s="14" t="s">
        <v>600</v>
      </c>
      <c r="B808" s="14" t="s">
        <v>834</v>
      </c>
      <c r="C808" s="14" t="s">
        <v>133</v>
      </c>
      <c r="D808" s="14" t="s">
        <v>494</v>
      </c>
      <c r="E808" s="14" t="s">
        <v>835</v>
      </c>
      <c r="F808" s="15">
        <v>45778</v>
      </c>
      <c r="G808" s="18">
        <v>133.5472</v>
      </c>
      <c r="H808" s="17">
        <f>G808</f>
        <v>133.5472</v>
      </c>
      <c r="I808" s="14"/>
      <c r="J808" s="18">
        <v>133.4008</v>
      </c>
      <c r="K808" s="17">
        <f>H808-J808</f>
        <v>0.14639999999999986</v>
      </c>
      <c r="L808" s="12"/>
    </row>
    <row r="809" spans="1:12" hidden="1" outlineLevel="3" x14ac:dyDescent="0.25">
      <c r="A809" s="14" t="s">
        <v>600</v>
      </c>
      <c r="B809" s="14" t="s">
        <v>834</v>
      </c>
      <c r="C809" s="14" t="s">
        <v>136</v>
      </c>
      <c r="D809" s="14" t="s">
        <v>728</v>
      </c>
      <c r="E809" s="14" t="s">
        <v>835</v>
      </c>
      <c r="F809" s="15">
        <v>45778</v>
      </c>
      <c r="G809" s="18">
        <v>98</v>
      </c>
      <c r="H809" s="17">
        <f>G809</f>
        <v>98</v>
      </c>
      <c r="I809" s="14"/>
      <c r="J809" s="18">
        <v>98</v>
      </c>
      <c r="K809" s="17">
        <f>H809-J809</f>
        <v>0</v>
      </c>
      <c r="L809" s="12"/>
    </row>
    <row r="810" spans="1:12" hidden="1" outlineLevel="3" x14ac:dyDescent="0.25">
      <c r="A810" s="14" t="s">
        <v>600</v>
      </c>
      <c r="B810" s="14" t="s">
        <v>834</v>
      </c>
      <c r="C810" s="14" t="s">
        <v>137</v>
      </c>
      <c r="D810" s="14" t="s">
        <v>730</v>
      </c>
      <c r="E810" s="14" t="s">
        <v>835</v>
      </c>
      <c r="F810" s="15">
        <v>45778</v>
      </c>
      <c r="G810" s="18">
        <v>1430.0028</v>
      </c>
      <c r="H810" s="17">
        <f>G810</f>
        <v>1430.0028</v>
      </c>
      <c r="I810" s="14"/>
      <c r="J810" s="18">
        <v>1430</v>
      </c>
      <c r="K810" s="17">
        <f>H810-J810</f>
        <v>2.7999999999792635E-3</v>
      </c>
      <c r="L810" s="12"/>
    </row>
    <row r="811" spans="1:12" outlineLevel="2" collapsed="1" x14ac:dyDescent="0.25">
      <c r="A811" s="14"/>
      <c r="B811" s="8" t="s">
        <v>836</v>
      </c>
      <c r="C811" s="14"/>
      <c r="D811" s="14"/>
      <c r="E811" s="14"/>
      <c r="F811" s="15"/>
      <c r="G811" s="18">
        <f>SUBTOTAL(9,G808:G810)</f>
        <v>1661.55</v>
      </c>
      <c r="H811" s="17"/>
      <c r="I811" s="14"/>
      <c r="J811" s="18">
        <f>SUBTOTAL(9,J808:J810)</f>
        <v>1661.4007999999999</v>
      </c>
      <c r="K811" s="17">
        <f>SUBTOTAL(9,K808:K810)</f>
        <v>0.14919999999997913</v>
      </c>
      <c r="L811" s="12"/>
    </row>
    <row r="812" spans="1:12" hidden="1" outlineLevel="3" x14ac:dyDescent="0.25">
      <c r="A812" s="14" t="s">
        <v>600</v>
      </c>
      <c r="B812" s="14" t="s">
        <v>837</v>
      </c>
      <c r="C812" s="14" t="s">
        <v>133</v>
      </c>
      <c r="D812" s="14" t="s">
        <v>494</v>
      </c>
      <c r="E812" s="14" t="s">
        <v>838</v>
      </c>
      <c r="F812" s="15">
        <v>45778</v>
      </c>
      <c r="G812" s="18">
        <v>50</v>
      </c>
      <c r="H812" s="17">
        <f>G812</f>
        <v>50</v>
      </c>
      <c r="I812" s="14"/>
      <c r="J812" s="18">
        <v>50</v>
      </c>
      <c r="K812" s="17">
        <f>H812-J812</f>
        <v>0</v>
      </c>
      <c r="L812" s="12"/>
    </row>
    <row r="813" spans="1:12" hidden="1" outlineLevel="3" x14ac:dyDescent="0.25">
      <c r="A813" s="14" t="s">
        <v>600</v>
      </c>
      <c r="B813" s="14" t="s">
        <v>837</v>
      </c>
      <c r="C813" s="14" t="s">
        <v>136</v>
      </c>
      <c r="D813" s="14" t="s">
        <v>728</v>
      </c>
      <c r="E813" s="14" t="s">
        <v>838</v>
      </c>
      <c r="F813" s="15">
        <v>45778</v>
      </c>
      <c r="G813" s="18">
        <v>416</v>
      </c>
      <c r="H813" s="17">
        <f>G813</f>
        <v>416</v>
      </c>
      <c r="I813" s="14"/>
      <c r="J813" s="18">
        <v>416</v>
      </c>
      <c r="K813" s="17">
        <f>H813-J813</f>
        <v>0</v>
      </c>
      <c r="L813" s="12"/>
    </row>
    <row r="814" spans="1:12" hidden="1" outlineLevel="3" x14ac:dyDescent="0.25">
      <c r="A814" s="14" t="s">
        <v>600</v>
      </c>
      <c r="B814" s="14" t="s">
        <v>837</v>
      </c>
      <c r="C814" s="14" t="s">
        <v>137</v>
      </c>
      <c r="D814" s="14" t="s">
        <v>839</v>
      </c>
      <c r="E814" s="14" t="s">
        <v>838</v>
      </c>
      <c r="F814" s="15">
        <v>45778</v>
      </c>
      <c r="G814" s="18">
        <v>1764</v>
      </c>
      <c r="H814" s="17">
        <f>G814</f>
        <v>1764</v>
      </c>
      <c r="I814" s="14"/>
      <c r="J814" s="18">
        <v>1764</v>
      </c>
      <c r="K814" s="17">
        <f>H814-J814</f>
        <v>0</v>
      </c>
      <c r="L814" s="12"/>
    </row>
    <row r="815" spans="1:12" outlineLevel="2" collapsed="1" x14ac:dyDescent="0.25">
      <c r="A815" s="14"/>
      <c r="B815" s="8" t="s">
        <v>840</v>
      </c>
      <c r="C815" s="14"/>
      <c r="D815" s="14"/>
      <c r="E815" s="14"/>
      <c r="F815" s="15"/>
      <c r="G815" s="18">
        <f>SUBTOTAL(9,G812:G814)</f>
        <v>2230</v>
      </c>
      <c r="H815" s="17"/>
      <c r="I815" s="14"/>
      <c r="J815" s="18">
        <f>SUBTOTAL(9,J812:J814)</f>
        <v>2230</v>
      </c>
      <c r="K815" s="17">
        <f>SUBTOTAL(9,K812:K814)</f>
        <v>0</v>
      </c>
      <c r="L815" s="12"/>
    </row>
    <row r="816" spans="1:12" hidden="1" outlineLevel="3" x14ac:dyDescent="0.25">
      <c r="A816" s="14" t="s">
        <v>600</v>
      </c>
      <c r="B816" s="14" t="s">
        <v>841</v>
      </c>
      <c r="C816" s="14" t="s">
        <v>609</v>
      </c>
      <c r="D816" s="14" t="s">
        <v>618</v>
      </c>
      <c r="E816" s="14" t="s">
        <v>842</v>
      </c>
      <c r="F816" s="15">
        <v>45778</v>
      </c>
      <c r="G816" s="18">
        <v>100.5</v>
      </c>
      <c r="H816" s="17">
        <f>G816</f>
        <v>100.5</v>
      </c>
      <c r="I816" s="14"/>
      <c r="J816" s="18">
        <v>100.5</v>
      </c>
      <c r="K816" s="17">
        <f>H816-J816</f>
        <v>0</v>
      </c>
      <c r="L816" s="12"/>
    </row>
    <row r="817" spans="1:12" hidden="1" outlineLevel="3" x14ac:dyDescent="0.25">
      <c r="A817" s="14" t="s">
        <v>600</v>
      </c>
      <c r="B817" s="14" t="s">
        <v>841</v>
      </c>
      <c r="C817" s="14" t="s">
        <v>133</v>
      </c>
      <c r="D817" s="14" t="s">
        <v>843</v>
      </c>
      <c r="E817" s="14" t="s">
        <v>844</v>
      </c>
      <c r="F817" s="15">
        <v>45778</v>
      </c>
      <c r="G817" s="18">
        <v>116.7882</v>
      </c>
      <c r="H817" s="17">
        <f>G817</f>
        <v>116.7882</v>
      </c>
      <c r="I817" s="14"/>
      <c r="J817" s="18">
        <v>116.0322</v>
      </c>
      <c r="K817" s="17">
        <f>H817-J817</f>
        <v>0.75600000000000023</v>
      </c>
      <c r="L817" s="12"/>
    </row>
    <row r="818" spans="1:12" hidden="1" outlineLevel="3" x14ac:dyDescent="0.25">
      <c r="A818" s="14" t="s">
        <v>600</v>
      </c>
      <c r="B818" s="14" t="s">
        <v>841</v>
      </c>
      <c r="C818" s="14" t="s">
        <v>623</v>
      </c>
      <c r="D818" s="14" t="s">
        <v>630</v>
      </c>
      <c r="E818" s="14" t="s">
        <v>845</v>
      </c>
      <c r="F818" s="15">
        <v>45779</v>
      </c>
      <c r="G818" s="18">
        <v>569.5</v>
      </c>
      <c r="H818" s="17">
        <f>G818</f>
        <v>569.5</v>
      </c>
      <c r="I818" s="14"/>
      <c r="J818" s="18">
        <v>569.5</v>
      </c>
      <c r="K818" s="17">
        <f>H818-J818</f>
        <v>0</v>
      </c>
      <c r="L818" s="12"/>
    </row>
    <row r="819" spans="1:12" hidden="1" outlineLevel="3" x14ac:dyDescent="0.25">
      <c r="A819" s="14" t="s">
        <v>600</v>
      </c>
      <c r="B819" s="14" t="s">
        <v>841</v>
      </c>
      <c r="C819" s="14" t="s">
        <v>137</v>
      </c>
      <c r="D819" s="14" t="s">
        <v>137</v>
      </c>
      <c r="E819" s="14" t="s">
        <v>844</v>
      </c>
      <c r="F819" s="15">
        <v>45778</v>
      </c>
      <c r="G819" s="18">
        <v>149.0018</v>
      </c>
      <c r="H819" s="17">
        <f>G819</f>
        <v>149.0018</v>
      </c>
      <c r="I819" s="14"/>
      <c r="J819" s="18">
        <v>149</v>
      </c>
      <c r="K819" s="17">
        <f>H819-J819</f>
        <v>1.8000000000029104E-3</v>
      </c>
      <c r="L819" s="12"/>
    </row>
    <row r="820" spans="1:12" outlineLevel="2" collapsed="1" x14ac:dyDescent="0.25">
      <c r="A820" s="14"/>
      <c r="B820" s="8" t="s">
        <v>846</v>
      </c>
      <c r="C820" s="14"/>
      <c r="D820" s="14"/>
      <c r="E820" s="14"/>
      <c r="F820" s="15"/>
      <c r="G820" s="18">
        <f>SUBTOTAL(9,G816:G819)</f>
        <v>935.79</v>
      </c>
      <c r="H820" s="17"/>
      <c r="I820" s="14"/>
      <c r="J820" s="18">
        <f>SUBTOTAL(9,J816:J819)</f>
        <v>935.03219999999999</v>
      </c>
      <c r="K820" s="17">
        <f>SUBTOTAL(9,K816:K819)</f>
        <v>0.75780000000000314</v>
      </c>
      <c r="L820" s="12"/>
    </row>
    <row r="821" spans="1:12" hidden="1" outlineLevel="3" x14ac:dyDescent="0.25">
      <c r="A821" s="14" t="s">
        <v>600</v>
      </c>
      <c r="B821" s="14" t="s">
        <v>847</v>
      </c>
      <c r="C821" s="14" t="s">
        <v>137</v>
      </c>
      <c r="D821" s="14" t="s">
        <v>848</v>
      </c>
      <c r="E821" s="14" t="s">
        <v>849</v>
      </c>
      <c r="F821" s="15">
        <v>45778</v>
      </c>
      <c r="G821" s="18">
        <v>544</v>
      </c>
      <c r="H821" s="17">
        <f>G821</f>
        <v>544</v>
      </c>
      <c r="I821" s="14"/>
      <c r="J821" s="18">
        <v>544</v>
      </c>
      <c r="K821" s="17">
        <f>H821-J821</f>
        <v>0</v>
      </c>
      <c r="L821" s="12"/>
    </row>
    <row r="822" spans="1:12" outlineLevel="2" collapsed="1" x14ac:dyDescent="0.25">
      <c r="A822" s="14"/>
      <c r="B822" s="8" t="s">
        <v>850</v>
      </c>
      <c r="C822" s="14"/>
      <c r="D822" s="14"/>
      <c r="E822" s="14"/>
      <c r="F822" s="15"/>
      <c r="G822" s="18">
        <f>SUBTOTAL(9,G821:G821)</f>
        <v>544</v>
      </c>
      <c r="H822" s="17"/>
      <c r="I822" s="14"/>
      <c r="J822" s="18">
        <f>SUBTOTAL(9,J821:J821)</f>
        <v>544</v>
      </c>
      <c r="K822" s="17">
        <f>SUBTOTAL(9,K821:K821)</f>
        <v>0</v>
      </c>
      <c r="L822" s="12"/>
    </row>
    <row r="823" spans="1:12" hidden="1" outlineLevel="3" x14ac:dyDescent="0.25">
      <c r="A823" s="14" t="s">
        <v>600</v>
      </c>
      <c r="B823" s="14" t="s">
        <v>851</v>
      </c>
      <c r="C823" s="14" t="s">
        <v>133</v>
      </c>
      <c r="D823" s="14" t="s">
        <v>852</v>
      </c>
      <c r="E823" s="14" t="s">
        <v>853</v>
      </c>
      <c r="F823" s="15">
        <v>45778</v>
      </c>
      <c r="G823" s="18">
        <v>255</v>
      </c>
      <c r="H823" s="17">
        <f>G823</f>
        <v>255</v>
      </c>
      <c r="I823" s="14"/>
      <c r="J823" s="18">
        <v>255</v>
      </c>
      <c r="K823" s="17">
        <f>H823-J823</f>
        <v>0</v>
      </c>
      <c r="L823" s="12"/>
    </row>
    <row r="824" spans="1:12" hidden="1" outlineLevel="3" x14ac:dyDescent="0.25">
      <c r="A824" s="14" t="s">
        <v>600</v>
      </c>
      <c r="B824" s="14" t="s">
        <v>851</v>
      </c>
      <c r="C824" s="14" t="s">
        <v>137</v>
      </c>
      <c r="D824" s="14" t="s">
        <v>137</v>
      </c>
      <c r="E824" s="14" t="s">
        <v>854</v>
      </c>
      <c r="F824" s="15">
        <v>45778</v>
      </c>
      <c r="G824" s="18">
        <v>2490</v>
      </c>
      <c r="H824" s="17">
        <f>G824</f>
        <v>2490</v>
      </c>
      <c r="I824" s="14"/>
      <c r="J824" s="18">
        <v>2490</v>
      </c>
      <c r="K824" s="17">
        <f>H824-J824</f>
        <v>0</v>
      </c>
      <c r="L824" s="12"/>
    </row>
    <row r="825" spans="1:12" outlineLevel="2" collapsed="1" x14ac:dyDescent="0.25">
      <c r="A825" s="14"/>
      <c r="B825" s="8" t="s">
        <v>855</v>
      </c>
      <c r="C825" s="14"/>
      <c r="D825" s="14"/>
      <c r="E825" s="14"/>
      <c r="F825" s="15"/>
      <c r="G825" s="18">
        <f>SUBTOTAL(9,G823:G824)</f>
        <v>2745</v>
      </c>
      <c r="H825" s="17"/>
      <c r="I825" s="14"/>
      <c r="J825" s="18">
        <f>SUBTOTAL(9,J823:J824)</f>
        <v>2745</v>
      </c>
      <c r="K825" s="17">
        <f>SUBTOTAL(9,K823:K824)</f>
        <v>0</v>
      </c>
      <c r="L825" s="12"/>
    </row>
    <row r="826" spans="1:12" hidden="1" outlineLevel="3" x14ac:dyDescent="0.25">
      <c r="A826" s="14" t="s">
        <v>600</v>
      </c>
      <c r="B826" s="14" t="s">
        <v>856</v>
      </c>
      <c r="C826" s="14" t="s">
        <v>609</v>
      </c>
      <c r="D826" s="14" t="s">
        <v>618</v>
      </c>
      <c r="E826" s="14" t="s">
        <v>857</v>
      </c>
      <c r="F826" s="15">
        <v>45778</v>
      </c>
      <c r="G826" s="18">
        <v>73.31</v>
      </c>
      <c r="H826" s="17">
        <f t="shared" ref="H826:H831" si="20">G826</f>
        <v>73.31</v>
      </c>
      <c r="I826" s="14"/>
      <c r="J826" s="18">
        <v>73.31</v>
      </c>
      <c r="K826" s="17">
        <f t="shared" ref="K826:K831" si="21">H826-J826</f>
        <v>0</v>
      </c>
      <c r="L826" s="12"/>
    </row>
    <row r="827" spans="1:12" hidden="1" outlineLevel="3" x14ac:dyDescent="0.25">
      <c r="A827" s="14" t="s">
        <v>600</v>
      </c>
      <c r="B827" s="14" t="s">
        <v>856</v>
      </c>
      <c r="C827" s="14" t="s">
        <v>143</v>
      </c>
      <c r="D827" s="14" t="s">
        <v>425</v>
      </c>
      <c r="E827" s="14" t="s">
        <v>858</v>
      </c>
      <c r="F827" s="15">
        <v>45778</v>
      </c>
      <c r="G827" s="18">
        <v>261</v>
      </c>
      <c r="H827" s="17">
        <f t="shared" si="20"/>
        <v>261</v>
      </c>
      <c r="I827" s="14"/>
      <c r="J827" s="18">
        <v>261</v>
      </c>
      <c r="K827" s="17">
        <f t="shared" si="21"/>
        <v>0</v>
      </c>
      <c r="L827" s="12"/>
    </row>
    <row r="828" spans="1:12" hidden="1" outlineLevel="3" x14ac:dyDescent="0.25">
      <c r="A828" s="14" t="s">
        <v>600</v>
      </c>
      <c r="B828" s="14" t="s">
        <v>856</v>
      </c>
      <c r="C828" s="14" t="s">
        <v>133</v>
      </c>
      <c r="D828" s="14" t="s">
        <v>859</v>
      </c>
      <c r="E828" s="14" t="s">
        <v>858</v>
      </c>
      <c r="F828" s="15">
        <v>45778</v>
      </c>
      <c r="G828" s="18">
        <v>118.0042</v>
      </c>
      <c r="H828" s="17">
        <f t="shared" si="20"/>
        <v>118.0042</v>
      </c>
      <c r="I828" s="14"/>
      <c r="J828" s="18">
        <v>117.8656</v>
      </c>
      <c r="K828" s="17">
        <f t="shared" si="21"/>
        <v>0.13859999999999673</v>
      </c>
      <c r="L828" s="12"/>
    </row>
    <row r="829" spans="1:12" hidden="1" outlineLevel="3" x14ac:dyDescent="0.25">
      <c r="A829" s="14" t="s">
        <v>600</v>
      </c>
      <c r="B829" s="14" t="s">
        <v>856</v>
      </c>
      <c r="C829" s="14" t="s">
        <v>136</v>
      </c>
      <c r="D829" s="14" t="s">
        <v>860</v>
      </c>
      <c r="E829" s="14" t="s">
        <v>858</v>
      </c>
      <c r="F829" s="15">
        <v>45778</v>
      </c>
      <c r="G829" s="18">
        <v>350</v>
      </c>
      <c r="H829" s="17">
        <f t="shared" si="20"/>
        <v>350</v>
      </c>
      <c r="I829" s="14"/>
      <c r="J829" s="18">
        <v>331.5</v>
      </c>
      <c r="K829" s="17">
        <f t="shared" si="21"/>
        <v>18.5</v>
      </c>
      <c r="L829" s="12"/>
    </row>
    <row r="830" spans="1:12" hidden="1" outlineLevel="3" x14ac:dyDescent="0.25">
      <c r="A830" s="14" t="s">
        <v>600</v>
      </c>
      <c r="B830" s="14" t="s">
        <v>856</v>
      </c>
      <c r="C830" s="14" t="s">
        <v>623</v>
      </c>
      <c r="D830" s="14" t="s">
        <v>630</v>
      </c>
      <c r="E830" s="14" t="s">
        <v>861</v>
      </c>
      <c r="F830" s="15">
        <v>45779</v>
      </c>
      <c r="G830" s="18">
        <v>415.44</v>
      </c>
      <c r="H830" s="17">
        <f t="shared" si="20"/>
        <v>415.44</v>
      </c>
      <c r="I830" s="14"/>
      <c r="J830" s="18">
        <v>415.44</v>
      </c>
      <c r="K830" s="17">
        <f t="shared" si="21"/>
        <v>0</v>
      </c>
      <c r="L830" s="12"/>
    </row>
    <row r="831" spans="1:12" hidden="1" outlineLevel="3" x14ac:dyDescent="0.25">
      <c r="A831" s="14" t="s">
        <v>600</v>
      </c>
      <c r="B831" s="14" t="s">
        <v>856</v>
      </c>
      <c r="C831" s="14" t="s">
        <v>137</v>
      </c>
      <c r="D831" s="14" t="s">
        <v>862</v>
      </c>
      <c r="E831" s="14" t="s">
        <v>858</v>
      </c>
      <c r="F831" s="15">
        <v>45778</v>
      </c>
      <c r="G831" s="18">
        <v>2906</v>
      </c>
      <c r="H831" s="17">
        <f t="shared" si="20"/>
        <v>2906</v>
      </c>
      <c r="I831" s="14"/>
      <c r="J831" s="18">
        <v>2906</v>
      </c>
      <c r="K831" s="17">
        <f t="shared" si="21"/>
        <v>0</v>
      </c>
      <c r="L831" s="12"/>
    </row>
    <row r="832" spans="1:12" outlineLevel="2" collapsed="1" x14ac:dyDescent="0.25">
      <c r="A832" s="14"/>
      <c r="B832" s="8" t="s">
        <v>863</v>
      </c>
      <c r="C832" s="14"/>
      <c r="D832" s="14"/>
      <c r="E832" s="14"/>
      <c r="F832" s="15"/>
      <c r="G832" s="18">
        <f>SUBTOTAL(9,G826:G831)</f>
        <v>4123.7542000000003</v>
      </c>
      <c r="H832" s="17"/>
      <c r="I832" s="14"/>
      <c r="J832" s="18">
        <f>SUBTOTAL(9,J826:J831)</f>
        <v>4105.1156000000001</v>
      </c>
      <c r="K832" s="17">
        <f>SUBTOTAL(9,K826:K831)</f>
        <v>18.638599999999997</v>
      </c>
      <c r="L832" s="12"/>
    </row>
    <row r="833" spans="1:12" hidden="1" outlineLevel="3" x14ac:dyDescent="0.25">
      <c r="A833" s="14" t="s">
        <v>600</v>
      </c>
      <c r="B833" s="14" t="s">
        <v>864</v>
      </c>
      <c r="C833" s="14" t="s">
        <v>136</v>
      </c>
      <c r="D833" s="14" t="s">
        <v>136</v>
      </c>
      <c r="E833" s="14" t="s">
        <v>865</v>
      </c>
      <c r="F833" s="15">
        <v>45778</v>
      </c>
      <c r="G833" s="18">
        <v>133</v>
      </c>
      <c r="H833" s="17">
        <f>G833</f>
        <v>133</v>
      </c>
      <c r="I833" s="14"/>
      <c r="J833" s="18">
        <v>126</v>
      </c>
      <c r="K833" s="17">
        <f>H833-J833</f>
        <v>7</v>
      </c>
      <c r="L833" s="12"/>
    </row>
    <row r="834" spans="1:12" hidden="1" outlineLevel="3" x14ac:dyDescent="0.25">
      <c r="A834" s="14" t="s">
        <v>600</v>
      </c>
      <c r="B834" s="14" t="s">
        <v>864</v>
      </c>
      <c r="C834" s="14" t="s">
        <v>137</v>
      </c>
      <c r="D834" s="14" t="s">
        <v>137</v>
      </c>
      <c r="E834" s="14" t="s">
        <v>865</v>
      </c>
      <c r="F834" s="15">
        <v>45778</v>
      </c>
      <c r="G834" s="18">
        <v>1012.25</v>
      </c>
      <c r="H834" s="17">
        <f>G834</f>
        <v>1012.25</v>
      </c>
      <c r="I834" s="14"/>
      <c r="J834" s="18">
        <v>1012.25</v>
      </c>
      <c r="K834" s="17">
        <f>H834-J834</f>
        <v>0</v>
      </c>
      <c r="L834" s="12"/>
    </row>
    <row r="835" spans="1:12" outlineLevel="2" collapsed="1" x14ac:dyDescent="0.25">
      <c r="A835" s="14"/>
      <c r="B835" s="8" t="s">
        <v>866</v>
      </c>
      <c r="C835" s="14"/>
      <c r="D835" s="14"/>
      <c r="E835" s="14"/>
      <c r="F835" s="15"/>
      <c r="G835" s="18">
        <f>SUBTOTAL(9,G833:G834)</f>
        <v>1145.25</v>
      </c>
      <c r="H835" s="17"/>
      <c r="I835" s="14"/>
      <c r="J835" s="18">
        <f>SUBTOTAL(9,J833:J834)</f>
        <v>1138.25</v>
      </c>
      <c r="K835" s="17">
        <f>SUBTOTAL(9,K833:K834)</f>
        <v>7</v>
      </c>
      <c r="L835" s="12"/>
    </row>
    <row r="836" spans="1:12" hidden="1" outlineLevel="3" x14ac:dyDescent="0.25">
      <c r="A836" s="14" t="s">
        <v>600</v>
      </c>
      <c r="B836" s="14" t="s">
        <v>867</v>
      </c>
      <c r="C836" s="14" t="s">
        <v>133</v>
      </c>
      <c r="D836" s="14" t="s">
        <v>133</v>
      </c>
      <c r="E836" s="14" t="s">
        <v>868</v>
      </c>
      <c r="F836" s="15">
        <v>45778</v>
      </c>
      <c r="G836" s="18">
        <v>457.8</v>
      </c>
      <c r="H836" s="17">
        <f>G836</f>
        <v>457.8</v>
      </c>
      <c r="I836" s="14"/>
      <c r="J836" s="18">
        <v>457.8</v>
      </c>
      <c r="K836" s="17">
        <f>H836-J836</f>
        <v>0</v>
      </c>
      <c r="L836" s="12"/>
    </row>
    <row r="837" spans="1:12" outlineLevel="2" collapsed="1" x14ac:dyDescent="0.25">
      <c r="A837" s="14"/>
      <c r="B837" s="8" t="s">
        <v>869</v>
      </c>
      <c r="C837" s="14"/>
      <c r="D837" s="14"/>
      <c r="E837" s="14"/>
      <c r="F837" s="15"/>
      <c r="G837" s="18">
        <f>SUBTOTAL(9,G836:G836)</f>
        <v>457.8</v>
      </c>
      <c r="H837" s="17"/>
      <c r="I837" s="14"/>
      <c r="J837" s="18">
        <f>SUBTOTAL(9,J836:J836)</f>
        <v>457.8</v>
      </c>
      <c r="K837" s="17">
        <f>SUBTOTAL(9,K836:K836)</f>
        <v>0</v>
      </c>
      <c r="L837" s="12"/>
    </row>
    <row r="838" spans="1:12" hidden="1" outlineLevel="3" x14ac:dyDescent="0.25">
      <c r="A838" s="14" t="s">
        <v>600</v>
      </c>
      <c r="B838" s="14" t="s">
        <v>870</v>
      </c>
      <c r="C838" s="14" t="s">
        <v>609</v>
      </c>
      <c r="D838" s="14" t="s">
        <v>871</v>
      </c>
      <c r="E838" s="14" t="s">
        <v>872</v>
      </c>
      <c r="F838" s="15">
        <v>45778</v>
      </c>
      <c r="G838" s="18">
        <v>108.2</v>
      </c>
      <c r="H838" s="17">
        <f>G838</f>
        <v>108.2</v>
      </c>
      <c r="I838" s="14"/>
      <c r="J838" s="18">
        <v>108.2</v>
      </c>
      <c r="K838" s="17">
        <f>H838-J838</f>
        <v>0</v>
      </c>
      <c r="L838" s="12"/>
    </row>
    <row r="839" spans="1:12" hidden="1" outlineLevel="3" x14ac:dyDescent="0.25">
      <c r="A839" s="14" t="s">
        <v>600</v>
      </c>
      <c r="B839" s="14" t="s">
        <v>870</v>
      </c>
      <c r="C839" s="14" t="s">
        <v>623</v>
      </c>
      <c r="D839" s="14" t="s">
        <v>873</v>
      </c>
      <c r="E839" s="14" t="s">
        <v>874</v>
      </c>
      <c r="F839" s="15">
        <v>45779</v>
      </c>
      <c r="G839" s="18">
        <v>162.30000000000001</v>
      </c>
      <c r="H839" s="17">
        <f>G839</f>
        <v>162.30000000000001</v>
      </c>
      <c r="I839" s="14"/>
      <c r="J839" s="18">
        <v>162.30000000000001</v>
      </c>
      <c r="K839" s="17">
        <f>H839-J839</f>
        <v>0</v>
      </c>
      <c r="L839" s="12"/>
    </row>
    <row r="840" spans="1:12" outlineLevel="2" collapsed="1" x14ac:dyDescent="0.25">
      <c r="A840" s="14"/>
      <c r="B840" s="8" t="s">
        <v>875</v>
      </c>
      <c r="C840" s="14"/>
      <c r="D840" s="14"/>
      <c r="E840" s="14"/>
      <c r="F840" s="15"/>
      <c r="G840" s="18">
        <f>SUBTOTAL(9,G838:G839)</f>
        <v>270.5</v>
      </c>
      <c r="H840" s="17"/>
      <c r="I840" s="14"/>
      <c r="J840" s="18">
        <f>SUBTOTAL(9,J838:J839)</f>
        <v>270.5</v>
      </c>
      <c r="K840" s="17">
        <f>SUBTOTAL(9,K838:K839)</f>
        <v>0</v>
      </c>
      <c r="L840" s="12"/>
    </row>
    <row r="841" spans="1:12" hidden="1" outlineLevel="3" x14ac:dyDescent="0.25">
      <c r="A841" s="14" t="s">
        <v>600</v>
      </c>
      <c r="B841" s="14" t="s">
        <v>876</v>
      </c>
      <c r="C841" s="14" t="s">
        <v>136</v>
      </c>
      <c r="D841" s="14" t="s">
        <v>877</v>
      </c>
      <c r="E841" s="14" t="s">
        <v>878</v>
      </c>
      <c r="F841" s="15">
        <v>45778</v>
      </c>
      <c r="G841" s="18">
        <v>469</v>
      </c>
      <c r="H841" s="17">
        <f>G841</f>
        <v>469</v>
      </c>
      <c r="I841" s="14"/>
      <c r="J841" s="18">
        <v>468</v>
      </c>
      <c r="K841" s="17">
        <f>H841-J841</f>
        <v>1</v>
      </c>
      <c r="L841" s="12"/>
    </row>
    <row r="842" spans="1:12" hidden="1" outlineLevel="3" x14ac:dyDescent="0.25">
      <c r="A842" s="20" t="s">
        <v>600</v>
      </c>
      <c r="B842" s="20" t="s">
        <v>876</v>
      </c>
      <c r="C842" s="20" t="s">
        <v>137</v>
      </c>
      <c r="D842" s="20" t="s">
        <v>137</v>
      </c>
      <c r="E842" s="20" t="s">
        <v>878</v>
      </c>
      <c r="F842" s="21">
        <v>45778</v>
      </c>
      <c r="G842" s="24">
        <v>4256.1499999999996</v>
      </c>
      <c r="H842" s="23">
        <f>G842</f>
        <v>4256.1499999999996</v>
      </c>
      <c r="I842" s="20"/>
      <c r="J842" s="24">
        <v>4132.5200000000004</v>
      </c>
      <c r="K842" s="23">
        <f>H842-J842</f>
        <v>123.6299999999992</v>
      </c>
      <c r="L842" s="25" t="s">
        <v>286</v>
      </c>
    </row>
    <row r="843" spans="1:12" outlineLevel="2" collapsed="1" x14ac:dyDescent="0.25">
      <c r="A843" s="20"/>
      <c r="B843" s="26" t="s">
        <v>879</v>
      </c>
      <c r="C843" s="20"/>
      <c r="D843" s="20"/>
      <c r="E843" s="20"/>
      <c r="F843" s="21"/>
      <c r="G843" s="24">
        <f>SUBTOTAL(9,G841:G842)</f>
        <v>4725.1499999999996</v>
      </c>
      <c r="H843" s="23"/>
      <c r="I843" s="20"/>
      <c r="J843" s="24">
        <f>SUBTOTAL(9,J841:J842)</f>
        <v>4600.5200000000004</v>
      </c>
      <c r="K843" s="23">
        <f>SUBTOTAL(9,K841:K842)</f>
        <v>124.6299999999992</v>
      </c>
      <c r="L843" s="25" t="s">
        <v>286</v>
      </c>
    </row>
    <row r="844" spans="1:12" hidden="1" outlineLevel="3" x14ac:dyDescent="0.25">
      <c r="A844" s="14" t="s">
        <v>600</v>
      </c>
      <c r="B844" s="14" t="s">
        <v>880</v>
      </c>
      <c r="C844" s="14" t="s">
        <v>609</v>
      </c>
      <c r="D844" s="14" t="s">
        <v>618</v>
      </c>
      <c r="E844" s="14" t="s">
        <v>881</v>
      </c>
      <c r="F844" s="15">
        <v>45778</v>
      </c>
      <c r="G844" s="18">
        <v>508.8</v>
      </c>
      <c r="H844" s="17">
        <f>G844</f>
        <v>508.8</v>
      </c>
      <c r="I844" s="14"/>
      <c r="J844" s="18">
        <v>508.8</v>
      </c>
      <c r="K844" s="17">
        <f>H844-J844</f>
        <v>0</v>
      </c>
      <c r="L844" s="12"/>
    </row>
    <row r="845" spans="1:12" hidden="1" outlineLevel="3" x14ac:dyDescent="0.25">
      <c r="A845" s="14" t="s">
        <v>600</v>
      </c>
      <c r="B845" s="14" t="s">
        <v>880</v>
      </c>
      <c r="C845" s="14" t="s">
        <v>133</v>
      </c>
      <c r="D845" s="14" t="s">
        <v>882</v>
      </c>
      <c r="E845" s="14" t="s">
        <v>883</v>
      </c>
      <c r="F845" s="15">
        <v>45778</v>
      </c>
      <c r="G845" s="18">
        <v>710.40350000000001</v>
      </c>
      <c r="H845" s="17">
        <f>G845</f>
        <v>710.40350000000001</v>
      </c>
      <c r="I845" s="14"/>
      <c r="J845" s="18">
        <v>707.36950000000002</v>
      </c>
      <c r="K845" s="17">
        <f>H845-J845</f>
        <v>3.0339999999999918</v>
      </c>
      <c r="L845" s="12"/>
    </row>
    <row r="846" spans="1:12" hidden="1" outlineLevel="3" x14ac:dyDescent="0.25">
      <c r="A846" s="14" t="s">
        <v>600</v>
      </c>
      <c r="B846" s="14" t="s">
        <v>880</v>
      </c>
      <c r="C846" s="14" t="s">
        <v>136</v>
      </c>
      <c r="D846" s="14" t="s">
        <v>728</v>
      </c>
      <c r="E846" s="14" t="s">
        <v>883</v>
      </c>
      <c r="F846" s="15">
        <v>45778</v>
      </c>
      <c r="G846" s="18">
        <v>1344</v>
      </c>
      <c r="H846" s="17">
        <f>G846</f>
        <v>1344</v>
      </c>
      <c r="I846" s="14"/>
      <c r="J846" s="18">
        <v>1338</v>
      </c>
      <c r="K846" s="17">
        <f>H846-J846</f>
        <v>6</v>
      </c>
      <c r="L846" s="12"/>
    </row>
    <row r="847" spans="1:12" hidden="1" outlineLevel="3" x14ac:dyDescent="0.25">
      <c r="A847" s="14" t="s">
        <v>600</v>
      </c>
      <c r="B847" s="14" t="s">
        <v>880</v>
      </c>
      <c r="C847" s="14" t="s">
        <v>623</v>
      </c>
      <c r="D847" s="14" t="s">
        <v>630</v>
      </c>
      <c r="E847" s="14" t="s">
        <v>884</v>
      </c>
      <c r="F847" s="15">
        <v>45779</v>
      </c>
      <c r="G847" s="18">
        <v>339.2</v>
      </c>
      <c r="H847" s="17">
        <f>G847</f>
        <v>339.2</v>
      </c>
      <c r="I847" s="14"/>
      <c r="J847" s="18">
        <v>339.2</v>
      </c>
      <c r="K847" s="17">
        <f>H847-J847</f>
        <v>0</v>
      </c>
      <c r="L847" s="12"/>
    </row>
    <row r="848" spans="1:12" hidden="1" outlineLevel="3" x14ac:dyDescent="0.25">
      <c r="A848" s="14" t="s">
        <v>600</v>
      </c>
      <c r="B848" s="14" t="s">
        <v>880</v>
      </c>
      <c r="C848" s="14" t="s">
        <v>137</v>
      </c>
      <c r="D848" s="14" t="s">
        <v>885</v>
      </c>
      <c r="E848" s="14" t="s">
        <v>883</v>
      </c>
      <c r="F848" s="15">
        <v>45778</v>
      </c>
      <c r="G848" s="18">
        <v>2166.75</v>
      </c>
      <c r="H848" s="17">
        <f>G848</f>
        <v>2166.75</v>
      </c>
      <c r="I848" s="14"/>
      <c r="J848" s="18">
        <v>2166.7505000000001</v>
      </c>
      <c r="K848" s="17">
        <f>H848-J848</f>
        <v>-5.0000000010186341E-4</v>
      </c>
      <c r="L848" s="12"/>
    </row>
    <row r="849" spans="1:12" outlineLevel="2" collapsed="1" x14ac:dyDescent="0.25">
      <c r="A849" s="14"/>
      <c r="B849" s="8" t="s">
        <v>886</v>
      </c>
      <c r="C849" s="14"/>
      <c r="D849" s="14"/>
      <c r="E849" s="14"/>
      <c r="F849" s="15"/>
      <c r="G849" s="18">
        <f>SUBTOTAL(9,G844:G848)</f>
        <v>5069.1535000000003</v>
      </c>
      <c r="H849" s="17"/>
      <c r="I849" s="14"/>
      <c r="J849" s="18">
        <f>SUBTOTAL(9,J844:J848)</f>
        <v>5060.12</v>
      </c>
      <c r="K849" s="17">
        <f>SUBTOTAL(9,K844:K848)</f>
        <v>9.03349999999989</v>
      </c>
      <c r="L849" s="12"/>
    </row>
    <row r="850" spans="1:12" hidden="1" outlineLevel="3" x14ac:dyDescent="0.25">
      <c r="A850" s="14" t="s">
        <v>600</v>
      </c>
      <c r="B850" s="14" t="s">
        <v>887</v>
      </c>
      <c r="C850" s="14" t="s">
        <v>143</v>
      </c>
      <c r="D850" s="14" t="s">
        <v>143</v>
      </c>
      <c r="E850" s="14" t="s">
        <v>888</v>
      </c>
      <c r="F850" s="15">
        <v>45778</v>
      </c>
      <c r="G850" s="18">
        <v>4.5999999999999996</v>
      </c>
      <c r="H850" s="17">
        <f>G850</f>
        <v>4.5999999999999996</v>
      </c>
      <c r="I850" s="14"/>
      <c r="J850" s="18">
        <v>4.5999999999999996</v>
      </c>
      <c r="K850" s="17">
        <f>H850-J850</f>
        <v>0</v>
      </c>
      <c r="L850" s="12"/>
    </row>
    <row r="851" spans="1:12" hidden="1" outlineLevel="3" x14ac:dyDescent="0.25">
      <c r="A851" s="14" t="s">
        <v>600</v>
      </c>
      <c r="B851" s="14" t="s">
        <v>887</v>
      </c>
      <c r="C851" s="14" t="s">
        <v>133</v>
      </c>
      <c r="D851" s="14" t="s">
        <v>889</v>
      </c>
      <c r="E851" s="14" t="s">
        <v>888</v>
      </c>
      <c r="F851" s="15">
        <v>45778</v>
      </c>
      <c r="G851" s="18">
        <v>216.3</v>
      </c>
      <c r="H851" s="17">
        <f>G851</f>
        <v>216.3</v>
      </c>
      <c r="I851" s="14"/>
      <c r="J851" s="18">
        <v>216.3</v>
      </c>
      <c r="K851" s="17">
        <f>H851-J851</f>
        <v>0</v>
      </c>
      <c r="L851" s="12"/>
    </row>
    <row r="852" spans="1:12" hidden="1" outlineLevel="3" x14ac:dyDescent="0.25">
      <c r="A852" s="14" t="s">
        <v>600</v>
      </c>
      <c r="B852" s="14" t="s">
        <v>887</v>
      </c>
      <c r="C852" s="14" t="s">
        <v>136</v>
      </c>
      <c r="D852" s="14" t="s">
        <v>890</v>
      </c>
      <c r="E852" s="14" t="s">
        <v>888</v>
      </c>
      <c r="F852" s="15">
        <v>45778</v>
      </c>
      <c r="G852" s="18">
        <v>322</v>
      </c>
      <c r="H852" s="17">
        <f>G852</f>
        <v>322</v>
      </c>
      <c r="I852" s="14"/>
      <c r="J852" s="18">
        <v>315</v>
      </c>
      <c r="K852" s="17">
        <f>H852-J852</f>
        <v>7</v>
      </c>
      <c r="L852" s="12"/>
    </row>
    <row r="853" spans="1:12" hidden="1" outlineLevel="3" x14ac:dyDescent="0.25">
      <c r="A853" s="14" t="s">
        <v>600</v>
      </c>
      <c r="B853" s="14" t="s">
        <v>887</v>
      </c>
      <c r="C853" s="14" t="s">
        <v>137</v>
      </c>
      <c r="D853" s="14" t="s">
        <v>891</v>
      </c>
      <c r="E853" s="14" t="s">
        <v>888</v>
      </c>
      <c r="F853" s="15">
        <v>45778</v>
      </c>
      <c r="G853" s="18">
        <v>2050</v>
      </c>
      <c r="H853" s="17">
        <f>G853</f>
        <v>2050</v>
      </c>
      <c r="I853" s="14"/>
      <c r="J853" s="18">
        <v>2050</v>
      </c>
      <c r="K853" s="17">
        <f>H853-J853</f>
        <v>0</v>
      </c>
      <c r="L853" s="12"/>
    </row>
    <row r="854" spans="1:12" hidden="1" outlineLevel="3" x14ac:dyDescent="0.25">
      <c r="A854" s="14" t="s">
        <v>600</v>
      </c>
      <c r="B854" s="14" t="s">
        <v>887</v>
      </c>
      <c r="C854" s="14" t="s">
        <v>137</v>
      </c>
      <c r="D854" s="14" t="s">
        <v>892</v>
      </c>
      <c r="E854" s="14" t="s">
        <v>888</v>
      </c>
      <c r="F854" s="15">
        <v>45778</v>
      </c>
      <c r="G854" s="18">
        <v>611.5</v>
      </c>
      <c r="H854" s="17">
        <f>G854</f>
        <v>611.5</v>
      </c>
      <c r="I854" s="14"/>
      <c r="J854" s="18">
        <v>611.5</v>
      </c>
      <c r="K854" s="17">
        <f>H854-J854</f>
        <v>0</v>
      </c>
      <c r="L854" s="12"/>
    </row>
    <row r="855" spans="1:12" outlineLevel="2" collapsed="1" x14ac:dyDescent="0.25">
      <c r="A855" s="14"/>
      <c r="B855" s="8" t="s">
        <v>893</v>
      </c>
      <c r="C855" s="14"/>
      <c r="D855" s="14"/>
      <c r="E855" s="14"/>
      <c r="F855" s="15"/>
      <c r="G855" s="18">
        <f>SUBTOTAL(9,G850:G854)</f>
        <v>3204.4</v>
      </c>
      <c r="H855" s="17"/>
      <c r="I855" s="14"/>
      <c r="J855" s="18">
        <f>SUBTOTAL(9,J850:J854)</f>
        <v>3197.4</v>
      </c>
      <c r="K855" s="17">
        <f>SUBTOTAL(9,K850:K854)</f>
        <v>7</v>
      </c>
      <c r="L855" s="12"/>
    </row>
    <row r="856" spans="1:12" outlineLevel="1" x14ac:dyDescent="0.25">
      <c r="A856" s="8" t="s">
        <v>894</v>
      </c>
      <c r="B856" s="14"/>
      <c r="C856" s="14"/>
      <c r="D856" s="14"/>
      <c r="E856" s="14"/>
      <c r="F856" s="15"/>
      <c r="G856" s="18">
        <f>SUBTOTAL(9,G627:G854)</f>
        <v>134382.75609999997</v>
      </c>
      <c r="H856" s="17"/>
      <c r="I856" s="14"/>
      <c r="J856" s="18">
        <f>SUBTOTAL(9,J627:J854)</f>
        <v>153027.41579999999</v>
      </c>
      <c r="K856" s="17">
        <f>SUBTOTAL(9,K627:K854)</f>
        <v>-18644.659700000004</v>
      </c>
      <c r="L856" s="12"/>
    </row>
    <row r="857" spans="1:12" x14ac:dyDescent="0.25">
      <c r="A857" s="8" t="s">
        <v>895</v>
      </c>
      <c r="B857" s="14"/>
      <c r="C857" s="14"/>
      <c r="D857" s="14"/>
      <c r="E857" s="14"/>
      <c r="F857" s="15"/>
      <c r="G857" s="18">
        <f>SUBTOTAL(9,G2:G854)</f>
        <v>918124.70440000028</v>
      </c>
      <c r="H857" s="17"/>
      <c r="I857" s="14"/>
      <c r="J857" s="18">
        <f>SUBTOTAL(9,J2:J854)</f>
        <v>882946.29365000024</v>
      </c>
      <c r="K857" s="17">
        <f>SUBTOTAL(9,K2:K854)</f>
        <v>35178.410749999988</v>
      </c>
      <c r="L857" s="12"/>
    </row>
    <row r="858" spans="1:12" x14ac:dyDescent="0.25">
      <c r="A858" s="14"/>
      <c r="B858" s="14"/>
      <c r="C858" s="14"/>
      <c r="D858" s="14"/>
      <c r="E858" s="14"/>
      <c r="F858" s="15"/>
      <c r="G858" s="28"/>
      <c r="H858" s="17"/>
      <c r="I858" s="14"/>
      <c r="J858" s="28"/>
      <c r="K858" s="28"/>
      <c r="L858" s="12"/>
    </row>
    <row r="859" spans="1:12" x14ac:dyDescent="0.25">
      <c r="A859" s="14"/>
      <c r="B859" s="14"/>
      <c r="C859" s="14"/>
      <c r="D859" s="14"/>
      <c r="E859" s="14"/>
      <c r="F859" s="15"/>
      <c r="G859" s="28"/>
      <c r="H859" s="17"/>
      <c r="I859" s="14"/>
      <c r="J859" s="28"/>
      <c r="K859" s="28"/>
      <c r="L859" s="12"/>
    </row>
    <row r="860" spans="1:12" x14ac:dyDescent="0.25">
      <c r="A860" s="14"/>
      <c r="B860" s="14"/>
      <c r="C860" s="14"/>
      <c r="D860" s="14"/>
      <c r="E860" s="14"/>
      <c r="F860" s="15"/>
      <c r="G860" s="28"/>
      <c r="H860" s="17"/>
      <c r="I860" s="14"/>
      <c r="J860" s="28"/>
      <c r="K860" s="28"/>
      <c r="L860" s="12"/>
    </row>
    <row r="861" spans="1:12" x14ac:dyDescent="0.25">
      <c r="A861" s="14"/>
      <c r="B861" s="14"/>
      <c r="C861" s="14"/>
      <c r="D861" s="14"/>
      <c r="E861" s="14"/>
      <c r="F861" s="15"/>
      <c r="G861" s="28"/>
      <c r="H861" s="17"/>
      <c r="I861" s="14"/>
      <c r="J861" s="28"/>
      <c r="K861" s="28"/>
      <c r="L861" s="12"/>
    </row>
    <row r="864" spans="1:12" x14ac:dyDescent="0.25">
      <c r="E864" s="45" t="s">
        <v>896</v>
      </c>
      <c r="F864" s="45"/>
    </row>
    <row r="865" spans="5:11" x14ac:dyDescent="0.25">
      <c r="E865" s="45"/>
      <c r="F865" s="47" t="s">
        <v>26</v>
      </c>
      <c r="G865" s="16">
        <v>469844</v>
      </c>
      <c r="J865" s="18">
        <v>455448</v>
      </c>
      <c r="K865" s="48">
        <f>+G865-J865</f>
        <v>14396</v>
      </c>
    </row>
    <row r="866" spans="5:11" x14ac:dyDescent="0.25">
      <c r="E866" s="45"/>
      <c r="F866" s="47" t="s">
        <v>27</v>
      </c>
      <c r="G866" s="16">
        <v>24469</v>
      </c>
      <c r="J866" s="18">
        <v>23205</v>
      </c>
      <c r="K866" s="48">
        <f>+G866-J866</f>
        <v>1264</v>
      </c>
    </row>
    <row r="867" spans="5:11" x14ac:dyDescent="0.25">
      <c r="E867" s="45"/>
      <c r="F867" s="47" t="s">
        <v>28</v>
      </c>
      <c r="G867" s="16">
        <v>289429</v>
      </c>
      <c r="J867" s="18">
        <v>251266</v>
      </c>
      <c r="K867" s="48">
        <f>+G867-J867</f>
        <v>38163</v>
      </c>
    </row>
    <row r="868" spans="5:11" x14ac:dyDescent="0.25">
      <c r="E868" s="45"/>
      <c r="F868" s="8"/>
      <c r="G868" s="16"/>
    </row>
    <row r="869" spans="5:11" x14ac:dyDescent="0.25">
      <c r="E869" s="45"/>
      <c r="F869" s="47" t="s">
        <v>897</v>
      </c>
      <c r="G869" s="16">
        <f>SUM(G865:G867)</f>
        <v>783742</v>
      </c>
      <c r="J869" s="16">
        <f>SUM(J865:J867)</f>
        <v>729919</v>
      </c>
      <c r="K869" s="48">
        <f>+G869-J869</f>
        <v>53823</v>
      </c>
    </row>
    <row r="870" spans="5:11" x14ac:dyDescent="0.25">
      <c r="E870" s="45"/>
      <c r="F870" s="45"/>
    </row>
    <row r="871" spans="5:11" x14ac:dyDescent="0.25">
      <c r="E871" s="45"/>
      <c r="F871" s="45"/>
    </row>
    <row r="872" spans="5:11" x14ac:dyDescent="0.25">
      <c r="E872" s="45" t="s">
        <v>898</v>
      </c>
      <c r="F872" s="45"/>
    </row>
    <row r="873" spans="5:11" x14ac:dyDescent="0.25">
      <c r="E873" s="45"/>
      <c r="F873" s="47" t="s">
        <v>26</v>
      </c>
      <c r="G873" s="16">
        <v>114658</v>
      </c>
      <c r="J873" s="18">
        <v>132783</v>
      </c>
      <c r="K873" s="48">
        <f>+G873-J873</f>
        <v>-18125</v>
      </c>
    </row>
    <row r="874" spans="5:11" x14ac:dyDescent="0.25">
      <c r="E874" s="45"/>
      <c r="F874" s="47" t="s">
        <v>27</v>
      </c>
      <c r="G874" s="16"/>
      <c r="J874" s="18"/>
    </row>
    <row r="875" spans="5:11" x14ac:dyDescent="0.25">
      <c r="E875" s="45"/>
      <c r="F875" s="47" t="s">
        <v>28</v>
      </c>
      <c r="G875" s="16">
        <v>19725</v>
      </c>
      <c r="J875" s="18">
        <v>20244</v>
      </c>
      <c r="K875" s="48">
        <f>+G875-J875</f>
        <v>-519</v>
      </c>
    </row>
    <row r="876" spans="5:11" x14ac:dyDescent="0.25">
      <c r="E876" s="45"/>
      <c r="F876" s="8"/>
    </row>
    <row r="877" spans="5:11" x14ac:dyDescent="0.25">
      <c r="E877" s="45"/>
      <c r="F877" s="47" t="s">
        <v>897</v>
      </c>
      <c r="G877" s="48">
        <f>SUM(G873:G875)</f>
        <v>134383</v>
      </c>
      <c r="J877" s="48">
        <f>SUM(J873:J875)</f>
        <v>153027</v>
      </c>
      <c r="K877" s="48">
        <f>+G877-J877</f>
        <v>-18644</v>
      </c>
    </row>
    <row r="878" spans="5:11" x14ac:dyDescent="0.25">
      <c r="E878" s="45"/>
      <c r="F878" s="45"/>
    </row>
    <row r="879" spans="5:11" x14ac:dyDescent="0.25">
      <c r="E879" s="45" t="s">
        <v>899</v>
      </c>
      <c r="F879" s="45"/>
    </row>
    <row r="880" spans="5:11" x14ac:dyDescent="0.25">
      <c r="E880" s="45"/>
      <c r="F880" s="47" t="s">
        <v>26</v>
      </c>
      <c r="G880" s="48">
        <f>G865+G873</f>
        <v>584502</v>
      </c>
      <c r="J880" s="48">
        <f>J865+J873</f>
        <v>588231</v>
      </c>
      <c r="K880" s="48">
        <f>+G880-J880</f>
        <v>-3729</v>
      </c>
    </row>
    <row r="881" spans="5:11" x14ac:dyDescent="0.25">
      <c r="E881" s="45"/>
      <c r="F881" s="47" t="s">
        <v>27</v>
      </c>
      <c r="G881" s="48">
        <f t="shared" ref="G881:G882" si="22">G866+G874</f>
        <v>24469</v>
      </c>
      <c r="J881" s="48">
        <f t="shared" ref="J881:J882" si="23">J866+J874</f>
        <v>23205</v>
      </c>
      <c r="K881" s="48">
        <f>+G881-J881</f>
        <v>1264</v>
      </c>
    </row>
    <row r="882" spans="5:11" x14ac:dyDescent="0.25">
      <c r="E882" s="45"/>
      <c r="F882" s="47" t="s">
        <v>28</v>
      </c>
      <c r="G882" s="48">
        <f t="shared" si="22"/>
        <v>309154</v>
      </c>
      <c r="J882" s="48">
        <f t="shared" si="23"/>
        <v>271510</v>
      </c>
      <c r="K882" s="48">
        <f>+G882-J882</f>
        <v>37644</v>
      </c>
    </row>
    <row r="883" spans="5:11" x14ac:dyDescent="0.25">
      <c r="E883" s="45"/>
      <c r="F883" s="47"/>
    </row>
    <row r="884" spans="5:11" x14ac:dyDescent="0.25">
      <c r="E884" s="45"/>
      <c r="F884" s="47" t="s">
        <v>897</v>
      </c>
      <c r="G884" s="48">
        <f>SUM(G880:G882)</f>
        <v>918125</v>
      </c>
      <c r="J884" s="48">
        <f>SUM(J880:J882)</f>
        <v>882946</v>
      </c>
      <c r="K884" s="48">
        <f>+G884-J884</f>
        <v>35179</v>
      </c>
    </row>
    <row r="886" spans="5:11" x14ac:dyDescent="0.25">
      <c r="G886" s="48">
        <f>G884-G857</f>
        <v>0.29559999972116202</v>
      </c>
      <c r="J886" s="48">
        <f>J884-J857</f>
        <v>-0.29365000023972243</v>
      </c>
    </row>
  </sheetData>
  <autoFilter ref="A1:L860" xr:uid="{73DE89DC-AD5F-4B24-B3CF-DCEC5BFCAFC0}">
    <sortState xmlns:xlrd2="http://schemas.microsoft.com/office/spreadsheetml/2017/richdata2" ref="A2:L860">
      <sortCondition ref="G1:G860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AB49-DDBE-4E67-B4F0-61E3892E81F3}">
  <sheetPr>
    <tabColor rgb="FF92D050"/>
  </sheetPr>
  <dimension ref="A1:O96"/>
  <sheetViews>
    <sheetView workbookViewId="0">
      <pane ySplit="7" topLeftCell="A20" activePane="bottomLeft" state="frozen"/>
      <selection pane="bottomLeft" activeCell="H20" sqref="H20"/>
    </sheetView>
  </sheetViews>
  <sheetFormatPr defaultColWidth="9.140625" defaultRowHeight="15.75" x14ac:dyDescent="0.25"/>
  <cols>
    <col min="1" max="1" width="14.85546875" style="70" customWidth="1"/>
    <col min="2" max="2" width="12.140625" style="70" customWidth="1"/>
    <col min="3" max="3" width="12.42578125" style="70" customWidth="1"/>
    <col min="4" max="4" width="13" style="70" customWidth="1"/>
    <col min="5" max="5" width="23.7109375" style="70" bestFit="1" customWidth="1"/>
    <col min="6" max="6" width="32.7109375" style="70" bestFit="1" customWidth="1"/>
    <col min="7" max="7" width="18.7109375" style="89" customWidth="1"/>
    <col min="8" max="8" width="23.28515625" style="70" customWidth="1"/>
    <col min="9" max="10" width="21.140625" style="72" customWidth="1"/>
    <col min="11" max="11" width="20.28515625" style="70" customWidth="1"/>
    <col min="12" max="12" width="37.85546875" style="70" customWidth="1"/>
    <col min="13" max="13" width="20.28515625" style="70" customWidth="1"/>
    <col min="14" max="14" width="21.28515625" style="75" customWidth="1"/>
    <col min="15" max="15" width="20.85546875" style="70" customWidth="1"/>
    <col min="16" max="16384" width="9.140625" style="70"/>
  </cols>
  <sheetData>
    <row r="1" spans="1:14" ht="19.5" x14ac:dyDescent="0.3">
      <c r="A1" s="69" t="s">
        <v>900</v>
      </c>
      <c r="D1" s="71"/>
      <c r="E1" s="71"/>
      <c r="F1" s="181" t="s">
        <v>901</v>
      </c>
      <c r="G1" s="182"/>
      <c r="H1" s="72" t="s">
        <v>902</v>
      </c>
      <c r="I1" s="73" t="s">
        <v>903</v>
      </c>
      <c r="J1" s="74" t="s">
        <v>130</v>
      </c>
      <c r="M1" s="72"/>
    </row>
    <row r="2" spans="1:14" ht="19.5" x14ac:dyDescent="0.3">
      <c r="C2" s="71"/>
      <c r="D2" s="71"/>
      <c r="E2" s="71"/>
      <c r="F2" s="76" t="s">
        <v>904</v>
      </c>
      <c r="G2" s="77">
        <v>64595</v>
      </c>
      <c r="H2" s="78">
        <f>ROUND(+H14,0)</f>
        <v>64607</v>
      </c>
      <c r="I2" s="79">
        <f>+G2-H2</f>
        <v>-12</v>
      </c>
      <c r="J2" s="80"/>
      <c r="K2" s="81"/>
      <c r="L2" s="81"/>
      <c r="M2" s="75"/>
    </row>
    <row r="3" spans="1:14" ht="35.25" x14ac:dyDescent="0.3">
      <c r="C3" s="71"/>
      <c r="D3" s="71"/>
      <c r="E3" s="71"/>
      <c r="F3" s="76" t="s">
        <v>905</v>
      </c>
      <c r="G3" s="77">
        <v>203541</v>
      </c>
      <c r="H3" s="78">
        <f>ROUND(+H47,0)</f>
        <v>204720</v>
      </c>
      <c r="I3" s="79">
        <f>+G3-H3</f>
        <v>-1179</v>
      </c>
      <c r="J3" s="82" t="s">
        <v>906</v>
      </c>
      <c r="K3" s="82"/>
      <c r="L3" s="81"/>
      <c r="M3" s="75"/>
    </row>
    <row r="4" spans="1:14" ht="25.5" x14ac:dyDescent="0.3">
      <c r="A4" s="83" t="s">
        <v>907</v>
      </c>
      <c r="C4" s="71"/>
      <c r="D4" s="71"/>
      <c r="E4" s="71"/>
      <c r="F4" s="84" t="s">
        <v>908</v>
      </c>
      <c r="G4" s="77">
        <v>136510</v>
      </c>
      <c r="H4" s="78">
        <f>ROUND(+H62,0)</f>
        <v>136463</v>
      </c>
      <c r="I4" s="79">
        <f>+G4-H4</f>
        <v>47</v>
      </c>
      <c r="J4" s="85"/>
      <c r="K4" s="81"/>
      <c r="L4" s="81"/>
      <c r="M4" s="75"/>
    </row>
    <row r="5" spans="1:14" ht="24.75" thickBot="1" x14ac:dyDescent="0.35">
      <c r="A5" s="86" t="s">
        <v>909</v>
      </c>
      <c r="C5" s="71"/>
      <c r="D5" s="71"/>
      <c r="E5" s="71"/>
      <c r="F5" s="87" t="s">
        <v>910</v>
      </c>
      <c r="G5" s="88">
        <v>85672</v>
      </c>
      <c r="H5" s="78">
        <f>ROUND(+H76,0)</f>
        <v>84025</v>
      </c>
      <c r="I5" s="79">
        <f>+G5-H5</f>
        <v>1647</v>
      </c>
      <c r="J5" s="85" t="s">
        <v>911</v>
      </c>
      <c r="K5" s="81"/>
      <c r="L5" s="81"/>
      <c r="M5" s="75"/>
    </row>
    <row r="6" spans="1:14" x14ac:dyDescent="0.25">
      <c r="I6" s="75"/>
      <c r="J6" s="75"/>
      <c r="N6" s="70"/>
    </row>
    <row r="7" spans="1:14" ht="30" x14ac:dyDescent="0.25">
      <c r="A7" s="90" t="s">
        <v>912</v>
      </c>
      <c r="B7" s="90" t="s">
        <v>913</v>
      </c>
      <c r="C7" s="91" t="s">
        <v>914</v>
      </c>
      <c r="D7" s="91" t="s">
        <v>915</v>
      </c>
      <c r="E7" s="91" t="s">
        <v>916</v>
      </c>
      <c r="F7" s="91" t="s">
        <v>917</v>
      </c>
      <c r="G7" s="92" t="s">
        <v>918</v>
      </c>
      <c r="H7" s="93" t="s">
        <v>919</v>
      </c>
      <c r="I7" s="93" t="s">
        <v>920</v>
      </c>
      <c r="J7" s="93" t="s">
        <v>921</v>
      </c>
      <c r="K7" s="94" t="s">
        <v>922</v>
      </c>
      <c r="L7" s="95" t="s">
        <v>130</v>
      </c>
      <c r="N7" s="70"/>
    </row>
    <row r="8" spans="1:14" x14ac:dyDescent="0.25">
      <c r="A8" s="96"/>
      <c r="B8" s="97"/>
      <c r="C8" s="98" t="s">
        <v>923</v>
      </c>
      <c r="D8" s="98" t="s">
        <v>924</v>
      </c>
      <c r="E8" s="98" t="s">
        <v>925</v>
      </c>
      <c r="F8" s="98" t="s">
        <v>926</v>
      </c>
      <c r="G8" s="99" t="s">
        <v>927</v>
      </c>
      <c r="H8" s="100">
        <v>8106.5815384615407</v>
      </c>
      <c r="I8" s="100"/>
      <c r="J8" s="100"/>
      <c r="K8" s="100">
        <f t="shared" ref="K8:K13" si="0">+H8-I8-J8</f>
        <v>8106.5815384615407</v>
      </c>
      <c r="L8" s="101"/>
      <c r="N8" s="70"/>
    </row>
    <row r="9" spans="1:14" x14ac:dyDescent="0.25">
      <c r="A9" s="102"/>
      <c r="B9" s="103"/>
      <c r="C9" s="98" t="s">
        <v>928</v>
      </c>
      <c r="D9" s="98" t="s">
        <v>929</v>
      </c>
      <c r="E9" s="98" t="s">
        <v>930</v>
      </c>
      <c r="F9" s="98" t="s">
        <v>931</v>
      </c>
      <c r="G9" s="99" t="s">
        <v>927</v>
      </c>
      <c r="H9" s="100">
        <v>10255.053846153851</v>
      </c>
      <c r="I9" s="100"/>
      <c r="J9" s="100"/>
      <c r="K9" s="100">
        <f t="shared" si="0"/>
        <v>10255.053846153851</v>
      </c>
      <c r="L9" s="101"/>
      <c r="N9" s="70"/>
    </row>
    <row r="10" spans="1:14" x14ac:dyDescent="0.25">
      <c r="A10" s="96"/>
      <c r="B10" s="97"/>
      <c r="C10" s="104" t="s">
        <v>932</v>
      </c>
      <c r="D10" s="104" t="s">
        <v>933</v>
      </c>
      <c r="E10" s="104" t="s">
        <v>934</v>
      </c>
      <c r="F10" s="104" t="s">
        <v>931</v>
      </c>
      <c r="G10" s="105" t="s">
        <v>927</v>
      </c>
      <c r="H10" s="100">
        <v>8818.1784615384604</v>
      </c>
      <c r="I10" s="100"/>
      <c r="J10" s="100"/>
      <c r="K10" s="100">
        <f t="shared" si="0"/>
        <v>8818.1784615384604</v>
      </c>
      <c r="L10" s="101"/>
      <c r="N10" s="70"/>
    </row>
    <row r="11" spans="1:14" x14ac:dyDescent="0.25">
      <c r="A11" s="102"/>
      <c r="B11" s="103"/>
      <c r="C11" s="98" t="s">
        <v>935</v>
      </c>
      <c r="D11" s="98" t="s">
        <v>936</v>
      </c>
      <c r="E11" s="98" t="s">
        <v>937</v>
      </c>
      <c r="F11" s="98" t="s">
        <v>931</v>
      </c>
      <c r="G11" s="99" t="s">
        <v>927</v>
      </c>
      <c r="H11" s="100">
        <v>11663.07076923077</v>
      </c>
      <c r="I11" s="100"/>
      <c r="J11" s="100"/>
      <c r="K11" s="100">
        <f t="shared" si="0"/>
        <v>11663.07076923077</v>
      </c>
      <c r="L11" s="101"/>
      <c r="N11" s="70"/>
    </row>
    <row r="12" spans="1:14" x14ac:dyDescent="0.25">
      <c r="A12" s="96"/>
      <c r="B12" s="97"/>
      <c r="C12" s="104" t="s">
        <v>938</v>
      </c>
      <c r="D12" s="104" t="s">
        <v>939</v>
      </c>
      <c r="E12" s="104" t="s">
        <v>940</v>
      </c>
      <c r="F12" s="104" t="s">
        <v>941</v>
      </c>
      <c r="G12" s="105" t="s">
        <v>927</v>
      </c>
      <c r="H12" s="100">
        <v>14392.31</v>
      </c>
      <c r="I12" s="100"/>
      <c r="J12" s="100"/>
      <c r="K12" s="100">
        <f t="shared" si="0"/>
        <v>14392.31</v>
      </c>
      <c r="L12" s="101"/>
      <c r="N12" s="70"/>
    </row>
    <row r="13" spans="1:14" x14ac:dyDescent="0.25">
      <c r="A13" s="102"/>
      <c r="B13" s="103"/>
      <c r="C13" s="104" t="s">
        <v>942</v>
      </c>
      <c r="D13" s="104" t="s">
        <v>943</v>
      </c>
      <c r="E13" s="104" t="s">
        <v>944</v>
      </c>
      <c r="F13" s="104" t="s">
        <v>945</v>
      </c>
      <c r="G13" s="105" t="s">
        <v>927</v>
      </c>
      <c r="H13" s="100">
        <v>11371.611538461539</v>
      </c>
      <c r="I13" s="100"/>
      <c r="J13" s="100"/>
      <c r="K13" s="100">
        <f t="shared" si="0"/>
        <v>11371.611538461539</v>
      </c>
      <c r="L13" s="101"/>
      <c r="N13" s="70"/>
    </row>
    <row r="14" spans="1:14" x14ac:dyDescent="0.25">
      <c r="A14" s="106"/>
      <c r="B14" s="107"/>
      <c r="C14" s="108"/>
      <c r="D14" s="108"/>
      <c r="E14" s="108"/>
      <c r="F14" s="109"/>
      <c r="G14" s="110" t="s">
        <v>946</v>
      </c>
      <c r="H14" s="111">
        <v>64606.806153846162</v>
      </c>
      <c r="I14" s="111">
        <f>SUMIFS(I8:I73,H8:H73,"1-IT Project Labor")</f>
        <v>0</v>
      </c>
      <c r="J14" s="111"/>
      <c r="K14" s="111">
        <f>SUMIFS(K8:K75,G8:G75,"1-IT Project Labor")</f>
        <v>64606.806153846162</v>
      </c>
      <c r="L14" s="112"/>
      <c r="N14" s="70"/>
    </row>
    <row r="15" spans="1:14" x14ac:dyDescent="0.25">
      <c r="A15" s="113"/>
      <c r="B15" s="114"/>
      <c r="C15" s="115" t="s">
        <v>947</v>
      </c>
      <c r="D15" s="115" t="s">
        <v>948</v>
      </c>
      <c r="E15" s="115" t="s">
        <v>949</v>
      </c>
      <c r="F15" s="115" t="s">
        <v>950</v>
      </c>
      <c r="G15" s="116" t="s">
        <v>951</v>
      </c>
      <c r="H15" s="117">
        <v>11832.134615384619</v>
      </c>
      <c r="I15" s="117"/>
      <c r="J15" s="117">
        <v>0</v>
      </c>
      <c r="K15" s="117">
        <f t="shared" ref="K15:K46" si="1">+H15-I15-J15</f>
        <v>11832.134615384619</v>
      </c>
      <c r="L15" s="118"/>
      <c r="N15" s="70"/>
    </row>
    <row r="16" spans="1:14" x14ac:dyDescent="0.25">
      <c r="A16" s="113"/>
      <c r="B16" s="114"/>
      <c r="C16" s="115" t="s">
        <v>952</v>
      </c>
      <c r="D16" s="115" t="s">
        <v>953</v>
      </c>
      <c r="E16" s="115" t="s">
        <v>954</v>
      </c>
      <c r="F16" s="115" t="s">
        <v>955</v>
      </c>
      <c r="G16" s="116" t="s">
        <v>951</v>
      </c>
      <c r="H16" s="117">
        <v>8564.1507692307696</v>
      </c>
      <c r="I16" s="117"/>
      <c r="J16" s="117">
        <v>0</v>
      </c>
      <c r="K16" s="117">
        <f t="shared" si="1"/>
        <v>8564.1507692307696</v>
      </c>
      <c r="L16" s="118"/>
      <c r="N16" s="70"/>
    </row>
    <row r="17" spans="1:14" x14ac:dyDescent="0.25">
      <c r="A17" s="113"/>
      <c r="B17" s="114"/>
      <c r="C17" s="115" t="s">
        <v>956</v>
      </c>
      <c r="D17" s="115" t="s">
        <v>957</v>
      </c>
      <c r="E17" s="115" t="s">
        <v>958</v>
      </c>
      <c r="F17" s="115" t="s">
        <v>959</v>
      </c>
      <c r="G17" s="116" t="s">
        <v>951</v>
      </c>
      <c r="H17" s="117">
        <v>8935.4392307692306</v>
      </c>
      <c r="I17" s="117"/>
      <c r="J17" s="117">
        <v>0</v>
      </c>
      <c r="K17" s="117">
        <f t="shared" si="1"/>
        <v>8935.4392307692306</v>
      </c>
      <c r="L17" s="118"/>
      <c r="N17" s="70"/>
    </row>
    <row r="18" spans="1:14" x14ac:dyDescent="0.25">
      <c r="A18" s="113"/>
      <c r="B18" s="114"/>
      <c r="C18" s="115" t="s">
        <v>960</v>
      </c>
      <c r="D18" s="115" t="s">
        <v>961</v>
      </c>
      <c r="E18" s="115" t="s">
        <v>962</v>
      </c>
      <c r="F18" s="115" t="s">
        <v>959</v>
      </c>
      <c r="G18" s="116" t="s">
        <v>951</v>
      </c>
      <c r="H18" s="117">
        <v>7541.19</v>
      </c>
      <c r="I18" s="117"/>
      <c r="J18" s="117">
        <v>0</v>
      </c>
      <c r="K18" s="117">
        <f t="shared" si="1"/>
        <v>7541.19</v>
      </c>
      <c r="L18" s="118"/>
      <c r="N18" s="70"/>
    </row>
    <row r="19" spans="1:14" x14ac:dyDescent="0.25">
      <c r="A19" s="113"/>
      <c r="B19" s="114"/>
      <c r="C19" s="115" t="s">
        <v>963</v>
      </c>
      <c r="D19" s="115" t="s">
        <v>953</v>
      </c>
      <c r="E19" s="115" t="s">
        <v>964</v>
      </c>
      <c r="F19" s="115" t="s">
        <v>959</v>
      </c>
      <c r="G19" s="116" t="s">
        <v>951</v>
      </c>
      <c r="H19" s="117">
        <v>8017.4892307692307</v>
      </c>
      <c r="I19" s="117"/>
      <c r="J19" s="117">
        <v>0</v>
      </c>
      <c r="K19" s="117">
        <f t="shared" si="1"/>
        <v>8017.4892307692307</v>
      </c>
      <c r="L19" s="118"/>
      <c r="N19" s="70"/>
    </row>
    <row r="20" spans="1:14" x14ac:dyDescent="0.25">
      <c r="A20" s="113"/>
      <c r="B20" s="114"/>
      <c r="C20" s="115" t="s">
        <v>965</v>
      </c>
      <c r="D20" s="115" t="s">
        <v>966</v>
      </c>
      <c r="E20" s="115" t="s">
        <v>967</v>
      </c>
      <c r="F20" s="115" t="s">
        <v>968</v>
      </c>
      <c r="G20" s="116" t="s">
        <v>951</v>
      </c>
      <c r="H20" s="117">
        <v>5437.7069230769212</v>
      </c>
      <c r="I20" s="117"/>
      <c r="J20" s="117">
        <v>0</v>
      </c>
      <c r="K20" s="117">
        <f t="shared" si="1"/>
        <v>5437.7069230769212</v>
      </c>
      <c r="L20" s="118"/>
      <c r="N20" s="70"/>
    </row>
    <row r="21" spans="1:14" x14ac:dyDescent="0.25">
      <c r="A21" s="113"/>
      <c r="B21" s="114"/>
      <c r="C21" s="115" t="s">
        <v>969</v>
      </c>
      <c r="D21" s="115" t="s">
        <v>970</v>
      </c>
      <c r="E21" s="115" t="s">
        <v>971</v>
      </c>
      <c r="F21" s="115" t="s">
        <v>968</v>
      </c>
      <c r="G21" s="116" t="s">
        <v>951</v>
      </c>
      <c r="H21" s="117">
        <v>4598.2199999999993</v>
      </c>
      <c r="I21" s="117"/>
      <c r="J21" s="117">
        <v>0</v>
      </c>
      <c r="K21" s="117">
        <f t="shared" si="1"/>
        <v>4598.2199999999993</v>
      </c>
      <c r="L21" s="118"/>
      <c r="N21" s="70"/>
    </row>
    <row r="22" spans="1:14" x14ac:dyDescent="0.25">
      <c r="A22" s="113"/>
      <c r="B22" s="114"/>
      <c r="C22" s="115" t="s">
        <v>972</v>
      </c>
      <c r="D22" s="115" t="s">
        <v>933</v>
      </c>
      <c r="E22" s="115" t="s">
        <v>973</v>
      </c>
      <c r="F22" s="115" t="s">
        <v>974</v>
      </c>
      <c r="G22" s="116" t="s">
        <v>951</v>
      </c>
      <c r="H22" s="117">
        <v>7492.1138461538503</v>
      </c>
      <c r="I22" s="117"/>
      <c r="J22" s="117">
        <v>0</v>
      </c>
      <c r="K22" s="117">
        <f t="shared" si="1"/>
        <v>7492.1138461538503</v>
      </c>
      <c r="L22" s="118" t="s">
        <v>975</v>
      </c>
      <c r="N22" s="70"/>
    </row>
    <row r="23" spans="1:14" x14ac:dyDescent="0.25">
      <c r="A23" s="113"/>
      <c r="B23" s="114"/>
      <c r="C23" s="115" t="s">
        <v>976</v>
      </c>
      <c r="D23" s="115" t="s">
        <v>977</v>
      </c>
      <c r="E23" s="115" t="s">
        <v>978</v>
      </c>
      <c r="F23" s="115" t="s">
        <v>974</v>
      </c>
      <c r="G23" s="116" t="s">
        <v>951</v>
      </c>
      <c r="H23" s="117">
        <v>8133.8</v>
      </c>
      <c r="I23" s="117"/>
      <c r="J23" s="117">
        <v>0</v>
      </c>
      <c r="K23" s="117">
        <f t="shared" si="1"/>
        <v>8133.8</v>
      </c>
      <c r="L23" s="118"/>
      <c r="N23" s="70"/>
    </row>
    <row r="24" spans="1:14" x14ac:dyDescent="0.25">
      <c r="A24" s="113"/>
      <c r="B24" s="114"/>
      <c r="C24" s="115" t="s">
        <v>979</v>
      </c>
      <c r="D24" s="115" t="s">
        <v>980</v>
      </c>
      <c r="E24" s="115" t="s">
        <v>981</v>
      </c>
      <c r="F24" s="115" t="s">
        <v>974</v>
      </c>
      <c r="G24" s="116" t="s">
        <v>951</v>
      </c>
      <c r="H24" s="117">
        <v>7272.3</v>
      </c>
      <c r="I24" s="117"/>
      <c r="J24" s="117">
        <v>320.02</v>
      </c>
      <c r="K24" s="117">
        <f t="shared" si="1"/>
        <v>6952.2800000000007</v>
      </c>
      <c r="L24" s="118"/>
      <c r="N24" s="70"/>
    </row>
    <row r="25" spans="1:14" x14ac:dyDescent="0.25">
      <c r="A25" s="113"/>
      <c r="B25" s="114"/>
      <c r="C25" s="115" t="s">
        <v>982</v>
      </c>
      <c r="D25" s="115" t="s">
        <v>983</v>
      </c>
      <c r="E25" s="115" t="s">
        <v>984</v>
      </c>
      <c r="F25" s="115" t="s">
        <v>974</v>
      </c>
      <c r="G25" s="116" t="s">
        <v>951</v>
      </c>
      <c r="H25" s="117">
        <v>3831.7599999999998</v>
      </c>
      <c r="I25" s="117"/>
      <c r="J25" s="117">
        <v>85.02</v>
      </c>
      <c r="K25" s="117">
        <f t="shared" si="1"/>
        <v>3746.74</v>
      </c>
      <c r="L25" s="118"/>
      <c r="N25" s="70"/>
    </row>
    <row r="26" spans="1:14" x14ac:dyDescent="0.25">
      <c r="A26" s="113"/>
      <c r="B26" s="114"/>
      <c r="C26" s="115" t="s">
        <v>985</v>
      </c>
      <c r="D26" s="115" t="s">
        <v>986</v>
      </c>
      <c r="E26" s="115" t="s">
        <v>987</v>
      </c>
      <c r="F26" s="115" t="s">
        <v>974</v>
      </c>
      <c r="G26" s="116" t="s">
        <v>951</v>
      </c>
      <c r="H26" s="117">
        <v>7219.0300000000007</v>
      </c>
      <c r="I26" s="117"/>
      <c r="J26" s="117">
        <v>693.72</v>
      </c>
      <c r="K26" s="117">
        <f t="shared" si="1"/>
        <v>6525.31</v>
      </c>
      <c r="L26" s="118"/>
      <c r="N26" s="70"/>
    </row>
    <row r="27" spans="1:14" x14ac:dyDescent="0.25">
      <c r="A27" s="119">
        <v>45790</v>
      </c>
      <c r="B27" s="120"/>
      <c r="C27" s="121" t="s">
        <v>988</v>
      </c>
      <c r="D27" s="121" t="s">
        <v>989</v>
      </c>
      <c r="E27" s="121" t="s">
        <v>990</v>
      </c>
      <c r="F27" s="121" t="s">
        <v>974</v>
      </c>
      <c r="G27" s="122" t="s">
        <v>951</v>
      </c>
      <c r="H27" s="123">
        <v>1891.2900000000002</v>
      </c>
      <c r="I27" s="123"/>
      <c r="J27" s="123">
        <v>0</v>
      </c>
      <c r="K27" s="123">
        <f t="shared" si="1"/>
        <v>1891.2900000000002</v>
      </c>
      <c r="L27" s="124" t="s">
        <v>991</v>
      </c>
      <c r="N27" s="70"/>
    </row>
    <row r="28" spans="1:14" x14ac:dyDescent="0.25">
      <c r="A28" s="113"/>
      <c r="B28" s="114"/>
      <c r="C28" s="115" t="s">
        <v>992</v>
      </c>
      <c r="D28" s="115" t="s">
        <v>993</v>
      </c>
      <c r="E28" s="115" t="s">
        <v>994</v>
      </c>
      <c r="F28" s="115" t="s">
        <v>941</v>
      </c>
      <c r="G28" s="116" t="s">
        <v>951</v>
      </c>
      <c r="H28" s="117">
        <v>4292.54</v>
      </c>
      <c r="I28" s="117"/>
      <c r="J28" s="117">
        <v>187.93</v>
      </c>
      <c r="K28" s="117">
        <f t="shared" si="1"/>
        <v>4104.6099999999997</v>
      </c>
      <c r="L28" s="118"/>
      <c r="N28" s="70"/>
    </row>
    <row r="29" spans="1:14" x14ac:dyDescent="0.25">
      <c r="A29" s="113"/>
      <c r="B29" s="114"/>
      <c r="C29" s="115" t="s">
        <v>995</v>
      </c>
      <c r="D29" s="115" t="s">
        <v>996</v>
      </c>
      <c r="E29" s="115" t="s">
        <v>997</v>
      </c>
      <c r="F29" s="115" t="s">
        <v>941</v>
      </c>
      <c r="G29" s="116" t="s">
        <v>951</v>
      </c>
      <c r="H29" s="117">
        <v>6041.9800000000005</v>
      </c>
      <c r="I29" s="117"/>
      <c r="J29" s="117">
        <v>334.95000000000005</v>
      </c>
      <c r="K29" s="117">
        <f t="shared" si="1"/>
        <v>5707.0300000000007</v>
      </c>
      <c r="L29" s="118"/>
      <c r="N29" s="70"/>
    </row>
    <row r="30" spans="1:14" x14ac:dyDescent="0.25">
      <c r="A30" s="113"/>
      <c r="B30" s="114"/>
      <c r="C30" s="115" t="s">
        <v>998</v>
      </c>
      <c r="D30" s="115" t="s">
        <v>999</v>
      </c>
      <c r="E30" s="115" t="s">
        <v>1000</v>
      </c>
      <c r="F30" s="115" t="s">
        <v>941</v>
      </c>
      <c r="G30" s="116" t="s">
        <v>951</v>
      </c>
      <c r="H30" s="117">
        <v>5124.21</v>
      </c>
      <c r="I30" s="117"/>
      <c r="J30" s="117">
        <v>296.14999999999998</v>
      </c>
      <c r="K30" s="117">
        <f t="shared" si="1"/>
        <v>4828.0600000000004</v>
      </c>
      <c r="L30" s="118"/>
      <c r="N30" s="70"/>
    </row>
    <row r="31" spans="1:14" x14ac:dyDescent="0.25">
      <c r="A31" s="113"/>
      <c r="B31" s="114"/>
      <c r="C31" s="115" t="s">
        <v>1001</v>
      </c>
      <c r="D31" s="115" t="s">
        <v>1002</v>
      </c>
      <c r="E31" s="115" t="s">
        <v>1003</v>
      </c>
      <c r="F31" s="115" t="s">
        <v>941</v>
      </c>
      <c r="G31" s="116" t="s">
        <v>951</v>
      </c>
      <c r="H31" s="117">
        <v>7787.3300000000008</v>
      </c>
      <c r="I31" s="117"/>
      <c r="J31" s="117">
        <v>217.47</v>
      </c>
      <c r="K31" s="117">
        <f t="shared" si="1"/>
        <v>7569.8600000000006</v>
      </c>
      <c r="L31" s="118"/>
      <c r="N31" s="70"/>
    </row>
    <row r="32" spans="1:14" x14ac:dyDescent="0.25">
      <c r="A32" s="113"/>
      <c r="B32" s="114"/>
      <c r="C32" s="115" t="s">
        <v>1001</v>
      </c>
      <c r="D32" s="115" t="s">
        <v>1004</v>
      </c>
      <c r="E32" s="115" t="s">
        <v>1005</v>
      </c>
      <c r="F32" s="115" t="s">
        <v>941</v>
      </c>
      <c r="G32" s="116" t="s">
        <v>951</v>
      </c>
      <c r="H32" s="117">
        <v>4469.3100000000004</v>
      </c>
      <c r="I32" s="117"/>
      <c r="J32" s="117">
        <v>121.01</v>
      </c>
      <c r="K32" s="117">
        <f t="shared" si="1"/>
        <v>4348.3</v>
      </c>
      <c r="L32" s="118"/>
      <c r="N32" s="70"/>
    </row>
    <row r="33" spans="1:14" x14ac:dyDescent="0.25">
      <c r="A33" s="113"/>
      <c r="B33" s="114"/>
      <c r="C33" s="115" t="s">
        <v>1006</v>
      </c>
      <c r="D33" s="115" t="s">
        <v>1007</v>
      </c>
      <c r="E33" s="115" t="s">
        <v>1008</v>
      </c>
      <c r="F33" s="115" t="s">
        <v>941</v>
      </c>
      <c r="G33" s="116" t="s">
        <v>951</v>
      </c>
      <c r="H33" s="117">
        <v>5034.1499999999996</v>
      </c>
      <c r="I33" s="117"/>
      <c r="J33" s="117">
        <v>289.54000000000002</v>
      </c>
      <c r="K33" s="117">
        <f t="shared" si="1"/>
        <v>4744.6099999999997</v>
      </c>
      <c r="L33" s="118"/>
      <c r="N33" s="70"/>
    </row>
    <row r="34" spans="1:14" x14ac:dyDescent="0.25">
      <c r="A34" s="113"/>
      <c r="B34" s="114"/>
      <c r="C34" s="115" t="s">
        <v>1009</v>
      </c>
      <c r="D34" s="115" t="s">
        <v>1010</v>
      </c>
      <c r="E34" s="115" t="s">
        <v>1011</v>
      </c>
      <c r="F34" s="115" t="s">
        <v>941</v>
      </c>
      <c r="G34" s="116" t="s">
        <v>951</v>
      </c>
      <c r="H34" s="117">
        <v>7453.01</v>
      </c>
      <c r="I34" s="117"/>
      <c r="J34" s="117">
        <v>1411.6599999999999</v>
      </c>
      <c r="K34" s="117">
        <f t="shared" si="1"/>
        <v>6041.35</v>
      </c>
      <c r="L34" s="118"/>
      <c r="N34" s="70"/>
    </row>
    <row r="35" spans="1:14" x14ac:dyDescent="0.25">
      <c r="A35" s="113"/>
      <c r="B35" s="114"/>
      <c r="C35" s="115" t="s">
        <v>1012</v>
      </c>
      <c r="D35" s="115" t="s">
        <v>953</v>
      </c>
      <c r="E35" s="115" t="s">
        <v>1013</v>
      </c>
      <c r="F35" s="115" t="s">
        <v>941</v>
      </c>
      <c r="G35" s="116" t="s">
        <v>951</v>
      </c>
      <c r="H35" s="117">
        <v>6396.6100000000006</v>
      </c>
      <c r="I35" s="117"/>
      <c r="J35" s="117">
        <v>303.82000000000005</v>
      </c>
      <c r="K35" s="117">
        <f t="shared" si="1"/>
        <v>6092.7900000000009</v>
      </c>
      <c r="L35" s="118"/>
      <c r="N35" s="70"/>
    </row>
    <row r="36" spans="1:14" x14ac:dyDescent="0.25">
      <c r="A36" s="113"/>
      <c r="B36" s="114"/>
      <c r="C36" s="115" t="s">
        <v>1014</v>
      </c>
      <c r="D36" s="115" t="s">
        <v>1015</v>
      </c>
      <c r="E36" s="115" t="s">
        <v>1016</v>
      </c>
      <c r="F36" s="115" t="s">
        <v>941</v>
      </c>
      <c r="G36" s="116" t="s">
        <v>951</v>
      </c>
      <c r="H36" s="117">
        <v>7114.84</v>
      </c>
      <c r="I36" s="117"/>
      <c r="J36" s="117">
        <v>794.3</v>
      </c>
      <c r="K36" s="117">
        <f t="shared" si="1"/>
        <v>6320.54</v>
      </c>
      <c r="L36" s="118"/>
      <c r="N36" s="70"/>
    </row>
    <row r="37" spans="1:14" x14ac:dyDescent="0.25">
      <c r="A37" s="113"/>
      <c r="B37" s="114"/>
      <c r="C37" s="115" t="s">
        <v>1017</v>
      </c>
      <c r="D37" s="115" t="s">
        <v>1018</v>
      </c>
      <c r="E37" s="115" t="s">
        <v>1019</v>
      </c>
      <c r="F37" s="115" t="s">
        <v>941</v>
      </c>
      <c r="G37" s="116" t="s">
        <v>951</v>
      </c>
      <c r="H37" s="117">
        <v>5545.94</v>
      </c>
      <c r="I37" s="117"/>
      <c r="J37" s="117">
        <v>607.5</v>
      </c>
      <c r="K37" s="117">
        <f t="shared" si="1"/>
        <v>4938.4399999999996</v>
      </c>
      <c r="L37" s="118"/>
      <c r="N37" s="70"/>
    </row>
    <row r="38" spans="1:14" x14ac:dyDescent="0.25">
      <c r="A38" s="113"/>
      <c r="B38" s="114"/>
      <c r="C38" s="115" t="s">
        <v>1020</v>
      </c>
      <c r="D38" s="115" t="s">
        <v>1018</v>
      </c>
      <c r="E38" s="115" t="s">
        <v>1021</v>
      </c>
      <c r="F38" s="115" t="s">
        <v>941</v>
      </c>
      <c r="G38" s="116" t="s">
        <v>951</v>
      </c>
      <c r="H38" s="117">
        <v>11179.39923076923</v>
      </c>
      <c r="I38" s="117"/>
      <c r="J38" s="117">
        <v>0</v>
      </c>
      <c r="K38" s="117">
        <f t="shared" si="1"/>
        <v>11179.39923076923</v>
      </c>
      <c r="L38" s="118"/>
      <c r="N38" s="70"/>
    </row>
    <row r="39" spans="1:14" x14ac:dyDescent="0.25">
      <c r="A39" s="113"/>
      <c r="B39" s="114"/>
      <c r="C39" s="115" t="s">
        <v>1022</v>
      </c>
      <c r="D39" s="115" t="s">
        <v>1023</v>
      </c>
      <c r="E39" s="115" t="s">
        <v>1024</v>
      </c>
      <c r="F39" s="115" t="s">
        <v>941</v>
      </c>
      <c r="G39" s="116" t="s">
        <v>951</v>
      </c>
      <c r="H39" s="117">
        <v>6228.5999999999995</v>
      </c>
      <c r="I39" s="117"/>
      <c r="J39" s="117">
        <v>804.62</v>
      </c>
      <c r="K39" s="117">
        <f t="shared" si="1"/>
        <v>5423.98</v>
      </c>
      <c r="L39" s="118"/>
      <c r="N39" s="70"/>
    </row>
    <row r="40" spans="1:14" x14ac:dyDescent="0.25">
      <c r="A40" s="113"/>
      <c r="B40" s="114"/>
      <c r="C40" s="115" t="s">
        <v>1025</v>
      </c>
      <c r="D40" s="115" t="s">
        <v>1015</v>
      </c>
      <c r="E40" s="115" t="s">
        <v>1026</v>
      </c>
      <c r="F40" s="115" t="s">
        <v>941</v>
      </c>
      <c r="G40" s="116" t="s">
        <v>951</v>
      </c>
      <c r="H40" s="117">
        <v>1309.8399999999997</v>
      </c>
      <c r="I40" s="117"/>
      <c r="J40" s="117">
        <v>173.97</v>
      </c>
      <c r="K40" s="117">
        <f t="shared" si="1"/>
        <v>1135.8699999999997</v>
      </c>
      <c r="L40" s="118" t="s">
        <v>1027</v>
      </c>
      <c r="N40" s="70"/>
    </row>
    <row r="41" spans="1:14" x14ac:dyDescent="0.25">
      <c r="A41" s="119">
        <v>45798</v>
      </c>
      <c r="B41" s="120"/>
      <c r="C41" s="121" t="s">
        <v>1028</v>
      </c>
      <c r="D41" s="121" t="s">
        <v>1029</v>
      </c>
      <c r="E41" s="121" t="s">
        <v>1030</v>
      </c>
      <c r="F41" s="121" t="s">
        <v>941</v>
      </c>
      <c r="G41" s="122" t="s">
        <v>951</v>
      </c>
      <c r="H41" s="123">
        <v>5281.079999999999</v>
      </c>
      <c r="I41" s="123">
        <v>1196.1600000000001</v>
      </c>
      <c r="J41" s="123">
        <v>102.23</v>
      </c>
      <c r="K41" s="123">
        <f t="shared" si="1"/>
        <v>3982.6899999999991</v>
      </c>
      <c r="L41" s="124" t="s">
        <v>1031</v>
      </c>
      <c r="N41" s="70"/>
    </row>
    <row r="42" spans="1:14" x14ac:dyDescent="0.25">
      <c r="A42" s="113"/>
      <c r="B42" s="114"/>
      <c r="C42" s="115" t="s">
        <v>1032</v>
      </c>
      <c r="D42" s="115" t="s">
        <v>1033</v>
      </c>
      <c r="E42" s="115" t="s">
        <v>1034</v>
      </c>
      <c r="F42" s="115" t="s">
        <v>941</v>
      </c>
      <c r="G42" s="116" t="s">
        <v>951</v>
      </c>
      <c r="H42" s="117">
        <v>8534.02</v>
      </c>
      <c r="I42" s="117"/>
      <c r="J42" s="117">
        <v>773.09</v>
      </c>
      <c r="K42" s="117">
        <f t="shared" si="1"/>
        <v>7760.93</v>
      </c>
      <c r="L42" s="118"/>
      <c r="N42" s="70"/>
    </row>
    <row r="43" spans="1:14" x14ac:dyDescent="0.25">
      <c r="A43" s="113"/>
      <c r="B43" s="114"/>
      <c r="C43" s="115" t="s">
        <v>1035</v>
      </c>
      <c r="D43" s="115" t="s">
        <v>1036</v>
      </c>
      <c r="E43" s="115" t="s">
        <v>1037</v>
      </c>
      <c r="F43" s="115" t="s">
        <v>941</v>
      </c>
      <c r="G43" s="116" t="s">
        <v>951</v>
      </c>
      <c r="H43" s="117">
        <v>5015.1399999999994</v>
      </c>
      <c r="I43" s="117"/>
      <c r="J43" s="117">
        <v>36.909999999999997</v>
      </c>
      <c r="K43" s="117">
        <f t="shared" si="1"/>
        <v>4978.2299999999996</v>
      </c>
      <c r="L43" s="118"/>
      <c r="N43" s="70"/>
    </row>
    <row r="44" spans="1:14" x14ac:dyDescent="0.25">
      <c r="A44" s="113"/>
      <c r="B44" s="114"/>
      <c r="C44" s="115" t="s">
        <v>1038</v>
      </c>
      <c r="D44" s="115" t="s">
        <v>1039</v>
      </c>
      <c r="E44" s="115" t="s">
        <v>1040</v>
      </c>
      <c r="F44" s="115" t="s">
        <v>1041</v>
      </c>
      <c r="G44" s="116" t="s">
        <v>951</v>
      </c>
      <c r="H44" s="117">
        <v>7226.1630769230806</v>
      </c>
      <c r="I44" s="117"/>
      <c r="J44" s="117">
        <v>0</v>
      </c>
      <c r="K44" s="117">
        <f t="shared" si="1"/>
        <v>7226.1630769230806</v>
      </c>
      <c r="L44" s="118" t="s">
        <v>1042</v>
      </c>
      <c r="N44" s="70"/>
    </row>
    <row r="45" spans="1:14" x14ac:dyDescent="0.25">
      <c r="A45" s="125">
        <v>45769</v>
      </c>
      <c r="B45" s="83"/>
      <c r="C45" s="83" t="s">
        <v>1043</v>
      </c>
      <c r="D45" s="83" t="s">
        <v>1044</v>
      </c>
      <c r="E45" s="83" t="s">
        <v>1045</v>
      </c>
      <c r="F45" s="83" t="s">
        <v>941</v>
      </c>
      <c r="G45" s="83" t="s">
        <v>951</v>
      </c>
      <c r="H45" s="123"/>
      <c r="I45" s="117"/>
      <c r="J45" s="123"/>
      <c r="K45" s="123"/>
      <c r="L45" s="124"/>
      <c r="N45" s="70"/>
    </row>
    <row r="46" spans="1:14" x14ac:dyDescent="0.25">
      <c r="A46" s="113"/>
      <c r="B46" s="114"/>
      <c r="C46" s="115" t="s">
        <v>1046</v>
      </c>
      <c r="D46" s="115" t="s">
        <v>1047</v>
      </c>
      <c r="E46" s="115" t="s">
        <v>1048</v>
      </c>
      <c r="F46" s="115" t="s">
        <v>1041</v>
      </c>
      <c r="G46" s="116" t="s">
        <v>951</v>
      </c>
      <c r="H46" s="117">
        <v>9919.5399999999991</v>
      </c>
      <c r="I46" s="117"/>
      <c r="J46" s="117">
        <v>2421.71</v>
      </c>
      <c r="K46" s="117">
        <f t="shared" si="1"/>
        <v>7497.829999999999</v>
      </c>
      <c r="L46" s="118"/>
      <c r="N46" s="70"/>
    </row>
    <row r="47" spans="1:14" x14ac:dyDescent="0.25">
      <c r="A47" s="106"/>
      <c r="B47" s="107"/>
      <c r="C47" s="108"/>
      <c r="D47" s="108"/>
      <c r="E47" s="108"/>
      <c r="F47" s="108"/>
      <c r="G47" s="110" t="s">
        <v>1049</v>
      </c>
      <c r="H47" s="111">
        <v>204720.32692307688</v>
      </c>
      <c r="I47" s="111">
        <f>SUMIFS(I8:I73,G8:G73,"2-Direct Labor")</f>
        <v>1196.1600000000001</v>
      </c>
      <c r="J47" s="111"/>
      <c r="K47" s="111">
        <f>SUMIFS(K8:K75,G8:G75,"2-Direct Labor")</f>
        <v>193548.54692307694</v>
      </c>
      <c r="L47" s="112"/>
      <c r="N47" s="70"/>
    </row>
    <row r="48" spans="1:14" x14ac:dyDescent="0.25">
      <c r="A48" s="126"/>
      <c r="B48" s="127"/>
      <c r="C48" s="128" t="s">
        <v>1050</v>
      </c>
      <c r="D48" s="128" t="s">
        <v>1051</v>
      </c>
      <c r="E48" s="128" t="s">
        <v>1052</v>
      </c>
      <c r="F48" s="128" t="s">
        <v>1053</v>
      </c>
      <c r="G48" s="129" t="s">
        <v>1054</v>
      </c>
      <c r="H48" s="130">
        <v>1928.39</v>
      </c>
      <c r="I48" s="130"/>
      <c r="J48" s="130"/>
      <c r="K48" s="130">
        <f t="shared" ref="K48:K61" si="2">+H48-I48-J48</f>
        <v>1928.39</v>
      </c>
      <c r="L48" s="131"/>
      <c r="N48" s="70"/>
    </row>
    <row r="49" spans="1:14" x14ac:dyDescent="0.25">
      <c r="A49" s="126"/>
      <c r="B49" s="127"/>
      <c r="C49" s="128" t="s">
        <v>1055</v>
      </c>
      <c r="D49" s="128" t="s">
        <v>1056</v>
      </c>
      <c r="E49" s="128" t="s">
        <v>1057</v>
      </c>
      <c r="F49" s="128" t="s">
        <v>1053</v>
      </c>
      <c r="G49" s="129" t="s">
        <v>1054</v>
      </c>
      <c r="H49" s="130">
        <v>2176.16</v>
      </c>
      <c r="I49" s="130"/>
      <c r="J49" s="130"/>
      <c r="K49" s="130">
        <f t="shared" si="2"/>
        <v>2176.16</v>
      </c>
      <c r="L49" s="131"/>
      <c r="N49" s="70"/>
    </row>
    <row r="50" spans="1:14" x14ac:dyDescent="0.25">
      <c r="A50" s="126"/>
      <c r="B50" s="127"/>
      <c r="C50" s="128" t="s">
        <v>1058</v>
      </c>
      <c r="D50" s="128" t="s">
        <v>1059</v>
      </c>
      <c r="E50" s="128" t="s">
        <v>1060</v>
      </c>
      <c r="F50" s="128" t="s">
        <v>1053</v>
      </c>
      <c r="G50" s="129" t="s">
        <v>1054</v>
      </c>
      <c r="H50" s="130">
        <v>2301.6799999999998</v>
      </c>
      <c r="I50" s="130"/>
      <c r="J50" s="130"/>
      <c r="K50" s="130">
        <f t="shared" si="2"/>
        <v>2301.6799999999998</v>
      </c>
      <c r="L50" s="131"/>
      <c r="N50" s="70"/>
    </row>
    <row r="51" spans="1:14" x14ac:dyDescent="0.25">
      <c r="A51" s="126"/>
      <c r="B51" s="127"/>
      <c r="C51" s="128" t="s">
        <v>1061</v>
      </c>
      <c r="D51" s="128" t="s">
        <v>1062</v>
      </c>
      <c r="E51" s="128" t="s">
        <v>1063</v>
      </c>
      <c r="F51" s="128" t="s">
        <v>1053</v>
      </c>
      <c r="G51" s="129" t="s">
        <v>1054</v>
      </c>
      <c r="H51" s="130">
        <v>1977.17</v>
      </c>
      <c r="I51" s="130"/>
      <c r="J51" s="130"/>
      <c r="K51" s="130">
        <f t="shared" si="2"/>
        <v>1977.17</v>
      </c>
      <c r="L51" s="131"/>
      <c r="N51" s="70"/>
    </row>
    <row r="52" spans="1:14" x14ac:dyDescent="0.25">
      <c r="A52" s="126"/>
      <c r="B52" s="127"/>
      <c r="C52" s="128" t="s">
        <v>1064</v>
      </c>
      <c r="D52" s="128" t="s">
        <v>1065</v>
      </c>
      <c r="E52" s="128" t="s">
        <v>1066</v>
      </c>
      <c r="F52" s="128" t="s">
        <v>1067</v>
      </c>
      <c r="G52" s="129" t="s">
        <v>1054</v>
      </c>
      <c r="H52" s="130">
        <v>10775.58692307692</v>
      </c>
      <c r="I52" s="130"/>
      <c r="J52" s="130"/>
      <c r="K52" s="130">
        <f t="shared" si="2"/>
        <v>10775.58692307692</v>
      </c>
      <c r="L52" s="131"/>
      <c r="N52" s="70"/>
    </row>
    <row r="53" spans="1:14" x14ac:dyDescent="0.25">
      <c r="A53" s="132"/>
      <c r="B53" s="133"/>
      <c r="C53" s="134" t="s">
        <v>1068</v>
      </c>
      <c r="D53" s="134" t="s">
        <v>1069</v>
      </c>
      <c r="E53" s="134" t="s">
        <v>1070</v>
      </c>
      <c r="F53" s="134" t="s">
        <v>1067</v>
      </c>
      <c r="G53" s="135" t="s">
        <v>1054</v>
      </c>
      <c r="H53" s="130">
        <v>14902.243076923081</v>
      </c>
      <c r="I53" s="130"/>
      <c r="J53" s="130"/>
      <c r="K53" s="130">
        <f t="shared" si="2"/>
        <v>14902.243076923081</v>
      </c>
      <c r="L53" s="131" t="s">
        <v>1071</v>
      </c>
      <c r="N53" s="70"/>
    </row>
    <row r="54" spans="1:14" x14ac:dyDescent="0.25">
      <c r="A54" s="126"/>
      <c r="B54" s="127"/>
      <c r="C54" s="128" t="s">
        <v>1072</v>
      </c>
      <c r="D54" s="128" t="s">
        <v>1073</v>
      </c>
      <c r="E54" s="128" t="s">
        <v>1074</v>
      </c>
      <c r="F54" s="128" t="s">
        <v>1067</v>
      </c>
      <c r="G54" s="129" t="s">
        <v>1054</v>
      </c>
      <c r="H54" s="130">
        <v>8913.6961538461474</v>
      </c>
      <c r="I54" s="130"/>
      <c r="J54" s="130"/>
      <c r="K54" s="130">
        <f t="shared" si="2"/>
        <v>8913.6961538461474</v>
      </c>
      <c r="L54" s="131" t="s">
        <v>1071</v>
      </c>
      <c r="N54" s="70"/>
    </row>
    <row r="55" spans="1:14" x14ac:dyDescent="0.25">
      <c r="A55" s="126"/>
      <c r="B55" s="127"/>
      <c r="C55" s="128" t="s">
        <v>1075</v>
      </c>
      <c r="D55" s="128" t="s">
        <v>933</v>
      </c>
      <c r="E55" s="128" t="s">
        <v>1076</v>
      </c>
      <c r="F55" s="128" t="s">
        <v>1067</v>
      </c>
      <c r="G55" s="129" t="s">
        <v>1054</v>
      </c>
      <c r="H55" s="130">
        <v>8123.8838461538489</v>
      </c>
      <c r="I55" s="130"/>
      <c r="J55" s="130"/>
      <c r="K55" s="130">
        <f t="shared" si="2"/>
        <v>8123.8838461538489</v>
      </c>
      <c r="L55" s="131" t="s">
        <v>1077</v>
      </c>
      <c r="N55" s="70"/>
    </row>
    <row r="56" spans="1:14" x14ac:dyDescent="0.25">
      <c r="A56" s="126"/>
      <c r="B56" s="127"/>
      <c r="C56" s="128" t="s">
        <v>1078</v>
      </c>
      <c r="D56" s="128" t="s">
        <v>1065</v>
      </c>
      <c r="E56" s="128" t="s">
        <v>1079</v>
      </c>
      <c r="F56" s="128" t="s">
        <v>1080</v>
      </c>
      <c r="G56" s="129" t="s">
        <v>1054</v>
      </c>
      <c r="H56" s="130">
        <v>9060.4330769230801</v>
      </c>
      <c r="I56" s="130"/>
      <c r="J56" s="130"/>
      <c r="K56" s="130">
        <f t="shared" si="2"/>
        <v>9060.4330769230801</v>
      </c>
      <c r="L56" s="131"/>
      <c r="N56" s="70"/>
    </row>
    <row r="57" spans="1:14" x14ac:dyDescent="0.25">
      <c r="A57" s="132"/>
      <c r="B57" s="133"/>
      <c r="C57" s="134" t="s">
        <v>1020</v>
      </c>
      <c r="D57" s="134" t="s">
        <v>1081</v>
      </c>
      <c r="E57" s="134" t="s">
        <v>1082</v>
      </c>
      <c r="F57" s="134" t="s">
        <v>1080</v>
      </c>
      <c r="G57" s="134" t="s">
        <v>1054</v>
      </c>
      <c r="H57" s="130">
        <v>17969.692307692312</v>
      </c>
      <c r="I57" s="130"/>
      <c r="J57" s="130"/>
      <c r="K57" s="130">
        <f t="shared" si="2"/>
        <v>17969.692307692312</v>
      </c>
      <c r="L57" s="131"/>
      <c r="N57" s="70"/>
    </row>
    <row r="58" spans="1:14" x14ac:dyDescent="0.25">
      <c r="A58" s="132"/>
      <c r="B58" s="133"/>
      <c r="C58" s="134" t="s">
        <v>1083</v>
      </c>
      <c r="D58" s="134" t="s">
        <v>1084</v>
      </c>
      <c r="E58" s="134" t="s">
        <v>1085</v>
      </c>
      <c r="F58" s="134" t="s">
        <v>1086</v>
      </c>
      <c r="G58" s="135" t="s">
        <v>1054</v>
      </c>
      <c r="H58" s="130">
        <v>9508.3300000000017</v>
      </c>
      <c r="I58" s="130"/>
      <c r="J58" s="130"/>
      <c r="K58" s="130">
        <f t="shared" si="2"/>
        <v>9508.3300000000017</v>
      </c>
      <c r="L58" s="131" t="s">
        <v>1077</v>
      </c>
      <c r="N58" s="70"/>
    </row>
    <row r="59" spans="1:14" x14ac:dyDescent="0.25">
      <c r="A59" s="126"/>
      <c r="B59" s="127"/>
      <c r="C59" s="128" t="s">
        <v>1087</v>
      </c>
      <c r="D59" s="128" t="s">
        <v>1065</v>
      </c>
      <c r="E59" s="128" t="s">
        <v>1088</v>
      </c>
      <c r="F59" s="128" t="s">
        <v>1089</v>
      </c>
      <c r="G59" s="129" t="s">
        <v>1054</v>
      </c>
      <c r="H59" s="130">
        <v>26327.010769230768</v>
      </c>
      <c r="I59" s="130"/>
      <c r="J59" s="130"/>
      <c r="K59" s="130">
        <f t="shared" si="2"/>
        <v>26327.010769230768</v>
      </c>
      <c r="L59" s="131" t="s">
        <v>1077</v>
      </c>
      <c r="N59" s="70"/>
    </row>
    <row r="60" spans="1:14" x14ac:dyDescent="0.25">
      <c r="A60" s="126"/>
      <c r="B60" s="127"/>
      <c r="C60" s="128" t="s">
        <v>1090</v>
      </c>
      <c r="D60" s="128" t="s">
        <v>1091</v>
      </c>
      <c r="E60" s="128" t="s">
        <v>1092</v>
      </c>
      <c r="F60" s="128" t="s">
        <v>1089</v>
      </c>
      <c r="G60" s="129" t="s">
        <v>1054</v>
      </c>
      <c r="H60" s="130">
        <v>11963.698461538459</v>
      </c>
      <c r="I60" s="130"/>
      <c r="J60" s="130"/>
      <c r="K60" s="130">
        <f t="shared" si="2"/>
        <v>11963.698461538459</v>
      </c>
      <c r="L60" s="131" t="s">
        <v>1077</v>
      </c>
      <c r="N60" s="70"/>
    </row>
    <row r="61" spans="1:14" x14ac:dyDescent="0.25">
      <c r="A61" s="132"/>
      <c r="B61" s="133"/>
      <c r="C61" s="134" t="s">
        <v>1093</v>
      </c>
      <c r="D61" s="134" t="s">
        <v>957</v>
      </c>
      <c r="E61" s="134" t="s">
        <v>1094</v>
      </c>
      <c r="F61" s="134" t="s">
        <v>1089</v>
      </c>
      <c r="G61" s="135" t="s">
        <v>1054</v>
      </c>
      <c r="H61" s="130">
        <v>10581.83384615385</v>
      </c>
      <c r="I61" s="130"/>
      <c r="J61" s="130"/>
      <c r="K61" s="130">
        <f t="shared" si="2"/>
        <v>10581.83384615385</v>
      </c>
      <c r="L61" s="131" t="s">
        <v>1095</v>
      </c>
      <c r="N61" s="70"/>
    </row>
    <row r="62" spans="1:14" x14ac:dyDescent="0.25">
      <c r="A62" s="107"/>
      <c r="B62" s="107"/>
      <c r="C62" s="107"/>
      <c r="D62" s="107"/>
      <c r="E62" s="107"/>
      <c r="F62" s="107"/>
      <c r="G62" s="136" t="s">
        <v>1096</v>
      </c>
      <c r="H62" s="111">
        <v>136462.74846153846</v>
      </c>
      <c r="I62" s="111">
        <f>SUMIFS(I8:I73,G8:G73,"3-Sales Labor Costs")</f>
        <v>0</v>
      </c>
      <c r="J62" s="111"/>
      <c r="K62" s="111">
        <f>SUMIFS(K8:K75,G8:G75,"3-Sales Labor Costs")</f>
        <v>136509.80846153846</v>
      </c>
      <c r="L62" s="112"/>
    </row>
    <row r="63" spans="1:14" x14ac:dyDescent="0.25">
      <c r="A63" s="138"/>
      <c r="B63" s="139"/>
      <c r="C63" s="140" t="s">
        <v>1097</v>
      </c>
      <c r="D63" s="140" t="s">
        <v>1098</v>
      </c>
      <c r="E63" s="140" t="s">
        <v>1099</v>
      </c>
      <c r="F63" s="140" t="s">
        <v>1100</v>
      </c>
      <c r="G63" s="141" t="s">
        <v>1101</v>
      </c>
      <c r="H63" s="142">
        <v>9336.0253846153846</v>
      </c>
      <c r="I63" s="142"/>
      <c r="J63" s="142"/>
      <c r="K63" s="142">
        <f>+H63-I63-J63</f>
        <v>9336.0253846153846</v>
      </c>
      <c r="L63" s="143"/>
      <c r="N63" s="70"/>
    </row>
    <row r="64" spans="1:14" x14ac:dyDescent="0.25">
      <c r="A64" s="144"/>
      <c r="B64" s="145"/>
      <c r="C64" s="140" t="s">
        <v>1102</v>
      </c>
      <c r="D64" s="140" t="s">
        <v>1103</v>
      </c>
      <c r="E64" s="140" t="s">
        <v>1104</v>
      </c>
      <c r="F64" s="140" t="s">
        <v>1100</v>
      </c>
      <c r="G64" s="140" t="s">
        <v>1101</v>
      </c>
      <c r="H64" s="142">
        <v>11823.072307692308</v>
      </c>
      <c r="I64" s="142"/>
      <c r="J64" s="142"/>
      <c r="K64" s="142">
        <f>+H64-I64-J64</f>
        <v>11823.072307692308</v>
      </c>
      <c r="L64" s="143"/>
      <c r="N64" s="70"/>
    </row>
    <row r="65" spans="1:15" x14ac:dyDescent="0.25">
      <c r="A65" s="138"/>
      <c r="B65" s="139"/>
      <c r="C65" s="140" t="s">
        <v>1105</v>
      </c>
      <c r="D65" s="140" t="s">
        <v>1106</v>
      </c>
      <c r="E65" s="140" t="s">
        <v>1107</v>
      </c>
      <c r="F65" s="140" t="s">
        <v>1108</v>
      </c>
      <c r="G65" s="141" t="s">
        <v>1101</v>
      </c>
      <c r="H65" s="142">
        <v>7794.6407692307685</v>
      </c>
      <c r="I65" s="142"/>
      <c r="J65" s="142"/>
      <c r="K65" s="142">
        <f>+H65-I65-J65</f>
        <v>7794.6407692307685</v>
      </c>
      <c r="L65" s="143"/>
      <c r="N65" s="70"/>
    </row>
    <row r="66" spans="1:15" x14ac:dyDescent="0.25">
      <c r="A66" s="144"/>
      <c r="B66" s="145"/>
      <c r="C66" s="146" t="s">
        <v>1109</v>
      </c>
      <c r="D66" s="146" t="s">
        <v>1110</v>
      </c>
      <c r="E66" s="146" t="s">
        <v>1111</v>
      </c>
      <c r="F66" s="146" t="s">
        <v>1112</v>
      </c>
      <c r="G66" s="147" t="s">
        <v>1101</v>
      </c>
      <c r="H66" s="142">
        <v>8849.7430769230778</v>
      </c>
      <c r="I66" s="142"/>
      <c r="J66" s="142"/>
      <c r="K66" s="142">
        <f>+H66-I66-J66</f>
        <v>8849.7430769230778</v>
      </c>
      <c r="L66" s="143"/>
      <c r="N66" s="70"/>
    </row>
    <row r="67" spans="1:15" x14ac:dyDescent="0.25">
      <c r="A67" s="138"/>
      <c r="B67" s="139"/>
      <c r="C67" s="140" t="s">
        <v>1113</v>
      </c>
      <c r="D67" s="140" t="s">
        <v>1114</v>
      </c>
      <c r="E67" s="140" t="s">
        <v>1115</v>
      </c>
      <c r="F67" s="140" t="s">
        <v>1112</v>
      </c>
      <c r="G67" s="141" t="s">
        <v>1101</v>
      </c>
      <c r="H67" s="142">
        <v>11922.144615384615</v>
      </c>
      <c r="I67" s="142"/>
      <c r="J67" s="142"/>
      <c r="K67" s="142">
        <f>+H67-I67-J67</f>
        <v>11922.144615384615</v>
      </c>
      <c r="L67" s="143"/>
      <c r="N67" s="70"/>
    </row>
    <row r="68" spans="1:15" x14ac:dyDescent="0.25">
      <c r="A68" s="138"/>
      <c r="B68" s="139"/>
      <c r="C68" s="146" t="s">
        <v>1116</v>
      </c>
      <c r="D68" s="146" t="s">
        <v>1117</v>
      </c>
      <c r="E68" s="146" t="s">
        <v>1118</v>
      </c>
      <c r="F68" s="146" t="s">
        <v>1053</v>
      </c>
      <c r="G68" s="146" t="s">
        <v>1101</v>
      </c>
      <c r="H68" s="142">
        <v>1470</v>
      </c>
      <c r="I68" s="142"/>
      <c r="J68" s="142"/>
      <c r="K68" s="142">
        <v>1470</v>
      </c>
      <c r="L68" s="143"/>
      <c r="N68" s="70"/>
    </row>
    <row r="69" spans="1:15" x14ac:dyDescent="0.25">
      <c r="A69" s="119">
        <v>45763</v>
      </c>
      <c r="B69" s="120"/>
      <c r="C69" s="83" t="s">
        <v>1119</v>
      </c>
      <c r="D69" s="83" t="s">
        <v>1120</v>
      </c>
      <c r="E69" s="83" t="s">
        <v>1121</v>
      </c>
      <c r="F69" s="83" t="s">
        <v>1053</v>
      </c>
      <c r="G69" s="148" t="s">
        <v>1101</v>
      </c>
      <c r="H69" s="123">
        <v>0</v>
      </c>
      <c r="I69" s="123"/>
      <c r="J69" s="123"/>
      <c r="K69" s="123">
        <f>+H69-I69-J69</f>
        <v>0</v>
      </c>
      <c r="L69" s="149" t="s">
        <v>1122</v>
      </c>
      <c r="N69" s="70"/>
    </row>
    <row r="70" spans="1:15" x14ac:dyDescent="0.25">
      <c r="A70" s="150"/>
      <c r="B70" s="151">
        <v>45805</v>
      </c>
      <c r="C70" s="152" t="s">
        <v>1123</v>
      </c>
      <c r="D70" s="152" t="s">
        <v>1124</v>
      </c>
      <c r="E70" s="152" t="s">
        <v>1125</v>
      </c>
      <c r="F70" s="152" t="s">
        <v>1053</v>
      </c>
      <c r="G70" s="152" t="s">
        <v>1101</v>
      </c>
      <c r="H70" s="153">
        <v>376</v>
      </c>
      <c r="I70" s="154"/>
      <c r="J70" s="154"/>
      <c r="K70" s="155">
        <f>11.75*173</f>
        <v>2032.75</v>
      </c>
      <c r="L70" s="156"/>
      <c r="N70" s="70"/>
    </row>
    <row r="71" spans="1:15" x14ac:dyDescent="0.25">
      <c r="A71" s="138"/>
      <c r="B71" s="139"/>
      <c r="C71" s="146" t="s">
        <v>1126</v>
      </c>
      <c r="D71" s="146" t="s">
        <v>1127</v>
      </c>
      <c r="E71" s="146" t="s">
        <v>1128</v>
      </c>
      <c r="F71" s="146" t="s">
        <v>1053</v>
      </c>
      <c r="G71" s="147" t="s">
        <v>1101</v>
      </c>
      <c r="H71" s="142">
        <v>1813.54</v>
      </c>
      <c r="I71" s="142"/>
      <c r="J71" s="142"/>
      <c r="K71" s="142">
        <f>+H71-I71-J71</f>
        <v>1813.54</v>
      </c>
      <c r="L71" s="143"/>
      <c r="N71" s="70"/>
    </row>
    <row r="72" spans="1:15" x14ac:dyDescent="0.25">
      <c r="A72" s="144"/>
      <c r="B72" s="145"/>
      <c r="C72" s="146" t="s">
        <v>1090</v>
      </c>
      <c r="D72" s="146" t="s">
        <v>1129</v>
      </c>
      <c r="E72" s="146" t="s">
        <v>1130</v>
      </c>
      <c r="F72" s="146" t="s">
        <v>1131</v>
      </c>
      <c r="G72" s="147" t="s">
        <v>1101</v>
      </c>
      <c r="H72" s="142">
        <v>5555.6500000000005</v>
      </c>
      <c r="I72" s="142"/>
      <c r="J72" s="142">
        <v>111.23</v>
      </c>
      <c r="K72" s="142">
        <f>+H72-I72-J72</f>
        <v>5444.420000000001</v>
      </c>
      <c r="L72" s="143"/>
      <c r="N72" s="70"/>
    </row>
    <row r="73" spans="1:15" x14ac:dyDescent="0.25">
      <c r="A73" s="138"/>
      <c r="B73" s="139"/>
      <c r="C73" s="140" t="s">
        <v>1132</v>
      </c>
      <c r="D73" s="140" t="s">
        <v>929</v>
      </c>
      <c r="E73" s="140" t="s">
        <v>1133</v>
      </c>
      <c r="F73" s="140" t="s">
        <v>1134</v>
      </c>
      <c r="G73" s="141" t="s">
        <v>1101</v>
      </c>
      <c r="H73" s="142">
        <v>7366.99</v>
      </c>
      <c r="I73" s="142"/>
      <c r="J73" s="142"/>
      <c r="K73" s="142">
        <f>+H73-I73-J73</f>
        <v>7366.99</v>
      </c>
      <c r="L73" s="143"/>
      <c r="N73" s="70"/>
    </row>
    <row r="74" spans="1:15" s="162" customFormat="1" x14ac:dyDescent="0.25">
      <c r="A74" s="144"/>
      <c r="B74" s="144"/>
      <c r="C74" s="157" t="s">
        <v>1135</v>
      </c>
      <c r="D74" s="157" t="s">
        <v>1136</v>
      </c>
      <c r="E74" s="157" t="s">
        <v>1137</v>
      </c>
      <c r="F74" s="157" t="s">
        <v>1134</v>
      </c>
      <c r="G74" s="158" t="s">
        <v>1101</v>
      </c>
      <c r="H74" s="159">
        <v>9236.33</v>
      </c>
      <c r="I74" s="159"/>
      <c r="J74" s="159"/>
      <c r="K74" s="160">
        <f>+H74-I74-J74</f>
        <v>9236.33</v>
      </c>
      <c r="L74" s="161"/>
    </row>
    <row r="75" spans="1:15" x14ac:dyDescent="0.25">
      <c r="A75" s="138"/>
      <c r="B75" s="138"/>
      <c r="C75" s="163" t="s">
        <v>1138</v>
      </c>
      <c r="D75" s="163" t="s">
        <v>1136</v>
      </c>
      <c r="E75" s="163" t="s">
        <v>1139</v>
      </c>
      <c r="F75" s="163" t="s">
        <v>1140</v>
      </c>
      <c r="G75" s="164" t="s">
        <v>1101</v>
      </c>
      <c r="H75" s="142">
        <v>8481.1853846153845</v>
      </c>
      <c r="I75" s="142"/>
      <c r="J75" s="142"/>
      <c r="K75" s="142">
        <f>+H75-I75-J75</f>
        <v>8481.1853846153845</v>
      </c>
      <c r="L75" s="143"/>
      <c r="N75" s="70"/>
    </row>
    <row r="76" spans="1:15" x14ac:dyDescent="0.25">
      <c r="G76" s="165" t="s">
        <v>1141</v>
      </c>
      <c r="H76" s="137">
        <f>SUMIFS(H8:H75,G8:G75,"4-Admin ")</f>
        <v>84025.321538461547</v>
      </c>
      <c r="I76" s="111">
        <f>SUMIFS(I8:I73,G8:G73,"4-Admin ")</f>
        <v>0</v>
      </c>
      <c r="J76" s="111"/>
      <c r="K76" s="137">
        <f>SUMIFS(K8:K75,G8:G75,"4-Admin ")</f>
        <v>85570.841538461536</v>
      </c>
      <c r="L76" s="112"/>
      <c r="N76" s="70"/>
    </row>
    <row r="77" spans="1:15" x14ac:dyDescent="0.25">
      <c r="G77" s="165"/>
      <c r="H77" s="166"/>
      <c r="I77" s="167"/>
      <c r="J77" s="167"/>
      <c r="K77" s="167"/>
      <c r="L77" s="168"/>
      <c r="N77" s="70"/>
    </row>
    <row r="78" spans="1:15" x14ac:dyDescent="0.25">
      <c r="F78" s="168"/>
      <c r="G78" s="169" t="s">
        <v>1142</v>
      </c>
      <c r="H78" s="166">
        <f>H76+H62+H47+H14</f>
        <v>489815.20307692303</v>
      </c>
      <c r="I78" s="167">
        <f>+I76+I62+I47+I14</f>
        <v>1196.1600000000001</v>
      </c>
      <c r="J78" s="167">
        <f>+J76+J62+J47+J14</f>
        <v>0</v>
      </c>
      <c r="K78" s="167">
        <f>K76+K62+K47+K14</f>
        <v>480236.00307692308</v>
      </c>
      <c r="L78" s="112"/>
      <c r="M78" s="75"/>
      <c r="N78" s="70"/>
    </row>
    <row r="79" spans="1:15" ht="18.75" x14ac:dyDescent="0.3">
      <c r="A79" s="170" t="s">
        <v>1143</v>
      </c>
      <c r="G79" s="165"/>
      <c r="H79" s="166"/>
      <c r="I79" s="171"/>
      <c r="J79" s="167"/>
      <c r="K79" s="167"/>
      <c r="L79" s="168"/>
      <c r="M79" s="75"/>
      <c r="N79" s="70"/>
    </row>
    <row r="80" spans="1:15" x14ac:dyDescent="0.25">
      <c r="G80" s="70"/>
      <c r="H80" s="78"/>
      <c r="I80" s="70"/>
      <c r="J80" s="70"/>
      <c r="M80" s="75"/>
      <c r="N80" s="78"/>
      <c r="O80" s="78"/>
    </row>
    <row r="81" spans="1:15" x14ac:dyDescent="0.25">
      <c r="G81" s="70"/>
      <c r="I81" s="70"/>
      <c r="J81" s="70"/>
      <c r="M81" s="75"/>
      <c r="N81" s="78"/>
      <c r="O81" s="78"/>
    </row>
    <row r="82" spans="1:15" x14ac:dyDescent="0.25">
      <c r="A82" s="86"/>
      <c r="B82" s="172">
        <v>45817</v>
      </c>
      <c r="C82" s="86" t="s">
        <v>1144</v>
      </c>
      <c r="D82" s="86" t="s">
        <v>1145</v>
      </c>
      <c r="E82" s="86" t="s">
        <v>1146</v>
      </c>
      <c r="F82" s="86" t="s">
        <v>974</v>
      </c>
      <c r="G82" s="86" t="s">
        <v>951</v>
      </c>
      <c r="H82" s="86"/>
      <c r="I82" s="86"/>
      <c r="J82" s="86"/>
      <c r="K82" s="173">
        <v>4200</v>
      </c>
      <c r="L82" s="174" t="s">
        <v>1147</v>
      </c>
      <c r="M82" s="75"/>
      <c r="N82" s="78"/>
      <c r="O82" s="78"/>
    </row>
    <row r="83" spans="1:15" x14ac:dyDescent="0.25">
      <c r="G83" s="175" t="s">
        <v>1148</v>
      </c>
      <c r="H83" s="72"/>
      <c r="I83" s="70"/>
      <c r="J83" s="70"/>
      <c r="M83" s="75"/>
      <c r="N83" s="78"/>
    </row>
    <row r="84" spans="1:15" x14ac:dyDescent="0.25">
      <c r="G84" s="175" t="s">
        <v>1149</v>
      </c>
      <c r="H84" s="176"/>
      <c r="I84" s="70"/>
      <c r="J84" s="70"/>
      <c r="K84" s="176">
        <f>SUMIFS(K8:K83,G8:G83,"1-IT Project Labor")</f>
        <v>64606.806153846162</v>
      </c>
      <c r="M84" s="75"/>
      <c r="N84" s="70"/>
    </row>
    <row r="85" spans="1:15" x14ac:dyDescent="0.25">
      <c r="G85" s="175" t="s">
        <v>1150</v>
      </c>
      <c r="H85" s="177"/>
      <c r="I85" s="70"/>
      <c r="J85" s="70"/>
      <c r="K85" s="176">
        <f>SUMIFS(K8:K82,G8:G82,"2-Direct Labor")</f>
        <v>197748.54692307694</v>
      </c>
      <c r="M85" s="75"/>
      <c r="N85" s="70"/>
    </row>
    <row r="86" spans="1:15" x14ac:dyDescent="0.25">
      <c r="G86" s="175" t="s">
        <v>1151</v>
      </c>
      <c r="H86" s="176"/>
      <c r="I86" s="70"/>
      <c r="J86" s="70"/>
      <c r="K86" s="176">
        <f>SUMIFS(K8:K82,G8:G82,"3-Sales Labor Costs")</f>
        <v>136509.80846153846</v>
      </c>
      <c r="M86" s="75"/>
      <c r="N86" s="70"/>
    </row>
    <row r="87" spans="1:15" x14ac:dyDescent="0.25">
      <c r="G87" s="175" t="s">
        <v>1152</v>
      </c>
      <c r="H87" s="176"/>
      <c r="I87" s="70"/>
      <c r="J87" s="70"/>
      <c r="K87" s="176">
        <f>SUMIFS(K8:K82,G8:G82,"4-Admin ")</f>
        <v>85570.841538461536</v>
      </c>
      <c r="M87" s="75"/>
      <c r="N87" s="70"/>
    </row>
    <row r="88" spans="1:15" x14ac:dyDescent="0.25">
      <c r="G88" s="175" t="s">
        <v>1142</v>
      </c>
      <c r="H88" s="176"/>
      <c r="I88" s="70"/>
      <c r="J88" s="70"/>
      <c r="K88" s="176">
        <f>SUM(K84:K87)</f>
        <v>484436.00307692308</v>
      </c>
      <c r="M88" s="75"/>
      <c r="N88" s="70"/>
    </row>
    <row r="89" spans="1:15" x14ac:dyDescent="0.25">
      <c r="H89" s="72"/>
      <c r="J89" s="70"/>
      <c r="K89" s="176"/>
      <c r="M89" s="75"/>
      <c r="N89" s="70"/>
    </row>
    <row r="90" spans="1:15" x14ac:dyDescent="0.25">
      <c r="F90" s="108"/>
      <c r="H90" s="178"/>
      <c r="I90" s="178"/>
      <c r="J90" s="78"/>
      <c r="K90" s="78"/>
      <c r="L90" s="78"/>
      <c r="M90" s="75"/>
      <c r="N90" s="70"/>
    </row>
    <row r="91" spans="1:15" x14ac:dyDescent="0.25">
      <c r="F91" s="179"/>
      <c r="H91" s="178"/>
      <c r="I91" s="178"/>
      <c r="J91" s="78"/>
      <c r="K91" s="78"/>
      <c r="M91" s="75"/>
      <c r="N91" s="70"/>
    </row>
    <row r="92" spans="1:15" x14ac:dyDescent="0.25">
      <c r="H92" s="72"/>
      <c r="J92" s="70"/>
      <c r="M92" s="75"/>
      <c r="N92" s="70"/>
    </row>
    <row r="93" spans="1:15" x14ac:dyDescent="0.25">
      <c r="H93" s="72"/>
      <c r="J93" s="70"/>
      <c r="M93" s="75"/>
      <c r="N93" s="70"/>
    </row>
    <row r="94" spans="1:15" x14ac:dyDescent="0.25">
      <c r="H94" s="72"/>
      <c r="J94" s="70"/>
      <c r="M94" s="75"/>
      <c r="N94" s="70"/>
    </row>
    <row r="95" spans="1:15" x14ac:dyDescent="0.25">
      <c r="M95" s="75"/>
      <c r="N95" s="70"/>
    </row>
    <row r="96" spans="1:15" x14ac:dyDescent="0.25">
      <c r="M96" s="75"/>
      <c r="N96" s="70"/>
    </row>
  </sheetData>
  <autoFilter ref="A7:O78" xr:uid="{BBDFE225-E5DA-4A08-8312-A9C08EF41A09}"/>
  <mergeCells count="1">
    <mergeCell ref="F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47a66f-b3ee-4495-bf32-e6370fcf1efb">
      <Terms xmlns="http://schemas.microsoft.com/office/infopath/2007/PartnerControls"/>
    </lcf76f155ced4ddcb4097134ff3c332f>
    <TaxCatchAll xmlns="82563692-96a6-488b-9f55-d4b046c45fc9" xsi:nil="true"/>
    <SharedWithUsers xmlns="82563692-96a6-488b-9f55-d4b046c45fc9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6198B76F4F64085C7A299E3D96786" ma:contentTypeVersion="15" ma:contentTypeDescription="Create a new document." ma:contentTypeScope="" ma:versionID="746aade65ca4b0040cf516088ff49224">
  <xsd:schema xmlns:xsd="http://www.w3.org/2001/XMLSchema" xmlns:xs="http://www.w3.org/2001/XMLSchema" xmlns:p="http://schemas.microsoft.com/office/2006/metadata/properties" xmlns:ns2="4a47a66f-b3ee-4495-bf32-e6370fcf1efb" xmlns:ns3="82563692-96a6-488b-9f55-d4b046c45fc9" targetNamespace="http://schemas.microsoft.com/office/2006/metadata/properties" ma:root="true" ma:fieldsID="7e63f1ae85dede17b58ad4fef404785c" ns2:_="" ns3:_="">
    <xsd:import namespace="4a47a66f-b3ee-4495-bf32-e6370fcf1efb"/>
    <xsd:import namespace="82563692-96a6-488b-9f55-d4b046c45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7a66f-b3ee-4495-bf32-e6370fcf1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b6eeb6-03b1-4186-a525-5274877e6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63692-96a6-488b-9f55-d4b046c45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f764ec-2591-407e-a629-0e8203bbd38d}" ma:internalName="TaxCatchAll" ma:showField="CatchAllData" ma:web="82563692-96a6-488b-9f55-d4b046c45f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8F34E7-2C07-4357-8D49-57A76CC35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718EC2-6981-4BBA-8619-3CE9551940EC}">
  <ds:schemaRefs>
    <ds:schemaRef ds:uri="4a47a66f-b3ee-4495-bf32-e6370fcf1efb"/>
    <ds:schemaRef ds:uri="http://schemas.openxmlformats.org/package/2006/metadata/core-properties"/>
    <ds:schemaRef ds:uri="82563692-96a6-488b-9f55-d4b046c45fc9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DD9ADE6-4E09-4239-A435-6CE67FF3B0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Footnotes</vt:lpstr>
      <vt:lpstr>Agreements</vt:lpstr>
      <vt:lpstr>Payroll Breakdown - 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Vicencio</dc:creator>
  <cp:keywords/>
  <dc:description/>
  <cp:lastModifiedBy>Dennis Vicencio</cp:lastModifiedBy>
  <cp:revision/>
  <dcterms:created xsi:type="dcterms:W3CDTF">2025-06-19T19:27:25Z</dcterms:created>
  <dcterms:modified xsi:type="dcterms:W3CDTF">2025-07-18T18:44:53Z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926ae2-a5f5-4eb8-b7a9-2a972f12d6fe_Enabled">
    <vt:lpwstr>true</vt:lpwstr>
  </property>
  <property fmtid="{D5CDD505-2E9C-101B-9397-08002B2CF9AE}" pid="3" name="MSIP_Label_e3926ae2-a5f5-4eb8-b7a9-2a972f12d6fe_SetDate">
    <vt:lpwstr>2025-06-19T19:27:23Z</vt:lpwstr>
  </property>
  <property fmtid="{D5CDD505-2E9C-101B-9397-08002B2CF9AE}" pid="4" name="MSIP_Label_e3926ae2-a5f5-4eb8-b7a9-2a972f12d6fe_Method">
    <vt:lpwstr>Standard</vt:lpwstr>
  </property>
  <property fmtid="{D5CDD505-2E9C-101B-9397-08002B2CF9AE}" pid="5" name="MSIP_Label_e3926ae2-a5f5-4eb8-b7a9-2a972f12d6fe_Name">
    <vt:lpwstr>e3926ae2-a5f5-4eb8-b7a9-2a972f12d6fe</vt:lpwstr>
  </property>
  <property fmtid="{D5CDD505-2E9C-101B-9397-08002B2CF9AE}" pid="6" name="MSIP_Label_e3926ae2-a5f5-4eb8-b7a9-2a972f12d6fe_SiteId">
    <vt:lpwstr>9ef5d077-23c6-453f-94f9-7809c35a837f</vt:lpwstr>
  </property>
  <property fmtid="{D5CDD505-2E9C-101B-9397-08002B2CF9AE}" pid="7" name="MSIP_Label_e3926ae2-a5f5-4eb8-b7a9-2a972f12d6fe_ActionId">
    <vt:lpwstr>eec5970b-90eb-486b-8b83-e44811f03c85</vt:lpwstr>
  </property>
  <property fmtid="{D5CDD505-2E9C-101B-9397-08002B2CF9AE}" pid="8" name="MSIP_Label_e3926ae2-a5f5-4eb8-b7a9-2a972f12d6fe_ContentBits">
    <vt:lpwstr>0</vt:lpwstr>
  </property>
  <property fmtid="{D5CDD505-2E9C-101B-9397-08002B2CF9AE}" pid="9" name="MSIP_Label_e3926ae2-a5f5-4eb8-b7a9-2a972f12d6fe_Tag">
    <vt:lpwstr>10, 3, 0, 1</vt:lpwstr>
  </property>
  <property fmtid="{D5CDD505-2E9C-101B-9397-08002B2CF9AE}" pid="10" name="ContentTypeId">
    <vt:lpwstr>0x0101001A56198B76F4F64085C7A299E3D96786</vt:lpwstr>
  </property>
  <property fmtid="{D5CDD505-2E9C-101B-9397-08002B2CF9AE}" pid="11" name="MediaServiceImageTags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_activity">
    <vt:lpwstr>{"FileActivityType":"9","FileActivityTimeStamp":"2025-06-20T19:31:39.577Z","FileActivityUsersOnPage":[{"DisplayName":"Dennis Vicencio","Id":"dvicencio@mydatapath.com"},{"DisplayName":"James Bates","Id":"jbates@mydatapath.com"},{"DisplayName":"David Darmstandler","Id":"david@mydatapath.com"},{"DisplayName":"Scott G","Id":"scottg@mydatapath.com"},{"DisplayName":"Dan Sturdivant","Id":"dsturdivant@mydatapath.com"}],"FileActivityNavigationId":null}</vt:lpwstr>
  </property>
  <property fmtid="{D5CDD505-2E9C-101B-9397-08002B2CF9AE}" pid="17" name="TriggerFlowInfo">
    <vt:lpwstr/>
  </property>
</Properties>
</file>