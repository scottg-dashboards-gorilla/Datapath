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datapathinc-my.sharepoint.com/personal/dvicencio_mydatapath_com/Documents/Monthly Financials/2025/"/>
    </mc:Choice>
  </mc:AlternateContent>
  <xr:revisionPtr revIDLastSave="86" documentId="8_{4E093A75-5931-4161-9B6F-854C4ADA1019}" xr6:coauthVersionLast="47" xr6:coauthVersionMax="47" xr10:uidLastSave="{4083A7B1-6400-4BB7-BC92-D8A819743297}"/>
  <bookViews>
    <workbookView xWindow="-120" yWindow="-16320" windowWidth="29040" windowHeight="15840" xr2:uid="{00000000-000D-0000-FFFF-FFFF00000000}"/>
  </bookViews>
  <sheets>
    <sheet name="P&amp;L MTD with Previous Month Com" sheetId="1" r:id="rId1"/>
    <sheet name="Footnotes" sheetId="2" r:id="rId2"/>
    <sheet name="Agreement" sheetId="4" r:id="rId3"/>
    <sheet name="Payroll Breakdown - July" sheetId="3" r:id="rId4"/>
  </sheets>
  <definedNames>
    <definedName name="_xlnm._FilterDatabase" localSheetId="2" hidden="1">Agreement!$A$1:$M$235</definedName>
    <definedName name="_xlnm._FilterDatabase" localSheetId="3" hidden="1">'Payroll Breakdown - July'!$A$7:$T$79</definedName>
    <definedName name="NB_Monthly_Recurring_Private_Cloud_CA" localSheetId="3">#REF!</definedName>
    <definedName name="NB_Monthly_Recurring_Private_Cloud_CA">#REF!</definedName>
    <definedName name="NB_Monthly_Recurring_Private_Cloud_OH" localSheetId="3">#REF!</definedName>
    <definedName name="NB_Monthly_Recurring_Private_Cloud_OH">#REF!</definedName>
    <definedName name="NB_Monthly_Recurring_Resale_CA" localSheetId="3">#REF!</definedName>
    <definedName name="NB_Monthly_Recurring_Resale_CA">#REF!</definedName>
    <definedName name="NB_Monthly_Recurring_Resale_OH" localSheetId="3">#REF!</definedName>
    <definedName name="NB_Monthly_Recurring_Resale_OH">#REF!</definedName>
    <definedName name="NB_Monthly_Recurring_Services_CA" localSheetId="3">#REF!</definedName>
    <definedName name="NB_Monthly_Recurring_Services_CA">#REF!</definedName>
    <definedName name="NB_Monthly_Recurring_Services_OH" localSheetId="3">#REF!</definedName>
    <definedName name="NB_Monthly_Recurring_Services_OH">#REF!</definedName>
    <definedName name="WA_Monthly_Recurring_Private_Cloud_CA" localSheetId="3">#REF!</definedName>
    <definedName name="WA_Monthly_Recurring_Private_Cloud_CA">#REF!</definedName>
    <definedName name="WA_Monthly_Recurring_Resale_CA" localSheetId="3">#REF!</definedName>
    <definedName name="WA_Monthly_Recurring_Resale_CA">#REF!</definedName>
    <definedName name="WA_Monthly_Recurring_Resale_OH" localSheetId="3">#REF!</definedName>
    <definedName name="WA_Monthly_Recurring_Resale_OH">#REF!</definedName>
    <definedName name="WA_Monthly_Recurring_Services_CA" localSheetId="3">#REF!</definedName>
    <definedName name="WA_Monthly_Recurring_Services_CA">#REF!</definedName>
    <definedName name="WA_Monthly_Recurring_Services_OH" localSheetId="3">#REF!</definedName>
    <definedName name="WA_Monthly_Recurring_Services_OH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8" i="1" l="1"/>
  <c r="J20" i="1"/>
  <c r="J18" i="1"/>
  <c r="J17" i="1"/>
  <c r="J15" i="1"/>
  <c r="E20" i="1"/>
  <c r="E19" i="1"/>
  <c r="E18" i="1"/>
  <c r="E17" i="1"/>
  <c r="E16" i="1"/>
  <c r="E15" i="1"/>
  <c r="G895" i="4"/>
  <c r="J893" i="4"/>
  <c r="G893" i="4"/>
  <c r="J892" i="4"/>
  <c r="G892" i="4"/>
  <c r="J891" i="4"/>
  <c r="G891" i="4"/>
  <c r="J889" i="4"/>
  <c r="G889" i="4"/>
  <c r="K881" i="4"/>
  <c r="K880" i="4"/>
  <c r="K879" i="4"/>
  <c r="K877" i="4"/>
  <c r="G873" i="4"/>
  <c r="K871" i="4"/>
  <c r="K870" i="4"/>
  <c r="K869" i="4"/>
  <c r="K868" i="4"/>
  <c r="K867" i="4"/>
  <c r="K865" i="4"/>
  <c r="J855" i="4"/>
  <c r="G855" i="4"/>
  <c r="H854" i="4"/>
  <c r="K854" i="4" s="1"/>
  <c r="H853" i="4"/>
  <c r="K853" i="4" s="1"/>
  <c r="H852" i="4"/>
  <c r="K852" i="4" s="1"/>
  <c r="H851" i="4"/>
  <c r="K851" i="4" s="1"/>
  <c r="J850" i="4"/>
  <c r="G850" i="4"/>
  <c r="H849" i="4"/>
  <c r="K849" i="4" s="1"/>
  <c r="K850" i="4" s="1"/>
  <c r="J848" i="4"/>
  <c r="G848" i="4"/>
  <c r="H847" i="4"/>
  <c r="K847" i="4" s="1"/>
  <c r="H846" i="4"/>
  <c r="K846" i="4" s="1"/>
  <c r="H845" i="4"/>
  <c r="K845" i="4" s="1"/>
  <c r="H844" i="4"/>
  <c r="K844" i="4" s="1"/>
  <c r="J843" i="4"/>
  <c r="G843" i="4"/>
  <c r="H842" i="4"/>
  <c r="K842" i="4" s="1"/>
  <c r="H841" i="4"/>
  <c r="K841" i="4" s="1"/>
  <c r="H840" i="4"/>
  <c r="K840" i="4" s="1"/>
  <c r="H839" i="4"/>
  <c r="K839" i="4" s="1"/>
  <c r="J838" i="4"/>
  <c r="G838" i="4"/>
  <c r="H837" i="4"/>
  <c r="K837" i="4" s="1"/>
  <c r="H836" i="4"/>
  <c r="K836" i="4" s="1"/>
  <c r="H835" i="4"/>
  <c r="K835" i="4" s="1"/>
  <c r="H834" i="4"/>
  <c r="K834" i="4" s="1"/>
  <c r="J833" i="4"/>
  <c r="G833" i="4"/>
  <c r="H832" i="4"/>
  <c r="K832" i="4" s="1"/>
  <c r="H831" i="4"/>
  <c r="K831" i="4" s="1"/>
  <c r="H830" i="4"/>
  <c r="K830" i="4" s="1"/>
  <c r="H829" i="4"/>
  <c r="K829" i="4" s="1"/>
  <c r="J828" i="4"/>
  <c r="G828" i="4"/>
  <c r="H827" i="4"/>
  <c r="K827" i="4" s="1"/>
  <c r="H826" i="4"/>
  <c r="K826" i="4" s="1"/>
  <c r="H825" i="4"/>
  <c r="K825" i="4" s="1"/>
  <c r="H824" i="4"/>
  <c r="K824" i="4" s="1"/>
  <c r="J823" i="4"/>
  <c r="G823" i="4"/>
  <c r="H822" i="4"/>
  <c r="K822" i="4" s="1"/>
  <c r="H821" i="4"/>
  <c r="K821" i="4" s="1"/>
  <c r="H820" i="4"/>
  <c r="K820" i="4" s="1"/>
  <c r="H819" i="4"/>
  <c r="K819" i="4" s="1"/>
  <c r="J818" i="4"/>
  <c r="G818" i="4"/>
  <c r="H817" i="4"/>
  <c r="K817" i="4" s="1"/>
  <c r="H816" i="4"/>
  <c r="K816" i="4" s="1"/>
  <c r="H815" i="4"/>
  <c r="K815" i="4" s="1"/>
  <c r="J814" i="4"/>
  <c r="G814" i="4"/>
  <c r="H813" i="4"/>
  <c r="K813" i="4" s="1"/>
  <c r="H812" i="4"/>
  <c r="K812" i="4" s="1"/>
  <c r="H811" i="4"/>
  <c r="K811" i="4" s="1"/>
  <c r="H810" i="4"/>
  <c r="K810" i="4" s="1"/>
  <c r="J809" i="4"/>
  <c r="G809" i="4"/>
  <c r="H808" i="4"/>
  <c r="K808" i="4" s="1"/>
  <c r="H807" i="4"/>
  <c r="K807" i="4" s="1"/>
  <c r="H806" i="4"/>
  <c r="K806" i="4" s="1"/>
  <c r="J805" i="4"/>
  <c r="G805" i="4"/>
  <c r="H804" i="4"/>
  <c r="K804" i="4" s="1"/>
  <c r="H803" i="4"/>
  <c r="K803" i="4" s="1"/>
  <c r="H802" i="4"/>
  <c r="K802" i="4" s="1"/>
  <c r="H801" i="4"/>
  <c r="K801" i="4" s="1"/>
  <c r="J800" i="4"/>
  <c r="G800" i="4"/>
  <c r="H799" i="4"/>
  <c r="K799" i="4" s="1"/>
  <c r="H798" i="4"/>
  <c r="K798" i="4" s="1"/>
  <c r="H797" i="4"/>
  <c r="K797" i="4" s="1"/>
  <c r="H796" i="4"/>
  <c r="K796" i="4" s="1"/>
  <c r="J795" i="4"/>
  <c r="G795" i="4"/>
  <c r="H794" i="4"/>
  <c r="K794" i="4" s="1"/>
  <c r="K795" i="4" s="1"/>
  <c r="J793" i="4"/>
  <c r="G793" i="4"/>
  <c r="H792" i="4"/>
  <c r="K792" i="4" s="1"/>
  <c r="H791" i="4"/>
  <c r="K791" i="4" s="1"/>
  <c r="H790" i="4"/>
  <c r="K790" i="4" s="1"/>
  <c r="H789" i="4"/>
  <c r="K789" i="4" s="1"/>
  <c r="H788" i="4"/>
  <c r="K788" i="4" s="1"/>
  <c r="J787" i="4"/>
  <c r="G787" i="4"/>
  <c r="H786" i="4"/>
  <c r="K786" i="4" s="1"/>
  <c r="K787" i="4" s="1"/>
  <c r="J785" i="4"/>
  <c r="G785" i="4"/>
  <c r="H784" i="4"/>
  <c r="K784" i="4" s="1"/>
  <c r="H783" i="4"/>
  <c r="K783" i="4" s="1"/>
  <c r="H782" i="4"/>
  <c r="K782" i="4" s="1"/>
  <c r="H781" i="4"/>
  <c r="K781" i="4" s="1"/>
  <c r="J780" i="4"/>
  <c r="G780" i="4"/>
  <c r="H779" i="4"/>
  <c r="K779" i="4" s="1"/>
  <c r="H778" i="4"/>
  <c r="K778" i="4" s="1"/>
  <c r="H777" i="4"/>
  <c r="K777" i="4" s="1"/>
  <c r="H776" i="4"/>
  <c r="K776" i="4" s="1"/>
  <c r="H775" i="4"/>
  <c r="K775" i="4" s="1"/>
  <c r="H774" i="4"/>
  <c r="K774" i="4" s="1"/>
  <c r="J773" i="4"/>
  <c r="G773" i="4"/>
  <c r="H772" i="4"/>
  <c r="K772" i="4" s="1"/>
  <c r="H771" i="4"/>
  <c r="K771" i="4" s="1"/>
  <c r="H770" i="4"/>
  <c r="K770" i="4" s="1"/>
  <c r="H769" i="4"/>
  <c r="K769" i="4" s="1"/>
  <c r="J768" i="4"/>
  <c r="G768" i="4"/>
  <c r="H767" i="4"/>
  <c r="K767" i="4" s="1"/>
  <c r="H766" i="4"/>
  <c r="K766" i="4" s="1"/>
  <c r="H765" i="4"/>
  <c r="K765" i="4" s="1"/>
  <c r="H764" i="4"/>
  <c r="K764" i="4" s="1"/>
  <c r="H763" i="4"/>
  <c r="K763" i="4" s="1"/>
  <c r="J762" i="4"/>
  <c r="G762" i="4"/>
  <c r="H761" i="4"/>
  <c r="K761" i="4" s="1"/>
  <c r="H760" i="4"/>
  <c r="K760" i="4" s="1"/>
  <c r="H759" i="4"/>
  <c r="K759" i="4" s="1"/>
  <c r="H758" i="4"/>
  <c r="K758" i="4" s="1"/>
  <c r="J757" i="4"/>
  <c r="G757" i="4"/>
  <c r="H756" i="4"/>
  <c r="K756" i="4" s="1"/>
  <c r="H755" i="4"/>
  <c r="K755" i="4" s="1"/>
  <c r="H754" i="4"/>
  <c r="K754" i="4" s="1"/>
  <c r="H753" i="4"/>
  <c r="K753" i="4" s="1"/>
  <c r="H752" i="4"/>
  <c r="K752" i="4" s="1"/>
  <c r="J751" i="4"/>
  <c r="G751" i="4"/>
  <c r="H750" i="4"/>
  <c r="K750" i="4" s="1"/>
  <c r="H749" i="4"/>
  <c r="K749" i="4" s="1"/>
  <c r="H748" i="4"/>
  <c r="K748" i="4" s="1"/>
  <c r="H747" i="4"/>
  <c r="K747" i="4" s="1"/>
  <c r="J746" i="4"/>
  <c r="G746" i="4"/>
  <c r="H745" i="4"/>
  <c r="K745" i="4" s="1"/>
  <c r="H744" i="4"/>
  <c r="K744" i="4" s="1"/>
  <c r="H743" i="4"/>
  <c r="K743" i="4" s="1"/>
  <c r="J742" i="4"/>
  <c r="G742" i="4"/>
  <c r="H741" i="4"/>
  <c r="K741" i="4" s="1"/>
  <c r="H740" i="4"/>
  <c r="K740" i="4" s="1"/>
  <c r="H739" i="4"/>
  <c r="K739" i="4" s="1"/>
  <c r="H738" i="4"/>
  <c r="K738" i="4" s="1"/>
  <c r="J737" i="4"/>
  <c r="G737" i="4"/>
  <c r="H736" i="4"/>
  <c r="K736" i="4" s="1"/>
  <c r="H735" i="4"/>
  <c r="K735" i="4" s="1"/>
  <c r="H734" i="4"/>
  <c r="K734" i="4" s="1"/>
  <c r="H733" i="4"/>
  <c r="K733" i="4" s="1"/>
  <c r="H732" i="4"/>
  <c r="K732" i="4" s="1"/>
  <c r="H731" i="4"/>
  <c r="K731" i="4" s="1"/>
  <c r="H730" i="4"/>
  <c r="K730" i="4" s="1"/>
  <c r="J729" i="4"/>
  <c r="G729" i="4"/>
  <c r="H728" i="4"/>
  <c r="K728" i="4" s="1"/>
  <c r="H727" i="4"/>
  <c r="K727" i="4" s="1"/>
  <c r="H726" i="4"/>
  <c r="K726" i="4" s="1"/>
  <c r="H725" i="4"/>
  <c r="K725" i="4" s="1"/>
  <c r="J724" i="4"/>
  <c r="G724" i="4"/>
  <c r="H723" i="4"/>
  <c r="K723" i="4" s="1"/>
  <c r="H722" i="4"/>
  <c r="K722" i="4" s="1"/>
  <c r="H721" i="4"/>
  <c r="K721" i="4" s="1"/>
  <c r="J720" i="4"/>
  <c r="G720" i="4"/>
  <c r="H719" i="4"/>
  <c r="K719" i="4" s="1"/>
  <c r="H718" i="4"/>
  <c r="K718" i="4" s="1"/>
  <c r="H717" i="4"/>
  <c r="K717" i="4" s="1"/>
  <c r="H716" i="4"/>
  <c r="K716" i="4" s="1"/>
  <c r="H715" i="4"/>
  <c r="K715" i="4" s="1"/>
  <c r="J714" i="4"/>
  <c r="G714" i="4"/>
  <c r="H713" i="4"/>
  <c r="K713" i="4" s="1"/>
  <c r="H712" i="4"/>
  <c r="K712" i="4" s="1"/>
  <c r="H711" i="4"/>
  <c r="K711" i="4" s="1"/>
  <c r="J710" i="4"/>
  <c r="G710" i="4"/>
  <c r="H709" i="4"/>
  <c r="K709" i="4" s="1"/>
  <c r="H708" i="4"/>
  <c r="K708" i="4" s="1"/>
  <c r="H707" i="4"/>
  <c r="K707" i="4" s="1"/>
  <c r="H706" i="4"/>
  <c r="K706" i="4" s="1"/>
  <c r="H705" i="4"/>
  <c r="K705" i="4" s="1"/>
  <c r="J704" i="4"/>
  <c r="G704" i="4"/>
  <c r="H703" i="4"/>
  <c r="K703" i="4" s="1"/>
  <c r="H702" i="4"/>
  <c r="K702" i="4" s="1"/>
  <c r="H701" i="4"/>
  <c r="K701" i="4" s="1"/>
  <c r="H700" i="4"/>
  <c r="K700" i="4" s="1"/>
  <c r="J699" i="4"/>
  <c r="G699" i="4"/>
  <c r="H698" i="4"/>
  <c r="K698" i="4" s="1"/>
  <c r="H697" i="4"/>
  <c r="K697" i="4" s="1"/>
  <c r="H696" i="4"/>
  <c r="K696" i="4" s="1"/>
  <c r="H695" i="4"/>
  <c r="K695" i="4" s="1"/>
  <c r="J694" i="4"/>
  <c r="H693" i="4"/>
  <c r="K693" i="4" s="1"/>
  <c r="G692" i="4"/>
  <c r="H692" i="4" s="1"/>
  <c r="K692" i="4" s="1"/>
  <c r="H691" i="4"/>
  <c r="K691" i="4" s="1"/>
  <c r="H690" i="4"/>
  <c r="K690" i="4" s="1"/>
  <c r="J689" i="4"/>
  <c r="G689" i="4"/>
  <c r="H688" i="4"/>
  <c r="K688" i="4" s="1"/>
  <c r="H687" i="4"/>
  <c r="K687" i="4" s="1"/>
  <c r="H686" i="4"/>
  <c r="K686" i="4" s="1"/>
  <c r="J685" i="4"/>
  <c r="G685" i="4"/>
  <c r="H684" i="4"/>
  <c r="K684" i="4" s="1"/>
  <c r="H683" i="4"/>
  <c r="K683" i="4" s="1"/>
  <c r="H682" i="4"/>
  <c r="K682" i="4" s="1"/>
  <c r="H681" i="4"/>
  <c r="K681" i="4" s="1"/>
  <c r="J680" i="4"/>
  <c r="G680" i="4"/>
  <c r="H679" i="4"/>
  <c r="K679" i="4" s="1"/>
  <c r="H678" i="4"/>
  <c r="K678" i="4" s="1"/>
  <c r="H677" i="4"/>
  <c r="K677" i="4" s="1"/>
  <c r="H676" i="4"/>
  <c r="K676" i="4" s="1"/>
  <c r="J675" i="4"/>
  <c r="G675" i="4"/>
  <c r="H674" i="4"/>
  <c r="K674" i="4" s="1"/>
  <c r="H673" i="4"/>
  <c r="K673" i="4" s="1"/>
  <c r="H672" i="4"/>
  <c r="K672" i="4" s="1"/>
  <c r="H671" i="4"/>
  <c r="K671" i="4" s="1"/>
  <c r="H670" i="4"/>
  <c r="K670" i="4" s="1"/>
  <c r="J669" i="4"/>
  <c r="G669" i="4"/>
  <c r="H668" i="4"/>
  <c r="K668" i="4" s="1"/>
  <c r="H667" i="4"/>
  <c r="K667" i="4" s="1"/>
  <c r="H666" i="4"/>
  <c r="K666" i="4" s="1"/>
  <c r="H665" i="4"/>
  <c r="K665" i="4" s="1"/>
  <c r="J664" i="4"/>
  <c r="G664" i="4"/>
  <c r="H663" i="4"/>
  <c r="K663" i="4" s="1"/>
  <c r="H662" i="4"/>
  <c r="K662" i="4" s="1"/>
  <c r="H661" i="4"/>
  <c r="K661" i="4" s="1"/>
  <c r="H660" i="4"/>
  <c r="K660" i="4" s="1"/>
  <c r="J659" i="4"/>
  <c r="H658" i="4"/>
  <c r="K658" i="4" s="1"/>
  <c r="G657" i="4"/>
  <c r="H656" i="4"/>
  <c r="K656" i="4" s="1"/>
  <c r="H655" i="4"/>
  <c r="K655" i="4" s="1"/>
  <c r="J654" i="4"/>
  <c r="G654" i="4"/>
  <c r="H653" i="4"/>
  <c r="K653" i="4" s="1"/>
  <c r="K654" i="4" s="1"/>
  <c r="J652" i="4"/>
  <c r="G652" i="4"/>
  <c r="H651" i="4"/>
  <c r="K651" i="4" s="1"/>
  <c r="K652" i="4" s="1"/>
  <c r="J650" i="4"/>
  <c r="G650" i="4"/>
  <c r="H649" i="4"/>
  <c r="K649" i="4" s="1"/>
  <c r="H648" i="4"/>
  <c r="K648" i="4" s="1"/>
  <c r="H647" i="4"/>
  <c r="K647" i="4" s="1"/>
  <c r="J646" i="4"/>
  <c r="G646" i="4"/>
  <c r="H645" i="4"/>
  <c r="K645" i="4" s="1"/>
  <c r="H644" i="4"/>
  <c r="K644" i="4" s="1"/>
  <c r="H643" i="4"/>
  <c r="K643" i="4" s="1"/>
  <c r="H642" i="4"/>
  <c r="K642" i="4" s="1"/>
  <c r="H641" i="4"/>
  <c r="K641" i="4" s="1"/>
  <c r="J640" i="4"/>
  <c r="G640" i="4"/>
  <c r="H639" i="4"/>
  <c r="K639" i="4" s="1"/>
  <c r="H638" i="4"/>
  <c r="K638" i="4" s="1"/>
  <c r="H637" i="4"/>
  <c r="K637" i="4" s="1"/>
  <c r="H636" i="4"/>
  <c r="K636" i="4" s="1"/>
  <c r="J635" i="4"/>
  <c r="G635" i="4"/>
  <c r="H634" i="4"/>
  <c r="K634" i="4" s="1"/>
  <c r="H633" i="4"/>
  <c r="K633" i="4" s="1"/>
  <c r="H632" i="4"/>
  <c r="K632" i="4" s="1"/>
  <c r="H631" i="4"/>
  <c r="K631" i="4" s="1"/>
  <c r="J630" i="4"/>
  <c r="G630" i="4"/>
  <c r="H629" i="4"/>
  <c r="K629" i="4" s="1"/>
  <c r="H628" i="4"/>
  <c r="K628" i="4" s="1"/>
  <c r="H627" i="4"/>
  <c r="K627" i="4" s="1"/>
  <c r="H626" i="4"/>
  <c r="K626" i="4" s="1"/>
  <c r="H625" i="4"/>
  <c r="K625" i="4" s="1"/>
  <c r="J624" i="4"/>
  <c r="G624" i="4"/>
  <c r="H623" i="4"/>
  <c r="K623" i="4" s="1"/>
  <c r="H622" i="4"/>
  <c r="K622" i="4" s="1"/>
  <c r="J621" i="4"/>
  <c r="G621" i="4"/>
  <c r="H620" i="4"/>
  <c r="K620" i="4" s="1"/>
  <c r="H619" i="4"/>
  <c r="K619" i="4" s="1"/>
  <c r="H618" i="4"/>
  <c r="K618" i="4" s="1"/>
  <c r="J617" i="4"/>
  <c r="G617" i="4"/>
  <c r="H616" i="4"/>
  <c r="K616" i="4" s="1"/>
  <c r="K617" i="4" s="1"/>
  <c r="J615" i="4"/>
  <c r="G614" i="4"/>
  <c r="H614" i="4" s="1"/>
  <c r="K614" i="4" s="1"/>
  <c r="H613" i="4"/>
  <c r="K613" i="4" s="1"/>
  <c r="H612" i="4"/>
  <c r="K612" i="4" s="1"/>
  <c r="H611" i="4"/>
  <c r="K611" i="4" s="1"/>
  <c r="J610" i="4"/>
  <c r="H609" i="4"/>
  <c r="K609" i="4" s="1"/>
  <c r="H608" i="4"/>
  <c r="K608" i="4" s="1"/>
  <c r="G607" i="4"/>
  <c r="H607" i="4" s="1"/>
  <c r="K607" i="4" s="1"/>
  <c r="G606" i="4"/>
  <c r="H606" i="4" s="1"/>
  <c r="K606" i="4" s="1"/>
  <c r="H605" i="4"/>
  <c r="K605" i="4" s="1"/>
  <c r="J604" i="4"/>
  <c r="G604" i="4"/>
  <c r="H603" i="4"/>
  <c r="K603" i="4" s="1"/>
  <c r="H602" i="4"/>
  <c r="K602" i="4" s="1"/>
  <c r="J601" i="4"/>
  <c r="G601" i="4"/>
  <c r="H600" i="4"/>
  <c r="K600" i="4" s="1"/>
  <c r="H599" i="4"/>
  <c r="K599" i="4" s="1"/>
  <c r="H598" i="4"/>
  <c r="K598" i="4" s="1"/>
  <c r="H597" i="4"/>
  <c r="K597" i="4" s="1"/>
  <c r="J596" i="4"/>
  <c r="G595" i="4"/>
  <c r="G596" i="4" s="1"/>
  <c r="H594" i="4"/>
  <c r="K594" i="4" s="1"/>
  <c r="H593" i="4"/>
  <c r="K593" i="4" s="1"/>
  <c r="J592" i="4"/>
  <c r="G592" i="4"/>
  <c r="H591" i="4"/>
  <c r="K591" i="4" s="1"/>
  <c r="H590" i="4"/>
  <c r="K590" i="4" s="1"/>
  <c r="H589" i="4"/>
  <c r="K589" i="4" s="1"/>
  <c r="H588" i="4"/>
  <c r="K588" i="4" s="1"/>
  <c r="H587" i="4"/>
  <c r="K587" i="4" s="1"/>
  <c r="J586" i="4"/>
  <c r="G586" i="4"/>
  <c r="H585" i="4"/>
  <c r="K585" i="4" s="1"/>
  <c r="H584" i="4"/>
  <c r="K584" i="4" s="1"/>
  <c r="H583" i="4"/>
  <c r="K583" i="4" s="1"/>
  <c r="H582" i="4"/>
  <c r="K582" i="4" s="1"/>
  <c r="J581" i="4"/>
  <c r="H580" i="4"/>
  <c r="K580" i="4" s="1"/>
  <c r="G580" i="4"/>
  <c r="G581" i="4" s="1"/>
  <c r="H579" i="4"/>
  <c r="K579" i="4" s="1"/>
  <c r="H578" i="4"/>
  <c r="K578" i="4" s="1"/>
  <c r="J577" i="4"/>
  <c r="G577" i="4"/>
  <c r="H576" i="4"/>
  <c r="K576" i="4" s="1"/>
  <c r="K577" i="4" s="1"/>
  <c r="J575" i="4"/>
  <c r="G575" i="4"/>
  <c r="H574" i="4"/>
  <c r="K574" i="4" s="1"/>
  <c r="H573" i="4"/>
  <c r="K573" i="4" s="1"/>
  <c r="H572" i="4"/>
  <c r="K572" i="4" s="1"/>
  <c r="H571" i="4"/>
  <c r="K571" i="4" s="1"/>
  <c r="J570" i="4"/>
  <c r="G570" i="4"/>
  <c r="H569" i="4"/>
  <c r="K569" i="4" s="1"/>
  <c r="K570" i="4" s="1"/>
  <c r="J568" i="4"/>
  <c r="G568" i="4"/>
  <c r="H567" i="4"/>
  <c r="K567" i="4" s="1"/>
  <c r="K568" i="4" s="1"/>
  <c r="J566" i="4"/>
  <c r="G566" i="4"/>
  <c r="H565" i="4"/>
  <c r="K565" i="4" s="1"/>
  <c r="H564" i="4"/>
  <c r="K564" i="4" s="1"/>
  <c r="H563" i="4"/>
  <c r="K563" i="4" s="1"/>
  <c r="J562" i="4"/>
  <c r="G562" i="4"/>
  <c r="H561" i="4"/>
  <c r="K561" i="4" s="1"/>
  <c r="H560" i="4"/>
  <c r="K560" i="4" s="1"/>
  <c r="H559" i="4"/>
  <c r="K559" i="4" s="1"/>
  <c r="H558" i="4"/>
  <c r="K558" i="4" s="1"/>
  <c r="J557" i="4"/>
  <c r="G557" i="4"/>
  <c r="H556" i="4"/>
  <c r="K556" i="4" s="1"/>
  <c r="H555" i="4"/>
  <c r="K555" i="4" s="1"/>
  <c r="H554" i="4"/>
  <c r="K554" i="4" s="1"/>
  <c r="H553" i="4"/>
  <c r="K553" i="4" s="1"/>
  <c r="J552" i="4"/>
  <c r="H551" i="4"/>
  <c r="K551" i="4" s="1"/>
  <c r="G550" i="4"/>
  <c r="G552" i="4" s="1"/>
  <c r="H549" i="4"/>
  <c r="K549" i="4" s="1"/>
  <c r="H548" i="4"/>
  <c r="K548" i="4" s="1"/>
  <c r="H547" i="4"/>
  <c r="K547" i="4" s="1"/>
  <c r="H546" i="4"/>
  <c r="K546" i="4" s="1"/>
  <c r="J545" i="4"/>
  <c r="G545" i="4"/>
  <c r="H544" i="4"/>
  <c r="K544" i="4" s="1"/>
  <c r="H543" i="4"/>
  <c r="K543" i="4" s="1"/>
  <c r="H542" i="4"/>
  <c r="K542" i="4" s="1"/>
  <c r="H541" i="4"/>
  <c r="K541" i="4" s="1"/>
  <c r="J540" i="4"/>
  <c r="G540" i="4"/>
  <c r="H539" i="4"/>
  <c r="K539" i="4" s="1"/>
  <c r="H538" i="4"/>
  <c r="K538" i="4" s="1"/>
  <c r="H537" i="4"/>
  <c r="K537" i="4" s="1"/>
  <c r="H536" i="4"/>
  <c r="K536" i="4" s="1"/>
  <c r="H535" i="4"/>
  <c r="K535" i="4" s="1"/>
  <c r="J534" i="4"/>
  <c r="G534" i="4"/>
  <c r="H533" i="4"/>
  <c r="K533" i="4" s="1"/>
  <c r="H532" i="4"/>
  <c r="K532" i="4" s="1"/>
  <c r="H531" i="4"/>
  <c r="K531" i="4" s="1"/>
  <c r="H530" i="4"/>
  <c r="K530" i="4" s="1"/>
  <c r="H529" i="4"/>
  <c r="K529" i="4" s="1"/>
  <c r="H528" i="4"/>
  <c r="K528" i="4" s="1"/>
  <c r="H527" i="4"/>
  <c r="K527" i="4" s="1"/>
  <c r="H526" i="4"/>
  <c r="K526" i="4" s="1"/>
  <c r="H525" i="4"/>
  <c r="K525" i="4" s="1"/>
  <c r="H524" i="4"/>
  <c r="K524" i="4" s="1"/>
  <c r="H523" i="4"/>
  <c r="K523" i="4" s="1"/>
  <c r="H522" i="4"/>
  <c r="K522" i="4" s="1"/>
  <c r="H521" i="4"/>
  <c r="K521" i="4" s="1"/>
  <c r="H520" i="4"/>
  <c r="K520" i="4" s="1"/>
  <c r="H519" i="4"/>
  <c r="K519" i="4" s="1"/>
  <c r="H518" i="4"/>
  <c r="K518" i="4" s="1"/>
  <c r="H517" i="4"/>
  <c r="K517" i="4" s="1"/>
  <c r="H516" i="4"/>
  <c r="K516" i="4" s="1"/>
  <c r="H515" i="4"/>
  <c r="K515" i="4" s="1"/>
  <c r="H514" i="4"/>
  <c r="K514" i="4" s="1"/>
  <c r="H513" i="4"/>
  <c r="K513" i="4" s="1"/>
  <c r="H512" i="4"/>
  <c r="K512" i="4" s="1"/>
  <c r="H511" i="4"/>
  <c r="K511" i="4" s="1"/>
  <c r="H510" i="4"/>
  <c r="K510" i="4" s="1"/>
  <c r="H509" i="4"/>
  <c r="K509" i="4" s="1"/>
  <c r="H508" i="4"/>
  <c r="K508" i="4" s="1"/>
  <c r="H507" i="4"/>
  <c r="K507" i="4" s="1"/>
  <c r="H506" i="4"/>
  <c r="K506" i="4" s="1"/>
  <c r="H505" i="4"/>
  <c r="K505" i="4" s="1"/>
  <c r="H504" i="4"/>
  <c r="K504" i="4" s="1"/>
  <c r="H503" i="4"/>
  <c r="K503" i="4" s="1"/>
  <c r="H502" i="4"/>
  <c r="K502" i="4" s="1"/>
  <c r="H501" i="4"/>
  <c r="K501" i="4" s="1"/>
  <c r="H500" i="4"/>
  <c r="K500" i="4" s="1"/>
  <c r="H499" i="4"/>
  <c r="K499" i="4" s="1"/>
  <c r="H498" i="4"/>
  <c r="K498" i="4" s="1"/>
  <c r="H497" i="4"/>
  <c r="K497" i="4" s="1"/>
  <c r="H496" i="4"/>
  <c r="K496" i="4" s="1"/>
  <c r="J495" i="4"/>
  <c r="G495" i="4"/>
  <c r="H494" i="4"/>
  <c r="K494" i="4" s="1"/>
  <c r="H493" i="4"/>
  <c r="K493" i="4" s="1"/>
  <c r="H492" i="4"/>
  <c r="K492" i="4" s="1"/>
  <c r="J491" i="4"/>
  <c r="G491" i="4"/>
  <c r="G490" i="4"/>
  <c r="H490" i="4" s="1"/>
  <c r="K490" i="4" s="1"/>
  <c r="H489" i="4"/>
  <c r="K489" i="4" s="1"/>
  <c r="H488" i="4"/>
  <c r="K488" i="4" s="1"/>
  <c r="H487" i="4"/>
  <c r="K487" i="4" s="1"/>
  <c r="H486" i="4"/>
  <c r="K486" i="4" s="1"/>
  <c r="J485" i="4"/>
  <c r="G485" i="4"/>
  <c r="H484" i="4"/>
  <c r="K484" i="4" s="1"/>
  <c r="H483" i="4"/>
  <c r="K483" i="4" s="1"/>
  <c r="H482" i="4"/>
  <c r="K482" i="4" s="1"/>
  <c r="H481" i="4"/>
  <c r="K481" i="4" s="1"/>
  <c r="H480" i="4"/>
  <c r="K480" i="4" s="1"/>
  <c r="J479" i="4"/>
  <c r="G479" i="4"/>
  <c r="H478" i="4"/>
  <c r="K478" i="4" s="1"/>
  <c r="H477" i="4"/>
  <c r="K477" i="4" s="1"/>
  <c r="H476" i="4"/>
  <c r="K476" i="4" s="1"/>
  <c r="H475" i="4"/>
  <c r="K475" i="4" s="1"/>
  <c r="H474" i="4"/>
  <c r="K474" i="4" s="1"/>
  <c r="J473" i="4"/>
  <c r="G473" i="4"/>
  <c r="H472" i="4"/>
  <c r="K472" i="4" s="1"/>
  <c r="H471" i="4"/>
  <c r="K471" i="4" s="1"/>
  <c r="H470" i="4"/>
  <c r="K470" i="4" s="1"/>
  <c r="J469" i="4"/>
  <c r="G469" i="4"/>
  <c r="H468" i="4"/>
  <c r="K468" i="4" s="1"/>
  <c r="H467" i="4"/>
  <c r="K467" i="4" s="1"/>
  <c r="H466" i="4"/>
  <c r="K466" i="4" s="1"/>
  <c r="J465" i="4"/>
  <c r="G465" i="4"/>
  <c r="H464" i="4"/>
  <c r="K464" i="4" s="1"/>
  <c r="H463" i="4"/>
  <c r="K463" i="4" s="1"/>
  <c r="H462" i="4"/>
  <c r="K462" i="4" s="1"/>
  <c r="H461" i="4"/>
  <c r="K461" i="4" s="1"/>
  <c r="H460" i="4"/>
  <c r="K460" i="4" s="1"/>
  <c r="J459" i="4"/>
  <c r="G459" i="4"/>
  <c r="H458" i="4"/>
  <c r="K458" i="4" s="1"/>
  <c r="H457" i="4"/>
  <c r="K457" i="4" s="1"/>
  <c r="H456" i="4"/>
  <c r="K456" i="4" s="1"/>
  <c r="H455" i="4"/>
  <c r="K455" i="4" s="1"/>
  <c r="H454" i="4"/>
  <c r="K454" i="4" s="1"/>
  <c r="J453" i="4"/>
  <c r="G453" i="4"/>
  <c r="H452" i="4"/>
  <c r="K452" i="4" s="1"/>
  <c r="H451" i="4"/>
  <c r="K451" i="4" s="1"/>
  <c r="H450" i="4"/>
  <c r="K450" i="4" s="1"/>
  <c r="H449" i="4"/>
  <c r="K449" i="4" s="1"/>
  <c r="J448" i="4"/>
  <c r="G448" i="4"/>
  <c r="H447" i="4"/>
  <c r="K447" i="4" s="1"/>
  <c r="H446" i="4"/>
  <c r="K446" i="4" s="1"/>
  <c r="H445" i="4"/>
  <c r="K445" i="4" s="1"/>
  <c r="H444" i="4"/>
  <c r="K444" i="4" s="1"/>
  <c r="J443" i="4"/>
  <c r="G443" i="4"/>
  <c r="H442" i="4"/>
  <c r="K442" i="4" s="1"/>
  <c r="H441" i="4"/>
  <c r="K441" i="4" s="1"/>
  <c r="H440" i="4"/>
  <c r="K440" i="4" s="1"/>
  <c r="H439" i="4"/>
  <c r="K439" i="4" s="1"/>
  <c r="J438" i="4"/>
  <c r="G438" i="4"/>
  <c r="H437" i="4"/>
  <c r="K437" i="4" s="1"/>
  <c r="H436" i="4"/>
  <c r="K436" i="4" s="1"/>
  <c r="H435" i="4"/>
  <c r="K435" i="4" s="1"/>
  <c r="H434" i="4"/>
  <c r="K434" i="4" s="1"/>
  <c r="J433" i="4"/>
  <c r="G433" i="4"/>
  <c r="H432" i="4"/>
  <c r="K432" i="4" s="1"/>
  <c r="H431" i="4"/>
  <c r="K431" i="4" s="1"/>
  <c r="H430" i="4"/>
  <c r="K430" i="4" s="1"/>
  <c r="H429" i="4"/>
  <c r="K429" i="4" s="1"/>
  <c r="H428" i="4"/>
  <c r="K428" i="4" s="1"/>
  <c r="H427" i="4"/>
  <c r="K427" i="4" s="1"/>
  <c r="H426" i="4"/>
  <c r="K426" i="4" s="1"/>
  <c r="J425" i="4"/>
  <c r="G425" i="4"/>
  <c r="H424" i="4"/>
  <c r="K424" i="4" s="1"/>
  <c r="H423" i="4"/>
  <c r="K423" i="4" s="1"/>
  <c r="H422" i="4"/>
  <c r="K422" i="4" s="1"/>
  <c r="H421" i="4"/>
  <c r="K421" i="4" s="1"/>
  <c r="J420" i="4"/>
  <c r="G420" i="4"/>
  <c r="H419" i="4"/>
  <c r="K419" i="4" s="1"/>
  <c r="H418" i="4"/>
  <c r="K418" i="4" s="1"/>
  <c r="G418" i="4"/>
  <c r="H417" i="4"/>
  <c r="K417" i="4" s="1"/>
  <c r="H416" i="4"/>
  <c r="K416" i="4" s="1"/>
  <c r="H415" i="4"/>
  <c r="K415" i="4" s="1"/>
  <c r="J414" i="4"/>
  <c r="G414" i="4"/>
  <c r="H413" i="4"/>
  <c r="K413" i="4" s="1"/>
  <c r="H412" i="4"/>
  <c r="K412" i="4" s="1"/>
  <c r="H411" i="4"/>
  <c r="K411" i="4" s="1"/>
  <c r="H410" i="4"/>
  <c r="K410" i="4" s="1"/>
  <c r="H409" i="4"/>
  <c r="K409" i="4" s="1"/>
  <c r="J408" i="4"/>
  <c r="G408" i="4"/>
  <c r="H407" i="4"/>
  <c r="K407" i="4" s="1"/>
  <c r="H406" i="4"/>
  <c r="K406" i="4" s="1"/>
  <c r="H405" i="4"/>
  <c r="K405" i="4" s="1"/>
  <c r="H404" i="4"/>
  <c r="K404" i="4" s="1"/>
  <c r="J403" i="4"/>
  <c r="G403" i="4"/>
  <c r="H402" i="4"/>
  <c r="K402" i="4" s="1"/>
  <c r="H401" i="4"/>
  <c r="K401" i="4" s="1"/>
  <c r="H400" i="4"/>
  <c r="K400" i="4" s="1"/>
  <c r="J399" i="4"/>
  <c r="G399" i="4"/>
  <c r="H398" i="4"/>
  <c r="K398" i="4" s="1"/>
  <c r="H397" i="4"/>
  <c r="K397" i="4" s="1"/>
  <c r="H396" i="4"/>
  <c r="K396" i="4" s="1"/>
  <c r="J395" i="4"/>
  <c r="G395" i="4"/>
  <c r="H394" i="4"/>
  <c r="K394" i="4" s="1"/>
  <c r="H393" i="4"/>
  <c r="K393" i="4" s="1"/>
  <c r="H392" i="4"/>
  <c r="K392" i="4" s="1"/>
  <c r="H391" i="4"/>
  <c r="K391" i="4" s="1"/>
  <c r="J390" i="4"/>
  <c r="G390" i="4"/>
  <c r="H389" i="4"/>
  <c r="K389" i="4" s="1"/>
  <c r="H388" i="4"/>
  <c r="K388" i="4" s="1"/>
  <c r="H387" i="4"/>
  <c r="K387" i="4" s="1"/>
  <c r="H386" i="4"/>
  <c r="K386" i="4" s="1"/>
  <c r="H385" i="4"/>
  <c r="K385" i="4" s="1"/>
  <c r="J384" i="4"/>
  <c r="G384" i="4"/>
  <c r="H383" i="4"/>
  <c r="K383" i="4" s="1"/>
  <c r="H382" i="4"/>
  <c r="K382" i="4" s="1"/>
  <c r="H381" i="4"/>
  <c r="K381" i="4" s="1"/>
  <c r="H380" i="4"/>
  <c r="K380" i="4" s="1"/>
  <c r="J379" i="4"/>
  <c r="G379" i="4"/>
  <c r="H378" i="4"/>
  <c r="K378" i="4" s="1"/>
  <c r="H377" i="4"/>
  <c r="K377" i="4" s="1"/>
  <c r="H376" i="4"/>
  <c r="K376" i="4" s="1"/>
  <c r="H375" i="4"/>
  <c r="K375" i="4" s="1"/>
  <c r="H374" i="4"/>
  <c r="K374" i="4" s="1"/>
  <c r="J373" i="4"/>
  <c r="G373" i="4"/>
  <c r="H372" i="4"/>
  <c r="K372" i="4" s="1"/>
  <c r="H371" i="4"/>
  <c r="K371" i="4" s="1"/>
  <c r="H370" i="4"/>
  <c r="K370" i="4" s="1"/>
  <c r="H369" i="4"/>
  <c r="K369" i="4" s="1"/>
  <c r="H368" i="4"/>
  <c r="K368" i="4" s="1"/>
  <c r="H367" i="4"/>
  <c r="K367" i="4" s="1"/>
  <c r="J366" i="4"/>
  <c r="G366" i="4"/>
  <c r="H365" i="4"/>
  <c r="K365" i="4" s="1"/>
  <c r="H364" i="4"/>
  <c r="K364" i="4" s="1"/>
  <c r="H363" i="4"/>
  <c r="K363" i="4" s="1"/>
  <c r="H362" i="4"/>
  <c r="K362" i="4" s="1"/>
  <c r="H361" i="4"/>
  <c r="K361" i="4" s="1"/>
  <c r="H360" i="4"/>
  <c r="K360" i="4" s="1"/>
  <c r="H359" i="4"/>
  <c r="K359" i="4" s="1"/>
  <c r="H358" i="4"/>
  <c r="K358" i="4" s="1"/>
  <c r="J357" i="4"/>
  <c r="G357" i="4"/>
  <c r="H356" i="4"/>
  <c r="K356" i="4" s="1"/>
  <c r="G356" i="4"/>
  <c r="H355" i="4"/>
  <c r="K355" i="4" s="1"/>
  <c r="H354" i="4"/>
  <c r="K354" i="4" s="1"/>
  <c r="H353" i="4"/>
  <c r="K353" i="4" s="1"/>
  <c r="J352" i="4"/>
  <c r="G352" i="4"/>
  <c r="H351" i="4"/>
  <c r="K351" i="4" s="1"/>
  <c r="H350" i="4"/>
  <c r="K350" i="4" s="1"/>
  <c r="H349" i="4"/>
  <c r="K349" i="4" s="1"/>
  <c r="H348" i="4"/>
  <c r="K348" i="4" s="1"/>
  <c r="J347" i="4"/>
  <c r="G347" i="4"/>
  <c r="H346" i="4"/>
  <c r="K346" i="4" s="1"/>
  <c r="H345" i="4"/>
  <c r="K345" i="4" s="1"/>
  <c r="H344" i="4"/>
  <c r="K344" i="4" s="1"/>
  <c r="J343" i="4"/>
  <c r="G343" i="4"/>
  <c r="H342" i="4"/>
  <c r="K342" i="4" s="1"/>
  <c r="H341" i="4"/>
  <c r="K341" i="4" s="1"/>
  <c r="H340" i="4"/>
  <c r="K340" i="4" s="1"/>
  <c r="H339" i="4"/>
  <c r="K339" i="4" s="1"/>
  <c r="J338" i="4"/>
  <c r="G338" i="4"/>
  <c r="H337" i="4"/>
  <c r="K337" i="4" s="1"/>
  <c r="H336" i="4"/>
  <c r="K336" i="4" s="1"/>
  <c r="J335" i="4"/>
  <c r="G335" i="4"/>
  <c r="H334" i="4"/>
  <c r="K334" i="4" s="1"/>
  <c r="H333" i="4"/>
  <c r="K333" i="4" s="1"/>
  <c r="H332" i="4"/>
  <c r="K332" i="4" s="1"/>
  <c r="H331" i="4"/>
  <c r="K331" i="4" s="1"/>
  <c r="J330" i="4"/>
  <c r="G330" i="4"/>
  <c r="H329" i="4"/>
  <c r="K329" i="4" s="1"/>
  <c r="H328" i="4"/>
  <c r="K328" i="4" s="1"/>
  <c r="H327" i="4"/>
  <c r="K327" i="4" s="1"/>
  <c r="H326" i="4"/>
  <c r="K326" i="4" s="1"/>
  <c r="H325" i="4"/>
  <c r="K325" i="4" s="1"/>
  <c r="J324" i="4"/>
  <c r="G324" i="4"/>
  <c r="H323" i="4"/>
  <c r="K323" i="4" s="1"/>
  <c r="H322" i="4"/>
  <c r="K322" i="4" s="1"/>
  <c r="H321" i="4"/>
  <c r="K321" i="4" s="1"/>
  <c r="H320" i="4"/>
  <c r="K320" i="4" s="1"/>
  <c r="J319" i="4"/>
  <c r="G319" i="4"/>
  <c r="H318" i="4"/>
  <c r="K318" i="4" s="1"/>
  <c r="H317" i="4"/>
  <c r="K317" i="4" s="1"/>
  <c r="H316" i="4"/>
  <c r="K316" i="4" s="1"/>
  <c r="H315" i="4"/>
  <c r="K315" i="4" s="1"/>
  <c r="J314" i="4"/>
  <c r="G314" i="4"/>
  <c r="H313" i="4"/>
  <c r="K313" i="4" s="1"/>
  <c r="H312" i="4"/>
  <c r="K312" i="4" s="1"/>
  <c r="H311" i="4"/>
  <c r="K311" i="4" s="1"/>
  <c r="H310" i="4"/>
  <c r="K310" i="4" s="1"/>
  <c r="H309" i="4"/>
  <c r="K309" i="4" s="1"/>
  <c r="J308" i="4"/>
  <c r="G308" i="4"/>
  <c r="G307" i="4"/>
  <c r="H307" i="4" s="1"/>
  <c r="K307" i="4" s="1"/>
  <c r="H306" i="4"/>
  <c r="K306" i="4" s="1"/>
  <c r="J305" i="4"/>
  <c r="G305" i="4"/>
  <c r="H304" i="4"/>
  <c r="K304" i="4" s="1"/>
  <c r="H303" i="4"/>
  <c r="K303" i="4" s="1"/>
  <c r="H302" i="4"/>
  <c r="K302" i="4" s="1"/>
  <c r="H301" i="4"/>
  <c r="K301" i="4" s="1"/>
  <c r="H300" i="4"/>
  <c r="K300" i="4" s="1"/>
  <c r="J299" i="4"/>
  <c r="G298" i="4"/>
  <c r="G299" i="4" s="1"/>
  <c r="H297" i="4"/>
  <c r="K297" i="4" s="1"/>
  <c r="H296" i="4"/>
  <c r="K296" i="4" s="1"/>
  <c r="H295" i="4"/>
  <c r="K295" i="4" s="1"/>
  <c r="J294" i="4"/>
  <c r="G293" i="4"/>
  <c r="H292" i="4"/>
  <c r="K292" i="4" s="1"/>
  <c r="H291" i="4"/>
  <c r="K291" i="4" s="1"/>
  <c r="J290" i="4"/>
  <c r="G290" i="4"/>
  <c r="H289" i="4"/>
  <c r="K289" i="4" s="1"/>
  <c r="G289" i="4"/>
  <c r="H288" i="4"/>
  <c r="K288" i="4" s="1"/>
  <c r="H287" i="4"/>
  <c r="K287" i="4" s="1"/>
  <c r="H286" i="4"/>
  <c r="K286" i="4" s="1"/>
  <c r="J285" i="4"/>
  <c r="G284" i="4"/>
  <c r="G285" i="4" s="1"/>
  <c r="H283" i="4"/>
  <c r="K283" i="4" s="1"/>
  <c r="H282" i="4"/>
  <c r="K282" i="4" s="1"/>
  <c r="H281" i="4"/>
  <c r="K281" i="4" s="1"/>
  <c r="J280" i="4"/>
  <c r="G280" i="4"/>
  <c r="H279" i="4"/>
  <c r="K279" i="4" s="1"/>
  <c r="H278" i="4"/>
  <c r="K278" i="4" s="1"/>
  <c r="H277" i="4"/>
  <c r="K277" i="4" s="1"/>
  <c r="H276" i="4"/>
  <c r="K276" i="4" s="1"/>
  <c r="H275" i="4"/>
  <c r="K275" i="4" s="1"/>
  <c r="J274" i="4"/>
  <c r="G274" i="4"/>
  <c r="H273" i="4"/>
  <c r="K273" i="4" s="1"/>
  <c r="H272" i="4"/>
  <c r="K272" i="4" s="1"/>
  <c r="H271" i="4"/>
  <c r="K271" i="4" s="1"/>
  <c r="J270" i="4"/>
  <c r="G270" i="4"/>
  <c r="H269" i="4"/>
  <c r="K269" i="4" s="1"/>
  <c r="H268" i="4"/>
  <c r="K268" i="4" s="1"/>
  <c r="J267" i="4"/>
  <c r="G267" i="4"/>
  <c r="H266" i="4"/>
  <c r="K266" i="4" s="1"/>
  <c r="H265" i="4"/>
  <c r="K265" i="4" s="1"/>
  <c r="H264" i="4"/>
  <c r="K264" i="4" s="1"/>
  <c r="H263" i="4"/>
  <c r="K263" i="4" s="1"/>
  <c r="J262" i="4"/>
  <c r="G262" i="4"/>
  <c r="H261" i="4"/>
  <c r="K261" i="4" s="1"/>
  <c r="H260" i="4"/>
  <c r="K260" i="4" s="1"/>
  <c r="H259" i="4"/>
  <c r="K259" i="4" s="1"/>
  <c r="H258" i="4"/>
  <c r="K258" i="4" s="1"/>
  <c r="J257" i="4"/>
  <c r="G257" i="4"/>
  <c r="H256" i="4"/>
  <c r="K256" i="4" s="1"/>
  <c r="H255" i="4"/>
  <c r="K255" i="4" s="1"/>
  <c r="H254" i="4"/>
  <c r="K254" i="4" s="1"/>
  <c r="H253" i="4"/>
  <c r="K253" i="4" s="1"/>
  <c r="J252" i="4"/>
  <c r="G252" i="4"/>
  <c r="H251" i="4"/>
  <c r="K251" i="4" s="1"/>
  <c r="H250" i="4"/>
  <c r="K250" i="4" s="1"/>
  <c r="H249" i="4"/>
  <c r="K249" i="4" s="1"/>
  <c r="H248" i="4"/>
  <c r="K248" i="4" s="1"/>
  <c r="H247" i="4"/>
  <c r="K247" i="4" s="1"/>
  <c r="J246" i="4"/>
  <c r="G246" i="4"/>
  <c r="H245" i="4"/>
  <c r="K245" i="4" s="1"/>
  <c r="G244" i="4"/>
  <c r="H244" i="4" s="1"/>
  <c r="K244" i="4" s="1"/>
  <c r="H243" i="4"/>
  <c r="K243" i="4" s="1"/>
  <c r="H242" i="4"/>
  <c r="K242" i="4" s="1"/>
  <c r="J241" i="4"/>
  <c r="G241" i="4"/>
  <c r="H240" i="4"/>
  <c r="K240" i="4" s="1"/>
  <c r="H239" i="4"/>
  <c r="K239" i="4" s="1"/>
  <c r="G239" i="4"/>
  <c r="H238" i="4"/>
  <c r="K238" i="4" s="1"/>
  <c r="J236" i="4"/>
  <c r="G236" i="4"/>
  <c r="H235" i="4"/>
  <c r="K235" i="4" s="1"/>
  <c r="L235" i="4" s="1"/>
  <c r="H234" i="4"/>
  <c r="K234" i="4" s="1"/>
  <c r="L234" i="4" s="1"/>
  <c r="H233" i="4"/>
  <c r="K233" i="4" s="1"/>
  <c r="L233" i="4" s="1"/>
  <c r="H232" i="4"/>
  <c r="K232" i="4" s="1"/>
  <c r="L232" i="4" s="1"/>
  <c r="H231" i="4"/>
  <c r="K231" i="4" s="1"/>
  <c r="L231" i="4" s="1"/>
  <c r="J230" i="4"/>
  <c r="G230" i="4"/>
  <c r="H229" i="4"/>
  <c r="K229" i="4" s="1"/>
  <c r="L229" i="4" s="1"/>
  <c r="H228" i="4"/>
  <c r="K228" i="4" s="1"/>
  <c r="L228" i="4" s="1"/>
  <c r="H227" i="4"/>
  <c r="K227" i="4" s="1"/>
  <c r="L227" i="4" s="1"/>
  <c r="H226" i="4"/>
  <c r="K226" i="4" s="1"/>
  <c r="L226" i="4" s="1"/>
  <c r="H225" i="4"/>
  <c r="K225" i="4" s="1"/>
  <c r="J224" i="4"/>
  <c r="G224" i="4"/>
  <c r="H223" i="4"/>
  <c r="K223" i="4" s="1"/>
  <c r="L223" i="4" s="1"/>
  <c r="H222" i="4"/>
  <c r="K222" i="4" s="1"/>
  <c r="J221" i="4"/>
  <c r="G221" i="4"/>
  <c r="H220" i="4"/>
  <c r="K220" i="4" s="1"/>
  <c r="L220" i="4" s="1"/>
  <c r="H219" i="4"/>
  <c r="K219" i="4" s="1"/>
  <c r="J218" i="4"/>
  <c r="G218" i="4"/>
  <c r="H217" i="4"/>
  <c r="K217" i="4" s="1"/>
  <c r="J216" i="4"/>
  <c r="G216" i="4"/>
  <c r="H215" i="4"/>
  <c r="K215" i="4" s="1"/>
  <c r="L215" i="4" s="1"/>
  <c r="H214" i="4"/>
  <c r="K214" i="4" s="1"/>
  <c r="J213" i="4"/>
  <c r="G213" i="4"/>
  <c r="H212" i="4"/>
  <c r="K212" i="4" s="1"/>
  <c r="L212" i="4" s="1"/>
  <c r="H211" i="4"/>
  <c r="K211" i="4" s="1"/>
  <c r="L211" i="4" s="1"/>
  <c r="H210" i="4"/>
  <c r="K210" i="4" s="1"/>
  <c r="L210" i="4" s="1"/>
  <c r="H209" i="4"/>
  <c r="K209" i="4" s="1"/>
  <c r="L209" i="4" s="1"/>
  <c r="H208" i="4"/>
  <c r="K208" i="4" s="1"/>
  <c r="L208" i="4" s="1"/>
  <c r="H207" i="4"/>
  <c r="K207" i="4" s="1"/>
  <c r="J206" i="4"/>
  <c r="G206" i="4"/>
  <c r="H205" i="4"/>
  <c r="K205" i="4" s="1"/>
  <c r="L205" i="4" s="1"/>
  <c r="H204" i="4"/>
  <c r="K204" i="4" s="1"/>
  <c r="J203" i="4"/>
  <c r="G203" i="4"/>
  <c r="H202" i="4"/>
  <c r="K202" i="4" s="1"/>
  <c r="J201" i="4"/>
  <c r="G201" i="4"/>
  <c r="H200" i="4"/>
  <c r="K200" i="4" s="1"/>
  <c r="L200" i="4" s="1"/>
  <c r="H199" i="4"/>
  <c r="K199" i="4" s="1"/>
  <c r="L199" i="4" s="1"/>
  <c r="H198" i="4"/>
  <c r="K198" i="4" s="1"/>
  <c r="L198" i="4" s="1"/>
  <c r="H197" i="4"/>
  <c r="K197" i="4" s="1"/>
  <c r="J196" i="4"/>
  <c r="G196" i="4"/>
  <c r="H195" i="4"/>
  <c r="K195" i="4" s="1"/>
  <c r="L195" i="4" s="1"/>
  <c r="H194" i="4"/>
  <c r="K194" i="4" s="1"/>
  <c r="L194" i="4" s="1"/>
  <c r="H193" i="4"/>
  <c r="K193" i="4" s="1"/>
  <c r="J192" i="4"/>
  <c r="G192" i="4"/>
  <c r="H191" i="4"/>
  <c r="K191" i="4" s="1"/>
  <c r="L191" i="4" s="1"/>
  <c r="H190" i="4"/>
  <c r="K190" i="4" s="1"/>
  <c r="L190" i="4" s="1"/>
  <c r="H189" i="4"/>
  <c r="K189" i="4" s="1"/>
  <c r="J188" i="4"/>
  <c r="G188" i="4"/>
  <c r="H187" i="4"/>
  <c r="K187" i="4" s="1"/>
  <c r="J186" i="4"/>
  <c r="G186" i="4"/>
  <c r="H185" i="4"/>
  <c r="K185" i="4" s="1"/>
  <c r="L185" i="4" s="1"/>
  <c r="H184" i="4"/>
  <c r="K184" i="4" s="1"/>
  <c r="L184" i="4" s="1"/>
  <c r="H183" i="4"/>
  <c r="K183" i="4" s="1"/>
  <c r="L183" i="4" s="1"/>
  <c r="H182" i="4"/>
  <c r="K182" i="4" s="1"/>
  <c r="L182" i="4" s="1"/>
  <c r="H181" i="4"/>
  <c r="K181" i="4" s="1"/>
  <c r="J180" i="4"/>
  <c r="G180" i="4"/>
  <c r="H179" i="4"/>
  <c r="K179" i="4" s="1"/>
  <c r="L179" i="4" s="1"/>
  <c r="H178" i="4"/>
  <c r="K178" i="4" s="1"/>
  <c r="L178" i="4" s="1"/>
  <c r="J177" i="4"/>
  <c r="G177" i="4"/>
  <c r="H176" i="4"/>
  <c r="K176" i="4" s="1"/>
  <c r="L176" i="4" s="1"/>
  <c r="H175" i="4"/>
  <c r="K175" i="4" s="1"/>
  <c r="L175" i="4" s="1"/>
  <c r="H174" i="4"/>
  <c r="K174" i="4" s="1"/>
  <c r="L174" i="4" s="1"/>
  <c r="J173" i="4"/>
  <c r="G173" i="4"/>
  <c r="H172" i="4"/>
  <c r="K172" i="4" s="1"/>
  <c r="L172" i="4" s="1"/>
  <c r="H171" i="4"/>
  <c r="K171" i="4" s="1"/>
  <c r="L171" i="4" s="1"/>
  <c r="H170" i="4"/>
  <c r="K170" i="4" s="1"/>
  <c r="L170" i="4" s="1"/>
  <c r="H169" i="4"/>
  <c r="K169" i="4" s="1"/>
  <c r="L169" i="4" s="1"/>
  <c r="H168" i="4"/>
  <c r="K168" i="4" s="1"/>
  <c r="L168" i="4" s="1"/>
  <c r="J167" i="4"/>
  <c r="H166" i="4"/>
  <c r="K166" i="4" s="1"/>
  <c r="L166" i="4" s="1"/>
  <c r="G166" i="4"/>
  <c r="G167" i="4" s="1"/>
  <c r="H165" i="4"/>
  <c r="K165" i="4" s="1"/>
  <c r="H164" i="4"/>
  <c r="K164" i="4" s="1"/>
  <c r="L164" i="4" s="1"/>
  <c r="H163" i="4"/>
  <c r="K163" i="4" s="1"/>
  <c r="L163" i="4" s="1"/>
  <c r="J162" i="4"/>
  <c r="G162" i="4"/>
  <c r="H161" i="4"/>
  <c r="K161" i="4" s="1"/>
  <c r="L161" i="4" s="1"/>
  <c r="H160" i="4"/>
  <c r="K160" i="4" s="1"/>
  <c r="L160" i="4" s="1"/>
  <c r="J159" i="4"/>
  <c r="G159" i="4"/>
  <c r="H158" i="4"/>
  <c r="K158" i="4" s="1"/>
  <c r="L158" i="4" s="1"/>
  <c r="H157" i="4"/>
  <c r="K157" i="4" s="1"/>
  <c r="J156" i="4"/>
  <c r="G156" i="4"/>
  <c r="H155" i="4"/>
  <c r="K155" i="4" s="1"/>
  <c r="L155" i="4" s="1"/>
  <c r="H154" i="4"/>
  <c r="K154" i="4" s="1"/>
  <c r="L154" i="4" s="1"/>
  <c r="J153" i="4"/>
  <c r="G153" i="4"/>
  <c r="H152" i="4"/>
  <c r="K152" i="4" s="1"/>
  <c r="L152" i="4" s="1"/>
  <c r="H151" i="4"/>
  <c r="K151" i="4" s="1"/>
  <c r="J150" i="4"/>
  <c r="G150" i="4"/>
  <c r="H149" i="4"/>
  <c r="K149" i="4" s="1"/>
  <c r="J148" i="4"/>
  <c r="G148" i="4"/>
  <c r="H147" i="4"/>
  <c r="K147" i="4" s="1"/>
  <c r="L147" i="4" s="1"/>
  <c r="H146" i="4"/>
  <c r="K146" i="4" s="1"/>
  <c r="L146" i="4" s="1"/>
  <c r="H145" i="4"/>
  <c r="K145" i="4" s="1"/>
  <c r="J144" i="4"/>
  <c r="H143" i="4"/>
  <c r="K143" i="4" s="1"/>
  <c r="L143" i="4" s="1"/>
  <c r="H142" i="4"/>
  <c r="K142" i="4" s="1"/>
  <c r="H141" i="4"/>
  <c r="K141" i="4" s="1"/>
  <c r="G140" i="4"/>
  <c r="G144" i="4" s="1"/>
  <c r="H139" i="4"/>
  <c r="K139" i="4" s="1"/>
  <c r="L139" i="4" s="1"/>
  <c r="H138" i="4"/>
  <c r="K138" i="4" s="1"/>
  <c r="H137" i="4"/>
  <c r="K137" i="4" s="1"/>
  <c r="J136" i="4"/>
  <c r="G136" i="4"/>
  <c r="H135" i="4"/>
  <c r="K135" i="4" s="1"/>
  <c r="L135" i="4" s="1"/>
  <c r="H134" i="4"/>
  <c r="K134" i="4" s="1"/>
  <c r="L134" i="4" s="1"/>
  <c r="H133" i="4"/>
  <c r="K133" i="4" s="1"/>
  <c r="L133" i="4" s="1"/>
  <c r="H132" i="4"/>
  <c r="K132" i="4" s="1"/>
  <c r="L132" i="4" s="1"/>
  <c r="H131" i="4"/>
  <c r="K131" i="4" s="1"/>
  <c r="H130" i="4"/>
  <c r="K130" i="4" s="1"/>
  <c r="L130" i="4" s="1"/>
  <c r="J129" i="4"/>
  <c r="G129" i="4"/>
  <c r="H128" i="4"/>
  <c r="K128" i="4" s="1"/>
  <c r="L128" i="4" s="1"/>
  <c r="H127" i="4"/>
  <c r="K127" i="4" s="1"/>
  <c r="L127" i="4" s="1"/>
  <c r="H126" i="4"/>
  <c r="K126" i="4" s="1"/>
  <c r="L126" i="4" s="1"/>
  <c r="H125" i="4"/>
  <c r="K125" i="4" s="1"/>
  <c r="L125" i="4" s="1"/>
  <c r="H124" i="4"/>
  <c r="K124" i="4" s="1"/>
  <c r="L124" i="4" s="1"/>
  <c r="J123" i="4"/>
  <c r="G123" i="4"/>
  <c r="G122" i="4"/>
  <c r="H122" i="4" s="1"/>
  <c r="K122" i="4" s="1"/>
  <c r="L122" i="4" s="1"/>
  <c r="H121" i="4"/>
  <c r="K121" i="4" s="1"/>
  <c r="L121" i="4" s="1"/>
  <c r="H120" i="4"/>
  <c r="K120" i="4" s="1"/>
  <c r="L120" i="4" s="1"/>
  <c r="H119" i="4"/>
  <c r="K119" i="4" s="1"/>
  <c r="L119" i="4" s="1"/>
  <c r="J118" i="4"/>
  <c r="G118" i="4"/>
  <c r="G117" i="4"/>
  <c r="H117" i="4" s="1"/>
  <c r="K117" i="4" s="1"/>
  <c r="L117" i="4" s="1"/>
  <c r="H116" i="4"/>
  <c r="K116" i="4" s="1"/>
  <c r="L116" i="4" s="1"/>
  <c r="H115" i="4"/>
  <c r="K115" i="4" s="1"/>
  <c r="L115" i="4" s="1"/>
  <c r="H114" i="4"/>
  <c r="K114" i="4" s="1"/>
  <c r="L114" i="4" s="1"/>
  <c r="H113" i="4"/>
  <c r="K113" i="4" s="1"/>
  <c r="J112" i="4"/>
  <c r="G112" i="4"/>
  <c r="H111" i="4"/>
  <c r="K111" i="4" s="1"/>
  <c r="L111" i="4" s="1"/>
  <c r="H110" i="4"/>
  <c r="K110" i="4" s="1"/>
  <c r="L110" i="4" s="1"/>
  <c r="H109" i="4"/>
  <c r="K109" i="4" s="1"/>
  <c r="L109" i="4" s="1"/>
  <c r="H108" i="4"/>
  <c r="K108" i="4" s="1"/>
  <c r="L108" i="4" s="1"/>
  <c r="H107" i="4"/>
  <c r="K107" i="4" s="1"/>
  <c r="L107" i="4" s="1"/>
  <c r="J106" i="4"/>
  <c r="G106" i="4"/>
  <c r="H105" i="4"/>
  <c r="K105" i="4" s="1"/>
  <c r="L105" i="4" s="1"/>
  <c r="H104" i="4"/>
  <c r="K104" i="4" s="1"/>
  <c r="L104" i="4" s="1"/>
  <c r="H103" i="4"/>
  <c r="K103" i="4" s="1"/>
  <c r="L103" i="4" s="1"/>
  <c r="H102" i="4"/>
  <c r="K102" i="4" s="1"/>
  <c r="J101" i="4"/>
  <c r="G101" i="4"/>
  <c r="H100" i="4"/>
  <c r="K100" i="4" s="1"/>
  <c r="L100" i="4" s="1"/>
  <c r="H99" i="4"/>
  <c r="K99" i="4" s="1"/>
  <c r="H98" i="4"/>
  <c r="K98" i="4" s="1"/>
  <c r="L98" i="4" s="1"/>
  <c r="H97" i="4"/>
  <c r="K97" i="4" s="1"/>
  <c r="L97" i="4" s="1"/>
  <c r="H96" i="4"/>
  <c r="K96" i="4" s="1"/>
  <c r="J95" i="4"/>
  <c r="G95" i="4"/>
  <c r="H94" i="4"/>
  <c r="K94" i="4" s="1"/>
  <c r="H93" i="4"/>
  <c r="K93" i="4" s="1"/>
  <c r="L93" i="4" s="1"/>
  <c r="G93" i="4"/>
  <c r="H92" i="4"/>
  <c r="K92" i="4" s="1"/>
  <c r="L92" i="4" s="1"/>
  <c r="H91" i="4"/>
  <c r="K91" i="4" s="1"/>
  <c r="L91" i="4" s="1"/>
  <c r="H90" i="4"/>
  <c r="K90" i="4" s="1"/>
  <c r="H89" i="4"/>
  <c r="K89" i="4" s="1"/>
  <c r="L89" i="4" s="1"/>
  <c r="J88" i="4"/>
  <c r="G88" i="4"/>
  <c r="H87" i="4"/>
  <c r="K87" i="4" s="1"/>
  <c r="L87" i="4" s="1"/>
  <c r="H86" i="4"/>
  <c r="K86" i="4" s="1"/>
  <c r="H85" i="4"/>
  <c r="K85" i="4" s="1"/>
  <c r="L85" i="4" s="1"/>
  <c r="H84" i="4"/>
  <c r="K84" i="4" s="1"/>
  <c r="L84" i="4" s="1"/>
  <c r="J83" i="4"/>
  <c r="G83" i="4"/>
  <c r="H82" i="4"/>
  <c r="K82" i="4" s="1"/>
  <c r="L82" i="4" s="1"/>
  <c r="H81" i="4"/>
  <c r="K81" i="4" s="1"/>
  <c r="J80" i="4"/>
  <c r="G80" i="4"/>
  <c r="H79" i="4"/>
  <c r="K79" i="4" s="1"/>
  <c r="L79" i="4" s="1"/>
  <c r="H78" i="4"/>
  <c r="K78" i="4" s="1"/>
  <c r="L78" i="4" s="1"/>
  <c r="H77" i="4"/>
  <c r="K77" i="4" s="1"/>
  <c r="L77" i="4" s="1"/>
  <c r="H76" i="4"/>
  <c r="K76" i="4" s="1"/>
  <c r="L76" i="4" s="1"/>
  <c r="H75" i="4"/>
  <c r="K75" i="4" s="1"/>
  <c r="H74" i="4"/>
  <c r="K74" i="4" s="1"/>
  <c r="L74" i="4" s="1"/>
  <c r="J73" i="4"/>
  <c r="G73" i="4"/>
  <c r="H72" i="4"/>
  <c r="K72" i="4" s="1"/>
  <c r="L72" i="4" s="1"/>
  <c r="H71" i="4"/>
  <c r="K71" i="4" s="1"/>
  <c r="L71" i="4" s="1"/>
  <c r="H70" i="4"/>
  <c r="K70" i="4" s="1"/>
  <c r="L70" i="4" s="1"/>
  <c r="H69" i="4"/>
  <c r="K69" i="4" s="1"/>
  <c r="L69" i="4" s="1"/>
  <c r="H68" i="4"/>
  <c r="K68" i="4" s="1"/>
  <c r="L68" i="4" s="1"/>
  <c r="H67" i="4"/>
  <c r="K67" i="4" s="1"/>
  <c r="J66" i="4"/>
  <c r="G66" i="4"/>
  <c r="H65" i="4"/>
  <c r="K65" i="4" s="1"/>
  <c r="L65" i="4" s="1"/>
  <c r="H64" i="4"/>
  <c r="K64" i="4" s="1"/>
  <c r="J63" i="4"/>
  <c r="G63" i="4"/>
  <c r="H62" i="4"/>
  <c r="K62" i="4" s="1"/>
  <c r="L62" i="4" s="1"/>
  <c r="H61" i="4"/>
  <c r="K61" i="4" s="1"/>
  <c r="J60" i="4"/>
  <c r="G60" i="4"/>
  <c r="H59" i="4"/>
  <c r="K59" i="4" s="1"/>
  <c r="L59" i="4" s="1"/>
  <c r="H58" i="4"/>
  <c r="K58" i="4" s="1"/>
  <c r="H57" i="4"/>
  <c r="K57" i="4" s="1"/>
  <c r="L57" i="4" s="1"/>
  <c r="J56" i="4"/>
  <c r="G56" i="4"/>
  <c r="H55" i="4"/>
  <c r="K55" i="4" s="1"/>
  <c r="L55" i="4" s="1"/>
  <c r="H54" i="4"/>
  <c r="K54" i="4" s="1"/>
  <c r="H53" i="4"/>
  <c r="K53" i="4" s="1"/>
  <c r="L53" i="4" s="1"/>
  <c r="J52" i="4"/>
  <c r="G52" i="4"/>
  <c r="H51" i="4"/>
  <c r="K51" i="4" s="1"/>
  <c r="L51" i="4" s="1"/>
  <c r="H50" i="4"/>
  <c r="K50" i="4" s="1"/>
  <c r="J49" i="4"/>
  <c r="G49" i="4"/>
  <c r="H48" i="4"/>
  <c r="K48" i="4" s="1"/>
  <c r="L48" i="4" s="1"/>
  <c r="H47" i="4"/>
  <c r="K47" i="4" s="1"/>
  <c r="J46" i="4"/>
  <c r="G46" i="4"/>
  <c r="H45" i="4"/>
  <c r="K45" i="4" s="1"/>
  <c r="L45" i="4" s="1"/>
  <c r="H44" i="4"/>
  <c r="K44" i="4" s="1"/>
  <c r="L44" i="4" s="1"/>
  <c r="J43" i="4"/>
  <c r="G43" i="4"/>
  <c r="H42" i="4"/>
  <c r="K42" i="4" s="1"/>
  <c r="L42" i="4" s="1"/>
  <c r="H41" i="4"/>
  <c r="K41" i="4" s="1"/>
  <c r="J40" i="4"/>
  <c r="G40" i="4"/>
  <c r="H39" i="4"/>
  <c r="K39" i="4" s="1"/>
  <c r="L39" i="4" s="1"/>
  <c r="H38" i="4"/>
  <c r="K38" i="4" s="1"/>
  <c r="H37" i="4"/>
  <c r="K37" i="4" s="1"/>
  <c r="H36" i="4"/>
  <c r="K36" i="4" s="1"/>
  <c r="L36" i="4" s="1"/>
  <c r="H35" i="4"/>
  <c r="K35" i="4" s="1"/>
  <c r="L35" i="4" s="1"/>
  <c r="H34" i="4"/>
  <c r="K34" i="4" s="1"/>
  <c r="L34" i="4" s="1"/>
  <c r="H33" i="4"/>
  <c r="K33" i="4" s="1"/>
  <c r="L33" i="4" s="1"/>
  <c r="H32" i="4"/>
  <c r="K32" i="4" s="1"/>
  <c r="H31" i="4"/>
  <c r="K31" i="4" s="1"/>
  <c r="L31" i="4" s="1"/>
  <c r="H30" i="4"/>
  <c r="K30" i="4" s="1"/>
  <c r="L30" i="4" s="1"/>
  <c r="J29" i="4"/>
  <c r="G29" i="4"/>
  <c r="H28" i="4"/>
  <c r="K28" i="4" s="1"/>
  <c r="L28" i="4" s="1"/>
  <c r="H27" i="4"/>
  <c r="K27" i="4" s="1"/>
  <c r="L27" i="4" s="1"/>
  <c r="H26" i="4"/>
  <c r="K26" i="4" s="1"/>
  <c r="L26" i="4" s="1"/>
  <c r="J25" i="4"/>
  <c r="G25" i="4"/>
  <c r="H24" i="4"/>
  <c r="K24" i="4" s="1"/>
  <c r="L24" i="4" s="1"/>
  <c r="H23" i="4"/>
  <c r="K23" i="4" s="1"/>
  <c r="L23" i="4" s="1"/>
  <c r="H22" i="4"/>
  <c r="K22" i="4" s="1"/>
  <c r="L22" i="4" s="1"/>
  <c r="H21" i="4"/>
  <c r="K21" i="4" s="1"/>
  <c r="L21" i="4" s="1"/>
  <c r="H20" i="4"/>
  <c r="K20" i="4" s="1"/>
  <c r="L20" i="4" s="1"/>
  <c r="J19" i="4"/>
  <c r="G19" i="4"/>
  <c r="H18" i="4"/>
  <c r="K18" i="4" s="1"/>
  <c r="L18" i="4" s="1"/>
  <c r="H17" i="4"/>
  <c r="K17" i="4" s="1"/>
  <c r="L17" i="4" s="1"/>
  <c r="H16" i="4"/>
  <c r="K16" i="4" s="1"/>
  <c r="H15" i="4"/>
  <c r="K15" i="4" s="1"/>
  <c r="L15" i="4" s="1"/>
  <c r="J14" i="4"/>
  <c r="G14" i="4"/>
  <c r="H13" i="4"/>
  <c r="K13" i="4" s="1"/>
  <c r="L13" i="4" s="1"/>
  <c r="H12" i="4"/>
  <c r="K12" i="4" s="1"/>
  <c r="L12" i="4" s="1"/>
  <c r="H11" i="4"/>
  <c r="K11" i="4" s="1"/>
  <c r="L11" i="4" s="1"/>
  <c r="H10" i="4"/>
  <c r="K10" i="4" s="1"/>
  <c r="L10" i="4" s="1"/>
  <c r="H9" i="4"/>
  <c r="K9" i="4" s="1"/>
  <c r="J8" i="4"/>
  <c r="G8" i="4"/>
  <c r="H7" i="4"/>
  <c r="K7" i="4" s="1"/>
  <c r="L7" i="4" s="1"/>
  <c r="H6" i="4"/>
  <c r="K6" i="4" s="1"/>
  <c r="L6" i="4" s="1"/>
  <c r="J5" i="4"/>
  <c r="G5" i="4"/>
  <c r="H4" i="4"/>
  <c r="K4" i="4" s="1"/>
  <c r="J3" i="4"/>
  <c r="G3" i="4"/>
  <c r="H2" i="4"/>
  <c r="K2" i="4" s="1"/>
  <c r="K3" i="4" s="1"/>
  <c r="K63" i="4" l="1"/>
  <c r="K891" i="4"/>
  <c r="K892" i="4"/>
  <c r="K469" i="4"/>
  <c r="K624" i="4"/>
  <c r="K390" i="4"/>
  <c r="K399" i="4"/>
  <c r="K338" i="4"/>
  <c r="K566" i="4"/>
  <c r="K724" i="4"/>
  <c r="K889" i="4"/>
  <c r="L202" i="4"/>
  <c r="K203" i="4"/>
  <c r="K246" i="4"/>
  <c r="K545" i="4"/>
  <c r="K604" i="4"/>
  <c r="J895" i="4"/>
  <c r="K373" i="4"/>
  <c r="K646" i="4"/>
  <c r="K823" i="4"/>
  <c r="K257" i="4"/>
  <c r="K52" i="4"/>
  <c r="L50" i="4"/>
  <c r="K5" i="4"/>
  <c r="L4" i="4"/>
  <c r="K60" i="4"/>
  <c r="L58" i="4"/>
  <c r="K83" i="4"/>
  <c r="L81" i="4"/>
  <c r="K433" i="4"/>
  <c r="K188" i="4"/>
  <c r="L187" i="4"/>
  <c r="K685" i="4"/>
  <c r="K95" i="4"/>
  <c r="K540" i="4"/>
  <c r="K357" i="4"/>
  <c r="K384" i="4"/>
  <c r="K425" i="4"/>
  <c r="K729" i="4"/>
  <c r="K818" i="4"/>
  <c r="K843" i="4"/>
  <c r="K848" i="4"/>
  <c r="K710" i="4"/>
  <c r="K495" i="4"/>
  <c r="K699" i="4"/>
  <c r="L90" i="4"/>
  <c r="K557" i="4"/>
  <c r="K640" i="4"/>
  <c r="K855" i="4"/>
  <c r="K893" i="4"/>
  <c r="K485" i="4"/>
  <c r="K473" i="4"/>
  <c r="K635" i="4"/>
  <c r="K675" i="4"/>
  <c r="K680" i="4"/>
  <c r="K689" i="4"/>
  <c r="K809" i="4"/>
  <c r="K780" i="4"/>
  <c r="L61" i="4"/>
  <c r="K491" i="4"/>
  <c r="K562" i="4"/>
  <c r="K621" i="4"/>
  <c r="K106" i="4"/>
  <c r="K581" i="4"/>
  <c r="K615" i="4"/>
  <c r="K148" i="4"/>
  <c r="L145" i="4"/>
  <c r="K150" i="4"/>
  <c r="L149" i="4"/>
  <c r="K112" i="4"/>
  <c r="K88" i="4"/>
  <c r="L86" i="4"/>
  <c r="K80" i="4"/>
  <c r="L75" i="4"/>
  <c r="K25" i="4"/>
  <c r="L32" i="4"/>
  <c r="K40" i="4"/>
  <c r="L54" i="4"/>
  <c r="K56" i="4"/>
  <c r="K73" i="4"/>
  <c r="L67" i="4"/>
  <c r="K118" i="4"/>
  <c r="L113" i="4"/>
  <c r="K206" i="4"/>
  <c r="L204" i="4"/>
  <c r="L157" i="4"/>
  <c r="K159" i="4"/>
  <c r="L9" i="4"/>
  <c r="K14" i="4"/>
  <c r="L47" i="4"/>
  <c r="K49" i="4"/>
  <c r="K167" i="4"/>
  <c r="K196" i="4"/>
  <c r="L193" i="4"/>
  <c r="L197" i="4"/>
  <c r="K201" i="4"/>
  <c r="K19" i="4"/>
  <c r="L16" i="4"/>
  <c r="L151" i="4"/>
  <c r="K153" i="4"/>
  <c r="K101" i="4"/>
  <c r="L137" i="4"/>
  <c r="K173" i="4"/>
  <c r="K136" i="4"/>
  <c r="L131" i="4"/>
  <c r="K66" i="4"/>
  <c r="K162" i="4"/>
  <c r="K192" i="4"/>
  <c r="L189" i="4"/>
  <c r="K213" i="4"/>
  <c r="L207" i="4"/>
  <c r="L41" i="4"/>
  <c r="K43" i="4"/>
  <c r="L181" i="4"/>
  <c r="K186" i="4"/>
  <c r="L214" i="4"/>
  <c r="K216" i="4"/>
  <c r="K610" i="4"/>
  <c r="L64" i="4"/>
  <c r="L225" i="4"/>
  <c r="K230" i="4"/>
  <c r="G659" i="4"/>
  <c r="H657" i="4"/>
  <c r="K657" i="4" s="1"/>
  <c r="K659" i="4" s="1"/>
  <c r="K29" i="4"/>
  <c r="K123" i="4"/>
  <c r="K177" i="4"/>
  <c r="J856" i="4"/>
  <c r="K314" i="4"/>
  <c r="K330" i="4"/>
  <c r="K335" i="4"/>
  <c r="K352" i="4"/>
  <c r="K379" i="4"/>
  <c r="K395" i="4"/>
  <c r="K453" i="4"/>
  <c r="K459" i="4"/>
  <c r="K465" i="4"/>
  <c r="K650" i="4"/>
  <c r="K669" i="4"/>
  <c r="K746" i="4"/>
  <c r="K785" i="4"/>
  <c r="K814" i="4"/>
  <c r="J237" i="4"/>
  <c r="J857" i="4" s="1"/>
  <c r="K8" i="4"/>
  <c r="K46" i="4"/>
  <c r="H140" i="4"/>
  <c r="K140" i="4" s="1"/>
  <c r="L140" i="4" s="1"/>
  <c r="K156" i="4"/>
  <c r="K180" i="4"/>
  <c r="K236" i="4"/>
  <c r="K262" i="4"/>
  <c r="K270" i="4"/>
  <c r="K319" i="4"/>
  <c r="K324" i="4"/>
  <c r="K366" i="4"/>
  <c r="K414" i="4"/>
  <c r="K420" i="4"/>
  <c r="K443" i="4"/>
  <c r="K448" i="4"/>
  <c r="K742" i="4"/>
  <c r="K838" i="4"/>
  <c r="L2" i="4"/>
  <c r="K129" i="4"/>
  <c r="L222" i="4"/>
  <c r="K224" i="4"/>
  <c r="G237" i="4"/>
  <c r="K252" i="4"/>
  <c r="K267" i="4"/>
  <c r="K290" i="4"/>
  <c r="K408" i="4"/>
  <c r="K438" i="4"/>
  <c r="K601" i="4"/>
  <c r="K664" i="4"/>
  <c r="K720" i="4"/>
  <c r="K793" i="4"/>
  <c r="K833" i="4"/>
  <c r="L102" i="4"/>
  <c r="L217" i="4"/>
  <c r="K218" i="4"/>
  <c r="K241" i="4"/>
  <c r="K280" i="4"/>
  <c r="K305" i="4"/>
  <c r="K308" i="4"/>
  <c r="K347" i="4"/>
  <c r="K575" i="4"/>
  <c r="L219" i="4"/>
  <c r="K221" i="4"/>
  <c r="G294" i="4"/>
  <c r="H293" i="4"/>
  <c r="K293" i="4" s="1"/>
  <c r="K294" i="4" s="1"/>
  <c r="K343" i="4"/>
  <c r="K479" i="4"/>
  <c r="K534" i="4"/>
  <c r="K586" i="4"/>
  <c r="K592" i="4"/>
  <c r="K630" i="4"/>
  <c r="K704" i="4"/>
  <c r="K714" i="4"/>
  <c r="K757" i="4"/>
  <c r="K768" i="4"/>
  <c r="K805" i="4"/>
  <c r="K828" i="4"/>
  <c r="K274" i="4"/>
  <c r="K403" i="4"/>
  <c r="K694" i="4"/>
  <c r="K737" i="4"/>
  <c r="K751" i="4"/>
  <c r="K762" i="4"/>
  <c r="K773" i="4"/>
  <c r="K800" i="4"/>
  <c r="G615" i="4"/>
  <c r="H595" i="4"/>
  <c r="K595" i="4" s="1"/>
  <c r="K596" i="4" s="1"/>
  <c r="H284" i="4"/>
  <c r="K284" i="4" s="1"/>
  <c r="K285" i="4" s="1"/>
  <c r="H550" i="4"/>
  <c r="K550" i="4" s="1"/>
  <c r="K552" i="4" s="1"/>
  <c r="G694" i="4"/>
  <c r="H298" i="4"/>
  <c r="K298" i="4" s="1"/>
  <c r="K299" i="4" s="1"/>
  <c r="G610" i="4"/>
  <c r="G857" i="4" l="1"/>
  <c r="G856" i="4"/>
  <c r="K856" i="4"/>
  <c r="K144" i="4"/>
  <c r="K237" i="4" s="1"/>
  <c r="K857" i="4" s="1"/>
  <c r="G34" i="1" l="1"/>
  <c r="K86" i="3" l="1"/>
  <c r="K85" i="3"/>
  <c r="K84" i="3"/>
  <c r="K83" i="3"/>
  <c r="K87" i="3" s="1"/>
  <c r="O78" i="3"/>
  <c r="L78" i="3"/>
  <c r="L76" i="3"/>
  <c r="J76" i="3"/>
  <c r="I76" i="3"/>
  <c r="I78" i="3" s="1"/>
  <c r="H76" i="3"/>
  <c r="M75" i="3"/>
  <c r="K75" i="3"/>
  <c r="K74" i="3"/>
  <c r="M74" i="3" s="1"/>
  <c r="K73" i="3"/>
  <c r="M73" i="3" s="1"/>
  <c r="M72" i="3"/>
  <c r="K72" i="3"/>
  <c r="M71" i="3"/>
  <c r="K71" i="3"/>
  <c r="K70" i="3"/>
  <c r="M70" i="3" s="1"/>
  <c r="K69" i="3"/>
  <c r="M69" i="3" s="1"/>
  <c r="M68" i="3"/>
  <c r="K68" i="3"/>
  <c r="M67" i="3"/>
  <c r="K67" i="3"/>
  <c r="K66" i="3"/>
  <c r="M66" i="3" s="1"/>
  <c r="K65" i="3"/>
  <c r="K76" i="3" s="1"/>
  <c r="M64" i="3"/>
  <c r="K64" i="3"/>
  <c r="O63" i="3"/>
  <c r="N63" i="3"/>
  <c r="N78" i="3" s="1"/>
  <c r="P78" i="3" s="1"/>
  <c r="K63" i="3"/>
  <c r="M63" i="3" s="1"/>
  <c r="Q63" i="3" s="1"/>
  <c r="J63" i="3"/>
  <c r="J78" i="3" s="1"/>
  <c r="I63" i="3"/>
  <c r="H63" i="3"/>
  <c r="H78" i="3" s="1"/>
  <c r="P62" i="3"/>
  <c r="K62" i="3"/>
  <c r="M62" i="3" s="1"/>
  <c r="P61" i="3"/>
  <c r="K61" i="3"/>
  <c r="M61" i="3" s="1"/>
  <c r="P60" i="3"/>
  <c r="M60" i="3"/>
  <c r="K60" i="3"/>
  <c r="P59" i="3"/>
  <c r="K59" i="3"/>
  <c r="M59" i="3" s="1"/>
  <c r="AH58" i="3"/>
  <c r="P58" i="3"/>
  <c r="K58" i="3"/>
  <c r="M58" i="3" s="1"/>
  <c r="P57" i="3"/>
  <c r="K57" i="3"/>
  <c r="M57" i="3" s="1"/>
  <c r="P56" i="3"/>
  <c r="M56" i="3"/>
  <c r="P55" i="3"/>
  <c r="K55" i="3"/>
  <c r="M55" i="3" s="1"/>
  <c r="P54" i="3"/>
  <c r="K54" i="3"/>
  <c r="M54" i="3" s="1"/>
  <c r="P53" i="3"/>
  <c r="P63" i="3" s="1"/>
  <c r="K53" i="3"/>
  <c r="M53" i="3" s="1"/>
  <c r="K52" i="3"/>
  <c r="M52" i="3" s="1"/>
  <c r="M51" i="3"/>
  <c r="K51" i="3"/>
  <c r="K50" i="3"/>
  <c r="M50" i="3" s="1"/>
  <c r="K49" i="3"/>
  <c r="M49" i="3" s="1"/>
  <c r="K48" i="3"/>
  <c r="M48" i="3" s="1"/>
  <c r="L47" i="3"/>
  <c r="J47" i="3"/>
  <c r="I47" i="3"/>
  <c r="H47" i="3"/>
  <c r="M46" i="3"/>
  <c r="K46" i="3"/>
  <c r="K45" i="3"/>
  <c r="M45" i="3" s="1"/>
  <c r="K44" i="3"/>
  <c r="M44" i="3" s="1"/>
  <c r="M43" i="3"/>
  <c r="K43" i="3"/>
  <c r="M42" i="3"/>
  <c r="K42" i="3"/>
  <c r="K41" i="3"/>
  <c r="M41" i="3" s="1"/>
  <c r="K40" i="3"/>
  <c r="M40" i="3" s="1"/>
  <c r="M39" i="3"/>
  <c r="K39" i="3"/>
  <c r="M38" i="3"/>
  <c r="K38" i="3"/>
  <c r="K37" i="3"/>
  <c r="M37" i="3" s="1"/>
  <c r="K36" i="3"/>
  <c r="M36" i="3" s="1"/>
  <c r="M35" i="3"/>
  <c r="K35" i="3"/>
  <c r="M34" i="3"/>
  <c r="K34" i="3"/>
  <c r="K33" i="3"/>
  <c r="M33" i="3" s="1"/>
  <c r="K32" i="3"/>
  <c r="M32" i="3" s="1"/>
  <c r="M31" i="3"/>
  <c r="K31" i="3"/>
  <c r="M29" i="3"/>
  <c r="K29" i="3"/>
  <c r="K28" i="3"/>
  <c r="M28" i="3" s="1"/>
  <c r="K27" i="3"/>
  <c r="M27" i="3" s="1"/>
  <c r="M26" i="3"/>
  <c r="K26" i="3"/>
  <c r="M25" i="3"/>
  <c r="K25" i="3"/>
  <c r="K24" i="3"/>
  <c r="M24" i="3" s="1"/>
  <c r="K23" i="3"/>
  <c r="M23" i="3" s="1"/>
  <c r="M22" i="3"/>
  <c r="K22" i="3"/>
  <c r="M21" i="3"/>
  <c r="K21" i="3"/>
  <c r="K20" i="3"/>
  <c r="M20" i="3" s="1"/>
  <c r="K19" i="3"/>
  <c r="M19" i="3" s="1"/>
  <c r="M18" i="3"/>
  <c r="K18" i="3"/>
  <c r="M17" i="3"/>
  <c r="K17" i="3"/>
  <c r="K16" i="3"/>
  <c r="M16" i="3" s="1"/>
  <c r="K15" i="3"/>
  <c r="K47" i="3" s="1"/>
  <c r="M47" i="3" s="1"/>
  <c r="Q47" i="3" s="1"/>
  <c r="L14" i="3"/>
  <c r="J14" i="3"/>
  <c r="I14" i="3"/>
  <c r="H14" i="3"/>
  <c r="H2" i="3" s="1"/>
  <c r="I2" i="3" s="1"/>
  <c r="K13" i="3"/>
  <c r="M13" i="3" s="1"/>
  <c r="K12" i="3"/>
  <c r="M12" i="3" s="1"/>
  <c r="M11" i="3"/>
  <c r="K11" i="3"/>
  <c r="K10" i="3"/>
  <c r="M10" i="3" s="1"/>
  <c r="K9" i="3"/>
  <c r="M9" i="3" s="1"/>
  <c r="K8" i="3"/>
  <c r="M8" i="3" s="1"/>
  <c r="H5" i="3"/>
  <c r="I5" i="3" s="1"/>
  <c r="H4" i="3"/>
  <c r="I4" i="3" s="1"/>
  <c r="H3" i="3"/>
  <c r="I3" i="3" s="1"/>
  <c r="M76" i="3" l="1"/>
  <c r="Q76" i="3" s="1"/>
  <c r="K14" i="3"/>
  <c r="M14" i="3" s="1"/>
  <c r="Q14" i="3" s="1"/>
  <c r="M65" i="3"/>
  <c r="M15" i="3"/>
  <c r="K78" i="3" l="1"/>
  <c r="M78" i="3" s="1"/>
  <c r="Q78" i="3" s="1"/>
</calcChain>
</file>

<file path=xl/sharedStrings.xml><?xml version="1.0" encoding="utf-8"?>
<sst xmlns="http://schemas.openxmlformats.org/spreadsheetml/2006/main" count="4327" uniqueCount="1220">
  <si>
    <t>Datapath</t>
  </si>
  <si>
    <t>P&amp;L MTD with Previous Month Comparison</t>
  </si>
  <si>
    <t>Reporting Book:</t>
  </si>
  <si>
    <t>ACCRUAL</t>
  </si>
  <si>
    <t>As of Date:</t>
  </si>
  <si>
    <t>07/31/2025</t>
  </si>
  <si>
    <t>Location group:</t>
  </si>
  <si>
    <t>Modesto Fresno Ohio</t>
  </si>
  <si>
    <t xml:space="preserve"> </t>
  </si>
  <si>
    <t>DP California</t>
  </si>
  <si>
    <t>DP Ohio</t>
  </si>
  <si>
    <t>Data Path - All Locations</t>
  </si>
  <si>
    <t>Month Ending</t>
  </si>
  <si>
    <t>Year To Date</t>
  </si>
  <si>
    <t>06/30/2025</t>
  </si>
  <si>
    <t>Actual</t>
  </si>
  <si>
    <t>Month Variance</t>
  </si>
  <si>
    <t>Foodnotes</t>
  </si>
  <si>
    <t>Variance</t>
  </si>
  <si>
    <t xml:space="preserve">  Net Income- With DL above the line</t>
  </si>
  <si>
    <t xml:space="preserve">  </t>
  </si>
  <si>
    <t xml:space="preserve">    Operating Net Income- DL above the line</t>
  </si>
  <si>
    <t xml:space="preserve">    </t>
  </si>
  <si>
    <t xml:space="preserve">      Gross Profit with Direct Labor</t>
  </si>
  <si>
    <t xml:space="preserve">      </t>
  </si>
  <si>
    <t xml:space="preserve">        Revenue</t>
  </si>
  <si>
    <t xml:space="preserve">        </t>
  </si>
  <si>
    <t xml:space="preserve">          Monthly Recurring Services</t>
  </si>
  <si>
    <t xml:space="preserve">          Monthly Recurring Private Cloud</t>
  </si>
  <si>
    <t xml:space="preserve">          Monthly Recurring Resale</t>
  </si>
  <si>
    <t xml:space="preserve">          Project Services</t>
  </si>
  <si>
    <t xml:space="preserve">          Subcontracted Services</t>
  </si>
  <si>
    <t xml:space="preserve">          Product Sales</t>
  </si>
  <si>
    <t xml:space="preserve">          Revenue - Other</t>
  </si>
  <si>
    <t xml:space="preserve">        Total Revenue</t>
  </si>
  <si>
    <t xml:space="preserve">        Cost of Rev with Direct and IT Project Labor</t>
  </si>
  <si>
    <t xml:space="preserve">          Managed IT Service Costs</t>
  </si>
  <si>
    <t xml:space="preserve">          Cost of Monthly Recurring Cloud</t>
  </si>
  <si>
    <t xml:space="preserve">          Cost of Monthly Recurring Resale</t>
  </si>
  <si>
    <t xml:space="preserve">          Project Service Costs</t>
  </si>
  <si>
    <t xml:space="preserve">          Subcontractor Service Costs</t>
  </si>
  <si>
    <t xml:space="preserve">          Product Sales Cost</t>
  </si>
  <si>
    <t xml:space="preserve">          IT Project Labor</t>
  </si>
  <si>
    <t xml:space="preserve">          Direct Labor Costs</t>
  </si>
  <si>
    <t xml:space="preserve">        Total Cost of Rev with IT Project and Direct Labor</t>
  </si>
  <si>
    <t xml:space="preserve">      Total Gross Profit with Direct Labor</t>
  </si>
  <si>
    <t xml:space="preserve">      Sales Labor Costs</t>
  </si>
  <si>
    <t xml:space="preserve">      Operating Expense- no Direct or Sales Labor</t>
  </si>
  <si>
    <t xml:space="preserve">        Payroll and Related Expenses no Direct or Sales Labor</t>
  </si>
  <si>
    <t xml:space="preserve">        Utilities and Facilities</t>
  </si>
  <si>
    <t xml:space="preserve">          Facilities</t>
  </si>
  <si>
    <t xml:space="preserve">          Repairs and Maintenance</t>
  </si>
  <si>
    <t xml:space="preserve">          Utilities</t>
  </si>
  <si>
    <t xml:space="preserve">        Total Utilities and Facilities</t>
  </si>
  <si>
    <t xml:space="preserve">        Operating and Maintenance Expenses</t>
  </si>
  <si>
    <t xml:space="preserve">          Software and Maintenance</t>
  </si>
  <si>
    <t xml:space="preserve">          Professional Services</t>
  </si>
  <si>
    <t xml:space="preserve">          Automobile Expenses</t>
  </si>
  <si>
    <t xml:space="preserve">        Total Operating and Maintenance Expenses</t>
  </si>
  <si>
    <t xml:space="preserve">        Marketing and Advertising Expenses</t>
  </si>
  <si>
    <t xml:space="preserve">          Advertising and Promotion</t>
  </si>
  <si>
    <t xml:space="preserve">        Total Marketing and Advertising Expenses</t>
  </si>
  <si>
    <t xml:space="preserve">        General and Administrative Expenses</t>
  </si>
  <si>
    <t xml:space="preserve">          Office Supplies</t>
  </si>
  <si>
    <t xml:space="preserve">          Charitable Contributions</t>
  </si>
  <si>
    <t xml:space="preserve">          Education</t>
  </si>
  <si>
    <t xml:space="preserve">          Finance Charges</t>
  </si>
  <si>
    <t xml:space="preserve">          Travel, Meals and Entertainment</t>
  </si>
  <si>
    <t xml:space="preserve">          </t>
  </si>
  <si>
    <t xml:space="preserve">            Travel Expenses</t>
  </si>
  <si>
    <t xml:space="preserve">            Meals and Entertainment</t>
  </si>
  <si>
    <t xml:space="preserve">          Total Travel, Meals and Entertainment</t>
  </si>
  <si>
    <t xml:space="preserve">        Total General and Administrative Expenses</t>
  </si>
  <si>
    <t xml:space="preserve">        Taxes and Insurance</t>
  </si>
  <si>
    <t xml:space="preserve">          Insurance</t>
  </si>
  <si>
    <t xml:space="preserve">          Taxes</t>
  </si>
  <si>
    <t xml:space="preserve">        Total Taxes and Insurance</t>
  </si>
  <si>
    <t xml:space="preserve">      Total Operating Expense- no Direct or Sales Labor</t>
  </si>
  <si>
    <t xml:space="preserve">    Total Operating Net Income- DL above the line</t>
  </si>
  <si>
    <t xml:space="preserve">    Other Income (Expense)</t>
  </si>
  <si>
    <t xml:space="preserve">      Other Income</t>
  </si>
  <si>
    <t xml:space="preserve">        Interest Income</t>
  </si>
  <si>
    <t xml:space="preserve">        Other Income</t>
  </si>
  <si>
    <t xml:space="preserve">      Total Other Income</t>
  </si>
  <si>
    <t xml:space="preserve">      Other Expense</t>
  </si>
  <si>
    <t xml:space="preserve">        Interest Expenses</t>
  </si>
  <si>
    <t xml:space="preserve">        Partnership Expenses</t>
  </si>
  <si>
    <t xml:space="preserve">      Total Other Expense</t>
  </si>
  <si>
    <t xml:space="preserve">    Total Other Income (Expense)</t>
  </si>
  <si>
    <t xml:space="preserve">    Income Taxes</t>
  </si>
  <si>
    <t xml:space="preserve">      State and Local Taxes</t>
  </si>
  <si>
    <t xml:space="preserve">    Total Income Taxes</t>
  </si>
  <si>
    <t xml:space="preserve">  Net Income</t>
  </si>
  <si>
    <t>Created on : 08/22/2025 5:50 AM PST</t>
  </si>
  <si>
    <t>Foot Note</t>
  </si>
  <si>
    <t>Line</t>
  </si>
  <si>
    <t>Note</t>
  </si>
  <si>
    <t>Amount Increase</t>
  </si>
  <si>
    <t>Amout Decrease</t>
  </si>
  <si>
    <t>Citrin Cooperman is up.  No invoice for Roger Gentry for July</t>
  </si>
  <si>
    <t xml:space="preserve">SB Amex - Amazon </t>
  </si>
  <si>
    <t>49ers Foundation</t>
  </si>
  <si>
    <t xml:space="preserve">SB Amex </t>
  </si>
  <si>
    <t>SW Visa</t>
  </si>
  <si>
    <t>Thomas Brennan  - Lucia Mar VOIP Trip</t>
  </si>
  <si>
    <t>Ruckus Event - to be reiumbursed per Dan S</t>
  </si>
  <si>
    <t>California Pass through Entity Tax in June</t>
  </si>
  <si>
    <t>Other Income</t>
  </si>
  <si>
    <t>Location</t>
  </si>
  <si>
    <t>Customer</t>
  </si>
  <si>
    <t>Agreement Type</t>
  </si>
  <si>
    <t>Agreement Name</t>
  </si>
  <si>
    <t>July
Invoice
Number</t>
  </si>
  <si>
    <t>Invoice Date</t>
  </si>
  <si>
    <t>July Financials</t>
  </si>
  <si>
    <t>July Revenue</t>
  </si>
  <si>
    <t>June Clawback</t>
  </si>
  <si>
    <t>June Financials</t>
  </si>
  <si>
    <t>Difference 
July - June</t>
  </si>
  <si>
    <t>% Change</t>
  </si>
  <si>
    <t>Notes</t>
  </si>
  <si>
    <t>OH</t>
  </si>
  <si>
    <t>Albert Einstein Academy of Ohio</t>
  </si>
  <si>
    <t>T-Services-MSP</t>
  </si>
  <si>
    <t>178873OH</t>
  </si>
  <si>
    <t>Albert Einstein Academy of Ohio Total</t>
  </si>
  <si>
    <t>Anna LSD</t>
  </si>
  <si>
    <t>Erate-MIBS-School Percentage</t>
  </si>
  <si>
    <t>2024/25 MIBS ERATE - School</t>
  </si>
  <si>
    <t>Did not renew</t>
  </si>
  <si>
    <t>Anna LSD Total</t>
  </si>
  <si>
    <t>Arcanum Butler Local School District</t>
  </si>
  <si>
    <t>179045OH</t>
  </si>
  <si>
    <t>Network and Server Support MSC 2024/25</t>
  </si>
  <si>
    <t>Replaced by new Agreement</t>
  </si>
  <si>
    <t>Arcanum Butler Local School District Total</t>
  </si>
  <si>
    <t>Arts and College Preparatory Academy</t>
  </si>
  <si>
    <t>Erate-MIBS-School Percentage 25/26</t>
  </si>
  <si>
    <t>179148OH</t>
  </si>
  <si>
    <t>Recurring Resale - MSP</t>
  </si>
  <si>
    <t>Recurring Resale - MSP 23/26</t>
  </si>
  <si>
    <t>178649OH</t>
  </si>
  <si>
    <t>Recurring Resale - Security</t>
  </si>
  <si>
    <t>Recurring Resale - Security 23/26</t>
  </si>
  <si>
    <t>T-Erate-MIBS-USAC Percentage</t>
  </si>
  <si>
    <t>T-Erate-MIBS-USAC Percentage 25/26</t>
  </si>
  <si>
    <t>179131OH</t>
  </si>
  <si>
    <t>T-Services-MSP 23/26</t>
  </si>
  <si>
    <t>Arts and College Preparatory Academy Total</t>
  </si>
  <si>
    <t>Caldwell Exempted Village</t>
  </si>
  <si>
    <t>2024/25 Erate-MIBS-School Percentage</t>
  </si>
  <si>
    <t>179517OH</t>
  </si>
  <si>
    <t>179484OH</t>
  </si>
  <si>
    <t>T-Services-MSP 2025 Camera</t>
  </si>
  <si>
    <t>178874OH</t>
  </si>
  <si>
    <t>T-Services-MSP VoIP</t>
  </si>
  <si>
    <t>178875OH</t>
  </si>
  <si>
    <t>Caldwell Exempted Village Total</t>
  </si>
  <si>
    <t>City Day Community School</t>
  </si>
  <si>
    <t>179217OHB</t>
  </si>
  <si>
    <t>Recurring Resale - MSP 2024/27</t>
  </si>
  <si>
    <t>178876OH</t>
  </si>
  <si>
    <t>Recurring Resale - Security 2024/27</t>
  </si>
  <si>
    <t>2024/25 T-Erate-MIBS-USAC Percentage</t>
  </si>
  <si>
    <t>1792120HB</t>
  </si>
  <si>
    <t>Managed Services 2024/27</t>
  </si>
  <si>
    <t>City Day Community School Total</t>
  </si>
  <si>
    <t>Columbus Preparatory Academy</t>
  </si>
  <si>
    <t>2024/25 -MIBS-School Percentage</t>
  </si>
  <si>
    <t>Did not remew</t>
  </si>
  <si>
    <t>Recurring Resale - Microsoft 365 NCE</t>
  </si>
  <si>
    <t>Microsoft 365</t>
  </si>
  <si>
    <t>178877OH</t>
  </si>
  <si>
    <t>Columbus Preparatory Academy Total</t>
  </si>
  <si>
    <t>Cristo Rey High School</t>
  </si>
  <si>
    <t>Chromebook ADP Managed Services</t>
  </si>
  <si>
    <t>24/25 Chromebook ADP Managed Services -2</t>
  </si>
  <si>
    <t>Renewed on new MSA</t>
  </si>
  <si>
    <t>179155OH</t>
  </si>
  <si>
    <t>Recurring Resale - MSP 25/26</t>
  </si>
  <si>
    <t>179258OH</t>
  </si>
  <si>
    <t>Recurring Resale - Security 25/26</t>
  </si>
  <si>
    <t>179138OH</t>
  </si>
  <si>
    <t>2018/2026 VOIP</t>
  </si>
  <si>
    <t>178878OH</t>
  </si>
  <si>
    <t>T-Services-MSP - Student Device Support 25/26</t>
  </si>
  <si>
    <t>179257OH</t>
  </si>
  <si>
    <t>New Contract</t>
  </si>
  <si>
    <t>T-Services-MSP 25/26</t>
  </si>
  <si>
    <t>Managed Services 2024/25</t>
  </si>
  <si>
    <t>Cristo Rey High School Total</t>
  </si>
  <si>
    <t>365 did not reviedw</t>
  </si>
  <si>
    <t>Dayton SMART Elementary</t>
  </si>
  <si>
    <t>179040OH</t>
  </si>
  <si>
    <t>Dayton SMART Elementary Total</t>
  </si>
  <si>
    <t>East Dayton Christian</t>
  </si>
  <si>
    <t>East Dayton Christian Total</t>
  </si>
  <si>
    <t>East Muskingum School District</t>
  </si>
  <si>
    <t>MSP -Recurring Resale</t>
  </si>
  <si>
    <t>178880OH</t>
  </si>
  <si>
    <t>178879OH</t>
  </si>
  <si>
    <t>East Muskingum School District Total</t>
  </si>
  <si>
    <t>Energility LLC</t>
  </si>
  <si>
    <t>178881OH</t>
  </si>
  <si>
    <t>2021/23 MSC</t>
  </si>
  <si>
    <t>Energility LLC Total</t>
  </si>
  <si>
    <t>Explorers Academy of Science and Tech</t>
  </si>
  <si>
    <t>Voice Services 2024/25</t>
  </si>
  <si>
    <t>178882OH</t>
  </si>
  <si>
    <t>Explorers Academy of Science and Tech Total</t>
  </si>
  <si>
    <t>Focus Learning Academy North</t>
  </si>
  <si>
    <t>24/27 Recurring Resale - MSP</t>
  </si>
  <si>
    <t>178883OH</t>
  </si>
  <si>
    <t>24/27 Recurring Resale - Security</t>
  </si>
  <si>
    <t>24/27 T-Services-MSP</t>
  </si>
  <si>
    <t>Focus Learning Academy North Total</t>
  </si>
  <si>
    <t>Focus Learning Academy of Central Col</t>
  </si>
  <si>
    <t>179160OH</t>
  </si>
  <si>
    <t>179143OH</t>
  </si>
  <si>
    <t>Focus Learning Academy of Central Col Total</t>
  </si>
  <si>
    <t>Franklinton High School</t>
  </si>
  <si>
    <t>24/25 Recurring Resale - Security</t>
  </si>
  <si>
    <t>178884OH</t>
  </si>
  <si>
    <t>24/25 T-Services-MSP</t>
  </si>
  <si>
    <t>Franklinton High School Total</t>
  </si>
  <si>
    <t>Global Ambassadors Language Academy</t>
  </si>
  <si>
    <t>179152OH</t>
  </si>
  <si>
    <t>Replaced by new agreement</t>
  </si>
  <si>
    <t>179136OH</t>
  </si>
  <si>
    <t>2023/2025 MSC</t>
  </si>
  <si>
    <t>178885OH</t>
  </si>
  <si>
    <t>Global Ambassadors Language Academy Total</t>
  </si>
  <si>
    <t>Holowicki Enterprises</t>
  </si>
  <si>
    <t>Managed Security - Britton Store #35696</t>
  </si>
  <si>
    <t>178886OH</t>
  </si>
  <si>
    <t>Managed Security - Renner Store #11490</t>
  </si>
  <si>
    <t>178887OH</t>
  </si>
  <si>
    <t>Managed Security Avery Store #15746</t>
  </si>
  <si>
    <t>178889OH</t>
  </si>
  <si>
    <t>Managed Security Hillard #2466</t>
  </si>
  <si>
    <t>178890OH</t>
  </si>
  <si>
    <t>Managed Security Marysville #28775</t>
  </si>
  <si>
    <t>178891OH</t>
  </si>
  <si>
    <t>Managed Security West Jefferson Store #22386</t>
  </si>
  <si>
    <t>178888OH</t>
  </si>
  <si>
    <t>Holowicki Enterprises Total</t>
  </si>
  <si>
    <t>Imagine Akron Academy</t>
  </si>
  <si>
    <t>179156OH</t>
  </si>
  <si>
    <t>179139OH</t>
  </si>
  <si>
    <t>Imagine Akron Academy Total</t>
  </si>
  <si>
    <t>Imagine Bella Academy of Excellence</t>
  </si>
  <si>
    <t>179149OHB</t>
  </si>
  <si>
    <t>Recurring Resale - Security 2024/25</t>
  </si>
  <si>
    <t>178950OH</t>
  </si>
  <si>
    <t>179145OHB</t>
  </si>
  <si>
    <t>T-Services-MSP 2024/2025</t>
  </si>
  <si>
    <t>Imagine Bella Academy of Excellence Total</t>
  </si>
  <si>
    <t>Imagine Columbus Primary Academy</t>
  </si>
  <si>
    <t>179174OH</t>
  </si>
  <si>
    <t>178949OHB</t>
  </si>
  <si>
    <t>179485OH</t>
  </si>
  <si>
    <t>Managed Services 24/25</t>
  </si>
  <si>
    <t>178949OH</t>
  </si>
  <si>
    <t>Imagine Columbus Primary Academy Total</t>
  </si>
  <si>
    <t>Imagine Great Western Academy</t>
  </si>
  <si>
    <t>179168OH</t>
  </si>
  <si>
    <t>Replaced by new agreement - Need to Confirmt contract period 8-1-25 to 7-31-25</t>
  </si>
  <si>
    <t>Recurring Resale - Security 2024</t>
  </si>
  <si>
    <t>179167OH</t>
  </si>
  <si>
    <t>2021/2023 MSC</t>
  </si>
  <si>
    <t>178893OH</t>
  </si>
  <si>
    <t>Imagine Great Western Academy Total</t>
  </si>
  <si>
    <t>Imagine Groveport Community School</t>
  </si>
  <si>
    <t>179218OH</t>
  </si>
  <si>
    <t>178894OH</t>
  </si>
  <si>
    <t>179215OH</t>
  </si>
  <si>
    <t>Imagine Groveport Community School Total</t>
  </si>
  <si>
    <t>Imagine Klepinger Rd</t>
  </si>
  <si>
    <t>179039OH</t>
  </si>
  <si>
    <t>Imagine Klepinger Rd Total</t>
  </si>
  <si>
    <t>Imagine Leadership Academy</t>
  </si>
  <si>
    <t>179219OH</t>
  </si>
  <si>
    <t>24/25 Recurring Resale - MSP</t>
  </si>
  <si>
    <t>178951OH</t>
  </si>
  <si>
    <t>179216OH</t>
  </si>
  <si>
    <t>Imagine Leadership Academy Total</t>
  </si>
  <si>
    <t>Imagine Madison Ave</t>
  </si>
  <si>
    <t>179158OH</t>
  </si>
  <si>
    <t>178986OH</t>
  </si>
  <si>
    <t>179141OH</t>
  </si>
  <si>
    <t>Imagine Madison Ave Total</t>
  </si>
  <si>
    <t>Imagine Sullivant</t>
  </si>
  <si>
    <t>179153OH</t>
  </si>
  <si>
    <t>179171OH</t>
  </si>
  <si>
    <t>179135OH</t>
  </si>
  <si>
    <t>Imagine Sullivant Total</t>
  </si>
  <si>
    <t>Invictus HS</t>
  </si>
  <si>
    <t>179159OH</t>
  </si>
  <si>
    <t>178895OH</t>
  </si>
  <si>
    <t>179142OH</t>
  </si>
  <si>
    <t>24 to 27 T-Services-MSP</t>
  </si>
  <si>
    <t>Invictus HS Total</t>
  </si>
  <si>
    <t>LHollingworth</t>
  </si>
  <si>
    <t>Chromebook ADP Managed Services 24/27</t>
  </si>
  <si>
    <t>178896OH</t>
  </si>
  <si>
    <t>179488OH</t>
  </si>
  <si>
    <t>Recurring Resale - MSP 24/27</t>
  </si>
  <si>
    <t>Recurring Resale - Security 24/27</t>
  </si>
  <si>
    <t>179486OHDP</t>
  </si>
  <si>
    <t>179487OH</t>
  </si>
  <si>
    <t>Managed Services 24/27</t>
  </si>
  <si>
    <t>LHollingworth Total</t>
  </si>
  <si>
    <t>Luther Memorial</t>
  </si>
  <si>
    <t>Luther Memorial Total</t>
  </si>
  <si>
    <t>Lutheran High School East</t>
  </si>
  <si>
    <t>179165OH</t>
  </si>
  <si>
    <t>Lutheran High School East Total</t>
  </si>
  <si>
    <t>Madison Plains LSD</t>
  </si>
  <si>
    <t>Madison Plains LSD Total</t>
  </si>
  <si>
    <t>Main St. Academy</t>
  </si>
  <si>
    <t>2021/26 MIBS ERATE - School</t>
  </si>
  <si>
    <t>Main St. Academy Total</t>
  </si>
  <si>
    <t>Menlo Park Academy</t>
  </si>
  <si>
    <t>Menlo Park Academy Total</t>
  </si>
  <si>
    <t>Miami East Local Schools</t>
  </si>
  <si>
    <t>179147OH</t>
  </si>
  <si>
    <t>179133OH</t>
  </si>
  <si>
    <t>Miami East Local Schools Total</t>
  </si>
  <si>
    <t>Millennium Comm School</t>
  </si>
  <si>
    <t>Security Services</t>
  </si>
  <si>
    <t>178898OH</t>
  </si>
  <si>
    <t>179132OH</t>
  </si>
  <si>
    <t>2022/2024 MSC</t>
  </si>
  <si>
    <t>178897OH</t>
  </si>
  <si>
    <t>Millennium Comm School Total</t>
  </si>
  <si>
    <t>North Shore High School</t>
  </si>
  <si>
    <t>179154OH</t>
  </si>
  <si>
    <t>178900OH</t>
  </si>
  <si>
    <t>179137OH</t>
  </si>
  <si>
    <t>North Shore High School Total</t>
  </si>
  <si>
    <t>Par Excellence Academy</t>
  </si>
  <si>
    <t>Recurring Resale - MSP 1</t>
  </si>
  <si>
    <t>178901OH</t>
  </si>
  <si>
    <t>Par Excellence Academy Total</t>
  </si>
  <si>
    <t>Reynoldsburg City School District</t>
  </si>
  <si>
    <t>Basic Maintenance - School Percentage 24/25</t>
  </si>
  <si>
    <t>Basic Maintenace IC- USAC 24/25</t>
  </si>
  <si>
    <t>Reynoldsburg City School District Total</t>
  </si>
  <si>
    <t>River Gate HS</t>
  </si>
  <si>
    <t>179157OH</t>
  </si>
  <si>
    <t>178902OH</t>
  </si>
  <si>
    <t>179140OH</t>
  </si>
  <si>
    <t>River Gate HS Total</t>
  </si>
  <si>
    <t>Scheurer Health</t>
  </si>
  <si>
    <t>Blended Services</t>
  </si>
  <si>
    <t>178903OH</t>
  </si>
  <si>
    <t>Scheurer Health Total</t>
  </si>
  <si>
    <t>St John Lutheran Nottingham</t>
  </si>
  <si>
    <t>179179OH</t>
  </si>
  <si>
    <t>St John Lutheran Nottingham Total</t>
  </si>
  <si>
    <t>St Sebastian Elem School</t>
  </si>
  <si>
    <t>Recurring Resale - MSP 24/25</t>
  </si>
  <si>
    <t>Recurring Resale - Security 24/25</t>
  </si>
  <si>
    <t>T-Services-MSP 24/25</t>
  </si>
  <si>
    <t>St Sebastian Elem School Total</t>
  </si>
  <si>
    <t>St. Adalbert School</t>
  </si>
  <si>
    <t>179150OH</t>
  </si>
  <si>
    <t>School MSC St Adalbert</t>
  </si>
  <si>
    <t>178904OH</t>
  </si>
  <si>
    <t>179130OH</t>
  </si>
  <si>
    <t>St. Adalbert School Total</t>
  </si>
  <si>
    <t>Strasburg-Franklin Local Schools</t>
  </si>
  <si>
    <t>T-Services-MSP Voice Only</t>
  </si>
  <si>
    <t>178905OH</t>
  </si>
  <si>
    <t>Strasburg-Franklin Local Schools Total</t>
  </si>
  <si>
    <t>Sunbridge Schools</t>
  </si>
  <si>
    <t>Recurring Resale - MSP 2024-2025</t>
  </si>
  <si>
    <t>179444OH</t>
  </si>
  <si>
    <t>T-Services-MSP -EG</t>
  </si>
  <si>
    <t>179446OH</t>
  </si>
  <si>
    <t>Sunbridge Schools Total</t>
  </si>
  <si>
    <t>The Richland School of Academic Arts</t>
  </si>
  <si>
    <t>Microsoft 365 NCE</t>
  </si>
  <si>
    <t>178906OH</t>
  </si>
  <si>
    <t>Recurring Resale - MSP 24/26</t>
  </si>
  <si>
    <t>Recurring Resale - Security - 24/26</t>
  </si>
  <si>
    <t>School MSC 24/26</t>
  </si>
  <si>
    <t>The Richland School of Academic Arts Total</t>
  </si>
  <si>
    <t>The Ummah Center</t>
  </si>
  <si>
    <t>178952OHB</t>
  </si>
  <si>
    <t>The Ummah Center Total</t>
  </si>
  <si>
    <t>Toledo School for the Arts</t>
  </si>
  <si>
    <t>178907OH</t>
  </si>
  <si>
    <t>Toledo School for the Arts Total</t>
  </si>
  <si>
    <t>Tolles Career and Technical Center</t>
  </si>
  <si>
    <t>Basic Maintenace IC -24/25School Percentage</t>
  </si>
  <si>
    <t>Basic Maintenance IC -24/25 USAC Percentage</t>
  </si>
  <si>
    <t>Tolles Career and Technical Center Total</t>
  </si>
  <si>
    <t>Westwood Prep</t>
  </si>
  <si>
    <t>Recurring Resale - SecurityB</t>
  </si>
  <si>
    <t>178908OH</t>
  </si>
  <si>
    <t>Westwood Prep Total</t>
  </si>
  <si>
    <t>Worthington Christian School</t>
  </si>
  <si>
    <t>179146OH</t>
  </si>
  <si>
    <t>179175OH</t>
  </si>
  <si>
    <t>179134OH</t>
  </si>
  <si>
    <t>Worthington Christian School Total</t>
  </si>
  <si>
    <t>Youthbuild Columbus Community</t>
  </si>
  <si>
    <t>178909OH</t>
  </si>
  <si>
    <t>24/26 Recurring Resale - MSP</t>
  </si>
  <si>
    <t>24/26 Recurring Resale - Security</t>
  </si>
  <si>
    <t>24/26 T-Services-MSP</t>
  </si>
  <si>
    <t>24/26 T-Services-MSP B</t>
  </si>
  <si>
    <t>Youthbuild Columbus Community Total</t>
  </si>
  <si>
    <t>OH Total</t>
  </si>
  <si>
    <t>CA</t>
  </si>
  <si>
    <t>24 Hour Home Care</t>
  </si>
  <si>
    <t>178779</t>
  </si>
  <si>
    <t>24 Hour Home Care Total</t>
  </si>
  <si>
    <t>7C Escrow</t>
  </si>
  <si>
    <t>Cloud - Private</t>
  </si>
  <si>
    <t>179085</t>
  </si>
  <si>
    <t>7C Escrow Total</t>
  </si>
  <si>
    <t>Abest Professional Health Care</t>
  </si>
  <si>
    <t>178780</t>
  </si>
  <si>
    <t>Recurring Resale - MSP 2025/27</t>
  </si>
  <si>
    <t>Temp Backups Agreement</t>
  </si>
  <si>
    <t>Recurring Resale - Security 2025/27</t>
  </si>
  <si>
    <t>T-Services-MSP 2024/27</t>
  </si>
  <si>
    <t>Abest Professional Health Care Total</t>
  </si>
  <si>
    <t>ABI Healthcare</t>
  </si>
  <si>
    <t>178781</t>
  </si>
  <si>
    <t>ABI Healthcare Total</t>
  </si>
  <si>
    <t>ABIFI Professional Health Care</t>
  </si>
  <si>
    <t>178782</t>
  </si>
  <si>
    <t>ABIFI Professional Health Care Total</t>
  </si>
  <si>
    <t>Ability Ambeck Mortgage</t>
  </si>
  <si>
    <t>Ability Microsoft 365</t>
  </si>
  <si>
    <t>178783</t>
  </si>
  <si>
    <t>Ability - Recurring Resale - Security</t>
  </si>
  <si>
    <t>Ability-Managed</t>
  </si>
  <si>
    <t>Ability Ambeck Mortgage Total</t>
  </si>
  <si>
    <t>Advantage Home Care</t>
  </si>
  <si>
    <t>178784</t>
  </si>
  <si>
    <t>Advantage Home Care Total</t>
  </si>
  <si>
    <t>Agape Corporation  WEB Du</t>
  </si>
  <si>
    <t>178697</t>
  </si>
  <si>
    <t>Agape Corporation  WEB Du Total</t>
  </si>
  <si>
    <t>Agee Construction</t>
  </si>
  <si>
    <t>178698</t>
  </si>
  <si>
    <t>Agee Microsoft 365</t>
  </si>
  <si>
    <t>Agee Construction Total</t>
  </si>
  <si>
    <t>Alliance Services</t>
  </si>
  <si>
    <t>178785</t>
  </si>
  <si>
    <t>Alliance Services Total</t>
  </si>
  <si>
    <t>Ameribest</t>
  </si>
  <si>
    <t>178787</t>
  </si>
  <si>
    <t>178786</t>
  </si>
  <si>
    <t>Ameribest Total</t>
  </si>
  <si>
    <t>American Institute of Science and Technology</t>
  </si>
  <si>
    <t>178788</t>
  </si>
  <si>
    <t>T-Services-MSP 24/27</t>
  </si>
  <si>
    <t>American Institute of Science and Technology Total</t>
  </si>
  <si>
    <t>Anonymous LLC</t>
  </si>
  <si>
    <t>Anonymous Cloud Services</t>
  </si>
  <si>
    <t>179100</t>
  </si>
  <si>
    <t>Anonymous LLC Total</t>
  </si>
  <si>
    <t>Applegate Teeples Drilling</t>
  </si>
  <si>
    <t>178789</t>
  </si>
  <si>
    <t>Applegate Teeples Drilling Total</t>
  </si>
  <si>
    <t>ATD Home Health Agency, INC</t>
  </si>
  <si>
    <t>178790</t>
  </si>
  <si>
    <t>ATD Home Health Agency, INC Total</t>
  </si>
  <si>
    <t>Aweta - Americas</t>
  </si>
  <si>
    <t>178699</t>
  </si>
  <si>
    <t>T-Services-Security</t>
  </si>
  <si>
    <t>Aweta - Americas Total</t>
  </si>
  <si>
    <t>Big Valley Grace Community Church</t>
  </si>
  <si>
    <t>178791</t>
  </si>
  <si>
    <t>Big Valley Grace Community Church Total</t>
  </si>
  <si>
    <t>Borba Farms Partners</t>
  </si>
  <si>
    <t>178700</t>
  </si>
  <si>
    <t>Borba Farms Partners Total</t>
  </si>
  <si>
    <t>Caloy Company LLC</t>
  </si>
  <si>
    <t>178792</t>
  </si>
  <si>
    <t>Caloy Microsoft 365</t>
  </si>
  <si>
    <t>Caloy-Managed</t>
  </si>
  <si>
    <t>Caloy Company LLC Total</t>
  </si>
  <si>
    <t>Capital Financial Consultants Group</t>
  </si>
  <si>
    <t>Capital Financial Cloud Services</t>
  </si>
  <si>
    <t>179087</t>
  </si>
  <si>
    <t>Capital Financial Consultants Group Total</t>
  </si>
  <si>
    <t>Carmel Unified School District</t>
  </si>
  <si>
    <t>178974</t>
  </si>
  <si>
    <t>Carmel Unified School District Total</t>
  </si>
  <si>
    <t>Central Valley Pain Management</t>
  </si>
  <si>
    <t>178793</t>
  </si>
  <si>
    <t>CV Pain Management Managed Services</t>
  </si>
  <si>
    <t>Central Valley Pain Management Total</t>
  </si>
  <si>
    <t>Chatom Union School District</t>
  </si>
  <si>
    <t>178984</t>
  </si>
  <si>
    <t>Chatom Union School District Total</t>
  </si>
  <si>
    <t>Choice Home Care</t>
  </si>
  <si>
    <t>178794</t>
  </si>
  <si>
    <t>Choice Home Care Total</t>
  </si>
  <si>
    <t>Circle of Life - First Nations - Soaring Eagles</t>
  </si>
  <si>
    <t>178795</t>
  </si>
  <si>
    <t>Managed Services</t>
  </si>
  <si>
    <t>Circle of Life - First Nations - Soaring Eagles Total</t>
  </si>
  <si>
    <t>City of Atwater</t>
  </si>
  <si>
    <t>City of Atwater Microsoft 365</t>
  </si>
  <si>
    <t>178797</t>
  </si>
  <si>
    <t>Managed Office 365 Backups</t>
  </si>
  <si>
    <t>178800</t>
  </si>
  <si>
    <t>178796</t>
  </si>
  <si>
    <t>Recurring Resale - MSP - Mimecast</t>
  </si>
  <si>
    <t>178799</t>
  </si>
  <si>
    <t>178798</t>
  </si>
  <si>
    <t>City of Atwater Managed Service</t>
  </si>
  <si>
    <t>T-Services-MSP - Managed Services</t>
  </si>
  <si>
    <t>178801</t>
  </si>
  <si>
    <t>City of Atwater Total</t>
  </si>
  <si>
    <t>City of Firebaugh</t>
  </si>
  <si>
    <t>Cloud - Private 2025</t>
  </si>
  <si>
    <t>178701</t>
  </si>
  <si>
    <t>Recurring Resale - MSP 2025</t>
  </si>
  <si>
    <t>Recurring Resale - Security 2025</t>
  </si>
  <si>
    <t>T-Services-MSP 2025</t>
  </si>
  <si>
    <t>City of Firebaugh Total</t>
  </si>
  <si>
    <t>City of Mendota</t>
  </si>
  <si>
    <t>178802B</t>
  </si>
  <si>
    <t>178803</t>
  </si>
  <si>
    <t>T-Services-MSP 25/28</t>
  </si>
  <si>
    <t>178802</t>
  </si>
  <si>
    <t>City of Mendota Total</t>
  </si>
  <si>
    <t>City of Selma</t>
  </si>
  <si>
    <t>178702</t>
  </si>
  <si>
    <t>Recurring Resale - MSP 2024/2027</t>
  </si>
  <si>
    <t>178703</t>
  </si>
  <si>
    <t>Recurring Resale - Security 2024/2027</t>
  </si>
  <si>
    <t>T-Services-MSP 2024/2027</t>
  </si>
  <si>
    <t>City of Selma Total</t>
  </si>
  <si>
    <t>Collectibles Management Resources</t>
  </si>
  <si>
    <t>Private Cloud Services</t>
  </si>
  <si>
    <t>178704</t>
  </si>
  <si>
    <t>Collectibles Management Microsoft 365</t>
  </si>
  <si>
    <t>Collectibles Management Support360</t>
  </si>
  <si>
    <t>Collectibles Management Resources Total</t>
  </si>
  <si>
    <t>Community Action Partnership of Madera Co</t>
  </si>
  <si>
    <t>178708</t>
  </si>
  <si>
    <t>178706</t>
  </si>
  <si>
    <t>178707</t>
  </si>
  <si>
    <t>178705</t>
  </si>
  <si>
    <t>Community Action Partnership of Madera Co Total</t>
  </si>
  <si>
    <t>Cranbrook Group Inc.</t>
  </si>
  <si>
    <t>178804B</t>
  </si>
  <si>
    <t>Cranbrook Group Inc. Total</t>
  </si>
  <si>
    <t>Daniel, Towle and Warkentine CPA</t>
  </si>
  <si>
    <t>178709</t>
  </si>
  <si>
    <t>Daniel, Towle and Warkentine CPA Total</t>
  </si>
  <si>
    <t>DeHart Plumbing, Heating &amp; Air, Inc.</t>
  </si>
  <si>
    <t>DeHart Microsoft 365</t>
  </si>
  <si>
    <t>178805</t>
  </si>
  <si>
    <t>178806</t>
  </si>
  <si>
    <t>DeHart Plumbing, Heating &amp; Air, Inc. Total</t>
  </si>
  <si>
    <t>Del Puerto Health Care District</t>
  </si>
  <si>
    <t>Del Puerto Microsoft 365</t>
  </si>
  <si>
    <t>178807</t>
  </si>
  <si>
    <t>Del Puerto-Managed</t>
  </si>
  <si>
    <t>Del Puerto Security Services</t>
  </si>
  <si>
    <t>Del Puerto Health Care District Total</t>
  </si>
  <si>
    <t>Dependable Home Health Care</t>
  </si>
  <si>
    <t>178808</t>
  </si>
  <si>
    <t>Dependable Home Health Care Total</t>
  </si>
  <si>
    <t>Devoted Guardians</t>
  </si>
  <si>
    <t>178809</t>
  </si>
  <si>
    <t>Devoted Guardians Total</t>
  </si>
  <si>
    <t>DiMare</t>
  </si>
  <si>
    <t>Cloud - Private 25/28</t>
  </si>
  <si>
    <t>178810</t>
  </si>
  <si>
    <t>Dimare Microsoft 365</t>
  </si>
  <si>
    <t>Recurring Resale - MSP 25/28</t>
  </si>
  <si>
    <t>Recurring Resale - Security 25/28</t>
  </si>
  <si>
    <t>DiMare Total</t>
  </si>
  <si>
    <t>Diversified Machining &amp; Fabrication</t>
  </si>
  <si>
    <t>178811</t>
  </si>
  <si>
    <t>Diversified Machining &amp; Fabrication Total</t>
  </si>
  <si>
    <t>Duarte Nursery</t>
  </si>
  <si>
    <t>Duarte Microsoft 365</t>
  </si>
  <si>
    <t>178812</t>
  </si>
  <si>
    <t>Duarte Nursery Total</t>
  </si>
  <si>
    <t>Dust Bowl Brewing Company</t>
  </si>
  <si>
    <t>Dustbowl Microsoft 365</t>
  </si>
  <si>
    <t>178813</t>
  </si>
  <si>
    <t>Dust Bowl Brewing Company Total</t>
  </si>
  <si>
    <t>Eastern Sierra USD</t>
  </si>
  <si>
    <t>178814</t>
  </si>
  <si>
    <t>Eastern Sierra USD Total</t>
  </si>
  <si>
    <t>Empire Union School District</t>
  </si>
  <si>
    <t>179489</t>
  </si>
  <si>
    <t>Recurring Resale - MSP 25/26 B</t>
  </si>
  <si>
    <t>179535B</t>
  </si>
  <si>
    <t>179490</t>
  </si>
  <si>
    <t>Empire Union School District Total</t>
  </si>
  <si>
    <t>Fabricated Extrusion Company</t>
  </si>
  <si>
    <t>24/27 Cloud - Private</t>
  </si>
  <si>
    <t>178818</t>
  </si>
  <si>
    <t>178817</t>
  </si>
  <si>
    <t>Fabricated Extrusion Company Total</t>
  </si>
  <si>
    <t>Field Van, Inc</t>
  </si>
  <si>
    <t>178710</t>
  </si>
  <si>
    <t>Field Van, Inc Total</t>
  </si>
  <si>
    <t>Fiscalini Farmstead</t>
  </si>
  <si>
    <t>178819</t>
  </si>
  <si>
    <t>Fiscalini Farmstead Total</t>
  </si>
  <si>
    <t>Formulation Technology, Inc.</t>
  </si>
  <si>
    <t>Formulation Tech Microsoft 365</t>
  </si>
  <si>
    <t>178820</t>
  </si>
  <si>
    <t>Formation-Managed</t>
  </si>
  <si>
    <t>Formulation Technology, Inc. Total</t>
  </si>
  <si>
    <t>Fortune-Ratliff General Contractors, Inc.</t>
  </si>
  <si>
    <t>178711</t>
  </si>
  <si>
    <t>Fortune-Ratliff General Contractors, Inc. Total</t>
  </si>
  <si>
    <t>Free Wheelchair Mission</t>
  </si>
  <si>
    <t>179111</t>
  </si>
  <si>
    <t>Free Wheelchair Mission Total</t>
  </si>
  <si>
    <t>Gill Ranch Storage, LLC</t>
  </si>
  <si>
    <t>178712</t>
  </si>
  <si>
    <t>Gill Ranch Storage, LLC Total</t>
  </si>
  <si>
    <t>Graceada Partners</t>
  </si>
  <si>
    <t>Microsoft 365 - 520-530 9th Street</t>
  </si>
  <si>
    <t>178966</t>
  </si>
  <si>
    <t>Microsoft 365 - Carson Aire</t>
  </si>
  <si>
    <t>178960</t>
  </si>
  <si>
    <t>Microsoft 365 - Cedar Oaks</t>
  </si>
  <si>
    <t>178963</t>
  </si>
  <si>
    <t>Microsoft 365 - College Park</t>
  </si>
  <si>
    <t>178964</t>
  </si>
  <si>
    <t>Microsoft 365 - La Loma</t>
  </si>
  <si>
    <t>178965</t>
  </si>
  <si>
    <t>Microsoft 365 - Main</t>
  </si>
  <si>
    <t>178956</t>
  </si>
  <si>
    <t>Microsoft 365 - Stoneybrook</t>
  </si>
  <si>
    <t>178959</t>
  </si>
  <si>
    <t>Microsoft 365 - Sundance</t>
  </si>
  <si>
    <t>178967</t>
  </si>
  <si>
    <t>Microsoft 365 - The Lofts</t>
  </si>
  <si>
    <t>178957</t>
  </si>
  <si>
    <t>Microsoft 365 - Tyner Ranch</t>
  </si>
  <si>
    <t>178958</t>
  </si>
  <si>
    <t>Microsoft 365 - Vantage Point</t>
  </si>
  <si>
    <t>178961</t>
  </si>
  <si>
    <t>Microsoft 365 - Willows</t>
  </si>
  <si>
    <t>178962</t>
  </si>
  <si>
    <t>Recurring Resale - Microsoft 365 NCE - Sherwood Manor</t>
  </si>
  <si>
    <t>178969</t>
  </si>
  <si>
    <t>Recurring Resale - Microsoft 365 NCE 17th Place Townhomes</t>
  </si>
  <si>
    <t>178968</t>
  </si>
  <si>
    <t>Recurring Resale - MSP - Carson Aire</t>
  </si>
  <si>
    <t>Recurring Resale - MSP - Cedar Oaks Apartments</t>
  </si>
  <si>
    <t>Recurring Resale - MSP - Main</t>
  </si>
  <si>
    <t>Recurring Resale - MSP - The Willows</t>
  </si>
  <si>
    <t>Recurring Resale - MSP - Tyner Ranch</t>
  </si>
  <si>
    <t>Recurring Resale - MSP -Stoneybrook Apartments</t>
  </si>
  <si>
    <t>Recurring Resale - MSP -The Lofts</t>
  </si>
  <si>
    <t>Recurring Resale - MSP -Vantage Point Apartments</t>
  </si>
  <si>
    <t>Recurring Resale - Security - Carson Aire</t>
  </si>
  <si>
    <t>Recurring Resale - Security - Main</t>
  </si>
  <si>
    <t>Recurring Resale - Security - The Lofts</t>
  </si>
  <si>
    <t>Recurring Resale - Security - Tyner Ranch</t>
  </si>
  <si>
    <t>Recurring Resale - Security - Vantage Point Apartments</t>
  </si>
  <si>
    <t>Recurring Resale - Security -Cedar Oaks Apartments</t>
  </si>
  <si>
    <t>Recurring Resale - Security -Stoneybrook Apartments</t>
  </si>
  <si>
    <t>Recurring Resale - Security -the Willows</t>
  </si>
  <si>
    <t>T-Services-MSP - Carson Aire</t>
  </si>
  <si>
    <t>T-Services-MSP - Cedar Oaks Apartments</t>
  </si>
  <si>
    <t>T-Services-MSP - Main</t>
  </si>
  <si>
    <t>T-Services-MSP -Stoneybrook Apartments</t>
  </si>
  <si>
    <t>T-Services-MSP -The Willows</t>
  </si>
  <si>
    <t>T-Services-MSP -Tyner Ranch</t>
  </si>
  <si>
    <t>T-Services-MSP -Vantage Point Apartments</t>
  </si>
  <si>
    <t>T-Services-MSP-The Lofts</t>
  </si>
  <si>
    <t>Graceada Partners Total</t>
  </si>
  <si>
    <t>Gratton Elementary School District</t>
  </si>
  <si>
    <t>178821</t>
  </si>
  <si>
    <t>T-Services-MSP 2025/2028</t>
  </si>
  <si>
    <t>Gratton Elementary School District Total</t>
  </si>
  <si>
    <t>Hall Management Corp</t>
  </si>
  <si>
    <t>Cloud - Private 2025/28</t>
  </si>
  <si>
    <t>178713</t>
  </si>
  <si>
    <t>Recurring Resale - MSP 2025/28</t>
  </si>
  <si>
    <t>Recurring Resale - Security 2025/28</t>
  </si>
  <si>
    <t>T-Services-MSP 2025/28</t>
  </si>
  <si>
    <t>Hall Management Corp Total</t>
  </si>
  <si>
    <t>Hercules OEM Group</t>
  </si>
  <si>
    <t>Hercules Cloud - Private</t>
  </si>
  <si>
    <t>179088</t>
  </si>
  <si>
    <t>Hercules OEM Group Microsoft 365</t>
  </si>
  <si>
    <t>All Seals Intermedia</t>
  </si>
  <si>
    <t>Hercules OEM Group Managed Services</t>
  </si>
  <si>
    <t>Hercules OEM Group Total</t>
  </si>
  <si>
    <t>HHHC</t>
  </si>
  <si>
    <t>178822</t>
  </si>
  <si>
    <t>HHHC Total</t>
  </si>
  <si>
    <t>Horizon Nut Company</t>
  </si>
  <si>
    <t>Horizon Nut Microsoft 365</t>
  </si>
  <si>
    <t>178823</t>
  </si>
  <si>
    <t>Horizon Nut Managed Services</t>
  </si>
  <si>
    <t>Horizon Nut Company Total</t>
  </si>
  <si>
    <t>Impact Home Health</t>
  </si>
  <si>
    <t>178824</t>
  </si>
  <si>
    <t>Impact Home Health Total</t>
  </si>
  <si>
    <t>Inland Star Distribution Center - Carson</t>
  </si>
  <si>
    <t>Inland CARSON - Managed Service - NO End User Support</t>
  </si>
  <si>
    <t>178714</t>
  </si>
  <si>
    <t>Inland Star Distribution Center - Carson Total</t>
  </si>
  <si>
    <t>Inland Star Distribution Center - Corporate</t>
  </si>
  <si>
    <t>Inland CORPORATE - Managed Service - NO End User Support</t>
  </si>
  <si>
    <t>178715</t>
  </si>
  <si>
    <t>Inland Star Distribution Center - Corporate Total</t>
  </si>
  <si>
    <t>Inland Star Distribution Center - Fresno</t>
  </si>
  <si>
    <t>178716</t>
  </si>
  <si>
    <t>Inland Star - Managed Service - NO End User Support</t>
  </si>
  <si>
    <t>Inland Star Distribution Center - Fresno Total</t>
  </si>
  <si>
    <t>Inland Star Distribution Center - Visalia</t>
  </si>
  <si>
    <t>Inland Visalia Managed Service - NO End User Support</t>
  </si>
  <si>
    <t>178717</t>
  </si>
  <si>
    <t>Inland Star Distribution Center - Visalia Total</t>
  </si>
  <si>
    <t>Inteli-care LLC</t>
  </si>
  <si>
    <t>178825</t>
  </si>
  <si>
    <t>Inteli-care LLC Total</t>
  </si>
  <si>
    <t>JEM Management Corporation</t>
  </si>
  <si>
    <t>JEM Microsoft 365</t>
  </si>
  <si>
    <t>178718</t>
  </si>
  <si>
    <t>JEM Management Support360</t>
  </si>
  <si>
    <t>JEM Management Corporation Total</t>
  </si>
  <si>
    <t>John Potter Specialty Foods, Inc.</t>
  </si>
  <si>
    <t>178826</t>
  </si>
  <si>
    <t>John Potter Microsoft 365</t>
  </si>
  <si>
    <t>John Potter Specialty Foods, Inc. Total</t>
  </si>
  <si>
    <t>Kaplan &amp; Trombi</t>
  </si>
  <si>
    <t>179089</t>
  </si>
  <si>
    <t>Kaplan &amp; Trombi Total</t>
  </si>
  <si>
    <t>Keen Care</t>
  </si>
  <si>
    <t>178827</t>
  </si>
  <si>
    <t>Keen Care Total</t>
  </si>
  <si>
    <t>Keyes Union School District</t>
  </si>
  <si>
    <t>178829</t>
  </si>
  <si>
    <t>Keyes USD-Managed</t>
  </si>
  <si>
    <t>178828</t>
  </si>
  <si>
    <t>Keyes Union School District Total</t>
  </si>
  <si>
    <t>Laguna Tools</t>
  </si>
  <si>
    <t>Laguna Tools Cloud Services</t>
  </si>
  <si>
    <t>179090</t>
  </si>
  <si>
    <t>Laguna Tools Microsoft 365</t>
  </si>
  <si>
    <t>Laguna Tools Total</t>
  </si>
  <si>
    <t>Life Improvement Homecare, Inc.</t>
  </si>
  <si>
    <t>Recurring Resale - Microsoft 365 NCE - Monthly</t>
  </si>
  <si>
    <t>178831</t>
  </si>
  <si>
    <t>178830</t>
  </si>
  <si>
    <t>Life Improvement Homecare, Inc. Total</t>
  </si>
  <si>
    <t>Line-Mobility</t>
  </si>
  <si>
    <t>178832</t>
  </si>
  <si>
    <t>Line-Mobility Total</t>
  </si>
  <si>
    <t>Linwood Engineering Associates</t>
  </si>
  <si>
    <t>179091</t>
  </si>
  <si>
    <t>Linwood Engineering Associates Total</t>
  </si>
  <si>
    <t>Lucia Mar Unified School District</t>
  </si>
  <si>
    <t>178834</t>
  </si>
  <si>
    <t>VOIP Support</t>
  </si>
  <si>
    <t>178833</t>
  </si>
  <si>
    <t>Lucia Mar Unified School District Total</t>
  </si>
  <si>
    <t>Madera County Transportation Commission</t>
  </si>
  <si>
    <t>178719</t>
  </si>
  <si>
    <t>Madera County Transportation Microsoft 365</t>
  </si>
  <si>
    <t>Madera Transport Support360</t>
  </si>
  <si>
    <t>Madera County Transportation Commission Total</t>
  </si>
  <si>
    <t>MedTech Billing Services</t>
  </si>
  <si>
    <t>Microsoft NCE</t>
  </si>
  <si>
    <t>178836</t>
  </si>
  <si>
    <t>178835</t>
  </si>
  <si>
    <t>MedTech Billing Services Total</t>
  </si>
  <si>
    <t>Modiv</t>
  </si>
  <si>
    <t>179092B</t>
  </si>
  <si>
    <t>MODIV Managed IT  month to month</t>
  </si>
  <si>
    <t>Modiv Total</t>
  </si>
  <si>
    <t>Monte Vista Small Animal Hospital</t>
  </si>
  <si>
    <t>178837</t>
  </si>
  <si>
    <t>Monte Vista Small Animal Hospital Total</t>
  </si>
  <si>
    <t>Newman-Crows Landing USD</t>
  </si>
  <si>
    <t>179164</t>
  </si>
  <si>
    <t>178838</t>
  </si>
  <si>
    <t>Newman-Crows Landing USD Total</t>
  </si>
  <si>
    <t>Nyansa Learning Corporation</t>
  </si>
  <si>
    <t>179093</t>
  </si>
  <si>
    <t>Nyansa Learning Corporation Total</t>
  </si>
  <si>
    <t>Oliveira Wealth</t>
  </si>
  <si>
    <t>178839</t>
  </si>
  <si>
    <t>Oliveira Wealth Total</t>
  </si>
  <si>
    <t>Orange County Human Relations</t>
  </si>
  <si>
    <t>179094</t>
  </si>
  <si>
    <t>Orange County Human Relations Total</t>
  </si>
  <si>
    <t>Panoche Energy Center</t>
  </si>
  <si>
    <t>178720</t>
  </si>
  <si>
    <t>Panoche Energy Center Total</t>
  </si>
  <si>
    <t>Pasco</t>
  </si>
  <si>
    <t>178840</t>
  </si>
  <si>
    <t>178841</t>
  </si>
  <si>
    <t>Pasco Total</t>
  </si>
  <si>
    <t>Peak Real Estate Management LLC</t>
  </si>
  <si>
    <t>179095</t>
  </si>
  <si>
    <t>Peak Real Estate Management LLC Total</t>
  </si>
  <si>
    <t>Pearl's Hope</t>
  </si>
  <si>
    <t>178842</t>
  </si>
  <si>
    <t>Pearl's Hope Total</t>
  </si>
  <si>
    <t>PeopleCare Health Services</t>
  </si>
  <si>
    <t>178843</t>
  </si>
  <si>
    <t>PeopleCare Health Services Total</t>
  </si>
  <si>
    <t>Primetime Escrow</t>
  </si>
  <si>
    <t>179096</t>
  </si>
  <si>
    <t>Primetime Escrow Total</t>
  </si>
  <si>
    <t>Project Hope Alliance</t>
  </si>
  <si>
    <t>179098</t>
  </si>
  <si>
    <t>179097</t>
  </si>
  <si>
    <t>Project Hope Alliance Total</t>
  </si>
  <si>
    <t>Quality Home Services</t>
  </si>
  <si>
    <t>178721</t>
  </si>
  <si>
    <t>Quality Home Services Total</t>
  </si>
  <si>
    <t>REMAX Executive</t>
  </si>
  <si>
    <t>Remax Microsoft 365</t>
  </si>
  <si>
    <t>178844</t>
  </si>
  <si>
    <t>REMAX - Managed Services</t>
  </si>
  <si>
    <t>REMAX Executive Total</t>
  </si>
  <si>
    <t>River Delta USD</t>
  </si>
  <si>
    <t>178845</t>
  </si>
  <si>
    <t>178846</t>
  </si>
  <si>
    <t>River Delta-Managed</t>
  </si>
  <si>
    <t>River Delta USD Total</t>
  </si>
  <si>
    <t>Rizo Lopez Foods</t>
  </si>
  <si>
    <t>178847</t>
  </si>
  <si>
    <t>Rizo Foods-Managed</t>
  </si>
  <si>
    <t>Rizo Lopez Foods Total</t>
  </si>
  <si>
    <t>Rumiano Cheese Company</t>
  </si>
  <si>
    <t>178848</t>
  </si>
  <si>
    <t>Rumiano Cheese Company Total</t>
  </si>
  <si>
    <t>Samaritan Village</t>
  </si>
  <si>
    <t>178849B</t>
  </si>
  <si>
    <t>Samaritan Managed Services</t>
  </si>
  <si>
    <t>Samaritan Village Total</t>
  </si>
  <si>
    <t>Sargent &amp; Bryan, Inc</t>
  </si>
  <si>
    <t>178850</t>
  </si>
  <si>
    <t>Sargent &amp; Bryan Support360</t>
  </si>
  <si>
    <t>Sargent &amp; Bryan, Inc Total</t>
  </si>
  <si>
    <t>Satake USA</t>
  </si>
  <si>
    <t>178942</t>
  </si>
  <si>
    <t>Satake- Managed</t>
  </si>
  <si>
    <t>Satake USA Total</t>
  </si>
  <si>
    <t>Sconza Candy Company</t>
  </si>
  <si>
    <t>178851</t>
  </si>
  <si>
    <t>Sconza Candy Managed Services</t>
  </si>
  <si>
    <t>Sconza Candy Company Total</t>
  </si>
  <si>
    <t>Shiloh Elementary School District</t>
  </si>
  <si>
    <t>178852</t>
  </si>
  <si>
    <t>Shiloh-Managed</t>
  </si>
  <si>
    <t>Shiloh Elementary School District Total</t>
  </si>
  <si>
    <t>Spring Creek Golf &amp; Country Club</t>
  </si>
  <si>
    <t>Spring Creek Microsoft 365</t>
  </si>
  <si>
    <t>178853</t>
  </si>
  <si>
    <t>Spring Creek-Managed</t>
  </si>
  <si>
    <t>Spring Creek Golf &amp; Country Club Total</t>
  </si>
  <si>
    <t>St Lukes Family Practice</t>
  </si>
  <si>
    <t>St. Luke's Family Practice Microsoft 365</t>
  </si>
  <si>
    <t>178854</t>
  </si>
  <si>
    <t>St Lukes-Managed</t>
  </si>
  <si>
    <t>St. Lukes Security Services</t>
  </si>
  <si>
    <t>St Lukes Family Practice Total</t>
  </si>
  <si>
    <t>Stanislaus Union School District</t>
  </si>
  <si>
    <t>Backups</t>
  </si>
  <si>
    <t>178857</t>
  </si>
  <si>
    <t>Remote Software</t>
  </si>
  <si>
    <t>178855</t>
  </si>
  <si>
    <t>178858</t>
  </si>
  <si>
    <t>MSA Stanislaus USD</t>
  </si>
  <si>
    <t>178856</t>
  </si>
  <si>
    <t>Stanislaus Union School District Total</t>
  </si>
  <si>
    <t>Stewart &amp; Jasper</t>
  </si>
  <si>
    <t>Microsoft 365 NCE - Jasper Foods</t>
  </si>
  <si>
    <t>178859</t>
  </si>
  <si>
    <t>Stewart &amp; Jasper Microsoft 365</t>
  </si>
  <si>
    <t>Stewart &amp; Jasper Total</t>
  </si>
  <si>
    <t>SVH Law</t>
  </si>
  <si>
    <t>178860</t>
  </si>
  <si>
    <t>SVH Law Total</t>
  </si>
  <si>
    <t>Sylvan Union School District</t>
  </si>
  <si>
    <t>179046</t>
  </si>
  <si>
    <t>Recurring Resale - MSP 2024/25</t>
  </si>
  <si>
    <t>178862</t>
  </si>
  <si>
    <t>2525Sylvan VOIP Managed</t>
  </si>
  <si>
    <t>178861</t>
  </si>
  <si>
    <t>Sylvan Union Security</t>
  </si>
  <si>
    <t>Sylvan Union School District Total</t>
  </si>
  <si>
    <t>TCB Industrial</t>
  </si>
  <si>
    <t>178864</t>
  </si>
  <si>
    <t>178863</t>
  </si>
  <si>
    <t>TCB Industrial Total</t>
  </si>
  <si>
    <t>Team Risk Management Strategies</t>
  </si>
  <si>
    <t>178865</t>
  </si>
  <si>
    <t>Team Risk Management Strategies Total</t>
  </si>
  <si>
    <t>Terra Linda Farms</t>
  </si>
  <si>
    <t>178722</t>
  </si>
  <si>
    <t>Terra Linda Farms Total</t>
  </si>
  <si>
    <t>Trumark Companies</t>
  </si>
  <si>
    <t>Trumark Companies Cloud Services</t>
  </si>
  <si>
    <t>Trumark Companies Total</t>
  </si>
  <si>
    <t>United Way of Stanislaus County</t>
  </si>
  <si>
    <t>178866</t>
  </si>
  <si>
    <t>United Way of Stanislaus County Total</t>
  </si>
  <si>
    <t>Valley Iron</t>
  </si>
  <si>
    <t>Recurring Resale - Microsoft 365 NCE 25/26</t>
  </si>
  <si>
    <t>178723</t>
  </si>
  <si>
    <t>Valley Iron Total</t>
  </si>
  <si>
    <t>Valley Urology</t>
  </si>
  <si>
    <t>178724</t>
  </si>
  <si>
    <t>Valley Urology Support360</t>
  </si>
  <si>
    <t>Valley Urology Total</t>
  </si>
  <si>
    <t>Vie-Del Company</t>
  </si>
  <si>
    <t>178725</t>
  </si>
  <si>
    <t>Vie-Del Company Total</t>
  </si>
  <si>
    <t>Vital Care Solutions</t>
  </si>
  <si>
    <t>178867</t>
  </si>
  <si>
    <t>Vital Care Solutions Total</t>
  </si>
  <si>
    <t>Warden's</t>
  </si>
  <si>
    <t>178868B</t>
  </si>
  <si>
    <t>Warden's Total</t>
  </si>
  <si>
    <t>Warren &amp; Baerg Manufacturing, Inc.</t>
  </si>
  <si>
    <t>Warren &amp; Baerg Microsoft 365</t>
  </si>
  <si>
    <t>178726</t>
  </si>
  <si>
    <t>Warren &amp; Baerg Support360</t>
  </si>
  <si>
    <t>Warren &amp; Baerg Manufacturing, Inc. Total</t>
  </si>
  <si>
    <t>Weakley &amp; Arendt, LLP</t>
  </si>
  <si>
    <t>Weakley &amp; Arendt Microsoft 365</t>
  </si>
  <si>
    <t>178727</t>
  </si>
  <si>
    <t>Weakley Security Agreement</t>
  </si>
  <si>
    <t>Weakley &amp; Arendt, LLP Support360</t>
  </si>
  <si>
    <t>Weakley &amp; Arendt, LLP Total</t>
  </si>
  <si>
    <t>Western Steel Buildings</t>
  </si>
  <si>
    <t>178869</t>
  </si>
  <si>
    <t>Western Steel Buildings Total</t>
  </si>
  <si>
    <t>Westmark Incorporated</t>
  </si>
  <si>
    <t>Cloud - Private 2023-2027</t>
  </si>
  <si>
    <t>178870</t>
  </si>
  <si>
    <t>West-Mark Inc Managed Services</t>
  </si>
  <si>
    <t>Westmark Incorporated Total</t>
  </si>
  <si>
    <t>Winton-Ireland, Strom &amp; Green</t>
  </si>
  <si>
    <t>178871</t>
  </si>
  <si>
    <t>Winton-Ireland, Strom &amp; Green Total</t>
  </si>
  <si>
    <t>Yosemite Farm Credit</t>
  </si>
  <si>
    <t>178872</t>
  </si>
  <si>
    <t>Yosemite Farm Credit Total</t>
  </si>
  <si>
    <t>Your Escrow Company</t>
  </si>
  <si>
    <t>179099</t>
  </si>
  <si>
    <t>Your Escrow Company Total</t>
  </si>
  <si>
    <t>CA Total</t>
  </si>
  <si>
    <t>Grand Total</t>
  </si>
  <si>
    <t>Total Recurring Revenue</t>
  </si>
  <si>
    <t>Diff</t>
  </si>
  <si>
    <t>CA &amp; OH Total</t>
  </si>
  <si>
    <t>July Payroll Breakdown</t>
  </si>
  <si>
    <t>P&amp;L</t>
  </si>
  <si>
    <t xml:space="preserve">Payoll Cost </t>
  </si>
  <si>
    <t>Differences</t>
  </si>
  <si>
    <t>IT Project Labor</t>
  </si>
  <si>
    <t>Direct Labor</t>
  </si>
  <si>
    <t xml:space="preserve">Dismissed </t>
  </si>
  <si>
    <t>Sales
 (includes commissions)</t>
  </si>
  <si>
    <t>New Hires</t>
  </si>
  <si>
    <t>Admin</t>
  </si>
  <si>
    <t xml:space="preserve">Last Day </t>
  </si>
  <si>
    <t>New Hire
First Day</t>
  </si>
  <si>
    <t>Last Name</t>
  </si>
  <si>
    <t>First Name</t>
  </si>
  <si>
    <t>Full Name</t>
  </si>
  <si>
    <t>Department</t>
  </si>
  <si>
    <t>Financial Statement 
category</t>
  </si>
  <si>
    <t>Payroll Cost</t>
  </si>
  <si>
    <t>One time 
Payouts</t>
  </si>
  <si>
    <t xml:space="preserve">After- Hours On Call and Overtime </t>
  </si>
  <si>
    <t>Monthly Base Cost</t>
  </si>
  <si>
    <t>June Monthly Base Estimated</t>
  </si>
  <si>
    <t>Commissions Current Month</t>
  </si>
  <si>
    <t>Commissions Previous Month</t>
  </si>
  <si>
    <t>Difference</t>
  </si>
  <si>
    <t>Harsch</t>
  </si>
  <si>
    <t>Jack</t>
  </si>
  <si>
    <t>Jack Harsch</t>
  </si>
  <si>
    <t>East Coast - Engineering</t>
  </si>
  <si>
    <t>1-IT Project Labor</t>
  </si>
  <si>
    <t>Bruce</t>
  </si>
  <si>
    <t>James</t>
  </si>
  <si>
    <t>James Bruce</t>
  </si>
  <si>
    <t xml:space="preserve">West Coast - Engineering </t>
  </si>
  <si>
    <t>Lampe</t>
  </si>
  <si>
    <t>Matthew</t>
  </si>
  <si>
    <t>Matthew Lampe</t>
  </si>
  <si>
    <t>Newson</t>
  </si>
  <si>
    <t>Keith</t>
  </si>
  <si>
    <t>Keith Newson</t>
  </si>
  <si>
    <t>Walski</t>
  </si>
  <si>
    <t>Stephen</t>
  </si>
  <si>
    <t>Stephen Walski</t>
  </si>
  <si>
    <t>West Coast - Service Delivery</t>
  </si>
  <si>
    <t>Gilmore</t>
  </si>
  <si>
    <t>Christopher</t>
  </si>
  <si>
    <t>Christopher Gilmore</t>
  </si>
  <si>
    <t>West Cost-Fresno Engineering</t>
  </si>
  <si>
    <t>1-IT Project Labor Total</t>
  </si>
  <si>
    <t>Annabel</t>
  </si>
  <si>
    <t>Peter</t>
  </si>
  <si>
    <t>Peter Annabel</t>
  </si>
  <si>
    <t>Cloud Services</t>
  </si>
  <si>
    <t>2-Direct Labor</t>
  </si>
  <si>
    <t>Barr</t>
  </si>
  <si>
    <t>Kevin</t>
  </si>
  <si>
    <t>Kevin Barr</t>
  </si>
  <si>
    <t>East Coast - Installation Services</t>
  </si>
  <si>
    <t>Bates</t>
  </si>
  <si>
    <t>Colin</t>
  </si>
  <si>
    <t>Colin Bates</t>
  </si>
  <si>
    <t>Blair</t>
  </si>
  <si>
    <t>Joshua</t>
  </si>
  <si>
    <t>Joshua Blair</t>
  </si>
  <si>
    <t>Brennan</t>
  </si>
  <si>
    <t>Thomas</t>
  </si>
  <si>
    <t>Thomas Brennan</t>
  </si>
  <si>
    <t>Brinovec</t>
  </si>
  <si>
    <t>Matthew Brinovec</t>
  </si>
  <si>
    <t>East Coast - Service Desk</t>
  </si>
  <si>
    <t>Brockett</t>
  </si>
  <si>
    <t>Casey</t>
  </si>
  <si>
    <t>Casey Brockett</t>
  </si>
  <si>
    <t>West Coast-Fresno Service</t>
  </si>
  <si>
    <t>Severance payout</t>
  </si>
  <si>
    <t>Chavez Soto</t>
  </si>
  <si>
    <t>Cristina</t>
  </si>
  <si>
    <t>Cristina Chavez Soto</t>
  </si>
  <si>
    <t>Conkle</t>
  </si>
  <si>
    <t>Kerr</t>
  </si>
  <si>
    <t>Kerr Conkle</t>
  </si>
  <si>
    <t>Contreras</t>
  </si>
  <si>
    <t>Angela</t>
  </si>
  <si>
    <t>Angela Contreras</t>
  </si>
  <si>
    <t>Oscar</t>
  </si>
  <si>
    <t>Oscar Contreras</t>
  </si>
  <si>
    <t>Dean</t>
  </si>
  <si>
    <t>Sam</t>
  </si>
  <si>
    <t>Sam Dean</t>
  </si>
  <si>
    <t>Doyle</t>
  </si>
  <si>
    <t>William</t>
  </si>
  <si>
    <t>William Doyle</t>
  </si>
  <si>
    <t>Dupray</t>
  </si>
  <si>
    <t>Nathaniel</t>
  </si>
  <si>
    <t>Nathaniel Dupray</t>
  </si>
  <si>
    <t>Espinoza</t>
  </si>
  <si>
    <t>Gabriel</t>
  </si>
  <si>
    <t>Gabriel Espinoza</t>
  </si>
  <si>
    <t>Fajardo</t>
  </si>
  <si>
    <t>Franz Aram</t>
  </si>
  <si>
    <t>Franz Aram Fajardo</t>
  </si>
  <si>
    <t xml:space="preserve">Prorated </t>
  </si>
  <si>
    <t>Hughes</t>
  </si>
  <si>
    <t>Michael</t>
  </si>
  <si>
    <t>Michael Hughes</t>
  </si>
  <si>
    <t>Huizar</t>
  </si>
  <si>
    <t>Luis</t>
  </si>
  <si>
    <t>Luis Huizar</t>
  </si>
  <si>
    <t>Hulsey-Cedeno</t>
  </si>
  <si>
    <t>Brandon</t>
  </si>
  <si>
    <t>Brandon Hulsey-Cedeno</t>
  </si>
  <si>
    <t>Johnson</t>
  </si>
  <si>
    <t>Brandon Johnson</t>
  </si>
  <si>
    <t>Keim</t>
  </si>
  <si>
    <t>Colton</t>
  </si>
  <si>
    <t>Colton Keim</t>
  </si>
  <si>
    <t>Lanning</t>
  </si>
  <si>
    <t>Nathan</t>
  </si>
  <si>
    <t>Nathan Lanning</t>
  </si>
  <si>
    <t>East Coast - Field Engineering</t>
  </si>
  <si>
    <t>Matuszynski</t>
  </si>
  <si>
    <t>Cole</t>
  </si>
  <si>
    <t>Cole Matuszynski</t>
  </si>
  <si>
    <t>Mercer</t>
  </si>
  <si>
    <t>Mark</t>
  </si>
  <si>
    <t>Mark Mercer</t>
  </si>
  <si>
    <t>Morozov</t>
  </si>
  <si>
    <t>Steve</t>
  </si>
  <si>
    <t>Steve Morozov</t>
  </si>
  <si>
    <t>Pena</t>
  </si>
  <si>
    <t>Luis Pena</t>
  </si>
  <si>
    <t>Schilber</t>
  </si>
  <si>
    <t>Michael Schilber</t>
  </si>
  <si>
    <t>Cyber Security</t>
  </si>
  <si>
    <t>Stewart</t>
  </si>
  <si>
    <t>Timothy</t>
  </si>
  <si>
    <t>Timothy Stewart</t>
  </si>
  <si>
    <t>Strassell</t>
  </si>
  <si>
    <t>Cory</t>
  </si>
  <si>
    <t>Cory Strassell</t>
  </si>
  <si>
    <t>Terrell</t>
  </si>
  <si>
    <t>Duncan</t>
  </si>
  <si>
    <t>Duncan Terrell</t>
  </si>
  <si>
    <t>Trude</t>
  </si>
  <si>
    <t>Michael Trude</t>
  </si>
  <si>
    <t>Wijaya</t>
  </si>
  <si>
    <t>Tommy</t>
  </si>
  <si>
    <t>Tommy Wijaya</t>
  </si>
  <si>
    <t>Direct Labor Total</t>
  </si>
  <si>
    <t>De Guzman</t>
  </si>
  <si>
    <t>Edwin</t>
  </si>
  <si>
    <t>Edwin De Guzman</t>
  </si>
  <si>
    <t>Contract Wages</t>
  </si>
  <si>
    <t>3-Sales Labor Costs</t>
  </si>
  <si>
    <t>Martinez Duran</t>
  </si>
  <si>
    <t>Julissa</t>
  </si>
  <si>
    <t>Julissa Martinez Duran</t>
  </si>
  <si>
    <t>Martinez</t>
  </si>
  <si>
    <t>Maria</t>
  </si>
  <si>
    <t>Maria Martinez</t>
  </si>
  <si>
    <t>Villanueva</t>
  </si>
  <si>
    <t>Myca</t>
  </si>
  <si>
    <t>Myca Villanueva</t>
  </si>
  <si>
    <t>Kuphal</t>
  </si>
  <si>
    <t>Daniel</t>
  </si>
  <si>
    <t>Daniel Kuphal</t>
  </si>
  <si>
    <t>East Coast - Sales and Marketing</t>
  </si>
  <si>
    <t>Walker</t>
  </si>
  <si>
    <t>Joel</t>
  </si>
  <si>
    <t>Joel Walker</t>
  </si>
  <si>
    <t>Lobo</t>
  </si>
  <si>
    <t>Lester</t>
  </si>
  <si>
    <t>Lester Lobo</t>
  </si>
  <si>
    <t>Baker</t>
  </si>
  <si>
    <t>Matthew Baker</t>
  </si>
  <si>
    <t>Wallace</t>
  </si>
  <si>
    <t>Mark Wallace</t>
  </si>
  <si>
    <t>Monthly base cost adjusted</t>
  </si>
  <si>
    <t>Chadwell</t>
  </si>
  <si>
    <t>Daniel Chadwell</t>
  </si>
  <si>
    <t>Procurement and Sales Engineering</t>
  </si>
  <si>
    <t>DinYero</t>
  </si>
  <si>
    <t>DinYero Johnson</t>
  </si>
  <si>
    <t>Maestas</t>
  </si>
  <si>
    <t>Ricky</t>
  </si>
  <si>
    <t>Ricky Maestas</t>
  </si>
  <si>
    <t>West Coast - Education</t>
  </si>
  <si>
    <t>Sturdivant</t>
  </si>
  <si>
    <t>Daniel Sturdivant</t>
  </si>
  <si>
    <t>West Coast - Sales + Marketing</t>
  </si>
  <si>
    <t>Harvey</t>
  </si>
  <si>
    <t>Jay</t>
  </si>
  <si>
    <t>Jay Harvey</t>
  </si>
  <si>
    <t>La Fleche</t>
  </si>
  <si>
    <t>Nathan La Fleche</t>
  </si>
  <si>
    <t>Sales Labor Total</t>
  </si>
  <si>
    <t>Moore</t>
  </si>
  <si>
    <t>Rebecca</t>
  </si>
  <si>
    <t>Rebecca Moore</t>
  </si>
  <si>
    <t xml:space="preserve">Admin + Finance + HR	</t>
  </si>
  <si>
    <t xml:space="preserve">4-Admin </t>
  </si>
  <si>
    <t>Vicencio</t>
  </si>
  <si>
    <t>P. Dennis</t>
  </si>
  <si>
    <t>P. Dennis Vicencio</t>
  </si>
  <si>
    <t>Hennington</t>
  </si>
  <si>
    <t>Melinda</t>
  </si>
  <si>
    <t>Melinda Hennington</t>
  </si>
  <si>
    <t>Admin Finance-Fresno</t>
  </si>
  <si>
    <t>Wage Increase 7-14-25 7%</t>
  </si>
  <si>
    <t>Peterson</t>
  </si>
  <si>
    <t>Devin</t>
  </si>
  <si>
    <t>Devin Peterson</t>
  </si>
  <si>
    <t>Central Services &amp; Internal IT</t>
  </si>
  <si>
    <t>Rownd</t>
  </si>
  <si>
    <t>Marshall</t>
  </si>
  <si>
    <t>Marshall Rownd</t>
  </si>
  <si>
    <t>Terrones</t>
  </si>
  <si>
    <t>Genelyn</t>
  </si>
  <si>
    <t>Genelyn Terrones</t>
  </si>
  <si>
    <t>Esteras</t>
  </si>
  <si>
    <t>Lyza</t>
  </si>
  <si>
    <t>Lyza Esteras</t>
  </si>
  <si>
    <t>Dizon</t>
  </si>
  <si>
    <t>Jaquelene</t>
  </si>
  <si>
    <t>Jaquelene Dizon</t>
  </si>
  <si>
    <t>Gregory</t>
  </si>
  <si>
    <t>Gregory Harvey</t>
  </si>
  <si>
    <t>East Coast - Procurement</t>
  </si>
  <si>
    <t>Terminated</t>
  </si>
  <si>
    <t>James Bates</t>
  </si>
  <si>
    <t>Owner</t>
  </si>
  <si>
    <t>Darmstandler</t>
  </si>
  <si>
    <t>David</t>
  </si>
  <si>
    <t>David Darmstandler</t>
  </si>
  <si>
    <t>Craig</t>
  </si>
  <si>
    <t>David Craig</t>
  </si>
  <si>
    <t>Procurement</t>
  </si>
  <si>
    <t>Admin Total Costs</t>
  </si>
  <si>
    <t>Total Labor Costs</t>
  </si>
  <si>
    <t>New Hires - July</t>
  </si>
  <si>
    <t>Est April Totals</t>
  </si>
  <si>
    <t>IT Project Labor Costs</t>
  </si>
  <si>
    <t>Direct Labor Costs</t>
  </si>
  <si>
    <t>Sales Labor Costs</t>
  </si>
  <si>
    <t>Admin Labor Costs</t>
  </si>
  <si>
    <t>Footnotes</t>
  </si>
  <si>
    <t>GM%</t>
  </si>
  <si>
    <t>Credit for 8 X$150 for server management overcharge</t>
  </si>
  <si>
    <t>Credit for 14 X $150 for server management overcahrge</t>
  </si>
  <si>
    <t>New MSA started on 7/1</t>
  </si>
  <si>
    <t>Credit for 6 X $205 for sever mangment overcharge</t>
  </si>
  <si>
    <t>New Contract for secuirty</t>
  </si>
  <si>
    <t>new MSA 7/1/25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</si>
</sst>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_(&quot;$&quot;* #,##0_);_(&quot;$&quot;* \(#,##0\);_(&quot;$&quot;* &quot;-&quot;??_);_(@_)"/>
  </numFmts>
  <fonts count="2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name val="Helvetica"/>
      <family val="2"/>
    </font>
    <font>
      <sz val="8"/>
      <name val="Helvetica"/>
      <family val="2"/>
    </font>
    <font>
      <sz val="6"/>
      <name val="Helvetica"/>
      <family val="2"/>
    </font>
    <font>
      <b/>
      <sz val="8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242424"/>
      <name val="Aptos Narrow"/>
      <family val="2"/>
    </font>
    <font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Aptos Narrow"/>
      <family val="2"/>
    </font>
    <font>
      <b/>
      <sz val="11"/>
      <name val="Aptos Narrow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3B3B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rgb="FFFFFFA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B3B3B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3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22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2" xfId="0" applyFont="1" applyFill="1" applyBorder="1" applyAlignment="1">
      <alignment horizontal="right"/>
    </xf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164" fontId="3" fillId="2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4" fontId="3" fillId="2" borderId="3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164" fontId="5" fillId="2" borderId="4" xfId="0" applyNumberFormat="1" applyFont="1" applyFill="1" applyBorder="1" applyAlignment="1">
      <alignment horizontal="right"/>
    </xf>
    <xf numFmtId="164" fontId="3" fillId="3" borderId="0" xfId="0" applyNumberFormat="1" applyFont="1" applyFill="1" applyAlignment="1">
      <alignment horizontal="right"/>
    </xf>
    <xf numFmtId="9" fontId="3" fillId="2" borderId="0" xfId="1" applyFont="1" applyFill="1" applyAlignment="1">
      <alignment horizontal="right"/>
    </xf>
    <xf numFmtId="9" fontId="3" fillId="3" borderId="0" xfId="1" applyFont="1" applyFill="1" applyAlignment="1">
      <alignment horizontal="right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0" fillId="0" borderId="0" xfId="0" applyAlignment="1">
      <alignment wrapText="1"/>
    </xf>
    <xf numFmtId="165" fontId="0" fillId="0" borderId="0" xfId="2" applyNumberFormat="1" applyFont="1"/>
    <xf numFmtId="0" fontId="11" fillId="0" borderId="0" xfId="0" applyFont="1"/>
    <xf numFmtId="164" fontId="3" fillId="0" borderId="0" xfId="0" applyNumberFormat="1" applyFont="1" applyAlignment="1">
      <alignment horizontal="right"/>
    </xf>
    <xf numFmtId="1" fontId="3" fillId="3" borderId="0" xfId="1" applyNumberFormat="1" applyFont="1" applyFill="1" applyAlignment="1">
      <alignment horizontal="right"/>
    </xf>
    <xf numFmtId="0" fontId="13" fillId="0" borderId="0" xfId="6" applyFont="1" applyAlignment="1">
      <alignment horizontal="left"/>
    </xf>
    <xf numFmtId="0" fontId="12" fillId="0" borderId="0" xfId="6"/>
    <xf numFmtId="0" fontId="13" fillId="0" borderId="0" xfId="6" applyFont="1" applyAlignment="1">
      <alignment horizontal="center"/>
    </xf>
    <xf numFmtId="0" fontId="12" fillId="0" borderId="0" xfId="6" applyAlignment="1">
      <alignment horizontal="center"/>
    </xf>
    <xf numFmtId="40" fontId="12" fillId="0" borderId="0" xfId="6" applyNumberFormat="1" applyAlignment="1">
      <alignment horizontal="left" wrapText="1"/>
    </xf>
    <xf numFmtId="0" fontId="12" fillId="0" borderId="0" xfId="6" applyAlignment="1">
      <alignment wrapText="1"/>
    </xf>
    <xf numFmtId="43" fontId="0" fillId="0" borderId="0" xfId="7" applyFont="1"/>
    <xf numFmtId="43" fontId="9" fillId="0" borderId="7" xfId="7" applyFont="1" applyBorder="1" applyAlignment="1">
      <alignment horizontal="right"/>
    </xf>
    <xf numFmtId="43" fontId="9" fillId="0" borderId="8" xfId="7" applyFont="1" applyBorder="1" applyAlignment="1">
      <alignment horizontal="center"/>
    </xf>
    <xf numFmtId="43" fontId="12" fillId="0" borderId="0" xfId="6" applyNumberFormat="1"/>
    <xf numFmtId="40" fontId="12" fillId="0" borderId="0" xfId="6" applyNumberFormat="1" applyAlignment="1">
      <alignment horizontal="left"/>
    </xf>
    <xf numFmtId="0" fontId="14" fillId="0" borderId="0" xfId="6" applyFont="1" applyAlignment="1">
      <alignment horizontal="left" wrapText="1"/>
    </xf>
    <xf numFmtId="43" fontId="12" fillId="0" borderId="0" xfId="8" applyFont="1"/>
    <xf numFmtId="43" fontId="14" fillId="0" borderId="0" xfId="8" applyFont="1" applyAlignment="1">
      <alignment wrapText="1"/>
    </xf>
    <xf numFmtId="0" fontId="12" fillId="4" borderId="9" xfId="6" applyFill="1" applyBorder="1"/>
    <xf numFmtId="43" fontId="15" fillId="0" borderId="7" xfId="7" applyFont="1" applyBorder="1" applyAlignment="1">
      <alignment horizontal="right" wrapText="1"/>
    </xf>
    <xf numFmtId="43" fontId="14" fillId="0" borderId="0" xfId="6" applyNumberFormat="1" applyFont="1" applyAlignment="1">
      <alignment wrapText="1"/>
    </xf>
    <xf numFmtId="0" fontId="12" fillId="5" borderId="10" xfId="6" applyFill="1" applyBorder="1"/>
    <xf numFmtId="43" fontId="9" fillId="0" borderId="11" xfId="7" applyFont="1" applyBorder="1" applyAlignment="1">
      <alignment horizontal="right"/>
    </xf>
    <xf numFmtId="43" fontId="9" fillId="0" borderId="12" xfId="7" applyFont="1" applyBorder="1" applyAlignment="1">
      <alignment horizontal="center"/>
    </xf>
    <xf numFmtId="0" fontId="12" fillId="0" borderId="0" xfId="6" applyAlignment="1">
      <alignment horizontal="left"/>
    </xf>
    <xf numFmtId="14" fontId="8" fillId="6" borderId="9" xfId="6" applyNumberFormat="1" applyFont="1" applyFill="1" applyBorder="1" applyAlignment="1">
      <alignment wrapText="1"/>
    </xf>
    <xf numFmtId="0" fontId="8" fillId="6" borderId="9" xfId="6" applyFont="1" applyFill="1" applyBorder="1"/>
    <xf numFmtId="0" fontId="8" fillId="6" borderId="9" xfId="6" applyFont="1" applyFill="1" applyBorder="1" applyAlignment="1">
      <alignment horizontal="left" wrapText="1"/>
    </xf>
    <xf numFmtId="43" fontId="8" fillId="6" borderId="9" xfId="8" applyFont="1" applyFill="1" applyBorder="1" applyAlignment="1">
      <alignment horizontal="center" wrapText="1"/>
    </xf>
    <xf numFmtId="43" fontId="8" fillId="6" borderId="0" xfId="8" applyFont="1" applyFill="1" applyAlignment="1">
      <alignment horizontal="center" wrapText="1"/>
    </xf>
    <xf numFmtId="43" fontId="8" fillId="6" borderId="0" xfId="7" applyFont="1" applyFill="1" applyAlignment="1">
      <alignment horizontal="center" wrapText="1"/>
    </xf>
    <xf numFmtId="14" fontId="12" fillId="7" borderId="10" xfId="6" applyNumberFormat="1" applyFill="1" applyBorder="1"/>
    <xf numFmtId="14" fontId="12" fillId="7" borderId="9" xfId="6" applyNumberFormat="1" applyFill="1" applyBorder="1"/>
    <xf numFmtId="0" fontId="12" fillId="7" borderId="9" xfId="6" applyFill="1" applyBorder="1"/>
    <xf numFmtId="0" fontId="12" fillId="7" borderId="9" xfId="6" applyFill="1" applyBorder="1" applyAlignment="1">
      <alignment horizontal="left"/>
    </xf>
    <xf numFmtId="43" fontId="0" fillId="7" borderId="13" xfId="8" applyFont="1" applyFill="1" applyBorder="1"/>
    <xf numFmtId="10" fontId="0" fillId="7" borderId="13" xfId="9" applyNumberFormat="1" applyFont="1" applyFill="1" applyBorder="1"/>
    <xf numFmtId="14" fontId="12" fillId="8" borderId="10" xfId="6" applyNumberFormat="1" applyFill="1" applyBorder="1"/>
    <xf numFmtId="14" fontId="12" fillId="8" borderId="9" xfId="6" applyNumberFormat="1" applyFill="1" applyBorder="1"/>
    <xf numFmtId="0" fontId="12" fillId="8" borderId="9" xfId="6" applyFill="1" applyBorder="1"/>
    <xf numFmtId="0" fontId="12" fillId="8" borderId="9" xfId="6" applyFill="1" applyBorder="1" applyAlignment="1">
      <alignment horizontal="left"/>
    </xf>
    <xf numFmtId="14" fontId="12" fillId="0" borderId="10" xfId="6" applyNumberFormat="1" applyBorder="1"/>
    <xf numFmtId="14" fontId="12" fillId="0" borderId="9" xfId="6" applyNumberFormat="1" applyBorder="1"/>
    <xf numFmtId="0" fontId="12" fillId="0" borderId="9" xfId="6" applyBorder="1"/>
    <xf numFmtId="0" fontId="9" fillId="0" borderId="9" xfId="6" applyFont="1" applyBorder="1"/>
    <xf numFmtId="0" fontId="9" fillId="0" borderId="9" xfId="6" applyFont="1" applyBorder="1" applyAlignment="1">
      <alignment horizontal="left"/>
    </xf>
    <xf numFmtId="43" fontId="9" fillId="0" borderId="13" xfId="8" applyFont="1" applyBorder="1"/>
    <xf numFmtId="10" fontId="9" fillId="0" borderId="13" xfId="9" applyNumberFormat="1" applyFont="1" applyBorder="1"/>
    <xf numFmtId="14" fontId="12" fillId="9" borderId="10" xfId="6" applyNumberFormat="1" applyFill="1" applyBorder="1"/>
    <xf numFmtId="14" fontId="12" fillId="9" borderId="9" xfId="6" applyNumberFormat="1" applyFill="1" applyBorder="1"/>
    <xf numFmtId="0" fontId="12" fillId="9" borderId="9" xfId="6" applyFill="1" applyBorder="1"/>
    <xf numFmtId="0" fontId="12" fillId="9" borderId="9" xfId="6" applyFill="1" applyBorder="1" applyAlignment="1">
      <alignment horizontal="left"/>
    </xf>
    <xf numFmtId="43" fontId="0" fillId="10" borderId="13" xfId="8" applyFont="1" applyFill="1" applyBorder="1"/>
    <xf numFmtId="43" fontId="0" fillId="9" borderId="13" xfId="8" applyFont="1" applyFill="1" applyBorder="1"/>
    <xf numFmtId="9" fontId="0" fillId="9" borderId="13" xfId="9" applyFont="1" applyFill="1" applyBorder="1"/>
    <xf numFmtId="0" fontId="1" fillId="10" borderId="10" xfId="6" applyFont="1" applyFill="1" applyBorder="1"/>
    <xf numFmtId="14" fontId="1" fillId="10" borderId="9" xfId="6" applyNumberFormat="1" applyFont="1" applyFill="1" applyBorder="1"/>
    <xf numFmtId="0" fontId="1" fillId="10" borderId="9" xfId="6" applyFont="1" applyFill="1" applyBorder="1"/>
    <xf numFmtId="0" fontId="1" fillId="10" borderId="13" xfId="6" applyFont="1" applyFill="1" applyBorder="1"/>
    <xf numFmtId="43" fontId="1" fillId="10" borderId="13" xfId="6" applyNumberFormat="1" applyFont="1" applyFill="1" applyBorder="1"/>
    <xf numFmtId="9" fontId="1" fillId="10" borderId="13" xfId="9" applyFont="1" applyFill="1" applyBorder="1" applyAlignment="1">
      <alignment wrapText="1"/>
    </xf>
    <xf numFmtId="14" fontId="12" fillId="11" borderId="10" xfId="6" applyNumberFormat="1" applyFill="1" applyBorder="1"/>
    <xf numFmtId="14" fontId="12" fillId="11" borderId="9" xfId="6" applyNumberFormat="1" applyFill="1" applyBorder="1"/>
    <xf numFmtId="0" fontId="12" fillId="11" borderId="9" xfId="6" applyFill="1" applyBorder="1"/>
    <xf numFmtId="0" fontId="12" fillId="11" borderId="9" xfId="6" applyFill="1" applyBorder="1" applyAlignment="1">
      <alignment horizontal="left"/>
    </xf>
    <xf numFmtId="43" fontId="0" fillId="11" borderId="13" xfId="8" applyFont="1" applyFill="1" applyBorder="1"/>
    <xf numFmtId="9" fontId="0" fillId="11" borderId="13" xfId="9" applyFont="1" applyFill="1" applyBorder="1"/>
    <xf numFmtId="14" fontId="12" fillId="5" borderId="9" xfId="6" applyNumberFormat="1" applyFill="1" applyBorder="1"/>
    <xf numFmtId="0" fontId="12" fillId="5" borderId="9" xfId="6" applyFill="1" applyBorder="1"/>
    <xf numFmtId="0" fontId="12" fillId="5" borderId="13" xfId="6" applyFill="1" applyBorder="1"/>
    <xf numFmtId="43" fontId="12" fillId="12" borderId="13" xfId="8" applyFont="1" applyFill="1" applyBorder="1"/>
    <xf numFmtId="9" fontId="0" fillId="10" borderId="13" xfId="9" applyFont="1" applyFill="1" applyBorder="1"/>
    <xf numFmtId="0" fontId="12" fillId="9" borderId="10" xfId="6" applyFill="1" applyBorder="1"/>
    <xf numFmtId="0" fontId="12" fillId="9" borderId="10" xfId="6" applyFill="1" applyBorder="1" applyAlignment="1">
      <alignment horizontal="left"/>
    </xf>
    <xf numFmtId="43" fontId="0" fillId="9" borderId="10" xfId="8" applyFont="1" applyFill="1" applyBorder="1"/>
    <xf numFmtId="43" fontId="0" fillId="10" borderId="10" xfId="8" applyFont="1" applyFill="1" applyBorder="1"/>
    <xf numFmtId="9" fontId="0" fillId="9" borderId="10" xfId="9" applyFont="1" applyFill="1" applyBorder="1"/>
    <xf numFmtId="14" fontId="12" fillId="13" borderId="10" xfId="6" applyNumberFormat="1" applyFill="1" applyBorder="1"/>
    <xf numFmtId="14" fontId="12" fillId="13" borderId="9" xfId="6" applyNumberFormat="1" applyFill="1" applyBorder="1"/>
    <xf numFmtId="0" fontId="12" fillId="13" borderId="9" xfId="6" applyFill="1" applyBorder="1"/>
    <xf numFmtId="0" fontId="12" fillId="13" borderId="9" xfId="6" applyFill="1" applyBorder="1" applyAlignment="1">
      <alignment horizontal="left"/>
    </xf>
    <xf numFmtId="43" fontId="0" fillId="13" borderId="13" xfId="8" applyFont="1" applyFill="1" applyBorder="1"/>
    <xf numFmtId="9" fontId="0" fillId="13" borderId="13" xfId="9" applyFont="1" applyFill="1" applyBorder="1"/>
    <xf numFmtId="14" fontId="12" fillId="14" borderId="10" xfId="6" applyNumberFormat="1" applyFill="1" applyBorder="1"/>
    <xf numFmtId="14" fontId="12" fillId="14" borderId="9" xfId="6" applyNumberFormat="1" applyFill="1" applyBorder="1"/>
    <xf numFmtId="0" fontId="12" fillId="14" borderId="9" xfId="6" applyFill="1" applyBorder="1"/>
    <xf numFmtId="0" fontId="12" fillId="14" borderId="9" xfId="6" applyFill="1" applyBorder="1" applyAlignment="1">
      <alignment horizontal="left"/>
    </xf>
    <xf numFmtId="14" fontId="12" fillId="12" borderId="10" xfId="6" applyNumberFormat="1" applyFill="1" applyBorder="1"/>
    <xf numFmtId="0" fontId="12" fillId="12" borderId="9" xfId="6" applyFill="1" applyBorder="1"/>
    <xf numFmtId="0" fontId="12" fillId="12" borderId="9" xfId="6" applyFill="1" applyBorder="1" applyAlignment="1">
      <alignment horizontal="left"/>
    </xf>
    <xf numFmtId="43" fontId="0" fillId="12" borderId="13" xfId="8" applyFont="1" applyFill="1" applyBorder="1"/>
    <xf numFmtId="9" fontId="0" fillId="12" borderId="13" xfId="9" applyFont="1" applyFill="1" applyBorder="1"/>
    <xf numFmtId="14" fontId="9" fillId="0" borderId="9" xfId="6" applyNumberFormat="1" applyFont="1" applyBorder="1"/>
    <xf numFmtId="43" fontId="9" fillId="0" borderId="13" xfId="8" applyFont="1" applyBorder="1" applyAlignment="1">
      <alignment horizontal="center"/>
    </xf>
    <xf numFmtId="14" fontId="12" fillId="15" borderId="10" xfId="6" applyNumberFormat="1" applyFill="1" applyBorder="1"/>
    <xf numFmtId="14" fontId="12" fillId="15" borderId="9" xfId="6" applyNumberFormat="1" applyFill="1" applyBorder="1"/>
    <xf numFmtId="0" fontId="12" fillId="15" borderId="9" xfId="6" applyFill="1" applyBorder="1"/>
    <xf numFmtId="0" fontId="12" fillId="15" borderId="9" xfId="6" applyFill="1" applyBorder="1" applyAlignment="1">
      <alignment horizontal="left"/>
    </xf>
    <xf numFmtId="43" fontId="0" fillId="16" borderId="13" xfId="8" applyFont="1" applyFill="1" applyBorder="1"/>
    <xf numFmtId="10" fontId="0" fillId="16" borderId="13" xfId="9" applyNumberFormat="1" applyFont="1" applyFill="1" applyBorder="1"/>
    <xf numFmtId="14" fontId="12" fillId="16" borderId="10" xfId="6" applyNumberFormat="1" applyFill="1" applyBorder="1"/>
    <xf numFmtId="14" fontId="12" fillId="16" borderId="9" xfId="6" applyNumberFormat="1" applyFill="1" applyBorder="1"/>
    <xf numFmtId="10" fontId="0" fillId="5" borderId="13" xfId="9" applyNumberFormat="1" applyFont="1" applyFill="1" applyBorder="1"/>
    <xf numFmtId="0" fontId="12" fillId="16" borderId="9" xfId="6" applyFill="1" applyBorder="1"/>
    <xf numFmtId="0" fontId="12" fillId="16" borderId="9" xfId="6" applyFill="1" applyBorder="1" applyAlignment="1">
      <alignment horizontal="left"/>
    </xf>
    <xf numFmtId="14" fontId="12" fillId="17" borderId="10" xfId="6" applyNumberFormat="1" applyFill="1" applyBorder="1"/>
    <xf numFmtId="14" fontId="12" fillId="17" borderId="9" xfId="6" applyNumberFormat="1" applyFill="1" applyBorder="1"/>
    <xf numFmtId="0" fontId="12" fillId="17" borderId="9" xfId="6" applyFill="1" applyBorder="1"/>
    <xf numFmtId="0" fontId="12" fillId="17" borderId="9" xfId="6" applyFill="1" applyBorder="1" applyAlignment="1">
      <alignment horizontal="left"/>
    </xf>
    <xf numFmtId="43" fontId="0" fillId="17" borderId="13" xfId="8" applyFont="1" applyFill="1" applyBorder="1"/>
    <xf numFmtId="10" fontId="0" fillId="17" borderId="13" xfId="9" applyNumberFormat="1" applyFont="1" applyFill="1" applyBorder="1"/>
    <xf numFmtId="0" fontId="12" fillId="15" borderId="10" xfId="6" applyFill="1" applyBorder="1"/>
    <xf numFmtId="0" fontId="12" fillId="15" borderId="10" xfId="6" applyFill="1" applyBorder="1" applyAlignment="1">
      <alignment horizontal="left"/>
    </xf>
    <xf numFmtId="43" fontId="0" fillId="16" borderId="10" xfId="8" applyFont="1" applyFill="1" applyBorder="1"/>
    <xf numFmtId="43" fontId="0" fillId="16" borderId="0" xfId="8" applyFont="1" applyFill="1" applyBorder="1"/>
    <xf numFmtId="0" fontId="1" fillId="0" borderId="0" xfId="6" applyFont="1"/>
    <xf numFmtId="0" fontId="12" fillId="16" borderId="10" xfId="6" applyFill="1" applyBorder="1"/>
    <xf numFmtId="0" fontId="12" fillId="16" borderId="10" xfId="6" applyFill="1" applyBorder="1" applyAlignment="1">
      <alignment horizontal="left"/>
    </xf>
    <xf numFmtId="0" fontId="9" fillId="0" borderId="0" xfId="6" applyFont="1" applyAlignment="1">
      <alignment horizontal="left"/>
    </xf>
    <xf numFmtId="43" fontId="9" fillId="0" borderId="0" xfId="8" applyFont="1" applyAlignment="1">
      <alignment horizontal="center"/>
    </xf>
    <xf numFmtId="43" fontId="9" fillId="0" borderId="0" xfId="8" applyFont="1"/>
    <xf numFmtId="0" fontId="9" fillId="0" borderId="0" xfId="6" applyFont="1"/>
    <xf numFmtId="43" fontId="9" fillId="0" borderId="0" xfId="7" applyFont="1" applyAlignment="1">
      <alignment horizontal="left"/>
    </xf>
    <xf numFmtId="0" fontId="16" fillId="5" borderId="10" xfId="6" applyFont="1" applyFill="1" applyBorder="1"/>
    <xf numFmtId="43" fontId="9" fillId="0" borderId="9" xfId="8" applyFont="1" applyBorder="1"/>
    <xf numFmtId="0" fontId="17" fillId="0" borderId="0" xfId="6" applyFont="1" applyAlignment="1">
      <alignment horizontal="left"/>
    </xf>
    <xf numFmtId="43" fontId="18" fillId="0" borderId="0" xfId="7" applyFont="1" applyAlignment="1">
      <alignment horizontal="center"/>
    </xf>
    <xf numFmtId="43" fontId="18" fillId="0" borderId="0" xfId="6" applyNumberFormat="1" applyFont="1" applyAlignment="1">
      <alignment horizontal="center"/>
    </xf>
    <xf numFmtId="43" fontId="12" fillId="0" borderId="0" xfId="6" applyNumberFormat="1" applyAlignment="1">
      <alignment horizontal="center"/>
    </xf>
    <xf numFmtId="0" fontId="12" fillId="0" borderId="10" xfId="6" applyBorder="1"/>
    <xf numFmtId="38" fontId="3" fillId="3" borderId="0" xfId="1" applyNumberFormat="1" applyFont="1" applyFill="1" applyAlignment="1">
      <alignment horizontal="center"/>
    </xf>
    <xf numFmtId="38" fontId="0" fillId="2" borderId="0" xfId="0" applyNumberFormat="1" applyFill="1" applyAlignment="1">
      <alignment horizontal="center"/>
    </xf>
    <xf numFmtId="38" fontId="3" fillId="2" borderId="0" xfId="0" applyNumberFormat="1" applyFont="1" applyFill="1" applyAlignment="1">
      <alignment horizontal="center"/>
    </xf>
    <xf numFmtId="38" fontId="3" fillId="2" borderId="1" xfId="0" applyNumberFormat="1" applyFont="1" applyFill="1" applyBorder="1" applyAlignment="1">
      <alignment horizontal="center"/>
    </xf>
    <xf numFmtId="38" fontId="5" fillId="2" borderId="0" xfId="0" applyNumberFormat="1" applyFont="1" applyFill="1" applyAlignment="1">
      <alignment horizontal="center"/>
    </xf>
    <xf numFmtId="38" fontId="6" fillId="2" borderId="0" xfId="0" applyNumberFormat="1" applyFont="1" applyFill="1" applyAlignment="1">
      <alignment horizontal="center"/>
    </xf>
    <xf numFmtId="38" fontId="3" fillId="2" borderId="2" xfId="0" applyNumberFormat="1" applyFont="1" applyFill="1" applyBorder="1" applyAlignment="1">
      <alignment horizontal="center"/>
    </xf>
    <xf numFmtId="38" fontId="3" fillId="2" borderId="0" xfId="1" applyNumberFormat="1" applyFont="1" applyFill="1" applyAlignment="1">
      <alignment horizontal="center"/>
    </xf>
    <xf numFmtId="38" fontId="3" fillId="2" borderId="3" xfId="0" applyNumberFormat="1" applyFont="1" applyFill="1" applyBorder="1" applyAlignment="1">
      <alignment horizontal="center"/>
    </xf>
    <xf numFmtId="38" fontId="6" fillId="2" borderId="2" xfId="0" applyNumberFormat="1" applyFont="1" applyFill="1" applyBorder="1" applyAlignment="1">
      <alignment horizontal="center"/>
    </xf>
    <xf numFmtId="38" fontId="5" fillId="2" borderId="4" xfId="0" applyNumberFormat="1" applyFont="1" applyFill="1" applyBorder="1" applyAlignment="1">
      <alignment horizontal="center"/>
    </xf>
    <xf numFmtId="1" fontId="0" fillId="2" borderId="0" xfId="0" applyNumberFormat="1" applyFill="1"/>
    <xf numFmtId="1" fontId="3" fillId="2" borderId="0" xfId="0" applyNumberFormat="1" applyFont="1" applyFill="1" applyAlignment="1">
      <alignment horizontal="left"/>
    </xf>
    <xf numFmtId="1" fontId="3" fillId="2" borderId="1" xfId="0" applyNumberFormat="1" applyFont="1" applyFill="1" applyBorder="1" applyAlignment="1">
      <alignment horizontal="left"/>
    </xf>
    <xf numFmtId="1" fontId="5" fillId="2" borderId="0" xfId="0" applyNumberFormat="1" applyFont="1" applyFill="1" applyAlignment="1">
      <alignment horizontal="left"/>
    </xf>
    <xf numFmtId="1" fontId="3" fillId="2" borderId="0" xfId="0" applyNumberFormat="1" applyFont="1" applyFill="1" applyAlignment="1">
      <alignment horizontal="right"/>
    </xf>
    <xf numFmtId="1" fontId="3" fillId="2" borderId="2" xfId="0" applyNumberFormat="1" applyFont="1" applyFill="1" applyBorder="1" applyAlignment="1">
      <alignment horizontal="right"/>
    </xf>
    <xf numFmtId="1" fontId="3" fillId="2" borderId="2" xfId="0" applyNumberFormat="1" applyFont="1" applyFill="1" applyBorder="1" applyAlignment="1">
      <alignment horizontal="center"/>
    </xf>
    <xf numFmtId="1" fontId="3" fillId="2" borderId="0" xfId="1" applyNumberFormat="1" applyFont="1" applyFill="1" applyAlignment="1">
      <alignment horizontal="right"/>
    </xf>
    <xf numFmtId="1" fontId="6" fillId="2" borderId="0" xfId="0" applyNumberFormat="1" applyFont="1" applyFill="1" applyAlignment="1">
      <alignment horizontal="left"/>
    </xf>
    <xf numFmtId="1" fontId="3" fillId="2" borderId="3" xfId="0" applyNumberFormat="1" applyFont="1" applyFill="1" applyBorder="1" applyAlignment="1">
      <alignment horizontal="right"/>
    </xf>
    <xf numFmtId="1" fontId="6" fillId="2" borderId="2" xfId="0" applyNumberFormat="1" applyFont="1" applyFill="1" applyBorder="1" applyAlignment="1">
      <alignment horizontal="left"/>
    </xf>
    <xf numFmtId="1" fontId="5" fillId="2" borderId="4" xfId="0" applyNumberFormat="1" applyFont="1" applyFill="1" applyBorder="1" applyAlignment="1">
      <alignment horizontal="right"/>
    </xf>
    <xf numFmtId="9" fontId="3" fillId="0" borderId="0" xfId="1" applyFont="1" applyFill="1" applyAlignment="1">
      <alignment horizontal="right"/>
    </xf>
    <xf numFmtId="38" fontId="3" fillId="0" borderId="0" xfId="1" applyNumberFormat="1" applyFont="1" applyFill="1" applyAlignment="1">
      <alignment horizontal="center"/>
    </xf>
    <xf numFmtId="1" fontId="3" fillId="0" borderId="0" xfId="1" applyNumberFormat="1" applyFont="1" applyFill="1" applyAlignment="1">
      <alignment horizontal="right"/>
    </xf>
    <xf numFmtId="38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20" fillId="0" borderId="0" xfId="10" applyFont="1"/>
    <xf numFmtId="0" fontId="20" fillId="0" borderId="0" xfId="10" applyFont="1" applyAlignment="1">
      <alignment horizontal="center" wrapText="1"/>
    </xf>
    <xf numFmtId="0" fontId="20" fillId="0" borderId="0" xfId="10" applyFont="1" applyAlignment="1">
      <alignment horizontal="center"/>
    </xf>
    <xf numFmtId="43" fontId="20" fillId="0" borderId="0" xfId="11" applyFont="1" applyAlignment="1">
      <alignment horizontal="center" wrapText="1"/>
    </xf>
    <xf numFmtId="0" fontId="19" fillId="0" borderId="0" xfId="10" applyAlignment="1">
      <alignment wrapText="1"/>
    </xf>
    <xf numFmtId="0" fontId="19" fillId="0" borderId="0" xfId="10"/>
    <xf numFmtId="14" fontId="19" fillId="0" borderId="0" xfId="10" applyNumberFormat="1"/>
    <xf numFmtId="43" fontId="0" fillId="0" borderId="0" xfId="11" applyFont="1"/>
    <xf numFmtId="43" fontId="19" fillId="0" borderId="0" xfId="10" applyNumberFormat="1"/>
    <xf numFmtId="9" fontId="0" fillId="0" borderId="0" xfId="12" applyFont="1"/>
    <xf numFmtId="0" fontId="0" fillId="18" borderId="0" xfId="10" applyFont="1" applyFill="1"/>
    <xf numFmtId="0" fontId="19" fillId="18" borderId="0" xfId="10" applyFill="1"/>
    <xf numFmtId="14" fontId="19" fillId="18" borderId="0" xfId="10" applyNumberFormat="1" applyFill="1"/>
    <xf numFmtId="43" fontId="0" fillId="18" borderId="0" xfId="11" applyFont="1" applyFill="1"/>
    <xf numFmtId="0" fontId="20" fillId="18" borderId="0" xfId="10" applyFont="1" applyFill="1"/>
    <xf numFmtId="43" fontId="19" fillId="18" borderId="0" xfId="10" applyNumberFormat="1" applyFill="1"/>
    <xf numFmtId="0" fontId="19" fillId="3" borderId="0" xfId="10" applyFill="1" applyAlignment="1">
      <alignment wrapText="1"/>
    </xf>
    <xf numFmtId="43" fontId="0" fillId="3" borderId="0" xfId="11" applyFont="1" applyFill="1"/>
    <xf numFmtId="43" fontId="0" fillId="0" borderId="0" xfId="11" applyFont="1" applyFill="1"/>
    <xf numFmtId="0" fontId="19" fillId="16" borderId="0" xfId="10" applyFill="1"/>
    <xf numFmtId="14" fontId="19" fillId="16" borderId="0" xfId="10" applyNumberFormat="1" applyFill="1"/>
    <xf numFmtId="43" fontId="0" fillId="16" borderId="0" xfId="11" applyFont="1" applyFill="1"/>
    <xf numFmtId="43" fontId="0" fillId="19" borderId="0" xfId="11" applyFont="1" applyFill="1"/>
    <xf numFmtId="43" fontId="19" fillId="16" borderId="0" xfId="10" applyNumberFormat="1" applyFill="1"/>
    <xf numFmtId="0" fontId="20" fillId="16" borderId="0" xfId="10" applyFont="1" applyFill="1"/>
    <xf numFmtId="0" fontId="19" fillId="20" borderId="0" xfId="10" applyFill="1"/>
    <xf numFmtId="0" fontId="0" fillId="0" borderId="0" xfId="10" applyFont="1"/>
    <xf numFmtId="0" fontId="0" fillId="0" borderId="0" xfId="10" applyFont="1" applyAlignment="1">
      <alignment horizontal="right"/>
    </xf>
    <xf numFmtId="0" fontId="0" fillId="3" borderId="0" xfId="10" applyFont="1" applyFill="1" applyAlignment="1">
      <alignment horizontal="center"/>
    </xf>
    <xf numFmtId="43" fontId="0" fillId="3" borderId="0" xfId="11" applyFont="1" applyFill="1" applyAlignment="1">
      <alignment horizontal="center"/>
    </xf>
    <xf numFmtId="43" fontId="0" fillId="0" borderId="0" xfId="11" applyFont="1" applyAlignment="1">
      <alignment horizontal="right"/>
    </xf>
    <xf numFmtId="43" fontId="0" fillId="2" borderId="0" xfId="4" applyFont="1" applyFill="1"/>
    <xf numFmtId="43" fontId="19" fillId="0" borderId="0" xfId="10" applyNumberFormat="1" applyAlignment="1">
      <alignment wrapText="1"/>
    </xf>
    <xf numFmtId="43" fontId="19" fillId="16" borderId="0" xfId="10" applyNumberFormat="1" applyFill="1" applyAlignment="1">
      <alignment wrapText="1"/>
    </xf>
    <xf numFmtId="164" fontId="3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left"/>
    </xf>
    <xf numFmtId="164" fontId="3" fillId="5" borderId="0" xfId="0" applyNumberFormat="1" applyFont="1" applyFill="1" applyAlignment="1">
      <alignment horizontal="right"/>
    </xf>
    <xf numFmtId="0" fontId="9" fillId="0" borderId="5" xfId="6" applyFont="1" applyBorder="1" applyAlignment="1">
      <alignment horizontal="center"/>
    </xf>
    <xf numFmtId="0" fontId="9" fillId="0" borderId="6" xfId="6" applyFont="1" applyBorder="1" applyAlignment="1">
      <alignment horizontal="center"/>
    </xf>
    <xf numFmtId="9" fontId="6" fillId="0" borderId="0" xfId="1" applyFont="1" applyFill="1" applyAlignment="1">
      <alignment horizontal="center"/>
    </xf>
  </cellXfs>
  <cellStyles count="13">
    <cellStyle name="Comma" xfId="4" xr:uid="{00000000-0005-0000-0000-000004000000}"/>
    <cellStyle name="Comma [0]" xfId="5" xr:uid="{00000000-0005-0000-0000-000005000000}"/>
    <cellStyle name="Comma 2" xfId="11" xr:uid="{FBD998B6-C6AB-4372-9C92-5C1896E6BB71}"/>
    <cellStyle name="Comma 2 2" xfId="7" xr:uid="{07F33643-5545-43E1-956E-BA90E6CA384C}"/>
    <cellStyle name="Comma 3" xfId="8" xr:uid="{EA205C6D-EC3B-48E5-8CC5-E4EDE669C0FF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10" xr:uid="{B3695B51-157E-4FE8-B57B-98D05FE8149E}"/>
    <cellStyle name="Normal 2 2" xfId="6" xr:uid="{3D3C3E17-BAE7-4DF1-B468-67908FB71C6A}"/>
    <cellStyle name="Percent" xfId="1" xr:uid="{00000000-0005-0000-0000-000001000000}"/>
    <cellStyle name="Percent 2" xfId="9" xr:uid="{C7B91BA4-9D10-4932-969E-815E9A329C22}"/>
    <cellStyle name="Percent 2 2" xfId="12" xr:uid="{F4FCB719-9261-4AEB-84A8-DE2A321D92EA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7D7565-A34B-4E94-BD87-AA02CDA227D6}" name="Table1" displayName="Table1" ref="A1:E25" totalsRowShown="0" headerRowDxfId="2">
  <autoFilter ref="A1:E25" xr:uid="{132DD647-C9E2-4652-A359-D72BE98F01A9}"/>
  <sortState xmlns:xlrd2="http://schemas.microsoft.com/office/spreadsheetml/2017/richdata2" ref="A2:E23">
    <sortCondition ref="A2:A23"/>
  </sortState>
  <tableColumns count="5">
    <tableColumn id="1" xr3:uid="{312EB714-B3A5-43EF-9098-A36299236C34}" name="Foot Note"/>
    <tableColumn id="2" xr3:uid="{7A8F9FC3-F039-4F94-BF4D-3652A7A03462}" name="Line"/>
    <tableColumn id="4" xr3:uid="{23CF1D53-70B0-4E7E-965E-3440AA8460F0}" name="Note"/>
    <tableColumn id="5" xr3:uid="{ECC12456-19E9-4EEB-9A34-4F465A684713}" name="Amount Increase"/>
    <tableColumn id="6" xr3:uid="{85E06DB4-C18F-4086-8D27-0D6C0AFAA03D}" name="Amout Decreas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3"/>
  <sheetViews>
    <sheetView tabSelected="1" zoomScale="200" zoomScaleNormal="200" workbookViewId="0">
      <pane xSplit="1" ySplit="10" topLeftCell="B53" activePane="bottomRight" state="frozen"/>
      <selection pane="topRight" activeCell="B1" sqref="B1"/>
      <selection pane="bottomLeft" activeCell="A11" sqref="A11"/>
      <selection pane="bottomRight" activeCell="E28" sqref="E28"/>
    </sheetView>
  </sheetViews>
  <sheetFormatPr defaultColWidth="9.140625" defaultRowHeight="12.75" x14ac:dyDescent="0.2"/>
  <cols>
    <col min="1" max="1" width="38" style="1" customWidth="1"/>
    <col min="2" max="2" width="16" style="1" customWidth="1"/>
    <col min="3" max="3" width="10.42578125" style="1" customWidth="1"/>
    <col min="4" max="5" width="9" style="1" customWidth="1"/>
    <col min="6" max="6" width="9" style="155" customWidth="1"/>
    <col min="7" max="8" width="10.42578125" style="1" customWidth="1"/>
    <col min="9" max="10" width="7.140625" style="1" customWidth="1"/>
    <col min="11" max="11" width="11.85546875" style="165" customWidth="1"/>
    <col min="12" max="13" width="18.140625" style="1" customWidth="1"/>
    <col min="14" max="14" width="8" style="1" customWidth="1"/>
    <col min="15" max="16" width="10.42578125" style="1" customWidth="1"/>
    <col min="17" max="17" width="18.140625" style="1" customWidth="1"/>
    <col min="18" max="18" width="12.28515625" style="1" customWidth="1"/>
    <col min="19" max="16384" width="9.140625" style="1"/>
  </cols>
  <sheetData>
    <row r="1" spans="1:17" ht="15.75" x14ac:dyDescent="0.25">
      <c r="A1" s="3" t="s">
        <v>0</v>
      </c>
    </row>
    <row r="2" spans="1:17" ht="15.75" x14ac:dyDescent="0.25">
      <c r="A2" s="3" t="s">
        <v>1</v>
      </c>
    </row>
    <row r="3" spans="1:17" x14ac:dyDescent="0.2">
      <c r="A3" s="4" t="s">
        <v>2</v>
      </c>
      <c r="B3" s="4" t="s">
        <v>3</v>
      </c>
    </row>
    <row r="4" spans="1:17" x14ac:dyDescent="0.2">
      <c r="A4" s="4" t="s">
        <v>4</v>
      </c>
      <c r="B4" s="4" t="s">
        <v>5</v>
      </c>
    </row>
    <row r="5" spans="1:17" x14ac:dyDescent="0.2">
      <c r="A5" s="4" t="s">
        <v>6</v>
      </c>
      <c r="B5" s="4" t="s">
        <v>7</v>
      </c>
    </row>
    <row r="6" spans="1:17" x14ac:dyDescent="0.2">
      <c r="A6" s="2" t="s">
        <v>8</v>
      </c>
    </row>
    <row r="7" spans="1:17" x14ac:dyDescent="0.2">
      <c r="A7" s="4" t="s">
        <v>8</v>
      </c>
      <c r="B7" s="5" t="s">
        <v>9</v>
      </c>
      <c r="C7" s="5" t="s">
        <v>9</v>
      </c>
      <c r="D7" s="4" t="s">
        <v>8</v>
      </c>
      <c r="E7" s="4"/>
      <c r="F7" s="156"/>
      <c r="G7" s="5" t="s">
        <v>10</v>
      </c>
      <c r="H7" s="5" t="s">
        <v>10</v>
      </c>
      <c r="I7" s="4" t="s">
        <v>8</v>
      </c>
      <c r="J7" s="4"/>
      <c r="K7" s="166"/>
      <c r="L7" s="5" t="s">
        <v>11</v>
      </c>
      <c r="M7" s="5" t="s">
        <v>11</v>
      </c>
      <c r="N7" s="4" t="s">
        <v>8</v>
      </c>
      <c r="O7" s="5" t="s">
        <v>9</v>
      </c>
      <c r="P7" s="5" t="s">
        <v>10</v>
      </c>
      <c r="Q7" s="5" t="s">
        <v>11</v>
      </c>
    </row>
    <row r="8" spans="1:17" x14ac:dyDescent="0.2">
      <c r="A8" s="4" t="s">
        <v>8</v>
      </c>
      <c r="B8" s="5" t="s">
        <v>12</v>
      </c>
      <c r="C8" s="5" t="s">
        <v>12</v>
      </c>
      <c r="D8" s="4" t="s">
        <v>8</v>
      </c>
      <c r="E8" s="4"/>
      <c r="F8" s="156"/>
      <c r="G8" s="5" t="s">
        <v>12</v>
      </c>
      <c r="H8" s="5" t="s">
        <v>12</v>
      </c>
      <c r="I8" s="4" t="s">
        <v>8</v>
      </c>
      <c r="J8" s="4"/>
      <c r="K8" s="166"/>
      <c r="L8" s="5" t="s">
        <v>12</v>
      </c>
      <c r="M8" s="5" t="s">
        <v>12</v>
      </c>
      <c r="N8" s="4" t="s">
        <v>8</v>
      </c>
      <c r="O8" s="5" t="s">
        <v>13</v>
      </c>
      <c r="P8" s="5" t="s">
        <v>13</v>
      </c>
      <c r="Q8" s="5" t="s">
        <v>13</v>
      </c>
    </row>
    <row r="9" spans="1:17" x14ac:dyDescent="0.2">
      <c r="A9" s="4" t="s">
        <v>8</v>
      </c>
      <c r="B9" s="6" t="s">
        <v>5</v>
      </c>
      <c r="C9" s="6" t="s">
        <v>14</v>
      </c>
      <c r="D9" s="7" t="s">
        <v>8</v>
      </c>
      <c r="E9" s="7"/>
      <c r="F9" s="157"/>
      <c r="G9" s="6" t="s">
        <v>5</v>
      </c>
      <c r="H9" s="6" t="s">
        <v>14</v>
      </c>
      <c r="I9" s="7" t="s">
        <v>8</v>
      </c>
      <c r="J9" s="7"/>
      <c r="K9" s="167"/>
      <c r="L9" s="6" t="s">
        <v>5</v>
      </c>
      <c r="M9" s="6" t="s">
        <v>14</v>
      </c>
      <c r="N9" s="7" t="s">
        <v>8</v>
      </c>
      <c r="O9" s="6" t="s">
        <v>5</v>
      </c>
      <c r="P9" s="6" t="s">
        <v>5</v>
      </c>
      <c r="Q9" s="6" t="s">
        <v>5</v>
      </c>
    </row>
    <row r="10" spans="1:17" x14ac:dyDescent="0.2">
      <c r="A10" s="8" t="s">
        <v>8</v>
      </c>
      <c r="B10" s="9" t="s">
        <v>8</v>
      </c>
      <c r="C10" s="9" t="s">
        <v>15</v>
      </c>
      <c r="D10" s="9" t="s">
        <v>16</v>
      </c>
      <c r="E10" s="9" t="s">
        <v>1213</v>
      </c>
      <c r="F10" s="160" t="s">
        <v>1212</v>
      </c>
      <c r="G10" s="9" t="s">
        <v>15</v>
      </c>
      <c r="H10" s="9" t="s">
        <v>15</v>
      </c>
      <c r="I10" s="9" t="s">
        <v>18</v>
      </c>
      <c r="J10" s="9" t="s">
        <v>1213</v>
      </c>
      <c r="K10" s="160" t="s">
        <v>1212</v>
      </c>
      <c r="L10" s="9" t="s">
        <v>15</v>
      </c>
      <c r="M10" s="9" t="s">
        <v>15</v>
      </c>
      <c r="N10" s="9" t="s">
        <v>18</v>
      </c>
      <c r="O10" s="9" t="s">
        <v>15</v>
      </c>
      <c r="P10" s="9" t="s">
        <v>15</v>
      </c>
      <c r="Q10" s="9" t="s">
        <v>15</v>
      </c>
    </row>
    <row r="11" spans="1:17" x14ac:dyDescent="0.2">
      <c r="A11" s="10" t="s">
        <v>19</v>
      </c>
      <c r="B11" s="10" t="s">
        <v>20</v>
      </c>
      <c r="C11" s="10" t="s">
        <v>20</v>
      </c>
      <c r="D11" s="10" t="s">
        <v>20</v>
      </c>
      <c r="E11" s="10"/>
      <c r="F11" s="158"/>
      <c r="G11" s="10" t="s">
        <v>20</v>
      </c>
      <c r="H11" s="10" t="s">
        <v>20</v>
      </c>
      <c r="I11" s="10" t="s">
        <v>20</v>
      </c>
      <c r="J11" s="10"/>
      <c r="K11" s="168"/>
      <c r="L11" s="10" t="s">
        <v>20</v>
      </c>
      <c r="M11" s="10" t="s">
        <v>20</v>
      </c>
      <c r="N11" s="10" t="s">
        <v>20</v>
      </c>
      <c r="O11" s="10" t="s">
        <v>20</v>
      </c>
      <c r="P11" s="10" t="s">
        <v>20</v>
      </c>
      <c r="Q11" s="10" t="s">
        <v>20</v>
      </c>
    </row>
    <row r="12" spans="1:17" x14ac:dyDescent="0.2">
      <c r="A12" s="4" t="s">
        <v>21</v>
      </c>
      <c r="B12" s="4" t="s">
        <v>22</v>
      </c>
      <c r="C12" s="11" t="s">
        <v>22</v>
      </c>
      <c r="D12" s="11" t="s">
        <v>22</v>
      </c>
      <c r="E12" s="11"/>
      <c r="F12" s="159"/>
      <c r="G12" s="11" t="s">
        <v>22</v>
      </c>
      <c r="H12" s="11" t="s">
        <v>22</v>
      </c>
      <c r="I12" s="4" t="s">
        <v>22</v>
      </c>
      <c r="J12" s="4"/>
      <c r="K12" s="166"/>
      <c r="L12" s="11" t="s">
        <v>22</v>
      </c>
      <c r="M12" s="11" t="s">
        <v>22</v>
      </c>
      <c r="N12" s="11" t="s">
        <v>22</v>
      </c>
      <c r="O12" s="11" t="s">
        <v>22</v>
      </c>
      <c r="P12" s="4" t="s">
        <v>22</v>
      </c>
      <c r="Q12" s="4" t="s">
        <v>22</v>
      </c>
    </row>
    <row r="13" spans="1:17" x14ac:dyDescent="0.2">
      <c r="A13" s="4" t="s">
        <v>23</v>
      </c>
      <c r="B13" s="4" t="s">
        <v>24</v>
      </c>
      <c r="C13" s="11" t="s">
        <v>24</v>
      </c>
      <c r="D13" s="11" t="s">
        <v>24</v>
      </c>
      <c r="E13" s="11"/>
      <c r="F13" s="159"/>
      <c r="G13" s="11" t="s">
        <v>24</v>
      </c>
      <c r="H13" s="11" t="s">
        <v>24</v>
      </c>
      <c r="I13" s="4" t="s">
        <v>24</v>
      </c>
      <c r="J13" s="4"/>
      <c r="K13" s="166"/>
      <c r="L13" s="11" t="s">
        <v>24</v>
      </c>
      <c r="M13" s="11" t="s">
        <v>24</v>
      </c>
      <c r="N13" s="11" t="s">
        <v>24</v>
      </c>
      <c r="O13" s="11" t="s">
        <v>24</v>
      </c>
      <c r="P13" s="4" t="s">
        <v>24</v>
      </c>
      <c r="Q13" s="4" t="s">
        <v>24</v>
      </c>
    </row>
    <row r="14" spans="1:17" x14ac:dyDescent="0.2">
      <c r="A14" s="4" t="s">
        <v>25</v>
      </c>
      <c r="B14" s="4" t="s">
        <v>26</v>
      </c>
      <c r="C14" s="11" t="s">
        <v>26</v>
      </c>
      <c r="D14" s="11" t="s">
        <v>26</v>
      </c>
      <c r="E14" s="11"/>
      <c r="F14" s="159"/>
      <c r="G14" s="11" t="s">
        <v>26</v>
      </c>
      <c r="H14" s="11" t="s">
        <v>26</v>
      </c>
      <c r="I14" s="4" t="s">
        <v>26</v>
      </c>
      <c r="J14" s="4"/>
      <c r="K14" s="166"/>
      <c r="L14" s="11" t="s">
        <v>26</v>
      </c>
      <c r="M14" s="11" t="s">
        <v>26</v>
      </c>
      <c r="N14" s="11" t="s">
        <v>26</v>
      </c>
      <c r="O14" s="11" t="s">
        <v>26</v>
      </c>
      <c r="P14" s="4" t="s">
        <v>26</v>
      </c>
      <c r="Q14" s="4" t="s">
        <v>26</v>
      </c>
    </row>
    <row r="15" spans="1:17" x14ac:dyDescent="0.2">
      <c r="A15" s="218" t="s">
        <v>27</v>
      </c>
      <c r="B15" s="12">
        <v>466037</v>
      </c>
      <c r="C15" s="12">
        <v>476848</v>
      </c>
      <c r="D15" s="12">
        <v>-10811</v>
      </c>
      <c r="E15" s="19">
        <f t="shared" ref="E15:E20" si="0">(B15-B24)/B15</f>
        <v>0.96135929121507524</v>
      </c>
      <c r="F15" s="156"/>
      <c r="G15" s="12">
        <v>107888</v>
      </c>
      <c r="H15" s="12">
        <v>118590</v>
      </c>
      <c r="I15" s="12">
        <v>-10702</v>
      </c>
      <c r="J15" s="19">
        <f t="shared" ref="J15:J20" si="1">(G15-G24)/G15</f>
        <v>0.94016943496959815</v>
      </c>
      <c r="K15" s="169"/>
      <c r="L15" s="12">
        <v>573925</v>
      </c>
      <c r="M15" s="12">
        <v>595438</v>
      </c>
      <c r="N15" s="12">
        <v>-21513</v>
      </c>
      <c r="O15" s="26">
        <v>3139400</v>
      </c>
      <c r="P15" s="26">
        <v>831831</v>
      </c>
      <c r="Q15" s="12">
        <v>3971230</v>
      </c>
    </row>
    <row r="16" spans="1:17" x14ac:dyDescent="0.2">
      <c r="A16" s="218" t="s">
        <v>28</v>
      </c>
      <c r="B16" s="12">
        <v>26260</v>
      </c>
      <c r="C16" s="12">
        <v>24486</v>
      </c>
      <c r="D16" s="12">
        <v>1775</v>
      </c>
      <c r="E16" s="19">
        <f t="shared" si="0"/>
        <v>0.5739527798933739</v>
      </c>
      <c r="F16" s="156"/>
      <c r="G16" s="12">
        <v>0</v>
      </c>
      <c r="H16" s="12">
        <v>0</v>
      </c>
      <c r="I16" s="12">
        <v>0</v>
      </c>
      <c r="J16" s="19"/>
      <c r="K16" s="169"/>
      <c r="L16" s="12">
        <v>26261</v>
      </c>
      <c r="M16" s="12">
        <v>24486</v>
      </c>
      <c r="N16" s="12">
        <v>1775</v>
      </c>
      <c r="O16" s="26">
        <v>164008</v>
      </c>
      <c r="P16" s="26">
        <v>0</v>
      </c>
      <c r="Q16" s="12">
        <v>164009</v>
      </c>
    </row>
    <row r="17" spans="1:18" x14ac:dyDescent="0.2">
      <c r="A17" s="218" t="s">
        <v>29</v>
      </c>
      <c r="B17" s="12">
        <v>288895</v>
      </c>
      <c r="C17" s="12">
        <v>281665</v>
      </c>
      <c r="D17" s="12">
        <v>7229</v>
      </c>
      <c r="E17" s="19">
        <f t="shared" si="0"/>
        <v>0.41960227764412678</v>
      </c>
      <c r="F17" s="156"/>
      <c r="G17" s="12">
        <v>18907</v>
      </c>
      <c r="H17" s="12">
        <v>19613</v>
      </c>
      <c r="I17" s="12">
        <v>-706</v>
      </c>
      <c r="J17" s="19">
        <f t="shared" si="1"/>
        <v>0.46115195430263922</v>
      </c>
      <c r="K17" s="169"/>
      <c r="L17" s="12">
        <v>307801</v>
      </c>
      <c r="M17" s="12">
        <v>301279</v>
      </c>
      <c r="N17" s="12">
        <v>6523</v>
      </c>
      <c r="O17" s="26">
        <v>1806822</v>
      </c>
      <c r="P17" s="26">
        <v>134776</v>
      </c>
      <c r="Q17" s="12">
        <v>1941598</v>
      </c>
    </row>
    <row r="18" spans="1:18" x14ac:dyDescent="0.2">
      <c r="A18" s="4" t="s">
        <v>30</v>
      </c>
      <c r="B18" s="12">
        <v>33100</v>
      </c>
      <c r="C18" s="12">
        <v>72732</v>
      </c>
      <c r="D18" s="12">
        <v>-39632</v>
      </c>
      <c r="E18" s="19">
        <f t="shared" si="0"/>
        <v>0.96894259818731121</v>
      </c>
      <c r="F18" s="156"/>
      <c r="G18" s="12">
        <v>20362</v>
      </c>
      <c r="H18" s="12">
        <v>48033</v>
      </c>
      <c r="I18" s="12">
        <v>-27672</v>
      </c>
      <c r="J18" s="19">
        <f t="shared" si="1"/>
        <v>1</v>
      </c>
      <c r="K18" s="169"/>
      <c r="L18" s="12">
        <v>53462</v>
      </c>
      <c r="M18" s="12">
        <v>120765</v>
      </c>
      <c r="N18" s="12">
        <v>-67304</v>
      </c>
      <c r="O18" s="18">
        <v>407743</v>
      </c>
      <c r="P18" s="18">
        <v>162359</v>
      </c>
      <c r="Q18" s="219">
        <v>570102</v>
      </c>
      <c r="R18" s="214">
        <f>+Q18/7</f>
        <v>81443.142857142855</v>
      </c>
    </row>
    <row r="19" spans="1:18" x14ac:dyDescent="0.2">
      <c r="A19" s="4" t="s">
        <v>31</v>
      </c>
      <c r="B19" s="12">
        <v>12686</v>
      </c>
      <c r="C19" s="12">
        <v>7802</v>
      </c>
      <c r="D19" s="12">
        <v>4885</v>
      </c>
      <c r="E19" s="19">
        <f t="shared" si="0"/>
        <v>0.16664039098218508</v>
      </c>
      <c r="F19" s="156"/>
      <c r="G19" s="12">
        <v>0</v>
      </c>
      <c r="H19" s="12">
        <v>738</v>
      </c>
      <c r="I19" s="12">
        <v>-738</v>
      </c>
      <c r="J19" s="19"/>
      <c r="K19" s="169"/>
      <c r="L19" s="12">
        <v>12686</v>
      </c>
      <c r="M19" s="12">
        <v>8539</v>
      </c>
      <c r="N19" s="12">
        <v>4147</v>
      </c>
      <c r="O19" s="18">
        <v>198987</v>
      </c>
      <c r="P19" s="18">
        <v>32786</v>
      </c>
      <c r="Q19" s="12">
        <v>231772</v>
      </c>
    </row>
    <row r="20" spans="1:18" x14ac:dyDescent="0.2">
      <c r="A20" s="4" t="s">
        <v>32</v>
      </c>
      <c r="B20" s="12">
        <v>489858</v>
      </c>
      <c r="C20" s="12">
        <v>248546</v>
      </c>
      <c r="D20" s="12">
        <v>241312</v>
      </c>
      <c r="E20" s="19">
        <f t="shared" si="0"/>
        <v>0.15362207006928538</v>
      </c>
      <c r="F20" s="156"/>
      <c r="G20" s="12">
        <v>313597</v>
      </c>
      <c r="H20" s="12">
        <v>349686</v>
      </c>
      <c r="I20" s="12">
        <v>-36088</v>
      </c>
      <c r="J20" s="19">
        <f t="shared" si="1"/>
        <v>0.10594807986045784</v>
      </c>
      <c r="K20" s="169"/>
      <c r="L20" s="12">
        <v>803455</v>
      </c>
      <c r="M20" s="12">
        <v>598232</v>
      </c>
      <c r="N20" s="12">
        <v>205223</v>
      </c>
      <c r="O20" s="18">
        <v>1688034</v>
      </c>
      <c r="P20" s="18">
        <v>2005764</v>
      </c>
      <c r="Q20" s="12">
        <v>3693799</v>
      </c>
    </row>
    <row r="21" spans="1:18" x14ac:dyDescent="0.2">
      <c r="A21" s="4" t="s">
        <v>33</v>
      </c>
      <c r="B21" s="12">
        <v>6270</v>
      </c>
      <c r="C21" s="12">
        <v>3098</v>
      </c>
      <c r="D21" s="12">
        <v>3172</v>
      </c>
      <c r="E21" s="12"/>
      <c r="F21" s="156"/>
      <c r="G21" s="12">
        <v>778</v>
      </c>
      <c r="H21" s="12">
        <v>794</v>
      </c>
      <c r="I21" s="12">
        <v>-16</v>
      </c>
      <c r="J21" s="12"/>
      <c r="K21" s="169"/>
      <c r="L21" s="12">
        <v>7049</v>
      </c>
      <c r="M21" s="12">
        <v>3891</v>
      </c>
      <c r="N21" s="12">
        <v>3157</v>
      </c>
      <c r="O21" s="26">
        <v>45333</v>
      </c>
      <c r="P21" s="26">
        <v>8330</v>
      </c>
      <c r="Q21" s="12">
        <v>53663</v>
      </c>
    </row>
    <row r="22" spans="1:18" x14ac:dyDescent="0.2">
      <c r="A22" s="4" t="s">
        <v>34</v>
      </c>
      <c r="B22" s="13">
        <v>1323106</v>
      </c>
      <c r="C22" s="13">
        <v>1115177</v>
      </c>
      <c r="D22" s="13">
        <v>207930</v>
      </c>
      <c r="E22" s="13"/>
      <c r="F22" s="160"/>
      <c r="G22" s="13">
        <v>461532</v>
      </c>
      <c r="H22" s="13">
        <v>537454</v>
      </c>
      <c r="I22" s="13">
        <v>-75922</v>
      </c>
      <c r="J22" s="13"/>
      <c r="K22" s="170"/>
      <c r="L22" s="13">
        <v>1784639</v>
      </c>
      <c r="M22" s="13">
        <v>1652630</v>
      </c>
      <c r="N22" s="13">
        <v>132008</v>
      </c>
      <c r="O22" s="217">
        <v>7450327</v>
      </c>
      <c r="P22" s="217">
        <v>3175846</v>
      </c>
      <c r="Q22" s="13">
        <v>10626173</v>
      </c>
    </row>
    <row r="23" spans="1:18" x14ac:dyDescent="0.2">
      <c r="A23" s="4" t="s">
        <v>35</v>
      </c>
      <c r="B23" s="4" t="s">
        <v>26</v>
      </c>
      <c r="C23" s="11" t="s">
        <v>26</v>
      </c>
      <c r="D23" s="11" t="s">
        <v>26</v>
      </c>
      <c r="E23" s="11"/>
      <c r="F23" s="159"/>
      <c r="G23" s="11" t="s">
        <v>26</v>
      </c>
      <c r="H23" s="11" t="s">
        <v>26</v>
      </c>
      <c r="I23" s="4" t="s">
        <v>26</v>
      </c>
      <c r="J23" s="4"/>
      <c r="K23" s="166"/>
      <c r="L23" s="11" t="s">
        <v>26</v>
      </c>
      <c r="M23" s="11" t="s">
        <v>26</v>
      </c>
      <c r="N23" s="11" t="s">
        <v>26</v>
      </c>
      <c r="O23" s="222"/>
      <c r="P23" s="222"/>
      <c r="Q23" s="4" t="s">
        <v>26</v>
      </c>
    </row>
    <row r="24" spans="1:18" x14ac:dyDescent="0.2">
      <c r="A24" s="4" t="s">
        <v>36</v>
      </c>
      <c r="B24" s="12">
        <v>18008</v>
      </c>
      <c r="C24" s="12">
        <v>16735</v>
      </c>
      <c r="D24" s="12">
        <v>1274</v>
      </c>
      <c r="E24" s="12"/>
      <c r="F24" s="156"/>
      <c r="G24" s="12">
        <v>6455</v>
      </c>
      <c r="H24" s="12">
        <v>6231</v>
      </c>
      <c r="I24" s="12">
        <v>225</v>
      </c>
      <c r="J24" s="12"/>
      <c r="K24" s="169"/>
      <c r="L24" s="12">
        <v>24465</v>
      </c>
      <c r="M24" s="12">
        <v>22966</v>
      </c>
      <c r="N24" s="12">
        <v>1498</v>
      </c>
      <c r="O24" s="12">
        <v>122463</v>
      </c>
      <c r="P24" s="12">
        <v>44032</v>
      </c>
      <c r="Q24" s="12">
        <v>166495</v>
      </c>
    </row>
    <row r="25" spans="1:18" x14ac:dyDescent="0.2">
      <c r="A25" s="4" t="s">
        <v>37</v>
      </c>
      <c r="B25" s="12">
        <v>11188</v>
      </c>
      <c r="C25" s="12">
        <v>11665</v>
      </c>
      <c r="D25" s="12">
        <v>-478</v>
      </c>
      <c r="E25" s="12"/>
      <c r="F25" s="156"/>
      <c r="G25" s="12">
        <v>0</v>
      </c>
      <c r="H25" s="12">
        <v>0</v>
      </c>
      <c r="I25" s="12">
        <v>0</v>
      </c>
      <c r="J25" s="12"/>
      <c r="K25" s="169"/>
      <c r="L25" s="12">
        <v>11187</v>
      </c>
      <c r="M25" s="12">
        <v>11665</v>
      </c>
      <c r="N25" s="12">
        <v>-477</v>
      </c>
      <c r="O25" s="12">
        <v>76086</v>
      </c>
      <c r="P25" s="12">
        <v>0</v>
      </c>
      <c r="Q25" s="12">
        <v>76086</v>
      </c>
    </row>
    <row r="26" spans="1:18" x14ac:dyDescent="0.2">
      <c r="A26" s="4" t="s">
        <v>38</v>
      </c>
      <c r="B26" s="12">
        <v>167674</v>
      </c>
      <c r="C26" s="12">
        <v>162535</v>
      </c>
      <c r="D26" s="12">
        <v>5139</v>
      </c>
      <c r="E26" s="12"/>
      <c r="F26" s="156"/>
      <c r="G26" s="12">
        <v>10188</v>
      </c>
      <c r="H26" s="12">
        <v>10592</v>
      </c>
      <c r="I26" s="12">
        <v>-404</v>
      </c>
      <c r="J26" s="12"/>
      <c r="K26" s="169"/>
      <c r="L26" s="12">
        <v>177862</v>
      </c>
      <c r="M26" s="12">
        <v>173126</v>
      </c>
      <c r="N26" s="12">
        <v>4735</v>
      </c>
      <c r="O26" s="12">
        <v>1119756</v>
      </c>
      <c r="P26" s="12">
        <v>58001</v>
      </c>
      <c r="Q26" s="12">
        <v>1177757</v>
      </c>
    </row>
    <row r="27" spans="1:18" x14ac:dyDescent="0.2">
      <c r="A27" s="4" t="s">
        <v>39</v>
      </c>
      <c r="B27" s="12">
        <v>1028</v>
      </c>
      <c r="C27" s="12">
        <v>1213</v>
      </c>
      <c r="D27" s="12">
        <v>-185</v>
      </c>
      <c r="E27" s="12"/>
      <c r="F27" s="156"/>
      <c r="G27" s="12">
        <v>0</v>
      </c>
      <c r="H27" s="12">
        <v>2</v>
      </c>
      <c r="I27" s="12">
        <v>-2</v>
      </c>
      <c r="J27" s="12"/>
      <c r="K27" s="169"/>
      <c r="L27" s="12">
        <v>1028</v>
      </c>
      <c r="M27" s="12">
        <v>1215</v>
      </c>
      <c r="N27" s="12">
        <v>-187</v>
      </c>
      <c r="O27" s="12">
        <v>2822</v>
      </c>
      <c r="P27" s="12">
        <v>76</v>
      </c>
      <c r="Q27" s="12">
        <v>2899</v>
      </c>
    </row>
    <row r="28" spans="1:18" x14ac:dyDescent="0.2">
      <c r="A28" s="4" t="s">
        <v>40</v>
      </c>
      <c r="B28" s="12">
        <v>10572</v>
      </c>
      <c r="C28" s="12">
        <v>6496</v>
      </c>
      <c r="D28" s="12">
        <v>4076</v>
      </c>
      <c r="E28" s="12"/>
      <c r="F28" s="156"/>
      <c r="G28" s="12">
        <v>1351</v>
      </c>
      <c r="H28" s="12">
        <v>449</v>
      </c>
      <c r="I28" s="12">
        <v>902</v>
      </c>
      <c r="J28" s="12"/>
      <c r="K28" s="169"/>
      <c r="L28" s="12">
        <v>11923</v>
      </c>
      <c r="M28" s="12">
        <v>6946</v>
      </c>
      <c r="N28" s="12">
        <v>4978</v>
      </c>
      <c r="O28" s="12">
        <v>168799</v>
      </c>
      <c r="P28" s="12">
        <v>28510</v>
      </c>
      <c r="Q28" s="12">
        <v>197308</v>
      </c>
    </row>
    <row r="29" spans="1:18" x14ac:dyDescent="0.2">
      <c r="A29" s="4" t="s">
        <v>41</v>
      </c>
      <c r="B29" s="12">
        <v>414605</v>
      </c>
      <c r="C29" s="12">
        <v>214280</v>
      </c>
      <c r="D29" s="12">
        <v>200325</v>
      </c>
      <c r="E29" s="12"/>
      <c r="F29" s="156"/>
      <c r="G29" s="12">
        <v>280372</v>
      </c>
      <c r="H29" s="12">
        <v>292433</v>
      </c>
      <c r="I29" s="12">
        <v>-12061</v>
      </c>
      <c r="J29" s="12"/>
      <c r="K29" s="169"/>
      <c r="L29" s="12">
        <v>694977</v>
      </c>
      <c r="M29" s="12">
        <v>506712</v>
      </c>
      <c r="N29" s="12">
        <v>188264</v>
      </c>
      <c r="O29" s="12">
        <v>1428843</v>
      </c>
      <c r="P29" s="12">
        <v>1701079</v>
      </c>
      <c r="Q29" s="12">
        <v>3129922</v>
      </c>
    </row>
    <row r="30" spans="1:18" x14ac:dyDescent="0.2">
      <c r="A30" s="4" t="s">
        <v>42</v>
      </c>
      <c r="B30" s="12">
        <v>56842</v>
      </c>
      <c r="C30" s="12">
        <v>53937</v>
      </c>
      <c r="D30" s="12">
        <v>2906</v>
      </c>
      <c r="E30" s="12"/>
      <c r="F30" s="156"/>
      <c r="G30" s="12">
        <v>8228</v>
      </c>
      <c r="H30" s="12">
        <v>7740</v>
      </c>
      <c r="I30" s="12">
        <v>488</v>
      </c>
      <c r="J30" s="12"/>
      <c r="K30" s="169"/>
      <c r="L30" s="12">
        <v>65070</v>
      </c>
      <c r="M30" s="12">
        <v>61677</v>
      </c>
      <c r="N30" s="12">
        <v>3393</v>
      </c>
      <c r="O30" s="12">
        <v>381283</v>
      </c>
      <c r="P30" s="12">
        <v>83149</v>
      </c>
      <c r="Q30" s="12">
        <v>464432</v>
      </c>
    </row>
    <row r="31" spans="1:18" x14ac:dyDescent="0.2">
      <c r="A31" s="4" t="s">
        <v>43</v>
      </c>
      <c r="B31" s="12">
        <v>143846</v>
      </c>
      <c r="C31" s="12">
        <v>136992</v>
      </c>
      <c r="D31" s="12">
        <v>6854</v>
      </c>
      <c r="E31" s="12"/>
      <c r="F31" s="156"/>
      <c r="G31" s="12">
        <v>74663</v>
      </c>
      <c r="H31" s="12">
        <v>68484</v>
      </c>
      <c r="I31" s="12">
        <v>6178</v>
      </c>
      <c r="J31" s="12"/>
      <c r="K31" s="169"/>
      <c r="L31" s="12">
        <v>218508</v>
      </c>
      <c r="M31" s="12">
        <v>205476</v>
      </c>
      <c r="N31" s="12">
        <v>13033</v>
      </c>
      <c r="O31" s="12">
        <v>1001184</v>
      </c>
      <c r="P31" s="12">
        <v>479249</v>
      </c>
      <c r="Q31" s="12">
        <v>1480432</v>
      </c>
    </row>
    <row r="32" spans="1:18" x14ac:dyDescent="0.2">
      <c r="A32" s="4" t="s">
        <v>44</v>
      </c>
      <c r="B32" s="13">
        <v>823763</v>
      </c>
      <c r="C32" s="13">
        <v>603853</v>
      </c>
      <c r="D32" s="13">
        <v>219911</v>
      </c>
      <c r="E32" s="13"/>
      <c r="F32" s="160"/>
      <c r="G32" s="13">
        <v>381257</v>
      </c>
      <c r="H32" s="13">
        <v>385931</v>
      </c>
      <c r="I32" s="13">
        <v>-4674</v>
      </c>
      <c r="J32" s="13"/>
      <c r="K32" s="170"/>
      <c r="L32" s="13">
        <v>1205020</v>
      </c>
      <c r="M32" s="13">
        <v>989783</v>
      </c>
      <c r="N32" s="13">
        <v>215237</v>
      </c>
      <c r="O32" s="13">
        <v>4301236</v>
      </c>
      <c r="P32" s="13">
        <v>2394096</v>
      </c>
      <c r="Q32" s="13">
        <v>6695331</v>
      </c>
    </row>
    <row r="33" spans="1:17" x14ac:dyDescent="0.2">
      <c r="A33" s="4" t="s">
        <v>45</v>
      </c>
      <c r="B33" s="13">
        <v>499343</v>
      </c>
      <c r="C33" s="13">
        <v>511324</v>
      </c>
      <c r="D33" s="13">
        <v>-11981</v>
      </c>
      <c r="E33" s="13"/>
      <c r="F33" s="160" t="s">
        <v>17</v>
      </c>
      <c r="G33" s="13">
        <v>80276</v>
      </c>
      <c r="H33" s="13">
        <v>151523</v>
      </c>
      <c r="I33" s="13">
        <v>-71248</v>
      </c>
      <c r="J33" s="13"/>
      <c r="K33" s="171" t="s">
        <v>17</v>
      </c>
      <c r="L33" s="13">
        <v>579619</v>
      </c>
      <c r="M33" s="13">
        <v>662847</v>
      </c>
      <c r="N33" s="13">
        <v>-83229</v>
      </c>
      <c r="O33" s="13">
        <v>3149091</v>
      </c>
      <c r="P33" s="13">
        <v>781750</v>
      </c>
      <c r="Q33" s="13">
        <v>3930842</v>
      </c>
    </row>
    <row r="34" spans="1:17" x14ac:dyDescent="0.2">
      <c r="A34" s="4"/>
      <c r="B34" s="12"/>
      <c r="C34" s="12"/>
      <c r="D34" s="12"/>
      <c r="E34" s="12"/>
      <c r="F34" s="156"/>
      <c r="G34" s="12">
        <f>+G20*0.15</f>
        <v>47039.549999999996</v>
      </c>
      <c r="H34" s="12"/>
      <c r="I34" s="12"/>
      <c r="J34" s="12"/>
      <c r="K34" s="169"/>
      <c r="L34" s="12"/>
      <c r="M34" s="12"/>
      <c r="N34" s="12"/>
      <c r="O34" s="12"/>
      <c r="P34" s="12"/>
      <c r="Q34" s="12"/>
    </row>
    <row r="35" spans="1:17" x14ac:dyDescent="0.2">
      <c r="A35" s="4" t="s">
        <v>46</v>
      </c>
      <c r="B35" s="12">
        <v>114763</v>
      </c>
      <c r="C35" s="12">
        <v>86502</v>
      </c>
      <c r="D35" s="12">
        <v>28260</v>
      </c>
      <c r="E35" s="12"/>
      <c r="F35" s="156"/>
      <c r="G35" s="12">
        <v>32376</v>
      </c>
      <c r="H35" s="12">
        <v>43068</v>
      </c>
      <c r="I35" s="12">
        <v>-10691</v>
      </c>
      <c r="J35" s="12"/>
      <c r="K35" s="169"/>
      <c r="L35" s="12">
        <v>147139</v>
      </c>
      <c r="M35" s="12">
        <v>129570</v>
      </c>
      <c r="N35" s="12">
        <v>17569</v>
      </c>
      <c r="O35" s="12">
        <v>719911</v>
      </c>
      <c r="P35" s="12">
        <v>307441</v>
      </c>
      <c r="Q35" s="12">
        <v>1027353</v>
      </c>
    </row>
    <row r="36" spans="1:17" x14ac:dyDescent="0.2">
      <c r="A36" s="4" t="s">
        <v>47</v>
      </c>
      <c r="B36" s="4" t="s">
        <v>24</v>
      </c>
      <c r="C36" s="11" t="s">
        <v>24</v>
      </c>
      <c r="D36" s="11" t="s">
        <v>24</v>
      </c>
      <c r="E36" s="11"/>
      <c r="F36" s="159"/>
      <c r="G36" s="11" t="s">
        <v>24</v>
      </c>
      <c r="H36" s="11" t="s">
        <v>24</v>
      </c>
      <c r="I36" s="4" t="s">
        <v>24</v>
      </c>
      <c r="J36" s="4"/>
      <c r="K36" s="166"/>
      <c r="L36" s="11" t="s">
        <v>24</v>
      </c>
      <c r="M36" s="11" t="s">
        <v>24</v>
      </c>
      <c r="N36" s="11" t="s">
        <v>24</v>
      </c>
      <c r="O36" s="11" t="s">
        <v>24</v>
      </c>
      <c r="P36" s="4" t="s">
        <v>24</v>
      </c>
      <c r="Q36" s="4" t="s">
        <v>24</v>
      </c>
    </row>
    <row r="37" spans="1:17" x14ac:dyDescent="0.2">
      <c r="A37" s="4" t="s">
        <v>48</v>
      </c>
      <c r="B37" s="12">
        <v>86714</v>
      </c>
      <c r="C37" s="12">
        <v>77581</v>
      </c>
      <c r="D37" s="12">
        <v>9134</v>
      </c>
      <c r="E37" s="12"/>
      <c r="F37" s="156"/>
      <c r="G37" s="12">
        <v>2140</v>
      </c>
      <c r="H37" s="12">
        <v>5645</v>
      </c>
      <c r="I37" s="12">
        <v>-3506</v>
      </c>
      <c r="J37" s="12"/>
      <c r="K37" s="169"/>
      <c r="L37" s="12">
        <v>88854</v>
      </c>
      <c r="M37" s="12">
        <v>83226</v>
      </c>
      <c r="N37" s="12">
        <v>5629</v>
      </c>
      <c r="O37" s="12">
        <v>580305</v>
      </c>
      <c r="P37" s="12">
        <v>36587</v>
      </c>
      <c r="Q37" s="12">
        <v>616892</v>
      </c>
    </row>
    <row r="38" spans="1:17" x14ac:dyDescent="0.2">
      <c r="A38" s="4" t="s">
        <v>49</v>
      </c>
      <c r="B38" s="4" t="s">
        <v>26</v>
      </c>
      <c r="C38" s="11" t="s">
        <v>26</v>
      </c>
      <c r="D38" s="11" t="s">
        <v>26</v>
      </c>
      <c r="E38" s="11"/>
      <c r="F38" s="159"/>
      <c r="G38" s="11" t="s">
        <v>26</v>
      </c>
      <c r="H38" s="11" t="s">
        <v>26</v>
      </c>
      <c r="I38" s="4" t="s">
        <v>26</v>
      </c>
      <c r="J38" s="4"/>
      <c r="K38" s="166"/>
      <c r="L38" s="11" t="s">
        <v>26</v>
      </c>
      <c r="M38" s="11" t="s">
        <v>26</v>
      </c>
      <c r="N38" s="11" t="s">
        <v>26</v>
      </c>
      <c r="O38" s="11" t="s">
        <v>26</v>
      </c>
      <c r="P38" s="4" t="s">
        <v>26</v>
      </c>
      <c r="Q38" s="4" t="s">
        <v>26</v>
      </c>
    </row>
    <row r="39" spans="1:17" x14ac:dyDescent="0.2">
      <c r="A39" s="4" t="s">
        <v>50</v>
      </c>
      <c r="B39" s="12">
        <v>16239</v>
      </c>
      <c r="C39" s="12">
        <v>16759</v>
      </c>
      <c r="D39" s="12">
        <v>-520</v>
      </c>
      <c r="E39" s="19"/>
      <c r="F39" s="161"/>
      <c r="G39" s="12">
        <v>9607</v>
      </c>
      <c r="H39" s="12">
        <v>9607</v>
      </c>
      <c r="I39" s="12">
        <v>0</v>
      </c>
      <c r="J39" s="19"/>
      <c r="K39" s="172"/>
      <c r="L39" s="12">
        <v>25846</v>
      </c>
      <c r="M39" s="12">
        <v>26366</v>
      </c>
      <c r="N39" s="12">
        <v>-521</v>
      </c>
      <c r="O39" s="12">
        <v>116452</v>
      </c>
      <c r="P39" s="12">
        <v>67006</v>
      </c>
      <c r="Q39" s="12">
        <v>183457</v>
      </c>
    </row>
    <row r="40" spans="1:17" x14ac:dyDescent="0.2">
      <c r="A40" s="4" t="s">
        <v>51</v>
      </c>
      <c r="B40" s="12">
        <v>100</v>
      </c>
      <c r="C40" s="12">
        <v>225</v>
      </c>
      <c r="D40" s="12">
        <v>-125</v>
      </c>
      <c r="E40" s="19"/>
      <c r="F40" s="161"/>
      <c r="G40" s="12">
        <v>0</v>
      </c>
      <c r="H40" s="12">
        <v>4</v>
      </c>
      <c r="I40" s="12">
        <v>-4</v>
      </c>
      <c r="J40" s="19"/>
      <c r="K40" s="172"/>
      <c r="L40" s="12">
        <v>100</v>
      </c>
      <c r="M40" s="12">
        <v>229</v>
      </c>
      <c r="N40" s="12">
        <v>-129</v>
      </c>
      <c r="O40" s="12">
        <v>2492</v>
      </c>
      <c r="P40" s="12">
        <v>19336</v>
      </c>
      <c r="Q40" s="12">
        <v>21828</v>
      </c>
    </row>
    <row r="41" spans="1:17" x14ac:dyDescent="0.2">
      <c r="A41" s="4" t="s">
        <v>52</v>
      </c>
      <c r="B41" s="26">
        <v>11358</v>
      </c>
      <c r="C41" s="26">
        <v>10281</v>
      </c>
      <c r="D41" s="26">
        <v>1077</v>
      </c>
      <c r="E41" s="177"/>
      <c r="F41" s="180"/>
      <c r="G41" s="26">
        <v>2011</v>
      </c>
      <c r="H41" s="26">
        <v>1786</v>
      </c>
      <c r="I41" s="26">
        <v>225</v>
      </c>
      <c r="J41" s="177"/>
      <c r="K41" s="181"/>
      <c r="L41" s="12">
        <v>13369</v>
      </c>
      <c r="M41" s="12">
        <v>12067</v>
      </c>
      <c r="N41" s="12">
        <v>1302</v>
      </c>
      <c r="O41" s="12">
        <v>74774</v>
      </c>
      <c r="P41" s="12">
        <v>14575</v>
      </c>
      <c r="Q41" s="12">
        <v>89350</v>
      </c>
    </row>
    <row r="42" spans="1:17" x14ac:dyDescent="0.2">
      <c r="A42" s="4" t="s">
        <v>53</v>
      </c>
      <c r="B42" s="13">
        <v>27697</v>
      </c>
      <c r="C42" s="13">
        <v>27265</v>
      </c>
      <c r="D42" s="13">
        <v>432</v>
      </c>
      <c r="E42" s="13"/>
      <c r="F42" s="160"/>
      <c r="G42" s="13">
        <v>11618</v>
      </c>
      <c r="H42" s="13">
        <v>11397</v>
      </c>
      <c r="I42" s="13">
        <v>221</v>
      </c>
      <c r="J42" s="13"/>
      <c r="K42" s="170"/>
      <c r="L42" s="13">
        <v>39315</v>
      </c>
      <c r="M42" s="13">
        <v>38662</v>
      </c>
      <c r="N42" s="13">
        <v>652</v>
      </c>
      <c r="O42" s="13">
        <v>193718</v>
      </c>
      <c r="P42" s="13">
        <v>100917</v>
      </c>
      <c r="Q42" s="13">
        <v>294635</v>
      </c>
    </row>
    <row r="43" spans="1:17" x14ac:dyDescent="0.2">
      <c r="A43" s="4" t="s">
        <v>54</v>
      </c>
      <c r="B43" s="4" t="s">
        <v>26</v>
      </c>
      <c r="C43" s="11" t="s">
        <v>26</v>
      </c>
      <c r="D43" s="11" t="s">
        <v>26</v>
      </c>
      <c r="E43" s="11"/>
      <c r="F43" s="159"/>
      <c r="G43" s="11" t="s">
        <v>26</v>
      </c>
      <c r="H43" s="11" t="s">
        <v>26</v>
      </c>
      <c r="I43" s="4" t="s">
        <v>26</v>
      </c>
      <c r="J43" s="11"/>
      <c r="K43" s="173"/>
      <c r="L43" s="11" t="s">
        <v>26</v>
      </c>
      <c r="M43" s="11" t="s">
        <v>26</v>
      </c>
      <c r="N43" s="11" t="s">
        <v>26</v>
      </c>
      <c r="O43" s="11" t="s">
        <v>26</v>
      </c>
      <c r="P43" s="4" t="s">
        <v>26</v>
      </c>
      <c r="Q43" s="4" t="s">
        <v>26</v>
      </c>
    </row>
    <row r="44" spans="1:17" x14ac:dyDescent="0.2">
      <c r="A44" s="4" t="s">
        <v>55</v>
      </c>
      <c r="B44" s="12">
        <v>22365</v>
      </c>
      <c r="C44" s="12">
        <v>22168</v>
      </c>
      <c r="D44" s="12">
        <v>197</v>
      </c>
      <c r="E44" s="19"/>
      <c r="F44" s="161"/>
      <c r="G44" s="12">
        <v>7363</v>
      </c>
      <c r="H44" s="12">
        <v>7404</v>
      </c>
      <c r="I44" s="12">
        <v>-40</v>
      </c>
      <c r="J44" s="19"/>
      <c r="K44" s="172"/>
      <c r="L44" s="12">
        <v>29728</v>
      </c>
      <c r="M44" s="12">
        <v>29571</v>
      </c>
      <c r="N44" s="12">
        <v>157</v>
      </c>
      <c r="O44" s="12">
        <v>145468</v>
      </c>
      <c r="P44" s="12">
        <v>53381</v>
      </c>
      <c r="Q44" s="12">
        <v>198849</v>
      </c>
    </row>
    <row r="45" spans="1:17" x14ac:dyDescent="0.2">
      <c r="A45" s="4" t="s">
        <v>56</v>
      </c>
      <c r="B45" s="18">
        <v>60820</v>
      </c>
      <c r="C45" s="18">
        <v>53920</v>
      </c>
      <c r="D45" s="18">
        <v>6900</v>
      </c>
      <c r="E45" s="20"/>
      <c r="F45" s="154">
        <v>1</v>
      </c>
      <c r="G45" s="18">
        <v>2654</v>
      </c>
      <c r="H45" s="18">
        <v>6588</v>
      </c>
      <c r="I45" s="18">
        <v>-3936</v>
      </c>
      <c r="J45" s="20"/>
      <c r="K45" s="27">
        <v>8</v>
      </c>
      <c r="L45" s="12">
        <v>63473</v>
      </c>
      <c r="M45" s="12">
        <v>60509</v>
      </c>
      <c r="N45" s="12">
        <v>2964</v>
      </c>
      <c r="O45" s="12">
        <v>404092</v>
      </c>
      <c r="P45" s="12">
        <v>28904</v>
      </c>
      <c r="Q45" s="12">
        <v>432997</v>
      </c>
    </row>
    <row r="46" spans="1:17" x14ac:dyDescent="0.2">
      <c r="A46" s="4" t="s">
        <v>57</v>
      </c>
      <c r="B46" s="12">
        <v>5183</v>
      </c>
      <c r="C46" s="12">
        <v>5397</v>
      </c>
      <c r="D46" s="12">
        <v>-214</v>
      </c>
      <c r="E46" s="19"/>
      <c r="F46" s="161"/>
      <c r="G46" s="18">
        <v>3986</v>
      </c>
      <c r="H46" s="18">
        <v>2474</v>
      </c>
      <c r="I46" s="18">
        <v>1513</v>
      </c>
      <c r="J46" s="20"/>
      <c r="K46" s="27">
        <v>9</v>
      </c>
      <c r="L46" s="12">
        <v>9170</v>
      </c>
      <c r="M46" s="12">
        <v>7871</v>
      </c>
      <c r="N46" s="12">
        <v>1299</v>
      </c>
      <c r="O46" s="12">
        <v>30388</v>
      </c>
      <c r="P46" s="12">
        <v>17727</v>
      </c>
      <c r="Q46" s="12">
        <v>48114</v>
      </c>
    </row>
    <row r="47" spans="1:17" x14ac:dyDescent="0.2">
      <c r="A47" s="4" t="s">
        <v>58</v>
      </c>
      <c r="B47" s="13">
        <v>88368</v>
      </c>
      <c r="C47" s="13">
        <v>81485</v>
      </c>
      <c r="D47" s="13">
        <v>6883</v>
      </c>
      <c r="E47" s="13"/>
      <c r="F47" s="160"/>
      <c r="G47" s="13">
        <v>14003</v>
      </c>
      <c r="H47" s="13">
        <v>16466</v>
      </c>
      <c r="I47" s="13">
        <v>-2463</v>
      </c>
      <c r="J47" s="13"/>
      <c r="K47" s="170"/>
      <c r="L47" s="13">
        <v>102371</v>
      </c>
      <c r="M47" s="13">
        <v>97951</v>
      </c>
      <c r="N47" s="13">
        <v>4420</v>
      </c>
      <c r="O47" s="13">
        <v>579948</v>
      </c>
      <c r="P47" s="13">
        <v>100012</v>
      </c>
      <c r="Q47" s="13">
        <v>679960</v>
      </c>
    </row>
    <row r="48" spans="1:17" x14ac:dyDescent="0.2">
      <c r="A48" s="4" t="s">
        <v>59</v>
      </c>
      <c r="B48" s="4" t="s">
        <v>26</v>
      </c>
      <c r="C48" s="11" t="s">
        <v>26</v>
      </c>
      <c r="D48" s="11" t="s">
        <v>26</v>
      </c>
      <c r="E48" s="11"/>
      <c r="F48" s="159"/>
      <c r="G48" s="11" t="s">
        <v>26</v>
      </c>
      <c r="H48" s="11" t="s">
        <v>26</v>
      </c>
      <c r="I48" s="4" t="s">
        <v>26</v>
      </c>
      <c r="J48" s="11"/>
      <c r="K48" s="173"/>
      <c r="L48" s="11" t="s">
        <v>26</v>
      </c>
      <c r="M48" s="11" t="s">
        <v>26</v>
      </c>
      <c r="N48" s="11" t="s">
        <v>26</v>
      </c>
      <c r="O48" s="11" t="s">
        <v>26</v>
      </c>
      <c r="P48" s="4" t="s">
        <v>26</v>
      </c>
      <c r="Q48" s="4" t="s">
        <v>26</v>
      </c>
    </row>
    <row r="49" spans="1:17" x14ac:dyDescent="0.2">
      <c r="A49" s="4" t="s">
        <v>60</v>
      </c>
      <c r="B49" s="26">
        <v>9904</v>
      </c>
      <c r="C49" s="26">
        <v>9514</v>
      </c>
      <c r="D49" s="26">
        <v>389</v>
      </c>
      <c r="E49" s="177"/>
      <c r="F49" s="178"/>
      <c r="G49" s="12">
        <v>984</v>
      </c>
      <c r="H49" s="12">
        <v>967</v>
      </c>
      <c r="I49" s="12">
        <v>17</v>
      </c>
      <c r="J49" s="19"/>
      <c r="K49" s="172"/>
      <c r="L49" s="12">
        <v>10887</v>
      </c>
      <c r="M49" s="12">
        <v>10481</v>
      </c>
      <c r="N49" s="12">
        <v>406</v>
      </c>
      <c r="O49" s="12">
        <v>46675</v>
      </c>
      <c r="P49" s="12">
        <v>5776</v>
      </c>
      <c r="Q49" s="12">
        <v>52451</v>
      </c>
    </row>
    <row r="50" spans="1:17" x14ac:dyDescent="0.2">
      <c r="A50" s="4" t="s">
        <v>61</v>
      </c>
      <c r="B50" s="13">
        <v>9904</v>
      </c>
      <c r="C50" s="13">
        <v>9514</v>
      </c>
      <c r="D50" s="13">
        <v>389</v>
      </c>
      <c r="E50" s="13"/>
      <c r="F50" s="160"/>
      <c r="G50" s="13">
        <v>984</v>
      </c>
      <c r="H50" s="13">
        <v>967</v>
      </c>
      <c r="I50" s="13">
        <v>17</v>
      </c>
      <c r="J50" s="13"/>
      <c r="K50" s="170"/>
      <c r="L50" s="13">
        <v>10887</v>
      </c>
      <c r="M50" s="13">
        <v>10481</v>
      </c>
      <c r="N50" s="13">
        <v>406</v>
      </c>
      <c r="O50" s="13">
        <v>46675</v>
      </c>
      <c r="P50" s="13">
        <v>5776</v>
      </c>
      <c r="Q50" s="13">
        <v>52451</v>
      </c>
    </row>
    <row r="51" spans="1:17" x14ac:dyDescent="0.2">
      <c r="A51" s="4" t="s">
        <v>62</v>
      </c>
      <c r="B51" s="4" t="s">
        <v>26</v>
      </c>
      <c r="C51" s="11" t="s">
        <v>26</v>
      </c>
      <c r="D51" s="11" t="s">
        <v>26</v>
      </c>
      <c r="E51" s="11"/>
      <c r="F51" s="159"/>
      <c r="G51" s="11" t="s">
        <v>26</v>
      </c>
      <c r="H51" s="11" t="s">
        <v>26</v>
      </c>
      <c r="I51" s="4" t="s">
        <v>26</v>
      </c>
      <c r="J51" s="11"/>
      <c r="K51" s="173"/>
      <c r="L51" s="11" t="s">
        <v>26</v>
      </c>
      <c r="M51" s="11" t="s">
        <v>26</v>
      </c>
      <c r="N51" s="11" t="s">
        <v>26</v>
      </c>
      <c r="O51" s="11" t="s">
        <v>26</v>
      </c>
      <c r="P51" s="4" t="s">
        <v>26</v>
      </c>
      <c r="Q51" s="4" t="s">
        <v>26</v>
      </c>
    </row>
    <row r="52" spans="1:17" x14ac:dyDescent="0.2">
      <c r="A52" s="4" t="s">
        <v>63</v>
      </c>
      <c r="B52" s="18">
        <v>6806</v>
      </c>
      <c r="C52" s="18">
        <v>4385</v>
      </c>
      <c r="D52" s="18">
        <v>2421</v>
      </c>
      <c r="E52" s="20"/>
      <c r="F52" s="154">
        <v>2</v>
      </c>
      <c r="G52" s="12">
        <v>2619</v>
      </c>
      <c r="H52" s="12">
        <v>3087</v>
      </c>
      <c r="I52" s="12">
        <v>-468</v>
      </c>
      <c r="J52" s="19"/>
      <c r="K52" s="172"/>
      <c r="L52" s="12">
        <v>9426</v>
      </c>
      <c r="M52" s="12">
        <v>7472</v>
      </c>
      <c r="N52" s="12">
        <v>1954</v>
      </c>
      <c r="O52" s="12">
        <v>33295</v>
      </c>
      <c r="P52" s="12">
        <v>17141</v>
      </c>
      <c r="Q52" s="12">
        <v>50435</v>
      </c>
    </row>
    <row r="53" spans="1:17" x14ac:dyDescent="0.2">
      <c r="A53" s="4" t="s">
        <v>64</v>
      </c>
      <c r="B53" s="18">
        <v>11250</v>
      </c>
      <c r="C53" s="18">
        <v>2700</v>
      </c>
      <c r="D53" s="18">
        <v>8550</v>
      </c>
      <c r="E53" s="20"/>
      <c r="F53" s="154">
        <v>3</v>
      </c>
      <c r="G53" s="12">
        <v>0</v>
      </c>
      <c r="H53" s="12">
        <v>0</v>
      </c>
      <c r="I53" s="12">
        <v>0</v>
      </c>
      <c r="J53" s="19"/>
      <c r="K53" s="172"/>
      <c r="L53" s="12">
        <v>11250</v>
      </c>
      <c r="M53" s="12">
        <v>2700</v>
      </c>
      <c r="N53" s="12">
        <v>8550</v>
      </c>
      <c r="O53" s="12">
        <v>23350</v>
      </c>
      <c r="P53" s="12">
        <v>0</v>
      </c>
      <c r="Q53" s="12">
        <v>23350</v>
      </c>
    </row>
    <row r="54" spans="1:17" x14ac:dyDescent="0.2">
      <c r="A54" s="4" t="s">
        <v>65</v>
      </c>
      <c r="B54" s="12">
        <v>125</v>
      </c>
      <c r="C54" s="12">
        <v>653</v>
      </c>
      <c r="D54" s="12">
        <v>-527</v>
      </c>
      <c r="E54" s="19"/>
      <c r="F54" s="161"/>
      <c r="G54" s="12">
        <v>0</v>
      </c>
      <c r="H54" s="12">
        <v>0</v>
      </c>
      <c r="I54" s="12">
        <v>0</v>
      </c>
      <c r="J54" s="19"/>
      <c r="K54" s="172"/>
      <c r="L54" s="12">
        <v>125</v>
      </c>
      <c r="M54" s="12">
        <v>652</v>
      </c>
      <c r="N54" s="12">
        <v>-528</v>
      </c>
      <c r="O54" s="12">
        <v>9617</v>
      </c>
      <c r="P54" s="12">
        <v>0</v>
      </c>
      <c r="Q54" s="12">
        <v>9617</v>
      </c>
    </row>
    <row r="55" spans="1:17" x14ac:dyDescent="0.2">
      <c r="A55" s="4" t="s">
        <v>66</v>
      </c>
      <c r="B55" s="12">
        <v>3991</v>
      </c>
      <c r="C55" s="12">
        <v>3549</v>
      </c>
      <c r="D55" s="12">
        <v>441</v>
      </c>
      <c r="E55" s="19"/>
      <c r="F55" s="161"/>
      <c r="G55" s="12">
        <v>0</v>
      </c>
      <c r="H55" s="12">
        <v>9</v>
      </c>
      <c r="I55" s="12">
        <v>-9</v>
      </c>
      <c r="J55" s="19"/>
      <c r="K55" s="172"/>
      <c r="L55" s="12">
        <v>3991</v>
      </c>
      <c r="M55" s="12">
        <v>3559</v>
      </c>
      <c r="N55" s="12">
        <v>433</v>
      </c>
      <c r="O55" s="12">
        <v>23715</v>
      </c>
      <c r="P55" s="12">
        <v>-118</v>
      </c>
      <c r="Q55" s="12">
        <v>23598</v>
      </c>
    </row>
    <row r="56" spans="1:17" x14ac:dyDescent="0.2">
      <c r="A56" s="4" t="s">
        <v>67</v>
      </c>
      <c r="B56" s="4" t="s">
        <v>68</v>
      </c>
      <c r="C56" s="11" t="s">
        <v>68</v>
      </c>
      <c r="D56" s="11" t="s">
        <v>68</v>
      </c>
      <c r="E56" s="19"/>
      <c r="F56" s="161"/>
      <c r="G56" s="11" t="s">
        <v>68</v>
      </c>
      <c r="H56" s="11" t="s">
        <v>68</v>
      </c>
      <c r="I56" s="4" t="s">
        <v>68</v>
      </c>
      <c r="J56" s="19"/>
      <c r="K56" s="172"/>
      <c r="L56" s="11" t="s">
        <v>68</v>
      </c>
      <c r="M56" s="11" t="s">
        <v>68</v>
      </c>
      <c r="N56" s="11" t="s">
        <v>68</v>
      </c>
      <c r="O56" s="11" t="s">
        <v>68</v>
      </c>
      <c r="P56" s="4" t="s">
        <v>68</v>
      </c>
      <c r="Q56" s="4" t="s">
        <v>68</v>
      </c>
    </row>
    <row r="57" spans="1:17" x14ac:dyDescent="0.2">
      <c r="A57" s="4" t="s">
        <v>69</v>
      </c>
      <c r="B57" s="18">
        <v>7751</v>
      </c>
      <c r="C57" s="18">
        <v>3468</v>
      </c>
      <c r="D57" s="18">
        <v>4284</v>
      </c>
      <c r="E57" s="20"/>
      <c r="F57" s="154">
        <v>4</v>
      </c>
      <c r="G57" s="12">
        <v>0</v>
      </c>
      <c r="H57" s="12">
        <v>154</v>
      </c>
      <c r="I57" s="12">
        <v>-154</v>
      </c>
      <c r="J57" s="19"/>
      <c r="K57" s="172"/>
      <c r="L57" s="12">
        <v>7751</v>
      </c>
      <c r="M57" s="12">
        <v>3623</v>
      </c>
      <c r="N57" s="12">
        <v>4128</v>
      </c>
      <c r="O57" s="12">
        <v>31455</v>
      </c>
      <c r="P57" s="12">
        <v>4355</v>
      </c>
      <c r="Q57" s="12">
        <v>35810</v>
      </c>
    </row>
    <row r="58" spans="1:17" x14ac:dyDescent="0.2">
      <c r="A58" s="4" t="s">
        <v>70</v>
      </c>
      <c r="B58" s="18">
        <v>2588</v>
      </c>
      <c r="C58" s="18">
        <v>829</v>
      </c>
      <c r="D58" s="18">
        <v>1758</v>
      </c>
      <c r="E58" s="20"/>
      <c r="F58" s="154">
        <v>5</v>
      </c>
      <c r="G58" s="12">
        <v>96</v>
      </c>
      <c r="H58" s="12">
        <v>659</v>
      </c>
      <c r="I58" s="12">
        <v>-563</v>
      </c>
      <c r="J58" s="19"/>
      <c r="K58" s="172"/>
      <c r="L58" s="12">
        <v>2684</v>
      </c>
      <c r="M58" s="12">
        <v>1487</v>
      </c>
      <c r="N58" s="12">
        <v>1197</v>
      </c>
      <c r="O58" s="12">
        <v>11719</v>
      </c>
      <c r="P58" s="12">
        <v>5277</v>
      </c>
      <c r="Q58" s="12">
        <v>16996</v>
      </c>
    </row>
    <row r="59" spans="1:17" x14ac:dyDescent="0.2">
      <c r="A59" s="4" t="s">
        <v>71</v>
      </c>
      <c r="B59" s="13">
        <v>10339</v>
      </c>
      <c r="C59" s="13">
        <v>4297</v>
      </c>
      <c r="D59" s="13">
        <v>6042</v>
      </c>
      <c r="E59" s="13"/>
      <c r="F59" s="160"/>
      <c r="G59" s="13">
        <v>96</v>
      </c>
      <c r="H59" s="13">
        <v>813</v>
      </c>
      <c r="I59" s="13">
        <v>-717</v>
      </c>
      <c r="J59" s="13"/>
      <c r="K59" s="170"/>
      <c r="L59" s="13">
        <v>10435</v>
      </c>
      <c r="M59" s="13">
        <v>5110</v>
      </c>
      <c r="N59" s="13">
        <v>5325</v>
      </c>
      <c r="O59" s="13">
        <v>43174</v>
      </c>
      <c r="P59" s="13">
        <v>9632</v>
      </c>
      <c r="Q59" s="13">
        <v>52806</v>
      </c>
    </row>
    <row r="60" spans="1:17" x14ac:dyDescent="0.2">
      <c r="A60" s="4" t="s">
        <v>72</v>
      </c>
      <c r="B60" s="13">
        <v>32511</v>
      </c>
      <c r="C60" s="13">
        <v>15584</v>
      </c>
      <c r="D60" s="13">
        <v>16927</v>
      </c>
      <c r="E60" s="13"/>
      <c r="F60" s="160"/>
      <c r="G60" s="13">
        <v>2715</v>
      </c>
      <c r="H60" s="13">
        <v>3909</v>
      </c>
      <c r="I60" s="13">
        <v>-1194</v>
      </c>
      <c r="J60" s="13"/>
      <c r="K60" s="170"/>
      <c r="L60" s="13">
        <v>35227</v>
      </c>
      <c r="M60" s="13">
        <v>19493</v>
      </c>
      <c r="N60" s="13">
        <v>15734</v>
      </c>
      <c r="O60" s="13">
        <v>133151</v>
      </c>
      <c r="P60" s="13">
        <v>26655</v>
      </c>
      <c r="Q60" s="13">
        <v>159806</v>
      </c>
    </row>
    <row r="61" spans="1:17" x14ac:dyDescent="0.2">
      <c r="A61" s="4" t="s">
        <v>73</v>
      </c>
      <c r="B61" s="4" t="s">
        <v>26</v>
      </c>
      <c r="C61" s="11" t="s">
        <v>26</v>
      </c>
      <c r="D61" s="11" t="s">
        <v>26</v>
      </c>
      <c r="E61" s="11"/>
      <c r="F61" s="159"/>
      <c r="G61" s="11" t="s">
        <v>26</v>
      </c>
      <c r="H61" s="11" t="s">
        <v>26</v>
      </c>
      <c r="I61" s="4" t="s">
        <v>26</v>
      </c>
      <c r="J61" s="11"/>
      <c r="K61" s="173"/>
      <c r="L61" s="11" t="s">
        <v>26</v>
      </c>
      <c r="M61" s="11" t="s">
        <v>26</v>
      </c>
      <c r="N61" s="11" t="s">
        <v>26</v>
      </c>
      <c r="O61" s="11" t="s">
        <v>26</v>
      </c>
      <c r="P61" s="4" t="s">
        <v>26</v>
      </c>
      <c r="Q61" s="4" t="s">
        <v>26</v>
      </c>
    </row>
    <row r="62" spans="1:17" x14ac:dyDescent="0.2">
      <c r="A62" s="4" t="s">
        <v>74</v>
      </c>
      <c r="B62" s="26">
        <v>4224</v>
      </c>
      <c r="C62" s="26">
        <v>4879</v>
      </c>
      <c r="D62" s="26">
        <v>-654</v>
      </c>
      <c r="E62" s="177"/>
      <c r="F62" s="178"/>
      <c r="G62" s="26">
        <v>1857</v>
      </c>
      <c r="H62" s="26">
        <v>1947</v>
      </c>
      <c r="I62" s="26">
        <v>-90</v>
      </c>
      <c r="J62" s="177"/>
      <c r="K62" s="179"/>
      <c r="L62" s="12">
        <v>6081</v>
      </c>
      <c r="M62" s="12">
        <v>6826</v>
      </c>
      <c r="N62" s="12">
        <v>-745</v>
      </c>
      <c r="O62" s="12">
        <v>33577</v>
      </c>
      <c r="P62" s="12">
        <v>13514</v>
      </c>
      <c r="Q62" s="12">
        <v>47091</v>
      </c>
    </row>
    <row r="63" spans="1:17" x14ac:dyDescent="0.2">
      <c r="A63" s="4" t="s">
        <v>75</v>
      </c>
      <c r="B63" s="26">
        <v>0</v>
      </c>
      <c r="C63" s="26">
        <v>208</v>
      </c>
      <c r="D63" s="26">
        <v>-208</v>
      </c>
      <c r="E63" s="177"/>
      <c r="F63" s="178"/>
      <c r="G63" s="26">
        <v>0</v>
      </c>
      <c r="H63" s="26">
        <v>0</v>
      </c>
      <c r="I63" s="26">
        <v>0</v>
      </c>
      <c r="J63" s="177"/>
      <c r="K63" s="179"/>
      <c r="L63" s="12">
        <v>0</v>
      </c>
      <c r="M63" s="12">
        <v>207</v>
      </c>
      <c r="N63" s="12">
        <v>-207</v>
      </c>
      <c r="O63" s="12">
        <v>955</v>
      </c>
      <c r="P63" s="12">
        <v>0</v>
      </c>
      <c r="Q63" s="12">
        <v>955</v>
      </c>
    </row>
    <row r="64" spans="1:17" x14ac:dyDescent="0.2">
      <c r="A64" s="4" t="s">
        <v>76</v>
      </c>
      <c r="B64" s="13">
        <v>4224</v>
      </c>
      <c r="C64" s="13">
        <v>5087</v>
      </c>
      <c r="D64" s="13">
        <v>-862</v>
      </c>
      <c r="E64" s="13"/>
      <c r="F64" s="160"/>
      <c r="G64" s="13">
        <v>1857</v>
      </c>
      <c r="H64" s="13">
        <v>1947</v>
      </c>
      <c r="I64" s="13">
        <v>-90</v>
      </c>
      <c r="J64" s="13"/>
      <c r="K64" s="170"/>
      <c r="L64" s="13">
        <v>6081</v>
      </c>
      <c r="M64" s="13">
        <v>7033</v>
      </c>
      <c r="N64" s="13">
        <v>-952</v>
      </c>
      <c r="O64" s="13">
        <v>34532</v>
      </c>
      <c r="P64" s="13">
        <v>13514</v>
      </c>
      <c r="Q64" s="13">
        <v>48046</v>
      </c>
    </row>
    <row r="65" spans="1:17" x14ac:dyDescent="0.2">
      <c r="A65" s="4" t="s">
        <v>77</v>
      </c>
      <c r="B65" s="13">
        <v>249418</v>
      </c>
      <c r="C65" s="13">
        <v>216516</v>
      </c>
      <c r="D65" s="13">
        <v>32903</v>
      </c>
      <c r="E65" s="13"/>
      <c r="F65" s="160"/>
      <c r="G65" s="13">
        <v>33317</v>
      </c>
      <c r="H65" s="13">
        <v>40331</v>
      </c>
      <c r="I65" s="13">
        <v>-7015</v>
      </c>
      <c r="J65" s="13"/>
      <c r="K65" s="170"/>
      <c r="L65" s="13">
        <v>282735</v>
      </c>
      <c r="M65" s="13">
        <v>256846</v>
      </c>
      <c r="N65" s="13">
        <v>25889</v>
      </c>
      <c r="O65" s="13">
        <v>1568329</v>
      </c>
      <c r="P65" s="13">
        <v>283461</v>
      </c>
      <c r="Q65" s="13">
        <v>1851790</v>
      </c>
    </row>
    <row r="66" spans="1:17" x14ac:dyDescent="0.2">
      <c r="A66" s="4" t="s">
        <v>78</v>
      </c>
      <c r="B66" s="14">
        <v>135162</v>
      </c>
      <c r="C66" s="14">
        <v>208306</v>
      </c>
      <c r="D66" s="14">
        <v>-73144</v>
      </c>
      <c r="E66" s="14"/>
      <c r="F66" s="162"/>
      <c r="G66" s="14">
        <v>14583</v>
      </c>
      <c r="H66" s="14">
        <v>68124</v>
      </c>
      <c r="I66" s="14">
        <v>-53542</v>
      </c>
      <c r="J66" s="14"/>
      <c r="K66" s="174"/>
      <c r="L66" s="14">
        <v>149745</v>
      </c>
      <c r="M66" s="14">
        <v>276431</v>
      </c>
      <c r="N66" s="14">
        <v>-126686</v>
      </c>
      <c r="O66" s="14">
        <v>860851</v>
      </c>
      <c r="P66" s="14">
        <v>190848</v>
      </c>
      <c r="Q66" s="14">
        <v>1051699</v>
      </c>
    </row>
    <row r="67" spans="1:17" x14ac:dyDescent="0.2">
      <c r="A67" s="4" t="s">
        <v>79</v>
      </c>
      <c r="B67" s="15" t="s">
        <v>22</v>
      </c>
      <c r="C67" s="16" t="s">
        <v>22</v>
      </c>
      <c r="D67" s="16" t="s">
        <v>22</v>
      </c>
      <c r="E67" s="16"/>
      <c r="F67" s="163"/>
      <c r="G67" s="16" t="s">
        <v>22</v>
      </c>
      <c r="H67" s="16" t="s">
        <v>22</v>
      </c>
      <c r="I67" s="15" t="s">
        <v>22</v>
      </c>
      <c r="J67" s="16"/>
      <c r="K67" s="175"/>
      <c r="L67" s="16" t="s">
        <v>22</v>
      </c>
      <c r="M67" s="16" t="s">
        <v>22</v>
      </c>
      <c r="N67" s="16" t="s">
        <v>22</v>
      </c>
      <c r="O67" s="16" t="s">
        <v>22</v>
      </c>
      <c r="P67" s="15" t="s">
        <v>22</v>
      </c>
      <c r="Q67" s="15" t="s">
        <v>22</v>
      </c>
    </row>
    <row r="68" spans="1:17" x14ac:dyDescent="0.2">
      <c r="A68" s="4" t="s">
        <v>80</v>
      </c>
      <c r="B68" s="4" t="s">
        <v>24</v>
      </c>
      <c r="C68" s="11" t="s">
        <v>24</v>
      </c>
      <c r="D68" s="11" t="s">
        <v>24</v>
      </c>
      <c r="E68" s="11"/>
      <c r="F68" s="159"/>
      <c r="G68" s="11" t="s">
        <v>24</v>
      </c>
      <c r="H68" s="11" t="s">
        <v>24</v>
      </c>
      <c r="I68" s="4" t="s">
        <v>24</v>
      </c>
      <c r="J68" s="11"/>
      <c r="K68" s="173"/>
      <c r="L68" s="11" t="s">
        <v>24</v>
      </c>
      <c r="M68" s="11" t="s">
        <v>24</v>
      </c>
      <c r="N68" s="11" t="s">
        <v>24</v>
      </c>
      <c r="O68" s="11" t="s">
        <v>24</v>
      </c>
      <c r="P68" s="4" t="s">
        <v>24</v>
      </c>
      <c r="Q68" s="4" t="s">
        <v>24</v>
      </c>
    </row>
    <row r="69" spans="1:17" x14ac:dyDescent="0.2">
      <c r="A69" s="4" t="s">
        <v>81</v>
      </c>
      <c r="B69" s="12">
        <v>14</v>
      </c>
      <c r="C69" s="12">
        <v>60</v>
      </c>
      <c r="D69" s="12">
        <v>-46</v>
      </c>
      <c r="E69" s="19"/>
      <c r="F69" s="161"/>
      <c r="G69" s="12">
        <v>0</v>
      </c>
      <c r="H69" s="12">
        <v>0</v>
      </c>
      <c r="I69" s="12">
        <v>0</v>
      </c>
      <c r="J69" s="19"/>
      <c r="K69" s="172"/>
      <c r="L69" s="12">
        <v>14</v>
      </c>
      <c r="M69" s="12">
        <v>59</v>
      </c>
      <c r="N69" s="12">
        <v>-45</v>
      </c>
      <c r="O69" s="12">
        <v>4245</v>
      </c>
      <c r="P69" s="12">
        <v>0</v>
      </c>
      <c r="Q69" s="12">
        <v>4245</v>
      </c>
    </row>
    <row r="70" spans="1:17" x14ac:dyDescent="0.2">
      <c r="A70" s="4" t="s">
        <v>82</v>
      </c>
      <c r="B70" s="12">
        <v>0</v>
      </c>
      <c r="C70" s="12">
        <v>8000</v>
      </c>
      <c r="D70" s="12">
        <v>-8000</v>
      </c>
      <c r="E70" s="20"/>
      <c r="F70" s="154">
        <v>8</v>
      </c>
      <c r="G70" s="18">
        <v>5590</v>
      </c>
      <c r="H70" s="18">
        <v>1300</v>
      </c>
      <c r="I70" s="18">
        <v>4291</v>
      </c>
      <c r="J70" s="20"/>
      <c r="K70" s="27">
        <v>8</v>
      </c>
      <c r="L70" s="12">
        <v>5590</v>
      </c>
      <c r="M70" s="12">
        <v>9300</v>
      </c>
      <c r="N70" s="12">
        <v>-3710</v>
      </c>
      <c r="O70" s="12">
        <v>18800</v>
      </c>
      <c r="P70" s="12">
        <v>15479</v>
      </c>
      <c r="Q70" s="12">
        <v>34278</v>
      </c>
    </row>
    <row r="71" spans="1:17" x14ac:dyDescent="0.2">
      <c r="A71" s="4" t="s">
        <v>83</v>
      </c>
      <c r="B71" s="13">
        <v>14</v>
      </c>
      <c r="C71" s="13">
        <v>8060</v>
      </c>
      <c r="D71" s="13">
        <v>-8046</v>
      </c>
      <c r="E71" s="13"/>
      <c r="F71" s="160"/>
      <c r="G71" s="13">
        <v>5590</v>
      </c>
      <c r="H71" s="13">
        <v>1300</v>
      </c>
      <c r="I71" s="13">
        <v>4291</v>
      </c>
      <c r="J71" s="13"/>
      <c r="K71" s="170"/>
      <c r="L71" s="13">
        <v>5604</v>
      </c>
      <c r="M71" s="13">
        <v>9359</v>
      </c>
      <c r="N71" s="13">
        <v>-3755</v>
      </c>
      <c r="O71" s="13">
        <v>23045</v>
      </c>
      <c r="P71" s="13">
        <v>15479</v>
      </c>
      <c r="Q71" s="13">
        <v>38523</v>
      </c>
    </row>
    <row r="72" spans="1:17" x14ac:dyDescent="0.2">
      <c r="A72" s="4" t="s">
        <v>84</v>
      </c>
      <c r="B72" s="4" t="s">
        <v>24</v>
      </c>
      <c r="C72" s="11" t="s">
        <v>24</v>
      </c>
      <c r="D72" s="11" t="s">
        <v>24</v>
      </c>
      <c r="E72" s="11"/>
      <c r="F72" s="159"/>
      <c r="G72" s="11" t="s">
        <v>24</v>
      </c>
      <c r="H72" s="11" t="s">
        <v>24</v>
      </c>
      <c r="I72" s="4" t="s">
        <v>24</v>
      </c>
      <c r="J72" s="11"/>
      <c r="K72" s="173"/>
      <c r="L72" s="11" t="s">
        <v>24</v>
      </c>
      <c r="M72" s="11" t="s">
        <v>24</v>
      </c>
      <c r="N72" s="11" t="s">
        <v>24</v>
      </c>
      <c r="O72" s="11" t="s">
        <v>24</v>
      </c>
      <c r="P72" s="4" t="s">
        <v>24</v>
      </c>
      <c r="Q72" s="4" t="s">
        <v>24</v>
      </c>
    </row>
    <row r="73" spans="1:17" x14ac:dyDescent="0.2">
      <c r="A73" s="4" t="s">
        <v>85</v>
      </c>
      <c r="B73" s="12">
        <v>-717</v>
      </c>
      <c r="C73" s="12">
        <v>-621</v>
      </c>
      <c r="D73" s="12">
        <v>-96</v>
      </c>
      <c r="E73" s="19"/>
      <c r="F73" s="161"/>
      <c r="G73" s="12">
        <v>-5865</v>
      </c>
      <c r="H73" s="12">
        <v>-6007</v>
      </c>
      <c r="I73" s="12">
        <v>142</v>
      </c>
      <c r="J73" s="19"/>
      <c r="K73" s="172"/>
      <c r="L73" s="12">
        <v>-6582</v>
      </c>
      <c r="M73" s="12">
        <v>-6628</v>
      </c>
      <c r="N73" s="12">
        <v>46</v>
      </c>
      <c r="O73" s="12">
        <v>-5618</v>
      </c>
      <c r="P73" s="12">
        <v>-44133</v>
      </c>
      <c r="Q73" s="12">
        <v>-49751</v>
      </c>
    </row>
    <row r="74" spans="1:17" x14ac:dyDescent="0.2">
      <c r="A74" s="4" t="s">
        <v>86</v>
      </c>
      <c r="B74" s="12">
        <v>-18169</v>
      </c>
      <c r="C74" s="12">
        <v>-42881</v>
      </c>
      <c r="D74" s="12">
        <v>24712</v>
      </c>
      <c r="E74" s="20"/>
      <c r="F74" s="154">
        <v>6</v>
      </c>
      <c r="G74" s="12">
        <v>0</v>
      </c>
      <c r="H74" s="12">
        <v>0</v>
      </c>
      <c r="I74" s="12">
        <v>0</v>
      </c>
      <c r="J74" s="19"/>
      <c r="K74" s="172"/>
      <c r="L74" s="12">
        <v>-18169</v>
      </c>
      <c r="M74" s="12">
        <v>-42881</v>
      </c>
      <c r="N74" s="12">
        <v>24712</v>
      </c>
      <c r="O74" s="12">
        <v>-200588</v>
      </c>
      <c r="P74" s="12">
        <v>0</v>
      </c>
      <c r="Q74" s="12">
        <v>-200588</v>
      </c>
    </row>
    <row r="75" spans="1:17" x14ac:dyDescent="0.2">
      <c r="A75" s="4" t="s">
        <v>87</v>
      </c>
      <c r="B75" s="13">
        <v>-18886</v>
      </c>
      <c r="C75" s="13">
        <v>-43502</v>
      </c>
      <c r="D75" s="13">
        <v>24616</v>
      </c>
      <c r="E75" s="13"/>
      <c r="F75" s="160"/>
      <c r="G75" s="13">
        <v>-5865</v>
      </c>
      <c r="H75" s="13">
        <v>-6007</v>
      </c>
      <c r="I75" s="13">
        <v>142</v>
      </c>
      <c r="J75" s="13"/>
      <c r="K75" s="170"/>
      <c r="L75" s="13">
        <v>-24751</v>
      </c>
      <c r="M75" s="13">
        <v>-49509</v>
      </c>
      <c r="N75" s="13">
        <v>24758</v>
      </c>
      <c r="O75" s="13">
        <v>-206206</v>
      </c>
      <c r="P75" s="13">
        <v>-44133</v>
      </c>
      <c r="Q75" s="13">
        <v>-250339</v>
      </c>
    </row>
    <row r="76" spans="1:17" x14ac:dyDescent="0.2">
      <c r="A76" s="4" t="s">
        <v>88</v>
      </c>
      <c r="B76" s="14">
        <v>-18872</v>
      </c>
      <c r="C76" s="14">
        <v>-35442</v>
      </c>
      <c r="D76" s="14">
        <v>16570</v>
      </c>
      <c r="E76" s="14"/>
      <c r="F76" s="162"/>
      <c r="G76" s="14">
        <v>-275</v>
      </c>
      <c r="H76" s="14">
        <v>-4707</v>
      </c>
      <c r="I76" s="14">
        <v>4433</v>
      </c>
      <c r="J76" s="14"/>
      <c r="K76" s="174"/>
      <c r="L76" s="14">
        <v>-19147</v>
      </c>
      <c r="M76" s="14">
        <v>-40150</v>
      </c>
      <c r="N76" s="14">
        <v>21003</v>
      </c>
      <c r="O76" s="14">
        <v>-183161</v>
      </c>
      <c r="P76" s="14">
        <v>-28654</v>
      </c>
      <c r="Q76" s="14">
        <v>-211816</v>
      </c>
    </row>
    <row r="77" spans="1:17" x14ac:dyDescent="0.2">
      <c r="A77" s="4" t="s">
        <v>89</v>
      </c>
      <c r="B77" s="15" t="s">
        <v>22</v>
      </c>
      <c r="C77" s="16" t="s">
        <v>22</v>
      </c>
      <c r="D77" s="16" t="s">
        <v>22</v>
      </c>
      <c r="E77" s="16"/>
      <c r="F77" s="163"/>
      <c r="G77" s="16" t="s">
        <v>22</v>
      </c>
      <c r="H77" s="16" t="s">
        <v>22</v>
      </c>
      <c r="I77" s="15" t="s">
        <v>22</v>
      </c>
      <c r="J77" s="16"/>
      <c r="K77" s="175"/>
      <c r="L77" s="16" t="s">
        <v>22</v>
      </c>
      <c r="M77" s="16" t="s">
        <v>22</v>
      </c>
      <c r="N77" s="16" t="s">
        <v>22</v>
      </c>
      <c r="O77" s="16" t="s">
        <v>22</v>
      </c>
      <c r="P77" s="15" t="s">
        <v>22</v>
      </c>
      <c r="Q77" s="15" t="s">
        <v>22</v>
      </c>
    </row>
    <row r="78" spans="1:17" x14ac:dyDescent="0.2">
      <c r="A78" s="4" t="s">
        <v>90</v>
      </c>
      <c r="B78" s="12">
        <v>1047</v>
      </c>
      <c r="C78" s="12">
        <v>2048</v>
      </c>
      <c r="D78" s="12">
        <v>-1000</v>
      </c>
      <c r="E78" s="20"/>
      <c r="F78" s="154">
        <v>7</v>
      </c>
      <c r="G78" s="12">
        <v>0</v>
      </c>
      <c r="H78" s="12">
        <v>0</v>
      </c>
      <c r="I78" s="12">
        <v>0</v>
      </c>
      <c r="J78" s="19"/>
      <c r="K78" s="172"/>
      <c r="L78" s="12">
        <v>1048</v>
      </c>
      <c r="M78" s="12">
        <v>2047</v>
      </c>
      <c r="N78" s="12">
        <v>-1000</v>
      </c>
      <c r="O78" s="12">
        <v>9202</v>
      </c>
      <c r="P78" s="12">
        <v>16572</v>
      </c>
      <c r="Q78" s="12">
        <v>25773</v>
      </c>
    </row>
    <row r="79" spans="1:17" x14ac:dyDescent="0.2">
      <c r="A79" s="4" t="s">
        <v>91</v>
      </c>
      <c r="B79" s="14">
        <v>1047</v>
      </c>
      <c r="C79" s="14">
        <v>2048</v>
      </c>
      <c r="D79" s="14">
        <v>-1000</v>
      </c>
      <c r="E79" s="14"/>
      <c r="F79" s="162"/>
      <c r="G79" s="14">
        <v>0</v>
      </c>
      <c r="H79" s="14">
        <v>0</v>
      </c>
      <c r="I79" s="14">
        <v>0</v>
      </c>
      <c r="J79" s="14"/>
      <c r="K79" s="174"/>
      <c r="L79" s="14">
        <v>1048</v>
      </c>
      <c r="M79" s="14">
        <v>2047</v>
      </c>
      <c r="N79" s="14">
        <v>-1000</v>
      </c>
      <c r="O79" s="14">
        <v>9202</v>
      </c>
      <c r="P79" s="14">
        <v>16572</v>
      </c>
      <c r="Q79" s="14">
        <v>25773</v>
      </c>
    </row>
    <row r="80" spans="1:17" x14ac:dyDescent="0.2">
      <c r="A80" s="10" t="s">
        <v>92</v>
      </c>
      <c r="B80" s="17">
        <v>115243</v>
      </c>
      <c r="C80" s="17">
        <v>170816</v>
      </c>
      <c r="D80" s="17">
        <v>-55574</v>
      </c>
      <c r="E80" s="17"/>
      <c r="F80" s="164"/>
      <c r="G80" s="17">
        <v>14308</v>
      </c>
      <c r="H80" s="17">
        <v>63417</v>
      </c>
      <c r="I80" s="17">
        <v>-49109</v>
      </c>
      <c r="J80" s="17"/>
      <c r="K80" s="176"/>
      <c r="L80" s="17">
        <v>129550</v>
      </c>
      <c r="M80" s="17">
        <v>234234</v>
      </c>
      <c r="N80" s="17">
        <v>-104683</v>
      </c>
      <c r="O80" s="17">
        <v>668488</v>
      </c>
      <c r="P80" s="17">
        <v>145622</v>
      </c>
      <c r="Q80" s="17">
        <v>814110</v>
      </c>
    </row>
    <row r="81" spans="1:1" x14ac:dyDescent="0.2">
      <c r="A81" s="2" t="s">
        <v>8</v>
      </c>
    </row>
    <row r="82" spans="1:1" x14ac:dyDescent="0.2">
      <c r="A82" s="2" t="s">
        <v>8</v>
      </c>
    </row>
    <row r="83" spans="1:1" x14ac:dyDescent="0.2">
      <c r="A83" s="4" t="s">
        <v>93</v>
      </c>
    </row>
  </sheetData>
  <pageMargins left="0.75" right="0.75" top="1" bottom="1" header="0.5" footer="0.5"/>
  <pageSetup orientation="portrait" horizontalDpi="300" verticalDpi="300"/>
  <ignoredErrors>
    <ignoredError sqref="L35:IZ38 A35:D38 G35:I38 G1:I14 A1:D14 L1:IZ14 G33:I33 R33:IZ33 R15:IZ17 A81:D65537 A39:A77 G81:I65537 L81:IZ65537 R39:IZ80 A79:A80 A15:A33 R20:IZ29 S19:IZ19 S18:IZ18 R31:IZ32 S30:IZ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060FD-FF7D-499B-A282-25EE4A8554BF}">
  <sheetPr>
    <tabColor rgb="FFFFFF00"/>
  </sheetPr>
  <dimension ref="A1:E23"/>
  <sheetViews>
    <sheetView zoomScale="125" workbookViewId="0">
      <selection activeCell="C9" sqref="C9"/>
    </sheetView>
  </sheetViews>
  <sheetFormatPr defaultColWidth="8.85546875" defaultRowHeight="12.75" x14ac:dyDescent="0.2"/>
  <cols>
    <col min="1" max="1" width="17" customWidth="1"/>
    <col min="2" max="2" width="48.42578125" customWidth="1"/>
    <col min="3" max="3" width="72.5703125" customWidth="1"/>
    <col min="4" max="4" width="12.85546875" bestFit="1" customWidth="1"/>
    <col min="5" max="5" width="23.140625" customWidth="1"/>
  </cols>
  <sheetData>
    <row r="1" spans="1:5" ht="31.5" x14ac:dyDescent="0.25">
      <c r="A1" s="21" t="s">
        <v>94</v>
      </c>
      <c r="B1" s="22" t="s">
        <v>95</v>
      </c>
      <c r="C1" s="22" t="s">
        <v>96</v>
      </c>
      <c r="D1" s="22" t="s">
        <v>97</v>
      </c>
      <c r="E1" s="22" t="s">
        <v>98</v>
      </c>
    </row>
    <row r="2" spans="1:5" x14ac:dyDescent="0.2">
      <c r="A2">
        <v>1</v>
      </c>
      <c r="B2" s="182" t="s">
        <v>56</v>
      </c>
      <c r="C2" s="23" t="s">
        <v>99</v>
      </c>
      <c r="D2" s="24">
        <v>13500</v>
      </c>
      <c r="E2" s="24">
        <v>8000</v>
      </c>
    </row>
    <row r="3" spans="1:5" x14ac:dyDescent="0.2">
      <c r="A3">
        <v>2</v>
      </c>
      <c r="B3" s="182" t="s">
        <v>63</v>
      </c>
      <c r="C3" s="23" t="s">
        <v>100</v>
      </c>
      <c r="D3" s="24">
        <v>2177</v>
      </c>
      <c r="E3" s="24"/>
    </row>
    <row r="4" spans="1:5" x14ac:dyDescent="0.2">
      <c r="A4">
        <v>3</v>
      </c>
      <c r="B4" s="182" t="s">
        <v>64</v>
      </c>
      <c r="C4" s="23" t="s">
        <v>101</v>
      </c>
      <c r="D4" s="24">
        <v>10000</v>
      </c>
      <c r="E4" s="24"/>
    </row>
    <row r="5" spans="1:5" x14ac:dyDescent="0.2">
      <c r="A5">
        <v>4</v>
      </c>
      <c r="B5" s="182" t="s">
        <v>69</v>
      </c>
      <c r="C5" s="23" t="s">
        <v>102</v>
      </c>
      <c r="D5" s="24">
        <v>2647</v>
      </c>
      <c r="E5" s="24"/>
    </row>
    <row r="6" spans="1:5" x14ac:dyDescent="0.2">
      <c r="B6" s="182"/>
      <c r="C6" s="23" t="s">
        <v>103</v>
      </c>
      <c r="D6" s="24">
        <v>929</v>
      </c>
      <c r="E6" s="24"/>
    </row>
    <row r="7" spans="1:5" x14ac:dyDescent="0.2">
      <c r="B7" s="182"/>
      <c r="C7" t="s">
        <v>104</v>
      </c>
      <c r="D7" s="24">
        <v>754</v>
      </c>
      <c r="E7" s="24"/>
    </row>
    <row r="8" spans="1:5" x14ac:dyDescent="0.2">
      <c r="A8">
        <v>5</v>
      </c>
      <c r="B8" s="182" t="s">
        <v>70</v>
      </c>
      <c r="C8" s="23" t="s">
        <v>105</v>
      </c>
      <c r="D8" s="24">
        <v>1700</v>
      </c>
      <c r="E8" s="24"/>
    </row>
    <row r="9" spans="1:5" x14ac:dyDescent="0.2">
      <c r="A9">
        <v>6</v>
      </c>
      <c r="B9" s="182" t="s">
        <v>86</v>
      </c>
      <c r="D9" s="24"/>
      <c r="E9" s="24"/>
    </row>
    <row r="10" spans="1:5" x14ac:dyDescent="0.2">
      <c r="A10">
        <v>7</v>
      </c>
      <c r="B10" t="s">
        <v>90</v>
      </c>
      <c r="C10" s="23" t="s">
        <v>106</v>
      </c>
      <c r="D10" s="24"/>
      <c r="E10" s="24">
        <v>1000</v>
      </c>
    </row>
    <row r="11" spans="1:5" x14ac:dyDescent="0.2">
      <c r="A11">
        <v>8</v>
      </c>
      <c r="B11" t="s">
        <v>107</v>
      </c>
      <c r="D11" s="24"/>
      <c r="E11" s="24"/>
    </row>
    <row r="12" spans="1:5" x14ac:dyDescent="0.2">
      <c r="D12" s="24"/>
      <c r="E12" s="24"/>
    </row>
    <row r="13" spans="1:5" x14ac:dyDescent="0.2">
      <c r="C13" s="23"/>
      <c r="D13" s="24"/>
      <c r="E13" s="24"/>
    </row>
    <row r="14" spans="1:5" x14ac:dyDescent="0.2">
      <c r="D14" s="24"/>
      <c r="E14" s="24"/>
    </row>
    <row r="15" spans="1:5" x14ac:dyDescent="0.2">
      <c r="D15" s="24"/>
      <c r="E15" s="24"/>
    </row>
    <row r="16" spans="1:5" x14ac:dyDescent="0.2">
      <c r="D16" s="24"/>
      <c r="E16" s="24"/>
    </row>
    <row r="17" spans="3:5" x14ac:dyDescent="0.2">
      <c r="C17" s="23"/>
      <c r="D17" s="24"/>
      <c r="E17" s="24"/>
    </row>
    <row r="18" spans="3:5" x14ac:dyDescent="0.2">
      <c r="D18" s="24"/>
      <c r="E18" s="24"/>
    </row>
    <row r="19" spans="3:5" x14ac:dyDescent="0.2">
      <c r="C19" s="23"/>
      <c r="D19" s="24"/>
      <c r="E19" s="24"/>
    </row>
    <row r="20" spans="3:5" x14ac:dyDescent="0.2">
      <c r="D20" s="24"/>
      <c r="E20" s="24"/>
    </row>
    <row r="23" spans="3:5" ht="15" x14ac:dyDescent="0.25">
      <c r="C23" s="2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A9A45-DC36-47C2-8752-D0D295C75422}">
  <dimension ref="A1:N896"/>
  <sheetViews>
    <sheetView topLeftCell="B1" zoomScaleNormal="100" workbookViewId="0">
      <pane ySplit="1" topLeftCell="A745" activePane="bottomLeft" state="frozen"/>
      <selection pane="bottomLeft" activeCell="K784" sqref="K784"/>
    </sheetView>
  </sheetViews>
  <sheetFormatPr defaultRowHeight="15" outlineLevelRow="4" x14ac:dyDescent="0.25"/>
  <cols>
    <col min="1" max="1" width="9" style="188" customWidth="1"/>
    <col min="2" max="2" width="36.7109375" style="188" customWidth="1"/>
    <col min="3" max="3" width="29.28515625" style="188" customWidth="1"/>
    <col min="4" max="4" width="36.7109375" style="188" customWidth="1"/>
    <col min="5" max="7" width="24.140625" style="188" customWidth="1"/>
    <col min="8" max="9" width="14.140625" style="188" customWidth="1"/>
    <col min="10" max="10" width="14.140625" style="191" customWidth="1"/>
    <col min="11" max="11" width="16.5703125" style="188" customWidth="1"/>
    <col min="12" max="12" width="12.42578125" style="188" customWidth="1"/>
    <col min="13" max="13" width="36.7109375" style="187" customWidth="1"/>
    <col min="14" max="16384" width="9.140625" style="188"/>
  </cols>
  <sheetData>
    <row r="1" spans="1:13" ht="45" x14ac:dyDescent="0.25">
      <c r="A1" s="183" t="s">
        <v>108</v>
      </c>
      <c r="B1" s="183" t="s">
        <v>109</v>
      </c>
      <c r="C1" s="183" t="s">
        <v>110</v>
      </c>
      <c r="D1" s="183" t="s">
        <v>111</v>
      </c>
      <c r="E1" s="184" t="s">
        <v>112</v>
      </c>
      <c r="F1" s="185" t="s">
        <v>113</v>
      </c>
      <c r="G1" s="186" t="s">
        <v>114</v>
      </c>
      <c r="H1" s="186" t="s">
        <v>115</v>
      </c>
      <c r="I1" s="186" t="s">
        <v>116</v>
      </c>
      <c r="J1" s="186" t="s">
        <v>117</v>
      </c>
      <c r="K1" s="186" t="s">
        <v>118</v>
      </c>
      <c r="L1" s="186" t="s">
        <v>119</v>
      </c>
      <c r="M1" s="187" t="s">
        <v>120</v>
      </c>
    </row>
    <row r="2" spans="1:13" hidden="1" outlineLevel="4" x14ac:dyDescent="0.25">
      <c r="A2" s="188" t="s">
        <v>121</v>
      </c>
      <c r="B2" s="188" t="s">
        <v>122</v>
      </c>
      <c r="C2" s="188" t="s">
        <v>123</v>
      </c>
      <c r="D2" s="188" t="s">
        <v>123</v>
      </c>
      <c r="E2" s="188" t="s">
        <v>124</v>
      </c>
      <c r="F2" s="189">
        <v>45839</v>
      </c>
      <c r="G2" s="190">
        <v>2842.2</v>
      </c>
      <c r="H2" s="190">
        <f>+G2</f>
        <v>2842.2</v>
      </c>
      <c r="J2" s="190">
        <v>2758.75</v>
      </c>
      <c r="K2" s="191">
        <f>+H2-J2</f>
        <v>83.449999999999818</v>
      </c>
      <c r="L2" s="192">
        <f>+K2/J2</f>
        <v>3.0249207068418601E-2</v>
      </c>
    </row>
    <row r="3" spans="1:13" hidden="1" outlineLevel="3" x14ac:dyDescent="0.25">
      <c r="B3" s="183" t="s">
        <v>125</v>
      </c>
      <c r="F3" s="189"/>
      <c r="G3" s="190">
        <f>SUBTOTAL(9,G2:G2)</f>
        <v>2842.2</v>
      </c>
      <c r="H3" s="190"/>
      <c r="J3" s="190">
        <f>SUBTOTAL(9,J2:J2)</f>
        <v>2758.75</v>
      </c>
      <c r="K3" s="191">
        <f>SUBTOTAL(9,K2:K2)</f>
        <v>83.449999999999818</v>
      </c>
      <c r="L3" s="192"/>
    </row>
    <row r="4" spans="1:13" hidden="1" outlineLevel="4" x14ac:dyDescent="0.25">
      <c r="A4" s="188" t="s">
        <v>121</v>
      </c>
      <c r="B4" s="193" t="s">
        <v>126</v>
      </c>
      <c r="C4" s="193" t="s">
        <v>127</v>
      </c>
      <c r="D4" s="193" t="s">
        <v>128</v>
      </c>
      <c r="E4" s="194"/>
      <c r="F4" s="195"/>
      <c r="G4" s="196"/>
      <c r="H4" s="190">
        <f t="shared" ref="H4:H85" si="0">+G4</f>
        <v>0</v>
      </c>
      <c r="I4" s="194"/>
      <c r="J4" s="196">
        <v>1256.25</v>
      </c>
      <c r="K4" s="191">
        <f t="shared" ref="K4:K85" si="1">+H4-J4</f>
        <v>-1256.25</v>
      </c>
      <c r="L4" s="192">
        <f>+K4/J4</f>
        <v>-1</v>
      </c>
      <c r="M4" s="187" t="s">
        <v>129</v>
      </c>
    </row>
    <row r="5" spans="1:13" hidden="1" outlineLevel="3" x14ac:dyDescent="0.25">
      <c r="B5" s="197" t="s">
        <v>130</v>
      </c>
      <c r="C5" s="193"/>
      <c r="D5" s="193"/>
      <c r="E5" s="194"/>
      <c r="F5" s="195"/>
      <c r="G5" s="196">
        <f>SUBTOTAL(9,G4:G4)</f>
        <v>0</v>
      </c>
      <c r="H5" s="190"/>
      <c r="I5" s="194"/>
      <c r="J5" s="196">
        <f>SUBTOTAL(9,J4:J4)</f>
        <v>1256.25</v>
      </c>
      <c r="K5" s="191">
        <f>SUBTOTAL(9,K4:K4)</f>
        <v>-1256.25</v>
      </c>
      <c r="L5" s="192"/>
      <c r="M5" s="187" t="s">
        <v>129</v>
      </c>
    </row>
    <row r="6" spans="1:13" hidden="1" outlineLevel="4" x14ac:dyDescent="0.25">
      <c r="A6" s="188" t="s">
        <v>121</v>
      </c>
      <c r="B6" s="188" t="s">
        <v>131</v>
      </c>
      <c r="C6" s="188" t="s">
        <v>123</v>
      </c>
      <c r="D6" s="188" t="s">
        <v>123</v>
      </c>
      <c r="E6" s="188" t="s">
        <v>132</v>
      </c>
      <c r="F6" s="189">
        <v>45839</v>
      </c>
      <c r="G6" s="190">
        <v>1161</v>
      </c>
      <c r="H6" s="190">
        <f t="shared" si="0"/>
        <v>1161</v>
      </c>
      <c r="J6" s="190">
        <v>950</v>
      </c>
      <c r="K6" s="191">
        <f t="shared" si="1"/>
        <v>211</v>
      </c>
      <c r="L6" s="192">
        <f>+K6/J6</f>
        <v>0.22210526315789475</v>
      </c>
    </row>
    <row r="7" spans="1:13" hidden="1" outlineLevel="4" x14ac:dyDescent="0.25">
      <c r="A7" s="188" t="s">
        <v>121</v>
      </c>
      <c r="B7" s="193" t="s">
        <v>131</v>
      </c>
      <c r="C7" s="193" t="s">
        <v>123</v>
      </c>
      <c r="D7" s="193" t="s">
        <v>133</v>
      </c>
      <c r="E7" s="194"/>
      <c r="F7" s="195"/>
      <c r="G7" s="196"/>
      <c r="H7" s="190">
        <f t="shared" si="0"/>
        <v>0</v>
      </c>
      <c r="I7" s="194"/>
      <c r="J7" s="196">
        <v>0</v>
      </c>
      <c r="K7" s="191">
        <f t="shared" si="1"/>
        <v>0</v>
      </c>
      <c r="L7" s="192" t="e">
        <f>+K7/J7</f>
        <v>#DIV/0!</v>
      </c>
      <c r="M7" s="187" t="s">
        <v>134</v>
      </c>
    </row>
    <row r="8" spans="1:13" hidden="1" outlineLevel="3" x14ac:dyDescent="0.25">
      <c r="B8" s="197" t="s">
        <v>135</v>
      </c>
      <c r="C8" s="193"/>
      <c r="D8" s="193"/>
      <c r="E8" s="194"/>
      <c r="F8" s="195"/>
      <c r="G8" s="196">
        <f>SUBTOTAL(9,G6:G7)</f>
        <v>1161</v>
      </c>
      <c r="H8" s="190"/>
      <c r="I8" s="194"/>
      <c r="J8" s="196">
        <f>SUBTOTAL(9,J6:J7)</f>
        <v>950</v>
      </c>
      <c r="K8" s="191">
        <f>SUBTOTAL(9,K6:K7)</f>
        <v>211</v>
      </c>
      <c r="L8" s="192"/>
      <c r="M8" s="187" t="s">
        <v>134</v>
      </c>
    </row>
    <row r="9" spans="1:13" hidden="1" outlineLevel="4" x14ac:dyDescent="0.25">
      <c r="A9" s="188" t="s">
        <v>121</v>
      </c>
      <c r="B9" s="188" t="s">
        <v>136</v>
      </c>
      <c r="C9" s="188" t="s">
        <v>127</v>
      </c>
      <c r="D9" s="188" t="s">
        <v>137</v>
      </c>
      <c r="E9" s="188" t="s">
        <v>138</v>
      </c>
      <c r="F9" s="189">
        <v>45839</v>
      </c>
      <c r="G9" s="190">
        <v>111.5</v>
      </c>
      <c r="H9" s="190">
        <f t="shared" si="0"/>
        <v>111.5</v>
      </c>
      <c r="J9" s="190">
        <v>111.5</v>
      </c>
      <c r="K9" s="191">
        <f t="shared" si="1"/>
        <v>0</v>
      </c>
      <c r="L9" s="192">
        <f>+K9/J9</f>
        <v>0</v>
      </c>
    </row>
    <row r="10" spans="1:13" hidden="1" outlineLevel="4" x14ac:dyDescent="0.25">
      <c r="A10" s="188" t="s">
        <v>121</v>
      </c>
      <c r="B10" s="188" t="s">
        <v>136</v>
      </c>
      <c r="C10" s="188" t="s">
        <v>139</v>
      </c>
      <c r="D10" s="188" t="s">
        <v>140</v>
      </c>
      <c r="E10" s="188" t="s">
        <v>141</v>
      </c>
      <c r="F10" s="189">
        <v>45839</v>
      </c>
      <c r="G10" s="190">
        <v>205</v>
      </c>
      <c r="H10" s="190">
        <f t="shared" si="0"/>
        <v>205</v>
      </c>
      <c r="J10" s="190">
        <v>205</v>
      </c>
      <c r="K10" s="191">
        <f t="shared" si="1"/>
        <v>0</v>
      </c>
      <c r="L10" s="192">
        <f>+K10/J10</f>
        <v>0</v>
      </c>
    </row>
    <row r="11" spans="1:13" hidden="1" outlineLevel="4" x14ac:dyDescent="0.25">
      <c r="A11" s="188" t="s">
        <v>121</v>
      </c>
      <c r="B11" s="188" t="s">
        <v>136</v>
      </c>
      <c r="C11" s="188" t="s">
        <v>142</v>
      </c>
      <c r="D11" s="188" t="s">
        <v>143</v>
      </c>
      <c r="E11" s="188" t="s">
        <v>141</v>
      </c>
      <c r="F11" s="189">
        <v>45839</v>
      </c>
      <c r="G11" s="190">
        <v>35</v>
      </c>
      <c r="H11" s="190">
        <f t="shared" si="0"/>
        <v>35</v>
      </c>
      <c r="J11" s="190">
        <v>35</v>
      </c>
      <c r="K11" s="191">
        <f t="shared" si="1"/>
        <v>0</v>
      </c>
      <c r="L11" s="192">
        <f>+K11/J11</f>
        <v>0</v>
      </c>
    </row>
    <row r="12" spans="1:13" hidden="1" outlineLevel="4" x14ac:dyDescent="0.25">
      <c r="A12" s="188" t="s">
        <v>121</v>
      </c>
      <c r="B12" s="188" t="s">
        <v>136</v>
      </c>
      <c r="C12" s="188" t="s">
        <v>144</v>
      </c>
      <c r="D12" s="188" t="s">
        <v>145</v>
      </c>
      <c r="E12" s="188" t="s">
        <v>146</v>
      </c>
      <c r="F12" s="189">
        <v>45840</v>
      </c>
      <c r="G12" s="190">
        <v>446</v>
      </c>
      <c r="H12" s="190">
        <f t="shared" si="0"/>
        <v>446</v>
      </c>
      <c r="J12" s="190">
        <v>446</v>
      </c>
      <c r="K12" s="191">
        <f t="shared" si="1"/>
        <v>0</v>
      </c>
      <c r="L12" s="192">
        <f>+K12/J12</f>
        <v>0</v>
      </c>
    </row>
    <row r="13" spans="1:13" hidden="1" outlineLevel="4" x14ac:dyDescent="0.25">
      <c r="A13" s="188" t="s">
        <v>121</v>
      </c>
      <c r="B13" s="188" t="s">
        <v>136</v>
      </c>
      <c r="C13" s="188" t="s">
        <v>123</v>
      </c>
      <c r="D13" s="188" t="s">
        <v>147</v>
      </c>
      <c r="E13" s="188" t="s">
        <v>141</v>
      </c>
      <c r="F13" s="189">
        <v>45839</v>
      </c>
      <c r="G13" s="190">
        <v>2845.5</v>
      </c>
      <c r="H13" s="190">
        <f t="shared" si="0"/>
        <v>2845.5</v>
      </c>
      <c r="J13" s="190">
        <v>2845.5</v>
      </c>
      <c r="K13" s="191">
        <f t="shared" si="1"/>
        <v>0</v>
      </c>
      <c r="L13" s="192">
        <f>+K13/J13</f>
        <v>0</v>
      </c>
    </row>
    <row r="14" spans="1:13" hidden="1" outlineLevel="3" x14ac:dyDescent="0.25">
      <c r="B14" s="183" t="s">
        <v>148</v>
      </c>
      <c r="F14" s="189"/>
      <c r="G14" s="190">
        <f>SUBTOTAL(9,G9:G13)</f>
        <v>3643</v>
      </c>
      <c r="H14" s="190"/>
      <c r="J14" s="190">
        <f>SUBTOTAL(9,J9:J13)</f>
        <v>3643</v>
      </c>
      <c r="K14" s="191">
        <f>SUBTOTAL(9,K9:K13)</f>
        <v>0</v>
      </c>
      <c r="L14" s="192"/>
    </row>
    <row r="15" spans="1:13" hidden="1" outlineLevel="4" x14ac:dyDescent="0.25">
      <c r="A15" s="188" t="s">
        <v>121</v>
      </c>
      <c r="B15" s="194" t="s">
        <v>149</v>
      </c>
      <c r="C15" s="194" t="s">
        <v>127</v>
      </c>
      <c r="D15" s="194" t="s">
        <v>150</v>
      </c>
      <c r="E15" s="194" t="s">
        <v>151</v>
      </c>
      <c r="F15" s="195">
        <v>45871</v>
      </c>
      <c r="G15" s="196"/>
      <c r="H15" s="190">
        <f t="shared" si="0"/>
        <v>0</v>
      </c>
      <c r="I15" s="194"/>
      <c r="J15" s="196">
        <v>143.19999999999999</v>
      </c>
      <c r="K15" s="191">
        <f t="shared" si="1"/>
        <v>-143.19999999999999</v>
      </c>
      <c r="L15" s="192">
        <f>+K15/J15</f>
        <v>-1</v>
      </c>
    </row>
    <row r="16" spans="1:13" hidden="1" outlineLevel="4" x14ac:dyDescent="0.25">
      <c r="A16" s="188" t="s">
        <v>121</v>
      </c>
      <c r="B16" s="188" t="s">
        <v>149</v>
      </c>
      <c r="C16" s="188" t="s">
        <v>144</v>
      </c>
      <c r="D16" s="188" t="s">
        <v>145</v>
      </c>
      <c r="E16" s="188" t="s">
        <v>152</v>
      </c>
      <c r="F16" s="189">
        <v>45840</v>
      </c>
      <c r="G16" s="190">
        <v>673.4</v>
      </c>
      <c r="H16" s="190">
        <f t="shared" si="0"/>
        <v>673.4</v>
      </c>
      <c r="J16" s="190">
        <v>572.79999999999995</v>
      </c>
      <c r="K16" s="191">
        <f t="shared" si="1"/>
        <v>100.60000000000002</v>
      </c>
      <c r="L16" s="192">
        <f>+K16/J16</f>
        <v>0.17562849162011179</v>
      </c>
    </row>
    <row r="17" spans="1:13" hidden="1" outlineLevel="4" x14ac:dyDescent="0.25">
      <c r="A17" s="188" t="s">
        <v>121</v>
      </c>
      <c r="B17" s="188" t="s">
        <v>149</v>
      </c>
      <c r="C17" s="188" t="s">
        <v>123</v>
      </c>
      <c r="D17" s="188" t="s">
        <v>153</v>
      </c>
      <c r="E17" s="188" t="s">
        <v>154</v>
      </c>
      <c r="F17" s="189">
        <v>45839</v>
      </c>
      <c r="G17" s="190">
        <v>1058</v>
      </c>
      <c r="H17" s="190">
        <f t="shared" si="0"/>
        <v>1058</v>
      </c>
      <c r="J17" s="190">
        <v>1058</v>
      </c>
      <c r="K17" s="191">
        <f t="shared" si="1"/>
        <v>0</v>
      </c>
      <c r="L17" s="192">
        <f>+K17/J17</f>
        <v>0</v>
      </c>
    </row>
    <row r="18" spans="1:13" hidden="1" outlineLevel="4" x14ac:dyDescent="0.25">
      <c r="A18" s="188" t="s">
        <v>121</v>
      </c>
      <c r="B18" s="188" t="s">
        <v>149</v>
      </c>
      <c r="C18" s="188" t="s">
        <v>123</v>
      </c>
      <c r="D18" s="188" t="s">
        <v>155</v>
      </c>
      <c r="E18" s="188" t="s">
        <v>156</v>
      </c>
      <c r="F18" s="189">
        <v>45839</v>
      </c>
      <c r="G18" s="190">
        <v>530</v>
      </c>
      <c r="H18" s="190">
        <f t="shared" si="0"/>
        <v>530</v>
      </c>
      <c r="J18" s="190">
        <v>530</v>
      </c>
      <c r="K18" s="191">
        <f t="shared" si="1"/>
        <v>0</v>
      </c>
      <c r="L18" s="192">
        <f>+K18/J18</f>
        <v>0</v>
      </c>
    </row>
    <row r="19" spans="1:13" hidden="1" outlineLevel="3" x14ac:dyDescent="0.25">
      <c r="B19" s="183" t="s">
        <v>157</v>
      </c>
      <c r="F19" s="189"/>
      <c r="G19" s="190">
        <f>SUBTOTAL(9,G15:G18)</f>
        <v>2261.4</v>
      </c>
      <c r="H19" s="190"/>
      <c r="J19" s="190">
        <f>SUBTOTAL(9,J15:J18)</f>
        <v>2304</v>
      </c>
      <c r="K19" s="191">
        <f>SUBTOTAL(9,K15:K18)</f>
        <v>-42.599999999999966</v>
      </c>
      <c r="L19" s="192"/>
    </row>
    <row r="20" spans="1:13" hidden="1" outlineLevel="4" x14ac:dyDescent="0.25">
      <c r="A20" s="188" t="s">
        <v>121</v>
      </c>
      <c r="B20" s="194" t="s">
        <v>158</v>
      </c>
      <c r="C20" s="194" t="s">
        <v>127</v>
      </c>
      <c r="D20" s="194" t="s">
        <v>150</v>
      </c>
      <c r="E20" s="194" t="s">
        <v>159</v>
      </c>
      <c r="F20" s="195">
        <v>45870</v>
      </c>
      <c r="G20" s="196"/>
      <c r="H20" s="190">
        <f t="shared" si="0"/>
        <v>0</v>
      </c>
      <c r="I20" s="194"/>
      <c r="J20" s="196">
        <v>61.35</v>
      </c>
      <c r="K20" s="191">
        <f t="shared" si="1"/>
        <v>-61.35</v>
      </c>
      <c r="L20" s="192">
        <f>+K20/J20</f>
        <v>-1</v>
      </c>
    </row>
    <row r="21" spans="1:13" hidden="1" outlineLevel="4" x14ac:dyDescent="0.25">
      <c r="A21" s="188" t="s">
        <v>121</v>
      </c>
      <c r="B21" s="188" t="s">
        <v>158</v>
      </c>
      <c r="C21" s="188" t="s">
        <v>139</v>
      </c>
      <c r="D21" s="188" t="s">
        <v>160</v>
      </c>
      <c r="E21" s="188" t="s">
        <v>161</v>
      </c>
      <c r="F21" s="189">
        <v>45839</v>
      </c>
      <c r="G21" s="190">
        <v>272.44</v>
      </c>
      <c r="H21" s="190">
        <f t="shared" si="0"/>
        <v>272.44</v>
      </c>
      <c r="J21" s="190">
        <v>207.48</v>
      </c>
      <c r="K21" s="191">
        <f t="shared" si="1"/>
        <v>64.960000000000008</v>
      </c>
      <c r="L21" s="192">
        <f>+K21/J21</f>
        <v>0.31309041835357632</v>
      </c>
    </row>
    <row r="22" spans="1:13" hidden="1" outlineLevel="4" x14ac:dyDescent="0.25">
      <c r="A22" s="188" t="s">
        <v>121</v>
      </c>
      <c r="B22" s="188" t="s">
        <v>158</v>
      </c>
      <c r="C22" s="188" t="s">
        <v>142</v>
      </c>
      <c r="D22" s="188" t="s">
        <v>162</v>
      </c>
      <c r="E22" s="188" t="s">
        <v>161</v>
      </c>
      <c r="F22" s="189">
        <v>45839</v>
      </c>
      <c r="G22" s="190">
        <v>217</v>
      </c>
      <c r="H22" s="190">
        <f t="shared" si="0"/>
        <v>217</v>
      </c>
      <c r="J22" s="190">
        <v>217</v>
      </c>
      <c r="K22" s="191">
        <f t="shared" si="1"/>
        <v>0</v>
      </c>
      <c r="L22" s="192">
        <f>+K22/J22</f>
        <v>0</v>
      </c>
    </row>
    <row r="23" spans="1:13" hidden="1" outlineLevel="4" x14ac:dyDescent="0.25">
      <c r="A23" s="188" t="s">
        <v>121</v>
      </c>
      <c r="B23" s="194" t="s">
        <v>158</v>
      </c>
      <c r="C23" s="194" t="s">
        <v>144</v>
      </c>
      <c r="D23" s="194" t="s">
        <v>163</v>
      </c>
      <c r="E23" s="194" t="s">
        <v>164</v>
      </c>
      <c r="F23" s="195">
        <v>45870</v>
      </c>
      <c r="G23" s="196"/>
      <c r="H23" s="190">
        <f t="shared" si="0"/>
        <v>0</v>
      </c>
      <c r="I23" s="194"/>
      <c r="J23" s="196">
        <v>347.65</v>
      </c>
      <c r="K23" s="191">
        <f t="shared" si="1"/>
        <v>-347.65</v>
      </c>
      <c r="L23" s="192">
        <f>+K23/J23</f>
        <v>-1</v>
      </c>
    </row>
    <row r="24" spans="1:13" hidden="1" outlineLevel="4" x14ac:dyDescent="0.25">
      <c r="A24" s="188" t="s">
        <v>121</v>
      </c>
      <c r="B24" s="188" t="s">
        <v>158</v>
      </c>
      <c r="C24" s="188" t="s">
        <v>123</v>
      </c>
      <c r="D24" s="188" t="s">
        <v>165</v>
      </c>
      <c r="E24" s="188" t="s">
        <v>161</v>
      </c>
      <c r="F24" s="189">
        <v>45839</v>
      </c>
      <c r="G24" s="190">
        <v>2240.5300000000002</v>
      </c>
      <c r="H24" s="190">
        <f t="shared" si="0"/>
        <v>2240.5300000000002</v>
      </c>
      <c r="J24" s="190">
        <v>2174</v>
      </c>
      <c r="K24" s="191">
        <f t="shared" si="1"/>
        <v>66.5300000000002</v>
      </c>
      <c r="L24" s="192">
        <f>+K24/J24</f>
        <v>3.0602575896964215E-2</v>
      </c>
    </row>
    <row r="25" spans="1:13" hidden="1" outlineLevel="3" x14ac:dyDescent="0.25">
      <c r="B25" s="183" t="s">
        <v>166</v>
      </c>
      <c r="F25" s="189"/>
      <c r="G25" s="190">
        <f>SUBTOTAL(9,G20:G24)</f>
        <v>2729.9700000000003</v>
      </c>
      <c r="H25" s="190"/>
      <c r="J25" s="190">
        <f>SUBTOTAL(9,J20:J24)</f>
        <v>3007.48</v>
      </c>
      <c r="K25" s="191">
        <f>SUBTOTAL(9,K20:K24)</f>
        <v>-277.50999999999976</v>
      </c>
      <c r="L25" s="192"/>
    </row>
    <row r="26" spans="1:13" hidden="1" outlineLevel="4" x14ac:dyDescent="0.25">
      <c r="A26" s="188" t="s">
        <v>121</v>
      </c>
      <c r="B26" s="194" t="s">
        <v>167</v>
      </c>
      <c r="C26" s="194" t="s">
        <v>127</v>
      </c>
      <c r="D26" s="194" t="s">
        <v>168</v>
      </c>
      <c r="E26" s="194"/>
      <c r="F26" s="195"/>
      <c r="G26" s="196"/>
      <c r="H26" s="190">
        <f t="shared" si="0"/>
        <v>0</v>
      </c>
      <c r="I26" s="194"/>
      <c r="J26" s="196">
        <v>208</v>
      </c>
      <c r="K26" s="191">
        <f t="shared" si="1"/>
        <v>-208</v>
      </c>
      <c r="L26" s="192">
        <f>+K26/J26</f>
        <v>-1</v>
      </c>
      <c r="M26" s="187" t="s">
        <v>169</v>
      </c>
    </row>
    <row r="27" spans="1:13" hidden="1" outlineLevel="4" x14ac:dyDescent="0.25">
      <c r="A27" s="188" t="s">
        <v>121</v>
      </c>
      <c r="B27" s="188" t="s">
        <v>167</v>
      </c>
      <c r="C27" s="188" t="s">
        <v>170</v>
      </c>
      <c r="D27" s="188" t="s">
        <v>171</v>
      </c>
      <c r="E27" s="188" t="s">
        <v>172</v>
      </c>
      <c r="F27" s="189">
        <v>45839</v>
      </c>
      <c r="G27" s="190">
        <v>67.099999999999994</v>
      </c>
      <c r="H27" s="190">
        <f t="shared" si="0"/>
        <v>67.099999999999994</v>
      </c>
      <c r="J27" s="190">
        <v>67.099999999999994</v>
      </c>
      <c r="K27" s="191">
        <f t="shared" si="1"/>
        <v>0</v>
      </c>
      <c r="L27" s="192">
        <f>+K27/J27</f>
        <v>0</v>
      </c>
    </row>
    <row r="28" spans="1:13" hidden="1" outlineLevel="4" x14ac:dyDescent="0.25">
      <c r="A28" s="188" t="s">
        <v>121</v>
      </c>
      <c r="B28" s="194" t="s">
        <v>167</v>
      </c>
      <c r="C28" s="194" t="s">
        <v>144</v>
      </c>
      <c r="D28" s="194" t="s">
        <v>144</v>
      </c>
      <c r="E28" s="194"/>
      <c r="F28" s="195"/>
      <c r="G28" s="196"/>
      <c r="H28" s="190">
        <f t="shared" si="0"/>
        <v>0</v>
      </c>
      <c r="I28" s="194"/>
      <c r="J28" s="196">
        <v>208</v>
      </c>
      <c r="K28" s="191">
        <f t="shared" si="1"/>
        <v>-208</v>
      </c>
      <c r="L28" s="192">
        <f>+K28/J28</f>
        <v>-1</v>
      </c>
      <c r="M28" s="187" t="s">
        <v>129</v>
      </c>
    </row>
    <row r="29" spans="1:13" hidden="1" outlineLevel="3" x14ac:dyDescent="0.25">
      <c r="B29" s="197" t="s">
        <v>173</v>
      </c>
      <c r="C29" s="194"/>
      <c r="D29" s="194"/>
      <c r="E29" s="194"/>
      <c r="F29" s="195"/>
      <c r="G29" s="196">
        <f>SUBTOTAL(9,G26:G28)</f>
        <v>67.099999999999994</v>
      </c>
      <c r="H29" s="190"/>
      <c r="I29" s="194"/>
      <c r="J29" s="196">
        <f>SUBTOTAL(9,J26:J28)</f>
        <v>483.1</v>
      </c>
      <c r="K29" s="191">
        <f>SUBTOTAL(9,K26:K28)</f>
        <v>-416</v>
      </c>
      <c r="L29" s="192"/>
    </row>
    <row r="30" spans="1:13" hidden="1" outlineLevel="4" x14ac:dyDescent="0.25">
      <c r="A30" s="188" t="s">
        <v>121</v>
      </c>
      <c r="B30" s="194" t="s">
        <v>174</v>
      </c>
      <c r="C30" s="194" t="s">
        <v>175</v>
      </c>
      <c r="D30" s="194" t="s">
        <v>176</v>
      </c>
      <c r="E30" s="194"/>
      <c r="F30" s="195"/>
      <c r="G30" s="196"/>
      <c r="H30" s="190">
        <f t="shared" si="0"/>
        <v>0</v>
      </c>
      <c r="I30" s="194"/>
      <c r="J30" s="198">
        <v>0</v>
      </c>
      <c r="K30" s="191">
        <f t="shared" si="1"/>
        <v>0</v>
      </c>
      <c r="L30" s="192" t="e">
        <f t="shared" ref="L30:L36" si="2">+K30/J30</f>
        <v>#DIV/0!</v>
      </c>
      <c r="M30" s="187" t="s">
        <v>177</v>
      </c>
    </row>
    <row r="31" spans="1:13" hidden="1" outlineLevel="4" x14ac:dyDescent="0.25">
      <c r="A31" s="188" t="s">
        <v>121</v>
      </c>
      <c r="B31" s="188" t="s">
        <v>174</v>
      </c>
      <c r="C31" s="188" t="s">
        <v>127</v>
      </c>
      <c r="D31" s="188" t="s">
        <v>137</v>
      </c>
      <c r="E31" s="188" t="s">
        <v>178</v>
      </c>
      <c r="F31" s="189">
        <v>45839</v>
      </c>
      <c r="G31" s="190">
        <v>39.79</v>
      </c>
      <c r="H31" s="190">
        <f t="shared" si="0"/>
        <v>39.79</v>
      </c>
      <c r="J31" s="190">
        <v>46.8</v>
      </c>
      <c r="K31" s="191">
        <f t="shared" si="1"/>
        <v>-7.009999999999998</v>
      </c>
      <c r="L31" s="192">
        <f t="shared" si="2"/>
        <v>-0.14978632478632475</v>
      </c>
    </row>
    <row r="32" spans="1:13" hidden="1" outlineLevel="4" x14ac:dyDescent="0.25">
      <c r="A32" s="188" t="s">
        <v>121</v>
      </c>
      <c r="B32" s="194" t="s">
        <v>174</v>
      </c>
      <c r="C32" s="194" t="s">
        <v>170</v>
      </c>
      <c r="D32" s="194" t="s">
        <v>170</v>
      </c>
      <c r="E32" s="194"/>
      <c r="F32" s="195"/>
      <c r="G32" s="196"/>
      <c r="H32" s="190">
        <f t="shared" si="0"/>
        <v>0</v>
      </c>
      <c r="I32" s="194"/>
      <c r="J32" s="198">
        <v>493</v>
      </c>
      <c r="K32" s="191">
        <f t="shared" si="1"/>
        <v>-493</v>
      </c>
      <c r="L32" s="192">
        <f t="shared" si="2"/>
        <v>-1</v>
      </c>
      <c r="M32" s="187" t="s">
        <v>129</v>
      </c>
    </row>
    <row r="33" spans="1:13" hidden="1" outlineLevel="4" x14ac:dyDescent="0.25">
      <c r="A33" s="188" t="s">
        <v>121</v>
      </c>
      <c r="B33" s="188" t="s">
        <v>174</v>
      </c>
      <c r="C33" s="188" t="s">
        <v>139</v>
      </c>
      <c r="D33" s="188" t="s">
        <v>179</v>
      </c>
      <c r="E33" s="188" t="s">
        <v>180</v>
      </c>
      <c r="F33" s="189">
        <v>45839</v>
      </c>
      <c r="G33" s="190">
        <v>116.14</v>
      </c>
      <c r="H33" s="190">
        <f t="shared" si="0"/>
        <v>116.14</v>
      </c>
      <c r="J33" s="190">
        <v>455</v>
      </c>
      <c r="K33" s="191">
        <f t="shared" si="1"/>
        <v>-338.86</v>
      </c>
      <c r="L33" s="192">
        <f t="shared" si="2"/>
        <v>-0.74474725274725273</v>
      </c>
    </row>
    <row r="34" spans="1:13" hidden="1" outlineLevel="4" x14ac:dyDescent="0.25">
      <c r="A34" s="188" t="s">
        <v>121</v>
      </c>
      <c r="B34" s="188" t="s">
        <v>174</v>
      </c>
      <c r="C34" s="188" t="s">
        <v>142</v>
      </c>
      <c r="D34" s="188" t="s">
        <v>181</v>
      </c>
      <c r="E34" s="188" t="s">
        <v>180</v>
      </c>
      <c r="F34" s="189">
        <v>45839</v>
      </c>
      <c r="G34" s="190">
        <v>982.5</v>
      </c>
      <c r="H34" s="190">
        <f t="shared" si="0"/>
        <v>982.5</v>
      </c>
      <c r="J34" s="190">
        <v>800.5</v>
      </c>
      <c r="K34" s="191">
        <f t="shared" si="1"/>
        <v>182</v>
      </c>
      <c r="L34" s="192">
        <f t="shared" si="2"/>
        <v>0.22735790131168021</v>
      </c>
    </row>
    <row r="35" spans="1:13" hidden="1" outlineLevel="4" x14ac:dyDescent="0.25">
      <c r="A35" s="188" t="s">
        <v>121</v>
      </c>
      <c r="B35" s="188" t="s">
        <v>174</v>
      </c>
      <c r="C35" s="188" t="s">
        <v>144</v>
      </c>
      <c r="D35" s="188" t="s">
        <v>145</v>
      </c>
      <c r="E35" s="188" t="s">
        <v>182</v>
      </c>
      <c r="F35" s="189">
        <v>45840</v>
      </c>
      <c r="G35" s="190">
        <v>225.41</v>
      </c>
      <c r="H35" s="190">
        <f t="shared" si="0"/>
        <v>225.41</v>
      </c>
      <c r="J35" s="190">
        <v>265.2</v>
      </c>
      <c r="K35" s="191">
        <f t="shared" si="1"/>
        <v>-39.789999999999992</v>
      </c>
      <c r="L35" s="192">
        <f t="shared" si="2"/>
        <v>-0.15003770739064853</v>
      </c>
    </row>
    <row r="36" spans="1:13" hidden="1" outlineLevel="4" x14ac:dyDescent="0.25">
      <c r="A36" s="188" t="s">
        <v>121</v>
      </c>
      <c r="B36" s="188" t="s">
        <v>174</v>
      </c>
      <c r="C36" s="188" t="s">
        <v>123</v>
      </c>
      <c r="D36" s="188" t="s">
        <v>183</v>
      </c>
      <c r="E36" s="188" t="s">
        <v>184</v>
      </c>
      <c r="F36" s="189">
        <v>45839</v>
      </c>
      <c r="G36" s="190">
        <v>379.5</v>
      </c>
      <c r="H36" s="190">
        <f t="shared" si="0"/>
        <v>379.5</v>
      </c>
      <c r="J36" s="190">
        <v>379.5</v>
      </c>
      <c r="K36" s="191">
        <f t="shared" si="1"/>
        <v>0</v>
      </c>
      <c r="L36" s="192">
        <f t="shared" si="2"/>
        <v>0</v>
      </c>
    </row>
    <row r="37" spans="1:13" hidden="1" outlineLevel="4" x14ac:dyDescent="0.25">
      <c r="A37" s="188" t="s">
        <v>121</v>
      </c>
      <c r="B37" s="188" t="s">
        <v>174</v>
      </c>
      <c r="C37" s="188" t="s">
        <v>123</v>
      </c>
      <c r="D37" s="188" t="s">
        <v>185</v>
      </c>
      <c r="E37" s="188" t="s">
        <v>186</v>
      </c>
      <c r="F37" s="189">
        <v>45839</v>
      </c>
      <c r="G37" s="190">
        <v>4416.67</v>
      </c>
      <c r="H37" s="190">
        <f t="shared" si="0"/>
        <v>4416.67</v>
      </c>
      <c r="J37" s="190">
        <v>4250</v>
      </c>
      <c r="K37" s="191">
        <f t="shared" si="1"/>
        <v>166.67000000000007</v>
      </c>
      <c r="L37" s="192"/>
      <c r="M37" s="187" t="s">
        <v>187</v>
      </c>
    </row>
    <row r="38" spans="1:13" hidden="1" outlineLevel="4" x14ac:dyDescent="0.25">
      <c r="A38" s="188" t="s">
        <v>121</v>
      </c>
      <c r="B38" s="188" t="s">
        <v>174</v>
      </c>
      <c r="C38" s="188" t="s">
        <v>123</v>
      </c>
      <c r="D38" s="188" t="s">
        <v>188</v>
      </c>
      <c r="E38" s="188" t="s">
        <v>180</v>
      </c>
      <c r="F38" s="189">
        <v>45839</v>
      </c>
      <c r="G38" s="190">
        <v>4533.7</v>
      </c>
      <c r="H38" s="190">
        <f t="shared" si="0"/>
        <v>4533.7</v>
      </c>
      <c r="J38" s="190">
        <v>4718.5</v>
      </c>
      <c r="K38" s="191">
        <f t="shared" si="1"/>
        <v>-184.80000000000018</v>
      </c>
      <c r="L38" s="192"/>
    </row>
    <row r="39" spans="1:13" hidden="1" outlineLevel="4" x14ac:dyDescent="0.25">
      <c r="A39" s="188" t="s">
        <v>121</v>
      </c>
      <c r="B39" s="194" t="s">
        <v>174</v>
      </c>
      <c r="C39" s="194" t="s">
        <v>123</v>
      </c>
      <c r="D39" s="194" t="s">
        <v>189</v>
      </c>
      <c r="E39" s="194"/>
      <c r="F39" s="195"/>
      <c r="G39" s="196"/>
      <c r="H39" s="190">
        <f t="shared" si="0"/>
        <v>0</v>
      </c>
      <c r="I39" s="194"/>
      <c r="J39" s="196">
        <v>0</v>
      </c>
      <c r="K39" s="191">
        <f t="shared" si="1"/>
        <v>0</v>
      </c>
      <c r="L39" s="192" t="e">
        <f>+K39/J39</f>
        <v>#DIV/0!</v>
      </c>
      <c r="M39" s="187" t="s">
        <v>187</v>
      </c>
    </row>
    <row r="40" spans="1:13" hidden="1" outlineLevel="3" x14ac:dyDescent="0.25">
      <c r="B40" s="197" t="s">
        <v>190</v>
      </c>
      <c r="C40" s="194"/>
      <c r="D40" s="194"/>
      <c r="E40" s="194"/>
      <c r="F40" s="195"/>
      <c r="G40" s="196">
        <f>SUBTOTAL(9,G30:G39)</f>
        <v>10693.71</v>
      </c>
      <c r="H40" s="190"/>
      <c r="I40" s="194"/>
      <c r="J40" s="196">
        <f>SUBTOTAL(9,J30:J39)</f>
        <v>11408.5</v>
      </c>
      <c r="K40" s="191">
        <f>SUBTOTAL(9,K30:K39)</f>
        <v>-714.79000000000008</v>
      </c>
      <c r="L40" s="192"/>
      <c r="M40" s="187" t="s">
        <v>191</v>
      </c>
    </row>
    <row r="41" spans="1:13" hidden="1" outlineLevel="4" x14ac:dyDescent="0.25">
      <c r="A41" s="188" t="s">
        <v>121</v>
      </c>
      <c r="B41" s="188" t="s">
        <v>192</v>
      </c>
      <c r="C41" s="188" t="s">
        <v>142</v>
      </c>
      <c r="D41" s="188" t="s">
        <v>181</v>
      </c>
      <c r="E41" s="188" t="s">
        <v>193</v>
      </c>
      <c r="F41" s="189">
        <v>45839</v>
      </c>
      <c r="G41" s="190">
        <v>84</v>
      </c>
      <c r="H41" s="190">
        <f t="shared" si="0"/>
        <v>84</v>
      </c>
      <c r="J41" s="190">
        <v>77</v>
      </c>
      <c r="K41" s="191">
        <f t="shared" si="1"/>
        <v>7</v>
      </c>
      <c r="L41" s="192">
        <f>+K41/J41</f>
        <v>9.0909090909090912E-2</v>
      </c>
    </row>
    <row r="42" spans="1:13" hidden="1" outlineLevel="4" x14ac:dyDescent="0.25">
      <c r="A42" s="188" t="s">
        <v>121</v>
      </c>
      <c r="B42" s="188" t="s">
        <v>192</v>
      </c>
      <c r="C42" s="188" t="s">
        <v>123</v>
      </c>
      <c r="D42" s="188" t="s">
        <v>188</v>
      </c>
      <c r="E42" s="188" t="s">
        <v>193</v>
      </c>
      <c r="F42" s="189">
        <v>45839</v>
      </c>
      <c r="G42" s="190">
        <v>1608</v>
      </c>
      <c r="H42" s="190">
        <f t="shared" si="0"/>
        <v>1608</v>
      </c>
      <c r="J42" s="190">
        <v>1580</v>
      </c>
      <c r="K42" s="191">
        <f t="shared" si="1"/>
        <v>28</v>
      </c>
      <c r="L42" s="192">
        <f>+K42/J42</f>
        <v>1.7721518987341773E-2</v>
      </c>
    </row>
    <row r="43" spans="1:13" hidden="1" outlineLevel="3" x14ac:dyDescent="0.25">
      <c r="B43" s="183" t="s">
        <v>194</v>
      </c>
      <c r="F43" s="189"/>
      <c r="G43" s="190">
        <f>SUBTOTAL(9,G41:G42)</f>
        <v>1692</v>
      </c>
      <c r="H43" s="190"/>
      <c r="J43" s="190">
        <f>SUBTOTAL(9,J41:J42)</f>
        <v>1657</v>
      </c>
      <c r="K43" s="191">
        <f>SUBTOTAL(9,K41:K42)</f>
        <v>35</v>
      </c>
      <c r="L43" s="192"/>
    </row>
    <row r="44" spans="1:13" hidden="1" outlineLevel="4" x14ac:dyDescent="0.25">
      <c r="A44" s="188" t="s">
        <v>121</v>
      </c>
      <c r="B44" s="194" t="s">
        <v>195</v>
      </c>
      <c r="C44" s="194" t="s">
        <v>139</v>
      </c>
      <c r="D44" s="194" t="s">
        <v>139</v>
      </c>
      <c r="E44" s="194"/>
      <c r="F44" s="195"/>
      <c r="G44" s="196"/>
      <c r="H44" s="190">
        <f t="shared" si="0"/>
        <v>0</v>
      </c>
      <c r="I44" s="194"/>
      <c r="J44" s="196">
        <v>50</v>
      </c>
      <c r="K44" s="191">
        <f t="shared" si="1"/>
        <v>-50</v>
      </c>
      <c r="L44" s="192">
        <f>+K44/J44</f>
        <v>-1</v>
      </c>
      <c r="M44" s="187" t="s">
        <v>129</v>
      </c>
    </row>
    <row r="45" spans="1:13" hidden="1" outlineLevel="4" x14ac:dyDescent="0.25">
      <c r="A45" s="188" t="s">
        <v>121</v>
      </c>
      <c r="B45" s="194" t="s">
        <v>195</v>
      </c>
      <c r="C45" s="194" t="s">
        <v>123</v>
      </c>
      <c r="D45" s="194" t="s">
        <v>123</v>
      </c>
      <c r="E45" s="194"/>
      <c r="F45" s="195"/>
      <c r="G45" s="196"/>
      <c r="H45" s="190">
        <f t="shared" si="0"/>
        <v>0</v>
      </c>
      <c r="I45" s="194"/>
      <c r="J45" s="196">
        <v>310.41000000000003</v>
      </c>
      <c r="K45" s="191">
        <f t="shared" si="1"/>
        <v>-310.41000000000003</v>
      </c>
      <c r="L45" s="192">
        <f>+K45/J45</f>
        <v>-1</v>
      </c>
      <c r="M45" s="187" t="s">
        <v>129</v>
      </c>
    </row>
    <row r="46" spans="1:13" hidden="1" outlineLevel="3" x14ac:dyDescent="0.25">
      <c r="B46" s="197" t="s">
        <v>196</v>
      </c>
      <c r="C46" s="194"/>
      <c r="D46" s="194"/>
      <c r="E46" s="194"/>
      <c r="F46" s="195"/>
      <c r="G46" s="196">
        <f>SUBTOTAL(9,G44:G45)</f>
        <v>0</v>
      </c>
      <c r="H46" s="190"/>
      <c r="I46" s="194"/>
      <c r="J46" s="196">
        <f>SUBTOTAL(9,J44:J45)</f>
        <v>360.41</v>
      </c>
      <c r="K46" s="191">
        <f>SUBTOTAL(9,K44:K45)</f>
        <v>-360.41</v>
      </c>
      <c r="L46" s="192"/>
      <c r="M46" s="187" t="s">
        <v>129</v>
      </c>
    </row>
    <row r="47" spans="1:13" hidden="1" outlineLevel="4" x14ac:dyDescent="0.25">
      <c r="A47" s="188" t="s">
        <v>121</v>
      </c>
      <c r="B47" s="188" t="s">
        <v>197</v>
      </c>
      <c r="C47" s="188" t="s">
        <v>139</v>
      </c>
      <c r="D47" s="188" t="s">
        <v>198</v>
      </c>
      <c r="E47" s="188" t="s">
        <v>199</v>
      </c>
      <c r="F47" s="189">
        <v>45839</v>
      </c>
      <c r="G47" s="190">
        <v>183.5</v>
      </c>
      <c r="H47" s="190">
        <f t="shared" si="0"/>
        <v>183.5</v>
      </c>
      <c r="J47" s="190">
        <v>183.5</v>
      </c>
      <c r="K47" s="191">
        <f t="shared" si="1"/>
        <v>0</v>
      </c>
      <c r="L47" s="192">
        <f>+K47/J47</f>
        <v>0</v>
      </c>
    </row>
    <row r="48" spans="1:13" hidden="1" outlineLevel="4" x14ac:dyDescent="0.25">
      <c r="A48" s="188" t="s">
        <v>121</v>
      </c>
      <c r="B48" s="188" t="s">
        <v>197</v>
      </c>
      <c r="C48" s="188" t="s">
        <v>123</v>
      </c>
      <c r="D48" s="188" t="s">
        <v>123</v>
      </c>
      <c r="E48" s="188" t="s">
        <v>200</v>
      </c>
      <c r="F48" s="189">
        <v>45839</v>
      </c>
      <c r="G48" s="190">
        <v>1260</v>
      </c>
      <c r="H48" s="190">
        <f t="shared" si="0"/>
        <v>1260</v>
      </c>
      <c r="J48" s="190">
        <v>1260</v>
      </c>
      <c r="K48" s="191">
        <f t="shared" si="1"/>
        <v>0</v>
      </c>
      <c r="L48" s="192">
        <f>+K48/J48</f>
        <v>0</v>
      </c>
    </row>
    <row r="49" spans="1:13" hidden="1" outlineLevel="3" x14ac:dyDescent="0.25">
      <c r="B49" s="183" t="s">
        <v>201</v>
      </c>
      <c r="F49" s="189"/>
      <c r="G49" s="190">
        <f>SUBTOTAL(9,G47:G48)</f>
        <v>1443.5</v>
      </c>
      <c r="H49" s="190"/>
      <c r="J49" s="190">
        <f>SUBTOTAL(9,J47:J48)</f>
        <v>1443.5</v>
      </c>
      <c r="K49" s="191">
        <f>SUBTOTAL(9,K47:K48)</f>
        <v>0</v>
      </c>
      <c r="L49" s="192"/>
    </row>
    <row r="50" spans="1:13" hidden="1" outlineLevel="4" x14ac:dyDescent="0.25">
      <c r="A50" s="188" t="s">
        <v>121</v>
      </c>
      <c r="B50" s="188" t="s">
        <v>202</v>
      </c>
      <c r="C50" s="188" t="s">
        <v>142</v>
      </c>
      <c r="D50" s="188" t="s">
        <v>142</v>
      </c>
      <c r="E50" s="188" t="s">
        <v>203</v>
      </c>
      <c r="F50" s="189">
        <v>45839</v>
      </c>
      <c r="G50" s="190">
        <v>35</v>
      </c>
      <c r="H50" s="190">
        <f t="shared" si="0"/>
        <v>35</v>
      </c>
      <c r="J50" s="190">
        <v>35</v>
      </c>
      <c r="K50" s="191">
        <f t="shared" si="1"/>
        <v>0</v>
      </c>
      <c r="L50" s="192">
        <f>+K50/J50</f>
        <v>0</v>
      </c>
    </row>
    <row r="51" spans="1:13" hidden="1" outlineLevel="4" x14ac:dyDescent="0.25">
      <c r="A51" s="188" t="s">
        <v>121</v>
      </c>
      <c r="B51" s="188" t="s">
        <v>202</v>
      </c>
      <c r="C51" s="188" t="s">
        <v>123</v>
      </c>
      <c r="D51" s="188" t="s">
        <v>204</v>
      </c>
      <c r="E51" s="188" t="s">
        <v>203</v>
      </c>
      <c r="F51" s="189">
        <v>45839</v>
      </c>
      <c r="G51" s="190">
        <v>231.66</v>
      </c>
      <c r="H51" s="190">
        <f t="shared" si="0"/>
        <v>231.66</v>
      </c>
      <c r="J51" s="190">
        <v>231.66</v>
      </c>
      <c r="K51" s="191">
        <f t="shared" si="1"/>
        <v>0</v>
      </c>
      <c r="L51" s="192">
        <f>+K51/J51</f>
        <v>0</v>
      </c>
    </row>
    <row r="52" spans="1:13" hidden="1" outlineLevel="3" x14ac:dyDescent="0.25">
      <c r="B52" s="183" t="s">
        <v>205</v>
      </c>
      <c r="F52" s="189"/>
      <c r="G52" s="190">
        <f>SUBTOTAL(9,G50:G51)</f>
        <v>266.65999999999997</v>
      </c>
      <c r="H52" s="190"/>
      <c r="J52" s="190">
        <f>SUBTOTAL(9,J50:J51)</f>
        <v>266.65999999999997</v>
      </c>
      <c r="K52" s="191">
        <f>SUBTOTAL(9,K50:K51)</f>
        <v>0</v>
      </c>
      <c r="L52" s="192"/>
    </row>
    <row r="53" spans="1:13" hidden="1" outlineLevel="4" x14ac:dyDescent="0.25">
      <c r="A53" s="188" t="s">
        <v>121</v>
      </c>
      <c r="B53" s="194" t="s">
        <v>206</v>
      </c>
      <c r="C53" s="194" t="s">
        <v>127</v>
      </c>
      <c r="D53" s="194" t="s">
        <v>150</v>
      </c>
      <c r="E53" s="194"/>
      <c r="F53" s="195"/>
      <c r="G53" s="196"/>
      <c r="H53" s="190">
        <f t="shared" si="0"/>
        <v>0</v>
      </c>
      <c r="I53" s="194"/>
      <c r="J53" s="196">
        <v>90.15</v>
      </c>
      <c r="K53" s="191">
        <f t="shared" si="1"/>
        <v>-90.15</v>
      </c>
      <c r="L53" s="192">
        <f>+K53/J53</f>
        <v>-1</v>
      </c>
      <c r="M53" s="187" t="s">
        <v>129</v>
      </c>
    </row>
    <row r="54" spans="1:13" hidden="1" outlineLevel="4" x14ac:dyDescent="0.25">
      <c r="A54" s="188" t="s">
        <v>121</v>
      </c>
      <c r="B54" s="194" t="s">
        <v>206</v>
      </c>
      <c r="C54" s="194" t="s">
        <v>144</v>
      </c>
      <c r="D54" s="194" t="s">
        <v>163</v>
      </c>
      <c r="E54" s="194"/>
      <c r="F54" s="195"/>
      <c r="G54" s="196"/>
      <c r="H54" s="190">
        <f t="shared" si="0"/>
        <v>0</v>
      </c>
      <c r="I54" s="194"/>
      <c r="J54" s="196">
        <v>510.85</v>
      </c>
      <c r="K54" s="191">
        <f t="shared" si="1"/>
        <v>-510.85</v>
      </c>
      <c r="L54" s="192">
        <f>+K54/J54</f>
        <v>-1</v>
      </c>
      <c r="M54" s="187" t="s">
        <v>129</v>
      </c>
    </row>
    <row r="55" spans="1:13" hidden="1" outlineLevel="4" x14ac:dyDescent="0.25">
      <c r="A55" s="188" t="s">
        <v>121</v>
      </c>
      <c r="B55" s="188" t="s">
        <v>206</v>
      </c>
      <c r="C55" s="188" t="s">
        <v>123</v>
      </c>
      <c r="D55" s="188" t="s">
        <v>207</v>
      </c>
      <c r="E55" s="188" t="s">
        <v>208</v>
      </c>
      <c r="F55" s="189">
        <v>45839</v>
      </c>
      <c r="G55" s="190">
        <v>352</v>
      </c>
      <c r="H55" s="190">
        <f t="shared" si="0"/>
        <v>352</v>
      </c>
      <c r="J55" s="190">
        <v>352</v>
      </c>
      <c r="K55" s="191">
        <f t="shared" si="1"/>
        <v>0</v>
      </c>
      <c r="L55" s="192">
        <f>+K55/J55</f>
        <v>0</v>
      </c>
    </row>
    <row r="56" spans="1:13" hidden="1" outlineLevel="3" x14ac:dyDescent="0.25">
      <c r="B56" s="183" t="s">
        <v>209</v>
      </c>
      <c r="F56" s="189"/>
      <c r="G56" s="190">
        <f>SUBTOTAL(9,G53:G55)</f>
        <v>352</v>
      </c>
      <c r="H56" s="190"/>
      <c r="J56" s="190">
        <f>SUBTOTAL(9,J53:J55)</f>
        <v>953</v>
      </c>
      <c r="K56" s="191">
        <f>SUBTOTAL(9,K53:K55)</f>
        <v>-601</v>
      </c>
      <c r="L56" s="192"/>
    </row>
    <row r="57" spans="1:13" hidden="1" outlineLevel="4" x14ac:dyDescent="0.25">
      <c r="A57" s="188" t="s">
        <v>121</v>
      </c>
      <c r="B57" s="188" t="s">
        <v>210</v>
      </c>
      <c r="C57" s="188" t="s">
        <v>139</v>
      </c>
      <c r="D57" s="188" t="s">
        <v>211</v>
      </c>
      <c r="E57" s="188" t="s">
        <v>212</v>
      </c>
      <c r="F57" s="189">
        <v>45839</v>
      </c>
      <c r="G57" s="190">
        <v>813.12</v>
      </c>
      <c r="H57" s="190">
        <f t="shared" si="0"/>
        <v>813.12</v>
      </c>
      <c r="J57" s="190">
        <v>813.12</v>
      </c>
      <c r="K57" s="191">
        <f t="shared" si="1"/>
        <v>0</v>
      </c>
      <c r="L57" s="192">
        <f>+K57/J57</f>
        <v>0</v>
      </c>
    </row>
    <row r="58" spans="1:13" hidden="1" outlineLevel="4" x14ac:dyDescent="0.25">
      <c r="A58" s="188" t="s">
        <v>121</v>
      </c>
      <c r="B58" s="188" t="s">
        <v>210</v>
      </c>
      <c r="C58" s="188" t="s">
        <v>142</v>
      </c>
      <c r="D58" s="188" t="s">
        <v>213</v>
      </c>
      <c r="E58" s="188" t="s">
        <v>212</v>
      </c>
      <c r="F58" s="189">
        <v>45839</v>
      </c>
      <c r="G58" s="190">
        <v>500.5</v>
      </c>
      <c r="H58" s="190">
        <f t="shared" si="0"/>
        <v>500.5</v>
      </c>
      <c r="J58" s="190">
        <v>507</v>
      </c>
      <c r="K58" s="191">
        <f t="shared" si="1"/>
        <v>-6.5</v>
      </c>
      <c r="L58" s="192">
        <f>+K58/J58</f>
        <v>-1.282051282051282E-2</v>
      </c>
    </row>
    <row r="59" spans="1:13" hidden="1" outlineLevel="4" x14ac:dyDescent="0.25">
      <c r="A59" s="188" t="s">
        <v>121</v>
      </c>
      <c r="B59" s="188" t="s">
        <v>210</v>
      </c>
      <c r="C59" s="188" t="s">
        <v>123</v>
      </c>
      <c r="D59" s="188" t="s">
        <v>214</v>
      </c>
      <c r="E59" s="188" t="s">
        <v>212</v>
      </c>
      <c r="F59" s="189">
        <v>45839</v>
      </c>
      <c r="G59" s="190">
        <v>3415</v>
      </c>
      <c r="H59" s="190">
        <f t="shared" si="0"/>
        <v>3415</v>
      </c>
      <c r="J59" s="190">
        <v>3415</v>
      </c>
      <c r="K59" s="191">
        <f t="shared" si="1"/>
        <v>0</v>
      </c>
      <c r="L59" s="192">
        <f>+K59/J59</f>
        <v>0</v>
      </c>
    </row>
    <row r="60" spans="1:13" hidden="1" outlineLevel="3" x14ac:dyDescent="0.25">
      <c r="B60" s="183" t="s">
        <v>215</v>
      </c>
      <c r="F60" s="189"/>
      <c r="G60" s="190">
        <f>SUBTOTAL(9,G57:G59)</f>
        <v>4728.62</v>
      </c>
      <c r="H60" s="190"/>
      <c r="J60" s="190">
        <f>SUBTOTAL(9,J57:J59)</f>
        <v>4735.12</v>
      </c>
      <c r="K60" s="191">
        <f>SUBTOTAL(9,K57:K59)</f>
        <v>-6.5</v>
      </c>
      <c r="L60" s="192"/>
    </row>
    <row r="61" spans="1:13" hidden="1" outlineLevel="4" x14ac:dyDescent="0.25">
      <c r="A61" s="188" t="s">
        <v>121</v>
      </c>
      <c r="B61" s="188" t="s">
        <v>216</v>
      </c>
      <c r="C61" s="188" t="s">
        <v>127</v>
      </c>
      <c r="D61" s="188" t="s">
        <v>137</v>
      </c>
      <c r="E61" s="188" t="s">
        <v>217</v>
      </c>
      <c r="F61" s="189">
        <v>45839</v>
      </c>
      <c r="G61" s="190">
        <v>18</v>
      </c>
      <c r="H61" s="190">
        <f t="shared" si="0"/>
        <v>18</v>
      </c>
      <c r="J61" s="190">
        <v>17.03</v>
      </c>
      <c r="K61" s="191">
        <f t="shared" si="1"/>
        <v>0.96999999999999886</v>
      </c>
      <c r="L61" s="192">
        <f>+K61/J61</f>
        <v>5.6958308866705741E-2</v>
      </c>
    </row>
    <row r="62" spans="1:13" hidden="1" outlineLevel="4" x14ac:dyDescent="0.25">
      <c r="A62" s="188" t="s">
        <v>121</v>
      </c>
      <c r="B62" s="188" t="s">
        <v>216</v>
      </c>
      <c r="C62" s="188" t="s">
        <v>144</v>
      </c>
      <c r="D62" s="188" t="s">
        <v>145</v>
      </c>
      <c r="E62" s="188" t="s">
        <v>218</v>
      </c>
      <c r="F62" s="189">
        <v>45840</v>
      </c>
      <c r="G62" s="190">
        <v>96.46</v>
      </c>
      <c r="H62" s="190">
        <f t="shared" si="0"/>
        <v>96.46</v>
      </c>
      <c r="J62" s="190">
        <v>96.48</v>
      </c>
      <c r="K62" s="191">
        <f t="shared" si="1"/>
        <v>-2.0000000000010232E-2</v>
      </c>
      <c r="L62" s="192">
        <f>+K62/J62</f>
        <v>-2.072968490879999E-4</v>
      </c>
    </row>
    <row r="63" spans="1:13" hidden="1" outlineLevel="3" x14ac:dyDescent="0.25">
      <c r="B63" s="183" t="s">
        <v>219</v>
      </c>
      <c r="F63" s="189"/>
      <c r="G63" s="190">
        <f>SUBTOTAL(9,G61:G62)</f>
        <v>114.46</v>
      </c>
      <c r="H63" s="190"/>
      <c r="J63" s="190">
        <f>SUBTOTAL(9,J61:J62)</f>
        <v>113.51</v>
      </c>
      <c r="K63" s="191">
        <f>SUBTOTAL(9,K61:K62)</f>
        <v>0.94999999999998863</v>
      </c>
      <c r="L63" s="192"/>
    </row>
    <row r="64" spans="1:13" hidden="1" outlineLevel="4" x14ac:dyDescent="0.25">
      <c r="A64" s="188" t="s">
        <v>121</v>
      </c>
      <c r="B64" s="188" t="s">
        <v>220</v>
      </c>
      <c r="C64" s="188" t="s">
        <v>142</v>
      </c>
      <c r="D64" s="188" t="s">
        <v>221</v>
      </c>
      <c r="E64" s="188" t="s">
        <v>222</v>
      </c>
      <c r="F64" s="189">
        <v>45839</v>
      </c>
      <c r="G64" s="190">
        <v>105</v>
      </c>
      <c r="H64" s="190">
        <f t="shared" si="0"/>
        <v>105</v>
      </c>
      <c r="J64" s="190">
        <v>112</v>
      </c>
      <c r="K64" s="191">
        <f t="shared" si="1"/>
        <v>-7</v>
      </c>
      <c r="L64" s="192">
        <f>+K64/J64</f>
        <v>-6.25E-2</v>
      </c>
    </row>
    <row r="65" spans="1:13" hidden="1" outlineLevel="4" x14ac:dyDescent="0.25">
      <c r="A65" s="188" t="s">
        <v>121</v>
      </c>
      <c r="B65" s="188" t="s">
        <v>220</v>
      </c>
      <c r="C65" s="188" t="s">
        <v>123</v>
      </c>
      <c r="D65" s="188" t="s">
        <v>223</v>
      </c>
      <c r="E65" s="188" t="s">
        <v>222</v>
      </c>
      <c r="F65" s="189">
        <v>45839</v>
      </c>
      <c r="G65" s="190">
        <v>543</v>
      </c>
      <c r="H65" s="190">
        <f t="shared" si="0"/>
        <v>543</v>
      </c>
      <c r="J65" s="190">
        <v>543</v>
      </c>
      <c r="K65" s="191">
        <f t="shared" si="1"/>
        <v>0</v>
      </c>
      <c r="L65" s="192">
        <f>+K65/J65</f>
        <v>0</v>
      </c>
    </row>
    <row r="66" spans="1:13" hidden="1" outlineLevel="3" x14ac:dyDescent="0.25">
      <c r="B66" s="183" t="s">
        <v>224</v>
      </c>
      <c r="F66" s="189"/>
      <c r="G66" s="190">
        <f>SUBTOTAL(9,G64:G65)</f>
        <v>648</v>
      </c>
      <c r="H66" s="190"/>
      <c r="J66" s="190">
        <f>SUBTOTAL(9,J64:J65)</f>
        <v>655</v>
      </c>
      <c r="K66" s="191">
        <f>SUBTOTAL(9,K64:K65)</f>
        <v>-7</v>
      </c>
      <c r="L66" s="192"/>
    </row>
    <row r="67" spans="1:13" hidden="1" outlineLevel="4" x14ac:dyDescent="0.25">
      <c r="A67" s="188" t="s">
        <v>121</v>
      </c>
      <c r="B67" s="188" t="s">
        <v>225</v>
      </c>
      <c r="C67" s="188" t="s">
        <v>127</v>
      </c>
      <c r="D67" s="188" t="s">
        <v>137</v>
      </c>
      <c r="E67" s="188" t="s">
        <v>226</v>
      </c>
      <c r="F67" s="189">
        <v>45839</v>
      </c>
      <c r="G67" s="190">
        <v>72.650000000000006</v>
      </c>
      <c r="H67" s="190">
        <f t="shared" si="0"/>
        <v>72.650000000000006</v>
      </c>
      <c r="J67" s="190">
        <v>72.650000000000006</v>
      </c>
      <c r="K67" s="191">
        <f t="shared" si="1"/>
        <v>0</v>
      </c>
      <c r="L67" s="192">
        <f t="shared" ref="L67:L72" si="3">+K67/J67</f>
        <v>0</v>
      </c>
    </row>
    <row r="68" spans="1:13" hidden="1" outlineLevel="4" x14ac:dyDescent="0.25">
      <c r="A68" s="188" t="s">
        <v>121</v>
      </c>
      <c r="B68" s="194" t="s">
        <v>225</v>
      </c>
      <c r="C68" s="194" t="s">
        <v>170</v>
      </c>
      <c r="D68" s="194" t="s">
        <v>171</v>
      </c>
      <c r="E68" s="194"/>
      <c r="F68" s="195"/>
      <c r="G68" s="196"/>
      <c r="H68" s="190">
        <f t="shared" si="0"/>
        <v>0</v>
      </c>
      <c r="I68" s="194"/>
      <c r="J68" s="196">
        <v>13.8</v>
      </c>
      <c r="K68" s="191">
        <f t="shared" si="1"/>
        <v>-13.8</v>
      </c>
      <c r="L68" s="192">
        <f t="shared" si="3"/>
        <v>-1</v>
      </c>
      <c r="M68" s="187" t="s">
        <v>227</v>
      </c>
    </row>
    <row r="69" spans="1:13" hidden="1" outlineLevel="4" x14ac:dyDescent="0.25">
      <c r="A69" s="188" t="s">
        <v>121</v>
      </c>
      <c r="B69" s="194" t="s">
        <v>225</v>
      </c>
      <c r="C69" s="194" t="s">
        <v>139</v>
      </c>
      <c r="D69" s="194" t="s">
        <v>139</v>
      </c>
      <c r="E69" s="194"/>
      <c r="F69" s="195"/>
      <c r="G69" s="196"/>
      <c r="H69" s="190">
        <f t="shared" si="0"/>
        <v>0</v>
      </c>
      <c r="I69" s="194"/>
      <c r="J69" s="196">
        <v>242.04</v>
      </c>
      <c r="K69" s="191">
        <f t="shared" si="1"/>
        <v>-242.04</v>
      </c>
      <c r="L69" s="192">
        <f t="shared" si="3"/>
        <v>-1</v>
      </c>
      <c r="M69" s="187" t="s">
        <v>227</v>
      </c>
    </row>
    <row r="70" spans="1:13" hidden="1" outlineLevel="4" x14ac:dyDescent="0.25">
      <c r="A70" s="188" t="s">
        <v>121</v>
      </c>
      <c r="B70" s="194" t="s">
        <v>225</v>
      </c>
      <c r="C70" s="194" t="s">
        <v>142</v>
      </c>
      <c r="D70" s="194" t="s">
        <v>142</v>
      </c>
      <c r="E70" s="194"/>
      <c r="F70" s="195"/>
      <c r="G70" s="196"/>
      <c r="H70" s="190">
        <f t="shared" si="0"/>
        <v>0</v>
      </c>
      <c r="I70" s="194"/>
      <c r="J70" s="196">
        <v>245</v>
      </c>
      <c r="K70" s="191">
        <f t="shared" si="1"/>
        <v>-245</v>
      </c>
      <c r="L70" s="192">
        <f t="shared" si="3"/>
        <v>-1</v>
      </c>
      <c r="M70" s="187" t="s">
        <v>227</v>
      </c>
    </row>
    <row r="71" spans="1:13" hidden="1" outlineLevel="4" x14ac:dyDescent="0.25">
      <c r="A71" s="188" t="s">
        <v>121</v>
      </c>
      <c r="B71" s="188" t="s">
        <v>225</v>
      </c>
      <c r="C71" s="188" t="s">
        <v>144</v>
      </c>
      <c r="D71" s="188" t="s">
        <v>145</v>
      </c>
      <c r="E71" s="188" t="s">
        <v>228</v>
      </c>
      <c r="F71" s="189">
        <v>45840</v>
      </c>
      <c r="G71" s="190">
        <v>290.58</v>
      </c>
      <c r="H71" s="190">
        <f t="shared" si="0"/>
        <v>290.58</v>
      </c>
      <c r="J71" s="190">
        <v>290.60000000000002</v>
      </c>
      <c r="K71" s="191">
        <f t="shared" si="1"/>
        <v>-2.0000000000038654E-2</v>
      </c>
      <c r="L71" s="192">
        <f t="shared" si="3"/>
        <v>-6.8823124569988481E-5</v>
      </c>
    </row>
    <row r="72" spans="1:13" hidden="1" outlineLevel="4" x14ac:dyDescent="0.25">
      <c r="A72" s="188" t="s">
        <v>121</v>
      </c>
      <c r="B72" s="188" t="s">
        <v>225</v>
      </c>
      <c r="C72" s="188" t="s">
        <v>123</v>
      </c>
      <c r="D72" s="188" t="s">
        <v>229</v>
      </c>
      <c r="E72" s="188" t="s">
        <v>230</v>
      </c>
      <c r="F72" s="189">
        <v>45839</v>
      </c>
      <c r="G72" s="190">
        <v>2396.6999999999998</v>
      </c>
      <c r="H72" s="190">
        <f t="shared" si="0"/>
        <v>2396.6999999999998</v>
      </c>
      <c r="J72" s="190">
        <v>2328.1237999999998</v>
      </c>
      <c r="K72" s="191">
        <f t="shared" si="1"/>
        <v>68.576199999999972</v>
      </c>
      <c r="L72" s="192">
        <f t="shared" si="3"/>
        <v>2.9455564175753873E-2</v>
      </c>
    </row>
    <row r="73" spans="1:13" hidden="1" outlineLevel="3" x14ac:dyDescent="0.25">
      <c r="B73" s="183" t="s">
        <v>231</v>
      </c>
      <c r="F73" s="189"/>
      <c r="G73" s="190">
        <f>SUBTOTAL(9,G67:G72)</f>
        <v>2759.93</v>
      </c>
      <c r="H73" s="190"/>
      <c r="J73" s="190">
        <f>SUBTOTAL(9,J67:J72)</f>
        <v>3192.2138</v>
      </c>
      <c r="K73" s="191">
        <f>SUBTOTAL(9,K67:K72)</f>
        <v>-432.2838000000001</v>
      </c>
      <c r="L73" s="192"/>
    </row>
    <row r="74" spans="1:13" hidden="1" outlineLevel="4" x14ac:dyDescent="0.25">
      <c r="A74" s="188" t="s">
        <v>121</v>
      </c>
      <c r="B74" s="188" t="s">
        <v>232</v>
      </c>
      <c r="C74" s="188" t="s">
        <v>123</v>
      </c>
      <c r="D74" s="188" t="s">
        <v>233</v>
      </c>
      <c r="E74" s="188" t="s">
        <v>234</v>
      </c>
      <c r="F74" s="189">
        <v>45839</v>
      </c>
      <c r="G74" s="190">
        <v>225</v>
      </c>
      <c r="H74" s="190">
        <f t="shared" si="0"/>
        <v>225</v>
      </c>
      <c r="J74" s="190">
        <v>225</v>
      </c>
      <c r="K74" s="191">
        <f t="shared" si="1"/>
        <v>0</v>
      </c>
      <c r="L74" s="192">
        <f t="shared" ref="L74:L79" si="4">+K74/J74</f>
        <v>0</v>
      </c>
    </row>
    <row r="75" spans="1:13" hidden="1" outlineLevel="4" x14ac:dyDescent="0.25">
      <c r="A75" s="188" t="s">
        <v>121</v>
      </c>
      <c r="B75" s="188" t="s">
        <v>232</v>
      </c>
      <c r="C75" s="188" t="s">
        <v>123</v>
      </c>
      <c r="D75" s="188" t="s">
        <v>235</v>
      </c>
      <c r="E75" s="188" t="s">
        <v>236</v>
      </c>
      <c r="F75" s="189">
        <v>45839</v>
      </c>
      <c r="G75" s="190">
        <v>222.5</v>
      </c>
      <c r="H75" s="190">
        <f t="shared" si="0"/>
        <v>222.5</v>
      </c>
      <c r="J75" s="190">
        <v>222.5</v>
      </c>
      <c r="K75" s="191">
        <f t="shared" si="1"/>
        <v>0</v>
      </c>
      <c r="L75" s="192">
        <f t="shared" si="4"/>
        <v>0</v>
      </c>
    </row>
    <row r="76" spans="1:13" hidden="1" outlineLevel="4" x14ac:dyDescent="0.25">
      <c r="A76" s="188" t="s">
        <v>121</v>
      </c>
      <c r="B76" s="188" t="s">
        <v>232</v>
      </c>
      <c r="C76" s="188" t="s">
        <v>123</v>
      </c>
      <c r="D76" s="188" t="s">
        <v>237</v>
      </c>
      <c r="E76" s="188" t="s">
        <v>238</v>
      </c>
      <c r="F76" s="189">
        <v>45839</v>
      </c>
      <c r="G76" s="190">
        <v>20</v>
      </c>
      <c r="H76" s="190">
        <f t="shared" si="0"/>
        <v>20</v>
      </c>
      <c r="J76" s="190">
        <v>20</v>
      </c>
      <c r="K76" s="191">
        <f t="shared" si="1"/>
        <v>0</v>
      </c>
      <c r="L76" s="192">
        <f t="shared" si="4"/>
        <v>0</v>
      </c>
    </row>
    <row r="77" spans="1:13" hidden="1" outlineLevel="4" x14ac:dyDescent="0.25">
      <c r="A77" s="188" t="s">
        <v>121</v>
      </c>
      <c r="B77" s="188" t="s">
        <v>232</v>
      </c>
      <c r="C77" s="188" t="s">
        <v>123</v>
      </c>
      <c r="D77" s="188" t="s">
        <v>239</v>
      </c>
      <c r="E77" s="188" t="s">
        <v>240</v>
      </c>
      <c r="F77" s="189">
        <v>45839</v>
      </c>
      <c r="G77" s="190">
        <v>227.5</v>
      </c>
      <c r="H77" s="190">
        <f t="shared" si="0"/>
        <v>227.5</v>
      </c>
      <c r="J77" s="190">
        <v>227.5</v>
      </c>
      <c r="K77" s="191">
        <f t="shared" si="1"/>
        <v>0</v>
      </c>
      <c r="L77" s="192">
        <f t="shared" si="4"/>
        <v>0</v>
      </c>
    </row>
    <row r="78" spans="1:13" hidden="1" outlineLevel="4" x14ac:dyDescent="0.25">
      <c r="A78" s="188" t="s">
        <v>121</v>
      </c>
      <c r="B78" s="188" t="s">
        <v>232</v>
      </c>
      <c r="C78" s="188" t="s">
        <v>123</v>
      </c>
      <c r="D78" s="188" t="s">
        <v>241</v>
      </c>
      <c r="E78" s="188" t="s">
        <v>242</v>
      </c>
      <c r="F78" s="189">
        <v>45839</v>
      </c>
      <c r="G78" s="190">
        <v>230</v>
      </c>
      <c r="H78" s="190">
        <f t="shared" si="0"/>
        <v>230</v>
      </c>
      <c r="J78" s="190">
        <v>230</v>
      </c>
      <c r="K78" s="191">
        <f t="shared" si="1"/>
        <v>0</v>
      </c>
      <c r="L78" s="192">
        <f t="shared" si="4"/>
        <v>0</v>
      </c>
    </row>
    <row r="79" spans="1:13" hidden="1" outlineLevel="4" x14ac:dyDescent="0.25">
      <c r="A79" s="188" t="s">
        <v>121</v>
      </c>
      <c r="B79" s="188" t="s">
        <v>232</v>
      </c>
      <c r="C79" s="188" t="s">
        <v>123</v>
      </c>
      <c r="D79" s="188" t="s">
        <v>243</v>
      </c>
      <c r="E79" s="188" t="s">
        <v>244</v>
      </c>
      <c r="F79" s="189">
        <v>45839</v>
      </c>
      <c r="G79" s="190">
        <v>190</v>
      </c>
      <c r="H79" s="190">
        <f t="shared" si="0"/>
        <v>190</v>
      </c>
      <c r="J79" s="190">
        <v>190</v>
      </c>
      <c r="K79" s="191">
        <f t="shared" si="1"/>
        <v>0</v>
      </c>
      <c r="L79" s="192">
        <f t="shared" si="4"/>
        <v>0</v>
      </c>
    </row>
    <row r="80" spans="1:13" hidden="1" outlineLevel="3" x14ac:dyDescent="0.25">
      <c r="B80" s="183" t="s">
        <v>245</v>
      </c>
      <c r="F80" s="189"/>
      <c r="G80" s="190">
        <f>SUBTOTAL(9,G74:G79)</f>
        <v>1115</v>
      </c>
      <c r="H80" s="190"/>
      <c r="J80" s="190">
        <f>SUBTOTAL(9,J74:J79)</f>
        <v>1115</v>
      </c>
      <c r="K80" s="191">
        <f>SUBTOTAL(9,K74:K79)</f>
        <v>0</v>
      </c>
      <c r="L80" s="192"/>
    </row>
    <row r="81" spans="1:12" hidden="1" outlineLevel="4" x14ac:dyDescent="0.25">
      <c r="A81" s="188" t="s">
        <v>121</v>
      </c>
      <c r="B81" s="188" t="s">
        <v>246</v>
      </c>
      <c r="C81" s="188" t="s">
        <v>127</v>
      </c>
      <c r="D81" s="188" t="s">
        <v>137</v>
      </c>
      <c r="E81" s="188" t="s">
        <v>247</v>
      </c>
      <c r="F81" s="189">
        <v>45839</v>
      </c>
      <c r="G81" s="190">
        <v>21.78</v>
      </c>
      <c r="H81" s="190">
        <f t="shared" si="0"/>
        <v>21.78</v>
      </c>
      <c r="J81" s="190">
        <v>24.6</v>
      </c>
      <c r="K81" s="191">
        <f t="shared" si="1"/>
        <v>-2.8200000000000003</v>
      </c>
      <c r="L81" s="192">
        <f>+K81/J81</f>
        <v>-0.11463414634146342</v>
      </c>
    </row>
    <row r="82" spans="1:12" hidden="1" outlineLevel="4" x14ac:dyDescent="0.25">
      <c r="A82" s="188" t="s">
        <v>121</v>
      </c>
      <c r="B82" s="188" t="s">
        <v>246</v>
      </c>
      <c r="C82" s="188" t="s">
        <v>144</v>
      </c>
      <c r="D82" s="188" t="s">
        <v>145</v>
      </c>
      <c r="E82" s="188" t="s">
        <v>248</v>
      </c>
      <c r="F82" s="189">
        <v>45840</v>
      </c>
      <c r="G82" s="190">
        <v>123.46</v>
      </c>
      <c r="H82" s="190">
        <f t="shared" si="0"/>
        <v>123.46</v>
      </c>
      <c r="J82" s="190">
        <v>139.4</v>
      </c>
      <c r="K82" s="191">
        <f t="shared" si="1"/>
        <v>-15.940000000000012</v>
      </c>
      <c r="L82" s="192">
        <f>+K82/J82</f>
        <v>-0.11434720229555245</v>
      </c>
    </row>
    <row r="83" spans="1:12" hidden="1" outlineLevel="3" x14ac:dyDescent="0.25">
      <c r="B83" s="183" t="s">
        <v>249</v>
      </c>
      <c r="F83" s="189"/>
      <c r="G83" s="190">
        <f>SUBTOTAL(9,G81:G82)</f>
        <v>145.24</v>
      </c>
      <c r="H83" s="190"/>
      <c r="J83" s="190">
        <f>SUBTOTAL(9,J81:J82)</f>
        <v>164</v>
      </c>
      <c r="K83" s="191">
        <f>SUBTOTAL(9,K81:K82)</f>
        <v>-18.760000000000012</v>
      </c>
      <c r="L83" s="192"/>
    </row>
    <row r="84" spans="1:12" hidden="1" outlineLevel="4" x14ac:dyDescent="0.25">
      <c r="A84" s="188" t="s">
        <v>121</v>
      </c>
      <c r="B84" s="188" t="s">
        <v>250</v>
      </c>
      <c r="C84" s="188" t="s">
        <v>127</v>
      </c>
      <c r="D84" s="188" t="s">
        <v>137</v>
      </c>
      <c r="E84" s="188" t="s">
        <v>251</v>
      </c>
      <c r="F84" s="189">
        <v>45839</v>
      </c>
      <c r="G84" s="190">
        <v>18.05</v>
      </c>
      <c r="H84" s="190">
        <f t="shared" si="0"/>
        <v>18.05</v>
      </c>
      <c r="J84" s="190">
        <v>49.62</v>
      </c>
      <c r="K84" s="191">
        <f t="shared" si="1"/>
        <v>-31.569999999999997</v>
      </c>
      <c r="L84" s="192">
        <f>+K84/J84</f>
        <v>-0.63623538895606602</v>
      </c>
    </row>
    <row r="85" spans="1:12" hidden="1" outlineLevel="4" x14ac:dyDescent="0.25">
      <c r="A85" s="188" t="s">
        <v>121</v>
      </c>
      <c r="B85" s="188" t="s">
        <v>250</v>
      </c>
      <c r="C85" s="188" t="s">
        <v>142</v>
      </c>
      <c r="D85" s="188" t="s">
        <v>252</v>
      </c>
      <c r="E85" s="188" t="s">
        <v>253</v>
      </c>
      <c r="F85" s="189">
        <v>45839</v>
      </c>
      <c r="G85" s="190">
        <v>217</v>
      </c>
      <c r="H85" s="190">
        <f t="shared" si="0"/>
        <v>217</v>
      </c>
      <c r="J85" s="190">
        <v>224</v>
      </c>
      <c r="K85" s="191">
        <f t="shared" si="1"/>
        <v>-7</v>
      </c>
      <c r="L85" s="192">
        <f>+K85/J85</f>
        <v>-3.125E-2</v>
      </c>
    </row>
    <row r="86" spans="1:12" hidden="1" outlineLevel="4" x14ac:dyDescent="0.25">
      <c r="A86" s="188" t="s">
        <v>121</v>
      </c>
      <c r="B86" s="188" t="s">
        <v>250</v>
      </c>
      <c r="C86" s="188" t="s">
        <v>144</v>
      </c>
      <c r="D86" s="188" t="s">
        <v>145</v>
      </c>
      <c r="E86" s="188" t="s">
        <v>254</v>
      </c>
      <c r="F86" s="189">
        <v>45840</v>
      </c>
      <c r="G86" s="190">
        <v>102.28</v>
      </c>
      <c r="H86" s="190">
        <f t="shared" ref="H86:H165" si="5">+G86</f>
        <v>102.28</v>
      </c>
      <c r="J86" s="190">
        <v>281.13</v>
      </c>
      <c r="K86" s="191">
        <f t="shared" ref="K86:K165" si="6">+H86-J86</f>
        <v>-178.85</v>
      </c>
      <c r="L86" s="192">
        <f>+K86/J86</f>
        <v>-0.63618254899868387</v>
      </c>
    </row>
    <row r="87" spans="1:12" hidden="1" outlineLevel="4" x14ac:dyDescent="0.25">
      <c r="A87" s="188" t="s">
        <v>121</v>
      </c>
      <c r="B87" s="188" t="s">
        <v>250</v>
      </c>
      <c r="C87" s="188" t="s">
        <v>123</v>
      </c>
      <c r="D87" s="188" t="s">
        <v>255</v>
      </c>
      <c r="E87" s="188" t="s">
        <v>253</v>
      </c>
      <c r="F87" s="189">
        <v>45839</v>
      </c>
      <c r="G87" s="190">
        <v>2294</v>
      </c>
      <c r="H87" s="190">
        <f t="shared" si="5"/>
        <v>2294</v>
      </c>
      <c r="J87" s="190">
        <v>2294</v>
      </c>
      <c r="K87" s="191">
        <f t="shared" si="6"/>
        <v>0</v>
      </c>
      <c r="L87" s="192">
        <f>+K87/J87</f>
        <v>0</v>
      </c>
    </row>
    <row r="88" spans="1:12" hidden="1" outlineLevel="3" x14ac:dyDescent="0.25">
      <c r="B88" s="183" t="s">
        <v>256</v>
      </c>
      <c r="F88" s="189"/>
      <c r="G88" s="190">
        <f>SUBTOTAL(9,G84:G87)</f>
        <v>2631.33</v>
      </c>
      <c r="H88" s="190"/>
      <c r="J88" s="190">
        <f>SUBTOTAL(9,J84:J87)</f>
        <v>2848.75</v>
      </c>
      <c r="K88" s="191">
        <f>SUBTOTAL(9,K84:K87)</f>
        <v>-217.42</v>
      </c>
      <c r="L88" s="192"/>
    </row>
    <row r="89" spans="1:12" hidden="1" outlineLevel="4" x14ac:dyDescent="0.25">
      <c r="A89" s="188" t="s">
        <v>121</v>
      </c>
      <c r="B89" s="188" t="s">
        <v>257</v>
      </c>
      <c r="C89" s="188" t="s">
        <v>127</v>
      </c>
      <c r="D89" s="188" t="s">
        <v>137</v>
      </c>
      <c r="E89" s="188" t="s">
        <v>258</v>
      </c>
      <c r="F89" s="189">
        <v>45839</v>
      </c>
      <c r="G89" s="190">
        <v>29.91</v>
      </c>
      <c r="H89" s="190">
        <f t="shared" si="5"/>
        <v>29.91</v>
      </c>
      <c r="J89" s="190">
        <v>59.85</v>
      </c>
      <c r="K89" s="191">
        <f t="shared" si="6"/>
        <v>-29.94</v>
      </c>
      <c r="L89" s="192">
        <f>+K89/J89</f>
        <v>-0.50025062656641606</v>
      </c>
    </row>
    <row r="90" spans="1:12" hidden="1" outlineLevel="4" x14ac:dyDescent="0.25">
      <c r="A90" s="188" t="s">
        <v>121</v>
      </c>
      <c r="B90" s="188" t="s">
        <v>257</v>
      </c>
      <c r="C90" s="188" t="s">
        <v>139</v>
      </c>
      <c r="D90" s="188" t="s">
        <v>179</v>
      </c>
      <c r="E90" s="188" t="s">
        <v>259</v>
      </c>
      <c r="F90" s="189">
        <v>45839</v>
      </c>
      <c r="G90" s="190">
        <v>249.8</v>
      </c>
      <c r="H90" s="190">
        <f t="shared" si="5"/>
        <v>249.8</v>
      </c>
      <c r="J90" s="190">
        <v>249.8</v>
      </c>
      <c r="K90" s="191">
        <f t="shared" si="6"/>
        <v>0</v>
      </c>
      <c r="L90" s="192">
        <f>+K90/J90</f>
        <v>0</v>
      </c>
    </row>
    <row r="91" spans="1:12" hidden="1" outlineLevel="4" x14ac:dyDescent="0.25">
      <c r="A91" s="188" t="s">
        <v>121</v>
      </c>
      <c r="B91" s="188" t="s">
        <v>257</v>
      </c>
      <c r="C91" s="188" t="s">
        <v>142</v>
      </c>
      <c r="D91" s="188" t="s">
        <v>181</v>
      </c>
      <c r="E91" s="188" t="s">
        <v>259</v>
      </c>
      <c r="F91" s="189">
        <v>45839</v>
      </c>
      <c r="G91" s="190">
        <v>210</v>
      </c>
      <c r="H91" s="190">
        <f t="shared" si="5"/>
        <v>210</v>
      </c>
      <c r="J91" s="190">
        <v>280</v>
      </c>
      <c r="K91" s="191">
        <f t="shared" si="6"/>
        <v>-70</v>
      </c>
      <c r="L91" s="192">
        <f>+K91/J91</f>
        <v>-0.25</v>
      </c>
    </row>
    <row r="92" spans="1:12" hidden="1" outlineLevel="4" x14ac:dyDescent="0.25">
      <c r="A92" s="188" t="s">
        <v>121</v>
      </c>
      <c r="B92" s="188" t="s">
        <v>257</v>
      </c>
      <c r="C92" s="188" t="s">
        <v>144</v>
      </c>
      <c r="D92" s="188" t="s">
        <v>145</v>
      </c>
      <c r="E92" s="188" t="s">
        <v>260</v>
      </c>
      <c r="F92" s="189">
        <v>45840</v>
      </c>
      <c r="G92" s="190">
        <v>169.5</v>
      </c>
      <c r="H92" s="190">
        <f t="shared" si="5"/>
        <v>169.5</v>
      </c>
      <c r="J92" s="190">
        <v>339.15</v>
      </c>
      <c r="K92" s="191">
        <f t="shared" si="6"/>
        <v>-169.64999999999998</v>
      </c>
      <c r="L92" s="192">
        <f>+K92/J92</f>
        <v>-0.50022114108801408</v>
      </c>
    </row>
    <row r="93" spans="1:12" hidden="1" outlineLevel="4" x14ac:dyDescent="0.25">
      <c r="A93" s="188" t="s">
        <v>121</v>
      </c>
      <c r="B93" s="188" t="s">
        <v>257</v>
      </c>
      <c r="C93" s="188" t="s">
        <v>123</v>
      </c>
      <c r="D93" s="188" t="s">
        <v>261</v>
      </c>
      <c r="E93" s="188" t="s">
        <v>262</v>
      </c>
      <c r="F93" s="189">
        <v>45839</v>
      </c>
      <c r="G93" s="190">
        <f>2808.98+59.62</f>
        <v>2868.6</v>
      </c>
      <c r="H93" s="190">
        <f t="shared" si="5"/>
        <v>2868.6</v>
      </c>
      <c r="J93" s="190">
        <v>2255</v>
      </c>
      <c r="K93" s="191">
        <f t="shared" si="6"/>
        <v>613.59999999999991</v>
      </c>
      <c r="L93" s="192">
        <f>+K93/J93</f>
        <v>0.27210643015521058</v>
      </c>
    </row>
    <row r="94" spans="1:12" hidden="1" outlineLevel="4" x14ac:dyDescent="0.25">
      <c r="A94" s="188" t="s">
        <v>121</v>
      </c>
      <c r="B94" s="188" t="s">
        <v>257</v>
      </c>
      <c r="C94" s="188" t="s">
        <v>123</v>
      </c>
      <c r="D94" s="188" t="s">
        <v>188</v>
      </c>
      <c r="E94" s="188" t="s">
        <v>259</v>
      </c>
      <c r="F94" s="189">
        <v>45839</v>
      </c>
      <c r="G94" s="190">
        <v>2305</v>
      </c>
      <c r="H94" s="190">
        <f t="shared" si="5"/>
        <v>2305</v>
      </c>
      <c r="J94" s="190">
        <v>0</v>
      </c>
      <c r="K94" s="191">
        <f t="shared" si="6"/>
        <v>2305</v>
      </c>
      <c r="L94" s="192"/>
    </row>
    <row r="95" spans="1:12" hidden="1" outlineLevel="3" x14ac:dyDescent="0.25">
      <c r="B95" s="183" t="s">
        <v>263</v>
      </c>
      <c r="F95" s="189"/>
      <c r="G95" s="190">
        <f>SUBTOTAL(9,G89:G94)</f>
        <v>5832.8099999999995</v>
      </c>
      <c r="H95" s="190"/>
      <c r="J95" s="190">
        <f>SUBTOTAL(9,J89:J94)</f>
        <v>3183.8</v>
      </c>
      <c r="K95" s="191">
        <f>SUBTOTAL(9,K89:K94)</f>
        <v>2649.0099999999998</v>
      </c>
      <c r="L95" s="192"/>
    </row>
    <row r="96" spans="1:12" hidden="1" outlineLevel="4" x14ac:dyDescent="0.25">
      <c r="A96" s="188" t="s">
        <v>121</v>
      </c>
      <c r="B96" s="188" t="s">
        <v>264</v>
      </c>
      <c r="C96" s="188" t="s">
        <v>127</v>
      </c>
      <c r="D96" s="188" t="s">
        <v>137</v>
      </c>
      <c r="E96" s="188" t="s">
        <v>265</v>
      </c>
      <c r="F96" s="189">
        <v>45839</v>
      </c>
      <c r="G96" s="190">
        <v>101.66</v>
      </c>
      <c r="H96" s="190">
        <f t="shared" si="5"/>
        <v>101.66</v>
      </c>
      <c r="J96" s="190">
        <v>0</v>
      </c>
      <c r="K96" s="191">
        <f t="shared" si="6"/>
        <v>101.66</v>
      </c>
      <c r="L96" s="192"/>
    </row>
    <row r="97" spans="1:13" ht="45" hidden="1" outlineLevel="4" x14ac:dyDescent="0.25">
      <c r="A97" s="188" t="s">
        <v>121</v>
      </c>
      <c r="B97" s="194" t="s">
        <v>264</v>
      </c>
      <c r="C97" s="194" t="s">
        <v>139</v>
      </c>
      <c r="D97" s="194" t="s">
        <v>139</v>
      </c>
      <c r="E97" s="194"/>
      <c r="F97" s="195"/>
      <c r="G97" s="196"/>
      <c r="H97" s="190">
        <f t="shared" si="5"/>
        <v>0</v>
      </c>
      <c r="I97" s="194"/>
      <c r="J97" s="196">
        <v>537.21</v>
      </c>
      <c r="K97" s="191">
        <f t="shared" si="6"/>
        <v>-537.21</v>
      </c>
      <c r="L97" s="192">
        <f>+K97/J97</f>
        <v>-1</v>
      </c>
      <c r="M97" s="199" t="s">
        <v>266</v>
      </c>
    </row>
    <row r="98" spans="1:13" hidden="1" outlineLevel="4" x14ac:dyDescent="0.25">
      <c r="A98" s="188" t="s">
        <v>121</v>
      </c>
      <c r="B98" s="194" t="s">
        <v>264</v>
      </c>
      <c r="C98" s="194" t="s">
        <v>142</v>
      </c>
      <c r="D98" s="194" t="s">
        <v>267</v>
      </c>
      <c r="E98" s="194"/>
      <c r="F98" s="195"/>
      <c r="G98" s="196"/>
      <c r="H98" s="190">
        <f t="shared" si="5"/>
        <v>0</v>
      </c>
      <c r="I98" s="194"/>
      <c r="J98" s="196">
        <v>624</v>
      </c>
      <c r="K98" s="191">
        <f t="shared" si="6"/>
        <v>-624</v>
      </c>
      <c r="L98" s="192">
        <f>+K98/J98</f>
        <v>-1</v>
      </c>
      <c r="M98" s="187" t="s">
        <v>129</v>
      </c>
    </row>
    <row r="99" spans="1:13" hidden="1" outlineLevel="4" x14ac:dyDescent="0.25">
      <c r="A99" s="188" t="s">
        <v>121</v>
      </c>
      <c r="B99" s="188" t="s">
        <v>264</v>
      </c>
      <c r="C99" s="188" t="s">
        <v>144</v>
      </c>
      <c r="D99" s="188" t="s">
        <v>145</v>
      </c>
      <c r="E99" s="188" t="s">
        <v>268</v>
      </c>
      <c r="F99" s="189">
        <v>45840</v>
      </c>
      <c r="G99" s="190">
        <v>575.66</v>
      </c>
      <c r="H99" s="190">
        <f t="shared" si="5"/>
        <v>575.66</v>
      </c>
      <c r="J99" s="190">
        <v>0</v>
      </c>
      <c r="K99" s="191">
        <f t="shared" si="6"/>
        <v>575.66</v>
      </c>
      <c r="L99" s="192"/>
    </row>
    <row r="100" spans="1:13" hidden="1" outlineLevel="4" x14ac:dyDescent="0.25">
      <c r="A100" s="188" t="s">
        <v>121</v>
      </c>
      <c r="B100" s="188" t="s">
        <v>264</v>
      </c>
      <c r="C100" s="188" t="s">
        <v>123</v>
      </c>
      <c r="D100" s="188" t="s">
        <v>269</v>
      </c>
      <c r="E100" s="188" t="s">
        <v>270</v>
      </c>
      <c r="F100" s="189">
        <v>45839</v>
      </c>
      <c r="G100" s="190">
        <v>6204.11</v>
      </c>
      <c r="H100" s="190">
        <f t="shared" si="5"/>
        <v>6204.11</v>
      </c>
      <c r="J100" s="190">
        <v>6204.11</v>
      </c>
      <c r="K100" s="191">
        <f t="shared" si="6"/>
        <v>0</v>
      </c>
      <c r="L100" s="192">
        <f>+K100/J100</f>
        <v>0</v>
      </c>
    </row>
    <row r="101" spans="1:13" hidden="1" outlineLevel="3" x14ac:dyDescent="0.25">
      <c r="B101" s="183" t="s">
        <v>271</v>
      </c>
      <c r="F101" s="189"/>
      <c r="G101" s="190">
        <f>SUBTOTAL(9,G96:G100)</f>
        <v>6881.4299999999994</v>
      </c>
      <c r="H101" s="190"/>
      <c r="J101" s="190">
        <f>SUBTOTAL(9,J96:J100)</f>
        <v>7365.32</v>
      </c>
      <c r="K101" s="191">
        <f>SUBTOTAL(9,K96:K100)</f>
        <v>-483.89000000000021</v>
      </c>
      <c r="L101" s="192"/>
    </row>
    <row r="102" spans="1:13" hidden="1" outlineLevel="4" x14ac:dyDescent="0.25">
      <c r="A102" s="188" t="s">
        <v>121</v>
      </c>
      <c r="B102" s="188" t="s">
        <v>272</v>
      </c>
      <c r="C102" s="188" t="s">
        <v>127</v>
      </c>
      <c r="D102" s="188" t="s">
        <v>137</v>
      </c>
      <c r="E102" s="188" t="s">
        <v>273</v>
      </c>
      <c r="F102" s="189">
        <v>45839</v>
      </c>
      <c r="G102" s="190">
        <v>111.6</v>
      </c>
      <c r="H102" s="190">
        <f t="shared" si="5"/>
        <v>111.6</v>
      </c>
      <c r="J102" s="190">
        <v>111.6</v>
      </c>
      <c r="K102" s="191">
        <f t="shared" si="6"/>
        <v>0</v>
      </c>
      <c r="L102" s="192">
        <f>+K102/J102</f>
        <v>0</v>
      </c>
    </row>
    <row r="103" spans="1:13" hidden="1" outlineLevel="4" x14ac:dyDescent="0.25">
      <c r="A103" s="188" t="s">
        <v>121</v>
      </c>
      <c r="B103" s="188" t="s">
        <v>272</v>
      </c>
      <c r="C103" s="188" t="s">
        <v>142</v>
      </c>
      <c r="D103" s="188" t="s">
        <v>142</v>
      </c>
      <c r="E103" s="188" t="s">
        <v>274</v>
      </c>
      <c r="F103" s="189">
        <v>45839</v>
      </c>
      <c r="G103" s="190">
        <v>974.5</v>
      </c>
      <c r="H103" s="190">
        <f t="shared" si="5"/>
        <v>974.5</v>
      </c>
      <c r="J103" s="190">
        <v>955.5</v>
      </c>
      <c r="K103" s="191">
        <f t="shared" si="6"/>
        <v>19</v>
      </c>
      <c r="L103" s="192">
        <f>+K103/J103</f>
        <v>1.9884877027734171E-2</v>
      </c>
    </row>
    <row r="104" spans="1:13" hidden="1" outlineLevel="4" x14ac:dyDescent="0.25">
      <c r="A104" s="188" t="s">
        <v>121</v>
      </c>
      <c r="B104" s="188" t="s">
        <v>272</v>
      </c>
      <c r="C104" s="188" t="s">
        <v>144</v>
      </c>
      <c r="D104" s="188" t="s">
        <v>145</v>
      </c>
      <c r="E104" s="188" t="s">
        <v>275</v>
      </c>
      <c r="F104" s="189">
        <v>45840</v>
      </c>
      <c r="G104" s="190">
        <v>632.4</v>
      </c>
      <c r="H104" s="190">
        <f t="shared" si="5"/>
        <v>632.4</v>
      </c>
      <c r="J104" s="190">
        <v>632.4</v>
      </c>
      <c r="K104" s="191">
        <f t="shared" si="6"/>
        <v>0</v>
      </c>
      <c r="L104" s="192">
        <f>+K104/J104</f>
        <v>0</v>
      </c>
    </row>
    <row r="105" spans="1:13" hidden="1" outlineLevel="4" x14ac:dyDescent="0.25">
      <c r="A105" s="188" t="s">
        <v>121</v>
      </c>
      <c r="B105" s="188" t="s">
        <v>272</v>
      </c>
      <c r="C105" s="188" t="s">
        <v>123</v>
      </c>
      <c r="D105" s="188" t="s">
        <v>269</v>
      </c>
      <c r="E105" s="188" t="s">
        <v>274</v>
      </c>
      <c r="F105" s="189">
        <v>45839</v>
      </c>
      <c r="G105" s="190">
        <v>6462.96</v>
      </c>
      <c r="H105" s="190">
        <f t="shared" si="5"/>
        <v>6462.96</v>
      </c>
      <c r="J105" s="190">
        <v>6274.03</v>
      </c>
      <c r="K105" s="191">
        <f t="shared" si="6"/>
        <v>188.93000000000029</v>
      </c>
      <c r="L105" s="192">
        <f>+K105/J105</f>
        <v>3.0113021455109443E-2</v>
      </c>
    </row>
    <row r="106" spans="1:13" hidden="1" outlineLevel="3" x14ac:dyDescent="0.25">
      <c r="B106" s="183" t="s">
        <v>276</v>
      </c>
      <c r="F106" s="189"/>
      <c r="G106" s="190">
        <f>SUBTOTAL(9,G102:G105)</f>
        <v>8181.46</v>
      </c>
      <c r="H106" s="190"/>
      <c r="J106" s="190">
        <f>SUBTOTAL(9,J102:J105)</f>
        <v>7973.53</v>
      </c>
      <c r="K106" s="191">
        <f>SUBTOTAL(9,K102:K105)</f>
        <v>207.93000000000029</v>
      </c>
      <c r="L106" s="192"/>
    </row>
    <row r="107" spans="1:13" hidden="1" outlineLevel="4" x14ac:dyDescent="0.25">
      <c r="A107" s="188" t="s">
        <v>121</v>
      </c>
      <c r="B107" s="194" t="s">
        <v>277</v>
      </c>
      <c r="C107" s="194" t="s">
        <v>127</v>
      </c>
      <c r="D107" s="194" t="s">
        <v>150</v>
      </c>
      <c r="E107" s="194"/>
      <c r="F107" s="195"/>
      <c r="G107" s="196"/>
      <c r="H107" s="190">
        <f t="shared" si="5"/>
        <v>0</v>
      </c>
      <c r="I107" s="194"/>
      <c r="J107" s="196">
        <v>74.59</v>
      </c>
      <c r="K107" s="191">
        <f t="shared" si="6"/>
        <v>-74.59</v>
      </c>
      <c r="L107" s="192">
        <f>+K107/J107</f>
        <v>-1</v>
      </c>
      <c r="M107" s="187" t="s">
        <v>129</v>
      </c>
    </row>
    <row r="108" spans="1:13" hidden="1" outlineLevel="4" x14ac:dyDescent="0.25">
      <c r="A108" s="188" t="s">
        <v>121</v>
      </c>
      <c r="B108" s="188" t="s">
        <v>277</v>
      </c>
      <c r="C108" s="188" t="s">
        <v>139</v>
      </c>
      <c r="D108" s="188" t="s">
        <v>179</v>
      </c>
      <c r="E108" s="188" t="s">
        <v>278</v>
      </c>
      <c r="F108" s="189">
        <v>45839</v>
      </c>
      <c r="G108" s="190">
        <v>475.79219999999998</v>
      </c>
      <c r="H108" s="190">
        <f t="shared" si="5"/>
        <v>475.79219999999998</v>
      </c>
      <c r="J108" s="190">
        <v>475.79</v>
      </c>
      <c r="K108" s="191">
        <f t="shared" si="6"/>
        <v>2.1999999999593456E-3</v>
      </c>
      <c r="L108" s="192">
        <f>+K108/J108</f>
        <v>4.6238886903031702E-6</v>
      </c>
    </row>
    <row r="109" spans="1:13" hidden="1" outlineLevel="4" x14ac:dyDescent="0.25">
      <c r="A109" s="188" t="s">
        <v>121</v>
      </c>
      <c r="B109" s="188" t="s">
        <v>277</v>
      </c>
      <c r="C109" s="188" t="s">
        <v>142</v>
      </c>
      <c r="D109" s="188" t="s">
        <v>181</v>
      </c>
      <c r="E109" s="188" t="s">
        <v>278</v>
      </c>
      <c r="F109" s="189">
        <v>45839</v>
      </c>
      <c r="G109" s="190">
        <v>364</v>
      </c>
      <c r="H109" s="190">
        <f t="shared" si="5"/>
        <v>364</v>
      </c>
      <c r="J109" s="190">
        <v>329</v>
      </c>
      <c r="K109" s="191">
        <f t="shared" si="6"/>
        <v>35</v>
      </c>
      <c r="L109" s="192">
        <f>+K109/J109</f>
        <v>0.10638297872340426</v>
      </c>
    </row>
    <row r="110" spans="1:13" hidden="1" outlineLevel="4" x14ac:dyDescent="0.25">
      <c r="A110" s="188" t="s">
        <v>121</v>
      </c>
      <c r="B110" s="194" t="s">
        <v>277</v>
      </c>
      <c r="C110" s="194" t="s">
        <v>144</v>
      </c>
      <c r="D110" s="194" t="s">
        <v>163</v>
      </c>
      <c r="E110" s="194"/>
      <c r="F110" s="195"/>
      <c r="G110" s="196"/>
      <c r="H110" s="190">
        <f t="shared" si="5"/>
        <v>0</v>
      </c>
      <c r="I110" s="194"/>
      <c r="J110" s="196">
        <v>422.66</v>
      </c>
      <c r="K110" s="191">
        <f t="shared" si="6"/>
        <v>-422.66</v>
      </c>
      <c r="L110" s="192">
        <f>+K110/J110</f>
        <v>-1</v>
      </c>
      <c r="M110" s="187" t="s">
        <v>129</v>
      </c>
    </row>
    <row r="111" spans="1:13" hidden="1" outlineLevel="4" x14ac:dyDescent="0.25">
      <c r="A111" s="188" t="s">
        <v>121</v>
      </c>
      <c r="B111" s="188" t="s">
        <v>277</v>
      </c>
      <c r="C111" s="188" t="s">
        <v>123</v>
      </c>
      <c r="D111" s="188" t="s">
        <v>188</v>
      </c>
      <c r="E111" s="188" t="s">
        <v>278</v>
      </c>
      <c r="F111" s="189">
        <v>45839</v>
      </c>
      <c r="G111" s="190">
        <v>3825.75</v>
      </c>
      <c r="H111" s="190">
        <f t="shared" si="5"/>
        <v>3825.75</v>
      </c>
      <c r="J111" s="190">
        <v>3825.75</v>
      </c>
      <c r="K111" s="191">
        <f t="shared" si="6"/>
        <v>0</v>
      </c>
      <c r="L111" s="192">
        <f>+K111/J111</f>
        <v>0</v>
      </c>
    </row>
    <row r="112" spans="1:13" hidden="1" outlineLevel="3" x14ac:dyDescent="0.25">
      <c r="B112" s="183" t="s">
        <v>279</v>
      </c>
      <c r="F112" s="189"/>
      <c r="G112" s="190">
        <f>SUBTOTAL(9,G107:G111)</f>
        <v>4665.5421999999999</v>
      </c>
      <c r="H112" s="190"/>
      <c r="J112" s="190">
        <f>SUBTOTAL(9,J107:J111)</f>
        <v>5127.79</v>
      </c>
      <c r="K112" s="191">
        <f>SUBTOTAL(9,K107:K111)</f>
        <v>-462.2478000000001</v>
      </c>
      <c r="L112" s="192"/>
    </row>
    <row r="113" spans="1:12" hidden="1" outlineLevel="4" x14ac:dyDescent="0.25">
      <c r="A113" s="188" t="s">
        <v>121</v>
      </c>
      <c r="B113" s="188" t="s">
        <v>280</v>
      </c>
      <c r="C113" s="188" t="s">
        <v>127</v>
      </c>
      <c r="D113" s="188" t="s">
        <v>137</v>
      </c>
      <c r="E113" s="188" t="s">
        <v>281</v>
      </c>
      <c r="F113" s="189">
        <v>45839</v>
      </c>
      <c r="G113" s="190">
        <v>2.83</v>
      </c>
      <c r="H113" s="190">
        <f t="shared" si="5"/>
        <v>2.83</v>
      </c>
      <c r="J113" s="190">
        <v>46.65</v>
      </c>
      <c r="K113" s="191">
        <f t="shared" si="6"/>
        <v>-43.82</v>
      </c>
      <c r="L113" s="192">
        <f>+K113/J113</f>
        <v>-0.93933547695605579</v>
      </c>
    </row>
    <row r="114" spans="1:12" hidden="1" outlineLevel="4" x14ac:dyDescent="0.25">
      <c r="A114" s="188" t="s">
        <v>121</v>
      </c>
      <c r="B114" s="188" t="s">
        <v>280</v>
      </c>
      <c r="C114" s="188" t="s">
        <v>139</v>
      </c>
      <c r="D114" s="188" t="s">
        <v>282</v>
      </c>
      <c r="E114" s="188" t="s">
        <v>283</v>
      </c>
      <c r="F114" s="189">
        <v>45839</v>
      </c>
      <c r="G114" s="190">
        <v>107.6</v>
      </c>
      <c r="H114" s="190">
        <f t="shared" si="5"/>
        <v>107.6</v>
      </c>
      <c r="J114" s="190">
        <v>107.6</v>
      </c>
      <c r="K114" s="191">
        <f t="shared" si="6"/>
        <v>0</v>
      </c>
      <c r="L114" s="192">
        <f>+K114/J114</f>
        <v>0</v>
      </c>
    </row>
    <row r="115" spans="1:12" hidden="1" outlineLevel="4" x14ac:dyDescent="0.25">
      <c r="A115" s="188" t="s">
        <v>121</v>
      </c>
      <c r="B115" s="188" t="s">
        <v>280</v>
      </c>
      <c r="C115" s="188" t="s">
        <v>142</v>
      </c>
      <c r="D115" s="188" t="s">
        <v>221</v>
      </c>
      <c r="E115" s="188" t="s">
        <v>283</v>
      </c>
      <c r="F115" s="189">
        <v>45839</v>
      </c>
      <c r="G115" s="190">
        <v>126</v>
      </c>
      <c r="H115" s="190">
        <f t="shared" si="5"/>
        <v>126</v>
      </c>
      <c r="J115" s="190">
        <v>133</v>
      </c>
      <c r="K115" s="191">
        <f t="shared" si="6"/>
        <v>-7</v>
      </c>
      <c r="L115" s="192">
        <f>+K115/J115</f>
        <v>-5.2631578947368418E-2</v>
      </c>
    </row>
    <row r="116" spans="1:12" hidden="1" outlineLevel="4" x14ac:dyDescent="0.25">
      <c r="A116" s="188" t="s">
        <v>121</v>
      </c>
      <c r="B116" s="188" t="s">
        <v>280</v>
      </c>
      <c r="C116" s="188" t="s">
        <v>144</v>
      </c>
      <c r="D116" s="188" t="s">
        <v>145</v>
      </c>
      <c r="E116" s="188" t="s">
        <v>284</v>
      </c>
      <c r="F116" s="189">
        <v>45840</v>
      </c>
      <c r="G116" s="190">
        <v>16.25</v>
      </c>
      <c r="H116" s="190">
        <f t="shared" si="5"/>
        <v>16.25</v>
      </c>
      <c r="J116" s="190">
        <v>264.35000000000002</v>
      </c>
      <c r="K116" s="191">
        <f t="shared" si="6"/>
        <v>-248.10000000000002</v>
      </c>
      <c r="L116" s="192">
        <f>+K116/J116</f>
        <v>-0.93852846604879892</v>
      </c>
    </row>
    <row r="117" spans="1:12" hidden="1" outlineLevel="4" x14ac:dyDescent="0.25">
      <c r="A117" s="188" t="s">
        <v>121</v>
      </c>
      <c r="B117" s="188" t="s">
        <v>280</v>
      </c>
      <c r="C117" s="188" t="s">
        <v>123</v>
      </c>
      <c r="D117" s="188" t="s">
        <v>223</v>
      </c>
      <c r="E117" s="188" t="s">
        <v>283</v>
      </c>
      <c r="F117" s="189">
        <v>45839</v>
      </c>
      <c r="G117" s="190">
        <f>2143.53</f>
        <v>2143.5300000000002</v>
      </c>
      <c r="H117" s="190">
        <f t="shared" si="5"/>
        <v>2143.5300000000002</v>
      </c>
      <c r="J117" s="190">
        <v>2081</v>
      </c>
      <c r="K117" s="191">
        <f t="shared" si="6"/>
        <v>62.5300000000002</v>
      </c>
      <c r="L117" s="192">
        <f>+K117/J117</f>
        <v>3.0048053820278808E-2</v>
      </c>
    </row>
    <row r="118" spans="1:12" hidden="1" outlineLevel="3" x14ac:dyDescent="0.25">
      <c r="B118" s="183" t="s">
        <v>285</v>
      </c>
      <c r="F118" s="189"/>
      <c r="G118" s="190">
        <f>SUBTOTAL(9,G113:G117)</f>
        <v>2396.21</v>
      </c>
      <c r="H118" s="190"/>
      <c r="J118" s="190">
        <f>SUBTOTAL(9,J113:J117)</f>
        <v>2632.6</v>
      </c>
      <c r="K118" s="191">
        <f>SUBTOTAL(9,K113:K117)</f>
        <v>-236.38999999999982</v>
      </c>
      <c r="L118" s="192"/>
    </row>
    <row r="119" spans="1:12" hidden="1" outlineLevel="4" x14ac:dyDescent="0.25">
      <c r="A119" s="188" t="s">
        <v>121</v>
      </c>
      <c r="B119" s="188" t="s">
        <v>286</v>
      </c>
      <c r="C119" s="188" t="s">
        <v>127</v>
      </c>
      <c r="D119" s="188" t="s">
        <v>137</v>
      </c>
      <c r="E119" s="188" t="s">
        <v>287</v>
      </c>
      <c r="F119" s="189">
        <v>45839</v>
      </c>
      <c r="G119" s="190">
        <v>20.29</v>
      </c>
      <c r="H119" s="190">
        <f t="shared" si="5"/>
        <v>20.29</v>
      </c>
      <c r="J119" s="190">
        <v>103.35</v>
      </c>
      <c r="K119" s="191">
        <f t="shared" si="6"/>
        <v>-83.06</v>
      </c>
      <c r="L119" s="192">
        <f>+K119/J119</f>
        <v>-0.80367682631833581</v>
      </c>
    </row>
    <row r="120" spans="1:12" hidden="1" outlineLevel="4" x14ac:dyDescent="0.25">
      <c r="A120" s="188" t="s">
        <v>121</v>
      </c>
      <c r="B120" s="188" t="s">
        <v>286</v>
      </c>
      <c r="C120" s="188" t="s">
        <v>142</v>
      </c>
      <c r="D120" s="188" t="s">
        <v>221</v>
      </c>
      <c r="E120" s="188" t="s">
        <v>288</v>
      </c>
      <c r="F120" s="189">
        <v>45839</v>
      </c>
      <c r="G120" s="190">
        <v>591.5</v>
      </c>
      <c r="H120" s="190">
        <f t="shared" si="5"/>
        <v>591.5</v>
      </c>
      <c r="J120" s="190">
        <v>604.5</v>
      </c>
      <c r="K120" s="191">
        <f t="shared" si="6"/>
        <v>-13</v>
      </c>
      <c r="L120" s="192">
        <f>+K120/J120</f>
        <v>-2.1505376344086023E-2</v>
      </c>
    </row>
    <row r="121" spans="1:12" hidden="1" outlineLevel="4" x14ac:dyDescent="0.25">
      <c r="A121" s="188" t="s">
        <v>121</v>
      </c>
      <c r="B121" s="188" t="s">
        <v>286</v>
      </c>
      <c r="C121" s="188" t="s">
        <v>144</v>
      </c>
      <c r="D121" s="188" t="s">
        <v>145</v>
      </c>
      <c r="E121" s="188" t="s">
        <v>289</v>
      </c>
      <c r="F121" s="189">
        <v>45840</v>
      </c>
      <c r="G121" s="190">
        <v>115.03</v>
      </c>
      <c r="H121" s="190">
        <f t="shared" si="5"/>
        <v>115.03</v>
      </c>
      <c r="J121" s="190">
        <v>585.65</v>
      </c>
      <c r="K121" s="191">
        <f t="shared" si="6"/>
        <v>-470.62</v>
      </c>
      <c r="L121" s="192">
        <f>+K121/J121</f>
        <v>-0.80358575941261845</v>
      </c>
    </row>
    <row r="122" spans="1:12" hidden="1" outlineLevel="4" x14ac:dyDescent="0.25">
      <c r="A122" s="188" t="s">
        <v>121</v>
      </c>
      <c r="B122" s="188" t="s">
        <v>286</v>
      </c>
      <c r="C122" s="188" t="s">
        <v>123</v>
      </c>
      <c r="D122" s="188" t="s">
        <v>223</v>
      </c>
      <c r="E122" s="188" t="s">
        <v>288</v>
      </c>
      <c r="F122" s="189">
        <v>45839</v>
      </c>
      <c r="G122" s="190">
        <f>4803.343</f>
        <v>4803.3429999999998</v>
      </c>
      <c r="H122" s="190">
        <f t="shared" si="5"/>
        <v>4803.3429999999998</v>
      </c>
      <c r="J122" s="190">
        <v>4486</v>
      </c>
      <c r="K122" s="191">
        <f t="shared" si="6"/>
        <v>317.34299999999985</v>
      </c>
      <c r="L122" s="192">
        <f>+K122/J122</f>
        <v>7.0740748996879141E-2</v>
      </c>
    </row>
    <row r="123" spans="1:12" hidden="1" outlineLevel="3" x14ac:dyDescent="0.25">
      <c r="B123" s="183" t="s">
        <v>290</v>
      </c>
      <c r="F123" s="189"/>
      <c r="G123" s="190">
        <f>SUBTOTAL(9,G119:G122)</f>
        <v>5530.1629999999996</v>
      </c>
      <c r="H123" s="190"/>
      <c r="J123" s="190">
        <f>SUBTOTAL(9,J119:J122)</f>
        <v>5779.5</v>
      </c>
      <c r="K123" s="191">
        <f>SUBTOTAL(9,K119:K122)</f>
        <v>-249.33700000000022</v>
      </c>
      <c r="L123" s="192"/>
    </row>
    <row r="124" spans="1:12" hidden="1" outlineLevel="4" x14ac:dyDescent="0.25">
      <c r="A124" s="188" t="s">
        <v>121</v>
      </c>
      <c r="B124" s="188" t="s">
        <v>291</v>
      </c>
      <c r="C124" s="188" t="s">
        <v>127</v>
      </c>
      <c r="D124" s="188" t="s">
        <v>137</v>
      </c>
      <c r="E124" s="188" t="s">
        <v>292</v>
      </c>
      <c r="F124" s="189">
        <v>45839</v>
      </c>
      <c r="G124" s="190">
        <v>57.67</v>
      </c>
      <c r="H124" s="190">
        <f t="shared" si="5"/>
        <v>57.67</v>
      </c>
      <c r="J124" s="190">
        <v>57.67</v>
      </c>
      <c r="K124" s="191">
        <f t="shared" si="6"/>
        <v>0</v>
      </c>
      <c r="L124" s="192">
        <f>+K124/J124</f>
        <v>0</v>
      </c>
    </row>
    <row r="125" spans="1:12" hidden="1" outlineLevel="4" x14ac:dyDescent="0.25">
      <c r="A125" s="188" t="s">
        <v>121</v>
      </c>
      <c r="B125" s="188" t="s">
        <v>291</v>
      </c>
      <c r="C125" s="188" t="s">
        <v>139</v>
      </c>
      <c r="D125" s="188" t="s">
        <v>179</v>
      </c>
      <c r="E125" s="188" t="s">
        <v>293</v>
      </c>
      <c r="F125" s="189">
        <v>45839</v>
      </c>
      <c r="G125" s="190">
        <v>160.56</v>
      </c>
      <c r="H125" s="190">
        <f t="shared" si="5"/>
        <v>160.56</v>
      </c>
      <c r="J125" s="190">
        <v>160.56</v>
      </c>
      <c r="K125" s="191">
        <f t="shared" si="6"/>
        <v>0</v>
      </c>
      <c r="L125" s="192">
        <f>+K125/J125</f>
        <v>0</v>
      </c>
    </row>
    <row r="126" spans="1:12" hidden="1" outlineLevel="4" x14ac:dyDescent="0.25">
      <c r="A126" s="188" t="s">
        <v>121</v>
      </c>
      <c r="B126" s="188" t="s">
        <v>291</v>
      </c>
      <c r="C126" s="188" t="s">
        <v>142</v>
      </c>
      <c r="D126" s="188" t="s">
        <v>181</v>
      </c>
      <c r="E126" s="188" t="s">
        <v>293</v>
      </c>
      <c r="F126" s="189">
        <v>45839</v>
      </c>
      <c r="G126" s="190">
        <v>455</v>
      </c>
      <c r="H126" s="190">
        <f t="shared" si="5"/>
        <v>455</v>
      </c>
      <c r="J126" s="190">
        <v>351</v>
      </c>
      <c r="K126" s="191">
        <f t="shared" si="6"/>
        <v>104</v>
      </c>
      <c r="L126" s="192">
        <f>+K126/J126</f>
        <v>0.29629629629629628</v>
      </c>
    </row>
    <row r="127" spans="1:12" hidden="1" outlineLevel="4" x14ac:dyDescent="0.25">
      <c r="A127" s="188" t="s">
        <v>121</v>
      </c>
      <c r="B127" s="188" t="s">
        <v>291</v>
      </c>
      <c r="C127" s="188" t="s">
        <v>144</v>
      </c>
      <c r="D127" s="188" t="s">
        <v>145</v>
      </c>
      <c r="E127" s="188" t="s">
        <v>294</v>
      </c>
      <c r="F127" s="189">
        <v>45840</v>
      </c>
      <c r="G127" s="190">
        <v>326.82</v>
      </c>
      <c r="H127" s="190">
        <f t="shared" si="5"/>
        <v>326.82</v>
      </c>
      <c r="J127" s="190">
        <v>326.82</v>
      </c>
      <c r="K127" s="191">
        <f t="shared" si="6"/>
        <v>0</v>
      </c>
      <c r="L127" s="192">
        <f>+K127/J127</f>
        <v>0</v>
      </c>
    </row>
    <row r="128" spans="1:12" hidden="1" outlineLevel="4" x14ac:dyDescent="0.25">
      <c r="A128" s="188" t="s">
        <v>121</v>
      </c>
      <c r="B128" s="188" t="s">
        <v>291</v>
      </c>
      <c r="C128" s="188" t="s">
        <v>123</v>
      </c>
      <c r="D128" s="188" t="s">
        <v>188</v>
      </c>
      <c r="E128" s="188" t="s">
        <v>293</v>
      </c>
      <c r="F128" s="189">
        <v>45839</v>
      </c>
      <c r="G128" s="190">
        <v>2802.5</v>
      </c>
      <c r="H128" s="190">
        <f t="shared" si="5"/>
        <v>2802.5</v>
      </c>
      <c r="J128" s="190">
        <v>2714.5</v>
      </c>
      <c r="K128" s="191">
        <f t="shared" si="6"/>
        <v>88</v>
      </c>
      <c r="L128" s="192">
        <f>+K128/J128</f>
        <v>3.2418493276846566E-2</v>
      </c>
    </row>
    <row r="129" spans="1:12" hidden="1" outlineLevel="3" x14ac:dyDescent="0.25">
      <c r="B129" s="183" t="s">
        <v>295</v>
      </c>
      <c r="F129" s="189"/>
      <c r="G129" s="190">
        <f>SUBTOTAL(9,G124:G128)</f>
        <v>3802.55</v>
      </c>
      <c r="H129" s="190"/>
      <c r="J129" s="190">
        <f>SUBTOTAL(9,J124:J128)</f>
        <v>3610.55</v>
      </c>
      <c r="K129" s="191">
        <f>SUBTOTAL(9,K124:K128)</f>
        <v>192</v>
      </c>
      <c r="L129" s="192"/>
    </row>
    <row r="130" spans="1:12" hidden="1" outlineLevel="4" x14ac:dyDescent="0.25">
      <c r="A130" s="188" t="s">
        <v>121</v>
      </c>
      <c r="B130" s="188" t="s">
        <v>296</v>
      </c>
      <c r="C130" s="188" t="s">
        <v>127</v>
      </c>
      <c r="D130" s="188" t="s">
        <v>137</v>
      </c>
      <c r="E130" s="188" t="s">
        <v>297</v>
      </c>
      <c r="F130" s="189">
        <v>45839</v>
      </c>
      <c r="G130" s="190">
        <v>18.03</v>
      </c>
      <c r="H130" s="190">
        <f t="shared" si="5"/>
        <v>18.03</v>
      </c>
      <c r="J130" s="190">
        <v>156</v>
      </c>
      <c r="K130" s="191">
        <f t="shared" si="6"/>
        <v>-137.97</v>
      </c>
      <c r="L130" s="192">
        <f t="shared" ref="L130:L135" si="7">+K130/J130</f>
        <v>-0.88442307692307687</v>
      </c>
    </row>
    <row r="131" spans="1:12" hidden="1" outlineLevel="4" x14ac:dyDescent="0.25">
      <c r="A131" s="188" t="s">
        <v>121</v>
      </c>
      <c r="B131" s="188" t="s">
        <v>296</v>
      </c>
      <c r="C131" s="188" t="s">
        <v>139</v>
      </c>
      <c r="D131" s="188" t="s">
        <v>211</v>
      </c>
      <c r="E131" s="188" t="s">
        <v>298</v>
      </c>
      <c r="F131" s="189">
        <v>45839</v>
      </c>
      <c r="G131" s="190">
        <v>240</v>
      </c>
      <c r="H131" s="190">
        <f t="shared" si="5"/>
        <v>240</v>
      </c>
      <c r="J131" s="190">
        <v>240</v>
      </c>
      <c r="K131" s="191">
        <f t="shared" si="6"/>
        <v>0</v>
      </c>
      <c r="L131" s="192">
        <f t="shared" si="7"/>
        <v>0</v>
      </c>
    </row>
    <row r="132" spans="1:12" hidden="1" outlineLevel="4" x14ac:dyDescent="0.25">
      <c r="A132" s="188" t="s">
        <v>121</v>
      </c>
      <c r="B132" s="188" t="s">
        <v>296</v>
      </c>
      <c r="C132" s="188" t="s">
        <v>142</v>
      </c>
      <c r="D132" s="188" t="s">
        <v>213</v>
      </c>
      <c r="E132" s="188" t="s">
        <v>298</v>
      </c>
      <c r="F132" s="189">
        <v>45839</v>
      </c>
      <c r="G132" s="190">
        <v>350</v>
      </c>
      <c r="H132" s="190">
        <f t="shared" si="5"/>
        <v>350</v>
      </c>
      <c r="J132" s="190">
        <v>331.5</v>
      </c>
      <c r="K132" s="191">
        <f t="shared" si="6"/>
        <v>18.5</v>
      </c>
      <c r="L132" s="192">
        <f t="shared" si="7"/>
        <v>5.5806938159879339E-2</v>
      </c>
    </row>
    <row r="133" spans="1:12" hidden="1" outlineLevel="4" x14ac:dyDescent="0.25">
      <c r="A133" s="188" t="s">
        <v>121</v>
      </c>
      <c r="B133" s="188" t="s">
        <v>296</v>
      </c>
      <c r="C133" s="188" t="s">
        <v>144</v>
      </c>
      <c r="D133" s="188" t="s">
        <v>145</v>
      </c>
      <c r="E133" s="188" t="s">
        <v>299</v>
      </c>
      <c r="F133" s="189">
        <v>45840</v>
      </c>
      <c r="G133" s="190">
        <v>102.21</v>
      </c>
      <c r="H133" s="190">
        <f t="shared" si="5"/>
        <v>102.21</v>
      </c>
      <c r="J133" s="190">
        <v>884</v>
      </c>
      <c r="K133" s="191">
        <f t="shared" si="6"/>
        <v>-781.79</v>
      </c>
      <c r="L133" s="192">
        <f t="shared" si="7"/>
        <v>-0.88437782805429865</v>
      </c>
    </row>
    <row r="134" spans="1:12" hidden="1" outlineLevel="4" x14ac:dyDescent="0.25">
      <c r="A134" s="188" t="s">
        <v>121</v>
      </c>
      <c r="B134" s="188" t="s">
        <v>296</v>
      </c>
      <c r="C134" s="188" t="s">
        <v>123</v>
      </c>
      <c r="D134" s="188" t="s">
        <v>300</v>
      </c>
      <c r="E134" s="188" t="s">
        <v>298</v>
      </c>
      <c r="F134" s="189">
        <v>45839</v>
      </c>
      <c r="G134" s="190">
        <v>1255</v>
      </c>
      <c r="H134" s="190">
        <f t="shared" si="5"/>
        <v>1255</v>
      </c>
      <c r="J134" s="190">
        <v>1255</v>
      </c>
      <c r="K134" s="191">
        <f t="shared" si="6"/>
        <v>0</v>
      </c>
      <c r="L134" s="192">
        <f t="shared" si="7"/>
        <v>0</v>
      </c>
    </row>
    <row r="135" spans="1:12" hidden="1" outlineLevel="4" x14ac:dyDescent="0.25">
      <c r="A135" s="188" t="s">
        <v>121</v>
      </c>
      <c r="B135" s="188" t="s">
        <v>296</v>
      </c>
      <c r="C135" s="188" t="s">
        <v>123</v>
      </c>
      <c r="D135" s="188" t="s">
        <v>214</v>
      </c>
      <c r="E135" s="188" t="s">
        <v>298</v>
      </c>
      <c r="F135" s="189">
        <v>45839</v>
      </c>
      <c r="G135" s="190">
        <v>2405</v>
      </c>
      <c r="H135" s="190">
        <f t="shared" si="5"/>
        <v>2405</v>
      </c>
      <c r="J135" s="190">
        <v>2405</v>
      </c>
      <c r="K135" s="191">
        <f t="shared" si="6"/>
        <v>0</v>
      </c>
      <c r="L135" s="192">
        <f t="shared" si="7"/>
        <v>0</v>
      </c>
    </row>
    <row r="136" spans="1:12" hidden="1" outlineLevel="3" x14ac:dyDescent="0.25">
      <c r="B136" s="183" t="s">
        <v>301</v>
      </c>
      <c r="F136" s="189"/>
      <c r="G136" s="190">
        <f>SUBTOTAL(9,G130:G135)</f>
        <v>4370.24</v>
      </c>
      <c r="H136" s="190"/>
      <c r="J136" s="190">
        <f>SUBTOTAL(9,J130:J135)</f>
        <v>5271.5</v>
      </c>
      <c r="K136" s="191">
        <f>SUBTOTAL(9,K130:K135)</f>
        <v>-901.26</v>
      </c>
      <c r="L136" s="192"/>
    </row>
    <row r="137" spans="1:12" hidden="1" outlineLevel="4" x14ac:dyDescent="0.25">
      <c r="A137" s="188" t="s">
        <v>121</v>
      </c>
      <c r="B137" s="188" t="s">
        <v>302</v>
      </c>
      <c r="C137" s="188" t="s">
        <v>175</v>
      </c>
      <c r="D137" s="188" t="s">
        <v>303</v>
      </c>
      <c r="E137" s="188" t="s">
        <v>304</v>
      </c>
      <c r="F137" s="189">
        <v>45839</v>
      </c>
      <c r="G137" s="190">
        <v>562.5</v>
      </c>
      <c r="H137" s="190">
        <f t="shared" si="5"/>
        <v>562.5</v>
      </c>
      <c r="J137" s="190">
        <v>562.5</v>
      </c>
      <c r="K137" s="191">
        <f t="shared" si="6"/>
        <v>0</v>
      </c>
      <c r="L137" s="192">
        <f>+K137/J137</f>
        <v>0</v>
      </c>
    </row>
    <row r="138" spans="1:12" hidden="1" outlineLevel="4" x14ac:dyDescent="0.25">
      <c r="A138" s="188" t="s">
        <v>121</v>
      </c>
      <c r="B138" s="188" t="s">
        <v>302</v>
      </c>
      <c r="C138" s="188" t="s">
        <v>127</v>
      </c>
      <c r="D138" s="188" t="s">
        <v>137</v>
      </c>
      <c r="E138" s="188" t="s">
        <v>305</v>
      </c>
      <c r="F138" s="189">
        <v>45839</v>
      </c>
      <c r="G138" s="190">
        <v>24.65</v>
      </c>
      <c r="H138" s="190">
        <f t="shared" si="5"/>
        <v>24.65</v>
      </c>
      <c r="J138" s="190">
        <v>0</v>
      </c>
      <c r="K138" s="191">
        <f t="shared" si="6"/>
        <v>24.65</v>
      </c>
      <c r="L138" s="192"/>
    </row>
    <row r="139" spans="1:12" hidden="1" outlineLevel="4" x14ac:dyDescent="0.25">
      <c r="A139" s="188" t="s">
        <v>121</v>
      </c>
      <c r="B139" s="188" t="s">
        <v>302</v>
      </c>
      <c r="C139" s="188" t="s">
        <v>139</v>
      </c>
      <c r="D139" s="188" t="s">
        <v>306</v>
      </c>
      <c r="E139" s="188" t="s">
        <v>304</v>
      </c>
      <c r="F139" s="189">
        <v>45839</v>
      </c>
      <c r="G139" s="190">
        <v>258</v>
      </c>
      <c r="H139" s="190">
        <f t="shared" si="5"/>
        <v>258</v>
      </c>
      <c r="J139" s="190">
        <v>258</v>
      </c>
      <c r="K139" s="191">
        <f t="shared" si="6"/>
        <v>0</v>
      </c>
      <c r="L139" s="192">
        <f>+K139/J139</f>
        <v>0</v>
      </c>
    </row>
    <row r="140" spans="1:12" hidden="1" outlineLevel="4" x14ac:dyDescent="0.25">
      <c r="A140" s="188" t="s">
        <v>121</v>
      </c>
      <c r="B140" s="188" t="s">
        <v>302</v>
      </c>
      <c r="C140" s="188" t="s">
        <v>142</v>
      </c>
      <c r="D140" s="188" t="s">
        <v>307</v>
      </c>
      <c r="E140" s="188" t="s">
        <v>304</v>
      </c>
      <c r="F140" s="189">
        <v>45839</v>
      </c>
      <c r="G140" s="190">
        <f>377+6.16</f>
        <v>383.16</v>
      </c>
      <c r="H140" s="190">
        <f t="shared" si="5"/>
        <v>383.16</v>
      </c>
      <c r="J140" s="190">
        <v>409.5</v>
      </c>
      <c r="K140" s="191">
        <f t="shared" si="6"/>
        <v>-26.339999999999975</v>
      </c>
      <c r="L140" s="192">
        <f>+K140/J140</f>
        <v>-6.4322344322344266E-2</v>
      </c>
    </row>
    <row r="141" spans="1:12" hidden="1" outlineLevel="4" x14ac:dyDescent="0.25">
      <c r="A141" s="188" t="s">
        <v>121</v>
      </c>
      <c r="B141" s="188" t="s">
        <v>302</v>
      </c>
      <c r="C141" s="188" t="s">
        <v>144</v>
      </c>
      <c r="D141" s="188" t="s">
        <v>145</v>
      </c>
      <c r="E141" s="188" t="s">
        <v>308</v>
      </c>
      <c r="F141" s="189">
        <v>45869</v>
      </c>
      <c r="G141" s="200">
        <v>0</v>
      </c>
      <c r="H141" s="190">
        <f t="shared" si="5"/>
        <v>0</v>
      </c>
      <c r="J141" s="190">
        <v>0</v>
      </c>
      <c r="K141" s="191">
        <f t="shared" si="6"/>
        <v>0</v>
      </c>
      <c r="L141" s="192"/>
    </row>
    <row r="142" spans="1:12" hidden="1" outlineLevel="4" x14ac:dyDescent="0.25">
      <c r="A142" s="188" t="s">
        <v>121</v>
      </c>
      <c r="B142" s="188" t="s">
        <v>302</v>
      </c>
      <c r="C142" s="188" t="s">
        <v>144</v>
      </c>
      <c r="D142" s="188" t="s">
        <v>145</v>
      </c>
      <c r="E142" s="188" t="s">
        <v>309</v>
      </c>
      <c r="F142" s="189">
        <v>45840</v>
      </c>
      <c r="G142" s="190">
        <v>139.68</v>
      </c>
      <c r="H142" s="190">
        <f t="shared" si="5"/>
        <v>139.68</v>
      </c>
      <c r="J142" s="190">
        <v>0</v>
      </c>
      <c r="K142" s="191">
        <f t="shared" si="6"/>
        <v>139.68</v>
      </c>
      <c r="L142" s="192"/>
    </row>
    <row r="143" spans="1:12" hidden="1" outlineLevel="4" x14ac:dyDescent="0.25">
      <c r="A143" s="188" t="s">
        <v>121</v>
      </c>
      <c r="B143" s="188" t="s">
        <v>302</v>
      </c>
      <c r="C143" s="188" t="s">
        <v>123</v>
      </c>
      <c r="D143" s="188" t="s">
        <v>310</v>
      </c>
      <c r="E143" s="188" t="s">
        <v>304</v>
      </c>
      <c r="F143" s="189">
        <v>45839</v>
      </c>
      <c r="G143" s="190">
        <v>2438.9</v>
      </c>
      <c r="H143" s="190">
        <f t="shared" si="5"/>
        <v>2438.9</v>
      </c>
      <c r="J143" s="190">
        <v>2438.9</v>
      </c>
      <c r="K143" s="191">
        <f t="shared" si="6"/>
        <v>0</v>
      </c>
      <c r="L143" s="192">
        <f>+K143/J143</f>
        <v>0</v>
      </c>
    </row>
    <row r="144" spans="1:12" hidden="1" outlineLevel="3" x14ac:dyDescent="0.25">
      <c r="B144" s="183" t="s">
        <v>311</v>
      </c>
      <c r="F144" s="189"/>
      <c r="G144" s="190">
        <f>SUBTOTAL(9,G137:G143)</f>
        <v>3806.8900000000003</v>
      </c>
      <c r="H144" s="190"/>
      <c r="J144" s="190">
        <f>SUBTOTAL(9,J137:J143)</f>
        <v>3668.9</v>
      </c>
      <c r="K144" s="191">
        <f>SUBTOTAL(9,K137:K143)</f>
        <v>137.99000000000004</v>
      </c>
      <c r="L144" s="192"/>
    </row>
    <row r="145" spans="1:13" hidden="1" outlineLevel="4" x14ac:dyDescent="0.25">
      <c r="A145" s="188" t="s">
        <v>121</v>
      </c>
      <c r="B145" s="194" t="s">
        <v>312</v>
      </c>
      <c r="C145" s="194" t="s">
        <v>139</v>
      </c>
      <c r="D145" s="194" t="s">
        <v>282</v>
      </c>
      <c r="E145" s="194"/>
      <c r="F145" s="195"/>
      <c r="G145" s="196"/>
      <c r="H145" s="190">
        <f t="shared" si="5"/>
        <v>0</v>
      </c>
      <c r="I145" s="194"/>
      <c r="J145" s="196">
        <v>80</v>
      </c>
      <c r="K145" s="191">
        <f t="shared" si="6"/>
        <v>-80</v>
      </c>
      <c r="L145" s="192">
        <f>+K145/J145</f>
        <v>-1</v>
      </c>
      <c r="M145" s="187" t="s">
        <v>129</v>
      </c>
    </row>
    <row r="146" spans="1:13" hidden="1" outlineLevel="4" x14ac:dyDescent="0.25">
      <c r="A146" s="188" t="s">
        <v>121</v>
      </c>
      <c r="B146" s="194" t="s">
        <v>312</v>
      </c>
      <c r="C146" s="194" t="s">
        <v>142</v>
      </c>
      <c r="D146" s="194" t="s">
        <v>221</v>
      </c>
      <c r="E146" s="194"/>
      <c r="F146" s="195"/>
      <c r="G146" s="196"/>
      <c r="H146" s="190">
        <f t="shared" si="5"/>
        <v>0</v>
      </c>
      <c r="I146" s="194"/>
      <c r="J146" s="196">
        <v>189</v>
      </c>
      <c r="K146" s="191">
        <f t="shared" si="6"/>
        <v>-189</v>
      </c>
      <c r="L146" s="192">
        <f>+K146/J146</f>
        <v>-1</v>
      </c>
      <c r="M146" s="187" t="s">
        <v>129</v>
      </c>
    </row>
    <row r="147" spans="1:13" hidden="1" outlineLevel="4" x14ac:dyDescent="0.25">
      <c r="A147" s="188" t="s">
        <v>121</v>
      </c>
      <c r="B147" s="194" t="s">
        <v>312</v>
      </c>
      <c r="C147" s="194" t="s">
        <v>123</v>
      </c>
      <c r="D147" s="194" t="s">
        <v>223</v>
      </c>
      <c r="E147" s="194"/>
      <c r="F147" s="195"/>
      <c r="G147" s="196"/>
      <c r="H147" s="190">
        <f t="shared" si="5"/>
        <v>0</v>
      </c>
      <c r="I147" s="194"/>
      <c r="J147" s="196">
        <v>1760.67</v>
      </c>
      <c r="K147" s="191">
        <f t="shared" si="6"/>
        <v>-1760.67</v>
      </c>
      <c r="L147" s="192">
        <f>+K147/J147</f>
        <v>-1</v>
      </c>
      <c r="M147" s="187" t="s">
        <v>129</v>
      </c>
    </row>
    <row r="148" spans="1:13" hidden="1" outlineLevel="3" x14ac:dyDescent="0.25">
      <c r="B148" s="197" t="s">
        <v>313</v>
      </c>
      <c r="C148" s="194"/>
      <c r="D148" s="194"/>
      <c r="E148" s="194"/>
      <c r="F148" s="195"/>
      <c r="G148" s="196">
        <f>SUBTOTAL(9,G145:G147)</f>
        <v>0</v>
      </c>
      <c r="H148" s="190"/>
      <c r="I148" s="194"/>
      <c r="J148" s="196">
        <f>SUBTOTAL(9,J145:J147)</f>
        <v>2029.67</v>
      </c>
      <c r="K148" s="191">
        <f>SUBTOTAL(9,K145:K147)</f>
        <v>-2029.67</v>
      </c>
      <c r="L148" s="192"/>
      <c r="M148" s="187" t="s">
        <v>129</v>
      </c>
    </row>
    <row r="149" spans="1:13" hidden="1" outlineLevel="4" x14ac:dyDescent="0.25">
      <c r="A149" s="188" t="s">
        <v>121</v>
      </c>
      <c r="B149" s="188" t="s">
        <v>314</v>
      </c>
      <c r="C149" s="188" t="s">
        <v>139</v>
      </c>
      <c r="D149" s="188" t="s">
        <v>139</v>
      </c>
      <c r="E149" s="188" t="s">
        <v>315</v>
      </c>
      <c r="F149" s="189">
        <v>45839</v>
      </c>
      <c r="G149" s="190">
        <v>262</v>
      </c>
      <c r="H149" s="190">
        <f t="shared" si="5"/>
        <v>262</v>
      </c>
      <c r="J149" s="190">
        <v>262</v>
      </c>
      <c r="K149" s="191">
        <f t="shared" si="6"/>
        <v>0</v>
      </c>
      <c r="L149" s="192">
        <f>+K149/J149</f>
        <v>0</v>
      </c>
    </row>
    <row r="150" spans="1:13" hidden="1" outlineLevel="3" x14ac:dyDescent="0.25">
      <c r="B150" s="183" t="s">
        <v>316</v>
      </c>
      <c r="F150" s="189"/>
      <c r="G150" s="190">
        <f>SUBTOTAL(9,G149:G149)</f>
        <v>262</v>
      </c>
      <c r="H150" s="190"/>
      <c r="J150" s="190">
        <f>SUBTOTAL(9,J149:J149)</f>
        <v>262</v>
      </c>
      <c r="K150" s="191">
        <f>SUBTOTAL(9,K149:K149)</f>
        <v>0</v>
      </c>
      <c r="L150" s="192"/>
    </row>
    <row r="151" spans="1:13" hidden="1" outlineLevel="4" x14ac:dyDescent="0.25">
      <c r="A151" s="188" t="s">
        <v>121</v>
      </c>
      <c r="B151" s="194" t="s">
        <v>317</v>
      </c>
      <c r="C151" s="194" t="s">
        <v>127</v>
      </c>
      <c r="D151" s="194" t="s">
        <v>150</v>
      </c>
      <c r="E151" s="194"/>
      <c r="F151" s="195"/>
      <c r="G151" s="196"/>
      <c r="H151" s="190">
        <f t="shared" si="5"/>
        <v>0</v>
      </c>
      <c r="I151" s="194"/>
      <c r="J151" s="198">
        <v>167</v>
      </c>
      <c r="K151" s="191">
        <f t="shared" si="6"/>
        <v>-167</v>
      </c>
      <c r="L151" s="192">
        <f>+K151/J151</f>
        <v>-1</v>
      </c>
      <c r="M151" s="187" t="s">
        <v>129</v>
      </c>
    </row>
    <row r="152" spans="1:13" hidden="1" outlineLevel="4" x14ac:dyDescent="0.25">
      <c r="A152" s="188" t="s">
        <v>121</v>
      </c>
      <c r="B152" s="194" t="s">
        <v>317</v>
      </c>
      <c r="C152" s="194" t="s">
        <v>144</v>
      </c>
      <c r="D152" s="194" t="s">
        <v>163</v>
      </c>
      <c r="E152" s="194"/>
      <c r="F152" s="195"/>
      <c r="G152" s="196"/>
      <c r="H152" s="190">
        <f t="shared" si="5"/>
        <v>0</v>
      </c>
      <c r="I152" s="194"/>
      <c r="J152" s="198">
        <v>389.67</v>
      </c>
      <c r="K152" s="191">
        <f t="shared" si="6"/>
        <v>-389.67</v>
      </c>
      <c r="L152" s="192">
        <f>+K152/J152</f>
        <v>-1</v>
      </c>
      <c r="M152" s="187" t="s">
        <v>129</v>
      </c>
    </row>
    <row r="153" spans="1:13" hidden="1" outlineLevel="3" x14ac:dyDescent="0.25">
      <c r="B153" s="197" t="s">
        <v>318</v>
      </c>
      <c r="C153" s="194"/>
      <c r="D153" s="194"/>
      <c r="E153" s="194"/>
      <c r="F153" s="195"/>
      <c r="G153" s="196">
        <f>SUBTOTAL(9,G151:G152)</f>
        <v>0</v>
      </c>
      <c r="H153" s="190"/>
      <c r="I153" s="194"/>
      <c r="J153" s="198">
        <f>SUBTOTAL(9,J151:J152)</f>
        <v>556.67000000000007</v>
      </c>
      <c r="K153" s="191">
        <f>SUBTOTAL(9,K151:K152)</f>
        <v>-556.67000000000007</v>
      </c>
      <c r="L153" s="192"/>
      <c r="M153" s="187" t="s">
        <v>129</v>
      </c>
    </row>
    <row r="154" spans="1:13" hidden="1" outlineLevel="4" x14ac:dyDescent="0.25">
      <c r="A154" s="188" t="s">
        <v>121</v>
      </c>
      <c r="B154" s="194" t="s">
        <v>319</v>
      </c>
      <c r="C154" s="194" t="s">
        <v>127</v>
      </c>
      <c r="D154" s="194" t="s">
        <v>320</v>
      </c>
      <c r="E154" s="194"/>
      <c r="F154" s="195"/>
      <c r="G154" s="196"/>
      <c r="H154" s="190">
        <f t="shared" si="5"/>
        <v>0</v>
      </c>
      <c r="I154" s="194"/>
      <c r="J154" s="198">
        <v>85.15</v>
      </c>
      <c r="K154" s="191">
        <f t="shared" si="6"/>
        <v>-85.15</v>
      </c>
      <c r="L154" s="192">
        <f>+K154/J154</f>
        <v>-1</v>
      </c>
      <c r="M154" s="187" t="s">
        <v>129</v>
      </c>
    </row>
    <row r="155" spans="1:13" hidden="1" outlineLevel="4" x14ac:dyDescent="0.25">
      <c r="A155" s="188" t="s">
        <v>121</v>
      </c>
      <c r="B155" s="194" t="s">
        <v>319</v>
      </c>
      <c r="C155" s="194" t="s">
        <v>144</v>
      </c>
      <c r="D155" s="194" t="s">
        <v>163</v>
      </c>
      <c r="E155" s="194"/>
      <c r="F155" s="195"/>
      <c r="G155" s="196"/>
      <c r="H155" s="190">
        <f t="shared" si="5"/>
        <v>0</v>
      </c>
      <c r="I155" s="194"/>
      <c r="J155" s="198">
        <v>340.6</v>
      </c>
      <c r="K155" s="191">
        <f t="shared" si="6"/>
        <v>-340.6</v>
      </c>
      <c r="L155" s="192">
        <f>+K155/J155</f>
        <v>-1</v>
      </c>
      <c r="M155" s="187" t="s">
        <v>129</v>
      </c>
    </row>
    <row r="156" spans="1:13" hidden="1" outlineLevel="3" x14ac:dyDescent="0.25">
      <c r="B156" s="197" t="s">
        <v>321</v>
      </c>
      <c r="C156" s="194"/>
      <c r="D156" s="194"/>
      <c r="E156" s="194"/>
      <c r="F156" s="195"/>
      <c r="G156" s="196">
        <f>SUBTOTAL(9,G154:G155)</f>
        <v>0</v>
      </c>
      <c r="H156" s="190"/>
      <c r="I156" s="194"/>
      <c r="J156" s="198">
        <f>SUBTOTAL(9,J154:J155)</f>
        <v>425.75</v>
      </c>
      <c r="K156" s="191">
        <f>SUBTOTAL(9,K154:K155)</f>
        <v>-425.75</v>
      </c>
      <c r="L156" s="192"/>
      <c r="M156" s="187" t="s">
        <v>129</v>
      </c>
    </row>
    <row r="157" spans="1:13" hidden="1" outlineLevel="4" x14ac:dyDescent="0.25">
      <c r="A157" s="188" t="s">
        <v>121</v>
      </c>
      <c r="B157" s="194" t="s">
        <v>322</v>
      </c>
      <c r="C157" s="194" t="s">
        <v>127</v>
      </c>
      <c r="D157" s="194" t="s">
        <v>150</v>
      </c>
      <c r="E157" s="194"/>
      <c r="F157" s="195"/>
      <c r="G157" s="196"/>
      <c r="H157" s="190">
        <f t="shared" si="5"/>
        <v>0</v>
      </c>
      <c r="I157" s="194"/>
      <c r="J157" s="198">
        <v>201.87</v>
      </c>
      <c r="K157" s="191">
        <f t="shared" si="6"/>
        <v>-201.87</v>
      </c>
      <c r="L157" s="192">
        <f>+K157/J157</f>
        <v>-1</v>
      </c>
      <c r="M157" s="187" t="s">
        <v>129</v>
      </c>
    </row>
    <row r="158" spans="1:13" hidden="1" outlineLevel="4" x14ac:dyDescent="0.25">
      <c r="A158" s="188" t="s">
        <v>121</v>
      </c>
      <c r="B158" s="194" t="s">
        <v>322</v>
      </c>
      <c r="C158" s="194" t="s">
        <v>144</v>
      </c>
      <c r="D158" s="194" t="s">
        <v>163</v>
      </c>
      <c r="E158" s="194"/>
      <c r="F158" s="195"/>
      <c r="G158" s="196"/>
      <c r="H158" s="190">
        <f t="shared" si="5"/>
        <v>0</v>
      </c>
      <c r="I158" s="194"/>
      <c r="J158" s="198">
        <v>201.88</v>
      </c>
      <c r="K158" s="191">
        <f t="shared" si="6"/>
        <v>-201.88</v>
      </c>
      <c r="L158" s="192">
        <f>+K158/J158</f>
        <v>-1</v>
      </c>
      <c r="M158" s="187" t="s">
        <v>129</v>
      </c>
    </row>
    <row r="159" spans="1:13" hidden="1" outlineLevel="3" x14ac:dyDescent="0.25">
      <c r="B159" s="197" t="s">
        <v>323</v>
      </c>
      <c r="C159" s="194"/>
      <c r="D159" s="194"/>
      <c r="E159" s="194"/>
      <c r="F159" s="195"/>
      <c r="G159" s="196">
        <f>SUBTOTAL(9,G157:G158)</f>
        <v>0</v>
      </c>
      <c r="H159" s="190"/>
      <c r="I159" s="194"/>
      <c r="J159" s="198">
        <f>SUBTOTAL(9,J157:J158)</f>
        <v>403.75</v>
      </c>
      <c r="K159" s="191">
        <f>SUBTOTAL(9,K157:K158)</f>
        <v>-403.75</v>
      </c>
      <c r="L159" s="192"/>
      <c r="M159" s="187" t="s">
        <v>129</v>
      </c>
    </row>
    <row r="160" spans="1:13" hidden="1" outlineLevel="4" x14ac:dyDescent="0.25">
      <c r="A160" s="188" t="s">
        <v>121</v>
      </c>
      <c r="B160" s="188" t="s">
        <v>324</v>
      </c>
      <c r="C160" s="188" t="s">
        <v>127</v>
      </c>
      <c r="D160" s="188" t="s">
        <v>137</v>
      </c>
      <c r="E160" s="188" t="s">
        <v>325</v>
      </c>
      <c r="F160" s="189">
        <v>45839</v>
      </c>
      <c r="G160" s="190">
        <v>365.7</v>
      </c>
      <c r="H160" s="190">
        <f t="shared" si="5"/>
        <v>365.7</v>
      </c>
      <c r="J160" s="190">
        <v>365.7</v>
      </c>
      <c r="K160" s="191">
        <f t="shared" si="6"/>
        <v>0</v>
      </c>
      <c r="L160" s="192">
        <f>+K160/J160</f>
        <v>0</v>
      </c>
    </row>
    <row r="161" spans="1:12" hidden="1" outlineLevel="4" x14ac:dyDescent="0.25">
      <c r="A161" s="188" t="s">
        <v>121</v>
      </c>
      <c r="B161" s="188" t="s">
        <v>324</v>
      </c>
      <c r="C161" s="188" t="s">
        <v>144</v>
      </c>
      <c r="D161" s="188" t="s">
        <v>145</v>
      </c>
      <c r="E161" s="188" t="s">
        <v>326</v>
      </c>
      <c r="F161" s="189">
        <v>45840</v>
      </c>
      <c r="G161" s="190">
        <v>365.7</v>
      </c>
      <c r="H161" s="190">
        <f t="shared" si="5"/>
        <v>365.7</v>
      </c>
      <c r="J161" s="190">
        <v>365.7</v>
      </c>
      <c r="K161" s="191">
        <f t="shared" si="6"/>
        <v>0</v>
      </c>
      <c r="L161" s="192">
        <f>+K161/J161</f>
        <v>0</v>
      </c>
    </row>
    <row r="162" spans="1:12" hidden="1" outlineLevel="3" x14ac:dyDescent="0.25">
      <c r="B162" s="183" t="s">
        <v>327</v>
      </c>
      <c r="F162" s="189"/>
      <c r="G162" s="190">
        <f>SUBTOTAL(9,G160:G161)</f>
        <v>731.4</v>
      </c>
      <c r="H162" s="190"/>
      <c r="J162" s="190">
        <f>SUBTOTAL(9,J160:J161)</f>
        <v>731.4</v>
      </c>
      <c r="K162" s="191">
        <f>SUBTOTAL(9,K160:K161)</f>
        <v>0</v>
      </c>
      <c r="L162" s="192"/>
    </row>
    <row r="163" spans="1:12" hidden="1" outlineLevel="4" x14ac:dyDescent="0.25">
      <c r="A163" s="188" t="s">
        <v>121</v>
      </c>
      <c r="B163" s="194" t="s">
        <v>328</v>
      </c>
      <c r="C163" s="194" t="s">
        <v>139</v>
      </c>
      <c r="D163" s="194" t="s">
        <v>139</v>
      </c>
      <c r="E163" s="194"/>
      <c r="F163" s="195"/>
      <c r="G163" s="196"/>
      <c r="H163" s="190">
        <f t="shared" si="5"/>
        <v>0</v>
      </c>
      <c r="I163" s="194"/>
      <c r="J163" s="196">
        <v>127.39</v>
      </c>
      <c r="K163" s="191">
        <f t="shared" si="6"/>
        <v>-127.39</v>
      </c>
      <c r="L163" s="192">
        <f>+K163/J163</f>
        <v>-1</v>
      </c>
    </row>
    <row r="164" spans="1:12" hidden="1" outlineLevel="4" x14ac:dyDescent="0.25">
      <c r="A164" s="188" t="s">
        <v>121</v>
      </c>
      <c r="B164" s="188" t="s">
        <v>328</v>
      </c>
      <c r="C164" s="188" t="s">
        <v>142</v>
      </c>
      <c r="D164" s="188" t="s">
        <v>329</v>
      </c>
      <c r="E164" s="188" t="s">
        <v>330</v>
      </c>
      <c r="F164" s="189">
        <v>45839</v>
      </c>
      <c r="G164" s="190">
        <v>1104</v>
      </c>
      <c r="H164" s="190">
        <f t="shared" si="5"/>
        <v>1104</v>
      </c>
      <c r="J164" s="190">
        <v>993.5</v>
      </c>
      <c r="K164" s="191">
        <f t="shared" si="6"/>
        <v>110.5</v>
      </c>
      <c r="L164" s="192">
        <f>+K164/J164</f>
        <v>0.11122294916960242</v>
      </c>
    </row>
    <row r="165" spans="1:12" hidden="1" outlineLevel="4" x14ac:dyDescent="0.25">
      <c r="A165" s="188" t="s">
        <v>121</v>
      </c>
      <c r="B165" s="188" t="s">
        <v>328</v>
      </c>
      <c r="C165" s="188" t="s">
        <v>144</v>
      </c>
      <c r="D165" s="188" t="s">
        <v>145</v>
      </c>
      <c r="E165" s="188" t="s">
        <v>331</v>
      </c>
      <c r="F165" s="189">
        <v>45840</v>
      </c>
      <c r="G165" s="190">
        <v>425</v>
      </c>
      <c r="H165" s="190">
        <f t="shared" si="5"/>
        <v>425</v>
      </c>
      <c r="J165" s="190">
        <v>0</v>
      </c>
      <c r="K165" s="191">
        <f t="shared" si="6"/>
        <v>425</v>
      </c>
      <c r="L165" s="192"/>
    </row>
    <row r="166" spans="1:12" hidden="1" outlineLevel="4" x14ac:dyDescent="0.25">
      <c r="A166" s="188" t="s">
        <v>121</v>
      </c>
      <c r="B166" s="188" t="s">
        <v>328</v>
      </c>
      <c r="C166" s="188" t="s">
        <v>123</v>
      </c>
      <c r="D166" s="188" t="s">
        <v>332</v>
      </c>
      <c r="E166" s="188" t="s">
        <v>333</v>
      </c>
      <c r="F166" s="189">
        <v>45839</v>
      </c>
      <c r="G166" s="190">
        <f>5424.97+150.19</f>
        <v>5575.16</v>
      </c>
      <c r="H166" s="190">
        <f t="shared" ref="H166:H250" si="8">+G166</f>
        <v>5575.16</v>
      </c>
      <c r="J166" s="190">
        <v>5424.97</v>
      </c>
      <c r="K166" s="191">
        <f t="shared" ref="K166:K250" si="9">+H166-J166</f>
        <v>150.1899999999996</v>
      </c>
      <c r="L166" s="192">
        <f>+K166/J166</f>
        <v>2.7684945723202081E-2</v>
      </c>
    </row>
    <row r="167" spans="1:12" hidden="1" outlineLevel="3" x14ac:dyDescent="0.25">
      <c r="B167" s="183" t="s">
        <v>334</v>
      </c>
      <c r="F167" s="189"/>
      <c r="G167" s="190">
        <f>SUBTOTAL(9,G163:G166)</f>
        <v>7104.16</v>
      </c>
      <c r="H167" s="190"/>
      <c r="J167" s="190">
        <f>SUBTOTAL(9,J163:J166)</f>
        <v>6545.8600000000006</v>
      </c>
      <c r="K167" s="191">
        <f>SUBTOTAL(9,K163:K166)</f>
        <v>558.29999999999961</v>
      </c>
      <c r="L167" s="192"/>
    </row>
    <row r="168" spans="1:12" hidden="1" outlineLevel="4" x14ac:dyDescent="0.25">
      <c r="A168" s="188" t="s">
        <v>121</v>
      </c>
      <c r="B168" s="188" t="s">
        <v>335</v>
      </c>
      <c r="C168" s="188" t="s">
        <v>127</v>
      </c>
      <c r="D168" s="188" t="s">
        <v>137</v>
      </c>
      <c r="E168" s="188" t="s">
        <v>336</v>
      </c>
      <c r="F168" s="189">
        <v>45839</v>
      </c>
      <c r="G168" s="190">
        <v>44.89</v>
      </c>
      <c r="H168" s="190">
        <f t="shared" si="8"/>
        <v>44.89</v>
      </c>
      <c r="J168" s="190">
        <v>37.18</v>
      </c>
      <c r="K168" s="191">
        <f t="shared" si="9"/>
        <v>7.7100000000000009</v>
      </c>
      <c r="L168" s="192">
        <f>+K168/J168</f>
        <v>0.2073695535233997</v>
      </c>
    </row>
    <row r="169" spans="1:12" hidden="1" outlineLevel="4" x14ac:dyDescent="0.25">
      <c r="A169" s="188" t="s">
        <v>121</v>
      </c>
      <c r="B169" s="188" t="s">
        <v>335</v>
      </c>
      <c r="C169" s="188" t="s">
        <v>139</v>
      </c>
      <c r="D169" s="188" t="s">
        <v>306</v>
      </c>
      <c r="E169" s="188" t="s">
        <v>337</v>
      </c>
      <c r="F169" s="189">
        <v>45839</v>
      </c>
      <c r="G169" s="190">
        <v>2.6088</v>
      </c>
      <c r="H169" s="190">
        <f t="shared" si="8"/>
        <v>2.6088</v>
      </c>
      <c r="J169" s="190">
        <v>2.6088</v>
      </c>
      <c r="K169" s="191">
        <f t="shared" si="9"/>
        <v>0</v>
      </c>
      <c r="L169" s="192">
        <f>+K169/J169</f>
        <v>0</v>
      </c>
    </row>
    <row r="170" spans="1:12" hidden="1" outlineLevel="4" x14ac:dyDescent="0.25">
      <c r="A170" s="188" t="s">
        <v>121</v>
      </c>
      <c r="B170" s="188" t="s">
        <v>335</v>
      </c>
      <c r="C170" s="188" t="s">
        <v>142</v>
      </c>
      <c r="D170" s="188" t="s">
        <v>307</v>
      </c>
      <c r="E170" s="188" t="s">
        <v>337</v>
      </c>
      <c r="F170" s="189">
        <v>45839</v>
      </c>
      <c r="G170" s="190">
        <v>294</v>
      </c>
      <c r="H170" s="190">
        <f t="shared" si="8"/>
        <v>294</v>
      </c>
      <c r="J170" s="190">
        <v>280</v>
      </c>
      <c r="K170" s="191">
        <f t="shared" si="9"/>
        <v>14</v>
      </c>
      <c r="L170" s="192">
        <f>+K170/J170</f>
        <v>0.05</v>
      </c>
    </row>
    <row r="171" spans="1:12" hidden="1" outlineLevel="4" x14ac:dyDescent="0.25">
      <c r="A171" s="188" t="s">
        <v>121</v>
      </c>
      <c r="B171" s="188" t="s">
        <v>335</v>
      </c>
      <c r="C171" s="188" t="s">
        <v>144</v>
      </c>
      <c r="D171" s="188" t="s">
        <v>145</v>
      </c>
      <c r="E171" s="188" t="s">
        <v>338</v>
      </c>
      <c r="F171" s="189">
        <v>45840</v>
      </c>
      <c r="G171" s="190">
        <v>254.41</v>
      </c>
      <c r="H171" s="190">
        <f t="shared" si="8"/>
        <v>254.41</v>
      </c>
      <c r="J171" s="190">
        <v>210.71</v>
      </c>
      <c r="K171" s="191">
        <f t="shared" si="9"/>
        <v>43.699999999999989</v>
      </c>
      <c r="L171" s="192">
        <f>+K171/J171</f>
        <v>0.20739404869251571</v>
      </c>
    </row>
    <row r="172" spans="1:12" hidden="1" outlineLevel="4" x14ac:dyDescent="0.25">
      <c r="A172" s="188" t="s">
        <v>121</v>
      </c>
      <c r="B172" s="188" t="s">
        <v>335</v>
      </c>
      <c r="C172" s="188" t="s">
        <v>123</v>
      </c>
      <c r="D172" s="188" t="s">
        <v>310</v>
      </c>
      <c r="E172" s="188" t="s">
        <v>337</v>
      </c>
      <c r="F172" s="189">
        <v>45839</v>
      </c>
      <c r="G172" s="190">
        <v>3220.2312000000002</v>
      </c>
      <c r="H172" s="190">
        <f t="shared" si="8"/>
        <v>3220.2312000000002</v>
      </c>
      <c r="J172" s="190">
        <v>3145.0012000000002</v>
      </c>
      <c r="K172" s="191">
        <f t="shared" si="9"/>
        <v>75.230000000000018</v>
      </c>
      <c r="L172" s="192">
        <f>+K172/J172</f>
        <v>2.3920499616979483E-2</v>
      </c>
    </row>
    <row r="173" spans="1:12" hidden="1" outlineLevel="3" x14ac:dyDescent="0.25">
      <c r="B173" s="183" t="s">
        <v>339</v>
      </c>
      <c r="F173" s="189"/>
      <c r="G173" s="190">
        <f>SUBTOTAL(9,G168:G172)</f>
        <v>3816.1400000000003</v>
      </c>
      <c r="H173" s="190"/>
      <c r="J173" s="190">
        <f>SUBTOTAL(9,J168:J172)</f>
        <v>3675.5</v>
      </c>
      <c r="K173" s="191">
        <f>SUBTOTAL(9,K168:K172)</f>
        <v>140.64000000000001</v>
      </c>
      <c r="L173" s="192"/>
    </row>
    <row r="174" spans="1:12" hidden="1" outlineLevel="4" x14ac:dyDescent="0.25">
      <c r="A174" s="188" t="s">
        <v>121</v>
      </c>
      <c r="B174" s="188" t="s">
        <v>340</v>
      </c>
      <c r="C174" s="188" t="s">
        <v>139</v>
      </c>
      <c r="D174" s="188" t="s">
        <v>341</v>
      </c>
      <c r="E174" s="188" t="s">
        <v>342</v>
      </c>
      <c r="F174" s="189">
        <v>45839</v>
      </c>
      <c r="G174" s="190">
        <v>1.7927999999999999</v>
      </c>
      <c r="H174" s="190">
        <f t="shared" si="8"/>
        <v>1.7927999999999999</v>
      </c>
      <c r="J174" s="190">
        <v>1.7927999999999999</v>
      </c>
      <c r="K174" s="191">
        <f t="shared" si="9"/>
        <v>0</v>
      </c>
      <c r="L174" s="192">
        <f>+K174/J174</f>
        <v>0</v>
      </c>
    </row>
    <row r="175" spans="1:12" hidden="1" outlineLevel="4" x14ac:dyDescent="0.25">
      <c r="A175" s="188" t="s">
        <v>121</v>
      </c>
      <c r="B175" s="188" t="s">
        <v>340</v>
      </c>
      <c r="C175" s="188" t="s">
        <v>142</v>
      </c>
      <c r="D175" s="188" t="s">
        <v>142</v>
      </c>
      <c r="E175" s="188" t="s">
        <v>342</v>
      </c>
      <c r="F175" s="189">
        <v>45839</v>
      </c>
      <c r="G175" s="190">
        <v>627</v>
      </c>
      <c r="H175" s="190">
        <f t="shared" si="8"/>
        <v>627</v>
      </c>
      <c r="J175" s="190">
        <v>562</v>
      </c>
      <c r="K175" s="191">
        <f t="shared" si="9"/>
        <v>65</v>
      </c>
      <c r="L175" s="192">
        <f>+K175/J175</f>
        <v>0.11565836298932385</v>
      </c>
    </row>
    <row r="176" spans="1:12" hidden="1" outlineLevel="4" x14ac:dyDescent="0.25">
      <c r="A176" s="188" t="s">
        <v>121</v>
      </c>
      <c r="B176" s="188" t="s">
        <v>340</v>
      </c>
      <c r="C176" s="188" t="s">
        <v>123</v>
      </c>
      <c r="D176" s="188" t="s">
        <v>123</v>
      </c>
      <c r="E176" s="188" t="s">
        <v>342</v>
      </c>
      <c r="F176" s="189">
        <v>45839</v>
      </c>
      <c r="G176" s="190">
        <v>1916.5</v>
      </c>
      <c r="H176" s="190">
        <f t="shared" si="8"/>
        <v>1916.5</v>
      </c>
      <c r="J176" s="190">
        <v>1916.5</v>
      </c>
      <c r="K176" s="191">
        <f t="shared" si="9"/>
        <v>0</v>
      </c>
      <c r="L176" s="192">
        <f>+K176/J176</f>
        <v>0</v>
      </c>
    </row>
    <row r="177" spans="1:13" hidden="1" outlineLevel="3" x14ac:dyDescent="0.25">
      <c r="B177" s="183" t="s">
        <v>343</v>
      </c>
      <c r="F177" s="189"/>
      <c r="G177" s="190">
        <f>SUBTOTAL(9,G174:G176)</f>
        <v>2545.2928000000002</v>
      </c>
      <c r="H177" s="190"/>
      <c r="J177" s="190">
        <f>SUBTOTAL(9,J174:J176)</f>
        <v>2480.2928000000002</v>
      </c>
      <c r="K177" s="191">
        <f>SUBTOTAL(9,K174:K176)</f>
        <v>65</v>
      </c>
      <c r="L177" s="192"/>
    </row>
    <row r="178" spans="1:13" hidden="1" outlineLevel="4" x14ac:dyDescent="0.25">
      <c r="A178" s="188" t="s">
        <v>121</v>
      </c>
      <c r="B178" s="194" t="s">
        <v>344</v>
      </c>
      <c r="C178" s="194" t="s">
        <v>127</v>
      </c>
      <c r="D178" s="194" t="s">
        <v>345</v>
      </c>
      <c r="E178" s="194"/>
      <c r="F178" s="195"/>
      <c r="G178" s="196"/>
      <c r="H178" s="190">
        <f t="shared" si="8"/>
        <v>0</v>
      </c>
      <c r="I178" s="194"/>
      <c r="J178" s="196">
        <v>298.37</v>
      </c>
      <c r="K178" s="191">
        <f t="shared" si="9"/>
        <v>-298.37</v>
      </c>
      <c r="L178" s="192">
        <f>+K178/J178</f>
        <v>-1</v>
      </c>
      <c r="M178" s="187" t="s">
        <v>129</v>
      </c>
    </row>
    <row r="179" spans="1:13" hidden="1" outlineLevel="4" x14ac:dyDescent="0.25">
      <c r="A179" s="188" t="s">
        <v>121</v>
      </c>
      <c r="B179" s="194" t="s">
        <v>344</v>
      </c>
      <c r="C179" s="194" t="s">
        <v>144</v>
      </c>
      <c r="D179" s="194" t="s">
        <v>346</v>
      </c>
      <c r="E179" s="194"/>
      <c r="F179" s="195"/>
      <c r="G179" s="196"/>
      <c r="H179" s="190">
        <f t="shared" si="8"/>
        <v>0</v>
      </c>
      <c r="I179" s="194"/>
      <c r="J179" s="196">
        <v>1265</v>
      </c>
      <c r="K179" s="191">
        <f t="shared" si="9"/>
        <v>-1265</v>
      </c>
      <c r="L179" s="192">
        <f>+K179/J179</f>
        <v>-1</v>
      </c>
      <c r="M179" s="187" t="s">
        <v>129</v>
      </c>
    </row>
    <row r="180" spans="1:13" hidden="1" outlineLevel="3" x14ac:dyDescent="0.25">
      <c r="B180" s="197" t="s">
        <v>347</v>
      </c>
      <c r="C180" s="194"/>
      <c r="D180" s="194"/>
      <c r="E180" s="194"/>
      <c r="F180" s="195"/>
      <c r="G180" s="196">
        <f>SUBTOTAL(9,G178:G179)</f>
        <v>0</v>
      </c>
      <c r="H180" s="190"/>
      <c r="I180" s="194"/>
      <c r="J180" s="196">
        <f>SUBTOTAL(9,J178:J179)</f>
        <v>1563.37</v>
      </c>
      <c r="K180" s="191">
        <f>SUBTOTAL(9,K178:K179)</f>
        <v>-1563.37</v>
      </c>
      <c r="L180" s="192"/>
      <c r="M180" s="187" t="s">
        <v>129</v>
      </c>
    </row>
    <row r="181" spans="1:13" hidden="1" outlineLevel="4" x14ac:dyDescent="0.25">
      <c r="A181" s="188" t="s">
        <v>121</v>
      </c>
      <c r="B181" s="188" t="s">
        <v>348</v>
      </c>
      <c r="C181" s="188" t="s">
        <v>127</v>
      </c>
      <c r="D181" s="188" t="s">
        <v>137</v>
      </c>
      <c r="E181" s="188" t="s">
        <v>349</v>
      </c>
      <c r="F181" s="189">
        <v>45839</v>
      </c>
      <c r="G181" s="190">
        <v>21.6</v>
      </c>
      <c r="H181" s="190">
        <f t="shared" si="8"/>
        <v>21.6</v>
      </c>
      <c r="J181" s="190">
        <v>81.89</v>
      </c>
      <c r="K181" s="191">
        <f t="shared" si="9"/>
        <v>-60.29</v>
      </c>
      <c r="L181" s="192">
        <f>+K181/J181</f>
        <v>-0.73623153010135545</v>
      </c>
    </row>
    <row r="182" spans="1:13" hidden="1" outlineLevel="4" x14ac:dyDescent="0.25">
      <c r="A182" s="188" t="s">
        <v>121</v>
      </c>
      <c r="B182" s="188" t="s">
        <v>348</v>
      </c>
      <c r="C182" s="188" t="s">
        <v>139</v>
      </c>
      <c r="D182" s="188" t="s">
        <v>211</v>
      </c>
      <c r="E182" s="188" t="s">
        <v>350</v>
      </c>
      <c r="F182" s="189">
        <v>45839</v>
      </c>
      <c r="G182" s="190">
        <v>65.3</v>
      </c>
      <c r="H182" s="190">
        <f t="shared" si="8"/>
        <v>65.3</v>
      </c>
      <c r="J182" s="190">
        <v>65.3</v>
      </c>
      <c r="K182" s="191">
        <f t="shared" si="9"/>
        <v>0</v>
      </c>
      <c r="L182" s="192">
        <f>+K182/J182</f>
        <v>0</v>
      </c>
    </row>
    <row r="183" spans="1:13" hidden="1" outlineLevel="4" x14ac:dyDescent="0.25">
      <c r="A183" s="188" t="s">
        <v>121</v>
      </c>
      <c r="B183" s="188" t="s">
        <v>348</v>
      </c>
      <c r="C183" s="188" t="s">
        <v>142</v>
      </c>
      <c r="D183" s="188" t="s">
        <v>213</v>
      </c>
      <c r="E183" s="188" t="s">
        <v>350</v>
      </c>
      <c r="F183" s="189">
        <v>45839</v>
      </c>
      <c r="G183" s="190">
        <v>189</v>
      </c>
      <c r="H183" s="190">
        <f t="shared" si="8"/>
        <v>189</v>
      </c>
      <c r="J183" s="190">
        <v>189</v>
      </c>
      <c r="K183" s="191">
        <f t="shared" si="9"/>
        <v>0</v>
      </c>
      <c r="L183" s="192">
        <f>+K183/J183</f>
        <v>0</v>
      </c>
    </row>
    <row r="184" spans="1:13" hidden="1" outlineLevel="4" x14ac:dyDescent="0.25">
      <c r="A184" s="188" t="s">
        <v>121</v>
      </c>
      <c r="B184" s="188" t="s">
        <v>348</v>
      </c>
      <c r="C184" s="188" t="s">
        <v>144</v>
      </c>
      <c r="D184" s="188" t="s">
        <v>145</v>
      </c>
      <c r="E184" s="188" t="s">
        <v>351</v>
      </c>
      <c r="F184" s="189">
        <v>45840</v>
      </c>
      <c r="G184" s="190">
        <v>122.43</v>
      </c>
      <c r="H184" s="190">
        <f t="shared" si="8"/>
        <v>122.43</v>
      </c>
      <c r="J184" s="190">
        <v>464.07</v>
      </c>
      <c r="K184" s="191">
        <f t="shared" si="9"/>
        <v>-341.64</v>
      </c>
      <c r="L184" s="192">
        <f>+K184/J184</f>
        <v>-0.73618204150235955</v>
      </c>
    </row>
    <row r="185" spans="1:13" hidden="1" outlineLevel="4" x14ac:dyDescent="0.25">
      <c r="A185" s="188" t="s">
        <v>121</v>
      </c>
      <c r="B185" s="188" t="s">
        <v>348</v>
      </c>
      <c r="C185" s="188" t="s">
        <v>123</v>
      </c>
      <c r="D185" s="188" t="s">
        <v>214</v>
      </c>
      <c r="E185" s="188" t="s">
        <v>350</v>
      </c>
      <c r="F185" s="189">
        <v>45839</v>
      </c>
      <c r="G185" s="190">
        <v>1974.5</v>
      </c>
      <c r="H185" s="190">
        <f t="shared" si="8"/>
        <v>1974.5</v>
      </c>
      <c r="J185" s="190">
        <v>1974.5</v>
      </c>
      <c r="K185" s="191">
        <f t="shared" si="9"/>
        <v>0</v>
      </c>
      <c r="L185" s="192">
        <f>+K185/J185</f>
        <v>0</v>
      </c>
    </row>
    <row r="186" spans="1:13" hidden="1" outlineLevel="3" x14ac:dyDescent="0.25">
      <c r="B186" s="183" t="s">
        <v>352</v>
      </c>
      <c r="F186" s="189"/>
      <c r="G186" s="190">
        <f>SUBTOTAL(9,G181:G185)</f>
        <v>2372.83</v>
      </c>
      <c r="H186" s="190"/>
      <c r="J186" s="190">
        <f>SUBTOTAL(9,J181:J185)</f>
        <v>2774.76</v>
      </c>
      <c r="K186" s="191">
        <f>SUBTOTAL(9,K181:K185)</f>
        <v>-401.93</v>
      </c>
      <c r="L186" s="192"/>
    </row>
    <row r="187" spans="1:13" hidden="1" outlineLevel="4" x14ac:dyDescent="0.25">
      <c r="A187" s="188" t="s">
        <v>121</v>
      </c>
      <c r="B187" s="188" t="s">
        <v>353</v>
      </c>
      <c r="C187" s="188" t="s">
        <v>139</v>
      </c>
      <c r="D187" s="188" t="s">
        <v>354</v>
      </c>
      <c r="E187" s="188" t="s">
        <v>355</v>
      </c>
      <c r="F187" s="189">
        <v>45839</v>
      </c>
      <c r="G187" s="190">
        <v>1718.1</v>
      </c>
      <c r="H187" s="190">
        <f t="shared" si="8"/>
        <v>1718.1</v>
      </c>
      <c r="J187" s="190">
        <v>1718.1</v>
      </c>
      <c r="K187" s="191">
        <f t="shared" si="9"/>
        <v>0</v>
      </c>
      <c r="L187" s="192">
        <f>+K187/J187</f>
        <v>0</v>
      </c>
    </row>
    <row r="188" spans="1:13" hidden="1" outlineLevel="3" x14ac:dyDescent="0.25">
      <c r="B188" s="183" t="s">
        <v>356</v>
      </c>
      <c r="F188" s="189"/>
      <c r="G188" s="190">
        <f>SUBTOTAL(9,G187:G187)</f>
        <v>1718.1</v>
      </c>
      <c r="H188" s="190"/>
      <c r="J188" s="190">
        <f>SUBTOTAL(9,J187:J187)</f>
        <v>1718.1</v>
      </c>
      <c r="K188" s="191">
        <f>SUBTOTAL(9,K187:K187)</f>
        <v>0</v>
      </c>
      <c r="L188" s="192"/>
    </row>
    <row r="189" spans="1:13" hidden="1" outlineLevel="4" x14ac:dyDescent="0.25">
      <c r="A189" s="188" t="s">
        <v>121</v>
      </c>
      <c r="B189" s="188" t="s">
        <v>357</v>
      </c>
      <c r="C189" s="188" t="s">
        <v>139</v>
      </c>
      <c r="D189" s="188" t="s">
        <v>179</v>
      </c>
      <c r="E189" s="188" t="s">
        <v>358</v>
      </c>
      <c r="F189" s="189">
        <v>45839</v>
      </c>
      <c r="G189" s="190">
        <v>60</v>
      </c>
      <c r="H189" s="190">
        <f t="shared" si="8"/>
        <v>60</v>
      </c>
      <c r="J189" s="190">
        <v>133.65</v>
      </c>
      <c r="K189" s="191">
        <f t="shared" si="9"/>
        <v>-73.650000000000006</v>
      </c>
      <c r="L189" s="192">
        <f>+K189/J189</f>
        <v>-0.55106621773288444</v>
      </c>
    </row>
    <row r="190" spans="1:13" hidden="1" outlineLevel="4" x14ac:dyDescent="0.25">
      <c r="A190" s="188" t="s">
        <v>121</v>
      </c>
      <c r="B190" s="188" t="s">
        <v>357</v>
      </c>
      <c r="C190" s="188" t="s">
        <v>142</v>
      </c>
      <c r="D190" s="188" t="s">
        <v>181</v>
      </c>
      <c r="E190" s="188" t="s">
        <v>358</v>
      </c>
      <c r="F190" s="189">
        <v>45839</v>
      </c>
      <c r="G190" s="190">
        <v>84</v>
      </c>
      <c r="H190" s="190">
        <f t="shared" si="8"/>
        <v>84</v>
      </c>
      <c r="J190" s="190">
        <v>91</v>
      </c>
      <c r="K190" s="191">
        <f t="shared" si="9"/>
        <v>-7</v>
      </c>
      <c r="L190" s="192">
        <f>+K190/J190</f>
        <v>-7.6923076923076927E-2</v>
      </c>
    </row>
    <row r="191" spans="1:13" hidden="1" outlineLevel="4" x14ac:dyDescent="0.25">
      <c r="A191" s="188" t="s">
        <v>121</v>
      </c>
      <c r="B191" s="188" t="s">
        <v>357</v>
      </c>
      <c r="C191" s="188" t="s">
        <v>123</v>
      </c>
      <c r="D191" s="188" t="s">
        <v>188</v>
      </c>
      <c r="E191" s="188" t="s">
        <v>358</v>
      </c>
      <c r="F191" s="189">
        <v>45839</v>
      </c>
      <c r="G191" s="190">
        <v>1125</v>
      </c>
      <c r="H191" s="190">
        <f t="shared" si="8"/>
        <v>1125</v>
      </c>
      <c r="J191" s="190">
        <v>1430</v>
      </c>
      <c r="K191" s="191">
        <f t="shared" si="9"/>
        <v>-305</v>
      </c>
      <c r="L191" s="192">
        <f>+K191/J191</f>
        <v>-0.21328671328671328</v>
      </c>
    </row>
    <row r="192" spans="1:13" hidden="1" outlineLevel="3" x14ac:dyDescent="0.25">
      <c r="B192" s="183" t="s">
        <v>359</v>
      </c>
      <c r="F192" s="189"/>
      <c r="G192" s="190">
        <f>SUBTOTAL(9,G189:G191)</f>
        <v>1269</v>
      </c>
      <c r="H192" s="190"/>
      <c r="J192" s="190">
        <f>SUBTOTAL(9,J189:J191)</f>
        <v>1654.65</v>
      </c>
      <c r="K192" s="191">
        <f>SUBTOTAL(9,K189:K191)</f>
        <v>-385.65</v>
      </c>
      <c r="L192" s="192"/>
    </row>
    <row r="193" spans="1:13" hidden="1" outlineLevel="4" x14ac:dyDescent="0.25">
      <c r="A193" s="188" t="s">
        <v>121</v>
      </c>
      <c r="B193" s="194" t="s">
        <v>360</v>
      </c>
      <c r="C193" s="194" t="s">
        <v>139</v>
      </c>
      <c r="D193" s="194" t="s">
        <v>361</v>
      </c>
      <c r="E193" s="194"/>
      <c r="F193" s="195"/>
      <c r="G193" s="196"/>
      <c r="H193" s="190">
        <f t="shared" si="8"/>
        <v>0</v>
      </c>
      <c r="I193" s="194"/>
      <c r="J193" s="196">
        <v>50</v>
      </c>
      <c r="K193" s="191">
        <f t="shared" si="9"/>
        <v>-50</v>
      </c>
      <c r="L193" s="192">
        <f>+K193/J193</f>
        <v>-1</v>
      </c>
      <c r="M193" s="187" t="s">
        <v>129</v>
      </c>
    </row>
    <row r="194" spans="1:13" hidden="1" outlineLevel="4" x14ac:dyDescent="0.25">
      <c r="A194" s="188" t="s">
        <v>121</v>
      </c>
      <c r="B194" s="194" t="s">
        <v>360</v>
      </c>
      <c r="C194" s="194" t="s">
        <v>142</v>
      </c>
      <c r="D194" s="194" t="s">
        <v>362</v>
      </c>
      <c r="E194" s="194"/>
      <c r="F194" s="195"/>
      <c r="G194" s="196"/>
      <c r="H194" s="190">
        <f t="shared" si="8"/>
        <v>0</v>
      </c>
      <c r="I194" s="194"/>
      <c r="J194" s="196">
        <v>416</v>
      </c>
      <c r="K194" s="191">
        <f t="shared" si="9"/>
        <v>-416</v>
      </c>
      <c r="L194" s="192">
        <f>+K194/J194</f>
        <v>-1</v>
      </c>
      <c r="M194" s="187" t="s">
        <v>129</v>
      </c>
    </row>
    <row r="195" spans="1:13" hidden="1" outlineLevel="4" x14ac:dyDescent="0.25">
      <c r="A195" s="188" t="s">
        <v>121</v>
      </c>
      <c r="B195" s="194" t="s">
        <v>360</v>
      </c>
      <c r="C195" s="194" t="s">
        <v>123</v>
      </c>
      <c r="D195" s="194" t="s">
        <v>363</v>
      </c>
      <c r="E195" s="194"/>
      <c r="F195" s="195"/>
      <c r="G195" s="196"/>
      <c r="H195" s="190">
        <f t="shared" si="8"/>
        <v>0</v>
      </c>
      <c r="I195" s="194"/>
      <c r="J195" s="196">
        <v>1764</v>
      </c>
      <c r="K195" s="191">
        <f t="shared" si="9"/>
        <v>-1764</v>
      </c>
      <c r="L195" s="192">
        <f>+K195/J195</f>
        <v>-1</v>
      </c>
      <c r="M195" s="187" t="s">
        <v>129</v>
      </c>
    </row>
    <row r="196" spans="1:13" hidden="1" outlineLevel="3" x14ac:dyDescent="0.25">
      <c r="B196" s="197" t="s">
        <v>364</v>
      </c>
      <c r="C196" s="194"/>
      <c r="D196" s="194"/>
      <c r="E196" s="194"/>
      <c r="F196" s="195"/>
      <c r="G196" s="196">
        <f>SUBTOTAL(9,G193:G195)</f>
        <v>0</v>
      </c>
      <c r="H196" s="190"/>
      <c r="I196" s="194"/>
      <c r="J196" s="196">
        <f>SUBTOTAL(9,J193:J195)</f>
        <v>2230</v>
      </c>
      <c r="K196" s="191">
        <f>SUBTOTAL(9,K193:K195)</f>
        <v>-2230</v>
      </c>
      <c r="L196" s="192"/>
      <c r="M196" s="187" t="s">
        <v>129</v>
      </c>
    </row>
    <row r="197" spans="1:13" hidden="1" outlineLevel="4" x14ac:dyDescent="0.25">
      <c r="A197" s="188" t="s">
        <v>121</v>
      </c>
      <c r="B197" s="188" t="s">
        <v>365</v>
      </c>
      <c r="C197" s="188" t="s">
        <v>127</v>
      </c>
      <c r="D197" s="188" t="s">
        <v>137</v>
      </c>
      <c r="E197" s="188" t="s">
        <v>366</v>
      </c>
      <c r="F197" s="189">
        <v>45839</v>
      </c>
      <c r="G197" s="190">
        <v>100.5</v>
      </c>
      <c r="H197" s="190">
        <f t="shared" si="8"/>
        <v>100.5</v>
      </c>
      <c r="J197" s="190">
        <v>100.5</v>
      </c>
      <c r="K197" s="191">
        <f t="shared" si="9"/>
        <v>0</v>
      </c>
      <c r="L197" s="192">
        <f>+K197/J197</f>
        <v>0</v>
      </c>
    </row>
    <row r="198" spans="1:13" hidden="1" outlineLevel="4" x14ac:dyDescent="0.25">
      <c r="A198" s="188" t="s">
        <v>121</v>
      </c>
      <c r="B198" s="188" t="s">
        <v>365</v>
      </c>
      <c r="C198" s="188" t="s">
        <v>139</v>
      </c>
      <c r="D198" s="188" t="s">
        <v>367</v>
      </c>
      <c r="E198" s="188" t="s">
        <v>368</v>
      </c>
      <c r="F198" s="189">
        <v>45839</v>
      </c>
      <c r="G198" s="190">
        <v>117.51600000000001</v>
      </c>
      <c r="H198" s="190">
        <f t="shared" si="8"/>
        <v>117.51600000000001</v>
      </c>
      <c r="J198" s="190">
        <v>117.4272</v>
      </c>
      <c r="K198" s="191">
        <f t="shared" si="9"/>
        <v>8.8800000000006207E-2</v>
      </c>
      <c r="L198" s="192">
        <f>+K198/J198</f>
        <v>7.5621321124923538E-4</v>
      </c>
    </row>
    <row r="199" spans="1:13" hidden="1" outlineLevel="4" x14ac:dyDescent="0.25">
      <c r="A199" s="188" t="s">
        <v>121</v>
      </c>
      <c r="B199" s="188" t="s">
        <v>365</v>
      </c>
      <c r="C199" s="188" t="s">
        <v>144</v>
      </c>
      <c r="D199" s="188" t="s">
        <v>145</v>
      </c>
      <c r="E199" s="188" t="s">
        <v>369</v>
      </c>
      <c r="F199" s="189">
        <v>45840</v>
      </c>
      <c r="G199" s="190">
        <v>569.5</v>
      </c>
      <c r="H199" s="190">
        <f t="shared" si="8"/>
        <v>569.5</v>
      </c>
      <c r="J199" s="190">
        <v>569.5</v>
      </c>
      <c r="K199" s="191">
        <f t="shared" si="9"/>
        <v>0</v>
      </c>
      <c r="L199" s="192">
        <f>+K199/J199</f>
        <v>0</v>
      </c>
    </row>
    <row r="200" spans="1:13" hidden="1" outlineLevel="4" x14ac:dyDescent="0.25">
      <c r="A200" s="188" t="s">
        <v>121</v>
      </c>
      <c r="B200" s="188" t="s">
        <v>365</v>
      </c>
      <c r="C200" s="188" t="s">
        <v>123</v>
      </c>
      <c r="D200" s="188" t="s">
        <v>123</v>
      </c>
      <c r="E200" s="188" t="s">
        <v>368</v>
      </c>
      <c r="F200" s="189">
        <v>45839</v>
      </c>
      <c r="G200" s="190">
        <v>149.00399999999999</v>
      </c>
      <c r="H200" s="190">
        <f t="shared" si="8"/>
        <v>149.00399999999999</v>
      </c>
      <c r="J200" s="190">
        <v>149.00280000000001</v>
      </c>
      <c r="K200" s="191">
        <f t="shared" si="9"/>
        <v>1.1999999999829924E-3</v>
      </c>
      <c r="L200" s="192">
        <f>+K200/J200</f>
        <v>8.0535399333636177E-6</v>
      </c>
    </row>
    <row r="201" spans="1:13" hidden="1" outlineLevel="3" x14ac:dyDescent="0.25">
      <c r="B201" s="183" t="s">
        <v>370</v>
      </c>
      <c r="F201" s="189"/>
      <c r="G201" s="190">
        <f>SUBTOTAL(9,G197:G200)</f>
        <v>936.5200000000001</v>
      </c>
      <c r="H201" s="190"/>
      <c r="J201" s="190">
        <f>SUBTOTAL(9,J197:J200)</f>
        <v>936.43</v>
      </c>
      <c r="K201" s="191">
        <f>SUBTOTAL(9,K197:K200)</f>
        <v>8.99999999999892E-2</v>
      </c>
      <c r="L201" s="192"/>
    </row>
    <row r="202" spans="1:13" hidden="1" outlineLevel="4" x14ac:dyDescent="0.25">
      <c r="A202" s="188" t="s">
        <v>121</v>
      </c>
      <c r="B202" s="188" t="s">
        <v>371</v>
      </c>
      <c r="C202" s="188" t="s">
        <v>123</v>
      </c>
      <c r="D202" s="188" t="s">
        <v>372</v>
      </c>
      <c r="E202" s="188" t="s">
        <v>373</v>
      </c>
      <c r="F202" s="189">
        <v>45839</v>
      </c>
      <c r="G202" s="190">
        <v>544</v>
      </c>
      <c r="H202" s="190">
        <f t="shared" si="8"/>
        <v>544</v>
      </c>
      <c r="J202" s="190">
        <v>544</v>
      </c>
      <c r="K202" s="191">
        <f t="shared" si="9"/>
        <v>0</v>
      </c>
      <c r="L202" s="192">
        <f>+K202/J202</f>
        <v>0</v>
      </c>
    </row>
    <row r="203" spans="1:13" hidden="1" outlineLevel="3" x14ac:dyDescent="0.25">
      <c r="B203" s="183" t="s">
        <v>374</v>
      </c>
      <c r="F203" s="189"/>
      <c r="G203" s="190">
        <f>SUBTOTAL(9,G202:G202)</f>
        <v>544</v>
      </c>
      <c r="H203" s="190"/>
      <c r="J203" s="190">
        <f>SUBTOTAL(9,J202:J202)</f>
        <v>544</v>
      </c>
      <c r="K203" s="191">
        <f>SUBTOTAL(9,K202:K202)</f>
        <v>0</v>
      </c>
      <c r="L203" s="192"/>
    </row>
    <row r="204" spans="1:13" hidden="1" outlineLevel="4" x14ac:dyDescent="0.25">
      <c r="A204" s="188" t="s">
        <v>121</v>
      </c>
      <c r="B204" s="188" t="s">
        <v>375</v>
      </c>
      <c r="C204" s="188" t="s">
        <v>139</v>
      </c>
      <c r="D204" s="188" t="s">
        <v>376</v>
      </c>
      <c r="E204" s="188" t="s">
        <v>377</v>
      </c>
      <c r="F204" s="189">
        <v>45839</v>
      </c>
      <c r="G204" s="190">
        <v>275</v>
      </c>
      <c r="H204" s="190">
        <f t="shared" si="8"/>
        <v>275</v>
      </c>
      <c r="J204" s="190">
        <v>255</v>
      </c>
      <c r="K204" s="191">
        <f t="shared" si="9"/>
        <v>20</v>
      </c>
      <c r="L204" s="192">
        <f>+K204/J204</f>
        <v>7.8431372549019607E-2</v>
      </c>
    </row>
    <row r="205" spans="1:13" hidden="1" outlineLevel="4" x14ac:dyDescent="0.25">
      <c r="A205" s="188" t="s">
        <v>121</v>
      </c>
      <c r="B205" s="188" t="s">
        <v>375</v>
      </c>
      <c r="C205" s="188" t="s">
        <v>123</v>
      </c>
      <c r="D205" s="188" t="s">
        <v>378</v>
      </c>
      <c r="E205" s="188" t="s">
        <v>379</v>
      </c>
      <c r="F205" s="189">
        <v>45839</v>
      </c>
      <c r="G205" s="190">
        <v>2490</v>
      </c>
      <c r="H205" s="190">
        <f t="shared" si="8"/>
        <v>2490</v>
      </c>
      <c r="J205" s="190">
        <v>2490</v>
      </c>
      <c r="K205" s="191">
        <f t="shared" si="9"/>
        <v>0</v>
      </c>
      <c r="L205" s="192">
        <f>+K205/J205</f>
        <v>0</v>
      </c>
    </row>
    <row r="206" spans="1:13" hidden="1" outlineLevel="3" x14ac:dyDescent="0.25">
      <c r="B206" s="183" t="s">
        <v>380</v>
      </c>
      <c r="F206" s="189"/>
      <c r="G206" s="190">
        <f>SUBTOTAL(9,G204:G205)</f>
        <v>2765</v>
      </c>
      <c r="H206" s="190"/>
      <c r="J206" s="190">
        <f>SUBTOTAL(9,J204:J205)</f>
        <v>2745</v>
      </c>
      <c r="K206" s="191">
        <f>SUBTOTAL(9,K204:K205)</f>
        <v>20</v>
      </c>
      <c r="L206" s="192"/>
    </row>
    <row r="207" spans="1:13" hidden="1" outlineLevel="4" x14ac:dyDescent="0.25">
      <c r="A207" s="188" t="s">
        <v>121</v>
      </c>
      <c r="B207" s="194" t="s">
        <v>381</v>
      </c>
      <c r="C207" s="194" t="s">
        <v>127</v>
      </c>
      <c r="D207" s="194" t="s">
        <v>150</v>
      </c>
      <c r="E207" s="194"/>
      <c r="F207" s="195"/>
      <c r="G207" s="196"/>
      <c r="H207" s="190">
        <f t="shared" si="8"/>
        <v>0</v>
      </c>
      <c r="I207" s="194"/>
      <c r="J207" s="196">
        <v>73.31</v>
      </c>
      <c r="K207" s="191">
        <f t="shared" si="9"/>
        <v>-73.31</v>
      </c>
      <c r="L207" s="192">
        <f t="shared" ref="L207:L212" si="10">+K207/J207</f>
        <v>-1</v>
      </c>
      <c r="M207" s="187" t="s">
        <v>129</v>
      </c>
    </row>
    <row r="208" spans="1:13" hidden="1" outlineLevel="4" x14ac:dyDescent="0.25">
      <c r="A208" s="188" t="s">
        <v>121</v>
      </c>
      <c r="B208" s="188" t="s">
        <v>381</v>
      </c>
      <c r="C208" s="188" t="s">
        <v>170</v>
      </c>
      <c r="D208" s="188" t="s">
        <v>382</v>
      </c>
      <c r="E208" s="188" t="s">
        <v>383</v>
      </c>
      <c r="F208" s="189">
        <v>45839</v>
      </c>
      <c r="G208" s="190">
        <v>261</v>
      </c>
      <c r="H208" s="190">
        <f t="shared" si="8"/>
        <v>261</v>
      </c>
      <c r="J208" s="190">
        <v>261</v>
      </c>
      <c r="K208" s="191">
        <f t="shared" si="9"/>
        <v>0</v>
      </c>
      <c r="L208" s="192">
        <f t="shared" si="10"/>
        <v>0</v>
      </c>
    </row>
    <row r="209" spans="1:13" hidden="1" outlineLevel="4" x14ac:dyDescent="0.25">
      <c r="A209" s="188" t="s">
        <v>121</v>
      </c>
      <c r="B209" s="188" t="s">
        <v>381</v>
      </c>
      <c r="C209" s="188" t="s">
        <v>139</v>
      </c>
      <c r="D209" s="188" t="s">
        <v>384</v>
      </c>
      <c r="E209" s="188" t="s">
        <v>383</v>
      </c>
      <c r="F209" s="189">
        <v>45839</v>
      </c>
      <c r="G209" s="190">
        <v>119.7916</v>
      </c>
      <c r="H209" s="190">
        <f t="shared" si="8"/>
        <v>119.7916</v>
      </c>
      <c r="J209" s="190">
        <v>119.3116</v>
      </c>
      <c r="K209" s="191">
        <f t="shared" si="9"/>
        <v>0.48000000000000398</v>
      </c>
      <c r="L209" s="192">
        <f t="shared" si="10"/>
        <v>4.0230790635613304E-3</v>
      </c>
    </row>
    <row r="210" spans="1:13" hidden="1" outlineLevel="4" x14ac:dyDescent="0.25">
      <c r="A210" s="188" t="s">
        <v>121</v>
      </c>
      <c r="B210" s="188" t="s">
        <v>381</v>
      </c>
      <c r="C210" s="188" t="s">
        <v>142</v>
      </c>
      <c r="D210" s="188" t="s">
        <v>385</v>
      </c>
      <c r="E210" s="188" t="s">
        <v>383</v>
      </c>
      <c r="F210" s="189">
        <v>45839</v>
      </c>
      <c r="G210" s="190">
        <v>331.5</v>
      </c>
      <c r="H210" s="190">
        <f t="shared" si="8"/>
        <v>331.5</v>
      </c>
      <c r="J210" s="190">
        <v>331.5</v>
      </c>
      <c r="K210" s="191">
        <f t="shared" si="9"/>
        <v>0</v>
      </c>
      <c r="L210" s="192">
        <f t="shared" si="10"/>
        <v>0</v>
      </c>
    </row>
    <row r="211" spans="1:13" hidden="1" outlineLevel="4" x14ac:dyDescent="0.25">
      <c r="A211" s="188" t="s">
        <v>121</v>
      </c>
      <c r="B211" s="194" t="s">
        <v>381</v>
      </c>
      <c r="C211" s="194" t="s">
        <v>144</v>
      </c>
      <c r="D211" s="194" t="s">
        <v>163</v>
      </c>
      <c r="E211" s="194"/>
      <c r="F211" s="195"/>
      <c r="G211" s="196"/>
      <c r="H211" s="190">
        <f t="shared" si="8"/>
        <v>0</v>
      </c>
      <c r="I211" s="194"/>
      <c r="J211" s="196">
        <v>415.44</v>
      </c>
      <c r="K211" s="191">
        <f t="shared" si="9"/>
        <v>-415.44</v>
      </c>
      <c r="L211" s="192">
        <f t="shared" si="10"/>
        <v>-1</v>
      </c>
      <c r="M211" s="187" t="s">
        <v>129</v>
      </c>
    </row>
    <row r="212" spans="1:13" hidden="1" outlineLevel="4" x14ac:dyDescent="0.25">
      <c r="A212" s="188" t="s">
        <v>121</v>
      </c>
      <c r="B212" s="188" t="s">
        <v>381</v>
      </c>
      <c r="C212" s="188" t="s">
        <v>123</v>
      </c>
      <c r="D212" s="188" t="s">
        <v>386</v>
      </c>
      <c r="E212" s="188" t="s">
        <v>383</v>
      </c>
      <c r="F212" s="189">
        <v>45839</v>
      </c>
      <c r="G212" s="190">
        <v>2993.19</v>
      </c>
      <c r="H212" s="190">
        <f t="shared" si="8"/>
        <v>2993.19</v>
      </c>
      <c r="J212" s="190">
        <v>2906</v>
      </c>
      <c r="K212" s="191">
        <f t="shared" si="9"/>
        <v>87.190000000000055</v>
      </c>
      <c r="L212" s="192">
        <f t="shared" si="10"/>
        <v>3.0003441156228512E-2</v>
      </c>
    </row>
    <row r="213" spans="1:13" hidden="1" outlineLevel="3" x14ac:dyDescent="0.25">
      <c r="B213" s="183" t="s">
        <v>387</v>
      </c>
      <c r="F213" s="189"/>
      <c r="G213" s="190">
        <f>SUBTOTAL(9,G207:G212)</f>
        <v>3705.4816000000001</v>
      </c>
      <c r="H213" s="190"/>
      <c r="J213" s="190">
        <f>SUBTOTAL(9,J207:J212)</f>
        <v>4106.5616</v>
      </c>
      <c r="K213" s="191">
        <f>SUBTOTAL(9,K207:K212)</f>
        <v>-401.07999999999993</v>
      </c>
      <c r="L213" s="192"/>
    </row>
    <row r="214" spans="1:13" hidden="1" outlineLevel="4" x14ac:dyDescent="0.25">
      <c r="A214" s="188" t="s">
        <v>121</v>
      </c>
      <c r="B214" s="188" t="s">
        <v>388</v>
      </c>
      <c r="C214" s="188" t="s">
        <v>142</v>
      </c>
      <c r="D214" s="188" t="s">
        <v>142</v>
      </c>
      <c r="E214" s="188" t="s">
        <v>389</v>
      </c>
      <c r="F214" s="189">
        <v>45839</v>
      </c>
      <c r="G214" s="190">
        <v>126</v>
      </c>
      <c r="H214" s="190">
        <f t="shared" si="8"/>
        <v>126</v>
      </c>
      <c r="J214" s="190">
        <v>126</v>
      </c>
      <c r="K214" s="191">
        <f t="shared" si="9"/>
        <v>0</v>
      </c>
      <c r="L214" s="192">
        <f>+K214/J214</f>
        <v>0</v>
      </c>
    </row>
    <row r="215" spans="1:13" hidden="1" outlineLevel="4" x14ac:dyDescent="0.25">
      <c r="A215" s="188" t="s">
        <v>121</v>
      </c>
      <c r="B215" s="188" t="s">
        <v>388</v>
      </c>
      <c r="C215" s="188" t="s">
        <v>123</v>
      </c>
      <c r="D215" s="188" t="s">
        <v>123</v>
      </c>
      <c r="E215" s="188" t="s">
        <v>389</v>
      </c>
      <c r="F215" s="189">
        <v>45839</v>
      </c>
      <c r="G215" s="190">
        <v>810</v>
      </c>
      <c r="H215" s="190">
        <f t="shared" si="8"/>
        <v>810</v>
      </c>
      <c r="J215" s="190">
        <v>1012.25</v>
      </c>
      <c r="K215" s="191">
        <f t="shared" si="9"/>
        <v>-202.25</v>
      </c>
      <c r="L215" s="192">
        <f>+K215/J215</f>
        <v>-0.19980242035070389</v>
      </c>
    </row>
    <row r="216" spans="1:13" hidden="1" outlineLevel="3" x14ac:dyDescent="0.25">
      <c r="B216" s="183" t="s">
        <v>390</v>
      </c>
      <c r="F216" s="189"/>
      <c r="G216" s="190">
        <f>SUBTOTAL(9,G214:G215)</f>
        <v>936</v>
      </c>
      <c r="H216" s="190"/>
      <c r="J216" s="190">
        <f>SUBTOTAL(9,J214:J215)</f>
        <v>1138.25</v>
      </c>
      <c r="K216" s="191">
        <f>SUBTOTAL(9,K214:K215)</f>
        <v>-202.25</v>
      </c>
      <c r="L216" s="192"/>
    </row>
    <row r="217" spans="1:13" hidden="1" outlineLevel="4" x14ac:dyDescent="0.25">
      <c r="A217" s="188" t="s">
        <v>121</v>
      </c>
      <c r="B217" s="188" t="s">
        <v>391</v>
      </c>
      <c r="C217" s="188" t="s">
        <v>139</v>
      </c>
      <c r="D217" s="188" t="s">
        <v>139</v>
      </c>
      <c r="E217" s="188" t="s">
        <v>392</v>
      </c>
      <c r="F217" s="189">
        <v>45839</v>
      </c>
      <c r="G217" s="190">
        <v>457.8</v>
      </c>
      <c r="H217" s="190">
        <f t="shared" si="8"/>
        <v>457.8</v>
      </c>
      <c r="J217" s="190">
        <v>457.8</v>
      </c>
      <c r="K217" s="191">
        <f t="shared" si="9"/>
        <v>0</v>
      </c>
      <c r="L217" s="192">
        <f>+K217/J217</f>
        <v>0</v>
      </c>
    </row>
    <row r="218" spans="1:13" hidden="1" outlineLevel="3" x14ac:dyDescent="0.25">
      <c r="B218" s="183" t="s">
        <v>393</v>
      </c>
      <c r="F218" s="189"/>
      <c r="G218" s="190">
        <f>SUBTOTAL(9,G217:G217)</f>
        <v>457.8</v>
      </c>
      <c r="H218" s="190"/>
      <c r="J218" s="190">
        <f>SUBTOTAL(9,J217:J217)</f>
        <v>457.8</v>
      </c>
      <c r="K218" s="191">
        <f>SUBTOTAL(9,K217:K217)</f>
        <v>0</v>
      </c>
      <c r="L218" s="192"/>
    </row>
    <row r="219" spans="1:13" hidden="1" outlineLevel="4" x14ac:dyDescent="0.25">
      <c r="A219" s="188" t="s">
        <v>121</v>
      </c>
      <c r="B219" s="194" t="s">
        <v>394</v>
      </c>
      <c r="C219" s="194" t="s">
        <v>127</v>
      </c>
      <c r="D219" s="194" t="s">
        <v>395</v>
      </c>
      <c r="E219" s="194"/>
      <c r="F219" s="195"/>
      <c r="G219" s="196"/>
      <c r="H219" s="190">
        <f t="shared" si="8"/>
        <v>0</v>
      </c>
      <c r="I219" s="194"/>
      <c r="J219" s="198">
        <v>108.2</v>
      </c>
      <c r="K219" s="191">
        <f t="shared" si="9"/>
        <v>-108.2</v>
      </c>
      <c r="L219" s="192">
        <f>+K219/J219</f>
        <v>-1</v>
      </c>
      <c r="M219" s="187" t="s">
        <v>129</v>
      </c>
    </row>
    <row r="220" spans="1:13" hidden="1" outlineLevel="4" x14ac:dyDescent="0.25">
      <c r="A220" s="188" t="s">
        <v>121</v>
      </c>
      <c r="B220" s="194" t="s">
        <v>394</v>
      </c>
      <c r="C220" s="194" t="s">
        <v>144</v>
      </c>
      <c r="D220" s="194" t="s">
        <v>396</v>
      </c>
      <c r="E220" s="194"/>
      <c r="F220" s="195"/>
      <c r="G220" s="196"/>
      <c r="H220" s="190">
        <f t="shared" si="8"/>
        <v>0</v>
      </c>
      <c r="I220" s="194"/>
      <c r="J220" s="198">
        <v>162.30000000000001</v>
      </c>
      <c r="K220" s="191">
        <f t="shared" si="9"/>
        <v>-162.30000000000001</v>
      </c>
      <c r="L220" s="192">
        <f>+K220/J220</f>
        <v>-1</v>
      </c>
      <c r="M220" s="187" t="s">
        <v>129</v>
      </c>
    </row>
    <row r="221" spans="1:13" hidden="1" outlineLevel="3" x14ac:dyDescent="0.25">
      <c r="B221" s="197" t="s">
        <v>397</v>
      </c>
      <c r="C221" s="194"/>
      <c r="D221" s="194"/>
      <c r="E221" s="194"/>
      <c r="F221" s="195"/>
      <c r="G221" s="196">
        <f>SUBTOTAL(9,G219:G220)</f>
        <v>0</v>
      </c>
      <c r="H221" s="190"/>
      <c r="I221" s="194"/>
      <c r="J221" s="198">
        <f>SUBTOTAL(9,J219:J220)</f>
        <v>270.5</v>
      </c>
      <c r="K221" s="191">
        <f>SUBTOTAL(9,K219:K220)</f>
        <v>-270.5</v>
      </c>
      <c r="L221" s="192"/>
      <c r="M221" s="187" t="s">
        <v>129</v>
      </c>
    </row>
    <row r="222" spans="1:13" hidden="1" outlineLevel="4" x14ac:dyDescent="0.25">
      <c r="A222" s="188" t="s">
        <v>121</v>
      </c>
      <c r="B222" s="188" t="s">
        <v>398</v>
      </c>
      <c r="C222" s="188" t="s">
        <v>142</v>
      </c>
      <c r="D222" s="188" t="s">
        <v>399</v>
      </c>
      <c r="E222" s="188" t="s">
        <v>400</v>
      </c>
      <c r="F222" s="189">
        <v>45839</v>
      </c>
      <c r="G222" s="190">
        <v>482.4</v>
      </c>
      <c r="H222" s="190">
        <f t="shared" si="8"/>
        <v>482.4</v>
      </c>
      <c r="J222" s="190">
        <v>482.4</v>
      </c>
      <c r="K222" s="191">
        <f t="shared" si="9"/>
        <v>0</v>
      </c>
      <c r="L222" s="192">
        <f>+K222/J222</f>
        <v>0</v>
      </c>
    </row>
    <row r="223" spans="1:13" hidden="1" outlineLevel="4" x14ac:dyDescent="0.25">
      <c r="A223" s="188" t="s">
        <v>121</v>
      </c>
      <c r="B223" s="188" t="s">
        <v>398</v>
      </c>
      <c r="C223" s="188" t="s">
        <v>123</v>
      </c>
      <c r="D223" s="188" t="s">
        <v>123</v>
      </c>
      <c r="E223" s="188" t="s">
        <v>400</v>
      </c>
      <c r="F223" s="189">
        <v>45839</v>
      </c>
      <c r="G223" s="190">
        <v>4256.1499999999996</v>
      </c>
      <c r="H223" s="190">
        <f t="shared" si="8"/>
        <v>4256.1499999999996</v>
      </c>
      <c r="J223" s="190">
        <v>4256.1499999999996</v>
      </c>
      <c r="K223" s="191">
        <f t="shared" si="9"/>
        <v>0</v>
      </c>
      <c r="L223" s="192">
        <f>+K223/J223</f>
        <v>0</v>
      </c>
    </row>
    <row r="224" spans="1:13" hidden="1" outlineLevel="3" x14ac:dyDescent="0.25">
      <c r="B224" s="183" t="s">
        <v>401</v>
      </c>
      <c r="F224" s="189"/>
      <c r="G224" s="190">
        <f>SUBTOTAL(9,G222:G223)</f>
        <v>4738.5499999999993</v>
      </c>
      <c r="H224" s="190"/>
      <c r="J224" s="190">
        <f>SUBTOTAL(9,J222:J223)</f>
        <v>4738.5499999999993</v>
      </c>
      <c r="K224" s="191">
        <f>SUBTOTAL(9,K222:K223)</f>
        <v>0</v>
      </c>
      <c r="L224" s="192"/>
    </row>
    <row r="225" spans="1:14" hidden="1" outlineLevel="4" x14ac:dyDescent="0.25">
      <c r="A225" s="188" t="s">
        <v>121</v>
      </c>
      <c r="B225" s="188" t="s">
        <v>402</v>
      </c>
      <c r="C225" s="188" t="s">
        <v>127</v>
      </c>
      <c r="D225" s="188" t="s">
        <v>137</v>
      </c>
      <c r="E225" s="188" t="s">
        <v>403</v>
      </c>
      <c r="F225" s="189">
        <v>45839</v>
      </c>
      <c r="G225" s="190">
        <v>508.8</v>
      </c>
      <c r="H225" s="190">
        <f t="shared" si="8"/>
        <v>508.8</v>
      </c>
      <c r="J225" s="190">
        <v>508.8</v>
      </c>
      <c r="K225" s="191">
        <f t="shared" si="9"/>
        <v>0</v>
      </c>
      <c r="L225" s="192">
        <f>+K225/J225</f>
        <v>0</v>
      </c>
    </row>
    <row r="226" spans="1:14" hidden="1" outlineLevel="4" x14ac:dyDescent="0.25">
      <c r="A226" s="188" t="s">
        <v>121</v>
      </c>
      <c r="B226" s="188" t="s">
        <v>402</v>
      </c>
      <c r="C226" s="188" t="s">
        <v>139</v>
      </c>
      <c r="D226" s="188" t="s">
        <v>179</v>
      </c>
      <c r="E226" s="188" t="s">
        <v>404</v>
      </c>
      <c r="F226" s="189">
        <v>45839</v>
      </c>
      <c r="G226" s="190">
        <v>728.25</v>
      </c>
      <c r="H226" s="190">
        <f t="shared" si="8"/>
        <v>728.25</v>
      </c>
      <c r="J226" s="190">
        <v>710.63</v>
      </c>
      <c r="K226" s="191">
        <f t="shared" si="9"/>
        <v>17.620000000000005</v>
      </c>
      <c r="L226" s="192">
        <f>+K226/J226</f>
        <v>2.4794900299734045E-2</v>
      </c>
    </row>
    <row r="227" spans="1:14" hidden="1" outlineLevel="4" x14ac:dyDescent="0.25">
      <c r="A227" s="188" t="s">
        <v>121</v>
      </c>
      <c r="B227" s="188" t="s">
        <v>402</v>
      </c>
      <c r="C227" s="188" t="s">
        <v>142</v>
      </c>
      <c r="D227" s="188" t="s">
        <v>181</v>
      </c>
      <c r="E227" s="188" t="s">
        <v>404</v>
      </c>
      <c r="F227" s="189">
        <v>45839</v>
      </c>
      <c r="G227" s="190">
        <v>1092</v>
      </c>
      <c r="H227" s="190">
        <f t="shared" si="8"/>
        <v>1092</v>
      </c>
      <c r="J227" s="190">
        <v>1356</v>
      </c>
      <c r="K227" s="191">
        <f t="shared" si="9"/>
        <v>-264</v>
      </c>
      <c r="L227" s="192">
        <f>+K227/J227</f>
        <v>-0.19469026548672566</v>
      </c>
    </row>
    <row r="228" spans="1:14" hidden="1" outlineLevel="4" x14ac:dyDescent="0.25">
      <c r="A228" s="188" t="s">
        <v>121</v>
      </c>
      <c r="B228" s="188" t="s">
        <v>402</v>
      </c>
      <c r="C228" s="188" t="s">
        <v>144</v>
      </c>
      <c r="D228" s="188" t="s">
        <v>145</v>
      </c>
      <c r="E228" s="188" t="s">
        <v>405</v>
      </c>
      <c r="F228" s="189">
        <v>45840</v>
      </c>
      <c r="G228" s="190">
        <v>339.2</v>
      </c>
      <c r="H228" s="190">
        <f t="shared" si="8"/>
        <v>339.2</v>
      </c>
      <c r="J228" s="190">
        <v>339.2</v>
      </c>
      <c r="K228" s="191">
        <f t="shared" si="9"/>
        <v>0</v>
      </c>
      <c r="L228" s="192">
        <f>+K228/J228</f>
        <v>0</v>
      </c>
    </row>
    <row r="229" spans="1:14" hidden="1" outlineLevel="4" x14ac:dyDescent="0.25">
      <c r="A229" s="188" t="s">
        <v>121</v>
      </c>
      <c r="B229" s="188" t="s">
        <v>402</v>
      </c>
      <c r="C229" s="188" t="s">
        <v>123</v>
      </c>
      <c r="D229" s="188" t="s">
        <v>188</v>
      </c>
      <c r="E229" s="188" t="s">
        <v>404</v>
      </c>
      <c r="F229" s="189">
        <v>45839</v>
      </c>
      <c r="G229" s="190">
        <v>2278.75</v>
      </c>
      <c r="H229" s="190">
        <f t="shared" si="8"/>
        <v>2278.75</v>
      </c>
      <c r="J229" s="190">
        <v>2166.75</v>
      </c>
      <c r="K229" s="191">
        <f t="shared" si="9"/>
        <v>112</v>
      </c>
      <c r="L229" s="192">
        <f>+K229/J229</f>
        <v>5.1690319603092186E-2</v>
      </c>
    </row>
    <row r="230" spans="1:14" hidden="1" outlineLevel="3" x14ac:dyDescent="0.25">
      <c r="B230" s="183" t="s">
        <v>406</v>
      </c>
      <c r="F230" s="189"/>
      <c r="G230" s="190">
        <f>SUBTOTAL(9,G225:G229)</f>
        <v>4947</v>
      </c>
      <c r="H230" s="190"/>
      <c r="J230" s="190">
        <f>SUBTOTAL(9,J225:J229)</f>
        <v>5081.38</v>
      </c>
      <c r="K230" s="191">
        <f>SUBTOTAL(9,K225:K229)</f>
        <v>-134.38</v>
      </c>
      <c r="L230" s="192"/>
    </row>
    <row r="231" spans="1:14" hidden="1" outlineLevel="4" x14ac:dyDescent="0.25">
      <c r="A231" s="188" t="s">
        <v>121</v>
      </c>
      <c r="B231" s="188" t="s">
        <v>407</v>
      </c>
      <c r="C231" s="188" t="s">
        <v>170</v>
      </c>
      <c r="D231" s="188" t="s">
        <v>170</v>
      </c>
      <c r="E231" s="188" t="s">
        <v>408</v>
      </c>
      <c r="F231" s="189">
        <v>45839</v>
      </c>
      <c r="G231" s="190">
        <v>4.5999999999999996</v>
      </c>
      <c r="H231" s="190">
        <f t="shared" si="8"/>
        <v>4.5999999999999996</v>
      </c>
      <c r="J231" s="190">
        <v>4.5999999999999996</v>
      </c>
      <c r="K231" s="191">
        <f t="shared" si="9"/>
        <v>0</v>
      </c>
      <c r="L231" s="192">
        <f>+K231/J231</f>
        <v>0</v>
      </c>
    </row>
    <row r="232" spans="1:14" hidden="1" outlineLevel="4" x14ac:dyDescent="0.25">
      <c r="A232" s="188" t="s">
        <v>121</v>
      </c>
      <c r="B232" s="188" t="s">
        <v>407</v>
      </c>
      <c r="C232" s="188" t="s">
        <v>139</v>
      </c>
      <c r="D232" s="188" t="s">
        <v>409</v>
      </c>
      <c r="E232" s="188" t="s">
        <v>408</v>
      </c>
      <c r="F232" s="189">
        <v>45839</v>
      </c>
      <c r="G232" s="190">
        <v>216.3</v>
      </c>
      <c r="H232" s="190">
        <f t="shared" si="8"/>
        <v>216.3</v>
      </c>
      <c r="J232" s="190">
        <v>216.3</v>
      </c>
      <c r="K232" s="191">
        <f t="shared" si="9"/>
        <v>0</v>
      </c>
      <c r="L232" s="192">
        <f>+K232/J232</f>
        <v>0</v>
      </c>
    </row>
    <row r="233" spans="1:14" hidden="1" outlineLevel="4" x14ac:dyDescent="0.25">
      <c r="A233" s="188" t="s">
        <v>121</v>
      </c>
      <c r="B233" s="188" t="s">
        <v>407</v>
      </c>
      <c r="C233" s="188" t="s">
        <v>142</v>
      </c>
      <c r="D233" s="188" t="s">
        <v>410</v>
      </c>
      <c r="E233" s="188" t="s">
        <v>408</v>
      </c>
      <c r="F233" s="189">
        <v>45839</v>
      </c>
      <c r="G233" s="190">
        <v>301</v>
      </c>
      <c r="H233" s="190">
        <f t="shared" si="8"/>
        <v>301</v>
      </c>
      <c r="J233" s="190">
        <v>322</v>
      </c>
      <c r="K233" s="191">
        <f t="shared" si="9"/>
        <v>-21</v>
      </c>
      <c r="L233" s="192">
        <f>+K233/J233</f>
        <v>-6.5217391304347824E-2</v>
      </c>
    </row>
    <row r="234" spans="1:14" hidden="1" outlineLevel="4" x14ac:dyDescent="0.25">
      <c r="A234" s="188" t="s">
        <v>121</v>
      </c>
      <c r="B234" s="188" t="s">
        <v>407</v>
      </c>
      <c r="C234" s="188" t="s">
        <v>123</v>
      </c>
      <c r="D234" s="188" t="s">
        <v>411</v>
      </c>
      <c r="E234" s="188" t="s">
        <v>408</v>
      </c>
      <c r="F234" s="189">
        <v>45839</v>
      </c>
      <c r="G234" s="190">
        <v>2050</v>
      </c>
      <c r="H234" s="190">
        <f t="shared" si="8"/>
        <v>2050</v>
      </c>
      <c r="J234" s="190">
        <v>2050</v>
      </c>
      <c r="K234" s="191">
        <f t="shared" si="9"/>
        <v>0</v>
      </c>
      <c r="L234" s="192">
        <f>+K234/J234</f>
        <v>0</v>
      </c>
    </row>
    <row r="235" spans="1:14" hidden="1" outlineLevel="4" x14ac:dyDescent="0.25">
      <c r="A235" s="188" t="s">
        <v>121</v>
      </c>
      <c r="B235" s="188" t="s">
        <v>407</v>
      </c>
      <c r="C235" s="188" t="s">
        <v>123</v>
      </c>
      <c r="D235" s="188" t="s">
        <v>412</v>
      </c>
      <c r="E235" s="188" t="s">
        <v>408</v>
      </c>
      <c r="F235" s="189">
        <v>45839</v>
      </c>
      <c r="G235" s="190">
        <v>611.5</v>
      </c>
      <c r="H235" s="190">
        <f t="shared" si="8"/>
        <v>611.5</v>
      </c>
      <c r="J235" s="190">
        <v>611.5</v>
      </c>
      <c r="K235" s="191">
        <f t="shared" si="9"/>
        <v>0</v>
      </c>
      <c r="L235" s="192">
        <f>+K235/J235</f>
        <v>0</v>
      </c>
    </row>
    <row r="236" spans="1:14" hidden="1" outlineLevel="3" x14ac:dyDescent="0.25">
      <c r="B236" s="183" t="s">
        <v>413</v>
      </c>
      <c r="F236" s="189"/>
      <c r="G236" s="190">
        <f>SUBTOTAL(9,G231:G235)</f>
        <v>3183.4</v>
      </c>
      <c r="H236" s="190"/>
      <c r="J236" s="190">
        <f>SUBTOTAL(9,J231:J235)</f>
        <v>3204.4</v>
      </c>
      <c r="K236" s="191">
        <f>SUBTOTAL(9,K231:K235)</f>
        <v>-21</v>
      </c>
      <c r="L236" s="192"/>
    </row>
    <row r="237" spans="1:14" outlineLevel="2" collapsed="1" x14ac:dyDescent="0.25">
      <c r="A237" s="183" t="s">
        <v>414</v>
      </c>
      <c r="F237" s="189"/>
      <c r="G237" s="190">
        <f>SUBTOTAL(9,G2:G235)</f>
        <v>126795.08959999999</v>
      </c>
      <c r="H237" s="190"/>
      <c r="J237" s="190">
        <f>SUBTOTAL(9,J2:J235)</f>
        <v>138203.37820000001</v>
      </c>
      <c r="K237" s="191">
        <f>SUBTOTAL(9,K2:K235)</f>
        <v>-11408.2886</v>
      </c>
      <c r="L237" s="192"/>
    </row>
    <row r="238" spans="1:14" outlineLevel="4" x14ac:dyDescent="0.25">
      <c r="A238" s="188" t="s">
        <v>415</v>
      </c>
      <c r="B238" s="188" t="s">
        <v>416</v>
      </c>
      <c r="C238" s="188" t="s">
        <v>139</v>
      </c>
      <c r="D238" s="188" t="s">
        <v>160</v>
      </c>
      <c r="E238" s="188" t="s">
        <v>417</v>
      </c>
      <c r="F238" s="189">
        <v>45839</v>
      </c>
      <c r="G238" s="190">
        <v>1049.6035999999999</v>
      </c>
      <c r="H238" s="190">
        <f t="shared" si="8"/>
        <v>1049.6035999999999</v>
      </c>
      <c r="J238" s="190">
        <v>1554.7321999999999</v>
      </c>
      <c r="K238" s="191">
        <f t="shared" si="9"/>
        <v>-505.12860000000001</v>
      </c>
      <c r="M238" s="215"/>
      <c r="N238" s="191"/>
    </row>
    <row r="239" spans="1:14" outlineLevel="4" x14ac:dyDescent="0.25">
      <c r="A239" s="188" t="s">
        <v>415</v>
      </c>
      <c r="B239" s="188" t="s">
        <v>416</v>
      </c>
      <c r="C239" s="188" t="s">
        <v>142</v>
      </c>
      <c r="D239" s="188" t="s">
        <v>142</v>
      </c>
      <c r="E239" s="188" t="s">
        <v>417</v>
      </c>
      <c r="F239" s="189">
        <v>45839</v>
      </c>
      <c r="G239" s="190">
        <f>11355-150</f>
        <v>11205</v>
      </c>
      <c r="H239" s="190">
        <f t="shared" si="8"/>
        <v>11205</v>
      </c>
      <c r="J239" s="190">
        <v>11307</v>
      </c>
      <c r="K239" s="191">
        <f t="shared" si="9"/>
        <v>-102</v>
      </c>
      <c r="M239" s="215"/>
      <c r="N239" s="191"/>
    </row>
    <row r="240" spans="1:14" outlineLevel="4" x14ac:dyDescent="0.25">
      <c r="A240" s="188" t="s">
        <v>415</v>
      </c>
      <c r="B240" s="188" t="s">
        <v>416</v>
      </c>
      <c r="C240" s="188" t="s">
        <v>123</v>
      </c>
      <c r="D240" s="188" t="s">
        <v>123</v>
      </c>
      <c r="E240" s="188" t="s">
        <v>417</v>
      </c>
      <c r="F240" s="189">
        <v>45839</v>
      </c>
      <c r="G240" s="190">
        <v>27960</v>
      </c>
      <c r="H240" s="190">
        <f t="shared" si="8"/>
        <v>27960</v>
      </c>
      <c r="J240" s="190">
        <v>27575</v>
      </c>
      <c r="K240" s="191">
        <f t="shared" si="9"/>
        <v>385</v>
      </c>
      <c r="M240" s="215"/>
      <c r="N240" s="191"/>
    </row>
    <row r="241" spans="1:14" outlineLevel="3" x14ac:dyDescent="0.25">
      <c r="B241" s="183" t="s">
        <v>418</v>
      </c>
      <c r="F241" s="189"/>
      <c r="G241" s="190">
        <f>SUBTOTAL(9,G238:G240)</f>
        <v>40214.603600000002</v>
      </c>
      <c r="H241" s="190"/>
      <c r="J241" s="190">
        <f>SUBTOTAL(9,J238:J240)</f>
        <v>40436.732199999999</v>
      </c>
      <c r="K241" s="191">
        <f>SUBTOTAL(9,K238:K240)</f>
        <v>-222.12860000000001</v>
      </c>
      <c r="M241" s="215"/>
      <c r="N241" s="191"/>
    </row>
    <row r="242" spans="1:14" outlineLevel="4" x14ac:dyDescent="0.25">
      <c r="A242" s="188" t="s">
        <v>415</v>
      </c>
      <c r="B242" s="188" t="s">
        <v>419</v>
      </c>
      <c r="C242" s="188" t="s">
        <v>420</v>
      </c>
      <c r="D242" s="188" t="s">
        <v>420</v>
      </c>
      <c r="E242" s="188" t="s">
        <v>421</v>
      </c>
      <c r="F242" s="189">
        <v>45853</v>
      </c>
      <c r="G242" s="190">
        <v>954.1</v>
      </c>
      <c r="H242" s="190">
        <f t="shared" si="8"/>
        <v>954.1</v>
      </c>
      <c r="J242" s="190">
        <v>954.1</v>
      </c>
      <c r="K242" s="191">
        <f t="shared" si="9"/>
        <v>0</v>
      </c>
      <c r="M242" s="215"/>
      <c r="N242" s="191"/>
    </row>
    <row r="243" spans="1:14" outlineLevel="4" x14ac:dyDescent="0.25">
      <c r="A243" s="188" t="s">
        <v>415</v>
      </c>
      <c r="B243" s="188" t="s">
        <v>419</v>
      </c>
      <c r="C243" s="188" t="s">
        <v>139</v>
      </c>
      <c r="D243" s="188" t="s">
        <v>139</v>
      </c>
      <c r="E243" s="188" t="s">
        <v>421</v>
      </c>
      <c r="F243" s="189">
        <v>45853</v>
      </c>
      <c r="G243" s="190">
        <v>28.38</v>
      </c>
      <c r="H243" s="190">
        <f t="shared" si="8"/>
        <v>28.38</v>
      </c>
      <c r="J243" s="190">
        <v>28.38</v>
      </c>
      <c r="K243" s="191">
        <f t="shared" si="9"/>
        <v>0</v>
      </c>
      <c r="M243" s="215"/>
      <c r="N243" s="191"/>
    </row>
    <row r="244" spans="1:14" outlineLevel="4" x14ac:dyDescent="0.25">
      <c r="A244" s="188" t="s">
        <v>415</v>
      </c>
      <c r="B244" s="188" t="s">
        <v>419</v>
      </c>
      <c r="C244" s="188" t="s">
        <v>142</v>
      </c>
      <c r="D244" s="188" t="s">
        <v>142</v>
      </c>
      <c r="E244" s="188" t="s">
        <v>421</v>
      </c>
      <c r="F244" s="189">
        <v>45853</v>
      </c>
      <c r="G244" s="190">
        <f>323.5+14</f>
        <v>337.5</v>
      </c>
      <c r="H244" s="190">
        <f t="shared" si="8"/>
        <v>337.5</v>
      </c>
      <c r="J244" s="190">
        <v>337.5</v>
      </c>
      <c r="K244" s="191">
        <f t="shared" si="9"/>
        <v>0</v>
      </c>
      <c r="M244" s="215"/>
      <c r="N244" s="191"/>
    </row>
    <row r="245" spans="1:14" outlineLevel="4" x14ac:dyDescent="0.25">
      <c r="A245" s="188" t="s">
        <v>415</v>
      </c>
      <c r="B245" s="188" t="s">
        <v>419</v>
      </c>
      <c r="C245" s="188" t="s">
        <v>123</v>
      </c>
      <c r="D245" s="188" t="s">
        <v>123</v>
      </c>
      <c r="E245" s="188" t="s">
        <v>421</v>
      </c>
      <c r="F245" s="189">
        <v>45853</v>
      </c>
      <c r="G245" s="190">
        <v>351.5</v>
      </c>
      <c r="H245" s="190">
        <f t="shared" si="8"/>
        <v>351.5</v>
      </c>
      <c r="J245" s="190">
        <v>351.5</v>
      </c>
      <c r="K245" s="191">
        <f t="shared" si="9"/>
        <v>0</v>
      </c>
      <c r="M245" s="215"/>
      <c r="N245" s="191"/>
    </row>
    <row r="246" spans="1:14" outlineLevel="3" x14ac:dyDescent="0.25">
      <c r="B246" s="183" t="s">
        <v>422</v>
      </c>
      <c r="F246" s="189"/>
      <c r="G246" s="190">
        <f>SUBTOTAL(9,G242:G245)</f>
        <v>1671.48</v>
      </c>
      <c r="H246" s="190"/>
      <c r="J246" s="190">
        <f>SUBTOTAL(9,J242:J245)</f>
        <v>1671.48</v>
      </c>
      <c r="K246" s="191">
        <f>SUBTOTAL(9,K242:K245)</f>
        <v>0</v>
      </c>
      <c r="M246" s="215"/>
      <c r="N246" s="191"/>
    </row>
    <row r="247" spans="1:14" outlineLevel="4" x14ac:dyDescent="0.25">
      <c r="A247" s="188" t="s">
        <v>415</v>
      </c>
      <c r="B247" s="188" t="s">
        <v>423</v>
      </c>
      <c r="C247" s="188" t="s">
        <v>170</v>
      </c>
      <c r="D247" s="188" t="s">
        <v>170</v>
      </c>
      <c r="E247" s="188" t="s">
        <v>424</v>
      </c>
      <c r="F247" s="189">
        <v>45839</v>
      </c>
      <c r="G247" s="190">
        <v>484</v>
      </c>
      <c r="H247" s="190">
        <f t="shared" si="8"/>
        <v>484</v>
      </c>
      <c r="J247" s="190">
        <v>462</v>
      </c>
      <c r="K247" s="191">
        <f t="shared" si="9"/>
        <v>22</v>
      </c>
      <c r="M247" s="215"/>
      <c r="N247" s="191"/>
    </row>
    <row r="248" spans="1:14" outlineLevel="4" x14ac:dyDescent="0.25">
      <c r="A248" s="188" t="s">
        <v>415</v>
      </c>
      <c r="B248" s="188" t="s">
        <v>423</v>
      </c>
      <c r="C248" s="188" t="s">
        <v>139</v>
      </c>
      <c r="D248" s="188" t="s">
        <v>425</v>
      </c>
      <c r="E248" s="188" t="s">
        <v>424</v>
      </c>
      <c r="F248" s="189">
        <v>45839</v>
      </c>
      <c r="G248" s="190">
        <v>158</v>
      </c>
      <c r="H248" s="190">
        <f t="shared" si="8"/>
        <v>158</v>
      </c>
      <c r="J248" s="190">
        <v>158</v>
      </c>
      <c r="K248" s="191">
        <f t="shared" si="9"/>
        <v>0</v>
      </c>
      <c r="M248" s="215"/>
      <c r="N248" s="191"/>
    </row>
    <row r="249" spans="1:14" outlineLevel="4" x14ac:dyDescent="0.25">
      <c r="A249" s="188" t="s">
        <v>415</v>
      </c>
      <c r="B249" s="188" t="s">
        <v>423</v>
      </c>
      <c r="C249" s="188" t="s">
        <v>139</v>
      </c>
      <c r="D249" s="188" t="s">
        <v>426</v>
      </c>
      <c r="E249" s="188" t="s">
        <v>424</v>
      </c>
      <c r="F249" s="189">
        <v>45839</v>
      </c>
      <c r="G249" s="190">
        <v>293.1198</v>
      </c>
      <c r="H249" s="190">
        <f t="shared" si="8"/>
        <v>293.1198</v>
      </c>
      <c r="J249" s="190">
        <v>290.07839999999999</v>
      </c>
      <c r="K249" s="191">
        <f t="shared" si="9"/>
        <v>3.0414000000000101</v>
      </c>
      <c r="M249" s="215"/>
      <c r="N249" s="191"/>
    </row>
    <row r="250" spans="1:14" outlineLevel="4" x14ac:dyDescent="0.25">
      <c r="A250" s="188" t="s">
        <v>415</v>
      </c>
      <c r="B250" s="188" t="s">
        <v>423</v>
      </c>
      <c r="C250" s="188" t="s">
        <v>142</v>
      </c>
      <c r="D250" s="188" t="s">
        <v>427</v>
      </c>
      <c r="E250" s="188" t="s">
        <v>424</v>
      </c>
      <c r="F250" s="189">
        <v>45839</v>
      </c>
      <c r="G250" s="190">
        <v>431</v>
      </c>
      <c r="H250" s="190">
        <f t="shared" si="8"/>
        <v>431</v>
      </c>
      <c r="J250" s="190">
        <v>480</v>
      </c>
      <c r="K250" s="191">
        <f t="shared" si="9"/>
        <v>-49</v>
      </c>
      <c r="M250" s="215"/>
      <c r="N250" s="191"/>
    </row>
    <row r="251" spans="1:14" outlineLevel="4" x14ac:dyDescent="0.25">
      <c r="A251" s="188" t="s">
        <v>415</v>
      </c>
      <c r="B251" s="188" t="s">
        <v>423</v>
      </c>
      <c r="C251" s="188" t="s">
        <v>123</v>
      </c>
      <c r="D251" s="188" t="s">
        <v>428</v>
      </c>
      <c r="E251" s="188" t="s">
        <v>424</v>
      </c>
      <c r="F251" s="189">
        <v>45839</v>
      </c>
      <c r="G251" s="190">
        <v>1440.0001999999999</v>
      </c>
      <c r="H251" s="190">
        <f t="shared" ref="H251:H331" si="11">+G251</f>
        <v>1440.0001999999999</v>
      </c>
      <c r="J251" s="190">
        <v>1495.0016000000001</v>
      </c>
      <c r="K251" s="191">
        <f t="shared" ref="K251:K331" si="12">+H251-J251</f>
        <v>-55.001400000000103</v>
      </c>
      <c r="M251" s="215"/>
      <c r="N251" s="191"/>
    </row>
    <row r="252" spans="1:14" outlineLevel="3" x14ac:dyDescent="0.25">
      <c r="B252" s="183" t="s">
        <v>429</v>
      </c>
      <c r="F252" s="189"/>
      <c r="G252" s="190">
        <f>SUBTOTAL(9,G247:G251)</f>
        <v>2806.12</v>
      </c>
      <c r="H252" s="190"/>
      <c r="J252" s="190">
        <f>SUBTOTAL(9,J247:J251)</f>
        <v>2885.08</v>
      </c>
      <c r="K252" s="191">
        <f>SUBTOTAL(9,K247:K251)</f>
        <v>-78.960000000000093</v>
      </c>
      <c r="M252" s="215"/>
      <c r="N252" s="191"/>
    </row>
    <row r="253" spans="1:14" outlineLevel="4" x14ac:dyDescent="0.25">
      <c r="A253" s="188" t="s">
        <v>415</v>
      </c>
      <c r="B253" s="188" t="s">
        <v>430</v>
      </c>
      <c r="C253" s="188" t="s">
        <v>170</v>
      </c>
      <c r="D253" s="188" t="s">
        <v>170</v>
      </c>
      <c r="E253" s="188" t="s">
        <v>431</v>
      </c>
      <c r="F253" s="189">
        <v>45839</v>
      </c>
      <c r="G253" s="190">
        <v>655.20000000000005</v>
      </c>
      <c r="H253" s="190">
        <f t="shared" si="11"/>
        <v>655.20000000000005</v>
      </c>
      <c r="J253" s="190">
        <v>489.6</v>
      </c>
      <c r="K253" s="191">
        <f t="shared" si="12"/>
        <v>165.60000000000002</v>
      </c>
      <c r="M253" s="215"/>
      <c r="N253" s="191"/>
    </row>
    <row r="254" spans="1:14" outlineLevel="4" x14ac:dyDescent="0.25">
      <c r="A254" s="188" t="s">
        <v>415</v>
      </c>
      <c r="B254" s="188" t="s">
        <v>430</v>
      </c>
      <c r="C254" s="188" t="s">
        <v>139</v>
      </c>
      <c r="D254" s="188" t="s">
        <v>198</v>
      </c>
      <c r="E254" s="188" t="s">
        <v>431</v>
      </c>
      <c r="F254" s="189">
        <v>45839</v>
      </c>
      <c r="G254" s="190">
        <v>10.5</v>
      </c>
      <c r="H254" s="190">
        <f t="shared" si="11"/>
        <v>10.5</v>
      </c>
      <c r="J254" s="190">
        <v>10.5</v>
      </c>
      <c r="K254" s="191">
        <f t="shared" si="12"/>
        <v>0</v>
      </c>
      <c r="M254" s="215"/>
      <c r="N254" s="191"/>
    </row>
    <row r="255" spans="1:14" outlineLevel="4" x14ac:dyDescent="0.25">
      <c r="A255" s="188" t="s">
        <v>415</v>
      </c>
      <c r="B255" s="188" t="s">
        <v>430</v>
      </c>
      <c r="C255" s="188" t="s">
        <v>142</v>
      </c>
      <c r="D255" s="188" t="s">
        <v>142</v>
      </c>
      <c r="E255" s="188" t="s">
        <v>431</v>
      </c>
      <c r="F255" s="189">
        <v>45839</v>
      </c>
      <c r="G255" s="190">
        <v>5126</v>
      </c>
      <c r="H255" s="190">
        <f t="shared" si="11"/>
        <v>5126</v>
      </c>
      <c r="J255" s="190">
        <v>5335</v>
      </c>
      <c r="K255" s="191">
        <f t="shared" si="12"/>
        <v>-209</v>
      </c>
      <c r="M255" s="215"/>
      <c r="N255" s="191"/>
    </row>
    <row r="256" spans="1:14" outlineLevel="4" x14ac:dyDescent="0.25">
      <c r="A256" s="188" t="s">
        <v>415</v>
      </c>
      <c r="B256" s="188" t="s">
        <v>430</v>
      </c>
      <c r="C256" s="188" t="s">
        <v>123</v>
      </c>
      <c r="D256" s="188" t="s">
        <v>123</v>
      </c>
      <c r="E256" s="188" t="s">
        <v>431</v>
      </c>
      <c r="F256" s="189">
        <v>45839</v>
      </c>
      <c r="G256" s="190">
        <v>10013</v>
      </c>
      <c r="H256" s="190">
        <f t="shared" si="11"/>
        <v>10013</v>
      </c>
      <c r="J256" s="190">
        <v>9820</v>
      </c>
      <c r="K256" s="191">
        <f t="shared" si="12"/>
        <v>193</v>
      </c>
      <c r="M256" s="215"/>
      <c r="N256" s="191"/>
    </row>
    <row r="257" spans="1:14" outlineLevel="3" x14ac:dyDescent="0.25">
      <c r="B257" s="183" t="s">
        <v>432</v>
      </c>
      <c r="F257" s="189"/>
      <c r="G257" s="190">
        <f>SUBTOTAL(9,G253:G256)</f>
        <v>15804.7</v>
      </c>
      <c r="H257" s="190"/>
      <c r="J257" s="190">
        <f>SUBTOTAL(9,J253:J256)</f>
        <v>15655.1</v>
      </c>
      <c r="K257" s="191">
        <f>SUBTOTAL(9,K253:K256)</f>
        <v>149.60000000000002</v>
      </c>
      <c r="M257" s="215"/>
      <c r="N257" s="191"/>
    </row>
    <row r="258" spans="1:14" outlineLevel="4" x14ac:dyDescent="0.25">
      <c r="A258" s="188" t="s">
        <v>415</v>
      </c>
      <c r="B258" s="188" t="s">
        <v>433</v>
      </c>
      <c r="C258" s="188" t="s">
        <v>170</v>
      </c>
      <c r="D258" s="188" t="s">
        <v>170</v>
      </c>
      <c r="E258" s="188" t="s">
        <v>434</v>
      </c>
      <c r="F258" s="189">
        <v>45839</v>
      </c>
      <c r="G258" s="190">
        <v>1598.4</v>
      </c>
      <c r="H258" s="190">
        <f t="shared" si="11"/>
        <v>1598.4</v>
      </c>
      <c r="J258" s="190">
        <v>1598.4</v>
      </c>
      <c r="K258" s="191">
        <f t="shared" si="12"/>
        <v>0</v>
      </c>
      <c r="M258" s="215"/>
      <c r="N258" s="191"/>
    </row>
    <row r="259" spans="1:14" outlineLevel="4" x14ac:dyDescent="0.25">
      <c r="A259" s="188" t="s">
        <v>415</v>
      </c>
      <c r="B259" s="188" t="s">
        <v>433</v>
      </c>
      <c r="C259" s="188" t="s">
        <v>139</v>
      </c>
      <c r="D259" s="188" t="s">
        <v>160</v>
      </c>
      <c r="E259" s="188" t="s">
        <v>434</v>
      </c>
      <c r="F259" s="189">
        <v>45839</v>
      </c>
      <c r="G259" s="190">
        <v>531.31105000000002</v>
      </c>
      <c r="H259" s="190">
        <f t="shared" si="11"/>
        <v>531.31105000000002</v>
      </c>
      <c r="J259" s="190">
        <v>541.26625000000001</v>
      </c>
      <c r="K259" s="191">
        <f t="shared" si="12"/>
        <v>-9.9551999999999907</v>
      </c>
      <c r="M259" s="215"/>
      <c r="N259" s="191"/>
    </row>
    <row r="260" spans="1:14" outlineLevel="4" x14ac:dyDescent="0.25">
      <c r="A260" s="188" t="s">
        <v>415</v>
      </c>
      <c r="B260" s="188" t="s">
        <v>433</v>
      </c>
      <c r="C260" s="188" t="s">
        <v>142</v>
      </c>
      <c r="D260" s="188" t="s">
        <v>162</v>
      </c>
      <c r="E260" s="188" t="s">
        <v>434</v>
      </c>
      <c r="F260" s="189">
        <v>45839</v>
      </c>
      <c r="G260" s="190">
        <v>1123</v>
      </c>
      <c r="H260" s="190">
        <f t="shared" si="11"/>
        <v>1123</v>
      </c>
      <c r="J260" s="190">
        <v>1005</v>
      </c>
      <c r="K260" s="191">
        <f t="shared" si="12"/>
        <v>118</v>
      </c>
      <c r="M260" s="215"/>
      <c r="N260" s="191"/>
    </row>
    <row r="261" spans="1:14" outlineLevel="4" x14ac:dyDescent="0.25">
      <c r="A261" s="188" t="s">
        <v>415</v>
      </c>
      <c r="B261" s="188" t="s">
        <v>433</v>
      </c>
      <c r="C261" s="188" t="s">
        <v>123</v>
      </c>
      <c r="D261" s="188" t="s">
        <v>123</v>
      </c>
      <c r="E261" s="188" t="s">
        <v>434</v>
      </c>
      <c r="F261" s="189">
        <v>45839</v>
      </c>
      <c r="G261" s="190">
        <v>970.00895000000003</v>
      </c>
      <c r="H261" s="190">
        <f t="shared" si="11"/>
        <v>970.00895000000003</v>
      </c>
      <c r="J261" s="190">
        <v>1142.0037500000001</v>
      </c>
      <c r="K261" s="191">
        <f t="shared" si="12"/>
        <v>-171.99480000000005</v>
      </c>
      <c r="M261" s="215"/>
      <c r="N261" s="191"/>
    </row>
    <row r="262" spans="1:14" outlineLevel="3" x14ac:dyDescent="0.25">
      <c r="B262" s="183" t="s">
        <v>435</v>
      </c>
      <c r="F262" s="189"/>
      <c r="G262" s="190">
        <f>SUBTOTAL(9,G258:G261)</f>
        <v>4222.72</v>
      </c>
      <c r="H262" s="190"/>
      <c r="J262" s="190">
        <f>SUBTOTAL(9,J258:J261)</f>
        <v>4286.67</v>
      </c>
      <c r="K262" s="191">
        <f>SUBTOTAL(9,K258:K261)</f>
        <v>-63.950000000000045</v>
      </c>
      <c r="M262" s="215"/>
      <c r="N262" s="191"/>
    </row>
    <row r="263" spans="1:14" outlineLevel="4" x14ac:dyDescent="0.25">
      <c r="A263" s="188" t="s">
        <v>415</v>
      </c>
      <c r="B263" s="188" t="s">
        <v>436</v>
      </c>
      <c r="C263" s="188" t="s">
        <v>170</v>
      </c>
      <c r="D263" s="188" t="s">
        <v>437</v>
      </c>
      <c r="E263" s="188" t="s">
        <v>438</v>
      </c>
      <c r="F263" s="189">
        <v>45839</v>
      </c>
      <c r="G263" s="190">
        <v>994</v>
      </c>
      <c r="H263" s="190">
        <f t="shared" si="11"/>
        <v>994</v>
      </c>
      <c r="J263" s="190">
        <v>994</v>
      </c>
      <c r="K263" s="191">
        <f t="shared" si="12"/>
        <v>0</v>
      </c>
      <c r="M263" s="215"/>
      <c r="N263" s="191"/>
    </row>
    <row r="264" spans="1:14" outlineLevel="4" x14ac:dyDescent="0.25">
      <c r="A264" s="188" t="s">
        <v>415</v>
      </c>
      <c r="B264" s="188" t="s">
        <v>436</v>
      </c>
      <c r="C264" s="188" t="s">
        <v>139</v>
      </c>
      <c r="D264" s="188" t="s">
        <v>139</v>
      </c>
      <c r="E264" s="188" t="s">
        <v>438</v>
      </c>
      <c r="F264" s="189">
        <v>45839</v>
      </c>
      <c r="G264" s="190">
        <v>625.51</v>
      </c>
      <c r="H264" s="190">
        <f t="shared" si="11"/>
        <v>625.51</v>
      </c>
      <c r="J264" s="190">
        <v>625.51</v>
      </c>
      <c r="K264" s="191">
        <f t="shared" si="12"/>
        <v>0</v>
      </c>
      <c r="M264" s="215"/>
      <c r="N264" s="191"/>
    </row>
    <row r="265" spans="1:14" outlineLevel="4" x14ac:dyDescent="0.25">
      <c r="A265" s="188" t="s">
        <v>415</v>
      </c>
      <c r="B265" s="188" t="s">
        <v>436</v>
      </c>
      <c r="C265" s="188" t="s">
        <v>142</v>
      </c>
      <c r="D265" s="188" t="s">
        <v>439</v>
      </c>
      <c r="E265" s="188" t="s">
        <v>438</v>
      </c>
      <c r="F265" s="189">
        <v>45839</v>
      </c>
      <c r="G265" s="190">
        <v>850</v>
      </c>
      <c r="H265" s="190">
        <f t="shared" si="11"/>
        <v>850</v>
      </c>
      <c r="J265" s="190">
        <v>838</v>
      </c>
      <c r="K265" s="191">
        <f t="shared" si="12"/>
        <v>12</v>
      </c>
      <c r="M265" s="215"/>
      <c r="N265" s="191"/>
    </row>
    <row r="266" spans="1:14" outlineLevel="4" x14ac:dyDescent="0.25">
      <c r="A266" s="188" t="s">
        <v>415</v>
      </c>
      <c r="B266" s="188" t="s">
        <v>436</v>
      </c>
      <c r="C266" s="188" t="s">
        <v>123</v>
      </c>
      <c r="D266" s="188" t="s">
        <v>440</v>
      </c>
      <c r="E266" s="188" t="s">
        <v>438</v>
      </c>
      <c r="F266" s="189">
        <v>45839</v>
      </c>
      <c r="G266" s="190">
        <v>735.2</v>
      </c>
      <c r="H266" s="190">
        <f t="shared" si="11"/>
        <v>735.2</v>
      </c>
      <c r="J266" s="190">
        <v>735.2</v>
      </c>
      <c r="K266" s="191">
        <f t="shared" si="12"/>
        <v>0</v>
      </c>
      <c r="M266" s="215"/>
      <c r="N266" s="191"/>
    </row>
    <row r="267" spans="1:14" outlineLevel="3" x14ac:dyDescent="0.25">
      <c r="B267" s="183" t="s">
        <v>441</v>
      </c>
      <c r="F267" s="189"/>
      <c r="G267" s="190">
        <f>SUBTOTAL(9,G263:G266)</f>
        <v>3204.71</v>
      </c>
      <c r="H267" s="190"/>
      <c r="J267" s="190">
        <f>SUBTOTAL(9,J263:J266)</f>
        <v>3192.71</v>
      </c>
      <c r="K267" s="191">
        <f>SUBTOTAL(9,K263:K266)</f>
        <v>12</v>
      </c>
      <c r="M267" s="215"/>
      <c r="N267" s="191"/>
    </row>
    <row r="268" spans="1:14" outlineLevel="4" x14ac:dyDescent="0.25">
      <c r="A268" s="188" t="s">
        <v>415</v>
      </c>
      <c r="B268" s="188" t="s">
        <v>442</v>
      </c>
      <c r="C268" s="188" t="s">
        <v>142</v>
      </c>
      <c r="D268" s="188" t="s">
        <v>142</v>
      </c>
      <c r="E268" s="188" t="s">
        <v>443</v>
      </c>
      <c r="F268" s="189">
        <v>45839</v>
      </c>
      <c r="G268" s="190">
        <v>5368</v>
      </c>
      <c r="H268" s="190">
        <f t="shared" si="11"/>
        <v>5368</v>
      </c>
      <c r="J268" s="190">
        <v>5589</v>
      </c>
      <c r="K268" s="191">
        <f t="shared" si="12"/>
        <v>-221</v>
      </c>
      <c r="M268" s="215"/>
      <c r="N268" s="191"/>
    </row>
    <row r="269" spans="1:14" outlineLevel="4" x14ac:dyDescent="0.25">
      <c r="A269" s="188" t="s">
        <v>415</v>
      </c>
      <c r="B269" s="188" t="s">
        <v>442</v>
      </c>
      <c r="C269" s="188" t="s">
        <v>123</v>
      </c>
      <c r="D269" s="188" t="s">
        <v>123</v>
      </c>
      <c r="E269" s="188" t="s">
        <v>443</v>
      </c>
      <c r="F269" s="189">
        <v>45839</v>
      </c>
      <c r="G269" s="190">
        <v>7284</v>
      </c>
      <c r="H269" s="190">
        <f t="shared" si="11"/>
        <v>7284</v>
      </c>
      <c r="J269" s="190">
        <v>7158</v>
      </c>
      <c r="K269" s="191">
        <f t="shared" si="12"/>
        <v>126</v>
      </c>
      <c r="M269" s="215"/>
      <c r="N269" s="191"/>
    </row>
    <row r="270" spans="1:14" outlineLevel="3" x14ac:dyDescent="0.25">
      <c r="B270" s="183" t="s">
        <v>444</v>
      </c>
      <c r="F270" s="189"/>
      <c r="G270" s="190">
        <f>SUBTOTAL(9,G268:G269)</f>
        <v>12652</v>
      </c>
      <c r="H270" s="190"/>
      <c r="J270" s="190">
        <f>SUBTOTAL(9,J268:J269)</f>
        <v>12747</v>
      </c>
      <c r="K270" s="191">
        <f>SUBTOTAL(9,K268:K269)</f>
        <v>-95</v>
      </c>
      <c r="M270" s="215"/>
      <c r="N270" s="191"/>
    </row>
    <row r="271" spans="1:14" outlineLevel="4" x14ac:dyDescent="0.25">
      <c r="A271" s="188" t="s">
        <v>415</v>
      </c>
      <c r="B271" s="188" t="s">
        <v>445</v>
      </c>
      <c r="C271" s="188" t="s">
        <v>139</v>
      </c>
      <c r="D271" s="188" t="s">
        <v>139</v>
      </c>
      <c r="E271" s="188" t="s">
        <v>446</v>
      </c>
      <c r="F271" s="189">
        <v>45839</v>
      </c>
      <c r="G271" s="190">
        <v>250</v>
      </c>
      <c r="H271" s="190">
        <f t="shared" si="11"/>
        <v>250</v>
      </c>
      <c r="J271" s="190">
        <v>250</v>
      </c>
      <c r="K271" s="191">
        <f t="shared" si="12"/>
        <v>0</v>
      </c>
      <c r="M271" s="215"/>
      <c r="N271" s="191"/>
    </row>
    <row r="272" spans="1:14" outlineLevel="4" x14ac:dyDescent="0.25">
      <c r="A272" s="188" t="s">
        <v>415</v>
      </c>
      <c r="B272" s="188" t="s">
        <v>445</v>
      </c>
      <c r="C272" s="188" t="s">
        <v>142</v>
      </c>
      <c r="D272" s="188" t="s">
        <v>142</v>
      </c>
      <c r="E272" s="188" t="s">
        <v>446</v>
      </c>
      <c r="F272" s="189">
        <v>45839</v>
      </c>
      <c r="G272" s="190">
        <v>1600</v>
      </c>
      <c r="H272" s="190">
        <f t="shared" si="11"/>
        <v>1600</v>
      </c>
      <c r="J272" s="190">
        <v>1600</v>
      </c>
      <c r="K272" s="191">
        <f t="shared" si="12"/>
        <v>0</v>
      </c>
      <c r="M272" s="215"/>
      <c r="N272" s="191"/>
    </row>
    <row r="273" spans="1:14" outlineLevel="4" x14ac:dyDescent="0.25">
      <c r="A273" s="188" t="s">
        <v>415</v>
      </c>
      <c r="B273" s="188" t="s">
        <v>445</v>
      </c>
      <c r="C273" s="188" t="s">
        <v>123</v>
      </c>
      <c r="D273" s="188" t="s">
        <v>123</v>
      </c>
      <c r="E273" s="188" t="s">
        <v>446</v>
      </c>
      <c r="F273" s="189">
        <v>45839</v>
      </c>
      <c r="G273" s="190">
        <v>3288.79</v>
      </c>
      <c r="H273" s="190">
        <f t="shared" si="11"/>
        <v>3288.79</v>
      </c>
      <c r="J273" s="190">
        <v>3288.79</v>
      </c>
      <c r="K273" s="191">
        <f t="shared" si="12"/>
        <v>0</v>
      </c>
      <c r="M273" s="215"/>
      <c r="N273" s="191"/>
    </row>
    <row r="274" spans="1:14" outlineLevel="3" x14ac:dyDescent="0.25">
      <c r="B274" s="183" t="s">
        <v>447</v>
      </c>
      <c r="F274" s="189"/>
      <c r="G274" s="190">
        <f>SUBTOTAL(9,G271:G273)</f>
        <v>5138.79</v>
      </c>
      <c r="H274" s="190"/>
      <c r="J274" s="190">
        <f>SUBTOTAL(9,J271:J273)</f>
        <v>5138.79</v>
      </c>
      <c r="K274" s="191">
        <f>SUBTOTAL(9,K271:K273)</f>
        <v>0</v>
      </c>
      <c r="M274" s="215"/>
      <c r="N274" s="191"/>
    </row>
    <row r="275" spans="1:14" outlineLevel="4" x14ac:dyDescent="0.25">
      <c r="A275" s="188" t="s">
        <v>415</v>
      </c>
      <c r="B275" s="188" t="s">
        <v>448</v>
      </c>
      <c r="C275" s="188" t="s">
        <v>420</v>
      </c>
      <c r="D275" s="188" t="s">
        <v>420</v>
      </c>
      <c r="E275" s="188" t="s">
        <v>449</v>
      </c>
      <c r="F275" s="189">
        <v>45839</v>
      </c>
      <c r="G275" s="190">
        <v>75</v>
      </c>
      <c r="H275" s="190">
        <f t="shared" si="11"/>
        <v>75</v>
      </c>
      <c r="J275" s="190">
        <v>0</v>
      </c>
      <c r="K275" s="191">
        <f t="shared" si="12"/>
        <v>75</v>
      </c>
      <c r="M275" s="215"/>
      <c r="N275" s="191"/>
    </row>
    <row r="276" spans="1:14" outlineLevel="4" x14ac:dyDescent="0.25">
      <c r="A276" s="188" t="s">
        <v>415</v>
      </c>
      <c r="B276" s="188" t="s">
        <v>448</v>
      </c>
      <c r="C276" s="188" t="s">
        <v>170</v>
      </c>
      <c r="D276" s="188" t="s">
        <v>450</v>
      </c>
      <c r="E276" s="188" t="s">
        <v>449</v>
      </c>
      <c r="F276" s="189">
        <v>45839</v>
      </c>
      <c r="G276" s="190">
        <v>400</v>
      </c>
      <c r="H276" s="190">
        <f t="shared" si="11"/>
        <v>400</v>
      </c>
      <c r="J276" s="190">
        <v>400</v>
      </c>
      <c r="K276" s="191">
        <f t="shared" si="12"/>
        <v>0</v>
      </c>
      <c r="M276" s="215"/>
      <c r="N276" s="191"/>
    </row>
    <row r="277" spans="1:14" outlineLevel="4" x14ac:dyDescent="0.25">
      <c r="A277" s="188" t="s">
        <v>415</v>
      </c>
      <c r="B277" s="188" t="s">
        <v>448</v>
      </c>
      <c r="C277" s="188" t="s">
        <v>139</v>
      </c>
      <c r="D277" s="188" t="s">
        <v>139</v>
      </c>
      <c r="E277" s="188" t="s">
        <v>449</v>
      </c>
      <c r="F277" s="189">
        <v>45839</v>
      </c>
      <c r="G277" s="190">
        <v>669.42079999999999</v>
      </c>
      <c r="H277" s="190">
        <f t="shared" si="11"/>
        <v>669.42079999999999</v>
      </c>
      <c r="J277" s="190">
        <v>657.39300000000003</v>
      </c>
      <c r="K277" s="191">
        <f t="shared" si="12"/>
        <v>12.027799999999957</v>
      </c>
      <c r="M277" s="215"/>
      <c r="N277" s="191"/>
    </row>
    <row r="278" spans="1:14" outlineLevel="4" x14ac:dyDescent="0.25">
      <c r="A278" s="188" t="s">
        <v>415</v>
      </c>
      <c r="B278" s="188" t="s">
        <v>448</v>
      </c>
      <c r="C278" s="188" t="s">
        <v>142</v>
      </c>
      <c r="D278" s="188" t="s">
        <v>142</v>
      </c>
      <c r="E278" s="188" t="s">
        <v>449</v>
      </c>
      <c r="F278" s="189">
        <v>45839</v>
      </c>
      <c r="G278" s="190">
        <v>682.5</v>
      </c>
      <c r="H278" s="190">
        <f t="shared" si="11"/>
        <v>682.5</v>
      </c>
      <c r="J278" s="190">
        <v>651.5</v>
      </c>
      <c r="K278" s="191">
        <f t="shared" si="12"/>
        <v>31</v>
      </c>
      <c r="M278" s="215"/>
      <c r="N278" s="191"/>
    </row>
    <row r="279" spans="1:14" outlineLevel="4" x14ac:dyDescent="0.25">
      <c r="A279" s="188" t="s">
        <v>415</v>
      </c>
      <c r="B279" s="188" t="s">
        <v>448</v>
      </c>
      <c r="C279" s="188" t="s">
        <v>123</v>
      </c>
      <c r="D279" s="188" t="s">
        <v>123</v>
      </c>
      <c r="E279" s="188" t="s">
        <v>449</v>
      </c>
      <c r="F279" s="189">
        <v>45839</v>
      </c>
      <c r="G279" s="190">
        <v>1758.09</v>
      </c>
      <c r="H279" s="190">
        <f t="shared" si="11"/>
        <v>1758.09</v>
      </c>
      <c r="J279" s="190">
        <v>1758.09</v>
      </c>
      <c r="K279" s="191">
        <f t="shared" si="12"/>
        <v>0</v>
      </c>
      <c r="M279" s="215"/>
      <c r="N279" s="191"/>
    </row>
    <row r="280" spans="1:14" outlineLevel="3" x14ac:dyDescent="0.25">
      <c r="B280" s="183" t="s">
        <v>451</v>
      </c>
      <c r="F280" s="189"/>
      <c r="G280" s="190">
        <f>SUBTOTAL(9,G275:G279)</f>
        <v>3585.0108</v>
      </c>
      <c r="H280" s="190"/>
      <c r="J280" s="190">
        <f>SUBTOTAL(9,J275:J279)</f>
        <v>3466.9830000000002</v>
      </c>
      <c r="K280" s="191">
        <f>SUBTOTAL(9,K275:K279)</f>
        <v>118.02779999999996</v>
      </c>
      <c r="M280" s="215"/>
      <c r="N280" s="191"/>
    </row>
    <row r="281" spans="1:14" outlineLevel="4" x14ac:dyDescent="0.25">
      <c r="A281" s="188" t="s">
        <v>415</v>
      </c>
      <c r="B281" s="188" t="s">
        <v>452</v>
      </c>
      <c r="C281" s="188" t="s">
        <v>170</v>
      </c>
      <c r="D281" s="188" t="s">
        <v>170</v>
      </c>
      <c r="E281" s="188" t="s">
        <v>453</v>
      </c>
      <c r="F281" s="189">
        <v>45839</v>
      </c>
      <c r="G281" s="190">
        <v>636</v>
      </c>
      <c r="H281" s="190">
        <f t="shared" si="11"/>
        <v>636</v>
      </c>
      <c r="J281" s="190">
        <v>636</v>
      </c>
      <c r="K281" s="191">
        <f t="shared" si="12"/>
        <v>0</v>
      </c>
      <c r="M281" s="215"/>
      <c r="N281" s="191"/>
    </row>
    <row r="282" spans="1:14" outlineLevel="4" x14ac:dyDescent="0.25">
      <c r="A282" s="188" t="s">
        <v>415</v>
      </c>
      <c r="B282" s="188" t="s">
        <v>452</v>
      </c>
      <c r="C282" s="188" t="s">
        <v>139</v>
      </c>
      <c r="D282" s="188" t="s">
        <v>139</v>
      </c>
      <c r="E282" s="188" t="s">
        <v>453</v>
      </c>
      <c r="F282" s="189">
        <v>45839</v>
      </c>
      <c r="G282" s="190">
        <v>138</v>
      </c>
      <c r="H282" s="190">
        <f t="shared" si="11"/>
        <v>138</v>
      </c>
      <c r="J282" s="190">
        <v>142</v>
      </c>
      <c r="K282" s="191">
        <f t="shared" si="12"/>
        <v>-4</v>
      </c>
      <c r="M282" s="215"/>
      <c r="N282" s="191"/>
    </row>
    <row r="283" spans="1:14" outlineLevel="4" x14ac:dyDescent="0.25">
      <c r="A283" s="188" t="s">
        <v>415</v>
      </c>
      <c r="B283" s="188" t="s">
        <v>452</v>
      </c>
      <c r="C283" s="188" t="s">
        <v>142</v>
      </c>
      <c r="D283" s="188" t="s">
        <v>142</v>
      </c>
      <c r="E283" s="188" t="s">
        <v>453</v>
      </c>
      <c r="F283" s="189">
        <v>45839</v>
      </c>
      <c r="G283" s="190">
        <v>1026</v>
      </c>
      <c r="H283" s="190">
        <f t="shared" si="11"/>
        <v>1026</v>
      </c>
      <c r="J283" s="190">
        <v>1051</v>
      </c>
      <c r="K283" s="191">
        <f t="shared" si="12"/>
        <v>-25</v>
      </c>
      <c r="M283" s="215"/>
      <c r="N283" s="191"/>
    </row>
    <row r="284" spans="1:14" ht="30" outlineLevel="4" x14ac:dyDescent="0.25">
      <c r="A284" s="188" t="s">
        <v>415</v>
      </c>
      <c r="B284" s="188" t="s">
        <v>452</v>
      </c>
      <c r="C284" s="188" t="s">
        <v>123</v>
      </c>
      <c r="D284" s="188" t="s">
        <v>123</v>
      </c>
      <c r="E284" s="188" t="s">
        <v>453</v>
      </c>
      <c r="F284" s="189">
        <v>45839</v>
      </c>
      <c r="G284" s="190">
        <f>1917.7-2100</f>
        <v>-182.29999999999995</v>
      </c>
      <c r="H284" s="190">
        <f t="shared" si="11"/>
        <v>-182.29999999999995</v>
      </c>
      <c r="J284" s="190">
        <v>1969.35</v>
      </c>
      <c r="K284" s="191">
        <f t="shared" si="12"/>
        <v>-2151.6499999999996</v>
      </c>
      <c r="M284" s="215" t="s">
        <v>1215</v>
      </c>
      <c r="N284" s="191"/>
    </row>
    <row r="285" spans="1:14" outlineLevel="3" x14ac:dyDescent="0.25">
      <c r="B285" s="183" t="s">
        <v>454</v>
      </c>
      <c r="F285" s="189"/>
      <c r="G285" s="190">
        <f>SUBTOTAL(9,G281:G284)</f>
        <v>1617.7</v>
      </c>
      <c r="H285" s="190"/>
      <c r="J285" s="190">
        <f>SUBTOTAL(9,J281:J284)</f>
        <v>3798.35</v>
      </c>
      <c r="K285" s="191">
        <f>SUBTOTAL(9,K281:K284)</f>
        <v>-2180.6499999999996</v>
      </c>
      <c r="M285" s="215"/>
      <c r="N285" s="191"/>
    </row>
    <row r="286" spans="1:14" outlineLevel="4" x14ac:dyDescent="0.25">
      <c r="A286" s="188" t="s">
        <v>415</v>
      </c>
      <c r="B286" s="188" t="s">
        <v>455</v>
      </c>
      <c r="C286" s="188" t="s">
        <v>420</v>
      </c>
      <c r="D286" s="188" t="s">
        <v>420</v>
      </c>
      <c r="E286" s="188" t="s">
        <v>456</v>
      </c>
      <c r="F286" s="189">
        <v>45839</v>
      </c>
      <c r="G286" s="190">
        <v>335</v>
      </c>
      <c r="H286" s="190">
        <f t="shared" si="11"/>
        <v>335</v>
      </c>
      <c r="J286" s="190">
        <v>335</v>
      </c>
      <c r="K286" s="191">
        <f t="shared" si="12"/>
        <v>0</v>
      </c>
      <c r="M286" s="215"/>
      <c r="N286" s="191"/>
    </row>
    <row r="287" spans="1:14" outlineLevel="4" x14ac:dyDescent="0.25">
      <c r="A287" s="188" t="s">
        <v>415</v>
      </c>
      <c r="B287" s="188" t="s">
        <v>455</v>
      </c>
      <c r="C287" s="188" t="s">
        <v>139</v>
      </c>
      <c r="D287" s="188" t="s">
        <v>139</v>
      </c>
      <c r="E287" s="188" t="s">
        <v>457</v>
      </c>
      <c r="F287" s="189">
        <v>45839</v>
      </c>
      <c r="G287" s="190">
        <v>3722.2159999999999</v>
      </c>
      <c r="H287" s="190">
        <f t="shared" si="11"/>
        <v>3722.2159999999999</v>
      </c>
      <c r="J287" s="190">
        <v>3718.88</v>
      </c>
      <c r="K287" s="191">
        <f t="shared" si="12"/>
        <v>3.3359999999997854</v>
      </c>
      <c r="M287" s="215"/>
      <c r="N287" s="191"/>
    </row>
    <row r="288" spans="1:14" outlineLevel="4" x14ac:dyDescent="0.25">
      <c r="A288" s="188" t="s">
        <v>415</v>
      </c>
      <c r="B288" s="188" t="s">
        <v>455</v>
      </c>
      <c r="C288" s="188" t="s">
        <v>142</v>
      </c>
      <c r="D288" s="188" t="s">
        <v>142</v>
      </c>
      <c r="E288" s="188" t="s">
        <v>457</v>
      </c>
      <c r="F288" s="189">
        <v>45839</v>
      </c>
      <c r="G288" s="190">
        <v>3763</v>
      </c>
      <c r="H288" s="190">
        <f t="shared" si="11"/>
        <v>3763</v>
      </c>
      <c r="J288" s="190">
        <v>3807</v>
      </c>
      <c r="K288" s="191">
        <f t="shared" si="12"/>
        <v>-44</v>
      </c>
      <c r="M288" s="215"/>
      <c r="N288" s="191"/>
    </row>
    <row r="289" spans="1:14" outlineLevel="4" x14ac:dyDescent="0.25">
      <c r="A289" s="188" t="s">
        <v>415</v>
      </c>
      <c r="B289" s="188" t="s">
        <v>455</v>
      </c>
      <c r="C289" s="188" t="s">
        <v>123</v>
      </c>
      <c r="D289" s="188" t="s">
        <v>123</v>
      </c>
      <c r="E289" s="188" t="s">
        <v>457</v>
      </c>
      <c r="F289" s="189">
        <v>45839</v>
      </c>
      <c r="G289" s="190">
        <f>9320.004-450</f>
        <v>8870.0040000000008</v>
      </c>
      <c r="H289" s="190">
        <f t="shared" si="11"/>
        <v>8870.0040000000008</v>
      </c>
      <c r="J289" s="190">
        <v>9210</v>
      </c>
      <c r="K289" s="191">
        <f t="shared" si="12"/>
        <v>-339.99599999999919</v>
      </c>
      <c r="M289" s="215"/>
      <c r="N289" s="191"/>
    </row>
    <row r="290" spans="1:14" outlineLevel="3" x14ac:dyDescent="0.25">
      <c r="B290" s="183" t="s">
        <v>458</v>
      </c>
      <c r="F290" s="189"/>
      <c r="G290" s="190">
        <f>SUBTOTAL(9,G286:G289)</f>
        <v>16690.22</v>
      </c>
      <c r="H290" s="190"/>
      <c r="J290" s="190">
        <f>SUBTOTAL(9,J286:J289)</f>
        <v>17070.88</v>
      </c>
      <c r="K290" s="191">
        <f>SUBTOTAL(9,K286:K289)</f>
        <v>-380.6599999999994</v>
      </c>
      <c r="M290" s="215"/>
      <c r="N290" s="191"/>
    </row>
    <row r="291" spans="1:14" outlineLevel="4" x14ac:dyDescent="0.25">
      <c r="A291" s="188" t="s">
        <v>415</v>
      </c>
      <c r="B291" s="188" t="s">
        <v>459</v>
      </c>
      <c r="C291" s="188" t="s">
        <v>139</v>
      </c>
      <c r="D291" s="188" t="s">
        <v>139</v>
      </c>
      <c r="E291" s="188" t="s">
        <v>460</v>
      </c>
      <c r="F291" s="189">
        <v>45839</v>
      </c>
      <c r="G291" s="190">
        <v>474.4</v>
      </c>
      <c r="H291" s="190">
        <f t="shared" si="11"/>
        <v>474.4</v>
      </c>
      <c r="J291" s="190">
        <v>456</v>
      </c>
      <c r="K291" s="191">
        <f t="shared" si="12"/>
        <v>18.399999999999977</v>
      </c>
      <c r="M291" s="215"/>
      <c r="N291" s="191"/>
    </row>
    <row r="292" spans="1:14" outlineLevel="4" x14ac:dyDescent="0.25">
      <c r="A292" s="188" t="s">
        <v>415</v>
      </c>
      <c r="B292" s="188" t="s">
        <v>459</v>
      </c>
      <c r="C292" s="188" t="s">
        <v>142</v>
      </c>
      <c r="D292" s="188" t="s">
        <v>142</v>
      </c>
      <c r="E292" s="188" t="s">
        <v>460</v>
      </c>
      <c r="F292" s="189">
        <v>45839</v>
      </c>
      <c r="G292" s="190">
        <v>435</v>
      </c>
      <c r="H292" s="190">
        <f t="shared" si="11"/>
        <v>435</v>
      </c>
      <c r="J292" s="190">
        <v>457</v>
      </c>
      <c r="K292" s="191">
        <f t="shared" si="12"/>
        <v>-22</v>
      </c>
      <c r="M292" s="215"/>
      <c r="N292" s="191"/>
    </row>
    <row r="293" spans="1:14" outlineLevel="4" x14ac:dyDescent="0.25">
      <c r="A293" s="188" t="s">
        <v>415</v>
      </c>
      <c r="B293" s="188" t="s">
        <v>459</v>
      </c>
      <c r="C293" s="188" t="s">
        <v>123</v>
      </c>
      <c r="D293" s="188" t="s">
        <v>461</v>
      </c>
      <c r="E293" s="188" t="s">
        <v>460</v>
      </c>
      <c r="F293" s="189">
        <v>45839</v>
      </c>
      <c r="G293" s="190">
        <f>1125-750</f>
        <v>375</v>
      </c>
      <c r="H293" s="190">
        <f t="shared" si="11"/>
        <v>375</v>
      </c>
      <c r="J293" s="190">
        <v>1235</v>
      </c>
      <c r="K293" s="191">
        <f t="shared" si="12"/>
        <v>-860</v>
      </c>
      <c r="M293" s="215"/>
      <c r="N293" s="191"/>
    </row>
    <row r="294" spans="1:14" outlineLevel="3" x14ac:dyDescent="0.25">
      <c r="B294" s="183" t="s">
        <v>462</v>
      </c>
      <c r="F294" s="189"/>
      <c r="G294" s="190">
        <f>SUBTOTAL(9,G291:G293)</f>
        <v>1284.4000000000001</v>
      </c>
      <c r="H294" s="190"/>
      <c r="J294" s="190">
        <f>SUBTOTAL(9,J291:J293)</f>
        <v>2148</v>
      </c>
      <c r="K294" s="191">
        <f>SUBTOTAL(9,K291:K293)</f>
        <v>-863.6</v>
      </c>
      <c r="M294" s="215"/>
      <c r="N294" s="191"/>
    </row>
    <row r="295" spans="1:14" outlineLevel="4" x14ac:dyDescent="0.25">
      <c r="A295" s="188" t="s">
        <v>415</v>
      </c>
      <c r="B295" s="188" t="s">
        <v>463</v>
      </c>
      <c r="C295" s="188" t="s">
        <v>420</v>
      </c>
      <c r="D295" s="188" t="s">
        <v>464</v>
      </c>
      <c r="E295" s="188" t="s">
        <v>465</v>
      </c>
      <c r="F295" s="189">
        <v>45853</v>
      </c>
      <c r="G295" s="190">
        <v>546.41999999999996</v>
      </c>
      <c r="H295" s="190">
        <f t="shared" si="11"/>
        <v>546.41999999999996</v>
      </c>
      <c r="J295" s="190">
        <v>530.5</v>
      </c>
      <c r="K295" s="191">
        <f t="shared" si="12"/>
        <v>15.919999999999959</v>
      </c>
      <c r="M295" s="215"/>
      <c r="N295" s="191"/>
    </row>
    <row r="296" spans="1:14" outlineLevel="4" x14ac:dyDescent="0.25">
      <c r="A296" s="188" t="s">
        <v>415</v>
      </c>
      <c r="B296" s="188" t="s">
        <v>463</v>
      </c>
      <c r="C296" s="188" t="s">
        <v>139</v>
      </c>
      <c r="D296" s="188" t="s">
        <v>139</v>
      </c>
      <c r="E296" s="188" t="s">
        <v>465</v>
      </c>
      <c r="F296" s="189">
        <v>45853</v>
      </c>
      <c r="G296" s="190">
        <v>1540</v>
      </c>
      <c r="H296" s="190">
        <f t="shared" si="11"/>
        <v>1540</v>
      </c>
      <c r="J296" s="190">
        <v>1540</v>
      </c>
      <c r="K296" s="191">
        <f t="shared" si="12"/>
        <v>0</v>
      </c>
      <c r="M296" s="215"/>
      <c r="N296" s="191"/>
    </row>
    <row r="297" spans="1:14" outlineLevel="4" x14ac:dyDescent="0.25">
      <c r="A297" s="188" t="s">
        <v>415</v>
      </c>
      <c r="B297" s="188" t="s">
        <v>463</v>
      </c>
      <c r="C297" s="188" t="s">
        <v>142</v>
      </c>
      <c r="D297" s="188" t="s">
        <v>142</v>
      </c>
      <c r="E297" s="188" t="s">
        <v>465</v>
      </c>
      <c r="F297" s="189">
        <v>45853</v>
      </c>
      <c r="G297" s="190">
        <v>250</v>
      </c>
      <c r="H297" s="190">
        <f t="shared" si="11"/>
        <v>250</v>
      </c>
      <c r="J297" s="190">
        <v>250</v>
      </c>
      <c r="K297" s="191">
        <f t="shared" si="12"/>
        <v>0</v>
      </c>
      <c r="M297" s="215"/>
      <c r="N297" s="191"/>
    </row>
    <row r="298" spans="1:14" outlineLevel="4" x14ac:dyDescent="0.25">
      <c r="A298" s="188" t="s">
        <v>415</v>
      </c>
      <c r="B298" s="188" t="s">
        <v>463</v>
      </c>
      <c r="C298" s="188" t="s">
        <v>123</v>
      </c>
      <c r="D298" s="188" t="s">
        <v>123</v>
      </c>
      <c r="E298" s="188" t="s">
        <v>465</v>
      </c>
      <c r="F298" s="189">
        <v>45853</v>
      </c>
      <c r="G298" s="190">
        <f>2595.6-91.52</f>
        <v>2504.08</v>
      </c>
      <c r="H298" s="190">
        <f t="shared" si="11"/>
        <v>2504.08</v>
      </c>
      <c r="J298" s="190">
        <v>2520</v>
      </c>
      <c r="K298" s="191">
        <f t="shared" si="12"/>
        <v>-15.920000000000073</v>
      </c>
      <c r="M298" s="215"/>
      <c r="N298" s="191"/>
    </row>
    <row r="299" spans="1:14" outlineLevel="3" x14ac:dyDescent="0.25">
      <c r="B299" s="183" t="s">
        <v>466</v>
      </c>
      <c r="F299" s="189"/>
      <c r="G299" s="190">
        <f>SUBTOTAL(9,G295:G298)</f>
        <v>4840.5</v>
      </c>
      <c r="H299" s="190"/>
      <c r="J299" s="190">
        <f>SUBTOTAL(9,J295:J298)</f>
        <v>4840.5</v>
      </c>
      <c r="K299" s="191">
        <f>SUBTOTAL(9,K295:K298)</f>
        <v>-1.1368683772161603E-13</v>
      </c>
      <c r="M299" s="215"/>
      <c r="N299" s="191"/>
    </row>
    <row r="300" spans="1:14" outlineLevel="4" x14ac:dyDescent="0.25">
      <c r="A300" s="188" t="s">
        <v>415</v>
      </c>
      <c r="B300" s="188" t="s">
        <v>467</v>
      </c>
      <c r="C300" s="188" t="s">
        <v>420</v>
      </c>
      <c r="D300" s="188" t="s">
        <v>420</v>
      </c>
      <c r="E300" s="188" t="s">
        <v>468</v>
      </c>
      <c r="F300" s="189">
        <v>45839</v>
      </c>
      <c r="G300" s="190">
        <v>500</v>
      </c>
      <c r="H300" s="190">
        <f t="shared" si="11"/>
        <v>500</v>
      </c>
      <c r="J300" s="190">
        <v>500</v>
      </c>
      <c r="K300" s="191">
        <f t="shared" si="12"/>
        <v>0</v>
      </c>
      <c r="M300" s="215"/>
      <c r="N300" s="191"/>
    </row>
    <row r="301" spans="1:14" outlineLevel="4" x14ac:dyDescent="0.25">
      <c r="A301" s="188" t="s">
        <v>415</v>
      </c>
      <c r="B301" s="188" t="s">
        <v>467</v>
      </c>
      <c r="C301" s="188" t="s">
        <v>170</v>
      </c>
      <c r="D301" s="188" t="s">
        <v>170</v>
      </c>
      <c r="E301" s="188" t="s">
        <v>468</v>
      </c>
      <c r="F301" s="189">
        <v>45839</v>
      </c>
      <c r="G301" s="190">
        <v>664.8</v>
      </c>
      <c r="H301" s="190">
        <f t="shared" si="11"/>
        <v>664.8</v>
      </c>
      <c r="J301" s="190">
        <v>664.8</v>
      </c>
      <c r="K301" s="191">
        <f t="shared" si="12"/>
        <v>0</v>
      </c>
      <c r="M301" s="215"/>
      <c r="N301" s="191"/>
    </row>
    <row r="302" spans="1:14" outlineLevel="4" x14ac:dyDescent="0.25">
      <c r="A302" s="188" t="s">
        <v>415</v>
      </c>
      <c r="B302" s="188" t="s">
        <v>467</v>
      </c>
      <c r="C302" s="188" t="s">
        <v>139</v>
      </c>
      <c r="D302" s="188" t="s">
        <v>139</v>
      </c>
      <c r="E302" s="188" t="s">
        <v>468</v>
      </c>
      <c r="F302" s="189">
        <v>45839</v>
      </c>
      <c r="G302" s="190">
        <v>100.5</v>
      </c>
      <c r="H302" s="190">
        <f t="shared" si="11"/>
        <v>100.5</v>
      </c>
      <c r="J302" s="190">
        <v>100.5</v>
      </c>
      <c r="K302" s="191">
        <f t="shared" si="12"/>
        <v>0</v>
      </c>
      <c r="M302" s="215"/>
      <c r="N302" s="191"/>
    </row>
    <row r="303" spans="1:14" outlineLevel="4" x14ac:dyDescent="0.25">
      <c r="A303" s="188" t="s">
        <v>415</v>
      </c>
      <c r="B303" s="188" t="s">
        <v>467</v>
      </c>
      <c r="C303" s="188" t="s">
        <v>142</v>
      </c>
      <c r="D303" s="188" t="s">
        <v>142</v>
      </c>
      <c r="E303" s="188" t="s">
        <v>468</v>
      </c>
      <c r="F303" s="189">
        <v>45839</v>
      </c>
      <c r="G303" s="190">
        <v>439</v>
      </c>
      <c r="H303" s="190">
        <f t="shared" si="11"/>
        <v>439</v>
      </c>
      <c r="J303" s="190">
        <v>439</v>
      </c>
      <c r="K303" s="191">
        <f t="shared" si="12"/>
        <v>0</v>
      </c>
      <c r="M303" s="215"/>
      <c r="N303" s="191"/>
    </row>
    <row r="304" spans="1:14" outlineLevel="4" x14ac:dyDescent="0.25">
      <c r="A304" s="188" t="s">
        <v>415</v>
      </c>
      <c r="B304" s="188" t="s">
        <v>467</v>
      </c>
      <c r="C304" s="188" t="s">
        <v>123</v>
      </c>
      <c r="D304" s="188" t="s">
        <v>123</v>
      </c>
      <c r="E304" s="188" t="s">
        <v>468</v>
      </c>
      <c r="F304" s="189">
        <v>45839</v>
      </c>
      <c r="G304" s="190">
        <v>1672.37</v>
      </c>
      <c r="H304" s="190">
        <f t="shared" si="11"/>
        <v>1672.37</v>
      </c>
      <c r="J304" s="190">
        <v>1672.37</v>
      </c>
      <c r="K304" s="191">
        <f t="shared" si="12"/>
        <v>0</v>
      </c>
      <c r="M304" s="215"/>
      <c r="N304" s="191"/>
    </row>
    <row r="305" spans="1:14" outlineLevel="3" x14ac:dyDescent="0.25">
      <c r="B305" s="183" t="s">
        <v>469</v>
      </c>
      <c r="F305" s="189"/>
      <c r="G305" s="190">
        <f>SUBTOTAL(9,G300:G304)</f>
        <v>3376.67</v>
      </c>
      <c r="H305" s="190"/>
      <c r="J305" s="190">
        <f>SUBTOTAL(9,J300:J304)</f>
        <v>3376.67</v>
      </c>
      <c r="K305" s="191">
        <f>SUBTOTAL(9,K300:K304)</f>
        <v>0</v>
      </c>
      <c r="M305" s="215"/>
      <c r="N305" s="191"/>
    </row>
    <row r="306" spans="1:14" outlineLevel="4" x14ac:dyDescent="0.25">
      <c r="A306" s="188" t="s">
        <v>415</v>
      </c>
      <c r="B306" s="188" t="s">
        <v>470</v>
      </c>
      <c r="C306" s="188" t="s">
        <v>142</v>
      </c>
      <c r="D306" s="188" t="s">
        <v>307</v>
      </c>
      <c r="E306" s="188" t="s">
        <v>471</v>
      </c>
      <c r="F306" s="189">
        <v>45839</v>
      </c>
      <c r="G306" s="190">
        <v>744</v>
      </c>
      <c r="H306" s="190">
        <f t="shared" si="11"/>
        <v>744</v>
      </c>
      <c r="J306" s="190">
        <v>684</v>
      </c>
      <c r="K306" s="191">
        <f t="shared" si="12"/>
        <v>60</v>
      </c>
      <c r="M306" s="215"/>
      <c r="N306" s="191"/>
    </row>
    <row r="307" spans="1:14" ht="30" outlineLevel="4" x14ac:dyDescent="0.25">
      <c r="A307" s="188" t="s">
        <v>415</v>
      </c>
      <c r="B307" s="188" t="s">
        <v>470</v>
      </c>
      <c r="C307" s="188" t="s">
        <v>123</v>
      </c>
      <c r="D307" s="188" t="s">
        <v>461</v>
      </c>
      <c r="E307" s="188" t="s">
        <v>471</v>
      </c>
      <c r="F307" s="189">
        <v>45839</v>
      </c>
      <c r="G307" s="190">
        <f>2881-1200</f>
        <v>1681</v>
      </c>
      <c r="H307" s="190">
        <f t="shared" si="11"/>
        <v>1681</v>
      </c>
      <c r="J307" s="190">
        <v>2831</v>
      </c>
      <c r="K307" s="191">
        <f t="shared" si="12"/>
        <v>-1150</v>
      </c>
      <c r="M307" s="215" t="s">
        <v>1214</v>
      </c>
      <c r="N307" s="191"/>
    </row>
    <row r="308" spans="1:14" outlineLevel="3" x14ac:dyDescent="0.25">
      <c r="B308" s="183" t="s">
        <v>472</v>
      </c>
      <c r="F308" s="189"/>
      <c r="G308" s="190">
        <f>SUBTOTAL(9,G306:G307)</f>
        <v>2425</v>
      </c>
      <c r="H308" s="190"/>
      <c r="J308" s="190">
        <f>SUBTOTAL(9,J306:J307)</f>
        <v>3515</v>
      </c>
      <c r="K308" s="191">
        <f>SUBTOTAL(9,K306:K307)</f>
        <v>-1090</v>
      </c>
      <c r="M308" s="215"/>
      <c r="N308" s="191"/>
    </row>
    <row r="309" spans="1:14" outlineLevel="4" x14ac:dyDescent="0.25">
      <c r="A309" s="188" t="s">
        <v>415</v>
      </c>
      <c r="B309" s="188" t="s">
        <v>473</v>
      </c>
      <c r="C309" s="188" t="s">
        <v>170</v>
      </c>
      <c r="D309" s="188" t="s">
        <v>170</v>
      </c>
      <c r="E309" s="188" t="s">
        <v>474</v>
      </c>
      <c r="F309" s="189">
        <v>45839</v>
      </c>
      <c r="G309" s="190">
        <v>1026</v>
      </c>
      <c r="H309" s="190">
        <f t="shared" si="11"/>
        <v>1026</v>
      </c>
      <c r="J309" s="190">
        <v>1026</v>
      </c>
      <c r="K309" s="191">
        <f t="shared" si="12"/>
        <v>0</v>
      </c>
      <c r="M309" s="215"/>
      <c r="N309" s="191"/>
    </row>
    <row r="310" spans="1:14" outlineLevel="4" x14ac:dyDescent="0.25">
      <c r="A310" s="188" t="s">
        <v>415</v>
      </c>
      <c r="B310" s="188" t="s">
        <v>473</v>
      </c>
      <c r="C310" s="188" t="s">
        <v>139</v>
      </c>
      <c r="D310" s="188" t="s">
        <v>139</v>
      </c>
      <c r="E310" s="188" t="s">
        <v>474</v>
      </c>
      <c r="F310" s="189">
        <v>45839</v>
      </c>
      <c r="G310" s="190">
        <v>766.19420000000002</v>
      </c>
      <c r="H310" s="190">
        <f t="shared" si="11"/>
        <v>766.19420000000002</v>
      </c>
      <c r="J310" s="190">
        <v>763.46659999999997</v>
      </c>
      <c r="K310" s="191">
        <f t="shared" si="12"/>
        <v>2.7276000000000522</v>
      </c>
      <c r="M310" s="215"/>
      <c r="N310" s="191"/>
    </row>
    <row r="311" spans="1:14" outlineLevel="4" x14ac:dyDescent="0.25">
      <c r="A311" s="188" t="s">
        <v>415</v>
      </c>
      <c r="B311" s="188" t="s">
        <v>473</v>
      </c>
      <c r="C311" s="188" t="s">
        <v>142</v>
      </c>
      <c r="D311" s="188" t="s">
        <v>142</v>
      </c>
      <c r="E311" s="188" t="s">
        <v>474</v>
      </c>
      <c r="F311" s="189">
        <v>45839</v>
      </c>
      <c r="G311" s="190">
        <v>733</v>
      </c>
      <c r="H311" s="190">
        <f t="shared" si="11"/>
        <v>733</v>
      </c>
      <c r="J311" s="190">
        <v>743</v>
      </c>
      <c r="K311" s="191">
        <f t="shared" si="12"/>
        <v>-10</v>
      </c>
      <c r="M311" s="215"/>
      <c r="N311" s="191"/>
    </row>
    <row r="312" spans="1:14" outlineLevel="4" x14ac:dyDescent="0.25">
      <c r="A312" s="188" t="s">
        <v>415</v>
      </c>
      <c r="B312" s="188" t="s">
        <v>473</v>
      </c>
      <c r="C312" s="188" t="s">
        <v>123</v>
      </c>
      <c r="D312" s="188" t="s">
        <v>123</v>
      </c>
      <c r="E312" s="188" t="s">
        <v>474</v>
      </c>
      <c r="F312" s="189">
        <v>45839</v>
      </c>
      <c r="G312" s="190">
        <v>2708.94</v>
      </c>
      <c r="H312" s="190">
        <f t="shared" si="11"/>
        <v>2708.94</v>
      </c>
      <c r="J312" s="190">
        <v>2708.9434000000001</v>
      </c>
      <c r="K312" s="191">
        <f t="shared" si="12"/>
        <v>-3.4000000000560249E-3</v>
      </c>
      <c r="M312" s="215"/>
      <c r="N312" s="191"/>
    </row>
    <row r="313" spans="1:14" outlineLevel="4" x14ac:dyDescent="0.25">
      <c r="A313" s="188" t="s">
        <v>415</v>
      </c>
      <c r="B313" s="188" t="s">
        <v>473</v>
      </c>
      <c r="C313" s="188" t="s">
        <v>475</v>
      </c>
      <c r="D313" s="188" t="s">
        <v>475</v>
      </c>
      <c r="E313" s="188" t="s">
        <v>474</v>
      </c>
      <c r="F313" s="189">
        <v>45839</v>
      </c>
      <c r="G313" s="190">
        <v>55</v>
      </c>
      <c r="H313" s="190">
        <f t="shared" si="11"/>
        <v>55</v>
      </c>
      <c r="J313" s="190">
        <v>55</v>
      </c>
      <c r="K313" s="191">
        <f t="shared" si="12"/>
        <v>0</v>
      </c>
      <c r="M313" s="215"/>
      <c r="N313" s="191"/>
    </row>
    <row r="314" spans="1:14" outlineLevel="3" x14ac:dyDescent="0.25">
      <c r="B314" s="183" t="s">
        <v>476</v>
      </c>
      <c r="F314" s="189"/>
      <c r="G314" s="190">
        <f>SUBTOTAL(9,G309:G313)</f>
        <v>5289.1342000000004</v>
      </c>
      <c r="H314" s="190"/>
      <c r="J314" s="190">
        <f>SUBTOTAL(9,J309:J313)</f>
        <v>5296.41</v>
      </c>
      <c r="K314" s="191">
        <f>SUBTOTAL(9,K309:K313)</f>
        <v>-7.2758000000000038</v>
      </c>
      <c r="M314" s="215"/>
      <c r="N314" s="191"/>
    </row>
    <row r="315" spans="1:14" outlineLevel="4" x14ac:dyDescent="0.25">
      <c r="A315" s="188" t="s">
        <v>415</v>
      </c>
      <c r="B315" s="188" t="s">
        <v>477</v>
      </c>
      <c r="C315" s="188" t="s">
        <v>170</v>
      </c>
      <c r="D315" s="188" t="s">
        <v>170</v>
      </c>
      <c r="E315" s="188" t="s">
        <v>478</v>
      </c>
      <c r="F315" s="189">
        <v>45839</v>
      </c>
      <c r="G315" s="190">
        <v>27</v>
      </c>
      <c r="H315" s="190">
        <f t="shared" si="11"/>
        <v>27</v>
      </c>
      <c r="J315" s="190">
        <v>27</v>
      </c>
      <c r="K315" s="191">
        <f t="shared" si="12"/>
        <v>0</v>
      </c>
      <c r="M315" s="215"/>
      <c r="N315" s="191"/>
    </row>
    <row r="316" spans="1:14" outlineLevel="4" x14ac:dyDescent="0.25">
      <c r="A316" s="188" t="s">
        <v>415</v>
      </c>
      <c r="B316" s="188" t="s">
        <v>477</v>
      </c>
      <c r="C316" s="188" t="s">
        <v>139</v>
      </c>
      <c r="D316" s="188" t="s">
        <v>139</v>
      </c>
      <c r="E316" s="188" t="s">
        <v>478</v>
      </c>
      <c r="F316" s="189">
        <v>45839</v>
      </c>
      <c r="G316" s="190">
        <v>578.27319999999997</v>
      </c>
      <c r="H316" s="190">
        <f t="shared" si="11"/>
        <v>578.27319999999997</v>
      </c>
      <c r="J316" s="190">
        <v>599.8288</v>
      </c>
      <c r="K316" s="191">
        <f t="shared" si="12"/>
        <v>-21.555600000000027</v>
      </c>
      <c r="M316" s="215"/>
      <c r="N316" s="191"/>
    </row>
    <row r="317" spans="1:14" outlineLevel="4" x14ac:dyDescent="0.25">
      <c r="A317" s="188" t="s">
        <v>415</v>
      </c>
      <c r="B317" s="188" t="s">
        <v>477</v>
      </c>
      <c r="C317" s="188" t="s">
        <v>142</v>
      </c>
      <c r="D317" s="188" t="s">
        <v>142</v>
      </c>
      <c r="E317" s="188" t="s">
        <v>478</v>
      </c>
      <c r="F317" s="189">
        <v>45839</v>
      </c>
      <c r="G317" s="190">
        <v>880</v>
      </c>
      <c r="H317" s="190">
        <f t="shared" si="11"/>
        <v>880</v>
      </c>
      <c r="J317" s="190">
        <v>895</v>
      </c>
      <c r="K317" s="191">
        <f t="shared" si="12"/>
        <v>-15</v>
      </c>
      <c r="M317" s="215"/>
      <c r="N317" s="191"/>
    </row>
    <row r="318" spans="1:14" outlineLevel="4" x14ac:dyDescent="0.25">
      <c r="A318" s="188" t="s">
        <v>415</v>
      </c>
      <c r="B318" s="188" t="s">
        <v>477</v>
      </c>
      <c r="C318" s="188" t="s">
        <v>123</v>
      </c>
      <c r="D318" s="188" t="s">
        <v>123</v>
      </c>
      <c r="E318" s="188" t="s">
        <v>478</v>
      </c>
      <c r="F318" s="189">
        <v>45839</v>
      </c>
      <c r="G318" s="190">
        <v>7219.01</v>
      </c>
      <c r="H318" s="190">
        <f t="shared" si="11"/>
        <v>7219.01</v>
      </c>
      <c r="J318" s="190">
        <v>7219.0111999999999</v>
      </c>
      <c r="K318" s="191">
        <f t="shared" si="12"/>
        <v>-1.1999999996987754E-3</v>
      </c>
      <c r="M318" s="215"/>
      <c r="N318" s="191"/>
    </row>
    <row r="319" spans="1:14" outlineLevel="3" x14ac:dyDescent="0.25">
      <c r="B319" s="183" t="s">
        <v>479</v>
      </c>
      <c r="F319" s="189"/>
      <c r="G319" s="190">
        <f>SUBTOTAL(9,G315:G318)</f>
        <v>8704.2831999999999</v>
      </c>
      <c r="H319" s="190"/>
      <c r="J319" s="190">
        <f>SUBTOTAL(9,J315:J318)</f>
        <v>8740.84</v>
      </c>
      <c r="K319" s="191">
        <f>SUBTOTAL(9,K315:K318)</f>
        <v>-36.556799999999726</v>
      </c>
      <c r="M319" s="215"/>
      <c r="N319" s="191"/>
    </row>
    <row r="320" spans="1:14" outlineLevel="4" x14ac:dyDescent="0.25">
      <c r="A320" s="188" t="s">
        <v>415</v>
      </c>
      <c r="B320" s="188" t="s">
        <v>480</v>
      </c>
      <c r="C320" s="188" t="s">
        <v>170</v>
      </c>
      <c r="D320" s="188" t="s">
        <v>170</v>
      </c>
      <c r="E320" s="188" t="s">
        <v>481</v>
      </c>
      <c r="F320" s="189">
        <v>45839</v>
      </c>
      <c r="G320" s="190">
        <v>388</v>
      </c>
      <c r="H320" s="190">
        <f t="shared" si="11"/>
        <v>388</v>
      </c>
      <c r="J320" s="190">
        <v>388</v>
      </c>
      <c r="K320" s="191">
        <f t="shared" si="12"/>
        <v>0</v>
      </c>
      <c r="M320" s="215"/>
      <c r="N320" s="191"/>
    </row>
    <row r="321" spans="1:14" outlineLevel="4" x14ac:dyDescent="0.25">
      <c r="A321" s="188" t="s">
        <v>415</v>
      </c>
      <c r="B321" s="188" t="s">
        <v>480</v>
      </c>
      <c r="C321" s="188" t="s">
        <v>139</v>
      </c>
      <c r="D321" s="188" t="s">
        <v>139</v>
      </c>
      <c r="E321" s="188" t="s">
        <v>481</v>
      </c>
      <c r="F321" s="189">
        <v>45839</v>
      </c>
      <c r="G321" s="190">
        <v>367.34160000000003</v>
      </c>
      <c r="H321" s="190">
        <f t="shared" si="11"/>
        <v>367.34160000000003</v>
      </c>
      <c r="J321" s="190">
        <v>363.43920000000003</v>
      </c>
      <c r="K321" s="191">
        <f t="shared" si="12"/>
        <v>3.9024000000000001</v>
      </c>
      <c r="M321" s="215"/>
      <c r="N321" s="191"/>
    </row>
    <row r="322" spans="1:14" outlineLevel="4" x14ac:dyDescent="0.25">
      <c r="A322" s="188" t="s">
        <v>415</v>
      </c>
      <c r="B322" s="188" t="s">
        <v>480</v>
      </c>
      <c r="C322" s="188" t="s">
        <v>142</v>
      </c>
      <c r="D322" s="188" t="s">
        <v>142</v>
      </c>
      <c r="E322" s="188" t="s">
        <v>481</v>
      </c>
      <c r="F322" s="189">
        <v>45839</v>
      </c>
      <c r="G322" s="190">
        <v>119</v>
      </c>
      <c r="H322" s="190">
        <f t="shared" si="11"/>
        <v>119</v>
      </c>
      <c r="J322" s="190">
        <v>204</v>
      </c>
      <c r="K322" s="191">
        <f t="shared" si="12"/>
        <v>-85</v>
      </c>
      <c r="M322" s="215"/>
      <c r="N322" s="191"/>
    </row>
    <row r="323" spans="1:14" outlineLevel="4" x14ac:dyDescent="0.25">
      <c r="A323" s="188" t="s">
        <v>415</v>
      </c>
      <c r="B323" s="188" t="s">
        <v>480</v>
      </c>
      <c r="C323" s="188" t="s">
        <v>123</v>
      </c>
      <c r="D323" s="188" t="s">
        <v>123</v>
      </c>
      <c r="E323" s="188" t="s">
        <v>481</v>
      </c>
      <c r="F323" s="189">
        <v>45839</v>
      </c>
      <c r="G323" s="190">
        <v>1451.47</v>
      </c>
      <c r="H323" s="190">
        <f t="shared" si="11"/>
        <v>1451.47</v>
      </c>
      <c r="J323" s="201">
        <v>380.47080000000005</v>
      </c>
      <c r="K323" s="191">
        <f t="shared" si="12"/>
        <v>1070.9992</v>
      </c>
      <c r="M323" s="215"/>
      <c r="N323" s="191"/>
    </row>
    <row r="324" spans="1:14" outlineLevel="3" x14ac:dyDescent="0.25">
      <c r="B324" s="183" t="s">
        <v>482</v>
      </c>
      <c r="F324" s="189"/>
      <c r="G324" s="190">
        <f>SUBTOTAL(9,G320:G323)</f>
        <v>2325.8116</v>
      </c>
      <c r="H324" s="190"/>
      <c r="J324" s="201">
        <f>SUBTOTAL(9,J320:J323)</f>
        <v>1335.91</v>
      </c>
      <c r="K324" s="191">
        <f>SUBTOTAL(9,K320:K323)</f>
        <v>989.90159999999992</v>
      </c>
      <c r="M324" s="215"/>
      <c r="N324" s="191"/>
    </row>
    <row r="325" spans="1:14" outlineLevel="4" x14ac:dyDescent="0.25">
      <c r="A325" s="188" t="s">
        <v>415</v>
      </c>
      <c r="B325" s="188" t="s">
        <v>483</v>
      </c>
      <c r="C325" s="188" t="s">
        <v>420</v>
      </c>
      <c r="D325" s="188" t="s">
        <v>420</v>
      </c>
      <c r="E325" s="188" t="s">
        <v>484</v>
      </c>
      <c r="F325" s="189">
        <v>45839</v>
      </c>
      <c r="G325" s="190">
        <v>493</v>
      </c>
      <c r="H325" s="190">
        <f t="shared" si="11"/>
        <v>493</v>
      </c>
      <c r="J325" s="190">
        <v>493</v>
      </c>
      <c r="K325" s="191">
        <f t="shared" si="12"/>
        <v>0</v>
      </c>
      <c r="M325" s="215"/>
      <c r="N325" s="191"/>
    </row>
    <row r="326" spans="1:14" outlineLevel="4" x14ac:dyDescent="0.25">
      <c r="A326" s="188" t="s">
        <v>415</v>
      </c>
      <c r="B326" s="188" t="s">
        <v>483</v>
      </c>
      <c r="C326" s="188" t="s">
        <v>170</v>
      </c>
      <c r="D326" s="188" t="s">
        <v>485</v>
      </c>
      <c r="E326" s="188" t="s">
        <v>484</v>
      </c>
      <c r="F326" s="189">
        <v>45839</v>
      </c>
      <c r="G326" s="190">
        <v>352</v>
      </c>
      <c r="H326" s="190">
        <f t="shared" si="11"/>
        <v>352</v>
      </c>
      <c r="J326" s="190">
        <v>352</v>
      </c>
      <c r="K326" s="191">
        <f t="shared" si="12"/>
        <v>0</v>
      </c>
      <c r="M326" s="215"/>
      <c r="N326" s="191"/>
    </row>
    <row r="327" spans="1:14" outlineLevel="4" x14ac:dyDescent="0.25">
      <c r="A327" s="188" t="s">
        <v>415</v>
      </c>
      <c r="B327" s="188" t="s">
        <v>483</v>
      </c>
      <c r="C327" s="188" t="s">
        <v>139</v>
      </c>
      <c r="D327" s="188" t="s">
        <v>139</v>
      </c>
      <c r="E327" s="188" t="s">
        <v>484</v>
      </c>
      <c r="F327" s="189">
        <v>45839</v>
      </c>
      <c r="G327" s="190">
        <v>119.5</v>
      </c>
      <c r="H327" s="190">
        <f t="shared" si="11"/>
        <v>119.5</v>
      </c>
      <c r="J327" s="190">
        <v>119.5</v>
      </c>
      <c r="K327" s="191">
        <f t="shared" si="12"/>
        <v>0</v>
      </c>
      <c r="M327" s="215"/>
      <c r="N327" s="191"/>
    </row>
    <row r="328" spans="1:14" outlineLevel="4" x14ac:dyDescent="0.25">
      <c r="A328" s="188" t="s">
        <v>415</v>
      </c>
      <c r="B328" s="188" t="s">
        <v>483</v>
      </c>
      <c r="C328" s="188" t="s">
        <v>142</v>
      </c>
      <c r="D328" s="188" t="s">
        <v>142</v>
      </c>
      <c r="E328" s="188" t="s">
        <v>484</v>
      </c>
      <c r="F328" s="189">
        <v>45839</v>
      </c>
      <c r="G328" s="190">
        <v>355</v>
      </c>
      <c r="H328" s="190">
        <f t="shared" si="11"/>
        <v>355</v>
      </c>
      <c r="J328" s="190">
        <v>355</v>
      </c>
      <c r="K328" s="191">
        <f t="shared" si="12"/>
        <v>0</v>
      </c>
      <c r="M328" s="215"/>
      <c r="N328" s="191"/>
    </row>
    <row r="329" spans="1:14" outlineLevel="4" x14ac:dyDescent="0.25">
      <c r="A329" s="188" t="s">
        <v>415</v>
      </c>
      <c r="B329" s="188" t="s">
        <v>483</v>
      </c>
      <c r="C329" s="188" t="s">
        <v>123</v>
      </c>
      <c r="D329" s="188" t="s">
        <v>486</v>
      </c>
      <c r="E329" s="188" t="s">
        <v>484</v>
      </c>
      <c r="F329" s="189">
        <v>45839</v>
      </c>
      <c r="G329" s="190">
        <v>4522.21</v>
      </c>
      <c r="H329" s="190">
        <f t="shared" si="11"/>
        <v>4522.21</v>
      </c>
      <c r="J329" s="190">
        <v>4522.21</v>
      </c>
      <c r="K329" s="191">
        <f t="shared" si="12"/>
        <v>0</v>
      </c>
      <c r="M329" s="215"/>
      <c r="N329" s="191"/>
    </row>
    <row r="330" spans="1:14" outlineLevel="3" x14ac:dyDescent="0.25">
      <c r="B330" s="183" t="s">
        <v>487</v>
      </c>
      <c r="F330" s="189"/>
      <c r="G330" s="190">
        <f>SUBTOTAL(9,G325:G329)</f>
        <v>5841.71</v>
      </c>
      <c r="H330" s="190"/>
      <c r="J330" s="190">
        <f>SUBTOTAL(9,J325:J329)</f>
        <v>5841.71</v>
      </c>
      <c r="K330" s="191">
        <f>SUBTOTAL(9,K325:K329)</f>
        <v>0</v>
      </c>
      <c r="M330" s="215"/>
      <c r="N330" s="191"/>
    </row>
    <row r="331" spans="1:14" outlineLevel="4" x14ac:dyDescent="0.25">
      <c r="A331" s="188" t="s">
        <v>415</v>
      </c>
      <c r="B331" s="188" t="s">
        <v>488</v>
      </c>
      <c r="C331" s="188" t="s">
        <v>420</v>
      </c>
      <c r="D331" s="188" t="s">
        <v>489</v>
      </c>
      <c r="E331" s="188" t="s">
        <v>490</v>
      </c>
      <c r="F331" s="189">
        <v>45853</v>
      </c>
      <c r="G331" s="190">
        <v>334.75</v>
      </c>
      <c r="H331" s="190">
        <f t="shared" si="11"/>
        <v>334.75</v>
      </c>
      <c r="J331" s="190">
        <v>334.75</v>
      </c>
      <c r="K331" s="191">
        <f t="shared" si="12"/>
        <v>0</v>
      </c>
      <c r="M331" s="215"/>
      <c r="N331" s="191"/>
    </row>
    <row r="332" spans="1:14" outlineLevel="4" x14ac:dyDescent="0.25">
      <c r="A332" s="188" t="s">
        <v>415</v>
      </c>
      <c r="B332" s="188" t="s">
        <v>488</v>
      </c>
      <c r="C332" s="188" t="s">
        <v>139</v>
      </c>
      <c r="D332" s="188" t="s">
        <v>139</v>
      </c>
      <c r="E332" s="188" t="s">
        <v>490</v>
      </c>
      <c r="F332" s="189">
        <v>45853</v>
      </c>
      <c r="G332" s="190">
        <v>0</v>
      </c>
      <c r="H332" s="190">
        <f t="shared" ref="H332:H410" si="13">+G332</f>
        <v>0</v>
      </c>
      <c r="J332" s="190">
        <v>0</v>
      </c>
      <c r="K332" s="191">
        <f t="shared" ref="K332:K410" si="14">+H332-J332</f>
        <v>0</v>
      </c>
      <c r="M332" s="215"/>
      <c r="N332" s="191"/>
    </row>
    <row r="333" spans="1:14" outlineLevel="4" x14ac:dyDescent="0.25">
      <c r="A333" s="188" t="s">
        <v>415</v>
      </c>
      <c r="B333" s="188" t="s">
        <v>488</v>
      </c>
      <c r="C333" s="188" t="s">
        <v>142</v>
      </c>
      <c r="D333" s="188" t="s">
        <v>142</v>
      </c>
      <c r="E333" s="188" t="s">
        <v>490</v>
      </c>
      <c r="F333" s="189">
        <v>45853</v>
      </c>
      <c r="G333" s="190">
        <v>299</v>
      </c>
      <c r="H333" s="190">
        <f t="shared" si="13"/>
        <v>299</v>
      </c>
      <c r="J333" s="190">
        <v>299</v>
      </c>
      <c r="K333" s="191">
        <f t="shared" si="14"/>
        <v>0</v>
      </c>
      <c r="M333" s="215"/>
      <c r="N333" s="191"/>
    </row>
    <row r="334" spans="1:14" outlineLevel="4" x14ac:dyDescent="0.25">
      <c r="A334" s="188" t="s">
        <v>415</v>
      </c>
      <c r="B334" s="188" t="s">
        <v>488</v>
      </c>
      <c r="C334" s="188" t="s">
        <v>123</v>
      </c>
      <c r="D334" s="188" t="s">
        <v>123</v>
      </c>
      <c r="E334" s="188" t="s">
        <v>490</v>
      </c>
      <c r="F334" s="189">
        <v>45853</v>
      </c>
      <c r="G334" s="190">
        <v>919.3</v>
      </c>
      <c r="H334" s="190">
        <f t="shared" si="13"/>
        <v>919.3</v>
      </c>
      <c r="J334" s="190">
        <v>919.3</v>
      </c>
      <c r="K334" s="191">
        <f t="shared" si="14"/>
        <v>0</v>
      </c>
      <c r="M334" s="215"/>
      <c r="N334" s="191"/>
    </row>
    <row r="335" spans="1:14" outlineLevel="3" x14ac:dyDescent="0.25">
      <c r="B335" s="183" t="s">
        <v>491</v>
      </c>
      <c r="F335" s="189"/>
      <c r="G335" s="190">
        <f>SUBTOTAL(9,G331:G334)</f>
        <v>1553.05</v>
      </c>
      <c r="H335" s="190"/>
      <c r="J335" s="190">
        <f>SUBTOTAL(9,J331:J334)</f>
        <v>1553.05</v>
      </c>
      <c r="K335" s="191">
        <f>SUBTOTAL(9,K331:K334)</f>
        <v>0</v>
      </c>
      <c r="M335" s="215"/>
      <c r="N335" s="191"/>
    </row>
    <row r="336" spans="1:14" outlineLevel="4" x14ac:dyDescent="0.25">
      <c r="A336" s="188" t="s">
        <v>415</v>
      </c>
      <c r="B336" s="188" t="s">
        <v>492</v>
      </c>
      <c r="C336" s="188" t="s">
        <v>139</v>
      </c>
      <c r="D336" s="188" t="s">
        <v>179</v>
      </c>
      <c r="E336" s="188" t="s">
        <v>493</v>
      </c>
      <c r="F336" s="189">
        <v>45839</v>
      </c>
      <c r="G336" s="190">
        <v>980</v>
      </c>
      <c r="H336" s="190">
        <f t="shared" si="13"/>
        <v>980</v>
      </c>
      <c r="J336" s="190">
        <v>0</v>
      </c>
      <c r="K336" s="191">
        <f t="shared" si="14"/>
        <v>980</v>
      </c>
      <c r="M336" s="215"/>
      <c r="N336" s="191"/>
    </row>
    <row r="337" spans="1:14" outlineLevel="4" x14ac:dyDescent="0.25">
      <c r="A337" s="188" t="s">
        <v>415</v>
      </c>
      <c r="B337" s="188" t="s">
        <v>492</v>
      </c>
      <c r="C337" s="188" t="s">
        <v>123</v>
      </c>
      <c r="D337" s="188" t="s">
        <v>188</v>
      </c>
      <c r="E337" s="188" t="s">
        <v>493</v>
      </c>
      <c r="F337" s="189">
        <v>45839</v>
      </c>
      <c r="G337" s="190">
        <v>7845</v>
      </c>
      <c r="H337" s="190">
        <f t="shared" si="13"/>
        <v>7845</v>
      </c>
      <c r="J337" s="190">
        <v>8127</v>
      </c>
      <c r="K337" s="191">
        <f t="shared" si="14"/>
        <v>-282</v>
      </c>
      <c r="M337" s="215"/>
      <c r="N337" s="191"/>
    </row>
    <row r="338" spans="1:14" outlineLevel="3" x14ac:dyDescent="0.25">
      <c r="B338" s="183" t="s">
        <v>494</v>
      </c>
      <c r="F338" s="189"/>
      <c r="G338" s="190">
        <f>SUBTOTAL(9,G336:G337)</f>
        <v>8825</v>
      </c>
      <c r="H338" s="190"/>
      <c r="J338" s="190">
        <f>SUBTOTAL(9,J336:J337)</f>
        <v>8127</v>
      </c>
      <c r="K338" s="191">
        <f>SUBTOTAL(9,K336:K337)</f>
        <v>698</v>
      </c>
      <c r="M338" s="215"/>
      <c r="N338" s="191"/>
    </row>
    <row r="339" spans="1:14" outlineLevel="4" x14ac:dyDescent="0.25">
      <c r="A339" s="188" t="s">
        <v>415</v>
      </c>
      <c r="B339" s="188" t="s">
        <v>495</v>
      </c>
      <c r="C339" s="188" t="s">
        <v>139</v>
      </c>
      <c r="D339" s="188" t="s">
        <v>139</v>
      </c>
      <c r="E339" s="188" t="s">
        <v>496</v>
      </c>
      <c r="F339" s="189">
        <v>45839</v>
      </c>
      <c r="G339" s="190">
        <v>207.03479999999999</v>
      </c>
      <c r="H339" s="190">
        <f t="shared" si="13"/>
        <v>207.03479999999999</v>
      </c>
      <c r="J339" s="190">
        <v>198.9032</v>
      </c>
      <c r="K339" s="191">
        <f t="shared" si="14"/>
        <v>8.1315999999999917</v>
      </c>
      <c r="M339" s="215"/>
      <c r="N339" s="191"/>
    </row>
    <row r="340" spans="1:14" outlineLevel="4" x14ac:dyDescent="0.25">
      <c r="A340" s="188" t="s">
        <v>415</v>
      </c>
      <c r="B340" s="188" t="s">
        <v>495</v>
      </c>
      <c r="C340" s="188" t="s">
        <v>142</v>
      </c>
      <c r="D340" s="188" t="s">
        <v>142</v>
      </c>
      <c r="E340" s="188" t="s">
        <v>496</v>
      </c>
      <c r="F340" s="189">
        <v>45839</v>
      </c>
      <c r="G340" s="190">
        <v>502</v>
      </c>
      <c r="H340" s="190">
        <f t="shared" si="13"/>
        <v>502</v>
      </c>
      <c r="J340" s="190">
        <v>502</v>
      </c>
      <c r="K340" s="191">
        <f t="shared" si="14"/>
        <v>0</v>
      </c>
      <c r="M340" s="215"/>
      <c r="N340" s="191"/>
    </row>
    <row r="341" spans="1:14" outlineLevel="4" x14ac:dyDescent="0.25">
      <c r="A341" s="188" t="s">
        <v>415</v>
      </c>
      <c r="B341" s="188" t="s">
        <v>495</v>
      </c>
      <c r="C341" s="188" t="s">
        <v>123</v>
      </c>
      <c r="D341" s="188" t="s">
        <v>497</v>
      </c>
      <c r="E341" s="188" t="s">
        <v>496</v>
      </c>
      <c r="F341" s="189">
        <v>45839</v>
      </c>
      <c r="G341" s="190">
        <v>2832.85</v>
      </c>
      <c r="H341" s="190">
        <f t="shared" si="13"/>
        <v>2832.85</v>
      </c>
      <c r="J341" s="190">
        <v>2832.85</v>
      </c>
      <c r="K341" s="191">
        <f t="shared" si="14"/>
        <v>0</v>
      </c>
      <c r="M341" s="215"/>
      <c r="N341" s="191"/>
    </row>
    <row r="342" spans="1:14" outlineLevel="4" x14ac:dyDescent="0.25">
      <c r="A342" s="188" t="s">
        <v>415</v>
      </c>
      <c r="B342" s="188" t="s">
        <v>495</v>
      </c>
      <c r="C342" s="188" t="s">
        <v>475</v>
      </c>
      <c r="D342" s="188" t="s">
        <v>475</v>
      </c>
      <c r="E342" s="188" t="s">
        <v>496</v>
      </c>
      <c r="F342" s="189">
        <v>45839</v>
      </c>
      <c r="G342" s="190">
        <v>236.25</v>
      </c>
      <c r="H342" s="190">
        <f t="shared" si="13"/>
        <v>236.25</v>
      </c>
      <c r="J342" s="190">
        <v>236.25</v>
      </c>
      <c r="K342" s="191">
        <f t="shared" si="14"/>
        <v>0</v>
      </c>
      <c r="M342" s="215"/>
      <c r="N342" s="191"/>
    </row>
    <row r="343" spans="1:14" outlineLevel="3" x14ac:dyDescent="0.25">
      <c r="B343" s="183" t="s">
        <v>498</v>
      </c>
      <c r="F343" s="189"/>
      <c r="G343" s="190">
        <f>SUBTOTAL(9,G339:G342)</f>
        <v>3778.1347999999998</v>
      </c>
      <c r="H343" s="190"/>
      <c r="J343" s="190">
        <f>SUBTOTAL(9,J339:J342)</f>
        <v>3770.0032000000001</v>
      </c>
      <c r="K343" s="191">
        <f>SUBTOTAL(9,K339:K342)</f>
        <v>8.1315999999999917</v>
      </c>
      <c r="M343" s="215"/>
      <c r="N343" s="191"/>
    </row>
    <row r="344" spans="1:14" outlineLevel="4" x14ac:dyDescent="0.25">
      <c r="A344" s="188" t="s">
        <v>415</v>
      </c>
      <c r="B344" s="188" t="s">
        <v>499</v>
      </c>
      <c r="C344" s="188" t="s">
        <v>139</v>
      </c>
      <c r="D344" s="188" t="s">
        <v>179</v>
      </c>
      <c r="E344" s="188" t="s">
        <v>500</v>
      </c>
      <c r="F344" s="189">
        <v>45839</v>
      </c>
      <c r="G344" s="190">
        <v>560.5</v>
      </c>
      <c r="H344" s="190">
        <f t="shared" si="13"/>
        <v>560.5</v>
      </c>
      <c r="J344" s="190">
        <v>559.5</v>
      </c>
      <c r="K344" s="191">
        <f t="shared" si="14"/>
        <v>1</v>
      </c>
      <c r="M344" s="215"/>
      <c r="N344" s="191"/>
    </row>
    <row r="345" spans="1:14" outlineLevel="4" x14ac:dyDescent="0.25">
      <c r="A345" s="188" t="s">
        <v>415</v>
      </c>
      <c r="B345" s="188" t="s">
        <v>499</v>
      </c>
      <c r="C345" s="188" t="s">
        <v>142</v>
      </c>
      <c r="D345" s="188" t="s">
        <v>181</v>
      </c>
      <c r="E345" s="188" t="s">
        <v>500</v>
      </c>
      <c r="F345" s="189">
        <v>45839</v>
      </c>
      <c r="G345" s="190">
        <v>409.5</v>
      </c>
      <c r="H345" s="190">
        <f t="shared" si="13"/>
        <v>409.5</v>
      </c>
      <c r="J345" s="190">
        <v>396.5</v>
      </c>
      <c r="K345" s="191">
        <f t="shared" si="14"/>
        <v>13</v>
      </c>
      <c r="M345" s="215"/>
      <c r="N345" s="191"/>
    </row>
    <row r="346" spans="1:14" outlineLevel="4" x14ac:dyDescent="0.25">
      <c r="A346" s="188" t="s">
        <v>415</v>
      </c>
      <c r="B346" s="188" t="s">
        <v>499</v>
      </c>
      <c r="C346" s="188" t="s">
        <v>123</v>
      </c>
      <c r="D346" s="188" t="s">
        <v>188</v>
      </c>
      <c r="E346" s="188" t="s">
        <v>500</v>
      </c>
      <c r="F346" s="189">
        <v>45839</v>
      </c>
      <c r="G346" s="190">
        <v>2770</v>
      </c>
      <c r="H346" s="190">
        <f t="shared" si="13"/>
        <v>2770</v>
      </c>
      <c r="J346" s="190">
        <v>3031</v>
      </c>
      <c r="K346" s="191">
        <f t="shared" si="14"/>
        <v>-261</v>
      </c>
      <c r="M346" s="215"/>
      <c r="N346" s="191"/>
    </row>
    <row r="347" spans="1:14" outlineLevel="3" x14ac:dyDescent="0.25">
      <c r="B347" s="183" t="s">
        <v>501</v>
      </c>
      <c r="F347" s="189"/>
      <c r="G347" s="190">
        <f>SUBTOTAL(9,G344:G346)</f>
        <v>3740</v>
      </c>
      <c r="H347" s="190"/>
      <c r="J347" s="190">
        <f>SUBTOTAL(9,J344:J346)</f>
        <v>3987</v>
      </c>
      <c r="K347" s="191">
        <f>SUBTOTAL(9,K344:K346)</f>
        <v>-247</v>
      </c>
      <c r="M347" s="215"/>
      <c r="N347" s="191"/>
    </row>
    <row r="348" spans="1:14" outlineLevel="4" x14ac:dyDescent="0.25">
      <c r="A348" s="188" t="s">
        <v>415</v>
      </c>
      <c r="B348" s="188" t="s">
        <v>502</v>
      </c>
      <c r="C348" s="188" t="s">
        <v>170</v>
      </c>
      <c r="D348" s="188" t="s">
        <v>170</v>
      </c>
      <c r="E348" s="188" t="s">
        <v>503</v>
      </c>
      <c r="F348" s="189">
        <v>45839</v>
      </c>
      <c r="G348" s="190">
        <v>361.2</v>
      </c>
      <c r="H348" s="190">
        <f t="shared" si="13"/>
        <v>361.2</v>
      </c>
      <c r="J348" s="190">
        <v>361.2</v>
      </c>
      <c r="K348" s="191">
        <f t="shared" si="14"/>
        <v>0</v>
      </c>
      <c r="M348" s="215"/>
      <c r="N348" s="191"/>
    </row>
    <row r="349" spans="1:14" outlineLevel="4" x14ac:dyDescent="0.25">
      <c r="A349" s="188" t="s">
        <v>415</v>
      </c>
      <c r="B349" s="188" t="s">
        <v>502</v>
      </c>
      <c r="C349" s="188" t="s">
        <v>139</v>
      </c>
      <c r="D349" s="188" t="s">
        <v>139</v>
      </c>
      <c r="E349" s="188" t="s">
        <v>503</v>
      </c>
      <c r="F349" s="189">
        <v>45839</v>
      </c>
      <c r="G349" s="190">
        <v>223.18119999999999</v>
      </c>
      <c r="H349" s="190">
        <f t="shared" si="13"/>
        <v>223.18119999999999</v>
      </c>
      <c r="J349" s="190">
        <v>231.22880000000001</v>
      </c>
      <c r="K349" s="191">
        <f t="shared" si="14"/>
        <v>-8.047600000000017</v>
      </c>
      <c r="M349" s="215"/>
      <c r="N349" s="191"/>
    </row>
    <row r="350" spans="1:14" outlineLevel="4" x14ac:dyDescent="0.25">
      <c r="A350" s="188" t="s">
        <v>415</v>
      </c>
      <c r="B350" s="188" t="s">
        <v>502</v>
      </c>
      <c r="C350" s="188" t="s">
        <v>142</v>
      </c>
      <c r="D350" s="188" t="s">
        <v>162</v>
      </c>
      <c r="E350" s="188" t="s">
        <v>503</v>
      </c>
      <c r="F350" s="189">
        <v>45839</v>
      </c>
      <c r="G350" s="190">
        <v>412</v>
      </c>
      <c r="H350" s="190">
        <f t="shared" si="13"/>
        <v>412</v>
      </c>
      <c r="J350" s="190">
        <v>412</v>
      </c>
      <c r="K350" s="191">
        <f t="shared" si="14"/>
        <v>0</v>
      </c>
      <c r="M350" s="215"/>
      <c r="N350" s="191"/>
    </row>
    <row r="351" spans="1:14" outlineLevel="4" x14ac:dyDescent="0.25">
      <c r="A351" s="188" t="s">
        <v>415</v>
      </c>
      <c r="B351" s="188" t="s">
        <v>502</v>
      </c>
      <c r="C351" s="188" t="s">
        <v>123</v>
      </c>
      <c r="D351" s="188" t="s">
        <v>428</v>
      </c>
      <c r="E351" s="188" t="s">
        <v>503</v>
      </c>
      <c r="F351" s="189">
        <v>45839</v>
      </c>
      <c r="G351" s="190">
        <v>890</v>
      </c>
      <c r="H351" s="190">
        <f t="shared" si="13"/>
        <v>890</v>
      </c>
      <c r="J351" s="190">
        <v>890.00120000000004</v>
      </c>
      <c r="K351" s="191">
        <f t="shared" si="14"/>
        <v>-1.2000000000398359E-3</v>
      </c>
      <c r="M351" s="215"/>
      <c r="N351" s="191"/>
    </row>
    <row r="352" spans="1:14" outlineLevel="3" x14ac:dyDescent="0.25">
      <c r="B352" s="183" t="s">
        <v>504</v>
      </c>
      <c r="F352" s="189"/>
      <c r="G352" s="190">
        <f>SUBTOTAL(9,G348:G351)</f>
        <v>1886.3812</v>
      </c>
      <c r="H352" s="190"/>
      <c r="J352" s="190">
        <f>SUBTOTAL(9,J348:J351)</f>
        <v>1894.43</v>
      </c>
      <c r="K352" s="191">
        <f>SUBTOTAL(9,K348:K351)</f>
        <v>-8.0488000000000568</v>
      </c>
      <c r="M352" s="215"/>
      <c r="N352" s="191"/>
    </row>
    <row r="353" spans="1:14" outlineLevel="4" x14ac:dyDescent="0.25">
      <c r="A353" s="188" t="s">
        <v>415</v>
      </c>
      <c r="B353" s="188" t="s">
        <v>505</v>
      </c>
      <c r="C353" s="188" t="s">
        <v>170</v>
      </c>
      <c r="D353" s="188" t="s">
        <v>170</v>
      </c>
      <c r="E353" s="188" t="s">
        <v>506</v>
      </c>
      <c r="F353" s="189">
        <v>45839</v>
      </c>
      <c r="G353" s="190">
        <v>4295.8999999999996</v>
      </c>
      <c r="H353" s="190">
        <f t="shared" si="13"/>
        <v>4295.8999999999996</v>
      </c>
      <c r="J353" s="190">
        <v>4254.1000000000004</v>
      </c>
      <c r="K353" s="191">
        <f t="shared" si="14"/>
        <v>41.799999999999272</v>
      </c>
      <c r="M353" s="215"/>
      <c r="N353" s="191"/>
    </row>
    <row r="354" spans="1:14" outlineLevel="4" x14ac:dyDescent="0.25">
      <c r="A354" s="188" t="s">
        <v>415</v>
      </c>
      <c r="B354" s="188" t="s">
        <v>505</v>
      </c>
      <c r="C354" s="188" t="s">
        <v>139</v>
      </c>
      <c r="D354" s="188" t="s">
        <v>139</v>
      </c>
      <c r="E354" s="188" t="s">
        <v>506</v>
      </c>
      <c r="F354" s="189">
        <v>45839</v>
      </c>
      <c r="G354" s="190">
        <v>894</v>
      </c>
      <c r="H354" s="190">
        <f t="shared" si="13"/>
        <v>894</v>
      </c>
      <c r="J354" s="190">
        <v>868</v>
      </c>
      <c r="K354" s="191">
        <f t="shared" si="14"/>
        <v>26</v>
      </c>
      <c r="M354" s="215"/>
      <c r="N354" s="191"/>
    </row>
    <row r="355" spans="1:14" outlineLevel="4" x14ac:dyDescent="0.25">
      <c r="A355" s="188" t="s">
        <v>415</v>
      </c>
      <c r="B355" s="188" t="s">
        <v>505</v>
      </c>
      <c r="C355" s="188" t="s">
        <v>142</v>
      </c>
      <c r="D355" s="188" t="s">
        <v>142</v>
      </c>
      <c r="E355" s="188" t="s">
        <v>506</v>
      </c>
      <c r="F355" s="189">
        <v>45839</v>
      </c>
      <c r="G355" s="190">
        <v>3596</v>
      </c>
      <c r="H355" s="190">
        <f t="shared" si="13"/>
        <v>3596</v>
      </c>
      <c r="J355" s="190">
        <v>3687</v>
      </c>
      <c r="K355" s="191">
        <f t="shared" si="14"/>
        <v>-91</v>
      </c>
      <c r="M355" s="215"/>
      <c r="N355" s="191"/>
    </row>
    <row r="356" spans="1:14" outlineLevel="4" x14ac:dyDescent="0.25">
      <c r="A356" s="188" t="s">
        <v>415</v>
      </c>
      <c r="B356" s="188" t="s">
        <v>505</v>
      </c>
      <c r="C356" s="188" t="s">
        <v>123</v>
      </c>
      <c r="D356" s="188" t="s">
        <v>507</v>
      </c>
      <c r="E356" s="188" t="s">
        <v>506</v>
      </c>
      <c r="F356" s="189">
        <v>45839</v>
      </c>
      <c r="G356" s="190">
        <f>14264.7-750</f>
        <v>13514.7</v>
      </c>
      <c r="H356" s="190">
        <f t="shared" si="13"/>
        <v>13514.7</v>
      </c>
      <c r="J356" s="190">
        <v>14143.05</v>
      </c>
      <c r="K356" s="191">
        <f t="shared" si="14"/>
        <v>-628.34999999999854</v>
      </c>
      <c r="M356" s="215"/>
      <c r="N356" s="191"/>
    </row>
    <row r="357" spans="1:14" outlineLevel="3" x14ac:dyDescent="0.25">
      <c r="B357" s="183" t="s">
        <v>508</v>
      </c>
      <c r="F357" s="189"/>
      <c r="G357" s="190">
        <f>SUBTOTAL(9,G353:G356)</f>
        <v>22300.6</v>
      </c>
      <c r="H357" s="190"/>
      <c r="J357" s="190">
        <f>SUBTOTAL(9,J353:J356)</f>
        <v>22952.15</v>
      </c>
      <c r="K357" s="191">
        <f>SUBTOTAL(9,K353:K356)</f>
        <v>-651.54999999999927</v>
      </c>
      <c r="M357" s="215"/>
      <c r="N357" s="191"/>
    </row>
    <row r="358" spans="1:14" outlineLevel="4" x14ac:dyDescent="0.25">
      <c r="A358" s="188" t="s">
        <v>415</v>
      </c>
      <c r="B358" s="188" t="s">
        <v>509</v>
      </c>
      <c r="C358" s="188" t="s">
        <v>170</v>
      </c>
      <c r="D358" s="188" t="s">
        <v>510</v>
      </c>
      <c r="E358" s="188" t="s">
        <v>511</v>
      </c>
      <c r="F358" s="189">
        <v>45839</v>
      </c>
      <c r="G358" s="190">
        <v>2806</v>
      </c>
      <c r="H358" s="190">
        <f t="shared" si="13"/>
        <v>2806</v>
      </c>
      <c r="J358" s="190">
        <v>2806</v>
      </c>
      <c r="K358" s="191">
        <f t="shared" si="14"/>
        <v>0</v>
      </c>
      <c r="M358" s="215"/>
      <c r="N358" s="191"/>
    </row>
    <row r="359" spans="1:14" outlineLevel="4" x14ac:dyDescent="0.25">
      <c r="A359" s="188" t="s">
        <v>415</v>
      </c>
      <c r="B359" s="188" t="s">
        <v>509</v>
      </c>
      <c r="C359" s="188" t="s">
        <v>139</v>
      </c>
      <c r="D359" s="188" t="s">
        <v>512</v>
      </c>
      <c r="E359" s="188" t="s">
        <v>513</v>
      </c>
      <c r="F359" s="189">
        <v>45839</v>
      </c>
      <c r="G359" s="190">
        <v>760</v>
      </c>
      <c r="H359" s="190">
        <f t="shared" si="13"/>
        <v>760</v>
      </c>
      <c r="J359" s="190">
        <v>760</v>
      </c>
      <c r="K359" s="191">
        <f t="shared" si="14"/>
        <v>0</v>
      </c>
      <c r="M359" s="215"/>
      <c r="N359" s="191"/>
    </row>
    <row r="360" spans="1:14" outlineLevel="4" x14ac:dyDescent="0.25">
      <c r="A360" s="188" t="s">
        <v>415</v>
      </c>
      <c r="B360" s="188" t="s">
        <v>509</v>
      </c>
      <c r="C360" s="188" t="s">
        <v>139</v>
      </c>
      <c r="D360" s="188" t="s">
        <v>139</v>
      </c>
      <c r="E360" s="188" t="s">
        <v>514</v>
      </c>
      <c r="F360" s="189">
        <v>45839</v>
      </c>
      <c r="G360" s="190">
        <v>830</v>
      </c>
      <c r="H360" s="190">
        <f t="shared" si="13"/>
        <v>830</v>
      </c>
      <c r="J360" s="190">
        <v>830</v>
      </c>
      <c r="K360" s="191">
        <f t="shared" si="14"/>
        <v>0</v>
      </c>
      <c r="M360" s="215"/>
      <c r="N360" s="191"/>
    </row>
    <row r="361" spans="1:14" outlineLevel="4" x14ac:dyDescent="0.25">
      <c r="A361" s="188" t="s">
        <v>415</v>
      </c>
      <c r="B361" s="188" t="s">
        <v>509</v>
      </c>
      <c r="C361" s="188" t="s">
        <v>139</v>
      </c>
      <c r="D361" s="188" t="s">
        <v>515</v>
      </c>
      <c r="E361" s="188" t="s">
        <v>516</v>
      </c>
      <c r="F361" s="189">
        <v>45839</v>
      </c>
      <c r="G361" s="190">
        <v>1089</v>
      </c>
      <c r="H361" s="190">
        <f t="shared" si="13"/>
        <v>1089</v>
      </c>
      <c r="J361" s="190">
        <v>1089</v>
      </c>
      <c r="K361" s="191">
        <f t="shared" si="14"/>
        <v>0</v>
      </c>
      <c r="M361" s="215"/>
      <c r="N361" s="191"/>
    </row>
    <row r="362" spans="1:14" outlineLevel="4" x14ac:dyDescent="0.25">
      <c r="A362" s="188" t="s">
        <v>415</v>
      </c>
      <c r="B362" s="188" t="s">
        <v>509</v>
      </c>
      <c r="C362" s="188" t="s">
        <v>142</v>
      </c>
      <c r="D362" s="188" t="s">
        <v>142</v>
      </c>
      <c r="E362" s="188" t="s">
        <v>517</v>
      </c>
      <c r="F362" s="189">
        <v>45839</v>
      </c>
      <c r="G362" s="190">
        <v>1993.5</v>
      </c>
      <c r="H362" s="190">
        <f t="shared" si="13"/>
        <v>1993.5</v>
      </c>
      <c r="J362" s="190">
        <v>1993.5</v>
      </c>
      <c r="K362" s="191">
        <f t="shared" si="14"/>
        <v>0</v>
      </c>
      <c r="M362" s="215"/>
      <c r="N362" s="191"/>
    </row>
    <row r="363" spans="1:14" outlineLevel="4" x14ac:dyDescent="0.25">
      <c r="A363" s="188" t="s">
        <v>415</v>
      </c>
      <c r="B363" s="188" t="s">
        <v>509</v>
      </c>
      <c r="C363" s="188" t="s">
        <v>123</v>
      </c>
      <c r="D363" s="188" t="s">
        <v>518</v>
      </c>
      <c r="E363" s="188" t="s">
        <v>514</v>
      </c>
      <c r="F363" s="189">
        <v>45839</v>
      </c>
      <c r="G363" s="190">
        <v>2601</v>
      </c>
      <c r="H363" s="190">
        <f t="shared" si="13"/>
        <v>2601</v>
      </c>
      <c r="J363" s="190">
        <v>2601</v>
      </c>
      <c r="K363" s="191">
        <f t="shared" si="14"/>
        <v>0</v>
      </c>
      <c r="M363" s="215"/>
      <c r="N363" s="191"/>
    </row>
    <row r="364" spans="1:14" outlineLevel="4" x14ac:dyDescent="0.25">
      <c r="A364" s="188" t="s">
        <v>415</v>
      </c>
      <c r="B364" s="188" t="s">
        <v>509</v>
      </c>
      <c r="C364" s="188" t="s">
        <v>123</v>
      </c>
      <c r="D364" s="188" t="s">
        <v>519</v>
      </c>
      <c r="E364" s="188" t="s">
        <v>520</v>
      </c>
      <c r="F364" s="189">
        <v>45839</v>
      </c>
      <c r="G364" s="190">
        <v>8321</v>
      </c>
      <c r="H364" s="190">
        <f t="shared" si="13"/>
        <v>8321</v>
      </c>
      <c r="J364" s="190">
        <v>8321</v>
      </c>
      <c r="K364" s="191">
        <f t="shared" si="14"/>
        <v>0</v>
      </c>
      <c r="M364" s="215"/>
      <c r="N364" s="191"/>
    </row>
    <row r="365" spans="1:14" outlineLevel="4" x14ac:dyDescent="0.25">
      <c r="A365" s="188" t="s">
        <v>415</v>
      </c>
      <c r="B365" s="188" t="s">
        <v>509</v>
      </c>
      <c r="C365" s="188" t="s">
        <v>475</v>
      </c>
      <c r="D365" s="188" t="s">
        <v>475</v>
      </c>
      <c r="E365" s="188" t="s">
        <v>517</v>
      </c>
      <c r="F365" s="189">
        <v>45839</v>
      </c>
      <c r="G365" s="190">
        <v>750</v>
      </c>
      <c r="H365" s="190">
        <f t="shared" si="13"/>
        <v>750</v>
      </c>
      <c r="J365" s="190">
        <v>750</v>
      </c>
      <c r="K365" s="191">
        <f t="shared" si="14"/>
        <v>0</v>
      </c>
      <c r="M365" s="215"/>
      <c r="N365" s="191"/>
    </row>
    <row r="366" spans="1:14" outlineLevel="3" x14ac:dyDescent="0.25">
      <c r="B366" s="183" t="s">
        <v>521</v>
      </c>
      <c r="F366" s="189"/>
      <c r="G366" s="190">
        <f>SUBTOTAL(9,G358:G365)</f>
        <v>19150.5</v>
      </c>
      <c r="H366" s="190"/>
      <c r="J366" s="190">
        <f>SUBTOTAL(9,J358:J365)</f>
        <v>19150.5</v>
      </c>
      <c r="K366" s="191">
        <f>SUBTOTAL(9,K358:K365)</f>
        <v>0</v>
      </c>
      <c r="M366" s="215"/>
      <c r="N366" s="191"/>
    </row>
    <row r="367" spans="1:14" outlineLevel="4" x14ac:dyDescent="0.25">
      <c r="A367" s="188" t="s">
        <v>415</v>
      </c>
      <c r="B367" s="188" t="s">
        <v>522</v>
      </c>
      <c r="C367" s="188" t="s">
        <v>420</v>
      </c>
      <c r="D367" s="188" t="s">
        <v>523</v>
      </c>
      <c r="E367" s="188" t="s">
        <v>524</v>
      </c>
      <c r="F367" s="189">
        <v>45839</v>
      </c>
      <c r="G367" s="190">
        <v>2185.71</v>
      </c>
      <c r="H367" s="190">
        <f t="shared" si="13"/>
        <v>2185.71</v>
      </c>
      <c r="J367" s="190">
        <v>2185.71</v>
      </c>
      <c r="K367" s="191">
        <f t="shared" si="14"/>
        <v>0</v>
      </c>
      <c r="M367" s="215"/>
      <c r="N367" s="191"/>
    </row>
    <row r="368" spans="1:14" s="202" customFormat="1" outlineLevel="4" x14ac:dyDescent="0.25">
      <c r="A368" s="188" t="s">
        <v>415</v>
      </c>
      <c r="B368" s="202" t="s">
        <v>522</v>
      </c>
      <c r="C368" s="202" t="s">
        <v>170</v>
      </c>
      <c r="D368" s="202" t="s">
        <v>170</v>
      </c>
      <c r="F368" s="203"/>
      <c r="G368" s="204"/>
      <c r="H368" s="190">
        <f t="shared" si="13"/>
        <v>0</v>
      </c>
      <c r="J368" s="204">
        <v>788</v>
      </c>
      <c r="K368" s="191">
        <f t="shared" si="14"/>
        <v>-788</v>
      </c>
      <c r="M368" s="215"/>
      <c r="N368" s="191"/>
    </row>
    <row r="369" spans="1:14" outlineLevel="4" x14ac:dyDescent="0.25">
      <c r="A369" s="188" t="s">
        <v>415</v>
      </c>
      <c r="B369" s="188" t="s">
        <v>522</v>
      </c>
      <c r="C369" s="188" t="s">
        <v>139</v>
      </c>
      <c r="D369" s="188" t="s">
        <v>525</v>
      </c>
      <c r="E369" s="188" t="s">
        <v>524</v>
      </c>
      <c r="F369" s="189">
        <v>45839</v>
      </c>
      <c r="G369" s="190">
        <v>1182.75</v>
      </c>
      <c r="H369" s="190">
        <f t="shared" si="13"/>
        <v>1182.75</v>
      </c>
      <c r="J369" s="190">
        <v>478.75</v>
      </c>
      <c r="K369" s="191">
        <f t="shared" si="14"/>
        <v>704</v>
      </c>
      <c r="M369" s="215"/>
      <c r="N369" s="191"/>
    </row>
    <row r="370" spans="1:14" s="202" customFormat="1" outlineLevel="4" x14ac:dyDescent="0.25">
      <c r="A370" s="188" t="s">
        <v>415</v>
      </c>
      <c r="B370" s="202" t="s">
        <v>522</v>
      </c>
      <c r="C370" s="202" t="s">
        <v>139</v>
      </c>
      <c r="D370" s="202" t="s">
        <v>139</v>
      </c>
      <c r="F370" s="203"/>
      <c r="G370" s="204"/>
      <c r="H370" s="190">
        <f t="shared" si="13"/>
        <v>0</v>
      </c>
      <c r="J370" s="204">
        <v>0</v>
      </c>
      <c r="K370" s="191">
        <f t="shared" si="14"/>
        <v>0</v>
      </c>
      <c r="M370" s="215"/>
      <c r="N370" s="191"/>
    </row>
    <row r="371" spans="1:14" outlineLevel="4" x14ac:dyDescent="0.25">
      <c r="A371" s="188" t="s">
        <v>415</v>
      </c>
      <c r="B371" s="188" t="s">
        <v>522</v>
      </c>
      <c r="C371" s="188" t="s">
        <v>142</v>
      </c>
      <c r="D371" s="188" t="s">
        <v>526</v>
      </c>
      <c r="E371" s="188" t="s">
        <v>524</v>
      </c>
      <c r="F371" s="189">
        <v>45839</v>
      </c>
      <c r="G371" s="190">
        <v>273</v>
      </c>
      <c r="H371" s="190">
        <f t="shared" si="13"/>
        <v>273</v>
      </c>
      <c r="J371" s="190">
        <v>227</v>
      </c>
      <c r="K371" s="191">
        <f t="shared" si="14"/>
        <v>46</v>
      </c>
      <c r="M371" s="215"/>
      <c r="N371" s="191"/>
    </row>
    <row r="372" spans="1:14" outlineLevel="4" x14ac:dyDescent="0.25">
      <c r="A372" s="188" t="s">
        <v>415</v>
      </c>
      <c r="B372" s="188" t="s">
        <v>522</v>
      </c>
      <c r="C372" s="188" t="s">
        <v>123</v>
      </c>
      <c r="D372" s="188" t="s">
        <v>527</v>
      </c>
      <c r="E372" s="188" t="s">
        <v>524</v>
      </c>
      <c r="F372" s="189">
        <v>45839</v>
      </c>
      <c r="G372" s="190">
        <v>2349.63</v>
      </c>
      <c r="H372" s="190">
        <f t="shared" si="13"/>
        <v>2349.63</v>
      </c>
      <c r="J372" s="190">
        <v>2277.25</v>
      </c>
      <c r="K372" s="191">
        <f t="shared" si="14"/>
        <v>72.380000000000109</v>
      </c>
      <c r="M372" s="215"/>
      <c r="N372" s="191"/>
    </row>
    <row r="373" spans="1:14" outlineLevel="3" x14ac:dyDescent="0.25">
      <c r="B373" s="183" t="s">
        <v>528</v>
      </c>
      <c r="F373" s="189"/>
      <c r="G373" s="190">
        <f>SUBTOTAL(9,G367:G372)</f>
        <v>5991.09</v>
      </c>
      <c r="H373" s="190"/>
      <c r="J373" s="190">
        <f>SUBTOTAL(9,J367:J372)</f>
        <v>5956.71</v>
      </c>
      <c r="K373" s="191">
        <f>SUBTOTAL(9,K367:K372)</f>
        <v>34.380000000000109</v>
      </c>
      <c r="M373" s="215"/>
      <c r="N373" s="191"/>
    </row>
    <row r="374" spans="1:14" outlineLevel="4" x14ac:dyDescent="0.25">
      <c r="A374" s="188" t="s">
        <v>415</v>
      </c>
      <c r="B374" s="188" t="s">
        <v>529</v>
      </c>
      <c r="C374" s="188" t="s">
        <v>139</v>
      </c>
      <c r="D374" s="188" t="s">
        <v>139</v>
      </c>
      <c r="E374" s="188" t="s">
        <v>530</v>
      </c>
      <c r="F374" s="189">
        <v>45839</v>
      </c>
      <c r="G374" s="190">
        <v>880.69380000000001</v>
      </c>
      <c r="H374" s="190">
        <f t="shared" si="13"/>
        <v>880.69380000000001</v>
      </c>
      <c r="J374" s="205">
        <v>254.81360000000001</v>
      </c>
      <c r="K374" s="191">
        <f t="shared" si="14"/>
        <v>625.88020000000006</v>
      </c>
      <c r="M374" s="215"/>
      <c r="N374" s="191"/>
    </row>
    <row r="375" spans="1:14" outlineLevel="4" x14ac:dyDescent="0.25">
      <c r="A375" s="188" t="s">
        <v>415</v>
      </c>
      <c r="B375" s="188" t="s">
        <v>529</v>
      </c>
      <c r="C375" s="188" t="s">
        <v>139</v>
      </c>
      <c r="D375" s="188" t="s">
        <v>139</v>
      </c>
      <c r="E375" s="188" t="s">
        <v>531</v>
      </c>
      <c r="F375" s="189">
        <v>45839</v>
      </c>
      <c r="G375" s="190"/>
      <c r="H375" s="190">
        <f t="shared" si="13"/>
        <v>0</v>
      </c>
      <c r="J375" s="205"/>
      <c r="K375" s="191">
        <f t="shared" si="14"/>
        <v>0</v>
      </c>
      <c r="M375" s="215"/>
      <c r="N375" s="191"/>
    </row>
    <row r="376" spans="1:14" outlineLevel="4" x14ac:dyDescent="0.25">
      <c r="A376" s="188" t="s">
        <v>415</v>
      </c>
      <c r="B376" s="188" t="s">
        <v>529</v>
      </c>
      <c r="C376" s="188" t="s">
        <v>142</v>
      </c>
      <c r="D376" s="188" t="s">
        <v>142</v>
      </c>
      <c r="E376" s="188" t="s">
        <v>530</v>
      </c>
      <c r="F376" s="189">
        <v>45839</v>
      </c>
      <c r="G376" s="190">
        <v>552</v>
      </c>
      <c r="H376" s="190">
        <f t="shared" si="13"/>
        <v>552</v>
      </c>
      <c r="J376" s="190">
        <v>625.5</v>
      </c>
      <c r="K376" s="191">
        <f t="shared" si="14"/>
        <v>-73.5</v>
      </c>
      <c r="M376" s="215"/>
      <c r="N376" s="191"/>
    </row>
    <row r="377" spans="1:14" outlineLevel="4" x14ac:dyDescent="0.25">
      <c r="A377" s="188" t="s">
        <v>415</v>
      </c>
      <c r="B377" s="188" t="s">
        <v>529</v>
      </c>
      <c r="C377" s="188" t="s">
        <v>123</v>
      </c>
      <c r="D377" s="188" t="s">
        <v>532</v>
      </c>
      <c r="E377" s="188" t="s">
        <v>533</v>
      </c>
      <c r="F377" s="189">
        <v>45839</v>
      </c>
      <c r="G377" s="190"/>
      <c r="H377" s="190">
        <f t="shared" si="13"/>
        <v>0</v>
      </c>
      <c r="J377" s="205"/>
      <c r="K377" s="191">
        <f t="shared" si="14"/>
        <v>0</v>
      </c>
      <c r="M377" s="215"/>
      <c r="N377" s="191"/>
    </row>
    <row r="378" spans="1:14" outlineLevel="4" x14ac:dyDescent="0.25">
      <c r="A378" s="188" t="s">
        <v>415</v>
      </c>
      <c r="B378" s="188" t="s">
        <v>529</v>
      </c>
      <c r="C378" s="188" t="s">
        <v>123</v>
      </c>
      <c r="D378" s="188" t="s">
        <v>532</v>
      </c>
      <c r="E378" s="188" t="s">
        <v>530</v>
      </c>
      <c r="F378" s="189">
        <v>45839</v>
      </c>
      <c r="G378" s="190">
        <v>2869</v>
      </c>
      <c r="H378" s="190">
        <f t="shared" si="13"/>
        <v>2869</v>
      </c>
      <c r="J378" s="205">
        <v>2869</v>
      </c>
      <c r="K378" s="191">
        <f t="shared" si="14"/>
        <v>0</v>
      </c>
      <c r="M378" s="215"/>
      <c r="N378" s="191"/>
    </row>
    <row r="379" spans="1:14" outlineLevel="3" x14ac:dyDescent="0.25">
      <c r="B379" s="183" t="s">
        <v>534</v>
      </c>
      <c r="F379" s="189"/>
      <c r="G379" s="190">
        <f>SUBTOTAL(9,G374:G378)</f>
        <v>4301.6938</v>
      </c>
      <c r="H379" s="190"/>
      <c r="J379" s="205">
        <f>SUBTOTAL(9,J374:J378)</f>
        <v>3749.3136</v>
      </c>
      <c r="K379" s="191">
        <f>SUBTOTAL(9,K374:K378)</f>
        <v>552.38020000000006</v>
      </c>
      <c r="M379" s="215"/>
      <c r="N379" s="191"/>
    </row>
    <row r="380" spans="1:14" outlineLevel="4" x14ac:dyDescent="0.25">
      <c r="A380" s="188" t="s">
        <v>415</v>
      </c>
      <c r="B380" s="188" t="s">
        <v>535</v>
      </c>
      <c r="C380" s="188" t="s">
        <v>170</v>
      </c>
      <c r="D380" s="188" t="s">
        <v>171</v>
      </c>
      <c r="E380" s="188" t="s">
        <v>536</v>
      </c>
      <c r="F380" s="189">
        <v>45839</v>
      </c>
      <c r="G380" s="190">
        <v>4224</v>
      </c>
      <c r="H380" s="190">
        <f t="shared" si="13"/>
        <v>4224</v>
      </c>
      <c r="J380" s="190">
        <v>4224</v>
      </c>
      <c r="K380" s="191">
        <f t="shared" si="14"/>
        <v>0</v>
      </c>
      <c r="M380" s="215"/>
      <c r="N380" s="191"/>
    </row>
    <row r="381" spans="1:14" outlineLevel="4" x14ac:dyDescent="0.25">
      <c r="A381" s="188" t="s">
        <v>415</v>
      </c>
      <c r="B381" s="188" t="s">
        <v>535</v>
      </c>
      <c r="C381" s="188" t="s">
        <v>139</v>
      </c>
      <c r="D381" s="188" t="s">
        <v>537</v>
      </c>
      <c r="E381" s="188" t="s">
        <v>538</v>
      </c>
      <c r="F381" s="189">
        <v>45839</v>
      </c>
      <c r="G381" s="190">
        <v>1726</v>
      </c>
      <c r="H381" s="190">
        <f t="shared" si="13"/>
        <v>1726</v>
      </c>
      <c r="J381" s="190">
        <v>1726</v>
      </c>
      <c r="K381" s="191">
        <f t="shared" si="14"/>
        <v>0</v>
      </c>
      <c r="M381" s="215"/>
      <c r="N381" s="191"/>
    </row>
    <row r="382" spans="1:14" outlineLevel="4" x14ac:dyDescent="0.25">
      <c r="A382" s="188" t="s">
        <v>415</v>
      </c>
      <c r="B382" s="188" t="s">
        <v>535</v>
      </c>
      <c r="C382" s="188" t="s">
        <v>142</v>
      </c>
      <c r="D382" s="188" t="s">
        <v>539</v>
      </c>
      <c r="E382" s="188" t="s">
        <v>538</v>
      </c>
      <c r="F382" s="189">
        <v>45839</v>
      </c>
      <c r="G382" s="190">
        <v>2789.5</v>
      </c>
      <c r="H382" s="190">
        <f t="shared" si="13"/>
        <v>2789.5</v>
      </c>
      <c r="J382" s="190">
        <v>2819</v>
      </c>
      <c r="K382" s="191">
        <f t="shared" si="14"/>
        <v>-29.5</v>
      </c>
      <c r="M382" s="215"/>
      <c r="N382" s="191"/>
    </row>
    <row r="383" spans="1:14" outlineLevel="4" x14ac:dyDescent="0.25">
      <c r="A383" s="188" t="s">
        <v>415</v>
      </c>
      <c r="B383" s="188" t="s">
        <v>535</v>
      </c>
      <c r="C383" s="188" t="s">
        <v>123</v>
      </c>
      <c r="D383" s="188" t="s">
        <v>540</v>
      </c>
      <c r="E383" s="188" t="s">
        <v>538</v>
      </c>
      <c r="F383" s="189">
        <v>45839</v>
      </c>
      <c r="G383" s="190">
        <v>5740</v>
      </c>
      <c r="H383" s="190">
        <f t="shared" si="13"/>
        <v>5740</v>
      </c>
      <c r="J383" s="190">
        <v>5740</v>
      </c>
      <c r="K383" s="191">
        <f t="shared" si="14"/>
        <v>0</v>
      </c>
      <c r="M383" s="215"/>
      <c r="N383" s="191"/>
    </row>
    <row r="384" spans="1:14" outlineLevel="3" x14ac:dyDescent="0.25">
      <c r="B384" s="183" t="s">
        <v>541</v>
      </c>
      <c r="F384" s="189"/>
      <c r="G384" s="190">
        <f>SUBTOTAL(9,G380:G383)</f>
        <v>14479.5</v>
      </c>
      <c r="H384" s="190"/>
      <c r="J384" s="190">
        <f>SUBTOTAL(9,J380:J383)</f>
        <v>14509</v>
      </c>
      <c r="K384" s="191">
        <f>SUBTOTAL(9,K380:K383)</f>
        <v>-29.5</v>
      </c>
      <c r="M384" s="215"/>
      <c r="N384" s="191"/>
    </row>
    <row r="385" spans="1:14" outlineLevel="4" x14ac:dyDescent="0.25">
      <c r="A385" s="188" t="s">
        <v>415</v>
      </c>
      <c r="B385" s="188" t="s">
        <v>542</v>
      </c>
      <c r="C385" s="188" t="s">
        <v>420</v>
      </c>
      <c r="D385" s="188" t="s">
        <v>543</v>
      </c>
      <c r="E385" s="188" t="s">
        <v>544</v>
      </c>
      <c r="F385" s="189">
        <v>45839</v>
      </c>
      <c r="G385" s="190">
        <v>1400</v>
      </c>
      <c r="H385" s="190">
        <f t="shared" si="13"/>
        <v>1400</v>
      </c>
      <c r="J385" s="190">
        <v>1400</v>
      </c>
      <c r="K385" s="191">
        <f t="shared" si="14"/>
        <v>0</v>
      </c>
      <c r="M385" s="215"/>
      <c r="N385" s="191"/>
    </row>
    <row r="386" spans="1:14" outlineLevel="4" x14ac:dyDescent="0.25">
      <c r="A386" s="188" t="s">
        <v>415</v>
      </c>
      <c r="B386" s="188" t="s">
        <v>542</v>
      </c>
      <c r="C386" s="188" t="s">
        <v>170</v>
      </c>
      <c r="D386" s="188" t="s">
        <v>545</v>
      </c>
      <c r="E386" s="188" t="s">
        <v>544</v>
      </c>
      <c r="F386" s="189">
        <v>45839</v>
      </c>
      <c r="G386" s="190">
        <v>446</v>
      </c>
      <c r="H386" s="190">
        <f t="shared" si="13"/>
        <v>446</v>
      </c>
      <c r="J386" s="190">
        <v>446</v>
      </c>
      <c r="K386" s="191">
        <f t="shared" si="14"/>
        <v>0</v>
      </c>
      <c r="M386" s="215"/>
      <c r="N386" s="191"/>
    </row>
    <row r="387" spans="1:14" outlineLevel="4" x14ac:dyDescent="0.25">
      <c r="A387" s="188" t="s">
        <v>415</v>
      </c>
      <c r="B387" s="188" t="s">
        <v>542</v>
      </c>
      <c r="C387" s="188" t="s">
        <v>139</v>
      </c>
      <c r="D387" s="188" t="s">
        <v>139</v>
      </c>
      <c r="E387" s="188" t="s">
        <v>544</v>
      </c>
      <c r="F387" s="189">
        <v>45839</v>
      </c>
      <c r="G387" s="190">
        <v>641.75</v>
      </c>
      <c r="H387" s="190">
        <f t="shared" si="13"/>
        <v>641.75</v>
      </c>
      <c r="J387" s="190">
        <v>641.75</v>
      </c>
      <c r="K387" s="191">
        <f t="shared" si="14"/>
        <v>0</v>
      </c>
      <c r="M387" s="215"/>
      <c r="N387" s="191"/>
    </row>
    <row r="388" spans="1:14" outlineLevel="4" x14ac:dyDescent="0.25">
      <c r="A388" s="188" t="s">
        <v>415</v>
      </c>
      <c r="B388" s="188" t="s">
        <v>542</v>
      </c>
      <c r="C388" s="188" t="s">
        <v>142</v>
      </c>
      <c r="D388" s="188" t="s">
        <v>142</v>
      </c>
      <c r="E388" s="188" t="s">
        <v>544</v>
      </c>
      <c r="F388" s="189">
        <v>45839</v>
      </c>
      <c r="G388" s="190">
        <v>472</v>
      </c>
      <c r="H388" s="190">
        <f t="shared" si="13"/>
        <v>472</v>
      </c>
      <c r="J388" s="190">
        <v>477</v>
      </c>
      <c r="K388" s="191">
        <f t="shared" si="14"/>
        <v>-5</v>
      </c>
      <c r="M388" s="215"/>
      <c r="N388" s="191"/>
    </row>
    <row r="389" spans="1:14" outlineLevel="4" x14ac:dyDescent="0.25">
      <c r="A389" s="188" t="s">
        <v>415</v>
      </c>
      <c r="B389" s="188" t="s">
        <v>542</v>
      </c>
      <c r="C389" s="188" t="s">
        <v>123</v>
      </c>
      <c r="D389" s="188" t="s">
        <v>546</v>
      </c>
      <c r="E389" s="188" t="s">
        <v>544</v>
      </c>
      <c r="F389" s="189">
        <v>45839</v>
      </c>
      <c r="G389" s="190">
        <v>1560.42</v>
      </c>
      <c r="H389" s="190">
        <f t="shared" si="13"/>
        <v>1560.42</v>
      </c>
      <c r="J389" s="190">
        <v>1560.42</v>
      </c>
      <c r="K389" s="191">
        <f t="shared" si="14"/>
        <v>0</v>
      </c>
      <c r="M389" s="215"/>
      <c r="N389" s="191"/>
    </row>
    <row r="390" spans="1:14" outlineLevel="3" x14ac:dyDescent="0.25">
      <c r="B390" s="183" t="s">
        <v>547</v>
      </c>
      <c r="F390" s="189"/>
      <c r="G390" s="190">
        <f>SUBTOTAL(9,G385:G389)</f>
        <v>4520.17</v>
      </c>
      <c r="H390" s="190"/>
      <c r="J390" s="190">
        <f>SUBTOTAL(9,J385:J389)</f>
        <v>4525.17</v>
      </c>
      <c r="K390" s="191">
        <f>SUBTOTAL(9,K385:K389)</f>
        <v>-5</v>
      </c>
      <c r="M390" s="215"/>
      <c r="N390" s="191"/>
    </row>
    <row r="391" spans="1:14" outlineLevel="4" x14ac:dyDescent="0.25">
      <c r="A391" s="188" t="s">
        <v>415</v>
      </c>
      <c r="B391" s="188" t="s">
        <v>548</v>
      </c>
      <c r="C391" s="188" t="s">
        <v>170</v>
      </c>
      <c r="D391" s="188" t="s">
        <v>170</v>
      </c>
      <c r="E391" s="188" t="s">
        <v>549</v>
      </c>
      <c r="F391" s="189">
        <v>45839</v>
      </c>
      <c r="G391" s="190">
        <v>3108</v>
      </c>
      <c r="H391" s="190">
        <f t="shared" si="13"/>
        <v>3108</v>
      </c>
      <c r="J391" s="190">
        <v>3108</v>
      </c>
      <c r="K391" s="191">
        <f t="shared" si="14"/>
        <v>0</v>
      </c>
      <c r="M391" s="215"/>
      <c r="N391" s="191"/>
    </row>
    <row r="392" spans="1:14" outlineLevel="4" x14ac:dyDescent="0.25">
      <c r="A392" s="188" t="s">
        <v>415</v>
      </c>
      <c r="B392" s="188" t="s">
        <v>548</v>
      </c>
      <c r="C392" s="188" t="s">
        <v>139</v>
      </c>
      <c r="D392" s="188" t="s">
        <v>139</v>
      </c>
      <c r="E392" s="188" t="s">
        <v>550</v>
      </c>
      <c r="F392" s="189">
        <v>45839</v>
      </c>
      <c r="G392" s="190">
        <v>1850</v>
      </c>
      <c r="H392" s="190">
        <f t="shared" si="13"/>
        <v>1850</v>
      </c>
      <c r="J392" s="190">
        <v>1800</v>
      </c>
      <c r="K392" s="191">
        <f t="shared" si="14"/>
        <v>50</v>
      </c>
      <c r="M392" s="215"/>
      <c r="N392" s="191"/>
    </row>
    <row r="393" spans="1:14" outlineLevel="4" x14ac:dyDescent="0.25">
      <c r="A393" s="188" t="s">
        <v>415</v>
      </c>
      <c r="B393" s="188" t="s">
        <v>548</v>
      </c>
      <c r="C393" s="188" t="s">
        <v>142</v>
      </c>
      <c r="D393" s="188" t="s">
        <v>142</v>
      </c>
      <c r="E393" s="188" t="s">
        <v>551</v>
      </c>
      <c r="F393" s="189">
        <v>45839</v>
      </c>
      <c r="G393" s="190">
        <v>1206</v>
      </c>
      <c r="H393" s="190">
        <f t="shared" si="13"/>
        <v>1206</v>
      </c>
      <c r="J393" s="190">
        <v>1230</v>
      </c>
      <c r="K393" s="191">
        <f t="shared" si="14"/>
        <v>-24</v>
      </c>
      <c r="M393" s="215"/>
      <c r="N393" s="191"/>
    </row>
    <row r="394" spans="1:14" outlineLevel="4" x14ac:dyDescent="0.25">
      <c r="A394" s="188" t="s">
        <v>415</v>
      </c>
      <c r="B394" s="188" t="s">
        <v>548</v>
      </c>
      <c r="C394" s="188" t="s">
        <v>123</v>
      </c>
      <c r="D394" s="188" t="s">
        <v>123</v>
      </c>
      <c r="E394" s="188" t="s">
        <v>552</v>
      </c>
      <c r="F394" s="189">
        <v>45839</v>
      </c>
      <c r="G394" s="190">
        <v>4700</v>
      </c>
      <c r="H394" s="190">
        <f t="shared" si="13"/>
        <v>4700</v>
      </c>
      <c r="J394" s="190">
        <v>4700</v>
      </c>
      <c r="K394" s="191">
        <f t="shared" si="14"/>
        <v>0</v>
      </c>
      <c r="M394" s="215"/>
      <c r="N394" s="191"/>
    </row>
    <row r="395" spans="1:14" outlineLevel="3" x14ac:dyDescent="0.25">
      <c r="B395" s="183" t="s">
        <v>553</v>
      </c>
      <c r="F395" s="189"/>
      <c r="G395" s="190">
        <f>SUBTOTAL(9,G391:G394)</f>
        <v>10864</v>
      </c>
      <c r="H395" s="190"/>
      <c r="J395" s="190">
        <f>SUBTOTAL(9,J391:J394)</f>
        <v>10838</v>
      </c>
      <c r="K395" s="191">
        <f>SUBTOTAL(9,K391:K394)</f>
        <v>26</v>
      </c>
      <c r="M395" s="215"/>
      <c r="N395" s="191"/>
    </row>
    <row r="396" spans="1:14" outlineLevel="4" x14ac:dyDescent="0.25">
      <c r="A396" s="188" t="s">
        <v>415</v>
      </c>
      <c r="B396" s="188" t="s">
        <v>554</v>
      </c>
      <c r="C396" s="188" t="s">
        <v>139</v>
      </c>
      <c r="D396" s="188" t="s">
        <v>139</v>
      </c>
      <c r="E396" s="188" t="s">
        <v>555</v>
      </c>
      <c r="F396" s="189">
        <v>45839</v>
      </c>
      <c r="G396" s="190">
        <v>549.92939999999999</v>
      </c>
      <c r="H396" s="190">
        <f t="shared" si="13"/>
        <v>549.92939999999999</v>
      </c>
      <c r="J396" s="190">
        <v>513.1848</v>
      </c>
      <c r="K396" s="191">
        <f t="shared" si="14"/>
        <v>36.744599999999991</v>
      </c>
      <c r="M396" s="215"/>
      <c r="N396" s="191"/>
    </row>
    <row r="397" spans="1:14" outlineLevel="4" x14ac:dyDescent="0.25">
      <c r="A397" s="188" t="s">
        <v>415</v>
      </c>
      <c r="B397" s="188" t="s">
        <v>554</v>
      </c>
      <c r="C397" s="188" t="s">
        <v>142</v>
      </c>
      <c r="D397" s="188" t="s">
        <v>142</v>
      </c>
      <c r="E397" s="188" t="s">
        <v>555</v>
      </c>
      <c r="F397" s="189">
        <v>45839</v>
      </c>
      <c r="G397" s="190">
        <v>1426</v>
      </c>
      <c r="H397" s="190">
        <f t="shared" si="13"/>
        <v>1426</v>
      </c>
      <c r="J397" s="190">
        <v>1426</v>
      </c>
      <c r="K397" s="191">
        <f t="shared" si="14"/>
        <v>0</v>
      </c>
      <c r="M397" s="215"/>
      <c r="N397" s="191"/>
    </row>
    <row r="398" spans="1:14" outlineLevel="4" x14ac:dyDescent="0.25">
      <c r="A398" s="188" t="s">
        <v>415</v>
      </c>
      <c r="B398" s="188" t="s">
        <v>554</v>
      </c>
      <c r="C398" s="188" t="s">
        <v>123</v>
      </c>
      <c r="D398" s="188" t="s">
        <v>507</v>
      </c>
      <c r="E398" s="188" t="s">
        <v>555</v>
      </c>
      <c r="F398" s="189">
        <v>45839</v>
      </c>
      <c r="G398" s="190">
        <v>3903</v>
      </c>
      <c r="H398" s="190">
        <f t="shared" si="13"/>
        <v>3903</v>
      </c>
      <c r="J398" s="190">
        <v>3939</v>
      </c>
      <c r="K398" s="191">
        <f t="shared" si="14"/>
        <v>-36</v>
      </c>
      <c r="M398" s="215"/>
      <c r="N398" s="191"/>
    </row>
    <row r="399" spans="1:14" outlineLevel="3" x14ac:dyDescent="0.25">
      <c r="B399" s="183" t="s">
        <v>556</v>
      </c>
      <c r="F399" s="189"/>
      <c r="G399" s="190">
        <f>SUBTOTAL(9,G396:G398)</f>
        <v>5878.9294</v>
      </c>
      <c r="H399" s="190"/>
      <c r="J399" s="190">
        <f>SUBTOTAL(9,J396:J398)</f>
        <v>5878.1848</v>
      </c>
      <c r="K399" s="191">
        <f>SUBTOTAL(9,K396:K398)</f>
        <v>0.74459999999999127</v>
      </c>
      <c r="M399" s="215"/>
      <c r="N399" s="191"/>
    </row>
    <row r="400" spans="1:14" outlineLevel="4" x14ac:dyDescent="0.25">
      <c r="A400" s="188" t="s">
        <v>415</v>
      </c>
      <c r="B400" s="188" t="s">
        <v>557</v>
      </c>
      <c r="C400" s="188" t="s">
        <v>139</v>
      </c>
      <c r="D400" s="188" t="s">
        <v>139</v>
      </c>
      <c r="E400" s="188" t="s">
        <v>558</v>
      </c>
      <c r="F400" s="189">
        <v>45839</v>
      </c>
      <c r="G400" s="190">
        <v>0</v>
      </c>
      <c r="H400" s="190">
        <f t="shared" si="13"/>
        <v>0</v>
      </c>
      <c r="J400" s="190">
        <v>0</v>
      </c>
      <c r="K400" s="191">
        <f t="shared" si="14"/>
        <v>0</v>
      </c>
      <c r="M400" s="215"/>
      <c r="N400" s="191"/>
    </row>
    <row r="401" spans="1:14" outlineLevel="4" x14ac:dyDescent="0.25">
      <c r="A401" s="188" t="s">
        <v>415</v>
      </c>
      <c r="B401" s="188" t="s">
        <v>557</v>
      </c>
      <c r="C401" s="188" t="s">
        <v>142</v>
      </c>
      <c r="D401" s="188" t="s">
        <v>142</v>
      </c>
      <c r="E401" s="188" t="s">
        <v>558</v>
      </c>
      <c r="F401" s="189">
        <v>45839</v>
      </c>
      <c r="G401" s="190">
        <v>70</v>
      </c>
      <c r="H401" s="190">
        <f t="shared" si="13"/>
        <v>70</v>
      </c>
      <c r="J401" s="190">
        <v>70</v>
      </c>
      <c r="K401" s="191">
        <f t="shared" si="14"/>
        <v>0</v>
      </c>
      <c r="M401" s="215"/>
      <c r="N401" s="191"/>
    </row>
    <row r="402" spans="1:14" outlineLevel="4" x14ac:dyDescent="0.25">
      <c r="A402" s="188" t="s">
        <v>415</v>
      </c>
      <c r="B402" s="188" t="s">
        <v>557</v>
      </c>
      <c r="C402" s="188" t="s">
        <v>123</v>
      </c>
      <c r="D402" s="188" t="s">
        <v>123</v>
      </c>
      <c r="E402" s="188" t="s">
        <v>558</v>
      </c>
      <c r="F402" s="189">
        <v>45839</v>
      </c>
      <c r="G402" s="190">
        <v>885.59</v>
      </c>
      <c r="H402" s="190">
        <f t="shared" si="13"/>
        <v>885.59</v>
      </c>
      <c r="J402" s="190">
        <v>885.59</v>
      </c>
      <c r="K402" s="191">
        <f t="shared" si="14"/>
        <v>0</v>
      </c>
      <c r="M402" s="215"/>
      <c r="N402" s="191"/>
    </row>
    <row r="403" spans="1:14" outlineLevel="3" x14ac:dyDescent="0.25">
      <c r="B403" s="183" t="s">
        <v>559</v>
      </c>
      <c r="F403" s="189"/>
      <c r="G403" s="190">
        <f>SUBTOTAL(9,G400:G402)</f>
        <v>955.59</v>
      </c>
      <c r="H403" s="190"/>
      <c r="J403" s="190">
        <f>SUBTOTAL(9,J400:J402)</f>
        <v>955.59</v>
      </c>
      <c r="K403" s="191">
        <f>SUBTOTAL(9,K400:K402)</f>
        <v>0</v>
      </c>
      <c r="M403" s="215"/>
      <c r="N403" s="191"/>
    </row>
    <row r="404" spans="1:14" outlineLevel="4" x14ac:dyDescent="0.25">
      <c r="A404" s="188" t="s">
        <v>415</v>
      </c>
      <c r="B404" s="188" t="s">
        <v>560</v>
      </c>
      <c r="C404" s="188" t="s">
        <v>170</v>
      </c>
      <c r="D404" s="188" t="s">
        <v>561</v>
      </c>
      <c r="E404" s="188" t="s">
        <v>562</v>
      </c>
      <c r="F404" s="189">
        <v>45839</v>
      </c>
      <c r="G404" s="190">
        <v>2247.4</v>
      </c>
      <c r="H404" s="190">
        <f t="shared" si="13"/>
        <v>2247.4</v>
      </c>
      <c r="J404" s="190">
        <v>2247.4</v>
      </c>
      <c r="K404" s="191">
        <f t="shared" si="14"/>
        <v>0</v>
      </c>
      <c r="M404" s="215"/>
      <c r="N404" s="191"/>
    </row>
    <row r="405" spans="1:14" outlineLevel="4" x14ac:dyDescent="0.25">
      <c r="A405" s="188" t="s">
        <v>415</v>
      </c>
      <c r="B405" s="188" t="s">
        <v>560</v>
      </c>
      <c r="C405" s="188" t="s">
        <v>139</v>
      </c>
      <c r="D405" s="188" t="s">
        <v>525</v>
      </c>
      <c r="E405" s="188" t="s">
        <v>563</v>
      </c>
      <c r="F405" s="189">
        <v>45839</v>
      </c>
      <c r="G405" s="190">
        <v>520</v>
      </c>
      <c r="H405" s="190">
        <f t="shared" si="13"/>
        <v>520</v>
      </c>
      <c r="J405" s="190">
        <v>515</v>
      </c>
      <c r="K405" s="191">
        <f t="shared" si="14"/>
        <v>5</v>
      </c>
      <c r="M405" s="215"/>
      <c r="N405" s="191"/>
    </row>
    <row r="406" spans="1:14" outlineLevel="4" x14ac:dyDescent="0.25">
      <c r="A406" s="188" t="s">
        <v>415</v>
      </c>
      <c r="B406" s="188" t="s">
        <v>560</v>
      </c>
      <c r="C406" s="188" t="s">
        <v>142</v>
      </c>
      <c r="D406" s="188" t="s">
        <v>526</v>
      </c>
      <c r="E406" s="188" t="s">
        <v>563</v>
      </c>
      <c r="F406" s="189">
        <v>45839</v>
      </c>
      <c r="G406" s="190">
        <v>1840</v>
      </c>
      <c r="H406" s="190">
        <f t="shared" si="13"/>
        <v>1840</v>
      </c>
      <c r="J406" s="190">
        <v>1664</v>
      </c>
      <c r="K406" s="191">
        <f t="shared" si="14"/>
        <v>176</v>
      </c>
      <c r="M406" s="215"/>
      <c r="N406" s="191"/>
    </row>
    <row r="407" spans="1:14" outlineLevel="4" x14ac:dyDescent="0.25">
      <c r="A407" s="188" t="s">
        <v>415</v>
      </c>
      <c r="B407" s="188" t="s">
        <v>560</v>
      </c>
      <c r="C407" s="188" t="s">
        <v>123</v>
      </c>
      <c r="D407" s="188" t="s">
        <v>527</v>
      </c>
      <c r="E407" s="188" t="s">
        <v>563</v>
      </c>
      <c r="F407" s="189">
        <v>45839</v>
      </c>
      <c r="G407" s="190">
        <v>2645</v>
      </c>
      <c r="H407" s="190">
        <f t="shared" si="13"/>
        <v>2645</v>
      </c>
      <c r="J407" s="190">
        <v>2615</v>
      </c>
      <c r="K407" s="191">
        <f t="shared" si="14"/>
        <v>30</v>
      </c>
      <c r="M407" s="215"/>
      <c r="N407" s="191"/>
    </row>
    <row r="408" spans="1:14" outlineLevel="3" x14ac:dyDescent="0.25">
      <c r="B408" s="183" t="s">
        <v>564</v>
      </c>
      <c r="F408" s="189"/>
      <c r="G408" s="190">
        <f>SUBTOTAL(9,G404:G407)</f>
        <v>7252.4</v>
      </c>
      <c r="H408" s="190"/>
      <c r="J408" s="190">
        <f>SUBTOTAL(9,J404:J407)</f>
        <v>7041.4</v>
      </c>
      <c r="K408" s="191">
        <f>SUBTOTAL(9,K404:K407)</f>
        <v>211</v>
      </c>
      <c r="M408" s="215"/>
      <c r="N408" s="191"/>
    </row>
    <row r="409" spans="1:14" outlineLevel="4" x14ac:dyDescent="0.25">
      <c r="A409" s="188" t="s">
        <v>415</v>
      </c>
      <c r="B409" s="188" t="s">
        <v>565</v>
      </c>
      <c r="C409" s="188" t="s">
        <v>170</v>
      </c>
      <c r="D409" s="188" t="s">
        <v>566</v>
      </c>
      <c r="E409" s="188" t="s">
        <v>567</v>
      </c>
      <c r="F409" s="189">
        <v>45839</v>
      </c>
      <c r="G409" s="190">
        <v>972</v>
      </c>
      <c r="H409" s="190">
        <f t="shared" si="13"/>
        <v>972</v>
      </c>
      <c r="J409" s="190">
        <v>972</v>
      </c>
      <c r="K409" s="191">
        <f t="shared" si="14"/>
        <v>0</v>
      </c>
      <c r="M409" s="215"/>
      <c r="N409" s="191"/>
    </row>
    <row r="410" spans="1:14" outlineLevel="4" x14ac:dyDescent="0.25">
      <c r="A410" s="188" t="s">
        <v>415</v>
      </c>
      <c r="B410" s="188" t="s">
        <v>565</v>
      </c>
      <c r="C410" s="188" t="s">
        <v>139</v>
      </c>
      <c r="D410" s="188" t="s">
        <v>139</v>
      </c>
      <c r="E410" s="188" t="s">
        <v>567</v>
      </c>
      <c r="F410" s="189">
        <v>45839</v>
      </c>
      <c r="G410" s="190">
        <v>393.5</v>
      </c>
      <c r="H410" s="190">
        <f t="shared" si="13"/>
        <v>393.5</v>
      </c>
      <c r="J410" s="190">
        <v>393.5</v>
      </c>
      <c r="K410" s="191">
        <f t="shared" si="14"/>
        <v>0</v>
      </c>
      <c r="M410" s="215"/>
      <c r="N410" s="191"/>
    </row>
    <row r="411" spans="1:14" outlineLevel="4" x14ac:dyDescent="0.25">
      <c r="A411" s="188" t="s">
        <v>415</v>
      </c>
      <c r="B411" s="188" t="s">
        <v>565</v>
      </c>
      <c r="C411" s="188" t="s">
        <v>142</v>
      </c>
      <c r="D411" s="188" t="s">
        <v>142</v>
      </c>
      <c r="E411" s="188" t="s">
        <v>567</v>
      </c>
      <c r="F411" s="189">
        <v>45839</v>
      </c>
      <c r="G411" s="190">
        <v>357.9</v>
      </c>
      <c r="H411" s="190">
        <f t="shared" ref="H411:H488" si="15">+G411</f>
        <v>357.9</v>
      </c>
      <c r="J411" s="190">
        <v>352.1</v>
      </c>
      <c r="K411" s="191">
        <f t="shared" ref="K411:K488" si="16">+H411-J411</f>
        <v>5.7999999999999545</v>
      </c>
      <c r="M411" s="215"/>
      <c r="N411" s="191"/>
    </row>
    <row r="412" spans="1:14" outlineLevel="4" x14ac:dyDescent="0.25">
      <c r="A412" s="188" t="s">
        <v>415</v>
      </c>
      <c r="B412" s="188" t="s">
        <v>565</v>
      </c>
      <c r="C412" s="188" t="s">
        <v>123</v>
      </c>
      <c r="D412" s="188" t="s">
        <v>568</v>
      </c>
      <c r="E412" s="188" t="s">
        <v>567</v>
      </c>
      <c r="F412" s="189">
        <v>45839</v>
      </c>
      <c r="G412" s="190">
        <v>4754.25</v>
      </c>
      <c r="H412" s="190">
        <f t="shared" si="15"/>
        <v>4754.25</v>
      </c>
      <c r="J412" s="190">
        <v>4754.25</v>
      </c>
      <c r="K412" s="191">
        <f t="shared" si="16"/>
        <v>0</v>
      </c>
      <c r="M412" s="215"/>
      <c r="N412" s="191"/>
    </row>
    <row r="413" spans="1:14" outlineLevel="4" x14ac:dyDescent="0.25">
      <c r="A413" s="188" t="s">
        <v>415</v>
      </c>
      <c r="B413" s="188" t="s">
        <v>565</v>
      </c>
      <c r="C413" s="188" t="s">
        <v>475</v>
      </c>
      <c r="D413" s="188" t="s">
        <v>569</v>
      </c>
      <c r="E413" s="188" t="s">
        <v>567</v>
      </c>
      <c r="F413" s="189">
        <v>45839</v>
      </c>
      <c r="G413" s="190">
        <v>3.19</v>
      </c>
      <c r="H413" s="190">
        <f t="shared" si="15"/>
        <v>3.19</v>
      </c>
      <c r="J413" s="190">
        <v>3.19</v>
      </c>
      <c r="K413" s="191">
        <f t="shared" si="16"/>
        <v>0</v>
      </c>
      <c r="M413" s="215"/>
      <c r="N413" s="191"/>
    </row>
    <row r="414" spans="1:14" outlineLevel="3" x14ac:dyDescent="0.25">
      <c r="B414" s="183" t="s">
        <v>570</v>
      </c>
      <c r="F414" s="189"/>
      <c r="G414" s="190">
        <f>SUBTOTAL(9,G409:G413)</f>
        <v>6480.8399999999992</v>
      </c>
      <c r="H414" s="190"/>
      <c r="J414" s="190">
        <f>SUBTOTAL(9,J409:J413)</f>
        <v>6475.04</v>
      </c>
      <c r="K414" s="191">
        <f>SUBTOTAL(9,K409:K413)</f>
        <v>5.7999999999999545</v>
      </c>
      <c r="M414" s="215"/>
      <c r="N414" s="191"/>
    </row>
    <row r="415" spans="1:14" outlineLevel="4" x14ac:dyDescent="0.25">
      <c r="A415" s="188" t="s">
        <v>415</v>
      </c>
      <c r="B415" s="188" t="s">
        <v>571</v>
      </c>
      <c r="C415" s="188" t="s">
        <v>420</v>
      </c>
      <c r="D415" s="188" t="s">
        <v>420</v>
      </c>
      <c r="E415" s="188" t="s">
        <v>572</v>
      </c>
      <c r="F415" s="189">
        <v>45839</v>
      </c>
      <c r="G415" s="190">
        <v>600</v>
      </c>
      <c r="H415" s="190">
        <f t="shared" si="15"/>
        <v>600</v>
      </c>
      <c r="J415" s="190">
        <v>600</v>
      </c>
      <c r="K415" s="191">
        <f t="shared" si="16"/>
        <v>0</v>
      </c>
      <c r="M415" s="215"/>
      <c r="N415" s="191"/>
    </row>
    <row r="416" spans="1:14" outlineLevel="4" x14ac:dyDescent="0.25">
      <c r="A416" s="188" t="s">
        <v>415</v>
      </c>
      <c r="B416" s="188" t="s">
        <v>571</v>
      </c>
      <c r="C416" s="188" t="s">
        <v>170</v>
      </c>
      <c r="D416" s="188" t="s">
        <v>170</v>
      </c>
      <c r="E416" s="188" t="s">
        <v>572</v>
      </c>
      <c r="F416" s="189">
        <v>45839</v>
      </c>
      <c r="G416" s="190">
        <v>1374</v>
      </c>
      <c r="H416" s="190">
        <f t="shared" si="15"/>
        <v>1374</v>
      </c>
      <c r="J416" s="190">
        <v>1374</v>
      </c>
      <c r="K416" s="191">
        <f t="shared" si="16"/>
        <v>0</v>
      </c>
      <c r="M416" s="215"/>
      <c r="N416" s="191"/>
    </row>
    <row r="417" spans="1:14" outlineLevel="4" x14ac:dyDescent="0.25">
      <c r="A417" s="188" t="s">
        <v>415</v>
      </c>
      <c r="B417" s="188" t="s">
        <v>571</v>
      </c>
      <c r="C417" s="188" t="s">
        <v>139</v>
      </c>
      <c r="D417" s="188" t="s">
        <v>139</v>
      </c>
      <c r="E417" s="188" t="s">
        <v>572</v>
      </c>
      <c r="F417" s="189">
        <v>45839</v>
      </c>
      <c r="G417" s="190">
        <v>236.2242</v>
      </c>
      <c r="H417" s="190">
        <f t="shared" si="15"/>
        <v>236.2242</v>
      </c>
      <c r="J417" s="190">
        <v>256.2242</v>
      </c>
      <c r="K417" s="191">
        <f t="shared" si="16"/>
        <v>-20</v>
      </c>
      <c r="M417" s="215"/>
      <c r="N417" s="191"/>
    </row>
    <row r="418" spans="1:14" outlineLevel="4" x14ac:dyDescent="0.25">
      <c r="A418" s="188" t="s">
        <v>415</v>
      </c>
      <c r="B418" s="188" t="s">
        <v>571</v>
      </c>
      <c r="C418" s="188" t="s">
        <v>142</v>
      </c>
      <c r="D418" s="188" t="s">
        <v>142</v>
      </c>
      <c r="E418" s="188" t="s">
        <v>572</v>
      </c>
      <c r="F418" s="189">
        <v>45839</v>
      </c>
      <c r="G418" s="190">
        <f>1990-80</f>
        <v>1910</v>
      </c>
      <c r="H418" s="190">
        <f t="shared" si="15"/>
        <v>1910</v>
      </c>
      <c r="J418" s="190">
        <v>2095</v>
      </c>
      <c r="K418" s="191">
        <f t="shared" si="16"/>
        <v>-185</v>
      </c>
      <c r="M418" s="215"/>
      <c r="N418" s="191"/>
    </row>
    <row r="419" spans="1:14" outlineLevel="4" x14ac:dyDescent="0.25">
      <c r="A419" s="188" t="s">
        <v>415</v>
      </c>
      <c r="B419" s="188" t="s">
        <v>571</v>
      </c>
      <c r="C419" s="188" t="s">
        <v>123</v>
      </c>
      <c r="D419" s="188" t="s">
        <v>123</v>
      </c>
      <c r="E419" s="188" t="s">
        <v>572</v>
      </c>
      <c r="F419" s="189">
        <v>45839</v>
      </c>
      <c r="G419" s="190">
        <v>3483</v>
      </c>
      <c r="H419" s="190">
        <f t="shared" si="15"/>
        <v>3483</v>
      </c>
      <c r="J419" s="190">
        <v>3758</v>
      </c>
      <c r="K419" s="191">
        <f t="shared" si="16"/>
        <v>-275</v>
      </c>
      <c r="M419" s="215"/>
      <c r="N419" s="191"/>
    </row>
    <row r="420" spans="1:14" outlineLevel="3" x14ac:dyDescent="0.25">
      <c r="B420" s="183" t="s">
        <v>573</v>
      </c>
      <c r="F420" s="189"/>
      <c r="G420" s="190">
        <f>SUBTOTAL(9,G415:G419)</f>
        <v>7603.2242000000006</v>
      </c>
      <c r="H420" s="190"/>
      <c r="J420" s="190">
        <f>SUBTOTAL(9,J415:J419)</f>
        <v>8083.2242000000006</v>
      </c>
      <c r="K420" s="191">
        <f>SUBTOTAL(9,K415:K419)</f>
        <v>-480</v>
      </c>
      <c r="M420" s="215"/>
      <c r="N420" s="191"/>
    </row>
    <row r="421" spans="1:14" outlineLevel="4" x14ac:dyDescent="0.25">
      <c r="A421" s="188" t="s">
        <v>415</v>
      </c>
      <c r="B421" s="188" t="s">
        <v>574</v>
      </c>
      <c r="C421" s="188" t="s">
        <v>170</v>
      </c>
      <c r="D421" s="188" t="s">
        <v>170</v>
      </c>
      <c r="E421" s="188" t="s">
        <v>575</v>
      </c>
      <c r="F421" s="189">
        <v>45839</v>
      </c>
      <c r="G421" s="190">
        <v>1763.6</v>
      </c>
      <c r="H421" s="190">
        <f t="shared" si="15"/>
        <v>1763.6</v>
      </c>
      <c r="J421" s="190">
        <v>1741.6</v>
      </c>
      <c r="K421" s="191">
        <f t="shared" si="16"/>
        <v>22</v>
      </c>
      <c r="M421" s="215"/>
      <c r="N421" s="191"/>
    </row>
    <row r="422" spans="1:14" outlineLevel="4" x14ac:dyDescent="0.25">
      <c r="A422" s="188" t="s">
        <v>415</v>
      </c>
      <c r="B422" s="188" t="s">
        <v>574</v>
      </c>
      <c r="C422" s="188" t="s">
        <v>139</v>
      </c>
      <c r="D422" s="188" t="s">
        <v>139</v>
      </c>
      <c r="E422" s="188" t="s">
        <v>575</v>
      </c>
      <c r="F422" s="189">
        <v>45839</v>
      </c>
      <c r="G422" s="190">
        <v>332</v>
      </c>
      <c r="H422" s="190">
        <f t="shared" si="15"/>
        <v>332</v>
      </c>
      <c r="J422" s="190">
        <v>340</v>
      </c>
      <c r="K422" s="191">
        <f t="shared" si="16"/>
        <v>-8</v>
      </c>
      <c r="M422" s="215"/>
      <c r="N422" s="191"/>
    </row>
    <row r="423" spans="1:14" outlineLevel="4" x14ac:dyDescent="0.25">
      <c r="A423" s="188" t="s">
        <v>415</v>
      </c>
      <c r="B423" s="188" t="s">
        <v>574</v>
      </c>
      <c r="C423" s="188" t="s">
        <v>142</v>
      </c>
      <c r="D423" s="188" t="s">
        <v>142</v>
      </c>
      <c r="E423" s="188" t="s">
        <v>575</v>
      </c>
      <c r="F423" s="189">
        <v>45839</v>
      </c>
      <c r="G423" s="190">
        <v>1721</v>
      </c>
      <c r="H423" s="190">
        <f t="shared" si="15"/>
        <v>1721</v>
      </c>
      <c r="J423" s="190">
        <v>1769</v>
      </c>
      <c r="K423" s="191">
        <f t="shared" si="16"/>
        <v>-48</v>
      </c>
      <c r="M423" s="215"/>
      <c r="N423" s="191"/>
    </row>
    <row r="424" spans="1:14" outlineLevel="4" x14ac:dyDescent="0.25">
      <c r="A424" s="188" t="s">
        <v>415</v>
      </c>
      <c r="B424" s="188" t="s">
        <v>574</v>
      </c>
      <c r="C424" s="188" t="s">
        <v>123</v>
      </c>
      <c r="D424" s="188" t="s">
        <v>123</v>
      </c>
      <c r="E424" s="188" t="s">
        <v>575</v>
      </c>
      <c r="F424" s="189">
        <v>45839</v>
      </c>
      <c r="G424" s="190">
        <v>5742.25</v>
      </c>
      <c r="H424" s="190">
        <f t="shared" si="15"/>
        <v>5742.25</v>
      </c>
      <c r="J424" s="190">
        <v>5860.7</v>
      </c>
      <c r="K424" s="191">
        <f t="shared" si="16"/>
        <v>-118.44999999999982</v>
      </c>
      <c r="M424" s="215"/>
      <c r="N424" s="191"/>
    </row>
    <row r="425" spans="1:14" outlineLevel="3" x14ac:dyDescent="0.25">
      <c r="B425" s="183" t="s">
        <v>576</v>
      </c>
      <c r="F425" s="189"/>
      <c r="G425" s="190">
        <f>SUBTOTAL(9,G421:G424)</f>
        <v>9558.85</v>
      </c>
      <c r="H425" s="190"/>
      <c r="J425" s="190">
        <f>SUBTOTAL(9,J421:J424)</f>
        <v>9711.2999999999993</v>
      </c>
      <c r="K425" s="191">
        <f>SUBTOTAL(9,K421:K424)</f>
        <v>-152.44999999999982</v>
      </c>
      <c r="M425" s="215"/>
      <c r="N425" s="191"/>
    </row>
    <row r="426" spans="1:14" outlineLevel="4" x14ac:dyDescent="0.25">
      <c r="A426" s="188" t="s">
        <v>415</v>
      </c>
      <c r="B426" s="188" t="s">
        <v>577</v>
      </c>
      <c r="C426" s="188" t="s">
        <v>420</v>
      </c>
      <c r="D426" s="188" t="s">
        <v>578</v>
      </c>
      <c r="E426" s="188" t="s">
        <v>579</v>
      </c>
      <c r="F426" s="189">
        <v>45839</v>
      </c>
      <c r="G426" s="190">
        <v>2560</v>
      </c>
      <c r="H426" s="190">
        <f t="shared" si="15"/>
        <v>2560</v>
      </c>
      <c r="J426" s="190">
        <v>800</v>
      </c>
      <c r="K426" s="191">
        <f t="shared" si="16"/>
        <v>1760</v>
      </c>
      <c r="M426" s="215"/>
      <c r="N426" s="191"/>
    </row>
    <row r="427" spans="1:14" s="202" customFormat="1" outlineLevel="4" x14ac:dyDescent="0.25">
      <c r="A427" s="188" t="s">
        <v>415</v>
      </c>
      <c r="B427" s="202" t="s">
        <v>577</v>
      </c>
      <c r="C427" s="202" t="s">
        <v>170</v>
      </c>
      <c r="D427" s="202" t="s">
        <v>580</v>
      </c>
      <c r="F427" s="203"/>
      <c r="G427" s="204"/>
      <c r="H427" s="190">
        <f t="shared" si="15"/>
        <v>0</v>
      </c>
      <c r="J427" s="204">
        <v>682.9</v>
      </c>
      <c r="K427" s="191">
        <f t="shared" si="16"/>
        <v>-682.9</v>
      </c>
      <c r="M427" s="216"/>
      <c r="N427" s="206"/>
    </row>
    <row r="428" spans="1:14" outlineLevel="4" x14ac:dyDescent="0.25">
      <c r="A428" s="188" t="s">
        <v>415</v>
      </c>
      <c r="B428" s="188" t="s">
        <v>577</v>
      </c>
      <c r="C428" s="188" t="s">
        <v>139</v>
      </c>
      <c r="D428" s="188" t="s">
        <v>581</v>
      </c>
      <c r="E428" s="188" t="s">
        <v>579</v>
      </c>
      <c r="F428" s="189">
        <v>45839</v>
      </c>
      <c r="G428" s="190">
        <v>1551.9906000000001</v>
      </c>
      <c r="H428" s="190">
        <f t="shared" si="15"/>
        <v>1551.9906000000001</v>
      </c>
      <c r="J428" s="190">
        <v>176</v>
      </c>
      <c r="K428" s="191">
        <f t="shared" si="16"/>
        <v>1375.9906000000001</v>
      </c>
      <c r="M428" s="215"/>
      <c r="N428" s="191"/>
    </row>
    <row r="429" spans="1:14" outlineLevel="4" x14ac:dyDescent="0.25">
      <c r="A429" s="188" t="s">
        <v>415</v>
      </c>
      <c r="B429" s="188" t="s">
        <v>577</v>
      </c>
      <c r="C429" s="188" t="s">
        <v>142</v>
      </c>
      <c r="D429" s="188" t="s">
        <v>582</v>
      </c>
      <c r="E429" s="188" t="s">
        <v>579</v>
      </c>
      <c r="F429" s="189">
        <v>45839</v>
      </c>
      <c r="G429" s="190">
        <v>1276</v>
      </c>
      <c r="H429" s="190">
        <f t="shared" si="15"/>
        <v>1276</v>
      </c>
      <c r="J429" s="190">
        <v>525</v>
      </c>
      <c r="K429" s="191">
        <f t="shared" si="16"/>
        <v>751</v>
      </c>
      <c r="M429" s="215"/>
      <c r="N429" s="191"/>
    </row>
    <row r="430" spans="1:14" outlineLevel="4" x14ac:dyDescent="0.25">
      <c r="A430" s="188" t="s">
        <v>415</v>
      </c>
      <c r="B430" s="188" t="s">
        <v>577</v>
      </c>
      <c r="C430" s="188" t="s">
        <v>123</v>
      </c>
      <c r="D430" s="188" t="s">
        <v>532</v>
      </c>
      <c r="E430" s="188" t="s">
        <v>579</v>
      </c>
      <c r="F430" s="189">
        <v>45839</v>
      </c>
      <c r="G430" s="190">
        <v>4931</v>
      </c>
      <c r="H430" s="190">
        <f t="shared" si="15"/>
        <v>4931</v>
      </c>
      <c r="J430" s="190">
        <v>0</v>
      </c>
      <c r="K430" s="191">
        <f t="shared" si="16"/>
        <v>4931</v>
      </c>
      <c r="M430" s="215"/>
      <c r="N430" s="191"/>
    </row>
    <row r="431" spans="1:14" s="202" customFormat="1" outlineLevel="4" x14ac:dyDescent="0.25">
      <c r="A431" s="188" t="s">
        <v>415</v>
      </c>
      <c r="B431" s="202" t="s">
        <v>577</v>
      </c>
      <c r="C431" s="202" t="s">
        <v>123</v>
      </c>
      <c r="D431" s="202" t="s">
        <v>123</v>
      </c>
      <c r="F431" s="203"/>
      <c r="G431" s="204"/>
      <c r="H431" s="190">
        <f t="shared" si="15"/>
        <v>0</v>
      </c>
      <c r="J431" s="204">
        <v>7124.51</v>
      </c>
      <c r="K431" s="191">
        <f t="shared" si="16"/>
        <v>-7124.51</v>
      </c>
      <c r="M431" s="216"/>
      <c r="N431" s="206"/>
    </row>
    <row r="432" spans="1:14" s="202" customFormat="1" outlineLevel="4" x14ac:dyDescent="0.25">
      <c r="A432" s="188" t="s">
        <v>415</v>
      </c>
      <c r="B432" s="202" t="s">
        <v>577</v>
      </c>
      <c r="C432" s="202" t="s">
        <v>475</v>
      </c>
      <c r="D432" s="202" t="s">
        <v>475</v>
      </c>
      <c r="F432" s="203"/>
      <c r="G432" s="204"/>
      <c r="H432" s="190">
        <f t="shared" si="15"/>
        <v>0</v>
      </c>
      <c r="J432" s="204">
        <v>2635.5</v>
      </c>
      <c r="K432" s="191">
        <f t="shared" si="16"/>
        <v>-2635.5</v>
      </c>
      <c r="M432" s="216"/>
      <c r="N432" s="206"/>
    </row>
    <row r="433" spans="1:14" s="202" customFormat="1" outlineLevel="3" x14ac:dyDescent="0.25">
      <c r="A433" s="188"/>
      <c r="B433" s="207" t="s">
        <v>583</v>
      </c>
      <c r="F433" s="203"/>
      <c r="G433" s="204">
        <f>SUBTOTAL(9,G426:G432)</f>
        <v>10318.990600000001</v>
      </c>
      <c r="H433" s="190"/>
      <c r="J433" s="204">
        <f>SUBTOTAL(9,J426:J432)</f>
        <v>11943.91</v>
      </c>
      <c r="K433" s="191">
        <f>SUBTOTAL(9,K426:K432)</f>
        <v>-1624.9194000000007</v>
      </c>
      <c r="M433" s="216" t="s">
        <v>1216</v>
      </c>
      <c r="N433" s="206"/>
    </row>
    <row r="434" spans="1:14" outlineLevel="4" x14ac:dyDescent="0.25">
      <c r="A434" s="188" t="s">
        <v>415</v>
      </c>
      <c r="B434" s="188" t="s">
        <v>584</v>
      </c>
      <c r="C434" s="188" t="s">
        <v>170</v>
      </c>
      <c r="D434" s="188" t="s">
        <v>170</v>
      </c>
      <c r="E434" s="188" t="s">
        <v>585</v>
      </c>
      <c r="F434" s="189">
        <v>45839</v>
      </c>
      <c r="G434" s="190">
        <v>565.20000000000005</v>
      </c>
      <c r="H434" s="190">
        <f t="shared" si="15"/>
        <v>565.20000000000005</v>
      </c>
      <c r="J434" s="190">
        <v>565.20000000000005</v>
      </c>
      <c r="K434" s="191">
        <f t="shared" si="16"/>
        <v>0</v>
      </c>
      <c r="M434" s="215"/>
      <c r="N434" s="191"/>
    </row>
    <row r="435" spans="1:14" outlineLevel="4" x14ac:dyDescent="0.25">
      <c r="A435" s="188" t="s">
        <v>415</v>
      </c>
      <c r="B435" s="188" t="s">
        <v>584</v>
      </c>
      <c r="C435" s="188" t="s">
        <v>139</v>
      </c>
      <c r="D435" s="188" t="s">
        <v>139</v>
      </c>
      <c r="E435" s="188" t="s">
        <v>585</v>
      </c>
      <c r="F435" s="189">
        <v>45839</v>
      </c>
      <c r="G435" s="190">
        <v>84</v>
      </c>
      <c r="H435" s="190">
        <f t="shared" si="15"/>
        <v>84</v>
      </c>
      <c r="J435" s="190">
        <v>84</v>
      </c>
      <c r="K435" s="191">
        <f t="shared" si="16"/>
        <v>0</v>
      </c>
      <c r="M435" s="215"/>
      <c r="N435" s="191"/>
    </row>
    <row r="436" spans="1:14" outlineLevel="4" x14ac:dyDescent="0.25">
      <c r="A436" s="188" t="s">
        <v>415</v>
      </c>
      <c r="B436" s="188" t="s">
        <v>584</v>
      </c>
      <c r="C436" s="188" t="s">
        <v>142</v>
      </c>
      <c r="D436" s="188" t="s">
        <v>142</v>
      </c>
      <c r="E436" s="188" t="s">
        <v>585</v>
      </c>
      <c r="F436" s="189">
        <v>45839</v>
      </c>
      <c r="G436" s="190">
        <v>560</v>
      </c>
      <c r="H436" s="190">
        <f t="shared" si="15"/>
        <v>560</v>
      </c>
      <c r="J436" s="190">
        <v>558.5</v>
      </c>
      <c r="K436" s="191">
        <f t="shared" si="16"/>
        <v>1.5</v>
      </c>
      <c r="M436" s="215"/>
      <c r="N436" s="191"/>
    </row>
    <row r="437" spans="1:14" outlineLevel="4" x14ac:dyDescent="0.25">
      <c r="A437" s="188" t="s">
        <v>415</v>
      </c>
      <c r="B437" s="188" t="s">
        <v>584</v>
      </c>
      <c r="C437" s="188" t="s">
        <v>123</v>
      </c>
      <c r="D437" s="188" t="s">
        <v>123</v>
      </c>
      <c r="E437" s="188" t="s">
        <v>585</v>
      </c>
      <c r="F437" s="189">
        <v>45839</v>
      </c>
      <c r="G437" s="190">
        <v>1977</v>
      </c>
      <c r="H437" s="190">
        <f t="shared" si="15"/>
        <v>1977</v>
      </c>
      <c r="J437" s="190">
        <v>1977</v>
      </c>
      <c r="K437" s="191">
        <f t="shared" si="16"/>
        <v>0</v>
      </c>
      <c r="M437" s="215"/>
      <c r="N437" s="191"/>
    </row>
    <row r="438" spans="1:14" outlineLevel="3" x14ac:dyDescent="0.25">
      <c r="B438" s="183" t="s">
        <v>586</v>
      </c>
      <c r="F438" s="189"/>
      <c r="G438" s="190">
        <f>SUBTOTAL(9,G434:G437)</f>
        <v>3186.2</v>
      </c>
      <c r="H438" s="190"/>
      <c r="J438" s="190">
        <f>SUBTOTAL(9,J434:J437)</f>
        <v>3184.7</v>
      </c>
      <c r="K438" s="191">
        <f>SUBTOTAL(9,K434:K437)</f>
        <v>1.5</v>
      </c>
      <c r="M438" s="215"/>
      <c r="N438" s="191"/>
    </row>
    <row r="439" spans="1:14" outlineLevel="4" x14ac:dyDescent="0.25">
      <c r="A439" s="188" t="s">
        <v>415</v>
      </c>
      <c r="B439" s="188" t="s">
        <v>587</v>
      </c>
      <c r="C439" s="188" t="s">
        <v>170</v>
      </c>
      <c r="D439" s="188" t="s">
        <v>588</v>
      </c>
      <c r="E439" s="188" t="s">
        <v>589</v>
      </c>
      <c r="F439" s="189">
        <v>45839</v>
      </c>
      <c r="G439" s="190">
        <v>1544</v>
      </c>
      <c r="H439" s="190">
        <f t="shared" si="15"/>
        <v>1544</v>
      </c>
      <c r="J439" s="190">
        <v>1544</v>
      </c>
      <c r="K439" s="191">
        <f t="shared" si="16"/>
        <v>0</v>
      </c>
      <c r="M439" s="215"/>
      <c r="N439" s="191"/>
    </row>
    <row r="440" spans="1:14" outlineLevel="4" x14ac:dyDescent="0.25">
      <c r="A440" s="188" t="s">
        <v>415</v>
      </c>
      <c r="B440" s="188" t="s">
        <v>587</v>
      </c>
      <c r="C440" s="188" t="s">
        <v>139</v>
      </c>
      <c r="D440" s="188" t="s">
        <v>139</v>
      </c>
      <c r="E440" s="188" t="s">
        <v>589</v>
      </c>
      <c r="F440" s="189">
        <v>45839</v>
      </c>
      <c r="G440" s="190">
        <v>1082.3</v>
      </c>
      <c r="H440" s="190">
        <f t="shared" si="15"/>
        <v>1082.3</v>
      </c>
      <c r="J440" s="190">
        <v>1079.67</v>
      </c>
      <c r="K440" s="191">
        <f t="shared" si="16"/>
        <v>2.6299999999998818</v>
      </c>
      <c r="M440" s="215"/>
      <c r="N440" s="191"/>
    </row>
    <row r="441" spans="1:14" outlineLevel="4" x14ac:dyDescent="0.25">
      <c r="A441" s="188" t="s">
        <v>415</v>
      </c>
      <c r="B441" s="188" t="s">
        <v>587</v>
      </c>
      <c r="C441" s="188" t="s">
        <v>142</v>
      </c>
      <c r="D441" s="188" t="s">
        <v>142</v>
      </c>
      <c r="E441" s="188" t="s">
        <v>589</v>
      </c>
      <c r="F441" s="189">
        <v>45839</v>
      </c>
      <c r="G441" s="190">
        <v>627</v>
      </c>
      <c r="H441" s="190">
        <f t="shared" si="15"/>
        <v>627</v>
      </c>
      <c r="J441" s="190">
        <v>633.5</v>
      </c>
      <c r="K441" s="191">
        <f t="shared" si="16"/>
        <v>-6.5</v>
      </c>
      <c r="M441" s="215"/>
      <c r="N441" s="191"/>
    </row>
    <row r="442" spans="1:14" outlineLevel="4" x14ac:dyDescent="0.25">
      <c r="A442" s="188" t="s">
        <v>415</v>
      </c>
      <c r="B442" s="188" t="s">
        <v>587</v>
      </c>
      <c r="C442" s="188" t="s">
        <v>123</v>
      </c>
      <c r="D442" s="188" t="s">
        <v>587</v>
      </c>
      <c r="E442" s="188" t="s">
        <v>589</v>
      </c>
      <c r="F442" s="189">
        <v>45839</v>
      </c>
      <c r="G442" s="190">
        <v>2983.15</v>
      </c>
      <c r="H442" s="190">
        <f t="shared" si="15"/>
        <v>2983.15</v>
      </c>
      <c r="J442" s="190">
        <v>2983.15</v>
      </c>
      <c r="K442" s="191">
        <f t="shared" si="16"/>
        <v>0</v>
      </c>
      <c r="M442" s="215"/>
      <c r="N442" s="191"/>
    </row>
    <row r="443" spans="1:14" outlineLevel="3" x14ac:dyDescent="0.25">
      <c r="B443" s="183" t="s">
        <v>590</v>
      </c>
      <c r="F443" s="189"/>
      <c r="G443" s="190">
        <f>SUBTOTAL(9,G439:G442)</f>
        <v>6236.4500000000007</v>
      </c>
      <c r="H443" s="190"/>
      <c r="J443" s="190">
        <f>SUBTOTAL(9,J439:J442)</f>
        <v>6240.32</v>
      </c>
      <c r="K443" s="191">
        <f>SUBTOTAL(9,K439:K442)</f>
        <v>-3.8700000000001182</v>
      </c>
      <c r="M443" s="215"/>
      <c r="N443" s="191"/>
    </row>
    <row r="444" spans="1:14" outlineLevel="4" x14ac:dyDescent="0.25">
      <c r="A444" s="188" t="s">
        <v>415</v>
      </c>
      <c r="B444" s="188" t="s">
        <v>591</v>
      </c>
      <c r="C444" s="188" t="s">
        <v>170</v>
      </c>
      <c r="D444" s="188" t="s">
        <v>592</v>
      </c>
      <c r="E444" s="188" t="s">
        <v>593</v>
      </c>
      <c r="F444" s="189">
        <v>45839</v>
      </c>
      <c r="G444" s="190">
        <v>954</v>
      </c>
      <c r="H444" s="190">
        <f t="shared" si="15"/>
        <v>954</v>
      </c>
      <c r="J444" s="190">
        <v>954</v>
      </c>
      <c r="K444" s="191">
        <f t="shared" si="16"/>
        <v>0</v>
      </c>
      <c r="M444" s="215"/>
      <c r="N444" s="191"/>
    </row>
    <row r="445" spans="1:14" outlineLevel="4" x14ac:dyDescent="0.25">
      <c r="A445" s="188" t="s">
        <v>415</v>
      </c>
      <c r="B445" s="188" t="s">
        <v>591</v>
      </c>
      <c r="C445" s="188" t="s">
        <v>139</v>
      </c>
      <c r="D445" s="188" t="s">
        <v>139</v>
      </c>
      <c r="E445" s="188" t="s">
        <v>593</v>
      </c>
      <c r="F445" s="189">
        <v>45839</v>
      </c>
      <c r="G445" s="190">
        <v>245</v>
      </c>
      <c r="H445" s="190">
        <f t="shared" si="15"/>
        <v>245</v>
      </c>
      <c r="J445" s="190">
        <v>240</v>
      </c>
      <c r="K445" s="191">
        <f t="shared" si="16"/>
        <v>5</v>
      </c>
      <c r="M445" s="215"/>
      <c r="N445" s="191"/>
    </row>
    <row r="446" spans="1:14" outlineLevel="4" x14ac:dyDescent="0.25">
      <c r="A446" s="188" t="s">
        <v>415</v>
      </c>
      <c r="B446" s="188" t="s">
        <v>591</v>
      </c>
      <c r="C446" s="188" t="s">
        <v>142</v>
      </c>
      <c r="D446" s="188" t="s">
        <v>142</v>
      </c>
      <c r="E446" s="188" t="s">
        <v>593</v>
      </c>
      <c r="F446" s="189">
        <v>45839</v>
      </c>
      <c r="G446" s="190">
        <v>474</v>
      </c>
      <c r="H446" s="190">
        <f t="shared" si="15"/>
        <v>474</v>
      </c>
      <c r="J446" s="190">
        <v>481</v>
      </c>
      <c r="K446" s="191">
        <f t="shared" si="16"/>
        <v>-7</v>
      </c>
      <c r="M446" s="215"/>
      <c r="N446" s="191"/>
    </row>
    <row r="447" spans="1:14" outlineLevel="4" x14ac:dyDescent="0.25">
      <c r="A447" s="188" t="s">
        <v>415</v>
      </c>
      <c r="B447" s="188" t="s">
        <v>591</v>
      </c>
      <c r="C447" s="188" t="s">
        <v>123</v>
      </c>
      <c r="D447" s="188" t="s">
        <v>591</v>
      </c>
      <c r="E447" s="188" t="s">
        <v>593</v>
      </c>
      <c r="F447" s="189">
        <v>45839</v>
      </c>
      <c r="G447" s="190">
        <v>1622.25</v>
      </c>
      <c r="H447" s="190">
        <f t="shared" si="15"/>
        <v>1622.25</v>
      </c>
      <c r="J447" s="190">
        <v>1622.25</v>
      </c>
      <c r="K447" s="191">
        <f t="shared" si="16"/>
        <v>0</v>
      </c>
      <c r="M447" s="215"/>
      <c r="N447" s="191"/>
    </row>
    <row r="448" spans="1:14" outlineLevel="3" x14ac:dyDescent="0.25">
      <c r="B448" s="183" t="s">
        <v>594</v>
      </c>
      <c r="F448" s="189"/>
      <c r="G448" s="190">
        <f>SUBTOTAL(9,G444:G447)</f>
        <v>3295.25</v>
      </c>
      <c r="H448" s="190"/>
      <c r="J448" s="190">
        <f>SUBTOTAL(9,J444:J447)</f>
        <v>3297.25</v>
      </c>
      <c r="K448" s="191">
        <f>SUBTOTAL(9,K444:K447)</f>
        <v>-2</v>
      </c>
      <c r="M448" s="215"/>
      <c r="N448" s="191"/>
    </row>
    <row r="449" spans="1:14" outlineLevel="4" x14ac:dyDescent="0.25">
      <c r="A449" s="188" t="s">
        <v>415</v>
      </c>
      <c r="B449" s="188" t="s">
        <v>595</v>
      </c>
      <c r="C449" s="188" t="s">
        <v>170</v>
      </c>
      <c r="D449" s="188" t="s">
        <v>170</v>
      </c>
      <c r="E449" s="188" t="s">
        <v>596</v>
      </c>
      <c r="F449" s="189">
        <v>45839</v>
      </c>
      <c r="G449" s="190">
        <v>363</v>
      </c>
      <c r="H449" s="190">
        <f t="shared" si="15"/>
        <v>363</v>
      </c>
      <c r="J449" s="190">
        <v>363</v>
      </c>
      <c r="K449" s="191">
        <f t="shared" si="16"/>
        <v>0</v>
      </c>
      <c r="M449" s="215"/>
      <c r="N449" s="191"/>
    </row>
    <row r="450" spans="1:14" outlineLevel="4" x14ac:dyDescent="0.25">
      <c r="A450" s="188" t="s">
        <v>415</v>
      </c>
      <c r="B450" s="188" t="s">
        <v>595</v>
      </c>
      <c r="C450" s="188" t="s">
        <v>139</v>
      </c>
      <c r="D450" s="188" t="s">
        <v>139</v>
      </c>
      <c r="E450" s="188" t="s">
        <v>596</v>
      </c>
      <c r="F450" s="189">
        <v>45839</v>
      </c>
      <c r="G450" s="190">
        <v>332.75</v>
      </c>
      <c r="H450" s="190">
        <f t="shared" si="15"/>
        <v>332.75</v>
      </c>
      <c r="J450" s="190">
        <v>332.75</v>
      </c>
      <c r="K450" s="191">
        <f t="shared" si="16"/>
        <v>0</v>
      </c>
      <c r="M450" s="215"/>
      <c r="N450" s="191"/>
    </row>
    <row r="451" spans="1:14" outlineLevel="4" x14ac:dyDescent="0.25">
      <c r="A451" s="188" t="s">
        <v>415</v>
      </c>
      <c r="B451" s="188" t="s">
        <v>595</v>
      </c>
      <c r="C451" s="188" t="s">
        <v>142</v>
      </c>
      <c r="D451" s="188" t="s">
        <v>142</v>
      </c>
      <c r="E451" s="188" t="s">
        <v>596</v>
      </c>
      <c r="F451" s="189">
        <v>45839</v>
      </c>
      <c r="G451" s="190">
        <v>315</v>
      </c>
      <c r="H451" s="190">
        <f t="shared" si="15"/>
        <v>315</v>
      </c>
      <c r="J451" s="190">
        <v>301</v>
      </c>
      <c r="K451" s="191">
        <f t="shared" si="16"/>
        <v>14</v>
      </c>
      <c r="M451" s="215"/>
      <c r="N451" s="191"/>
    </row>
    <row r="452" spans="1:14" outlineLevel="4" x14ac:dyDescent="0.25">
      <c r="A452" s="188" t="s">
        <v>415</v>
      </c>
      <c r="B452" s="188" t="s">
        <v>595</v>
      </c>
      <c r="C452" s="188" t="s">
        <v>123</v>
      </c>
      <c r="D452" s="188" t="s">
        <v>123</v>
      </c>
      <c r="E452" s="188" t="s">
        <v>596</v>
      </c>
      <c r="F452" s="189">
        <v>45839</v>
      </c>
      <c r="G452" s="190">
        <v>3053.95</v>
      </c>
      <c r="H452" s="190">
        <f t="shared" si="15"/>
        <v>3053.95</v>
      </c>
      <c r="J452" s="190">
        <v>2965</v>
      </c>
      <c r="K452" s="191">
        <f t="shared" si="16"/>
        <v>88.949999999999818</v>
      </c>
      <c r="M452" s="215"/>
      <c r="N452" s="191"/>
    </row>
    <row r="453" spans="1:14" outlineLevel="3" x14ac:dyDescent="0.25">
      <c r="B453" s="183" t="s">
        <v>597</v>
      </c>
      <c r="F453" s="189"/>
      <c r="G453" s="190">
        <f>SUBTOTAL(9,G449:G452)</f>
        <v>4064.7</v>
      </c>
      <c r="H453" s="190"/>
      <c r="J453" s="190">
        <f>SUBTOTAL(9,J449:J452)</f>
        <v>3961.75</v>
      </c>
      <c r="K453" s="191">
        <f>SUBTOTAL(9,K449:K452)</f>
        <v>102.94999999999982</v>
      </c>
      <c r="M453" s="215"/>
      <c r="N453" s="191"/>
    </row>
    <row r="454" spans="1:14" outlineLevel="4" x14ac:dyDescent="0.25">
      <c r="A454" s="188" t="s">
        <v>415</v>
      </c>
      <c r="B454" s="188" t="s">
        <v>598</v>
      </c>
      <c r="C454" s="188" t="s">
        <v>139</v>
      </c>
      <c r="D454" s="188" t="s">
        <v>179</v>
      </c>
      <c r="E454" s="188" t="s">
        <v>599</v>
      </c>
      <c r="F454" s="189">
        <v>45839</v>
      </c>
      <c r="G454" s="190">
        <v>1021</v>
      </c>
      <c r="H454" s="190">
        <f t="shared" si="15"/>
        <v>1021</v>
      </c>
      <c r="J454" s="190">
        <v>0</v>
      </c>
      <c r="K454" s="191">
        <f t="shared" si="16"/>
        <v>1021</v>
      </c>
      <c r="M454" s="215"/>
      <c r="N454" s="191"/>
    </row>
    <row r="455" spans="1:14" outlineLevel="4" x14ac:dyDescent="0.25">
      <c r="A455" s="188" t="s">
        <v>415</v>
      </c>
      <c r="B455" s="188" t="s">
        <v>598</v>
      </c>
      <c r="C455" s="188" t="s">
        <v>139</v>
      </c>
      <c r="D455" s="188" t="s">
        <v>600</v>
      </c>
      <c r="E455" s="188" t="s">
        <v>601</v>
      </c>
      <c r="F455" s="189">
        <v>45839</v>
      </c>
      <c r="G455" s="190">
        <v>250</v>
      </c>
      <c r="H455" s="190">
        <f t="shared" si="15"/>
        <v>250</v>
      </c>
      <c r="J455" s="190">
        <v>250</v>
      </c>
      <c r="K455" s="191">
        <f t="shared" si="16"/>
        <v>0</v>
      </c>
      <c r="M455" s="215"/>
      <c r="N455" s="191"/>
    </row>
    <row r="456" spans="1:14" s="202" customFormat="1" outlineLevel="4" x14ac:dyDescent="0.25">
      <c r="A456" s="188" t="s">
        <v>415</v>
      </c>
      <c r="B456" s="202" t="s">
        <v>598</v>
      </c>
      <c r="C456" s="202" t="s">
        <v>139</v>
      </c>
      <c r="D456" s="202" t="s">
        <v>139</v>
      </c>
      <c r="F456" s="203"/>
      <c r="G456" s="204"/>
      <c r="H456" s="190">
        <f t="shared" si="15"/>
        <v>0</v>
      </c>
      <c r="J456" s="204">
        <v>20</v>
      </c>
      <c r="K456" s="191">
        <f t="shared" si="16"/>
        <v>-20</v>
      </c>
      <c r="M456" s="216"/>
      <c r="N456" s="206"/>
    </row>
    <row r="457" spans="1:14" outlineLevel="4" x14ac:dyDescent="0.25">
      <c r="A457" s="188" t="s">
        <v>415</v>
      </c>
      <c r="B457" s="188" t="s">
        <v>598</v>
      </c>
      <c r="C457" s="188" t="s">
        <v>142</v>
      </c>
      <c r="D457" s="188" t="s">
        <v>181</v>
      </c>
      <c r="E457" s="188" t="s">
        <v>602</v>
      </c>
      <c r="F457" s="189">
        <v>45839</v>
      </c>
      <c r="G457" s="190">
        <v>2868.75</v>
      </c>
      <c r="H457" s="190">
        <f t="shared" si="15"/>
        <v>2868.75</v>
      </c>
      <c r="J457" s="190">
        <v>2813.5</v>
      </c>
      <c r="K457" s="191">
        <f t="shared" si="16"/>
        <v>55.25</v>
      </c>
      <c r="M457" s="215"/>
      <c r="N457" s="191"/>
    </row>
    <row r="458" spans="1:14" outlineLevel="4" x14ac:dyDescent="0.25">
      <c r="A458" s="188" t="s">
        <v>415</v>
      </c>
      <c r="B458" s="188" t="s">
        <v>598</v>
      </c>
      <c r="C458" s="188" t="s">
        <v>123</v>
      </c>
      <c r="D458" s="188" t="s">
        <v>188</v>
      </c>
      <c r="E458" s="188" t="s">
        <v>599</v>
      </c>
      <c r="F458" s="189">
        <v>45839</v>
      </c>
      <c r="G458" s="190">
        <v>5785</v>
      </c>
      <c r="H458" s="190">
        <f t="shared" si="15"/>
        <v>5785</v>
      </c>
      <c r="J458" s="190">
        <v>5274.05</v>
      </c>
      <c r="K458" s="191">
        <f t="shared" si="16"/>
        <v>510.94999999999982</v>
      </c>
      <c r="M458" s="215"/>
      <c r="N458" s="191"/>
    </row>
    <row r="459" spans="1:14" outlineLevel="3" x14ac:dyDescent="0.25">
      <c r="B459" s="183" t="s">
        <v>603</v>
      </c>
      <c r="F459" s="189"/>
      <c r="G459" s="190">
        <f>SUBTOTAL(9,G454:G458)</f>
        <v>9924.75</v>
      </c>
      <c r="H459" s="190"/>
      <c r="J459" s="190">
        <f>SUBTOTAL(9,J454:J458)</f>
        <v>8357.5499999999993</v>
      </c>
      <c r="K459" s="191">
        <f>SUBTOTAL(9,K454:K458)</f>
        <v>1567.1999999999998</v>
      </c>
      <c r="M459" s="215"/>
      <c r="N459" s="191"/>
    </row>
    <row r="460" spans="1:14" outlineLevel="4" x14ac:dyDescent="0.25">
      <c r="A460" s="188" t="s">
        <v>415</v>
      </c>
      <c r="B460" s="188" t="s">
        <v>604</v>
      </c>
      <c r="C460" s="188" t="s">
        <v>420</v>
      </c>
      <c r="D460" s="188" t="s">
        <v>605</v>
      </c>
      <c r="E460" s="188" t="s">
        <v>606</v>
      </c>
      <c r="F460" s="189">
        <v>45839</v>
      </c>
      <c r="G460" s="190">
        <v>2483.7600000000002</v>
      </c>
      <c r="H460" s="190">
        <f t="shared" si="15"/>
        <v>2483.7600000000002</v>
      </c>
      <c r="J460" s="190">
        <v>2483.7600000000002</v>
      </c>
      <c r="K460" s="191">
        <f t="shared" si="16"/>
        <v>0</v>
      </c>
      <c r="M460" s="215"/>
      <c r="N460" s="191"/>
    </row>
    <row r="461" spans="1:14" outlineLevel="4" x14ac:dyDescent="0.25">
      <c r="A461" s="188" t="s">
        <v>415</v>
      </c>
      <c r="B461" s="188" t="s">
        <v>604</v>
      </c>
      <c r="C461" s="188" t="s">
        <v>170</v>
      </c>
      <c r="D461" s="188" t="s">
        <v>171</v>
      </c>
      <c r="E461" s="188" t="s">
        <v>607</v>
      </c>
      <c r="F461" s="189">
        <v>45839</v>
      </c>
      <c r="G461" s="190">
        <v>1496</v>
      </c>
      <c r="H461" s="190">
        <f t="shared" si="15"/>
        <v>1496</v>
      </c>
      <c r="J461" s="190">
        <v>1496</v>
      </c>
      <c r="K461" s="191">
        <f t="shared" si="16"/>
        <v>0</v>
      </c>
      <c r="M461" s="215"/>
      <c r="N461" s="191"/>
    </row>
    <row r="462" spans="1:14" outlineLevel="4" x14ac:dyDescent="0.25">
      <c r="A462" s="188" t="s">
        <v>415</v>
      </c>
      <c r="B462" s="188" t="s">
        <v>604</v>
      </c>
      <c r="C462" s="188" t="s">
        <v>139</v>
      </c>
      <c r="D462" s="188" t="s">
        <v>211</v>
      </c>
      <c r="E462" s="188" t="s">
        <v>606</v>
      </c>
      <c r="F462" s="189">
        <v>45839</v>
      </c>
      <c r="G462" s="190">
        <v>518.91999999999996</v>
      </c>
      <c r="H462" s="190">
        <f t="shared" si="15"/>
        <v>518.91999999999996</v>
      </c>
      <c r="J462" s="190">
        <v>518.91999999999996</v>
      </c>
      <c r="K462" s="191">
        <f t="shared" si="16"/>
        <v>0</v>
      </c>
      <c r="M462" s="215"/>
      <c r="N462" s="191"/>
    </row>
    <row r="463" spans="1:14" outlineLevel="4" x14ac:dyDescent="0.25">
      <c r="A463" s="188" t="s">
        <v>415</v>
      </c>
      <c r="B463" s="188" t="s">
        <v>604</v>
      </c>
      <c r="C463" s="188" t="s">
        <v>142</v>
      </c>
      <c r="D463" s="188" t="s">
        <v>213</v>
      </c>
      <c r="E463" s="188" t="s">
        <v>606</v>
      </c>
      <c r="F463" s="189">
        <v>45839</v>
      </c>
      <c r="G463" s="190">
        <v>2980.88</v>
      </c>
      <c r="H463" s="190">
        <f t="shared" si="15"/>
        <v>2980.88</v>
      </c>
      <c r="J463" s="190">
        <v>3010.2</v>
      </c>
      <c r="K463" s="191">
        <f t="shared" si="16"/>
        <v>-29.319999999999709</v>
      </c>
      <c r="M463" s="215"/>
      <c r="N463" s="191"/>
    </row>
    <row r="464" spans="1:14" outlineLevel="4" x14ac:dyDescent="0.25">
      <c r="A464" s="188" t="s">
        <v>415</v>
      </c>
      <c r="B464" s="188" t="s">
        <v>604</v>
      </c>
      <c r="C464" s="188" t="s">
        <v>123</v>
      </c>
      <c r="D464" s="188" t="s">
        <v>214</v>
      </c>
      <c r="E464" s="188" t="s">
        <v>606</v>
      </c>
      <c r="F464" s="189">
        <v>45839</v>
      </c>
      <c r="G464" s="190">
        <v>2494.75</v>
      </c>
      <c r="H464" s="190">
        <f t="shared" si="15"/>
        <v>2494.75</v>
      </c>
      <c r="J464" s="190">
        <v>2494.75</v>
      </c>
      <c r="K464" s="191">
        <f t="shared" si="16"/>
        <v>0</v>
      </c>
      <c r="M464" s="215"/>
      <c r="N464" s="191"/>
    </row>
    <row r="465" spans="1:14" outlineLevel="3" x14ac:dyDescent="0.25">
      <c r="B465" s="183" t="s">
        <v>608</v>
      </c>
      <c r="F465" s="189"/>
      <c r="G465" s="190">
        <f>SUBTOTAL(9,G460:G464)</f>
        <v>9974.3100000000013</v>
      </c>
      <c r="H465" s="190"/>
      <c r="J465" s="190">
        <f>SUBTOTAL(9,J460:J464)</f>
        <v>10003.630000000001</v>
      </c>
      <c r="K465" s="191">
        <f>SUBTOTAL(9,K460:K464)</f>
        <v>-29.319999999999709</v>
      </c>
      <c r="M465" s="215"/>
      <c r="N465" s="191"/>
    </row>
    <row r="466" spans="1:14" outlineLevel="4" x14ac:dyDescent="0.25">
      <c r="A466" s="188" t="s">
        <v>415</v>
      </c>
      <c r="B466" s="188" t="s">
        <v>609</v>
      </c>
      <c r="C466" s="188" t="s">
        <v>139</v>
      </c>
      <c r="D466" s="188" t="s">
        <v>139</v>
      </c>
      <c r="E466" s="188" t="s">
        <v>610</v>
      </c>
      <c r="F466" s="189">
        <v>45839</v>
      </c>
      <c r="G466" s="190">
        <v>0</v>
      </c>
      <c r="H466" s="190">
        <f t="shared" si="15"/>
        <v>0</v>
      </c>
      <c r="J466" s="190">
        <v>0</v>
      </c>
      <c r="K466" s="191">
        <f t="shared" si="16"/>
        <v>0</v>
      </c>
      <c r="M466" s="215"/>
      <c r="N466" s="191"/>
    </row>
    <row r="467" spans="1:14" outlineLevel="4" x14ac:dyDescent="0.25">
      <c r="A467" s="188" t="s">
        <v>415</v>
      </c>
      <c r="B467" s="188" t="s">
        <v>609</v>
      </c>
      <c r="C467" s="188" t="s">
        <v>142</v>
      </c>
      <c r="D467" s="188" t="s">
        <v>142</v>
      </c>
      <c r="E467" s="188" t="s">
        <v>610</v>
      </c>
      <c r="F467" s="189">
        <v>45839</v>
      </c>
      <c r="G467" s="190">
        <v>161</v>
      </c>
      <c r="H467" s="190">
        <f t="shared" si="15"/>
        <v>161</v>
      </c>
      <c r="J467" s="190">
        <v>161</v>
      </c>
      <c r="K467" s="191">
        <f t="shared" si="16"/>
        <v>0</v>
      </c>
      <c r="M467" s="215"/>
      <c r="N467" s="191"/>
    </row>
    <row r="468" spans="1:14" outlineLevel="4" x14ac:dyDescent="0.25">
      <c r="A468" s="188" t="s">
        <v>415</v>
      </c>
      <c r="B468" s="188" t="s">
        <v>609</v>
      </c>
      <c r="C468" s="188" t="s">
        <v>123</v>
      </c>
      <c r="D468" s="188" t="s">
        <v>123</v>
      </c>
      <c r="E468" s="188" t="s">
        <v>610</v>
      </c>
      <c r="F468" s="189">
        <v>45839</v>
      </c>
      <c r="G468" s="190">
        <v>1061.32</v>
      </c>
      <c r="H468" s="190">
        <f t="shared" si="15"/>
        <v>1061.32</v>
      </c>
      <c r="J468" s="190">
        <v>1061.32</v>
      </c>
      <c r="K468" s="191">
        <f t="shared" si="16"/>
        <v>0</v>
      </c>
      <c r="M468" s="215"/>
      <c r="N468" s="191"/>
    </row>
    <row r="469" spans="1:14" outlineLevel="3" x14ac:dyDescent="0.25">
      <c r="B469" s="183" t="s">
        <v>611</v>
      </c>
      <c r="F469" s="189"/>
      <c r="G469" s="190">
        <f>SUBTOTAL(9,G466:G468)</f>
        <v>1222.32</v>
      </c>
      <c r="H469" s="190"/>
      <c r="J469" s="190">
        <f>SUBTOTAL(9,J466:J468)</f>
        <v>1222.32</v>
      </c>
      <c r="K469" s="191">
        <f>SUBTOTAL(9,K466:K468)</f>
        <v>0</v>
      </c>
      <c r="M469" s="215"/>
      <c r="N469" s="191"/>
    </row>
    <row r="470" spans="1:14" outlineLevel="4" x14ac:dyDescent="0.25">
      <c r="A470" s="188" t="s">
        <v>415</v>
      </c>
      <c r="B470" s="188" t="s">
        <v>612</v>
      </c>
      <c r="C470" s="188" t="s">
        <v>139</v>
      </c>
      <c r="D470" s="188" t="s">
        <v>139</v>
      </c>
      <c r="E470" s="188" t="s">
        <v>613</v>
      </c>
      <c r="F470" s="189">
        <v>45839</v>
      </c>
      <c r="G470" s="190">
        <v>95</v>
      </c>
      <c r="H470" s="190">
        <f t="shared" si="15"/>
        <v>95</v>
      </c>
      <c r="J470" s="190">
        <v>95</v>
      </c>
      <c r="K470" s="191">
        <f t="shared" si="16"/>
        <v>0</v>
      </c>
      <c r="M470" s="215"/>
      <c r="N470" s="191"/>
    </row>
    <row r="471" spans="1:14" outlineLevel="4" x14ac:dyDescent="0.25">
      <c r="A471" s="188" t="s">
        <v>415</v>
      </c>
      <c r="B471" s="188" t="s">
        <v>612</v>
      </c>
      <c r="C471" s="188" t="s">
        <v>142</v>
      </c>
      <c r="D471" s="188" t="s">
        <v>142</v>
      </c>
      <c r="E471" s="188" t="s">
        <v>613</v>
      </c>
      <c r="F471" s="189">
        <v>45839</v>
      </c>
      <c r="G471" s="190">
        <v>643</v>
      </c>
      <c r="H471" s="190">
        <f t="shared" si="15"/>
        <v>643</v>
      </c>
      <c r="J471" s="190">
        <v>643</v>
      </c>
      <c r="K471" s="191">
        <f t="shared" si="16"/>
        <v>0</v>
      </c>
      <c r="M471" s="215"/>
      <c r="N471" s="191"/>
    </row>
    <row r="472" spans="1:14" outlineLevel="4" x14ac:dyDescent="0.25">
      <c r="A472" s="188" t="s">
        <v>415</v>
      </c>
      <c r="B472" s="188" t="s">
        <v>612</v>
      </c>
      <c r="C472" s="188" t="s">
        <v>123</v>
      </c>
      <c r="D472" s="188" t="s">
        <v>507</v>
      </c>
      <c r="E472" s="188" t="s">
        <v>613</v>
      </c>
      <c r="F472" s="189">
        <v>45839</v>
      </c>
      <c r="G472" s="190">
        <v>1520</v>
      </c>
      <c r="H472" s="190">
        <f t="shared" si="15"/>
        <v>1520</v>
      </c>
      <c r="J472" s="190">
        <v>1520</v>
      </c>
      <c r="K472" s="191">
        <f t="shared" si="16"/>
        <v>0</v>
      </c>
      <c r="M472" s="215"/>
      <c r="N472" s="191"/>
    </row>
    <row r="473" spans="1:14" outlineLevel="3" x14ac:dyDescent="0.25">
      <c r="B473" s="183" t="s">
        <v>614</v>
      </c>
      <c r="F473" s="189"/>
      <c r="G473" s="190">
        <f>SUBTOTAL(9,G470:G472)</f>
        <v>2258</v>
      </c>
      <c r="H473" s="190"/>
      <c r="J473" s="190">
        <f>SUBTOTAL(9,J470:J472)</f>
        <v>2258</v>
      </c>
      <c r="K473" s="191">
        <f>SUBTOTAL(9,K470:K472)</f>
        <v>0</v>
      </c>
      <c r="M473" s="215"/>
      <c r="N473" s="191"/>
    </row>
    <row r="474" spans="1:14" outlineLevel="4" x14ac:dyDescent="0.25">
      <c r="A474" s="188" t="s">
        <v>415</v>
      </c>
      <c r="B474" s="188" t="s">
        <v>615</v>
      </c>
      <c r="C474" s="188" t="s">
        <v>170</v>
      </c>
      <c r="D474" s="188" t="s">
        <v>616</v>
      </c>
      <c r="E474" s="188" t="s">
        <v>617</v>
      </c>
      <c r="F474" s="189">
        <v>45839</v>
      </c>
      <c r="G474" s="190">
        <v>387.5</v>
      </c>
      <c r="H474" s="190">
        <f t="shared" si="15"/>
        <v>387.5</v>
      </c>
      <c r="J474" s="190">
        <v>387.5</v>
      </c>
      <c r="K474" s="191">
        <f t="shared" si="16"/>
        <v>0</v>
      </c>
      <c r="M474" s="215"/>
      <c r="N474" s="191"/>
    </row>
    <row r="475" spans="1:14" outlineLevel="4" x14ac:dyDescent="0.25">
      <c r="A475" s="188" t="s">
        <v>415</v>
      </c>
      <c r="B475" s="188" t="s">
        <v>615</v>
      </c>
      <c r="C475" s="188" t="s">
        <v>139</v>
      </c>
      <c r="D475" s="188" t="s">
        <v>139</v>
      </c>
      <c r="E475" s="188" t="s">
        <v>617</v>
      </c>
      <c r="F475" s="189">
        <v>45839</v>
      </c>
      <c r="G475" s="190">
        <v>180</v>
      </c>
      <c r="H475" s="190">
        <f t="shared" si="15"/>
        <v>180</v>
      </c>
      <c r="J475" s="190">
        <v>180</v>
      </c>
      <c r="K475" s="191">
        <f t="shared" si="16"/>
        <v>0</v>
      </c>
      <c r="M475" s="215"/>
      <c r="N475" s="191"/>
    </row>
    <row r="476" spans="1:14" outlineLevel="4" x14ac:dyDescent="0.25">
      <c r="A476" s="188" t="s">
        <v>415</v>
      </c>
      <c r="B476" s="188" t="s">
        <v>615</v>
      </c>
      <c r="C476" s="188" t="s">
        <v>142</v>
      </c>
      <c r="D476" s="188" t="s">
        <v>142</v>
      </c>
      <c r="E476" s="188" t="s">
        <v>617</v>
      </c>
      <c r="F476" s="189">
        <v>45839</v>
      </c>
      <c r="G476" s="190">
        <v>878.5</v>
      </c>
      <c r="H476" s="190">
        <f t="shared" si="15"/>
        <v>878.5</v>
      </c>
      <c r="J476" s="190">
        <v>896.5</v>
      </c>
      <c r="K476" s="191">
        <f t="shared" si="16"/>
        <v>-18</v>
      </c>
      <c r="M476" s="215"/>
      <c r="N476" s="191"/>
    </row>
    <row r="477" spans="1:14" outlineLevel="4" x14ac:dyDescent="0.25">
      <c r="A477" s="188" t="s">
        <v>415</v>
      </c>
      <c r="B477" s="188" t="s">
        <v>615</v>
      </c>
      <c r="C477" s="188" t="s">
        <v>123</v>
      </c>
      <c r="D477" s="188" t="s">
        <v>618</v>
      </c>
      <c r="E477" s="188" t="s">
        <v>617</v>
      </c>
      <c r="F477" s="189">
        <v>45839</v>
      </c>
      <c r="G477" s="190">
        <v>3150</v>
      </c>
      <c r="H477" s="190">
        <f t="shared" si="15"/>
        <v>3150</v>
      </c>
      <c r="J477" s="190">
        <v>3150</v>
      </c>
      <c r="K477" s="191">
        <f t="shared" si="16"/>
        <v>0</v>
      </c>
      <c r="M477" s="215"/>
      <c r="N477" s="191"/>
    </row>
    <row r="478" spans="1:14" outlineLevel="4" x14ac:dyDescent="0.25">
      <c r="A478" s="188" t="s">
        <v>415</v>
      </c>
      <c r="B478" s="188" t="s">
        <v>615</v>
      </c>
      <c r="C478" s="188" t="s">
        <v>475</v>
      </c>
      <c r="D478" s="188" t="s">
        <v>475</v>
      </c>
      <c r="E478" s="188" t="s">
        <v>617</v>
      </c>
      <c r="F478" s="189">
        <v>45839</v>
      </c>
      <c r="G478" s="190">
        <v>106.5</v>
      </c>
      <c r="H478" s="190">
        <f t="shared" si="15"/>
        <v>106.5</v>
      </c>
      <c r="J478" s="190">
        <v>106.5</v>
      </c>
      <c r="K478" s="191">
        <f t="shared" si="16"/>
        <v>0</v>
      </c>
      <c r="M478" s="215"/>
      <c r="N478" s="191"/>
    </row>
    <row r="479" spans="1:14" outlineLevel="3" x14ac:dyDescent="0.25">
      <c r="B479" s="183" t="s">
        <v>619</v>
      </c>
      <c r="F479" s="189"/>
      <c r="G479" s="190">
        <f>SUBTOTAL(9,G474:G478)</f>
        <v>4702.5</v>
      </c>
      <c r="H479" s="190"/>
      <c r="J479" s="190">
        <f>SUBTOTAL(9,J474:J478)</f>
        <v>4720.5</v>
      </c>
      <c r="K479" s="191">
        <f>SUBTOTAL(9,K474:K478)</f>
        <v>-18</v>
      </c>
      <c r="M479" s="215"/>
      <c r="N479" s="191"/>
    </row>
    <row r="480" spans="1:14" outlineLevel="4" x14ac:dyDescent="0.25">
      <c r="A480" s="188" t="s">
        <v>415</v>
      </c>
      <c r="B480" s="188" t="s">
        <v>620</v>
      </c>
      <c r="C480" s="188" t="s">
        <v>420</v>
      </c>
      <c r="D480" s="188" t="s">
        <v>420</v>
      </c>
      <c r="E480" s="188" t="s">
        <v>621</v>
      </c>
      <c r="F480" s="189">
        <v>45839</v>
      </c>
      <c r="G480" s="190">
        <v>154.5</v>
      </c>
      <c r="H480" s="190">
        <f t="shared" si="15"/>
        <v>154.5</v>
      </c>
      <c r="J480" s="190">
        <v>154.5</v>
      </c>
      <c r="K480" s="191">
        <f t="shared" si="16"/>
        <v>0</v>
      </c>
      <c r="M480" s="215"/>
      <c r="N480" s="191"/>
    </row>
    <row r="481" spans="1:14" outlineLevel="4" x14ac:dyDescent="0.25">
      <c r="A481" s="188" t="s">
        <v>415</v>
      </c>
      <c r="B481" s="188" t="s">
        <v>620</v>
      </c>
      <c r="C481" s="188" t="s">
        <v>170</v>
      </c>
      <c r="D481" s="188" t="s">
        <v>170</v>
      </c>
      <c r="E481" s="188" t="s">
        <v>621</v>
      </c>
      <c r="F481" s="189">
        <v>45839</v>
      </c>
      <c r="G481" s="190">
        <v>272.5</v>
      </c>
      <c r="H481" s="190">
        <f t="shared" si="15"/>
        <v>272.5</v>
      </c>
      <c r="J481" s="190">
        <v>272.5</v>
      </c>
      <c r="K481" s="191">
        <f t="shared" si="16"/>
        <v>0</v>
      </c>
      <c r="M481" s="215"/>
      <c r="N481" s="191"/>
    </row>
    <row r="482" spans="1:14" outlineLevel="4" x14ac:dyDescent="0.25">
      <c r="A482" s="188" t="s">
        <v>415</v>
      </c>
      <c r="B482" s="188" t="s">
        <v>620</v>
      </c>
      <c r="C482" s="188" t="s">
        <v>139</v>
      </c>
      <c r="D482" s="188" t="s">
        <v>139</v>
      </c>
      <c r="E482" s="188" t="s">
        <v>621</v>
      </c>
      <c r="F482" s="189">
        <v>45839</v>
      </c>
      <c r="G482" s="190">
        <v>0</v>
      </c>
      <c r="H482" s="190">
        <f t="shared" si="15"/>
        <v>0</v>
      </c>
      <c r="J482" s="190">
        <v>0</v>
      </c>
      <c r="K482" s="191">
        <f t="shared" si="16"/>
        <v>0</v>
      </c>
      <c r="M482" s="215"/>
      <c r="N482" s="191"/>
    </row>
    <row r="483" spans="1:14" outlineLevel="4" x14ac:dyDescent="0.25">
      <c r="A483" s="188" t="s">
        <v>415</v>
      </c>
      <c r="B483" s="188" t="s">
        <v>620</v>
      </c>
      <c r="C483" s="188" t="s">
        <v>142</v>
      </c>
      <c r="D483" s="188" t="s">
        <v>142</v>
      </c>
      <c r="E483" s="188" t="s">
        <v>621</v>
      </c>
      <c r="F483" s="189">
        <v>45839</v>
      </c>
      <c r="G483" s="190">
        <v>452.5</v>
      </c>
      <c r="H483" s="190">
        <f t="shared" si="15"/>
        <v>452.5</v>
      </c>
      <c r="J483" s="190">
        <v>442.5</v>
      </c>
      <c r="K483" s="191">
        <f t="shared" si="16"/>
        <v>10</v>
      </c>
      <c r="M483" s="215"/>
      <c r="N483" s="191"/>
    </row>
    <row r="484" spans="1:14" outlineLevel="4" x14ac:dyDescent="0.25">
      <c r="A484" s="188" t="s">
        <v>415</v>
      </c>
      <c r="B484" s="188" t="s">
        <v>620</v>
      </c>
      <c r="C484" s="188" t="s">
        <v>123</v>
      </c>
      <c r="D484" s="188" t="s">
        <v>123</v>
      </c>
      <c r="E484" s="188" t="s">
        <v>621</v>
      </c>
      <c r="F484" s="189">
        <v>45839</v>
      </c>
      <c r="G484" s="190">
        <v>1563.3</v>
      </c>
      <c r="H484" s="190">
        <f t="shared" si="15"/>
        <v>1563.3</v>
      </c>
      <c r="J484" s="190">
        <v>1563.3</v>
      </c>
      <c r="K484" s="191">
        <f t="shared" si="16"/>
        <v>0</v>
      </c>
      <c r="M484" s="215"/>
      <c r="N484" s="191"/>
    </row>
    <row r="485" spans="1:14" outlineLevel="3" x14ac:dyDescent="0.25">
      <c r="B485" s="183" t="s">
        <v>622</v>
      </c>
      <c r="F485" s="189"/>
      <c r="G485" s="190">
        <f>SUBTOTAL(9,G480:G484)</f>
        <v>2442.8000000000002</v>
      </c>
      <c r="H485" s="190"/>
      <c r="J485" s="190">
        <f>SUBTOTAL(9,J480:J484)</f>
        <v>2432.8000000000002</v>
      </c>
      <c r="K485" s="191">
        <f>SUBTOTAL(9,K480:K484)</f>
        <v>10</v>
      </c>
      <c r="M485" s="215"/>
      <c r="N485" s="191"/>
    </row>
    <row r="486" spans="1:14" outlineLevel="4" x14ac:dyDescent="0.25">
      <c r="A486" s="188" t="s">
        <v>415</v>
      </c>
      <c r="B486" s="188" t="s">
        <v>623</v>
      </c>
      <c r="C486" s="188" t="s">
        <v>420</v>
      </c>
      <c r="D486" s="188" t="s">
        <v>420</v>
      </c>
      <c r="E486" s="188" t="s">
        <v>624</v>
      </c>
      <c r="F486" s="189">
        <v>45853</v>
      </c>
      <c r="G486" s="190">
        <v>200</v>
      </c>
      <c r="H486" s="190">
        <f t="shared" si="15"/>
        <v>200</v>
      </c>
      <c r="J486" s="190">
        <v>200</v>
      </c>
      <c r="K486" s="191">
        <f t="shared" si="16"/>
        <v>0</v>
      </c>
      <c r="M486" s="215"/>
      <c r="N486" s="191"/>
    </row>
    <row r="487" spans="1:14" outlineLevel="4" x14ac:dyDescent="0.25">
      <c r="A487" s="188" t="s">
        <v>415</v>
      </c>
      <c r="B487" s="188" t="s">
        <v>623</v>
      </c>
      <c r="C487" s="188" t="s">
        <v>170</v>
      </c>
      <c r="D487" s="188" t="s">
        <v>171</v>
      </c>
      <c r="E487" s="188" t="s">
        <v>624</v>
      </c>
      <c r="F487" s="189">
        <v>45853</v>
      </c>
      <c r="G487" s="190">
        <v>1878.56</v>
      </c>
      <c r="H487" s="190">
        <f t="shared" si="15"/>
        <v>1878.56</v>
      </c>
      <c r="J487" s="190">
        <v>1725</v>
      </c>
      <c r="K487" s="191">
        <f t="shared" si="16"/>
        <v>153.55999999999995</v>
      </c>
      <c r="M487" s="215"/>
      <c r="N487" s="191"/>
    </row>
    <row r="488" spans="1:14" outlineLevel="4" x14ac:dyDescent="0.25">
      <c r="A488" s="188" t="s">
        <v>415</v>
      </c>
      <c r="B488" s="188" t="s">
        <v>623</v>
      </c>
      <c r="C488" s="188" t="s">
        <v>139</v>
      </c>
      <c r="D488" s="188" t="s">
        <v>139</v>
      </c>
      <c r="E488" s="188" t="s">
        <v>624</v>
      </c>
      <c r="F488" s="189">
        <v>45853</v>
      </c>
      <c r="G488" s="190">
        <v>550.5</v>
      </c>
      <c r="H488" s="190">
        <f t="shared" si="15"/>
        <v>550.5</v>
      </c>
      <c r="J488" s="190">
        <v>450.5</v>
      </c>
      <c r="K488" s="191">
        <f t="shared" si="16"/>
        <v>100</v>
      </c>
      <c r="M488" s="215"/>
      <c r="N488" s="191"/>
    </row>
    <row r="489" spans="1:14" outlineLevel="4" x14ac:dyDescent="0.25">
      <c r="A489" s="188" t="s">
        <v>415</v>
      </c>
      <c r="B489" s="188" t="s">
        <v>623</v>
      </c>
      <c r="C489" s="188" t="s">
        <v>142</v>
      </c>
      <c r="D489" s="188" t="s">
        <v>142</v>
      </c>
      <c r="E489" s="188" t="s">
        <v>624</v>
      </c>
      <c r="F489" s="189">
        <v>45853</v>
      </c>
      <c r="G489" s="190">
        <v>750.15</v>
      </c>
      <c r="H489" s="190">
        <f t="shared" ref="H489:H559" si="17">+G489</f>
        <v>750.15</v>
      </c>
      <c r="J489" s="190">
        <v>749.45</v>
      </c>
      <c r="K489" s="191">
        <f t="shared" ref="K489:K559" si="18">+H489-J489</f>
        <v>0.69999999999993179</v>
      </c>
      <c r="M489" s="215"/>
      <c r="N489" s="191"/>
    </row>
    <row r="490" spans="1:14" outlineLevel="4" x14ac:dyDescent="0.25">
      <c r="A490" s="188" t="s">
        <v>415</v>
      </c>
      <c r="B490" s="188" t="s">
        <v>623</v>
      </c>
      <c r="C490" s="188" t="s">
        <v>123</v>
      </c>
      <c r="D490" s="188" t="s">
        <v>123</v>
      </c>
      <c r="E490" s="188" t="s">
        <v>624</v>
      </c>
      <c r="F490" s="189">
        <v>45853</v>
      </c>
      <c r="G490" s="190">
        <f>2850.6-200.7</f>
        <v>2649.9</v>
      </c>
      <c r="H490" s="190">
        <f t="shared" si="17"/>
        <v>2649.9</v>
      </c>
      <c r="J490" s="190">
        <v>2850.6</v>
      </c>
      <c r="K490" s="191">
        <f t="shared" si="18"/>
        <v>-200.69999999999982</v>
      </c>
      <c r="M490" s="215"/>
      <c r="N490" s="191"/>
    </row>
    <row r="491" spans="1:14" outlineLevel="3" x14ac:dyDescent="0.25">
      <c r="B491" s="183" t="s">
        <v>625</v>
      </c>
      <c r="F491" s="189"/>
      <c r="G491" s="190">
        <f>SUBTOTAL(9,G486:G490)</f>
        <v>6029.1100000000006</v>
      </c>
      <c r="H491" s="190"/>
      <c r="J491" s="190">
        <f>SUBTOTAL(9,J486:J490)</f>
        <v>5975.5499999999993</v>
      </c>
      <c r="K491" s="191">
        <f>SUBTOTAL(9,K486:K490)</f>
        <v>53.560000000000059</v>
      </c>
      <c r="M491" s="215"/>
      <c r="N491" s="191"/>
    </row>
    <row r="492" spans="1:14" outlineLevel="4" x14ac:dyDescent="0.25">
      <c r="A492" s="188" t="s">
        <v>415</v>
      </c>
      <c r="B492" s="188" t="s">
        <v>626</v>
      </c>
      <c r="C492" s="188" t="s">
        <v>139</v>
      </c>
      <c r="D492" s="188" t="s">
        <v>139</v>
      </c>
      <c r="E492" s="188" t="s">
        <v>627</v>
      </c>
      <c r="F492" s="189">
        <v>45839</v>
      </c>
      <c r="G492" s="190">
        <v>262.5</v>
      </c>
      <c r="H492" s="190">
        <f t="shared" si="17"/>
        <v>262.5</v>
      </c>
      <c r="J492" s="190">
        <v>262.5</v>
      </c>
      <c r="K492" s="191">
        <f t="shared" si="18"/>
        <v>0</v>
      </c>
      <c r="M492" s="215"/>
      <c r="N492" s="191"/>
    </row>
    <row r="493" spans="1:14" outlineLevel="4" x14ac:dyDescent="0.25">
      <c r="A493" s="188" t="s">
        <v>415</v>
      </c>
      <c r="B493" s="188" t="s">
        <v>626</v>
      </c>
      <c r="C493" s="188" t="s">
        <v>142</v>
      </c>
      <c r="D493" s="188" t="s">
        <v>142</v>
      </c>
      <c r="E493" s="188" t="s">
        <v>627</v>
      </c>
      <c r="F493" s="189">
        <v>45839</v>
      </c>
      <c r="G493" s="190">
        <v>541</v>
      </c>
      <c r="H493" s="190">
        <f t="shared" si="17"/>
        <v>541</v>
      </c>
      <c r="J493" s="190">
        <v>541</v>
      </c>
      <c r="K493" s="191">
        <f t="shared" si="18"/>
        <v>0</v>
      </c>
      <c r="M493" s="215"/>
      <c r="N493" s="191"/>
    </row>
    <row r="494" spans="1:14" outlineLevel="4" x14ac:dyDescent="0.25">
      <c r="A494" s="188" t="s">
        <v>415</v>
      </c>
      <c r="B494" s="188" t="s">
        <v>626</v>
      </c>
      <c r="C494" s="188" t="s">
        <v>123</v>
      </c>
      <c r="D494" s="188" t="s">
        <v>123</v>
      </c>
      <c r="E494" s="188" t="s">
        <v>627</v>
      </c>
      <c r="F494" s="189">
        <v>45839</v>
      </c>
      <c r="G494" s="190">
        <v>969.57439999999997</v>
      </c>
      <c r="H494" s="190">
        <f t="shared" si="17"/>
        <v>969.57439999999997</v>
      </c>
      <c r="J494" s="190">
        <v>967.73</v>
      </c>
      <c r="K494" s="191">
        <f t="shared" si="18"/>
        <v>1.8443999999999505</v>
      </c>
      <c r="M494" s="215"/>
      <c r="N494" s="191"/>
    </row>
    <row r="495" spans="1:14" outlineLevel="3" x14ac:dyDescent="0.25">
      <c r="B495" s="183" t="s">
        <v>628</v>
      </c>
      <c r="F495" s="189"/>
      <c r="G495" s="190">
        <f>SUBTOTAL(9,G492:G494)</f>
        <v>1773.0744</v>
      </c>
      <c r="H495" s="190"/>
      <c r="J495" s="190">
        <f>SUBTOTAL(9,J492:J494)</f>
        <v>1771.23</v>
      </c>
      <c r="K495" s="191">
        <f>SUBTOTAL(9,K492:K494)</f>
        <v>1.8443999999999505</v>
      </c>
      <c r="M495" s="215"/>
      <c r="N495" s="191"/>
    </row>
    <row r="496" spans="1:14" outlineLevel="4" x14ac:dyDescent="0.25">
      <c r="A496" s="188" t="s">
        <v>415</v>
      </c>
      <c r="B496" s="188" t="s">
        <v>629</v>
      </c>
      <c r="C496" s="188" t="s">
        <v>170</v>
      </c>
      <c r="D496" s="188" t="s">
        <v>630</v>
      </c>
      <c r="E496" s="188" t="s">
        <v>631</v>
      </c>
      <c r="F496" s="189">
        <v>45839</v>
      </c>
      <c r="G496" s="190">
        <v>4.8</v>
      </c>
      <c r="H496" s="190">
        <f t="shared" si="17"/>
        <v>4.8</v>
      </c>
      <c r="J496" s="190">
        <v>4.8</v>
      </c>
      <c r="K496" s="191">
        <f t="shared" si="18"/>
        <v>0</v>
      </c>
      <c r="M496" s="215"/>
      <c r="N496" s="191"/>
    </row>
    <row r="497" spans="1:14" outlineLevel="4" x14ac:dyDescent="0.25">
      <c r="A497" s="188" t="s">
        <v>415</v>
      </c>
      <c r="B497" s="188" t="s">
        <v>629</v>
      </c>
      <c r="C497" s="188" t="s">
        <v>170</v>
      </c>
      <c r="D497" s="188" t="s">
        <v>632</v>
      </c>
      <c r="E497" s="188" t="s">
        <v>633</v>
      </c>
      <c r="F497" s="189">
        <v>45839</v>
      </c>
      <c r="G497" s="190">
        <v>62.4</v>
      </c>
      <c r="H497" s="190">
        <f t="shared" si="17"/>
        <v>62.4</v>
      </c>
      <c r="J497" s="190">
        <v>62.4</v>
      </c>
      <c r="K497" s="191">
        <f t="shared" si="18"/>
        <v>0</v>
      </c>
      <c r="M497" s="215"/>
      <c r="N497" s="191"/>
    </row>
    <row r="498" spans="1:14" outlineLevel="4" x14ac:dyDescent="0.25">
      <c r="A498" s="188" t="s">
        <v>415</v>
      </c>
      <c r="B498" s="188" t="s">
        <v>629</v>
      </c>
      <c r="C498" s="188" t="s">
        <v>170</v>
      </c>
      <c r="D498" s="188" t="s">
        <v>634</v>
      </c>
      <c r="E498" s="188" t="s">
        <v>635</v>
      </c>
      <c r="F498" s="189">
        <v>45839</v>
      </c>
      <c r="G498" s="190">
        <v>4.8</v>
      </c>
      <c r="H498" s="190">
        <f t="shared" si="17"/>
        <v>4.8</v>
      </c>
      <c r="J498" s="190">
        <v>9.6</v>
      </c>
      <c r="K498" s="191">
        <f t="shared" si="18"/>
        <v>-4.8</v>
      </c>
      <c r="M498" s="215"/>
      <c r="N498" s="191"/>
    </row>
    <row r="499" spans="1:14" outlineLevel="4" x14ac:dyDescent="0.25">
      <c r="A499" s="188" t="s">
        <v>415</v>
      </c>
      <c r="B499" s="188" t="s">
        <v>629</v>
      </c>
      <c r="C499" s="188" t="s">
        <v>170</v>
      </c>
      <c r="D499" s="188" t="s">
        <v>636</v>
      </c>
      <c r="E499" s="188" t="s">
        <v>637</v>
      </c>
      <c r="F499" s="189">
        <v>45839</v>
      </c>
      <c r="G499" s="190">
        <v>9.6</v>
      </c>
      <c r="H499" s="190">
        <f t="shared" si="17"/>
        <v>9.6</v>
      </c>
      <c r="J499" s="190">
        <v>9.6</v>
      </c>
      <c r="K499" s="191">
        <f t="shared" si="18"/>
        <v>0</v>
      </c>
      <c r="M499" s="215"/>
      <c r="N499" s="191"/>
    </row>
    <row r="500" spans="1:14" outlineLevel="4" x14ac:dyDescent="0.25">
      <c r="A500" s="188" t="s">
        <v>415</v>
      </c>
      <c r="B500" s="188" t="s">
        <v>629</v>
      </c>
      <c r="C500" s="188" t="s">
        <v>170</v>
      </c>
      <c r="D500" s="188" t="s">
        <v>638</v>
      </c>
      <c r="E500" s="188" t="s">
        <v>639</v>
      </c>
      <c r="F500" s="189">
        <v>45839</v>
      </c>
      <c r="G500" s="190">
        <v>4.8</v>
      </c>
      <c r="H500" s="190">
        <f t="shared" si="17"/>
        <v>4.8</v>
      </c>
      <c r="J500" s="190">
        <v>4.8</v>
      </c>
      <c r="K500" s="191">
        <f t="shared" si="18"/>
        <v>0</v>
      </c>
      <c r="M500" s="215"/>
      <c r="N500" s="191"/>
    </row>
    <row r="501" spans="1:14" outlineLevel="4" x14ac:dyDescent="0.25">
      <c r="A501" s="188" t="s">
        <v>415</v>
      </c>
      <c r="B501" s="188" t="s">
        <v>629</v>
      </c>
      <c r="C501" s="188" t="s">
        <v>170</v>
      </c>
      <c r="D501" s="188" t="s">
        <v>640</v>
      </c>
      <c r="E501" s="188" t="s">
        <v>641</v>
      </c>
      <c r="F501" s="189">
        <v>45839</v>
      </c>
      <c r="G501" s="190">
        <v>1214.4000000000001</v>
      </c>
      <c r="H501" s="190">
        <f t="shared" si="17"/>
        <v>1214.4000000000001</v>
      </c>
      <c r="J501" s="190">
        <v>1214.4000000000001</v>
      </c>
      <c r="K501" s="191">
        <f t="shared" si="18"/>
        <v>0</v>
      </c>
      <c r="M501" s="215"/>
      <c r="N501" s="191"/>
    </row>
    <row r="502" spans="1:14" outlineLevel="4" x14ac:dyDescent="0.25">
      <c r="A502" s="188" t="s">
        <v>415</v>
      </c>
      <c r="B502" s="188" t="s">
        <v>629</v>
      </c>
      <c r="C502" s="188" t="s">
        <v>170</v>
      </c>
      <c r="D502" s="188" t="s">
        <v>642</v>
      </c>
      <c r="E502" s="188" t="s">
        <v>643</v>
      </c>
      <c r="F502" s="189">
        <v>45839</v>
      </c>
      <c r="G502" s="190">
        <v>62.4</v>
      </c>
      <c r="H502" s="190">
        <f t="shared" si="17"/>
        <v>62.4</v>
      </c>
      <c r="J502" s="190">
        <v>62.4</v>
      </c>
      <c r="K502" s="191">
        <f t="shared" si="18"/>
        <v>0</v>
      </c>
      <c r="M502" s="215"/>
      <c r="N502" s="191"/>
    </row>
    <row r="503" spans="1:14" outlineLevel="4" x14ac:dyDescent="0.25">
      <c r="A503" s="188" t="s">
        <v>415</v>
      </c>
      <c r="B503" s="188" t="s">
        <v>629</v>
      </c>
      <c r="C503" s="188" t="s">
        <v>170</v>
      </c>
      <c r="D503" s="188" t="s">
        <v>644</v>
      </c>
      <c r="E503" s="188" t="s">
        <v>645</v>
      </c>
      <c r="F503" s="189">
        <v>45839</v>
      </c>
      <c r="G503" s="190">
        <v>4.8</v>
      </c>
      <c r="H503" s="190">
        <f t="shared" si="17"/>
        <v>4.8</v>
      </c>
      <c r="J503" s="190">
        <v>4.8</v>
      </c>
      <c r="K503" s="191">
        <f t="shared" si="18"/>
        <v>0</v>
      </c>
      <c r="M503" s="215"/>
      <c r="N503" s="191"/>
    </row>
    <row r="504" spans="1:14" outlineLevel="4" x14ac:dyDescent="0.25">
      <c r="A504" s="188" t="s">
        <v>415</v>
      </c>
      <c r="B504" s="188" t="s">
        <v>629</v>
      </c>
      <c r="C504" s="188" t="s">
        <v>170</v>
      </c>
      <c r="D504" s="188" t="s">
        <v>646</v>
      </c>
      <c r="E504" s="188" t="s">
        <v>647</v>
      </c>
      <c r="F504" s="189">
        <v>45839</v>
      </c>
      <c r="G504" s="190">
        <v>84</v>
      </c>
      <c r="H504" s="190">
        <f t="shared" si="17"/>
        <v>84</v>
      </c>
      <c r="J504" s="190">
        <v>84</v>
      </c>
      <c r="K504" s="191">
        <f t="shared" si="18"/>
        <v>0</v>
      </c>
      <c r="M504" s="215"/>
      <c r="N504" s="191"/>
    </row>
    <row r="505" spans="1:14" outlineLevel="4" x14ac:dyDescent="0.25">
      <c r="A505" s="188" t="s">
        <v>415</v>
      </c>
      <c r="B505" s="188" t="s">
        <v>629</v>
      </c>
      <c r="C505" s="188" t="s">
        <v>170</v>
      </c>
      <c r="D505" s="188" t="s">
        <v>648</v>
      </c>
      <c r="E505" s="188" t="s">
        <v>649</v>
      </c>
      <c r="F505" s="189">
        <v>45839</v>
      </c>
      <c r="G505" s="190">
        <v>84</v>
      </c>
      <c r="H505" s="190">
        <f t="shared" si="17"/>
        <v>84</v>
      </c>
      <c r="J505" s="190">
        <v>57.6</v>
      </c>
      <c r="K505" s="191">
        <f t="shared" si="18"/>
        <v>26.4</v>
      </c>
      <c r="M505" s="215"/>
      <c r="N505" s="191"/>
    </row>
    <row r="506" spans="1:14" outlineLevel="4" x14ac:dyDescent="0.25">
      <c r="A506" s="188" t="s">
        <v>415</v>
      </c>
      <c r="B506" s="188" t="s">
        <v>629</v>
      </c>
      <c r="C506" s="188" t="s">
        <v>170</v>
      </c>
      <c r="D506" s="188" t="s">
        <v>650</v>
      </c>
      <c r="E506" s="188" t="s">
        <v>651</v>
      </c>
      <c r="F506" s="189">
        <v>45839</v>
      </c>
      <c r="G506" s="190">
        <v>52.8</v>
      </c>
      <c r="H506" s="190">
        <f t="shared" si="17"/>
        <v>52.8</v>
      </c>
      <c r="J506" s="190">
        <v>52.8</v>
      </c>
      <c r="K506" s="191">
        <f t="shared" si="18"/>
        <v>0</v>
      </c>
      <c r="M506" s="215"/>
      <c r="N506" s="191"/>
    </row>
    <row r="507" spans="1:14" outlineLevel="4" x14ac:dyDescent="0.25">
      <c r="A507" s="188" t="s">
        <v>415</v>
      </c>
      <c r="B507" s="188" t="s">
        <v>629</v>
      </c>
      <c r="C507" s="188" t="s">
        <v>170</v>
      </c>
      <c r="D507" s="188" t="s">
        <v>652</v>
      </c>
      <c r="E507" s="188" t="s">
        <v>653</v>
      </c>
      <c r="F507" s="189">
        <v>45839</v>
      </c>
      <c r="G507" s="190">
        <v>31.2</v>
      </c>
      <c r="H507" s="190">
        <f t="shared" si="17"/>
        <v>31.2</v>
      </c>
      <c r="J507" s="190">
        <v>31.2</v>
      </c>
      <c r="K507" s="191">
        <f t="shared" si="18"/>
        <v>0</v>
      </c>
      <c r="M507" s="215"/>
      <c r="N507" s="191"/>
    </row>
    <row r="508" spans="1:14" outlineLevel="4" x14ac:dyDescent="0.25">
      <c r="A508" s="188" t="s">
        <v>415</v>
      </c>
      <c r="B508" s="188" t="s">
        <v>629</v>
      </c>
      <c r="C508" s="188" t="s">
        <v>170</v>
      </c>
      <c r="D508" s="188" t="s">
        <v>654</v>
      </c>
      <c r="E508" s="188" t="s">
        <v>655</v>
      </c>
      <c r="F508" s="189">
        <v>45839</v>
      </c>
      <c r="G508" s="190">
        <v>4.8</v>
      </c>
      <c r="H508" s="190">
        <f t="shared" si="17"/>
        <v>4.8</v>
      </c>
      <c r="J508" s="190">
        <v>4.8</v>
      </c>
      <c r="K508" s="191">
        <f t="shared" si="18"/>
        <v>0</v>
      </c>
      <c r="M508" s="215"/>
      <c r="N508" s="191"/>
    </row>
    <row r="509" spans="1:14" outlineLevel="4" x14ac:dyDescent="0.25">
      <c r="A509" s="188" t="s">
        <v>415</v>
      </c>
      <c r="B509" s="188" t="s">
        <v>629</v>
      </c>
      <c r="C509" s="188" t="s">
        <v>170</v>
      </c>
      <c r="D509" s="188" t="s">
        <v>656</v>
      </c>
      <c r="E509" s="188" t="s">
        <v>657</v>
      </c>
      <c r="F509" s="189">
        <v>45839</v>
      </c>
      <c r="G509" s="190">
        <v>4.8</v>
      </c>
      <c r="H509" s="190">
        <f t="shared" si="17"/>
        <v>4.8</v>
      </c>
      <c r="J509" s="190">
        <v>4.8</v>
      </c>
      <c r="K509" s="191">
        <f t="shared" si="18"/>
        <v>0</v>
      </c>
      <c r="M509" s="215"/>
      <c r="N509" s="191"/>
    </row>
    <row r="510" spans="1:14" outlineLevel="4" x14ac:dyDescent="0.25">
      <c r="A510" s="188" t="s">
        <v>415</v>
      </c>
      <c r="B510" s="188" t="s">
        <v>629</v>
      </c>
      <c r="C510" s="188" t="s">
        <v>139</v>
      </c>
      <c r="D510" s="188" t="s">
        <v>658</v>
      </c>
      <c r="E510" s="188" t="s">
        <v>633</v>
      </c>
      <c r="F510" s="189">
        <v>45839</v>
      </c>
      <c r="G510" s="190">
        <v>54</v>
      </c>
      <c r="H510" s="190">
        <f t="shared" si="17"/>
        <v>54</v>
      </c>
      <c r="J510" s="190">
        <v>54</v>
      </c>
      <c r="K510" s="191">
        <f t="shared" si="18"/>
        <v>0</v>
      </c>
      <c r="M510" s="215"/>
      <c r="N510" s="191"/>
    </row>
    <row r="511" spans="1:14" outlineLevel="4" x14ac:dyDescent="0.25">
      <c r="A511" s="188" t="s">
        <v>415</v>
      </c>
      <c r="B511" s="188" t="s">
        <v>629</v>
      </c>
      <c r="C511" s="188" t="s">
        <v>139</v>
      </c>
      <c r="D511" s="188" t="s">
        <v>659</v>
      </c>
      <c r="E511" s="188" t="s">
        <v>635</v>
      </c>
      <c r="F511" s="189">
        <v>45839</v>
      </c>
      <c r="G511" s="190">
        <v>4</v>
      </c>
      <c r="H511" s="190">
        <f t="shared" si="17"/>
        <v>4</v>
      </c>
      <c r="J511" s="190">
        <v>4</v>
      </c>
      <c r="K511" s="191">
        <f t="shared" si="18"/>
        <v>0</v>
      </c>
      <c r="M511" s="215"/>
      <c r="N511" s="191"/>
    </row>
    <row r="512" spans="1:14" outlineLevel="4" x14ac:dyDescent="0.25">
      <c r="A512" s="188" t="s">
        <v>415</v>
      </c>
      <c r="B512" s="188" t="s">
        <v>629</v>
      </c>
      <c r="C512" s="188" t="s">
        <v>139</v>
      </c>
      <c r="D512" s="188" t="s">
        <v>660</v>
      </c>
      <c r="E512" s="188" t="s">
        <v>641</v>
      </c>
      <c r="F512" s="189">
        <v>45839</v>
      </c>
      <c r="G512" s="190">
        <v>374</v>
      </c>
      <c r="H512" s="190">
        <f t="shared" si="17"/>
        <v>374</v>
      </c>
      <c r="J512" s="190">
        <v>366</v>
      </c>
      <c r="K512" s="191">
        <f t="shared" si="18"/>
        <v>8</v>
      </c>
      <c r="M512" s="215"/>
      <c r="N512" s="191"/>
    </row>
    <row r="513" spans="1:14" outlineLevel="4" x14ac:dyDescent="0.25">
      <c r="A513" s="188" t="s">
        <v>415</v>
      </c>
      <c r="B513" s="188" t="s">
        <v>629</v>
      </c>
      <c r="C513" s="188" t="s">
        <v>139</v>
      </c>
      <c r="D513" s="188" t="s">
        <v>661</v>
      </c>
      <c r="E513" s="188" t="s">
        <v>653</v>
      </c>
      <c r="F513" s="189">
        <v>45839</v>
      </c>
      <c r="G513" s="190">
        <v>49</v>
      </c>
      <c r="H513" s="190">
        <f t="shared" si="17"/>
        <v>49</v>
      </c>
      <c r="J513" s="190">
        <v>49</v>
      </c>
      <c r="K513" s="191">
        <f t="shared" si="18"/>
        <v>0</v>
      </c>
      <c r="M513" s="215"/>
      <c r="N513" s="191"/>
    </row>
    <row r="514" spans="1:14" outlineLevel="4" x14ac:dyDescent="0.25">
      <c r="A514" s="188" t="s">
        <v>415</v>
      </c>
      <c r="B514" s="188" t="s">
        <v>629</v>
      </c>
      <c r="C514" s="188" t="s">
        <v>139</v>
      </c>
      <c r="D514" s="188" t="s">
        <v>662</v>
      </c>
      <c r="E514" s="188" t="s">
        <v>649</v>
      </c>
      <c r="F514" s="189">
        <v>45839</v>
      </c>
      <c r="G514" s="190">
        <v>62</v>
      </c>
      <c r="H514" s="190">
        <f t="shared" si="17"/>
        <v>62</v>
      </c>
      <c r="J514" s="190">
        <v>62</v>
      </c>
      <c r="K514" s="191">
        <f t="shared" si="18"/>
        <v>0</v>
      </c>
      <c r="M514" s="215"/>
      <c r="N514" s="191"/>
    </row>
    <row r="515" spans="1:14" outlineLevel="4" x14ac:dyDescent="0.25">
      <c r="A515" s="188" t="s">
        <v>415</v>
      </c>
      <c r="B515" s="188" t="s">
        <v>629</v>
      </c>
      <c r="C515" s="188" t="s">
        <v>139</v>
      </c>
      <c r="D515" s="188" t="s">
        <v>663</v>
      </c>
      <c r="E515" s="188" t="s">
        <v>643</v>
      </c>
      <c r="F515" s="189">
        <v>45839</v>
      </c>
      <c r="G515" s="190">
        <v>62</v>
      </c>
      <c r="H515" s="190">
        <f t="shared" si="17"/>
        <v>62</v>
      </c>
      <c r="J515" s="190">
        <v>62</v>
      </c>
      <c r="K515" s="191">
        <f t="shared" si="18"/>
        <v>0</v>
      </c>
      <c r="M515" s="215"/>
      <c r="N515" s="191"/>
    </row>
    <row r="516" spans="1:14" outlineLevel="4" x14ac:dyDescent="0.25">
      <c r="A516" s="188" t="s">
        <v>415</v>
      </c>
      <c r="B516" s="188" t="s">
        <v>629</v>
      </c>
      <c r="C516" s="188" t="s">
        <v>139</v>
      </c>
      <c r="D516" s="188" t="s">
        <v>664</v>
      </c>
      <c r="E516" s="188" t="s">
        <v>647</v>
      </c>
      <c r="F516" s="189">
        <v>45839</v>
      </c>
      <c r="G516" s="190">
        <v>16</v>
      </c>
      <c r="H516" s="190">
        <f t="shared" si="17"/>
        <v>16</v>
      </c>
      <c r="J516" s="190">
        <v>16</v>
      </c>
      <c r="K516" s="191">
        <f t="shared" si="18"/>
        <v>0</v>
      </c>
      <c r="M516" s="215"/>
      <c r="N516" s="191"/>
    </row>
    <row r="517" spans="1:14" outlineLevel="4" x14ac:dyDescent="0.25">
      <c r="A517" s="188" t="s">
        <v>415</v>
      </c>
      <c r="B517" s="188" t="s">
        <v>629</v>
      </c>
      <c r="C517" s="188" t="s">
        <v>139</v>
      </c>
      <c r="D517" s="188" t="s">
        <v>665</v>
      </c>
      <c r="E517" s="188" t="s">
        <v>651</v>
      </c>
      <c r="F517" s="189">
        <v>45839</v>
      </c>
      <c r="G517" s="190">
        <v>8</v>
      </c>
      <c r="H517" s="190">
        <f t="shared" si="17"/>
        <v>8</v>
      </c>
      <c r="J517" s="190">
        <v>8</v>
      </c>
      <c r="K517" s="191">
        <f t="shared" si="18"/>
        <v>0</v>
      </c>
      <c r="M517" s="215"/>
      <c r="N517" s="191"/>
    </row>
    <row r="518" spans="1:14" outlineLevel="4" x14ac:dyDescent="0.25">
      <c r="A518" s="188" t="s">
        <v>415</v>
      </c>
      <c r="B518" s="188" t="s">
        <v>629</v>
      </c>
      <c r="C518" s="188" t="s">
        <v>142</v>
      </c>
      <c r="D518" s="188" t="s">
        <v>666</v>
      </c>
      <c r="E518" s="188" t="s">
        <v>633</v>
      </c>
      <c r="F518" s="189">
        <v>45839</v>
      </c>
      <c r="G518" s="190">
        <v>330.5</v>
      </c>
      <c r="H518" s="190">
        <f t="shared" si="17"/>
        <v>330.5</v>
      </c>
      <c r="J518" s="190">
        <v>330.5</v>
      </c>
      <c r="K518" s="191">
        <f t="shared" si="18"/>
        <v>0</v>
      </c>
      <c r="M518" s="215"/>
      <c r="N518" s="191"/>
    </row>
    <row r="519" spans="1:14" outlineLevel="4" x14ac:dyDescent="0.25">
      <c r="A519" s="188" t="s">
        <v>415</v>
      </c>
      <c r="B519" s="188" t="s">
        <v>629</v>
      </c>
      <c r="C519" s="188" t="s">
        <v>142</v>
      </c>
      <c r="D519" s="188" t="s">
        <v>667</v>
      </c>
      <c r="E519" s="188" t="s">
        <v>641</v>
      </c>
      <c r="F519" s="189">
        <v>45839</v>
      </c>
      <c r="G519" s="190">
        <v>1417.5</v>
      </c>
      <c r="H519" s="190">
        <f t="shared" si="17"/>
        <v>1417.5</v>
      </c>
      <c r="J519" s="190">
        <v>1267</v>
      </c>
      <c r="K519" s="191">
        <f t="shared" si="18"/>
        <v>150.5</v>
      </c>
      <c r="M519" s="215"/>
      <c r="N519" s="191"/>
    </row>
    <row r="520" spans="1:14" outlineLevel="4" x14ac:dyDescent="0.25">
      <c r="A520" s="188" t="s">
        <v>415</v>
      </c>
      <c r="B520" s="188" t="s">
        <v>629</v>
      </c>
      <c r="C520" s="188" t="s">
        <v>142</v>
      </c>
      <c r="D520" s="188" t="s">
        <v>668</v>
      </c>
      <c r="E520" s="188" t="s">
        <v>647</v>
      </c>
      <c r="F520" s="189">
        <v>45839</v>
      </c>
      <c r="G520" s="190">
        <v>386</v>
      </c>
      <c r="H520" s="190">
        <f t="shared" si="17"/>
        <v>386</v>
      </c>
      <c r="J520" s="190">
        <v>386</v>
      </c>
      <c r="K520" s="191">
        <f t="shared" si="18"/>
        <v>0</v>
      </c>
      <c r="M520" s="215"/>
      <c r="N520" s="191"/>
    </row>
    <row r="521" spans="1:14" outlineLevel="4" x14ac:dyDescent="0.25">
      <c r="A521" s="188" t="s">
        <v>415</v>
      </c>
      <c r="B521" s="188" t="s">
        <v>629</v>
      </c>
      <c r="C521" s="188" t="s">
        <v>142</v>
      </c>
      <c r="D521" s="188" t="s">
        <v>669</v>
      </c>
      <c r="E521" s="188" t="s">
        <v>649</v>
      </c>
      <c r="F521" s="189">
        <v>45839</v>
      </c>
      <c r="G521" s="190">
        <v>361.5</v>
      </c>
      <c r="H521" s="190">
        <f t="shared" si="17"/>
        <v>361.5</v>
      </c>
      <c r="J521" s="190">
        <v>361.5</v>
      </c>
      <c r="K521" s="191">
        <f t="shared" si="18"/>
        <v>0</v>
      </c>
      <c r="M521" s="215"/>
      <c r="N521" s="191"/>
    </row>
    <row r="522" spans="1:14" outlineLevel="4" x14ac:dyDescent="0.25">
      <c r="A522" s="188" t="s">
        <v>415</v>
      </c>
      <c r="B522" s="188" t="s">
        <v>629</v>
      </c>
      <c r="C522" s="188" t="s">
        <v>142</v>
      </c>
      <c r="D522" s="188" t="s">
        <v>670</v>
      </c>
      <c r="E522" s="188" t="s">
        <v>651</v>
      </c>
      <c r="F522" s="189">
        <v>45839</v>
      </c>
      <c r="G522" s="190">
        <v>49</v>
      </c>
      <c r="H522" s="190">
        <f t="shared" si="17"/>
        <v>49</v>
      </c>
      <c r="J522" s="190">
        <v>49</v>
      </c>
      <c r="K522" s="191">
        <f t="shared" si="18"/>
        <v>0</v>
      </c>
      <c r="M522" s="215"/>
      <c r="N522" s="191"/>
    </row>
    <row r="523" spans="1:14" outlineLevel="4" x14ac:dyDescent="0.25">
      <c r="A523" s="188" t="s">
        <v>415</v>
      </c>
      <c r="B523" s="188" t="s">
        <v>629</v>
      </c>
      <c r="C523" s="188" t="s">
        <v>142</v>
      </c>
      <c r="D523" s="188" t="s">
        <v>671</v>
      </c>
      <c r="E523" s="188" t="s">
        <v>635</v>
      </c>
      <c r="F523" s="189">
        <v>45839</v>
      </c>
      <c r="G523" s="190">
        <v>24.5</v>
      </c>
      <c r="H523" s="190">
        <f t="shared" si="17"/>
        <v>24.5</v>
      </c>
      <c r="J523" s="190">
        <v>24.5</v>
      </c>
      <c r="K523" s="191">
        <f t="shared" si="18"/>
        <v>0</v>
      </c>
      <c r="M523" s="215"/>
      <c r="N523" s="191"/>
    </row>
    <row r="524" spans="1:14" outlineLevel="4" x14ac:dyDescent="0.25">
      <c r="A524" s="188" t="s">
        <v>415</v>
      </c>
      <c r="B524" s="188" t="s">
        <v>629</v>
      </c>
      <c r="C524" s="188" t="s">
        <v>142</v>
      </c>
      <c r="D524" s="188" t="s">
        <v>672</v>
      </c>
      <c r="E524" s="188" t="s">
        <v>643</v>
      </c>
      <c r="F524" s="189">
        <v>45839</v>
      </c>
      <c r="G524" s="190">
        <v>373.5</v>
      </c>
      <c r="H524" s="190">
        <f t="shared" si="17"/>
        <v>373.5</v>
      </c>
      <c r="J524" s="190">
        <v>373.5</v>
      </c>
      <c r="K524" s="191">
        <f t="shared" si="18"/>
        <v>0</v>
      </c>
      <c r="M524" s="215"/>
      <c r="N524" s="191"/>
    </row>
    <row r="525" spans="1:14" outlineLevel="4" x14ac:dyDescent="0.25">
      <c r="A525" s="188" t="s">
        <v>415</v>
      </c>
      <c r="B525" s="188" t="s">
        <v>629</v>
      </c>
      <c r="C525" s="188" t="s">
        <v>142</v>
      </c>
      <c r="D525" s="188" t="s">
        <v>673</v>
      </c>
      <c r="E525" s="188" t="s">
        <v>653</v>
      </c>
      <c r="F525" s="189">
        <v>45839</v>
      </c>
      <c r="G525" s="190">
        <v>24.5</v>
      </c>
      <c r="H525" s="190">
        <f t="shared" si="17"/>
        <v>24.5</v>
      </c>
      <c r="J525" s="190">
        <v>24.5</v>
      </c>
      <c r="K525" s="191">
        <f t="shared" si="18"/>
        <v>0</v>
      </c>
      <c r="M525" s="215"/>
      <c r="N525" s="191"/>
    </row>
    <row r="526" spans="1:14" outlineLevel="4" x14ac:dyDescent="0.25">
      <c r="A526" s="188" t="s">
        <v>415</v>
      </c>
      <c r="B526" s="188" t="s">
        <v>629</v>
      </c>
      <c r="C526" s="188" t="s">
        <v>123</v>
      </c>
      <c r="D526" s="188" t="s">
        <v>674</v>
      </c>
      <c r="E526" s="188" t="s">
        <v>633</v>
      </c>
      <c r="F526" s="189">
        <v>45839</v>
      </c>
      <c r="G526" s="190">
        <v>573.78</v>
      </c>
      <c r="H526" s="190">
        <f t="shared" si="17"/>
        <v>573.78</v>
      </c>
      <c r="J526" s="190">
        <v>573.78</v>
      </c>
      <c r="K526" s="191">
        <f t="shared" si="18"/>
        <v>0</v>
      </c>
      <c r="M526" s="215"/>
      <c r="N526" s="191"/>
    </row>
    <row r="527" spans="1:14" outlineLevel="4" x14ac:dyDescent="0.25">
      <c r="A527" s="188" t="s">
        <v>415</v>
      </c>
      <c r="B527" s="188" t="s">
        <v>629</v>
      </c>
      <c r="C527" s="188" t="s">
        <v>123</v>
      </c>
      <c r="D527" s="188" t="s">
        <v>675</v>
      </c>
      <c r="E527" s="188" t="s">
        <v>635</v>
      </c>
      <c r="F527" s="189">
        <v>45839</v>
      </c>
      <c r="G527" s="190">
        <v>350.15</v>
      </c>
      <c r="H527" s="190">
        <f t="shared" si="17"/>
        <v>350.15</v>
      </c>
      <c r="J527" s="190">
        <v>350.15</v>
      </c>
      <c r="K527" s="191">
        <f t="shared" si="18"/>
        <v>0</v>
      </c>
      <c r="M527" s="215"/>
      <c r="N527" s="191"/>
    </row>
    <row r="528" spans="1:14" outlineLevel="4" x14ac:dyDescent="0.25">
      <c r="A528" s="188" t="s">
        <v>415</v>
      </c>
      <c r="B528" s="188" t="s">
        <v>629</v>
      </c>
      <c r="C528" s="188" t="s">
        <v>123</v>
      </c>
      <c r="D528" s="188" t="s">
        <v>676</v>
      </c>
      <c r="E528" s="188" t="s">
        <v>641</v>
      </c>
      <c r="F528" s="189">
        <v>45839</v>
      </c>
      <c r="G528" s="190">
        <v>4461.05</v>
      </c>
      <c r="H528" s="190">
        <f t="shared" si="17"/>
        <v>4461.05</v>
      </c>
      <c r="J528" s="190">
        <v>4185.55</v>
      </c>
      <c r="K528" s="191">
        <f t="shared" si="18"/>
        <v>275.5</v>
      </c>
      <c r="M528" s="215"/>
      <c r="N528" s="191"/>
    </row>
    <row r="529" spans="1:14" outlineLevel="4" x14ac:dyDescent="0.25">
      <c r="A529" s="188" t="s">
        <v>415</v>
      </c>
      <c r="B529" s="188" t="s">
        <v>629</v>
      </c>
      <c r="C529" s="188" t="s">
        <v>123</v>
      </c>
      <c r="D529" s="188" t="s">
        <v>677</v>
      </c>
      <c r="E529" s="188" t="s">
        <v>643</v>
      </c>
      <c r="F529" s="189">
        <v>45839</v>
      </c>
      <c r="G529" s="190">
        <v>584.45000000000005</v>
      </c>
      <c r="H529" s="190">
        <f t="shared" si="17"/>
        <v>584.45000000000005</v>
      </c>
      <c r="J529" s="190">
        <v>584.45000000000005</v>
      </c>
      <c r="K529" s="191">
        <f t="shared" si="18"/>
        <v>0</v>
      </c>
      <c r="M529" s="215"/>
      <c r="N529" s="191"/>
    </row>
    <row r="530" spans="1:14" outlineLevel="4" x14ac:dyDescent="0.25">
      <c r="A530" s="188" t="s">
        <v>415</v>
      </c>
      <c r="B530" s="188" t="s">
        <v>629</v>
      </c>
      <c r="C530" s="188" t="s">
        <v>123</v>
      </c>
      <c r="D530" s="188" t="s">
        <v>678</v>
      </c>
      <c r="E530" s="188" t="s">
        <v>653</v>
      </c>
      <c r="F530" s="189">
        <v>45839</v>
      </c>
      <c r="G530" s="190">
        <v>328.15</v>
      </c>
      <c r="H530" s="190">
        <f t="shared" si="17"/>
        <v>328.15</v>
      </c>
      <c r="J530" s="190">
        <v>328.15</v>
      </c>
      <c r="K530" s="191">
        <f t="shared" si="18"/>
        <v>0</v>
      </c>
      <c r="M530" s="215"/>
      <c r="N530" s="191"/>
    </row>
    <row r="531" spans="1:14" outlineLevel="4" x14ac:dyDescent="0.25">
      <c r="A531" s="188" t="s">
        <v>415</v>
      </c>
      <c r="B531" s="188" t="s">
        <v>629</v>
      </c>
      <c r="C531" s="188" t="s">
        <v>123</v>
      </c>
      <c r="D531" s="188" t="s">
        <v>679</v>
      </c>
      <c r="E531" s="188" t="s">
        <v>649</v>
      </c>
      <c r="F531" s="189">
        <v>45839</v>
      </c>
      <c r="G531" s="190">
        <v>830.08</v>
      </c>
      <c r="H531" s="190">
        <f t="shared" si="17"/>
        <v>830.08</v>
      </c>
      <c r="J531" s="190">
        <v>830.08</v>
      </c>
      <c r="K531" s="191">
        <f t="shared" si="18"/>
        <v>0</v>
      </c>
      <c r="M531" s="215"/>
      <c r="N531" s="191"/>
    </row>
    <row r="532" spans="1:14" outlineLevel="4" x14ac:dyDescent="0.25">
      <c r="A532" s="188" t="s">
        <v>415</v>
      </c>
      <c r="B532" s="188" t="s">
        <v>629</v>
      </c>
      <c r="C532" s="188" t="s">
        <v>123</v>
      </c>
      <c r="D532" s="188" t="s">
        <v>680</v>
      </c>
      <c r="E532" s="188" t="s">
        <v>651</v>
      </c>
      <c r="F532" s="189">
        <v>45839</v>
      </c>
      <c r="G532" s="190">
        <v>456.3</v>
      </c>
      <c r="H532" s="190">
        <f t="shared" si="17"/>
        <v>456.3</v>
      </c>
      <c r="J532" s="190">
        <v>456.3</v>
      </c>
      <c r="K532" s="191">
        <f t="shared" si="18"/>
        <v>0</v>
      </c>
      <c r="M532" s="215"/>
      <c r="N532" s="191"/>
    </row>
    <row r="533" spans="1:14" outlineLevel="4" x14ac:dyDescent="0.25">
      <c r="A533" s="188" t="s">
        <v>415</v>
      </c>
      <c r="B533" s="188" t="s">
        <v>629</v>
      </c>
      <c r="C533" s="188" t="s">
        <v>123</v>
      </c>
      <c r="D533" s="188" t="s">
        <v>681</v>
      </c>
      <c r="E533" s="188" t="s">
        <v>647</v>
      </c>
      <c r="F533" s="189">
        <v>45839</v>
      </c>
      <c r="G533" s="190">
        <v>958.23</v>
      </c>
      <c r="H533" s="190">
        <f t="shared" si="17"/>
        <v>958.23</v>
      </c>
      <c r="J533" s="190">
        <v>958.23</v>
      </c>
      <c r="K533" s="191">
        <f t="shared" si="18"/>
        <v>0</v>
      </c>
      <c r="M533" s="215"/>
      <c r="N533" s="191"/>
    </row>
    <row r="534" spans="1:14" outlineLevel="3" x14ac:dyDescent="0.25">
      <c r="B534" s="183" t="s">
        <v>682</v>
      </c>
      <c r="F534" s="189"/>
      <c r="G534" s="190">
        <f>SUBTOTAL(9,G496:G533)</f>
        <v>13767.789999999999</v>
      </c>
      <c r="H534" s="190"/>
      <c r="J534" s="190">
        <f>SUBTOTAL(9,J496:J533)</f>
        <v>13312.189999999999</v>
      </c>
      <c r="K534" s="191">
        <f>SUBTOTAL(9,K496:K533)</f>
        <v>455.6</v>
      </c>
      <c r="M534" s="215"/>
      <c r="N534" s="191"/>
    </row>
    <row r="535" spans="1:14" outlineLevel="4" x14ac:dyDescent="0.25">
      <c r="A535" s="188" t="s">
        <v>415</v>
      </c>
      <c r="B535" s="188" t="s">
        <v>683</v>
      </c>
      <c r="C535" s="188" t="s">
        <v>139</v>
      </c>
      <c r="D535" s="188" t="s">
        <v>581</v>
      </c>
      <c r="E535" s="188" t="s">
        <v>684</v>
      </c>
      <c r="F535" s="189">
        <v>45839</v>
      </c>
      <c r="G535" s="190">
        <v>60</v>
      </c>
      <c r="H535" s="190">
        <f t="shared" si="17"/>
        <v>60</v>
      </c>
      <c r="J535" s="190">
        <v>254.17</v>
      </c>
      <c r="K535" s="191">
        <f t="shared" si="18"/>
        <v>-194.17</v>
      </c>
      <c r="M535" s="215"/>
      <c r="N535" s="191"/>
    </row>
    <row r="536" spans="1:14" s="202" customFormat="1" outlineLevel="4" x14ac:dyDescent="0.25">
      <c r="A536" s="188" t="s">
        <v>415</v>
      </c>
      <c r="B536" s="202" t="s">
        <v>683</v>
      </c>
      <c r="C536" s="202" t="s">
        <v>139</v>
      </c>
      <c r="D536" s="202" t="s">
        <v>139</v>
      </c>
      <c r="F536" s="203"/>
      <c r="G536" s="204"/>
      <c r="H536" s="190">
        <f t="shared" si="17"/>
        <v>0</v>
      </c>
      <c r="J536" s="204">
        <v>0</v>
      </c>
      <c r="K536" s="191">
        <f t="shared" si="18"/>
        <v>0</v>
      </c>
      <c r="M536" s="216"/>
      <c r="N536" s="206"/>
    </row>
    <row r="537" spans="1:14" outlineLevel="4" x14ac:dyDescent="0.25">
      <c r="A537" s="188" t="s">
        <v>415</v>
      </c>
      <c r="B537" s="188" t="s">
        <v>683</v>
      </c>
      <c r="C537" s="188" t="s">
        <v>142</v>
      </c>
      <c r="D537" s="188" t="s">
        <v>582</v>
      </c>
      <c r="E537" s="188" t="s">
        <v>684</v>
      </c>
      <c r="F537" s="189">
        <v>45839</v>
      </c>
      <c r="G537" s="190">
        <v>452</v>
      </c>
      <c r="H537" s="190">
        <f t="shared" si="17"/>
        <v>452</v>
      </c>
      <c r="J537" s="190">
        <v>302</v>
      </c>
      <c r="K537" s="191">
        <f t="shared" si="18"/>
        <v>150</v>
      </c>
      <c r="M537" s="215"/>
      <c r="N537" s="191"/>
    </row>
    <row r="538" spans="1:14" s="202" customFormat="1" outlineLevel="4" x14ac:dyDescent="0.25">
      <c r="A538" s="188" t="s">
        <v>415</v>
      </c>
      <c r="B538" s="202" t="s">
        <v>683</v>
      </c>
      <c r="C538" s="202" t="s">
        <v>142</v>
      </c>
      <c r="D538" s="202" t="s">
        <v>142</v>
      </c>
      <c r="F538" s="203"/>
      <c r="G538" s="204"/>
      <c r="H538" s="190">
        <f t="shared" si="17"/>
        <v>0</v>
      </c>
      <c r="J538" s="204">
        <v>0</v>
      </c>
      <c r="K538" s="191">
        <f t="shared" si="18"/>
        <v>0</v>
      </c>
      <c r="M538" s="216"/>
      <c r="N538" s="206"/>
    </row>
    <row r="539" spans="1:14" outlineLevel="4" x14ac:dyDescent="0.25">
      <c r="A539" s="188" t="s">
        <v>415</v>
      </c>
      <c r="B539" s="188" t="s">
        <v>683</v>
      </c>
      <c r="C539" s="188" t="s">
        <v>123</v>
      </c>
      <c r="D539" s="188" t="s">
        <v>685</v>
      </c>
      <c r="E539" s="188" t="s">
        <v>684</v>
      </c>
      <c r="F539" s="189">
        <v>45839</v>
      </c>
      <c r="G539" s="190">
        <v>1327</v>
      </c>
      <c r="H539" s="190">
        <f t="shared" si="17"/>
        <v>1327</v>
      </c>
      <c r="J539" s="190">
        <v>1252.06</v>
      </c>
      <c r="K539" s="191">
        <f t="shared" si="18"/>
        <v>74.940000000000055</v>
      </c>
      <c r="M539" s="215"/>
      <c r="N539" s="191"/>
    </row>
    <row r="540" spans="1:14" outlineLevel="3" x14ac:dyDescent="0.25">
      <c r="B540" s="183" t="s">
        <v>686</v>
      </c>
      <c r="F540" s="189"/>
      <c r="G540" s="190">
        <f>SUBTOTAL(9,G535:G539)</f>
        <v>1839</v>
      </c>
      <c r="H540" s="190"/>
      <c r="J540" s="190">
        <f>SUBTOTAL(9,J535:J539)</f>
        <v>1808.23</v>
      </c>
      <c r="K540" s="191">
        <f>SUBTOTAL(9,K535:K539)</f>
        <v>30.770000000000067</v>
      </c>
      <c r="M540" s="215"/>
      <c r="N540" s="191"/>
    </row>
    <row r="541" spans="1:14" outlineLevel="4" x14ac:dyDescent="0.25">
      <c r="A541" s="188" t="s">
        <v>415</v>
      </c>
      <c r="B541" s="188" t="s">
        <v>687</v>
      </c>
      <c r="C541" s="188" t="s">
        <v>420</v>
      </c>
      <c r="D541" s="188" t="s">
        <v>688</v>
      </c>
      <c r="E541" s="188" t="s">
        <v>689</v>
      </c>
      <c r="F541" s="189">
        <v>45839</v>
      </c>
      <c r="G541" s="190">
        <v>2872.5</v>
      </c>
      <c r="H541" s="190">
        <f t="shared" si="17"/>
        <v>2872.5</v>
      </c>
      <c r="J541" s="190">
        <v>2872.5</v>
      </c>
      <c r="K541" s="191">
        <f t="shared" si="18"/>
        <v>0</v>
      </c>
      <c r="M541" s="215"/>
      <c r="N541" s="191"/>
    </row>
    <row r="542" spans="1:14" outlineLevel="4" x14ac:dyDescent="0.25">
      <c r="A542" s="188" t="s">
        <v>415</v>
      </c>
      <c r="B542" s="188" t="s">
        <v>687</v>
      </c>
      <c r="C542" s="188" t="s">
        <v>139</v>
      </c>
      <c r="D542" s="188" t="s">
        <v>690</v>
      </c>
      <c r="E542" s="188" t="s">
        <v>689</v>
      </c>
      <c r="F542" s="189">
        <v>45839</v>
      </c>
      <c r="G542" s="190">
        <v>670.74099999999999</v>
      </c>
      <c r="H542" s="190">
        <f t="shared" si="17"/>
        <v>670.74099999999999</v>
      </c>
      <c r="J542" s="190">
        <v>659.30139999999994</v>
      </c>
      <c r="K542" s="191">
        <f t="shared" si="18"/>
        <v>11.439600000000041</v>
      </c>
      <c r="M542" s="215"/>
      <c r="N542" s="191"/>
    </row>
    <row r="543" spans="1:14" outlineLevel="4" x14ac:dyDescent="0.25">
      <c r="A543" s="188" t="s">
        <v>415</v>
      </c>
      <c r="B543" s="188" t="s">
        <v>687</v>
      </c>
      <c r="C543" s="188" t="s">
        <v>142</v>
      </c>
      <c r="D543" s="188" t="s">
        <v>691</v>
      </c>
      <c r="E543" s="188" t="s">
        <v>689</v>
      </c>
      <c r="F543" s="189">
        <v>45839</v>
      </c>
      <c r="G543" s="190">
        <v>2353.6999999999998</v>
      </c>
      <c r="H543" s="190">
        <f t="shared" si="17"/>
        <v>2353.6999999999998</v>
      </c>
      <c r="J543" s="190">
        <v>1949.7</v>
      </c>
      <c r="K543" s="191">
        <f t="shared" si="18"/>
        <v>403.99999999999977</v>
      </c>
      <c r="M543" s="215"/>
      <c r="N543" s="191"/>
    </row>
    <row r="544" spans="1:14" outlineLevel="4" x14ac:dyDescent="0.25">
      <c r="A544" s="188" t="s">
        <v>415</v>
      </c>
      <c r="B544" s="188" t="s">
        <v>687</v>
      </c>
      <c r="C544" s="188" t="s">
        <v>123</v>
      </c>
      <c r="D544" s="188" t="s">
        <v>692</v>
      </c>
      <c r="E544" s="188" t="s">
        <v>689</v>
      </c>
      <c r="F544" s="189">
        <v>45839</v>
      </c>
      <c r="G544" s="190">
        <v>1310</v>
      </c>
      <c r="H544" s="190">
        <f t="shared" si="17"/>
        <v>1310</v>
      </c>
      <c r="J544" s="190">
        <v>1310</v>
      </c>
      <c r="K544" s="191">
        <f t="shared" si="18"/>
        <v>0</v>
      </c>
      <c r="M544" s="215"/>
      <c r="N544" s="191"/>
    </row>
    <row r="545" spans="1:14" outlineLevel="3" x14ac:dyDescent="0.25">
      <c r="B545" s="183" t="s">
        <v>693</v>
      </c>
      <c r="F545" s="189"/>
      <c r="G545" s="190">
        <f>SUBTOTAL(9,G541:G544)</f>
        <v>7206.9409999999998</v>
      </c>
      <c r="H545" s="190"/>
      <c r="J545" s="190">
        <f>SUBTOTAL(9,J541:J544)</f>
        <v>6791.5014000000001</v>
      </c>
      <c r="K545" s="191">
        <f>SUBTOTAL(9,K541:K544)</f>
        <v>415.43959999999981</v>
      </c>
      <c r="M545" s="215"/>
      <c r="N545" s="191"/>
    </row>
    <row r="546" spans="1:14" outlineLevel="4" x14ac:dyDescent="0.25">
      <c r="A546" s="188" t="s">
        <v>415</v>
      </c>
      <c r="B546" s="188" t="s">
        <v>694</v>
      </c>
      <c r="C546" s="188" t="s">
        <v>420</v>
      </c>
      <c r="D546" s="188" t="s">
        <v>695</v>
      </c>
      <c r="E546" s="188" t="s">
        <v>696</v>
      </c>
      <c r="F546" s="189">
        <v>45853</v>
      </c>
      <c r="G546" s="190">
        <v>1966.5</v>
      </c>
      <c r="H546" s="190">
        <f t="shared" si="17"/>
        <v>1966.5</v>
      </c>
      <c r="J546" s="190">
        <v>1966.5</v>
      </c>
      <c r="K546" s="191">
        <f t="shared" si="18"/>
        <v>0</v>
      </c>
      <c r="M546" s="215"/>
      <c r="N546" s="191"/>
    </row>
    <row r="547" spans="1:14" outlineLevel="4" x14ac:dyDescent="0.25">
      <c r="A547" s="188" t="s">
        <v>415</v>
      </c>
      <c r="B547" s="188" t="s">
        <v>694</v>
      </c>
      <c r="C547" s="188" t="s">
        <v>170</v>
      </c>
      <c r="D547" s="188" t="s">
        <v>697</v>
      </c>
      <c r="E547" s="188" t="s">
        <v>696</v>
      </c>
      <c r="F547" s="189">
        <v>45853</v>
      </c>
      <c r="G547" s="190">
        <v>4942</v>
      </c>
      <c r="H547" s="190">
        <f t="shared" si="17"/>
        <v>4942</v>
      </c>
      <c r="J547" s="190">
        <v>4942</v>
      </c>
      <c r="K547" s="191">
        <f t="shared" si="18"/>
        <v>0</v>
      </c>
      <c r="M547" s="215"/>
      <c r="N547" s="191"/>
    </row>
    <row r="548" spans="1:14" outlineLevel="4" x14ac:dyDescent="0.25">
      <c r="A548" s="188" t="s">
        <v>415</v>
      </c>
      <c r="B548" s="188" t="s">
        <v>694</v>
      </c>
      <c r="C548" s="188" t="s">
        <v>139</v>
      </c>
      <c r="D548" s="188" t="s">
        <v>698</v>
      </c>
      <c r="E548" s="188" t="s">
        <v>696</v>
      </c>
      <c r="F548" s="189">
        <v>45853</v>
      </c>
      <c r="G548" s="190">
        <v>50</v>
      </c>
      <c r="H548" s="190">
        <f t="shared" si="17"/>
        <v>50</v>
      </c>
      <c r="J548" s="190">
        <v>50</v>
      </c>
      <c r="K548" s="191">
        <f t="shared" si="18"/>
        <v>0</v>
      </c>
      <c r="M548" s="215"/>
      <c r="N548" s="191"/>
    </row>
    <row r="549" spans="1:14" outlineLevel="4" x14ac:dyDescent="0.25">
      <c r="A549" s="188" t="s">
        <v>415</v>
      </c>
      <c r="B549" s="188" t="s">
        <v>694</v>
      </c>
      <c r="C549" s="188" t="s">
        <v>139</v>
      </c>
      <c r="D549" s="188" t="s">
        <v>139</v>
      </c>
      <c r="E549" s="188" t="s">
        <v>696</v>
      </c>
      <c r="F549" s="189">
        <v>45853</v>
      </c>
      <c r="G549" s="190">
        <v>2188.65</v>
      </c>
      <c r="H549" s="190">
        <f t="shared" si="17"/>
        <v>2188.65</v>
      </c>
      <c r="J549" s="190">
        <v>2196.63</v>
      </c>
      <c r="K549" s="191">
        <f t="shared" si="18"/>
        <v>-7.9800000000000182</v>
      </c>
      <c r="M549" s="215"/>
      <c r="N549" s="191"/>
    </row>
    <row r="550" spans="1:14" outlineLevel="4" x14ac:dyDescent="0.25">
      <c r="A550" s="188" t="s">
        <v>415</v>
      </c>
      <c r="B550" s="188" t="s">
        <v>694</v>
      </c>
      <c r="C550" s="188" t="s">
        <v>142</v>
      </c>
      <c r="D550" s="188" t="s">
        <v>142</v>
      </c>
      <c r="E550" s="188" t="s">
        <v>696</v>
      </c>
      <c r="F550" s="189">
        <v>45853</v>
      </c>
      <c r="G550" s="190">
        <f>1002+15.99</f>
        <v>1017.99</v>
      </c>
      <c r="H550" s="190">
        <f t="shared" si="17"/>
        <v>1017.99</v>
      </c>
      <c r="J550" s="190">
        <v>1020</v>
      </c>
      <c r="K550" s="191">
        <f t="shared" si="18"/>
        <v>-2.0099999999999909</v>
      </c>
      <c r="M550" s="215"/>
      <c r="N550" s="191"/>
    </row>
    <row r="551" spans="1:14" outlineLevel="4" x14ac:dyDescent="0.25">
      <c r="A551" s="188" t="s">
        <v>415</v>
      </c>
      <c r="B551" s="188" t="s">
        <v>694</v>
      </c>
      <c r="C551" s="188" t="s">
        <v>123</v>
      </c>
      <c r="D551" s="188" t="s">
        <v>699</v>
      </c>
      <c r="E551" s="188" t="s">
        <v>696</v>
      </c>
      <c r="F551" s="189">
        <v>45853</v>
      </c>
      <c r="G551" s="190">
        <v>12149.4</v>
      </c>
      <c r="H551" s="190">
        <f t="shared" si="17"/>
        <v>12149.4</v>
      </c>
      <c r="J551" s="190">
        <v>12149.4</v>
      </c>
      <c r="K551" s="191">
        <f t="shared" si="18"/>
        <v>0</v>
      </c>
      <c r="M551" s="215"/>
      <c r="N551" s="191"/>
    </row>
    <row r="552" spans="1:14" outlineLevel="3" x14ac:dyDescent="0.25">
      <c r="B552" s="183" t="s">
        <v>700</v>
      </c>
      <c r="F552" s="189"/>
      <c r="G552" s="190">
        <f>SUBTOTAL(9,G546:G551)</f>
        <v>22314.54</v>
      </c>
      <c r="H552" s="190"/>
      <c r="J552" s="190">
        <f>SUBTOTAL(9,J546:J551)</f>
        <v>22324.53</v>
      </c>
      <c r="K552" s="191">
        <f>SUBTOTAL(9,K546:K551)</f>
        <v>-9.9900000000000091</v>
      </c>
      <c r="M552" s="215"/>
      <c r="N552" s="191"/>
    </row>
    <row r="553" spans="1:14" outlineLevel="4" x14ac:dyDescent="0.25">
      <c r="A553" s="188" t="s">
        <v>415</v>
      </c>
      <c r="B553" s="188" t="s">
        <v>701</v>
      </c>
      <c r="C553" s="188" t="s">
        <v>170</v>
      </c>
      <c r="D553" s="188" t="s">
        <v>170</v>
      </c>
      <c r="E553" s="188" t="s">
        <v>702</v>
      </c>
      <c r="F553" s="189">
        <v>45839</v>
      </c>
      <c r="G553" s="190">
        <v>1506</v>
      </c>
      <c r="H553" s="190">
        <f t="shared" si="17"/>
        <v>1506</v>
      </c>
      <c r="J553" s="190">
        <v>1484</v>
      </c>
      <c r="K553" s="191">
        <f t="shared" si="18"/>
        <v>22</v>
      </c>
      <c r="M553" s="215"/>
      <c r="N553" s="191"/>
    </row>
    <row r="554" spans="1:14" outlineLevel="4" x14ac:dyDescent="0.25">
      <c r="A554" s="188" t="s">
        <v>415</v>
      </c>
      <c r="B554" s="188" t="s">
        <v>701</v>
      </c>
      <c r="C554" s="188" t="s">
        <v>139</v>
      </c>
      <c r="D554" s="188" t="s">
        <v>306</v>
      </c>
      <c r="E554" s="188" t="s">
        <v>702</v>
      </c>
      <c r="F554" s="189">
        <v>45839</v>
      </c>
      <c r="G554" s="190">
        <v>8107.4435000000003</v>
      </c>
      <c r="H554" s="190">
        <f t="shared" si="17"/>
        <v>8107.4435000000003</v>
      </c>
      <c r="J554" s="190">
        <v>7864.2869000000001</v>
      </c>
      <c r="K554" s="191">
        <f t="shared" si="18"/>
        <v>243.15660000000025</v>
      </c>
      <c r="M554" s="215"/>
      <c r="N554" s="191"/>
    </row>
    <row r="555" spans="1:14" outlineLevel="4" x14ac:dyDescent="0.25">
      <c r="A555" s="188" t="s">
        <v>415</v>
      </c>
      <c r="B555" s="188" t="s">
        <v>701</v>
      </c>
      <c r="C555" s="188" t="s">
        <v>142</v>
      </c>
      <c r="D555" s="188" t="s">
        <v>142</v>
      </c>
      <c r="E555" s="188" t="s">
        <v>702</v>
      </c>
      <c r="F555" s="189">
        <v>45839</v>
      </c>
      <c r="G555" s="190">
        <v>2135</v>
      </c>
      <c r="H555" s="190">
        <f t="shared" si="17"/>
        <v>2135</v>
      </c>
      <c r="J555" s="190">
        <v>2151</v>
      </c>
      <c r="K555" s="191">
        <f t="shared" si="18"/>
        <v>-16</v>
      </c>
      <c r="M555" s="215"/>
      <c r="N555" s="191"/>
    </row>
    <row r="556" spans="1:14" outlineLevel="4" x14ac:dyDescent="0.25">
      <c r="A556" s="188" t="s">
        <v>415</v>
      </c>
      <c r="B556" s="188" t="s">
        <v>701</v>
      </c>
      <c r="C556" s="188" t="s">
        <v>123</v>
      </c>
      <c r="D556" s="188" t="s">
        <v>123</v>
      </c>
      <c r="E556" s="188" t="s">
        <v>702</v>
      </c>
      <c r="F556" s="189">
        <v>45839</v>
      </c>
      <c r="G556" s="190">
        <v>4109</v>
      </c>
      <c r="H556" s="190">
        <f t="shared" si="17"/>
        <v>4109</v>
      </c>
      <c r="J556" s="190">
        <v>3999.0030999999999</v>
      </c>
      <c r="K556" s="191">
        <f t="shared" si="18"/>
        <v>109.9969000000001</v>
      </c>
      <c r="M556" s="215"/>
      <c r="N556" s="191"/>
    </row>
    <row r="557" spans="1:14" outlineLevel="3" x14ac:dyDescent="0.25">
      <c r="B557" s="183" t="s">
        <v>703</v>
      </c>
      <c r="F557" s="189"/>
      <c r="G557" s="190">
        <f>SUBTOTAL(9,G553:G556)</f>
        <v>15857.443500000001</v>
      </c>
      <c r="H557" s="190"/>
      <c r="J557" s="190">
        <f>SUBTOTAL(9,J553:J556)</f>
        <v>15498.289999999999</v>
      </c>
      <c r="K557" s="191">
        <f>SUBTOTAL(9,K553:K556)</f>
        <v>359.15350000000035</v>
      </c>
      <c r="M557" s="215"/>
      <c r="N557" s="191"/>
    </row>
    <row r="558" spans="1:14" outlineLevel="4" x14ac:dyDescent="0.25">
      <c r="A558" s="188" t="s">
        <v>415</v>
      </c>
      <c r="B558" s="188" t="s">
        <v>704</v>
      </c>
      <c r="C558" s="188" t="s">
        <v>170</v>
      </c>
      <c r="D558" s="188" t="s">
        <v>705</v>
      </c>
      <c r="E558" s="188" t="s">
        <v>706</v>
      </c>
      <c r="F558" s="189">
        <v>45839</v>
      </c>
      <c r="G558" s="190">
        <v>70.599999999999994</v>
      </c>
      <c r="H558" s="190">
        <f t="shared" si="17"/>
        <v>70.599999999999994</v>
      </c>
      <c r="J558" s="190">
        <v>70.599999999999994</v>
      </c>
      <c r="K558" s="191">
        <f t="shared" si="18"/>
        <v>0</v>
      </c>
      <c r="M558" s="215"/>
      <c r="N558" s="191"/>
    </row>
    <row r="559" spans="1:14" outlineLevel="4" x14ac:dyDescent="0.25">
      <c r="A559" s="188" t="s">
        <v>415</v>
      </c>
      <c r="B559" s="188" t="s">
        <v>704</v>
      </c>
      <c r="C559" s="188" t="s">
        <v>139</v>
      </c>
      <c r="D559" s="188" t="s">
        <v>139</v>
      </c>
      <c r="E559" s="188" t="s">
        <v>706</v>
      </c>
      <c r="F559" s="189">
        <v>45839</v>
      </c>
      <c r="G559" s="190">
        <v>1780</v>
      </c>
      <c r="H559" s="190">
        <f t="shared" si="17"/>
        <v>1780</v>
      </c>
      <c r="J559" s="190">
        <v>1795</v>
      </c>
      <c r="K559" s="191">
        <f t="shared" si="18"/>
        <v>-15</v>
      </c>
      <c r="M559" s="215"/>
      <c r="N559" s="191"/>
    </row>
    <row r="560" spans="1:14" outlineLevel="4" x14ac:dyDescent="0.25">
      <c r="A560" s="188" t="s">
        <v>415</v>
      </c>
      <c r="B560" s="188" t="s">
        <v>704</v>
      </c>
      <c r="C560" s="188" t="s">
        <v>142</v>
      </c>
      <c r="D560" s="188" t="s">
        <v>142</v>
      </c>
      <c r="E560" s="188" t="s">
        <v>706</v>
      </c>
      <c r="F560" s="189">
        <v>45839</v>
      </c>
      <c r="G560" s="190">
        <v>2595</v>
      </c>
      <c r="H560" s="190">
        <f t="shared" ref="H560:H643" si="19">+G560</f>
        <v>2595</v>
      </c>
      <c r="J560" s="190">
        <v>2760</v>
      </c>
      <c r="K560" s="191">
        <f t="shared" ref="K560:K643" si="20">+H560-J560</f>
        <v>-165</v>
      </c>
      <c r="M560" s="215"/>
      <c r="N560" s="191"/>
    </row>
    <row r="561" spans="1:14" outlineLevel="4" x14ac:dyDescent="0.25">
      <c r="A561" s="188" t="s">
        <v>415</v>
      </c>
      <c r="B561" s="188" t="s">
        <v>704</v>
      </c>
      <c r="C561" s="188" t="s">
        <v>123</v>
      </c>
      <c r="D561" s="188" t="s">
        <v>707</v>
      </c>
      <c r="E561" s="188" t="s">
        <v>706</v>
      </c>
      <c r="F561" s="189">
        <v>45839</v>
      </c>
      <c r="G561" s="190">
        <v>4274.5</v>
      </c>
      <c r="H561" s="190">
        <f t="shared" si="19"/>
        <v>4274.5</v>
      </c>
      <c r="J561" s="190">
        <v>4274.5</v>
      </c>
      <c r="K561" s="191">
        <f t="shared" si="20"/>
        <v>0</v>
      </c>
      <c r="M561" s="215"/>
      <c r="N561" s="191"/>
    </row>
    <row r="562" spans="1:14" outlineLevel="3" x14ac:dyDescent="0.25">
      <c r="B562" s="183" t="s">
        <v>708</v>
      </c>
      <c r="F562" s="189"/>
      <c r="G562" s="190">
        <f>SUBTOTAL(9,G558:G561)</f>
        <v>8720.1</v>
      </c>
      <c r="H562" s="190"/>
      <c r="J562" s="190">
        <f>SUBTOTAL(9,J558:J561)</f>
        <v>8900.1</v>
      </c>
      <c r="K562" s="191">
        <f>SUBTOTAL(9,K558:K561)</f>
        <v>-180</v>
      </c>
      <c r="M562" s="215"/>
      <c r="N562" s="191"/>
    </row>
    <row r="563" spans="1:14" outlineLevel="4" x14ac:dyDescent="0.25">
      <c r="A563" s="188" t="s">
        <v>415</v>
      </c>
      <c r="B563" s="188" t="s">
        <v>709</v>
      </c>
      <c r="C563" s="188" t="s">
        <v>170</v>
      </c>
      <c r="D563" s="188" t="s">
        <v>170</v>
      </c>
      <c r="E563" s="188" t="s">
        <v>710</v>
      </c>
      <c r="F563" s="189">
        <v>45839</v>
      </c>
      <c r="G563" s="190">
        <v>668.8</v>
      </c>
      <c r="H563" s="190">
        <f t="shared" si="19"/>
        <v>668.8</v>
      </c>
      <c r="J563" s="190">
        <v>668.8</v>
      </c>
      <c r="K563" s="191">
        <f t="shared" si="20"/>
        <v>0</v>
      </c>
      <c r="M563" s="215"/>
      <c r="N563" s="191"/>
    </row>
    <row r="564" spans="1:14" outlineLevel="4" x14ac:dyDescent="0.25">
      <c r="A564" s="188" t="s">
        <v>415</v>
      </c>
      <c r="B564" s="188" t="s">
        <v>709</v>
      </c>
      <c r="C564" s="188" t="s">
        <v>142</v>
      </c>
      <c r="D564" s="188" t="s">
        <v>142</v>
      </c>
      <c r="E564" s="188" t="s">
        <v>710</v>
      </c>
      <c r="F564" s="189">
        <v>45839</v>
      </c>
      <c r="G564" s="190">
        <v>1119</v>
      </c>
      <c r="H564" s="190">
        <f t="shared" si="19"/>
        <v>1119</v>
      </c>
      <c r="J564" s="190">
        <v>1051</v>
      </c>
      <c r="K564" s="191">
        <f t="shared" si="20"/>
        <v>68</v>
      </c>
      <c r="M564" s="215"/>
      <c r="N564" s="191"/>
    </row>
    <row r="565" spans="1:14" outlineLevel="4" x14ac:dyDescent="0.25">
      <c r="A565" s="188" t="s">
        <v>415</v>
      </c>
      <c r="B565" s="188" t="s">
        <v>709</v>
      </c>
      <c r="C565" s="188" t="s">
        <v>123</v>
      </c>
      <c r="D565" s="188" t="s">
        <v>123</v>
      </c>
      <c r="E565" s="188" t="s">
        <v>710</v>
      </c>
      <c r="F565" s="189">
        <v>45839</v>
      </c>
      <c r="G565" s="190">
        <v>2243</v>
      </c>
      <c r="H565" s="190">
        <f t="shared" si="19"/>
        <v>2243</v>
      </c>
      <c r="J565" s="190">
        <v>2243</v>
      </c>
      <c r="K565" s="191">
        <f t="shared" si="20"/>
        <v>0</v>
      </c>
      <c r="M565" s="215"/>
      <c r="N565" s="191"/>
    </row>
    <row r="566" spans="1:14" outlineLevel="3" x14ac:dyDescent="0.25">
      <c r="B566" s="183" t="s">
        <v>711</v>
      </c>
      <c r="F566" s="189"/>
      <c r="G566" s="190">
        <f>SUBTOTAL(9,G563:G565)</f>
        <v>4030.8</v>
      </c>
      <c r="H566" s="190"/>
      <c r="J566" s="190">
        <f>SUBTOTAL(9,J563:J565)</f>
        <v>3962.8</v>
      </c>
      <c r="K566" s="191">
        <f>SUBTOTAL(9,K563:K565)</f>
        <v>68</v>
      </c>
      <c r="M566" s="215"/>
      <c r="N566" s="191"/>
    </row>
    <row r="567" spans="1:14" outlineLevel="4" x14ac:dyDescent="0.25">
      <c r="A567" s="188" t="s">
        <v>415</v>
      </c>
      <c r="B567" s="188" t="s">
        <v>712</v>
      </c>
      <c r="C567" s="188" t="s">
        <v>123</v>
      </c>
      <c r="D567" s="188" t="s">
        <v>713</v>
      </c>
      <c r="E567" s="188" t="s">
        <v>714</v>
      </c>
      <c r="F567" s="189">
        <v>45839</v>
      </c>
      <c r="G567" s="190">
        <v>1380.6</v>
      </c>
      <c r="H567" s="190">
        <f t="shared" si="19"/>
        <v>1380.6</v>
      </c>
      <c r="J567" s="190">
        <v>1380.6</v>
      </c>
      <c r="K567" s="191">
        <f t="shared" si="20"/>
        <v>0</v>
      </c>
      <c r="M567" s="215"/>
      <c r="N567" s="191"/>
    </row>
    <row r="568" spans="1:14" outlineLevel="3" x14ac:dyDescent="0.25">
      <c r="B568" s="183" t="s">
        <v>715</v>
      </c>
      <c r="F568" s="189"/>
      <c r="G568" s="190">
        <f>SUBTOTAL(9,G567:G567)</f>
        <v>1380.6</v>
      </c>
      <c r="H568" s="190"/>
      <c r="J568" s="190">
        <f>SUBTOTAL(9,J567:J567)</f>
        <v>1380.6</v>
      </c>
      <c r="K568" s="191">
        <f>SUBTOTAL(9,K567:K567)</f>
        <v>0</v>
      </c>
      <c r="M568" s="215"/>
      <c r="N568" s="191"/>
    </row>
    <row r="569" spans="1:14" outlineLevel="4" x14ac:dyDescent="0.25">
      <c r="A569" s="188" t="s">
        <v>415</v>
      </c>
      <c r="B569" s="188" t="s">
        <v>716</v>
      </c>
      <c r="C569" s="188" t="s">
        <v>123</v>
      </c>
      <c r="D569" s="188" t="s">
        <v>717</v>
      </c>
      <c r="E569" s="188" t="s">
        <v>718</v>
      </c>
      <c r="F569" s="189">
        <v>45839</v>
      </c>
      <c r="G569" s="190">
        <v>1542.83</v>
      </c>
      <c r="H569" s="190">
        <f t="shared" si="19"/>
        <v>1542.83</v>
      </c>
      <c r="J569" s="190">
        <v>1542.83</v>
      </c>
      <c r="K569" s="191">
        <f t="shared" si="20"/>
        <v>0</v>
      </c>
      <c r="M569" s="215"/>
      <c r="N569" s="191"/>
    </row>
    <row r="570" spans="1:14" outlineLevel="3" x14ac:dyDescent="0.25">
      <c r="B570" s="183" t="s">
        <v>719</v>
      </c>
      <c r="F570" s="189"/>
      <c r="G570" s="190">
        <f>SUBTOTAL(9,G569:G569)</f>
        <v>1542.83</v>
      </c>
      <c r="H570" s="190"/>
      <c r="J570" s="190">
        <f>SUBTOTAL(9,J569:J569)</f>
        <v>1542.83</v>
      </c>
      <c r="K570" s="191">
        <f>SUBTOTAL(9,K569:K569)</f>
        <v>0</v>
      </c>
      <c r="M570" s="215"/>
      <c r="N570" s="191"/>
    </row>
    <row r="571" spans="1:14" outlineLevel="4" x14ac:dyDescent="0.25">
      <c r="A571" s="188" t="s">
        <v>415</v>
      </c>
      <c r="B571" s="188" t="s">
        <v>720</v>
      </c>
      <c r="C571" s="188" t="s">
        <v>170</v>
      </c>
      <c r="D571" s="188" t="s">
        <v>171</v>
      </c>
      <c r="E571" s="188" t="s">
        <v>721</v>
      </c>
      <c r="F571" s="189">
        <v>45839</v>
      </c>
      <c r="G571" s="190">
        <v>330.72</v>
      </c>
      <c r="H571" s="190">
        <f t="shared" si="19"/>
        <v>330.72</v>
      </c>
      <c r="J571" s="190">
        <v>330.72</v>
      </c>
      <c r="K571" s="191">
        <f t="shared" si="20"/>
        <v>0</v>
      </c>
      <c r="M571" s="215"/>
      <c r="N571" s="191"/>
    </row>
    <row r="572" spans="1:14" outlineLevel="4" x14ac:dyDescent="0.25">
      <c r="A572" s="188" t="s">
        <v>415</v>
      </c>
      <c r="B572" s="188" t="s">
        <v>720</v>
      </c>
      <c r="C572" s="188" t="s">
        <v>139</v>
      </c>
      <c r="D572" s="188" t="s">
        <v>139</v>
      </c>
      <c r="E572" s="188" t="s">
        <v>721</v>
      </c>
      <c r="F572" s="189">
        <v>45839</v>
      </c>
      <c r="G572" s="190">
        <v>495.75400000000002</v>
      </c>
      <c r="H572" s="190">
        <f t="shared" si="19"/>
        <v>495.75400000000002</v>
      </c>
      <c r="J572" s="190">
        <v>488.00599999999997</v>
      </c>
      <c r="K572" s="191">
        <f t="shared" si="20"/>
        <v>7.7480000000000473</v>
      </c>
      <c r="M572" s="215"/>
      <c r="N572" s="191"/>
    </row>
    <row r="573" spans="1:14" outlineLevel="4" x14ac:dyDescent="0.25">
      <c r="A573" s="188" t="s">
        <v>415</v>
      </c>
      <c r="B573" s="188" t="s">
        <v>720</v>
      </c>
      <c r="C573" s="188" t="s">
        <v>142</v>
      </c>
      <c r="D573" s="188" t="s">
        <v>142</v>
      </c>
      <c r="E573" s="188" t="s">
        <v>721</v>
      </c>
      <c r="F573" s="189">
        <v>45839</v>
      </c>
      <c r="G573" s="190">
        <v>1275.22</v>
      </c>
      <c r="H573" s="190">
        <f t="shared" si="19"/>
        <v>1275.22</v>
      </c>
      <c r="J573" s="190">
        <v>1264.18</v>
      </c>
      <c r="K573" s="191">
        <f t="shared" si="20"/>
        <v>11.039999999999964</v>
      </c>
      <c r="M573" s="215"/>
      <c r="N573" s="191"/>
    </row>
    <row r="574" spans="1:14" outlineLevel="4" x14ac:dyDescent="0.25">
      <c r="A574" s="188" t="s">
        <v>415</v>
      </c>
      <c r="B574" s="188" t="s">
        <v>720</v>
      </c>
      <c r="C574" s="188" t="s">
        <v>123</v>
      </c>
      <c r="D574" s="188" t="s">
        <v>722</v>
      </c>
      <c r="E574" s="188" t="s">
        <v>721</v>
      </c>
      <c r="F574" s="189">
        <v>45839</v>
      </c>
      <c r="G574" s="190">
        <v>1380.6</v>
      </c>
      <c r="H574" s="190">
        <f t="shared" si="19"/>
        <v>1380.6</v>
      </c>
      <c r="J574" s="190">
        <v>1380.604</v>
      </c>
      <c r="K574" s="191">
        <f t="shared" si="20"/>
        <v>-4.0000000001327862E-3</v>
      </c>
      <c r="M574" s="215"/>
      <c r="N574" s="191"/>
    </row>
    <row r="575" spans="1:14" outlineLevel="3" x14ac:dyDescent="0.25">
      <c r="B575" s="183" t="s">
        <v>723</v>
      </c>
      <c r="F575" s="189"/>
      <c r="G575" s="190">
        <f>SUBTOTAL(9,G571:G574)</f>
        <v>3482.2939999999999</v>
      </c>
      <c r="H575" s="190"/>
      <c r="J575" s="190">
        <f>SUBTOTAL(9,J571:J574)</f>
        <v>3463.51</v>
      </c>
      <c r="K575" s="191">
        <f>SUBTOTAL(9,K571:K574)</f>
        <v>18.783999999999878</v>
      </c>
      <c r="M575" s="215"/>
      <c r="N575" s="191"/>
    </row>
    <row r="576" spans="1:14" outlineLevel="4" x14ac:dyDescent="0.25">
      <c r="A576" s="188" t="s">
        <v>415</v>
      </c>
      <c r="B576" s="188" t="s">
        <v>724</v>
      </c>
      <c r="C576" s="188" t="s">
        <v>123</v>
      </c>
      <c r="D576" s="188" t="s">
        <v>725</v>
      </c>
      <c r="E576" s="188" t="s">
        <v>726</v>
      </c>
      <c r="F576" s="189">
        <v>45839</v>
      </c>
      <c r="G576" s="190">
        <v>1380.6</v>
      </c>
      <c r="H576" s="190">
        <f t="shared" si="19"/>
        <v>1380.6</v>
      </c>
      <c r="J576" s="190">
        <v>1380.6</v>
      </c>
      <c r="K576" s="191">
        <f t="shared" si="20"/>
        <v>0</v>
      </c>
      <c r="M576" s="215"/>
      <c r="N576" s="191"/>
    </row>
    <row r="577" spans="1:14" outlineLevel="3" x14ac:dyDescent="0.25">
      <c r="B577" s="183" t="s">
        <v>727</v>
      </c>
      <c r="F577" s="189"/>
      <c r="G577" s="190">
        <f>SUBTOTAL(9,G576:G576)</f>
        <v>1380.6</v>
      </c>
      <c r="H577" s="190"/>
      <c r="J577" s="190">
        <f>SUBTOTAL(9,J576:J576)</f>
        <v>1380.6</v>
      </c>
      <c r="K577" s="191">
        <f>SUBTOTAL(9,K576:K576)</f>
        <v>0</v>
      </c>
      <c r="M577" s="215"/>
      <c r="N577" s="191"/>
    </row>
    <row r="578" spans="1:14" outlineLevel="4" x14ac:dyDescent="0.25">
      <c r="A578" s="188" t="s">
        <v>415</v>
      </c>
      <c r="B578" s="188" t="s">
        <v>728</v>
      </c>
      <c r="C578" s="188" t="s">
        <v>139</v>
      </c>
      <c r="D578" s="188" t="s">
        <v>139</v>
      </c>
      <c r="E578" s="188" t="s">
        <v>729</v>
      </c>
      <c r="F578" s="189">
        <v>45839</v>
      </c>
      <c r="G578" s="190">
        <v>445.23239999999998</v>
      </c>
      <c r="H578" s="190">
        <f t="shared" si="19"/>
        <v>445.23239999999998</v>
      </c>
      <c r="J578" s="190">
        <v>442.40159999999997</v>
      </c>
      <c r="K578" s="191">
        <f t="shared" si="20"/>
        <v>2.8308000000000106</v>
      </c>
      <c r="M578" s="215"/>
      <c r="N578" s="191"/>
    </row>
    <row r="579" spans="1:14" outlineLevel="4" x14ac:dyDescent="0.25">
      <c r="A579" s="188" t="s">
        <v>415</v>
      </c>
      <c r="B579" s="188" t="s">
        <v>728</v>
      </c>
      <c r="C579" s="188" t="s">
        <v>142</v>
      </c>
      <c r="D579" s="188" t="s">
        <v>142</v>
      </c>
      <c r="E579" s="188" t="s">
        <v>729</v>
      </c>
      <c r="F579" s="189">
        <v>45839</v>
      </c>
      <c r="G579" s="190">
        <v>2440</v>
      </c>
      <c r="H579" s="190">
        <f t="shared" si="19"/>
        <v>2440</v>
      </c>
      <c r="J579" s="190">
        <v>2458</v>
      </c>
      <c r="K579" s="191">
        <f t="shared" si="20"/>
        <v>-18</v>
      </c>
      <c r="M579" s="215"/>
      <c r="N579" s="191"/>
    </row>
    <row r="580" spans="1:14" ht="30" outlineLevel="4" x14ac:dyDescent="0.25">
      <c r="A580" s="188" t="s">
        <v>415</v>
      </c>
      <c r="B580" s="188" t="s">
        <v>728</v>
      </c>
      <c r="C580" s="188" t="s">
        <v>123</v>
      </c>
      <c r="D580" s="188" t="s">
        <v>123</v>
      </c>
      <c r="E580" s="188" t="s">
        <v>729</v>
      </c>
      <c r="F580" s="189">
        <v>45839</v>
      </c>
      <c r="G580" s="190">
        <f>5624-1230</f>
        <v>4394</v>
      </c>
      <c r="H580" s="190">
        <f t="shared" si="19"/>
        <v>4394</v>
      </c>
      <c r="J580" s="190">
        <v>5610</v>
      </c>
      <c r="K580" s="191">
        <f t="shared" si="20"/>
        <v>-1216</v>
      </c>
      <c r="M580" s="215" t="s">
        <v>1217</v>
      </c>
      <c r="N580" s="191"/>
    </row>
    <row r="581" spans="1:14" outlineLevel="3" x14ac:dyDescent="0.25">
      <c r="B581" s="183" t="s">
        <v>730</v>
      </c>
      <c r="F581" s="189"/>
      <c r="G581" s="190">
        <f>SUBTOTAL(9,G578:G580)</f>
        <v>7279.2323999999999</v>
      </c>
      <c r="H581" s="190"/>
      <c r="J581" s="190">
        <f>SUBTOTAL(9,J578:J580)</f>
        <v>8510.4016000000011</v>
      </c>
      <c r="K581" s="191">
        <f>SUBTOTAL(9,K578:K580)</f>
        <v>-1231.1692</v>
      </c>
      <c r="M581" s="215"/>
      <c r="N581" s="191"/>
    </row>
    <row r="582" spans="1:14" outlineLevel="4" x14ac:dyDescent="0.25">
      <c r="A582" s="188" t="s">
        <v>415</v>
      </c>
      <c r="B582" s="188" t="s">
        <v>731</v>
      </c>
      <c r="C582" s="188" t="s">
        <v>170</v>
      </c>
      <c r="D582" s="188" t="s">
        <v>732</v>
      </c>
      <c r="E582" s="188" t="s">
        <v>733</v>
      </c>
      <c r="F582" s="189">
        <v>45839</v>
      </c>
      <c r="G582" s="190">
        <v>3191.2</v>
      </c>
      <c r="H582" s="190">
        <f t="shared" si="19"/>
        <v>3191.2</v>
      </c>
      <c r="J582" s="190">
        <v>3191.2</v>
      </c>
      <c r="K582" s="191">
        <f t="shared" si="20"/>
        <v>0</v>
      </c>
      <c r="M582" s="215"/>
      <c r="N582" s="191"/>
    </row>
    <row r="583" spans="1:14" outlineLevel="4" x14ac:dyDescent="0.25">
      <c r="A583" s="188" t="s">
        <v>415</v>
      </c>
      <c r="B583" s="188" t="s">
        <v>731</v>
      </c>
      <c r="C583" s="188" t="s">
        <v>139</v>
      </c>
      <c r="D583" s="188" t="s">
        <v>139</v>
      </c>
      <c r="E583" s="188" t="s">
        <v>733</v>
      </c>
      <c r="F583" s="189">
        <v>45839</v>
      </c>
      <c r="G583" s="190">
        <v>960.11180000000002</v>
      </c>
      <c r="H583" s="190">
        <f t="shared" si="19"/>
        <v>960.11180000000002</v>
      </c>
      <c r="J583" s="190">
        <v>965.92619999999999</v>
      </c>
      <c r="K583" s="191">
        <f t="shared" si="20"/>
        <v>-5.8143999999999778</v>
      </c>
      <c r="M583" s="215"/>
      <c r="N583" s="191"/>
    </row>
    <row r="584" spans="1:14" outlineLevel="4" x14ac:dyDescent="0.25">
      <c r="A584" s="188" t="s">
        <v>415</v>
      </c>
      <c r="B584" s="188" t="s">
        <v>731</v>
      </c>
      <c r="C584" s="188" t="s">
        <v>142</v>
      </c>
      <c r="D584" s="188" t="s">
        <v>142</v>
      </c>
      <c r="E584" s="188" t="s">
        <v>733</v>
      </c>
      <c r="F584" s="189">
        <v>45839</v>
      </c>
      <c r="G584" s="190">
        <v>725.19</v>
      </c>
      <c r="H584" s="190">
        <f t="shared" si="19"/>
        <v>725.19</v>
      </c>
      <c r="J584" s="190">
        <v>1087.44</v>
      </c>
      <c r="K584" s="191">
        <f t="shared" si="20"/>
        <v>-362.25</v>
      </c>
      <c r="M584" s="215"/>
      <c r="N584" s="191"/>
    </row>
    <row r="585" spans="1:14" outlineLevel="4" x14ac:dyDescent="0.25">
      <c r="A585" s="188" t="s">
        <v>415</v>
      </c>
      <c r="B585" s="188" t="s">
        <v>731</v>
      </c>
      <c r="C585" s="188" t="s">
        <v>123</v>
      </c>
      <c r="D585" s="188" t="s">
        <v>734</v>
      </c>
      <c r="E585" s="188" t="s">
        <v>733</v>
      </c>
      <c r="F585" s="189">
        <v>45839</v>
      </c>
      <c r="G585" s="190">
        <v>2792.09</v>
      </c>
      <c r="H585" s="190">
        <f t="shared" si="19"/>
        <v>2792.09</v>
      </c>
      <c r="J585" s="190">
        <v>2792.0938000000001</v>
      </c>
      <c r="K585" s="191">
        <f t="shared" si="20"/>
        <v>-3.7999999999556167E-3</v>
      </c>
      <c r="M585" s="215"/>
      <c r="N585" s="191"/>
    </row>
    <row r="586" spans="1:14" outlineLevel="3" x14ac:dyDescent="0.25">
      <c r="B586" s="183" t="s">
        <v>735</v>
      </c>
      <c r="F586" s="189"/>
      <c r="G586" s="190">
        <f>SUBTOTAL(9,G582:G585)</f>
        <v>7668.5918000000001</v>
      </c>
      <c r="H586" s="190"/>
      <c r="J586" s="190">
        <f>SUBTOTAL(9,J582:J585)</f>
        <v>8036.66</v>
      </c>
      <c r="K586" s="191">
        <f>SUBTOTAL(9,K582:K585)</f>
        <v>-368.06819999999993</v>
      </c>
      <c r="M586" s="215"/>
      <c r="N586" s="191"/>
    </row>
    <row r="587" spans="1:14" outlineLevel="4" x14ac:dyDescent="0.25">
      <c r="A587" s="188" t="s">
        <v>415</v>
      </c>
      <c r="B587" s="188" t="s">
        <v>736</v>
      </c>
      <c r="C587" s="188" t="s">
        <v>420</v>
      </c>
      <c r="D587" s="188" t="s">
        <v>420</v>
      </c>
      <c r="E587" s="188" t="s">
        <v>737</v>
      </c>
      <c r="F587" s="189">
        <v>45839</v>
      </c>
      <c r="G587" s="190">
        <v>700</v>
      </c>
      <c r="H587" s="190">
        <f t="shared" si="19"/>
        <v>700</v>
      </c>
      <c r="J587" s="190">
        <v>700</v>
      </c>
      <c r="K587" s="191">
        <f t="shared" si="20"/>
        <v>0</v>
      </c>
      <c r="M587" s="215"/>
      <c r="N587" s="191"/>
    </row>
    <row r="588" spans="1:14" outlineLevel="4" x14ac:dyDescent="0.25">
      <c r="A588" s="188" t="s">
        <v>415</v>
      </c>
      <c r="B588" s="188" t="s">
        <v>736</v>
      </c>
      <c r="C588" s="188" t="s">
        <v>170</v>
      </c>
      <c r="D588" s="188" t="s">
        <v>738</v>
      </c>
      <c r="E588" s="188" t="s">
        <v>737</v>
      </c>
      <c r="F588" s="189">
        <v>45839</v>
      </c>
      <c r="G588" s="190">
        <v>191</v>
      </c>
      <c r="H588" s="190">
        <f t="shared" si="19"/>
        <v>191</v>
      </c>
      <c r="J588" s="190">
        <v>191</v>
      </c>
      <c r="K588" s="191">
        <f t="shared" si="20"/>
        <v>0</v>
      </c>
      <c r="M588" s="215"/>
      <c r="N588" s="191"/>
    </row>
    <row r="589" spans="1:14" outlineLevel="4" x14ac:dyDescent="0.25">
      <c r="A589" s="188" t="s">
        <v>415</v>
      </c>
      <c r="B589" s="188" t="s">
        <v>736</v>
      </c>
      <c r="C589" s="188" t="s">
        <v>139</v>
      </c>
      <c r="D589" s="188" t="s">
        <v>139</v>
      </c>
      <c r="E589" s="188" t="s">
        <v>737</v>
      </c>
      <c r="F589" s="189">
        <v>45839</v>
      </c>
      <c r="G589" s="190">
        <v>10</v>
      </c>
      <c r="H589" s="190">
        <f t="shared" si="19"/>
        <v>10</v>
      </c>
      <c r="J589" s="190">
        <v>10</v>
      </c>
      <c r="K589" s="191">
        <f t="shared" si="20"/>
        <v>0</v>
      </c>
      <c r="M589" s="215"/>
      <c r="N589" s="191"/>
    </row>
    <row r="590" spans="1:14" outlineLevel="4" x14ac:dyDescent="0.25">
      <c r="A590" s="188" t="s">
        <v>415</v>
      </c>
      <c r="B590" s="188" t="s">
        <v>736</v>
      </c>
      <c r="C590" s="188" t="s">
        <v>142</v>
      </c>
      <c r="D590" s="188" t="s">
        <v>142</v>
      </c>
      <c r="E590" s="188" t="s">
        <v>737</v>
      </c>
      <c r="F590" s="189">
        <v>45839</v>
      </c>
      <c r="G590" s="190">
        <v>292</v>
      </c>
      <c r="H590" s="190">
        <f t="shared" si="19"/>
        <v>292</v>
      </c>
      <c r="J590" s="190">
        <v>292</v>
      </c>
      <c r="K590" s="191">
        <f t="shared" si="20"/>
        <v>0</v>
      </c>
      <c r="M590" s="215"/>
      <c r="N590" s="191"/>
    </row>
    <row r="591" spans="1:14" outlineLevel="4" x14ac:dyDescent="0.25">
      <c r="A591" s="188" t="s">
        <v>415</v>
      </c>
      <c r="B591" s="188" t="s">
        <v>736</v>
      </c>
      <c r="C591" s="188" t="s">
        <v>123</v>
      </c>
      <c r="D591" s="188" t="s">
        <v>123</v>
      </c>
      <c r="E591" s="188" t="s">
        <v>737</v>
      </c>
      <c r="F591" s="189">
        <v>45839</v>
      </c>
      <c r="G591" s="190">
        <v>1949.38</v>
      </c>
      <c r="H591" s="190">
        <f t="shared" si="19"/>
        <v>1949.38</v>
      </c>
      <c r="J591" s="190">
        <v>1949.38</v>
      </c>
      <c r="K591" s="191">
        <f t="shared" si="20"/>
        <v>0</v>
      </c>
      <c r="M591" s="215"/>
      <c r="N591" s="191"/>
    </row>
    <row r="592" spans="1:14" outlineLevel="3" x14ac:dyDescent="0.25">
      <c r="B592" s="183" t="s">
        <v>739</v>
      </c>
      <c r="F592" s="189"/>
      <c r="G592" s="190">
        <f>SUBTOTAL(9,G587:G591)</f>
        <v>3142.38</v>
      </c>
      <c r="H592" s="190"/>
      <c r="J592" s="190">
        <f>SUBTOTAL(9,J587:J591)</f>
        <v>3142.38</v>
      </c>
      <c r="K592" s="191">
        <f>SUBTOTAL(9,K587:K591)</f>
        <v>0</v>
      </c>
      <c r="M592" s="215"/>
      <c r="N592" s="191"/>
    </row>
    <row r="593" spans="1:14" outlineLevel="4" x14ac:dyDescent="0.25">
      <c r="A593" s="188" t="s">
        <v>415</v>
      </c>
      <c r="B593" s="188" t="s">
        <v>740</v>
      </c>
      <c r="C593" s="188" t="s">
        <v>420</v>
      </c>
      <c r="D593" s="188" t="s">
        <v>420</v>
      </c>
      <c r="E593" s="188" t="s">
        <v>741</v>
      </c>
      <c r="F593" s="189">
        <v>45853</v>
      </c>
      <c r="G593" s="190">
        <v>350</v>
      </c>
      <c r="H593" s="190">
        <f t="shared" si="19"/>
        <v>350</v>
      </c>
      <c r="J593" s="190">
        <v>350</v>
      </c>
      <c r="K593" s="191">
        <f t="shared" si="20"/>
        <v>0</v>
      </c>
      <c r="M593" s="215"/>
      <c r="N593" s="191"/>
    </row>
    <row r="594" spans="1:14" outlineLevel="4" x14ac:dyDescent="0.25">
      <c r="A594" s="188" t="s">
        <v>415</v>
      </c>
      <c r="B594" s="188" t="s">
        <v>740</v>
      </c>
      <c r="C594" s="188" t="s">
        <v>139</v>
      </c>
      <c r="D594" s="188" t="s">
        <v>139</v>
      </c>
      <c r="E594" s="188" t="s">
        <v>741</v>
      </c>
      <c r="F594" s="189">
        <v>45853</v>
      </c>
      <c r="G594" s="190">
        <v>738.25</v>
      </c>
      <c r="H594" s="190">
        <f t="shared" si="19"/>
        <v>738.25</v>
      </c>
      <c r="J594" s="190">
        <v>738.25</v>
      </c>
      <c r="K594" s="191">
        <f t="shared" si="20"/>
        <v>0</v>
      </c>
      <c r="M594" s="215"/>
      <c r="N594" s="191"/>
    </row>
    <row r="595" spans="1:14" outlineLevel="4" x14ac:dyDescent="0.25">
      <c r="A595" s="188" t="s">
        <v>415</v>
      </c>
      <c r="B595" s="188" t="s">
        <v>740</v>
      </c>
      <c r="C595" s="188" t="s">
        <v>142</v>
      </c>
      <c r="D595" s="188" t="s">
        <v>142</v>
      </c>
      <c r="E595" s="188" t="s">
        <v>741</v>
      </c>
      <c r="F595" s="189">
        <v>45853</v>
      </c>
      <c r="G595" s="190">
        <f>366.1-63</f>
        <v>303.10000000000002</v>
      </c>
      <c r="H595" s="190">
        <f t="shared" si="19"/>
        <v>303.10000000000002</v>
      </c>
      <c r="J595" s="190">
        <v>303.10000000000002</v>
      </c>
      <c r="K595" s="191">
        <f t="shared" si="20"/>
        <v>0</v>
      </c>
      <c r="M595" s="215"/>
      <c r="N595" s="191"/>
    </row>
    <row r="596" spans="1:14" outlineLevel="3" x14ac:dyDescent="0.25">
      <c r="B596" s="183" t="s">
        <v>742</v>
      </c>
      <c r="F596" s="189"/>
      <c r="G596" s="190">
        <f>SUBTOTAL(9,G593:G595)</f>
        <v>1391.35</v>
      </c>
      <c r="H596" s="190"/>
      <c r="J596" s="190">
        <f>SUBTOTAL(9,J593:J595)</f>
        <v>1391.35</v>
      </c>
      <c r="K596" s="191">
        <f>SUBTOTAL(9,K593:K595)</f>
        <v>0</v>
      </c>
      <c r="M596" s="215"/>
      <c r="N596" s="191"/>
    </row>
    <row r="597" spans="1:14" outlineLevel="4" x14ac:dyDescent="0.25">
      <c r="A597" s="188" t="s">
        <v>415</v>
      </c>
      <c r="B597" s="188" t="s">
        <v>743</v>
      </c>
      <c r="C597" s="188" t="s">
        <v>170</v>
      </c>
      <c r="D597" s="188" t="s">
        <v>382</v>
      </c>
      <c r="E597" s="188" t="s">
        <v>744</v>
      </c>
      <c r="F597" s="189">
        <v>45839</v>
      </c>
      <c r="G597" s="190">
        <v>928.8</v>
      </c>
      <c r="H597" s="190">
        <f t="shared" si="19"/>
        <v>928.8</v>
      </c>
      <c r="J597" s="190">
        <v>928.8</v>
      </c>
      <c r="K597" s="191">
        <f t="shared" si="20"/>
        <v>0</v>
      </c>
      <c r="M597" s="215"/>
      <c r="N597" s="191"/>
    </row>
    <row r="598" spans="1:14" outlineLevel="4" x14ac:dyDescent="0.25">
      <c r="A598" s="188" t="s">
        <v>415</v>
      </c>
      <c r="B598" s="188" t="s">
        <v>743</v>
      </c>
      <c r="C598" s="188" t="s">
        <v>139</v>
      </c>
      <c r="D598" s="188" t="s">
        <v>139</v>
      </c>
      <c r="E598" s="188" t="s">
        <v>744</v>
      </c>
      <c r="F598" s="189">
        <v>45839</v>
      </c>
      <c r="G598" s="190">
        <v>376.97899999999998</v>
      </c>
      <c r="H598" s="190">
        <f t="shared" si="19"/>
        <v>376.97899999999998</v>
      </c>
      <c r="J598" s="190">
        <v>375.68180000000001</v>
      </c>
      <c r="K598" s="191">
        <f t="shared" si="20"/>
        <v>1.2971999999999753</v>
      </c>
      <c r="M598" s="215"/>
      <c r="N598" s="191"/>
    </row>
    <row r="599" spans="1:14" outlineLevel="4" x14ac:dyDescent="0.25">
      <c r="A599" s="188" t="s">
        <v>415</v>
      </c>
      <c r="B599" s="188" t="s">
        <v>743</v>
      </c>
      <c r="C599" s="188" t="s">
        <v>142</v>
      </c>
      <c r="D599" s="188" t="s">
        <v>142</v>
      </c>
      <c r="E599" s="188" t="s">
        <v>744</v>
      </c>
      <c r="F599" s="189">
        <v>45839</v>
      </c>
      <c r="G599" s="190">
        <v>1240</v>
      </c>
      <c r="H599" s="190">
        <f t="shared" si="19"/>
        <v>1240</v>
      </c>
      <c r="J599" s="190">
        <v>1246</v>
      </c>
      <c r="K599" s="191">
        <f t="shared" si="20"/>
        <v>-6</v>
      </c>
      <c r="M599" s="215"/>
      <c r="N599" s="191"/>
    </row>
    <row r="600" spans="1:14" outlineLevel="4" x14ac:dyDescent="0.25">
      <c r="A600" s="188" t="s">
        <v>415</v>
      </c>
      <c r="B600" s="188" t="s">
        <v>743</v>
      </c>
      <c r="C600" s="188" t="s">
        <v>123</v>
      </c>
      <c r="D600" s="188" t="s">
        <v>123</v>
      </c>
      <c r="E600" s="188" t="s">
        <v>744</v>
      </c>
      <c r="F600" s="189">
        <v>45839</v>
      </c>
      <c r="G600" s="190">
        <v>3271.0010000000002</v>
      </c>
      <c r="H600" s="190">
        <f t="shared" si="19"/>
        <v>3271.0010000000002</v>
      </c>
      <c r="J600" s="190">
        <v>3484</v>
      </c>
      <c r="K600" s="191">
        <f t="shared" si="20"/>
        <v>-212.9989999999998</v>
      </c>
      <c r="M600" s="215"/>
      <c r="N600" s="191"/>
    </row>
    <row r="601" spans="1:14" outlineLevel="3" x14ac:dyDescent="0.25">
      <c r="B601" s="183" t="s">
        <v>745</v>
      </c>
      <c r="F601" s="189"/>
      <c r="G601" s="190">
        <f>SUBTOTAL(9,G597:G600)</f>
        <v>5816.7800000000007</v>
      </c>
      <c r="H601" s="190"/>
      <c r="J601" s="190">
        <f>SUBTOTAL(9,J597:J600)</f>
        <v>6034.4817999999996</v>
      </c>
      <c r="K601" s="191">
        <f>SUBTOTAL(9,K597:K600)</f>
        <v>-217.70179999999982</v>
      </c>
      <c r="M601" s="215"/>
      <c r="N601" s="191"/>
    </row>
    <row r="602" spans="1:14" outlineLevel="4" x14ac:dyDescent="0.25">
      <c r="A602" s="188" t="s">
        <v>415</v>
      </c>
      <c r="B602" s="188" t="s">
        <v>746</v>
      </c>
      <c r="C602" s="188" t="s">
        <v>139</v>
      </c>
      <c r="D602" s="188" t="s">
        <v>139</v>
      </c>
      <c r="E602" s="188" t="s">
        <v>747</v>
      </c>
      <c r="F602" s="189">
        <v>45839</v>
      </c>
      <c r="G602" s="190">
        <v>1185</v>
      </c>
      <c r="H602" s="190">
        <f t="shared" si="19"/>
        <v>1185</v>
      </c>
      <c r="J602" s="190">
        <v>1185</v>
      </c>
      <c r="K602" s="191">
        <f t="shared" si="20"/>
        <v>0</v>
      </c>
      <c r="M602" s="215"/>
      <c r="N602" s="191"/>
    </row>
    <row r="603" spans="1:14" outlineLevel="4" x14ac:dyDescent="0.25">
      <c r="A603" s="188" t="s">
        <v>415</v>
      </c>
      <c r="B603" s="188" t="s">
        <v>746</v>
      </c>
      <c r="C603" s="188" t="s">
        <v>123</v>
      </c>
      <c r="D603" s="188" t="s">
        <v>748</v>
      </c>
      <c r="E603" s="188" t="s">
        <v>749</v>
      </c>
      <c r="F603" s="189">
        <v>45839</v>
      </c>
      <c r="G603" s="190">
        <v>13068</v>
      </c>
      <c r="H603" s="190">
        <f t="shared" si="19"/>
        <v>13068</v>
      </c>
      <c r="J603" s="190">
        <v>12812</v>
      </c>
      <c r="K603" s="191">
        <f t="shared" si="20"/>
        <v>256</v>
      </c>
      <c r="M603" s="215"/>
      <c r="N603" s="191"/>
    </row>
    <row r="604" spans="1:14" outlineLevel="3" x14ac:dyDescent="0.25">
      <c r="B604" s="183" t="s">
        <v>750</v>
      </c>
      <c r="F604" s="189"/>
      <c r="G604" s="190">
        <f>SUBTOTAL(9,G602:G603)</f>
        <v>14253</v>
      </c>
      <c r="H604" s="190"/>
      <c r="J604" s="190">
        <f>SUBTOTAL(9,J602:J603)</f>
        <v>13997</v>
      </c>
      <c r="K604" s="191">
        <f>SUBTOTAL(9,K602:K603)</f>
        <v>256</v>
      </c>
      <c r="M604" s="215"/>
      <c r="N604" s="191"/>
    </row>
    <row r="605" spans="1:14" outlineLevel="4" x14ac:dyDescent="0.25">
      <c r="A605" s="188" t="s">
        <v>415</v>
      </c>
      <c r="B605" s="188" t="s">
        <v>751</v>
      </c>
      <c r="C605" s="188" t="s">
        <v>420</v>
      </c>
      <c r="D605" s="188" t="s">
        <v>752</v>
      </c>
      <c r="E605" s="188" t="s">
        <v>753</v>
      </c>
      <c r="F605" s="189">
        <v>45853</v>
      </c>
      <c r="G605" s="190">
        <v>177.125</v>
      </c>
      <c r="H605" s="190">
        <f t="shared" si="19"/>
        <v>177.125</v>
      </c>
      <c r="J605" s="190">
        <v>177.125</v>
      </c>
      <c r="K605" s="191">
        <f t="shared" si="20"/>
        <v>0</v>
      </c>
      <c r="M605" s="215"/>
      <c r="N605" s="191"/>
    </row>
    <row r="606" spans="1:14" outlineLevel="4" x14ac:dyDescent="0.25">
      <c r="A606" s="188" t="s">
        <v>415</v>
      </c>
      <c r="B606" s="188" t="s">
        <v>751</v>
      </c>
      <c r="C606" s="188" t="s">
        <v>170</v>
      </c>
      <c r="D606" s="188" t="s">
        <v>754</v>
      </c>
      <c r="E606" s="188" t="s">
        <v>753</v>
      </c>
      <c r="F606" s="189">
        <v>45853</v>
      </c>
      <c r="G606" s="190">
        <f>3366-44</f>
        <v>3322</v>
      </c>
      <c r="H606" s="190">
        <f t="shared" si="19"/>
        <v>3322</v>
      </c>
      <c r="J606" s="190">
        <v>3322</v>
      </c>
      <c r="K606" s="191">
        <f t="shared" si="20"/>
        <v>0</v>
      </c>
      <c r="M606" s="215"/>
      <c r="N606" s="191"/>
    </row>
    <row r="607" spans="1:14" outlineLevel="4" x14ac:dyDescent="0.25">
      <c r="A607" s="188" t="s">
        <v>415</v>
      </c>
      <c r="B607" s="188" t="s">
        <v>751</v>
      </c>
      <c r="C607" s="188" t="s">
        <v>139</v>
      </c>
      <c r="D607" s="188" t="s">
        <v>139</v>
      </c>
      <c r="E607" s="188" t="s">
        <v>753</v>
      </c>
      <c r="F607" s="189">
        <v>45853</v>
      </c>
      <c r="G607" s="190">
        <f>617-8</f>
        <v>609</v>
      </c>
      <c r="H607" s="190">
        <f t="shared" si="19"/>
        <v>609</v>
      </c>
      <c r="J607" s="190">
        <v>607</v>
      </c>
      <c r="K607" s="191">
        <f t="shared" si="20"/>
        <v>2</v>
      </c>
      <c r="M607" s="215"/>
      <c r="N607" s="191"/>
    </row>
    <row r="608" spans="1:14" outlineLevel="4" x14ac:dyDescent="0.25">
      <c r="A608" s="188" t="s">
        <v>415</v>
      </c>
      <c r="B608" s="188" t="s">
        <v>751</v>
      </c>
      <c r="C608" s="188" t="s">
        <v>142</v>
      </c>
      <c r="D608" s="188" t="s">
        <v>142</v>
      </c>
      <c r="E608" s="188" t="s">
        <v>753</v>
      </c>
      <c r="F608" s="189">
        <v>45853</v>
      </c>
      <c r="G608" s="190">
        <v>624</v>
      </c>
      <c r="H608" s="190">
        <f t="shared" si="19"/>
        <v>624</v>
      </c>
      <c r="J608" s="190">
        <v>630</v>
      </c>
      <c r="K608" s="191">
        <f t="shared" si="20"/>
        <v>-6</v>
      </c>
      <c r="M608" s="215"/>
      <c r="N608" s="191"/>
    </row>
    <row r="609" spans="1:14" outlineLevel="4" x14ac:dyDescent="0.25">
      <c r="A609" s="188" t="s">
        <v>415</v>
      </c>
      <c r="B609" s="188" t="s">
        <v>751</v>
      </c>
      <c r="C609" s="188" t="s">
        <v>123</v>
      </c>
      <c r="D609" s="188" t="s">
        <v>123</v>
      </c>
      <c r="E609" s="188" t="s">
        <v>753</v>
      </c>
      <c r="F609" s="189">
        <v>45853</v>
      </c>
      <c r="G609" s="190">
        <v>7951.5050000000001</v>
      </c>
      <c r="H609" s="190">
        <f t="shared" si="19"/>
        <v>7951.5050000000001</v>
      </c>
      <c r="J609" s="190">
        <v>7951.5050000000001</v>
      </c>
      <c r="K609" s="191">
        <f t="shared" si="20"/>
        <v>0</v>
      </c>
      <c r="M609" s="215"/>
      <c r="N609" s="191"/>
    </row>
    <row r="610" spans="1:14" outlineLevel="3" x14ac:dyDescent="0.25">
      <c r="B610" s="183" t="s">
        <v>755</v>
      </c>
      <c r="F610" s="189"/>
      <c r="G610" s="190">
        <f>SUBTOTAL(9,G605:G609)</f>
        <v>12683.630000000001</v>
      </c>
      <c r="H610" s="190"/>
      <c r="J610" s="190">
        <f>SUBTOTAL(9,J605:J609)</f>
        <v>12687.630000000001</v>
      </c>
      <c r="K610" s="191">
        <f>SUBTOTAL(9,K605:K609)</f>
        <v>-4</v>
      </c>
      <c r="M610" s="215"/>
      <c r="N610" s="191"/>
    </row>
    <row r="611" spans="1:14" outlineLevel="4" x14ac:dyDescent="0.25">
      <c r="A611" s="188" t="s">
        <v>415</v>
      </c>
      <c r="B611" s="188" t="s">
        <v>756</v>
      </c>
      <c r="C611" s="188" t="s">
        <v>170</v>
      </c>
      <c r="D611" s="188" t="s">
        <v>757</v>
      </c>
      <c r="E611" s="188" t="s">
        <v>758</v>
      </c>
      <c r="F611" s="189">
        <v>45839</v>
      </c>
      <c r="G611" s="190">
        <v>1478.4</v>
      </c>
      <c r="H611" s="190">
        <f t="shared" si="19"/>
        <v>1478.4</v>
      </c>
      <c r="J611" s="190">
        <v>1478.4</v>
      </c>
      <c r="K611" s="191">
        <f t="shared" si="20"/>
        <v>0</v>
      </c>
      <c r="M611" s="215"/>
      <c r="N611" s="191"/>
    </row>
    <row r="612" spans="1:14" outlineLevel="4" x14ac:dyDescent="0.25">
      <c r="A612" s="188" t="s">
        <v>415</v>
      </c>
      <c r="B612" s="188" t="s">
        <v>756</v>
      </c>
      <c r="C612" s="188" t="s">
        <v>139</v>
      </c>
      <c r="D612" s="188" t="s">
        <v>160</v>
      </c>
      <c r="E612" s="188" t="s">
        <v>759</v>
      </c>
      <c r="F612" s="189">
        <v>45839</v>
      </c>
      <c r="G612" s="190">
        <v>300</v>
      </c>
      <c r="H612" s="190">
        <f t="shared" si="19"/>
        <v>300</v>
      </c>
      <c r="J612" s="190">
        <v>284</v>
      </c>
      <c r="K612" s="191">
        <f t="shared" si="20"/>
        <v>16</v>
      </c>
      <c r="M612" s="215"/>
      <c r="N612" s="191"/>
    </row>
    <row r="613" spans="1:14" outlineLevel="4" x14ac:dyDescent="0.25">
      <c r="A613" s="188" t="s">
        <v>415</v>
      </c>
      <c r="B613" s="188" t="s">
        <v>756</v>
      </c>
      <c r="C613" s="188" t="s">
        <v>142</v>
      </c>
      <c r="D613" s="188" t="s">
        <v>162</v>
      </c>
      <c r="E613" s="188" t="s">
        <v>759</v>
      </c>
      <c r="F613" s="189">
        <v>45839</v>
      </c>
      <c r="G613" s="190">
        <v>1886</v>
      </c>
      <c r="H613" s="190">
        <f t="shared" si="19"/>
        <v>1886</v>
      </c>
      <c r="J613" s="190">
        <v>1899</v>
      </c>
      <c r="K613" s="191">
        <f t="shared" si="20"/>
        <v>-13</v>
      </c>
      <c r="M613" s="215"/>
      <c r="N613" s="191"/>
    </row>
    <row r="614" spans="1:14" outlineLevel="4" x14ac:dyDescent="0.25">
      <c r="A614" s="188" t="s">
        <v>415</v>
      </c>
      <c r="B614" s="188" t="s">
        <v>756</v>
      </c>
      <c r="C614" s="188" t="s">
        <v>123</v>
      </c>
      <c r="D614" s="188" t="s">
        <v>428</v>
      </c>
      <c r="E614" s="188" t="s">
        <v>759</v>
      </c>
      <c r="F614" s="189">
        <v>45839</v>
      </c>
      <c r="G614" s="190">
        <f>5089-900</f>
        <v>4189</v>
      </c>
      <c r="H614" s="190">
        <f t="shared" si="19"/>
        <v>4189</v>
      </c>
      <c r="J614" s="190">
        <v>4848</v>
      </c>
      <c r="K614" s="191">
        <f t="shared" si="20"/>
        <v>-659</v>
      </c>
      <c r="M614" s="215"/>
      <c r="N614" s="191"/>
    </row>
    <row r="615" spans="1:14" outlineLevel="3" x14ac:dyDescent="0.25">
      <c r="B615" s="183" t="s">
        <v>760</v>
      </c>
      <c r="F615" s="189"/>
      <c r="G615" s="190">
        <f>SUBTOTAL(9,G611:G614)</f>
        <v>7853.4</v>
      </c>
      <c r="H615" s="190"/>
      <c r="J615" s="190">
        <f>SUBTOTAL(9,J611:J614)</f>
        <v>8509.4</v>
      </c>
      <c r="K615" s="191">
        <f>SUBTOTAL(9,K611:K614)</f>
        <v>-656</v>
      </c>
      <c r="M615" s="215"/>
      <c r="N615" s="191"/>
    </row>
    <row r="616" spans="1:14" outlineLevel="4" x14ac:dyDescent="0.25">
      <c r="A616" s="188" t="s">
        <v>415</v>
      </c>
      <c r="B616" s="188" t="s">
        <v>761</v>
      </c>
      <c r="C616" s="188" t="s">
        <v>170</v>
      </c>
      <c r="D616" s="188" t="s">
        <v>382</v>
      </c>
      <c r="E616" s="188" t="s">
        <v>762</v>
      </c>
      <c r="F616" s="189">
        <v>45839</v>
      </c>
      <c r="G616" s="190">
        <v>316.8</v>
      </c>
      <c r="H616" s="190">
        <f t="shared" si="19"/>
        <v>316.8</v>
      </c>
      <c r="J616" s="190">
        <v>316.8</v>
      </c>
      <c r="K616" s="191">
        <f t="shared" si="20"/>
        <v>0</v>
      </c>
      <c r="M616" s="215"/>
      <c r="N616" s="191"/>
    </row>
    <row r="617" spans="1:14" outlineLevel="3" x14ac:dyDescent="0.25">
      <c r="B617" s="183" t="s">
        <v>763</v>
      </c>
      <c r="F617" s="189"/>
      <c r="G617" s="190">
        <f>SUBTOTAL(9,G616:G616)</f>
        <v>316.8</v>
      </c>
      <c r="H617" s="190"/>
      <c r="J617" s="190">
        <f>SUBTOTAL(9,J616:J616)</f>
        <v>316.8</v>
      </c>
      <c r="K617" s="191">
        <f>SUBTOTAL(9,K616:K616)</f>
        <v>0</v>
      </c>
      <c r="M617" s="215"/>
      <c r="N617" s="191"/>
    </row>
    <row r="618" spans="1:14" outlineLevel="4" x14ac:dyDescent="0.25">
      <c r="A618" s="188" t="s">
        <v>415</v>
      </c>
      <c r="B618" s="188" t="s">
        <v>764</v>
      </c>
      <c r="C618" s="188" t="s">
        <v>139</v>
      </c>
      <c r="D618" s="188" t="s">
        <v>139</v>
      </c>
      <c r="E618" s="188" t="s">
        <v>765</v>
      </c>
      <c r="F618" s="189">
        <v>45853</v>
      </c>
      <c r="G618" s="190">
        <v>0</v>
      </c>
      <c r="H618" s="190">
        <f t="shared" si="19"/>
        <v>0</v>
      </c>
      <c r="J618" s="190">
        <v>0</v>
      </c>
      <c r="K618" s="191">
        <f t="shared" si="20"/>
        <v>0</v>
      </c>
      <c r="M618" s="215"/>
      <c r="N618" s="191"/>
    </row>
    <row r="619" spans="1:14" outlineLevel="4" x14ac:dyDescent="0.25">
      <c r="A619" s="188" t="s">
        <v>415</v>
      </c>
      <c r="B619" s="188" t="s">
        <v>764</v>
      </c>
      <c r="C619" s="188" t="s">
        <v>142</v>
      </c>
      <c r="D619" s="188" t="s">
        <v>142</v>
      </c>
      <c r="E619" s="188" t="s">
        <v>765</v>
      </c>
      <c r="F619" s="189">
        <v>45853</v>
      </c>
      <c r="G619" s="190">
        <v>77</v>
      </c>
      <c r="H619" s="190">
        <f t="shared" si="19"/>
        <v>77</v>
      </c>
      <c r="J619" s="190">
        <v>77</v>
      </c>
      <c r="K619" s="191">
        <f t="shared" si="20"/>
        <v>0</v>
      </c>
      <c r="M619" s="215"/>
      <c r="N619" s="191"/>
    </row>
    <row r="620" spans="1:14" outlineLevel="4" x14ac:dyDescent="0.25">
      <c r="A620" s="188" t="s">
        <v>415</v>
      </c>
      <c r="B620" s="188" t="s">
        <v>764</v>
      </c>
      <c r="C620" s="188" t="s">
        <v>123</v>
      </c>
      <c r="D620" s="188" t="s">
        <v>123</v>
      </c>
      <c r="E620" s="188" t="s">
        <v>765</v>
      </c>
      <c r="F620" s="189">
        <v>45853</v>
      </c>
      <c r="G620" s="190">
        <v>1338.75</v>
      </c>
      <c r="H620" s="190">
        <f t="shared" si="19"/>
        <v>1338.75</v>
      </c>
      <c r="J620" s="190">
        <v>1338.75</v>
      </c>
      <c r="K620" s="191">
        <f t="shared" si="20"/>
        <v>0</v>
      </c>
      <c r="M620" s="215"/>
      <c r="N620" s="191"/>
    </row>
    <row r="621" spans="1:14" outlineLevel="3" x14ac:dyDescent="0.25">
      <c r="B621" s="183" t="s">
        <v>766</v>
      </c>
      <c r="F621" s="189"/>
      <c r="G621" s="190">
        <f>SUBTOTAL(9,G618:G620)</f>
        <v>1415.75</v>
      </c>
      <c r="H621" s="190"/>
      <c r="J621" s="190">
        <f>SUBTOTAL(9,J618:J620)</f>
        <v>1415.75</v>
      </c>
      <c r="K621" s="191">
        <f>SUBTOTAL(9,K618:K620)</f>
        <v>0</v>
      </c>
      <c r="M621" s="215"/>
      <c r="N621" s="191"/>
    </row>
    <row r="622" spans="1:14" outlineLevel="4" x14ac:dyDescent="0.25">
      <c r="A622" s="188" t="s">
        <v>415</v>
      </c>
      <c r="B622" s="188" t="s">
        <v>767</v>
      </c>
      <c r="C622" s="188" t="s">
        <v>142</v>
      </c>
      <c r="D622" s="188" t="s">
        <v>142</v>
      </c>
      <c r="E622" s="188" t="s">
        <v>768</v>
      </c>
      <c r="F622" s="189">
        <v>45839</v>
      </c>
      <c r="G622" s="190">
        <v>5416.48</v>
      </c>
      <c r="H622" s="190">
        <f t="shared" si="19"/>
        <v>5416.48</v>
      </c>
      <c r="J622" s="190">
        <v>5389.32</v>
      </c>
      <c r="K622" s="191">
        <f t="shared" si="20"/>
        <v>27.159999999999854</v>
      </c>
      <c r="M622" s="215"/>
      <c r="N622" s="191"/>
    </row>
    <row r="623" spans="1:14" outlineLevel="4" x14ac:dyDescent="0.25">
      <c r="A623" s="188" t="s">
        <v>415</v>
      </c>
      <c r="B623" s="188" t="s">
        <v>767</v>
      </c>
      <c r="C623" s="188" t="s">
        <v>123</v>
      </c>
      <c r="D623" s="188" t="s">
        <v>769</v>
      </c>
      <c r="E623" s="188" t="s">
        <v>770</v>
      </c>
      <c r="F623" s="189">
        <v>45839</v>
      </c>
      <c r="G623" s="190">
        <v>3125.14</v>
      </c>
      <c r="H623" s="190">
        <f t="shared" si="19"/>
        <v>3125.14</v>
      </c>
      <c r="J623" s="190">
        <v>3125.14</v>
      </c>
      <c r="K623" s="191">
        <f t="shared" si="20"/>
        <v>0</v>
      </c>
      <c r="M623" s="215"/>
      <c r="N623" s="191"/>
    </row>
    <row r="624" spans="1:14" outlineLevel="3" x14ac:dyDescent="0.25">
      <c r="B624" s="183" t="s">
        <v>771</v>
      </c>
      <c r="F624" s="189"/>
      <c r="G624" s="190">
        <f>SUBTOTAL(9,G622:G623)</f>
        <v>8541.619999999999</v>
      </c>
      <c r="H624" s="190"/>
      <c r="J624" s="190">
        <f>SUBTOTAL(9,J622:J623)</f>
        <v>8514.4599999999991</v>
      </c>
      <c r="K624" s="191">
        <f>SUBTOTAL(9,K622:K623)</f>
        <v>27.159999999999854</v>
      </c>
      <c r="M624" s="215"/>
      <c r="N624" s="191"/>
    </row>
    <row r="625" spans="1:14" outlineLevel="4" x14ac:dyDescent="0.25">
      <c r="A625" s="188" t="s">
        <v>415</v>
      </c>
      <c r="B625" s="188" t="s">
        <v>772</v>
      </c>
      <c r="C625" s="188" t="s">
        <v>420</v>
      </c>
      <c r="D625" s="188" t="s">
        <v>420</v>
      </c>
      <c r="E625" s="188" t="s">
        <v>773</v>
      </c>
      <c r="F625" s="189">
        <v>45839</v>
      </c>
      <c r="G625" s="190">
        <v>586</v>
      </c>
      <c r="H625" s="190">
        <f t="shared" si="19"/>
        <v>586</v>
      </c>
      <c r="J625" s="190">
        <v>586</v>
      </c>
      <c r="K625" s="191">
        <f t="shared" si="20"/>
        <v>0</v>
      </c>
      <c r="M625" s="215"/>
      <c r="N625" s="191"/>
    </row>
    <row r="626" spans="1:14" outlineLevel="4" x14ac:dyDescent="0.25">
      <c r="A626" s="188" t="s">
        <v>415</v>
      </c>
      <c r="B626" s="188" t="s">
        <v>772</v>
      </c>
      <c r="C626" s="188" t="s">
        <v>170</v>
      </c>
      <c r="D626" s="188" t="s">
        <v>774</v>
      </c>
      <c r="E626" s="188" t="s">
        <v>773</v>
      </c>
      <c r="F626" s="189">
        <v>45839</v>
      </c>
      <c r="G626" s="190">
        <v>130.5</v>
      </c>
      <c r="H626" s="190">
        <f t="shared" si="19"/>
        <v>130.5</v>
      </c>
      <c r="J626" s="190">
        <v>130.5</v>
      </c>
      <c r="K626" s="191">
        <f t="shared" si="20"/>
        <v>0</v>
      </c>
      <c r="M626" s="215"/>
      <c r="N626" s="191"/>
    </row>
    <row r="627" spans="1:14" outlineLevel="4" x14ac:dyDescent="0.25">
      <c r="A627" s="188" t="s">
        <v>415</v>
      </c>
      <c r="B627" s="188" t="s">
        <v>772</v>
      </c>
      <c r="C627" s="188" t="s">
        <v>139</v>
      </c>
      <c r="D627" s="188" t="s">
        <v>139</v>
      </c>
      <c r="E627" s="188" t="s">
        <v>773</v>
      </c>
      <c r="F627" s="189">
        <v>45839</v>
      </c>
      <c r="G627" s="190">
        <v>22.5</v>
      </c>
      <c r="H627" s="190">
        <f t="shared" si="19"/>
        <v>22.5</v>
      </c>
      <c r="J627" s="190">
        <v>22.5</v>
      </c>
      <c r="K627" s="191">
        <f t="shared" si="20"/>
        <v>0</v>
      </c>
      <c r="M627" s="215"/>
      <c r="N627" s="191"/>
    </row>
    <row r="628" spans="1:14" outlineLevel="4" x14ac:dyDescent="0.25">
      <c r="A628" s="188" t="s">
        <v>415</v>
      </c>
      <c r="B628" s="188" t="s">
        <v>772</v>
      </c>
      <c r="C628" s="188" t="s">
        <v>142</v>
      </c>
      <c r="D628" s="188" t="s">
        <v>142</v>
      </c>
      <c r="E628" s="188" t="s">
        <v>773</v>
      </c>
      <c r="F628" s="189">
        <v>45839</v>
      </c>
      <c r="G628" s="190">
        <v>513.53</v>
      </c>
      <c r="H628" s="190">
        <f t="shared" si="19"/>
        <v>513.53</v>
      </c>
      <c r="J628" s="190">
        <v>518.53</v>
      </c>
      <c r="K628" s="191">
        <f t="shared" si="20"/>
        <v>-5</v>
      </c>
      <c r="M628" s="215"/>
      <c r="N628" s="191"/>
    </row>
    <row r="629" spans="1:14" outlineLevel="4" x14ac:dyDescent="0.25">
      <c r="A629" s="188" t="s">
        <v>415</v>
      </c>
      <c r="B629" s="188" t="s">
        <v>772</v>
      </c>
      <c r="C629" s="188" t="s">
        <v>123</v>
      </c>
      <c r="D629" s="188" t="s">
        <v>775</v>
      </c>
      <c r="E629" s="188" t="s">
        <v>773</v>
      </c>
      <c r="F629" s="189">
        <v>45839</v>
      </c>
      <c r="G629" s="190">
        <v>1579.52</v>
      </c>
      <c r="H629" s="190">
        <f t="shared" si="19"/>
        <v>1579.52</v>
      </c>
      <c r="J629" s="190">
        <v>1579.52</v>
      </c>
      <c r="K629" s="191">
        <f t="shared" si="20"/>
        <v>0</v>
      </c>
      <c r="M629" s="215"/>
      <c r="N629" s="191"/>
    </row>
    <row r="630" spans="1:14" outlineLevel="3" x14ac:dyDescent="0.25">
      <c r="B630" s="183" t="s">
        <v>776</v>
      </c>
      <c r="F630" s="189"/>
      <c r="G630" s="190">
        <f>SUBTOTAL(9,G625:G629)</f>
        <v>2832.05</v>
      </c>
      <c r="H630" s="190"/>
      <c r="J630" s="190">
        <f>SUBTOTAL(9,J625:J629)</f>
        <v>2837.05</v>
      </c>
      <c r="K630" s="191">
        <f>SUBTOTAL(9,K625:K629)</f>
        <v>-5</v>
      </c>
      <c r="M630" s="215"/>
      <c r="N630" s="191"/>
    </row>
    <row r="631" spans="1:14" outlineLevel="4" x14ac:dyDescent="0.25">
      <c r="A631" s="188" t="s">
        <v>415</v>
      </c>
      <c r="B631" s="188" t="s">
        <v>777</v>
      </c>
      <c r="C631" s="188" t="s">
        <v>170</v>
      </c>
      <c r="D631" s="188" t="s">
        <v>778</v>
      </c>
      <c r="E631" s="188" t="s">
        <v>779</v>
      </c>
      <c r="F631" s="189">
        <v>45839</v>
      </c>
      <c r="G631" s="190">
        <v>770</v>
      </c>
      <c r="H631" s="190">
        <f t="shared" si="19"/>
        <v>770</v>
      </c>
      <c r="J631" s="190">
        <v>770</v>
      </c>
      <c r="K631" s="191">
        <f t="shared" si="20"/>
        <v>0</v>
      </c>
      <c r="M631" s="215"/>
      <c r="N631" s="191"/>
    </row>
    <row r="632" spans="1:14" outlineLevel="4" x14ac:dyDescent="0.25">
      <c r="A632" s="188" t="s">
        <v>415</v>
      </c>
      <c r="B632" s="188" t="s">
        <v>777</v>
      </c>
      <c r="C632" s="188" t="s">
        <v>139</v>
      </c>
      <c r="D632" s="188" t="s">
        <v>139</v>
      </c>
      <c r="E632" s="188" t="s">
        <v>780</v>
      </c>
      <c r="F632" s="189">
        <v>45839</v>
      </c>
      <c r="G632" s="190">
        <v>358.80939999999998</v>
      </c>
      <c r="H632" s="190">
        <f t="shared" si="19"/>
        <v>358.80939999999998</v>
      </c>
      <c r="J632" s="190">
        <v>356.02120000000002</v>
      </c>
      <c r="K632" s="191">
        <f t="shared" si="20"/>
        <v>2.7881999999999607</v>
      </c>
      <c r="M632" s="215"/>
      <c r="N632" s="191"/>
    </row>
    <row r="633" spans="1:14" outlineLevel="4" x14ac:dyDescent="0.25">
      <c r="A633" s="188" t="s">
        <v>415</v>
      </c>
      <c r="B633" s="188" t="s">
        <v>777</v>
      </c>
      <c r="C633" s="188" t="s">
        <v>142</v>
      </c>
      <c r="D633" s="188" t="s">
        <v>142</v>
      </c>
      <c r="E633" s="188" t="s">
        <v>780</v>
      </c>
      <c r="F633" s="189">
        <v>45839</v>
      </c>
      <c r="G633" s="190">
        <v>1033.5</v>
      </c>
      <c r="H633" s="190">
        <f t="shared" si="19"/>
        <v>1033.5</v>
      </c>
      <c r="J633" s="190">
        <v>1026.5</v>
      </c>
      <c r="K633" s="191">
        <f t="shared" si="20"/>
        <v>7</v>
      </c>
      <c r="M633" s="215"/>
      <c r="N633" s="191"/>
    </row>
    <row r="634" spans="1:14" outlineLevel="4" x14ac:dyDescent="0.25">
      <c r="A634" s="188" t="s">
        <v>415</v>
      </c>
      <c r="B634" s="188" t="s">
        <v>777</v>
      </c>
      <c r="C634" s="188" t="s">
        <v>123</v>
      </c>
      <c r="D634" s="188" t="s">
        <v>123</v>
      </c>
      <c r="E634" s="188" t="s">
        <v>780</v>
      </c>
      <c r="F634" s="189">
        <v>45839</v>
      </c>
      <c r="G634" s="190">
        <v>1520.0006000000001</v>
      </c>
      <c r="H634" s="190">
        <f t="shared" si="19"/>
        <v>1520.0006000000001</v>
      </c>
      <c r="J634" s="190">
        <v>1520</v>
      </c>
      <c r="K634" s="191">
        <f t="shared" si="20"/>
        <v>6.0000000007676135E-4</v>
      </c>
      <c r="M634" s="215"/>
      <c r="N634" s="191"/>
    </row>
    <row r="635" spans="1:14" outlineLevel="3" x14ac:dyDescent="0.25">
      <c r="B635" s="183" t="s">
        <v>781</v>
      </c>
      <c r="F635" s="189"/>
      <c r="G635" s="190">
        <f>SUBTOTAL(9,G631:G634)</f>
        <v>3682.3100000000004</v>
      </c>
      <c r="H635" s="190"/>
      <c r="J635" s="190">
        <f>SUBTOTAL(9,J631:J634)</f>
        <v>3672.5212000000001</v>
      </c>
      <c r="K635" s="191">
        <f>SUBTOTAL(9,K631:K634)</f>
        <v>9.7888000000000375</v>
      </c>
      <c r="M635" s="215"/>
      <c r="N635" s="191"/>
    </row>
    <row r="636" spans="1:14" outlineLevel="4" x14ac:dyDescent="0.25">
      <c r="A636" s="188" t="s">
        <v>415</v>
      </c>
      <c r="B636" s="188" t="s">
        <v>782</v>
      </c>
      <c r="C636" s="188" t="s">
        <v>170</v>
      </c>
      <c r="D636" s="188" t="s">
        <v>171</v>
      </c>
      <c r="E636" s="188" t="s">
        <v>783</v>
      </c>
      <c r="F636" s="189">
        <v>45853</v>
      </c>
      <c r="G636" s="190">
        <v>415.2</v>
      </c>
      <c r="H636" s="190">
        <f t="shared" si="19"/>
        <v>415.2</v>
      </c>
      <c r="J636" s="190">
        <v>415.2</v>
      </c>
      <c r="K636" s="191">
        <f t="shared" si="20"/>
        <v>0</v>
      </c>
      <c r="M636" s="215"/>
      <c r="N636" s="191"/>
    </row>
    <row r="637" spans="1:14" outlineLevel="4" x14ac:dyDescent="0.25">
      <c r="A637" s="188" t="s">
        <v>415</v>
      </c>
      <c r="B637" s="188" t="s">
        <v>782</v>
      </c>
      <c r="C637" s="188" t="s">
        <v>139</v>
      </c>
      <c r="D637" s="188" t="s">
        <v>139</v>
      </c>
      <c r="E637" s="188" t="s">
        <v>783</v>
      </c>
      <c r="F637" s="189">
        <v>45853</v>
      </c>
      <c r="G637" s="190">
        <v>45</v>
      </c>
      <c r="H637" s="190">
        <f t="shared" si="19"/>
        <v>45</v>
      </c>
      <c r="J637" s="190">
        <v>45</v>
      </c>
      <c r="K637" s="191">
        <f t="shared" si="20"/>
        <v>0</v>
      </c>
      <c r="M637" s="215"/>
      <c r="N637" s="191"/>
    </row>
    <row r="638" spans="1:14" outlineLevel="4" x14ac:dyDescent="0.25">
      <c r="A638" s="188" t="s">
        <v>415</v>
      </c>
      <c r="B638" s="188" t="s">
        <v>782</v>
      </c>
      <c r="C638" s="188" t="s">
        <v>142</v>
      </c>
      <c r="D638" s="188" t="s">
        <v>142</v>
      </c>
      <c r="E638" s="188" t="s">
        <v>783</v>
      </c>
      <c r="F638" s="189">
        <v>45853</v>
      </c>
      <c r="G638" s="190">
        <v>167.25</v>
      </c>
      <c r="H638" s="190">
        <f t="shared" si="19"/>
        <v>167.25</v>
      </c>
      <c r="J638" s="190">
        <v>167.25</v>
      </c>
      <c r="K638" s="191">
        <f t="shared" si="20"/>
        <v>0</v>
      </c>
      <c r="M638" s="215"/>
      <c r="N638" s="191"/>
    </row>
    <row r="639" spans="1:14" outlineLevel="4" x14ac:dyDescent="0.25">
      <c r="A639" s="188" t="s">
        <v>415</v>
      </c>
      <c r="B639" s="188" t="s">
        <v>782</v>
      </c>
      <c r="C639" s="188" t="s">
        <v>123</v>
      </c>
      <c r="D639" s="188" t="s">
        <v>784</v>
      </c>
      <c r="E639" s="188" t="s">
        <v>783</v>
      </c>
      <c r="F639" s="189">
        <v>45853</v>
      </c>
      <c r="G639" s="190">
        <v>819</v>
      </c>
      <c r="H639" s="190">
        <f t="shared" si="19"/>
        <v>819</v>
      </c>
      <c r="J639" s="190">
        <v>819</v>
      </c>
      <c r="K639" s="191">
        <f t="shared" si="20"/>
        <v>0</v>
      </c>
      <c r="M639" s="215"/>
      <c r="N639" s="191"/>
    </row>
    <row r="640" spans="1:14" outlineLevel="3" x14ac:dyDescent="0.25">
      <c r="B640" s="183" t="s">
        <v>785</v>
      </c>
      <c r="F640" s="189"/>
      <c r="G640" s="190">
        <f>SUBTOTAL(9,G636:G639)</f>
        <v>1446.45</v>
      </c>
      <c r="H640" s="190"/>
      <c r="J640" s="190">
        <f>SUBTOTAL(9,J636:J639)</f>
        <v>1446.45</v>
      </c>
      <c r="K640" s="191">
        <f>SUBTOTAL(9,K636:K639)</f>
        <v>0</v>
      </c>
      <c r="M640" s="215"/>
      <c r="N640" s="191"/>
    </row>
    <row r="641" spans="1:14" outlineLevel="4" x14ac:dyDescent="0.25">
      <c r="A641" s="188" t="s">
        <v>415</v>
      </c>
      <c r="B641" s="188" t="s">
        <v>786</v>
      </c>
      <c r="C641" s="188" t="s">
        <v>420</v>
      </c>
      <c r="D641" s="188" t="s">
        <v>605</v>
      </c>
      <c r="E641" s="188" t="s">
        <v>787</v>
      </c>
      <c r="F641" s="189">
        <v>45839</v>
      </c>
      <c r="G641" s="190">
        <v>600</v>
      </c>
      <c r="H641" s="190">
        <f t="shared" si="19"/>
        <v>600</v>
      </c>
      <c r="J641" s="190">
        <v>600</v>
      </c>
      <c r="K641" s="191">
        <f t="shared" si="20"/>
        <v>0</v>
      </c>
      <c r="M641" s="215"/>
      <c r="N641" s="191"/>
    </row>
    <row r="642" spans="1:14" outlineLevel="4" x14ac:dyDescent="0.25">
      <c r="A642" s="188" t="s">
        <v>415</v>
      </c>
      <c r="B642" s="188" t="s">
        <v>786</v>
      </c>
      <c r="C642" s="188" t="s">
        <v>170</v>
      </c>
      <c r="D642" s="188" t="s">
        <v>171</v>
      </c>
      <c r="E642" s="188" t="s">
        <v>787</v>
      </c>
      <c r="F642" s="189">
        <v>45839</v>
      </c>
      <c r="G642" s="190">
        <v>24.9</v>
      </c>
      <c r="H642" s="190">
        <f t="shared" si="19"/>
        <v>24.9</v>
      </c>
      <c r="J642" s="190">
        <v>24.9</v>
      </c>
      <c r="K642" s="191">
        <f t="shared" si="20"/>
        <v>0</v>
      </c>
      <c r="M642" s="215"/>
      <c r="N642" s="191"/>
    </row>
    <row r="643" spans="1:14" outlineLevel="4" x14ac:dyDescent="0.25">
      <c r="A643" s="188" t="s">
        <v>415</v>
      </c>
      <c r="B643" s="188" t="s">
        <v>786</v>
      </c>
      <c r="C643" s="188" t="s">
        <v>139</v>
      </c>
      <c r="D643" s="188" t="s">
        <v>139</v>
      </c>
      <c r="E643" s="188" t="s">
        <v>787</v>
      </c>
      <c r="F643" s="189">
        <v>45839</v>
      </c>
      <c r="G643" s="190">
        <v>50</v>
      </c>
      <c r="H643" s="190">
        <f t="shared" si="19"/>
        <v>50</v>
      </c>
      <c r="J643" s="190">
        <v>50</v>
      </c>
      <c r="K643" s="191">
        <f t="shared" si="20"/>
        <v>0</v>
      </c>
      <c r="M643" s="215"/>
      <c r="N643" s="191"/>
    </row>
    <row r="644" spans="1:14" outlineLevel="4" x14ac:dyDescent="0.25">
      <c r="A644" s="188" t="s">
        <v>415</v>
      </c>
      <c r="B644" s="188" t="s">
        <v>786</v>
      </c>
      <c r="C644" s="188" t="s">
        <v>142</v>
      </c>
      <c r="D644" s="188" t="s">
        <v>142</v>
      </c>
      <c r="E644" s="188" t="s">
        <v>787</v>
      </c>
      <c r="F644" s="189">
        <v>45839</v>
      </c>
      <c r="G644" s="190">
        <v>1407.52</v>
      </c>
      <c r="H644" s="190">
        <f t="shared" ref="H644:H725" si="21">+G644</f>
        <v>1407.52</v>
      </c>
      <c r="J644" s="190">
        <v>1596.52</v>
      </c>
      <c r="K644" s="191">
        <f t="shared" ref="K644:K725" si="22">+H644-J644</f>
        <v>-189</v>
      </c>
      <c r="M644" s="215"/>
      <c r="N644" s="191"/>
    </row>
    <row r="645" spans="1:14" outlineLevel="4" x14ac:dyDescent="0.25">
      <c r="A645" s="188" t="s">
        <v>415</v>
      </c>
      <c r="B645" s="188" t="s">
        <v>786</v>
      </c>
      <c r="C645" s="188" t="s">
        <v>123</v>
      </c>
      <c r="D645" s="188" t="s">
        <v>123</v>
      </c>
      <c r="E645" s="188" t="s">
        <v>787</v>
      </c>
      <c r="F645" s="189">
        <v>45839</v>
      </c>
      <c r="G645" s="190">
        <v>6981.87</v>
      </c>
      <c r="H645" s="190">
        <f t="shared" si="21"/>
        <v>6981.87</v>
      </c>
      <c r="J645" s="190">
        <v>6981.87</v>
      </c>
      <c r="K645" s="191">
        <f t="shared" si="22"/>
        <v>0</v>
      </c>
      <c r="M645" s="215"/>
      <c r="N645" s="191"/>
    </row>
    <row r="646" spans="1:14" outlineLevel="3" x14ac:dyDescent="0.25">
      <c r="B646" s="183" t="s">
        <v>788</v>
      </c>
      <c r="F646" s="189"/>
      <c r="G646" s="190">
        <f>SUBTOTAL(9,G641:G645)</f>
        <v>9064.2900000000009</v>
      </c>
      <c r="H646" s="190"/>
      <c r="J646" s="190">
        <f>SUBTOTAL(9,J641:J645)</f>
        <v>9253.2900000000009</v>
      </c>
      <c r="K646" s="191">
        <f>SUBTOTAL(9,K641:K645)</f>
        <v>-189</v>
      </c>
      <c r="M646" s="215"/>
      <c r="N646" s="191"/>
    </row>
    <row r="647" spans="1:14" s="202" customFormat="1" outlineLevel="4" x14ac:dyDescent="0.25">
      <c r="A647" s="188" t="s">
        <v>415</v>
      </c>
      <c r="B647" s="202" t="s">
        <v>789</v>
      </c>
      <c r="C647" s="202" t="s">
        <v>139</v>
      </c>
      <c r="D647" s="202" t="s">
        <v>139</v>
      </c>
      <c r="F647" s="203"/>
      <c r="G647" s="204"/>
      <c r="H647" s="190">
        <f t="shared" si="21"/>
        <v>0</v>
      </c>
      <c r="J647" s="204">
        <v>262.5</v>
      </c>
      <c r="K647" s="191">
        <f t="shared" si="22"/>
        <v>-262.5</v>
      </c>
      <c r="M647" s="216"/>
      <c r="N647" s="206"/>
    </row>
    <row r="648" spans="1:14" outlineLevel="4" x14ac:dyDescent="0.25">
      <c r="A648" s="188" t="s">
        <v>415</v>
      </c>
      <c r="B648" s="188" t="s">
        <v>789</v>
      </c>
      <c r="C648" s="188" t="s">
        <v>142</v>
      </c>
      <c r="D648" s="188" t="s">
        <v>181</v>
      </c>
      <c r="E648" s="188" t="s">
        <v>790</v>
      </c>
      <c r="F648" s="189">
        <v>45839</v>
      </c>
      <c r="G648" s="190">
        <v>1868.75</v>
      </c>
      <c r="H648" s="190">
        <f t="shared" si="21"/>
        <v>1868.75</v>
      </c>
      <c r="J648" s="190">
        <v>1634.75</v>
      </c>
      <c r="K648" s="191">
        <f t="shared" si="22"/>
        <v>234</v>
      </c>
      <c r="M648" s="215"/>
      <c r="N648" s="191"/>
    </row>
    <row r="649" spans="1:14" outlineLevel="4" x14ac:dyDescent="0.25">
      <c r="A649" s="188" t="s">
        <v>415</v>
      </c>
      <c r="B649" s="188" t="s">
        <v>789</v>
      </c>
      <c r="C649" s="188" t="s">
        <v>123</v>
      </c>
      <c r="D649" s="188" t="s">
        <v>123</v>
      </c>
      <c r="E649" s="188" t="s">
        <v>791</v>
      </c>
      <c r="F649" s="189">
        <v>45839</v>
      </c>
      <c r="G649" s="190">
        <v>10860.92</v>
      </c>
      <c r="H649" s="190">
        <f t="shared" si="21"/>
        <v>10860.92</v>
      </c>
      <c r="J649" s="190">
        <v>10860.92</v>
      </c>
      <c r="K649" s="191">
        <f t="shared" si="22"/>
        <v>0</v>
      </c>
      <c r="M649" s="215"/>
      <c r="N649" s="191"/>
    </row>
    <row r="650" spans="1:14" outlineLevel="3" x14ac:dyDescent="0.25">
      <c r="B650" s="183" t="s">
        <v>792</v>
      </c>
      <c r="F650" s="189"/>
      <c r="G650" s="190">
        <f>SUBTOTAL(9,G647:G649)</f>
        <v>12729.67</v>
      </c>
      <c r="H650" s="190"/>
      <c r="J650" s="190">
        <f>SUBTOTAL(9,J647:J649)</f>
        <v>12758.17</v>
      </c>
      <c r="K650" s="191">
        <f>SUBTOTAL(9,K647:K649)</f>
        <v>-28.5</v>
      </c>
      <c r="M650" s="215"/>
      <c r="N650" s="191"/>
    </row>
    <row r="651" spans="1:14" outlineLevel="4" x14ac:dyDescent="0.25">
      <c r="A651" s="188" t="s">
        <v>415</v>
      </c>
      <c r="B651" s="188" t="s">
        <v>793</v>
      </c>
      <c r="C651" s="188" t="s">
        <v>139</v>
      </c>
      <c r="D651" s="188" t="s">
        <v>139</v>
      </c>
      <c r="E651" s="188" t="s">
        <v>794</v>
      </c>
      <c r="F651" s="189">
        <v>45853</v>
      </c>
      <c r="G651" s="190">
        <v>309.24</v>
      </c>
      <c r="H651" s="190">
        <f t="shared" si="21"/>
        <v>309.24</v>
      </c>
      <c r="J651" s="190">
        <v>309.24</v>
      </c>
      <c r="K651" s="191">
        <f t="shared" si="22"/>
        <v>0</v>
      </c>
      <c r="M651" s="215"/>
      <c r="N651" s="191"/>
    </row>
    <row r="652" spans="1:14" outlineLevel="3" x14ac:dyDescent="0.25">
      <c r="B652" s="183" t="s">
        <v>795</v>
      </c>
      <c r="F652" s="189"/>
      <c r="G652" s="190">
        <f>SUBTOTAL(9,G651:G651)</f>
        <v>309.24</v>
      </c>
      <c r="H652" s="190"/>
      <c r="J652" s="190">
        <f>SUBTOTAL(9,J651:J651)</f>
        <v>309.24</v>
      </c>
      <c r="K652" s="191">
        <f>SUBTOTAL(9,K651:K651)</f>
        <v>0</v>
      </c>
      <c r="M652" s="215"/>
      <c r="N652" s="191"/>
    </row>
    <row r="653" spans="1:14" outlineLevel="4" x14ac:dyDescent="0.25">
      <c r="A653" s="188" t="s">
        <v>415</v>
      </c>
      <c r="B653" s="188" t="s">
        <v>796</v>
      </c>
      <c r="C653" s="188" t="s">
        <v>142</v>
      </c>
      <c r="D653" s="188" t="s">
        <v>142</v>
      </c>
      <c r="E653" s="188" t="s">
        <v>797</v>
      </c>
      <c r="F653" s="189">
        <v>45839</v>
      </c>
      <c r="G653" s="190">
        <v>97.05</v>
      </c>
      <c r="H653" s="190">
        <f t="shared" si="21"/>
        <v>97.05</v>
      </c>
      <c r="J653" s="190">
        <v>97.05</v>
      </c>
      <c r="K653" s="191">
        <f t="shared" si="22"/>
        <v>0</v>
      </c>
      <c r="M653" s="215"/>
      <c r="N653" s="191"/>
    </row>
    <row r="654" spans="1:14" outlineLevel="3" x14ac:dyDescent="0.25">
      <c r="B654" s="183" t="s">
        <v>798</v>
      </c>
      <c r="F654" s="189"/>
      <c r="G654" s="190">
        <f>SUBTOTAL(9,G653:G653)</f>
        <v>97.05</v>
      </c>
      <c r="H654" s="190"/>
      <c r="J654" s="190">
        <f>SUBTOTAL(9,J653:J653)</f>
        <v>97.05</v>
      </c>
      <c r="K654" s="191">
        <f>SUBTOTAL(9,K653:K653)</f>
        <v>0</v>
      </c>
      <c r="M654" s="215"/>
      <c r="N654" s="191"/>
    </row>
    <row r="655" spans="1:14" outlineLevel="4" x14ac:dyDescent="0.25">
      <c r="A655" s="188" t="s">
        <v>415</v>
      </c>
      <c r="B655" s="188" t="s">
        <v>799</v>
      </c>
      <c r="C655" s="188" t="s">
        <v>170</v>
      </c>
      <c r="D655" s="188" t="s">
        <v>171</v>
      </c>
      <c r="E655" s="188" t="s">
        <v>800</v>
      </c>
      <c r="F655" s="189">
        <v>45853</v>
      </c>
      <c r="G655" s="190">
        <v>165</v>
      </c>
      <c r="H655" s="190">
        <f t="shared" si="21"/>
        <v>165</v>
      </c>
      <c r="J655" s="190">
        <v>165</v>
      </c>
      <c r="K655" s="191">
        <f t="shared" si="22"/>
        <v>0</v>
      </c>
      <c r="M655" s="215"/>
      <c r="N655" s="191"/>
    </row>
    <row r="656" spans="1:14" outlineLevel="4" x14ac:dyDescent="0.25">
      <c r="A656" s="188" t="s">
        <v>415</v>
      </c>
      <c r="B656" s="188" t="s">
        <v>799</v>
      </c>
      <c r="C656" s="188" t="s">
        <v>139</v>
      </c>
      <c r="D656" s="188" t="s">
        <v>139</v>
      </c>
      <c r="E656" s="188" t="s">
        <v>800</v>
      </c>
      <c r="F656" s="189">
        <v>45853</v>
      </c>
      <c r="G656" s="190">
        <v>195.5</v>
      </c>
      <c r="H656" s="190">
        <f t="shared" si="21"/>
        <v>195.5</v>
      </c>
      <c r="J656" s="190">
        <v>195.5</v>
      </c>
      <c r="K656" s="191">
        <f t="shared" si="22"/>
        <v>0</v>
      </c>
      <c r="M656" s="215"/>
      <c r="N656" s="191"/>
    </row>
    <row r="657" spans="1:14" outlineLevel="4" x14ac:dyDescent="0.25">
      <c r="A657" s="188" t="s">
        <v>415</v>
      </c>
      <c r="B657" s="188" t="s">
        <v>799</v>
      </c>
      <c r="C657" s="188" t="s">
        <v>142</v>
      </c>
      <c r="D657" s="188" t="s">
        <v>142</v>
      </c>
      <c r="E657" s="188" t="s">
        <v>800</v>
      </c>
      <c r="F657" s="189">
        <v>45853</v>
      </c>
      <c r="G657" s="190">
        <f>439+11</f>
        <v>450</v>
      </c>
      <c r="H657" s="190">
        <f t="shared" si="21"/>
        <v>450</v>
      </c>
      <c r="J657" s="190">
        <v>462</v>
      </c>
      <c r="K657" s="191">
        <f t="shared" si="22"/>
        <v>-12</v>
      </c>
      <c r="M657" s="215"/>
      <c r="N657" s="191"/>
    </row>
    <row r="658" spans="1:14" outlineLevel="4" x14ac:dyDescent="0.25">
      <c r="A658" s="188" t="s">
        <v>415</v>
      </c>
      <c r="B658" s="188" t="s">
        <v>799</v>
      </c>
      <c r="C658" s="188" t="s">
        <v>123</v>
      </c>
      <c r="D658" s="188" t="s">
        <v>123</v>
      </c>
      <c r="E658" s="188" t="s">
        <v>800</v>
      </c>
      <c r="F658" s="189">
        <v>45853</v>
      </c>
      <c r="G658" s="190">
        <v>3178</v>
      </c>
      <c r="H658" s="190">
        <f t="shared" si="21"/>
        <v>3178</v>
      </c>
      <c r="J658" s="190">
        <v>3044</v>
      </c>
      <c r="K658" s="191">
        <f t="shared" si="22"/>
        <v>134</v>
      </c>
      <c r="M658" s="215"/>
      <c r="N658" s="191"/>
    </row>
    <row r="659" spans="1:14" outlineLevel="3" x14ac:dyDescent="0.25">
      <c r="B659" s="183" t="s">
        <v>801</v>
      </c>
      <c r="F659" s="189"/>
      <c r="G659" s="190">
        <f>SUBTOTAL(9,G655:G658)</f>
        <v>3988.5</v>
      </c>
      <c r="H659" s="190"/>
      <c r="J659" s="190">
        <f>SUBTOTAL(9,J655:J658)</f>
        <v>3866.5</v>
      </c>
      <c r="K659" s="191">
        <f>SUBTOTAL(9,K655:K658)</f>
        <v>122</v>
      </c>
      <c r="M659" s="215"/>
      <c r="N659" s="191"/>
    </row>
    <row r="660" spans="1:14" outlineLevel="4" x14ac:dyDescent="0.25">
      <c r="A660" s="188" t="s">
        <v>415</v>
      </c>
      <c r="B660" s="188" t="s">
        <v>802</v>
      </c>
      <c r="C660" s="188" t="s">
        <v>170</v>
      </c>
      <c r="D660" s="188" t="s">
        <v>170</v>
      </c>
      <c r="E660" s="188" t="s">
        <v>803</v>
      </c>
      <c r="F660" s="189">
        <v>45839</v>
      </c>
      <c r="G660" s="190">
        <v>20</v>
      </c>
      <c r="H660" s="190">
        <f t="shared" si="21"/>
        <v>20</v>
      </c>
      <c r="J660" s="190">
        <v>20</v>
      </c>
      <c r="K660" s="191">
        <f t="shared" si="22"/>
        <v>0</v>
      </c>
      <c r="M660" s="215"/>
      <c r="N660" s="191"/>
    </row>
    <row r="661" spans="1:14" outlineLevel="4" x14ac:dyDescent="0.25">
      <c r="A661" s="188" t="s">
        <v>415</v>
      </c>
      <c r="B661" s="188" t="s">
        <v>802</v>
      </c>
      <c r="C661" s="188" t="s">
        <v>139</v>
      </c>
      <c r="D661" s="188" t="s">
        <v>139</v>
      </c>
      <c r="E661" s="188" t="s">
        <v>803</v>
      </c>
      <c r="F661" s="189">
        <v>45839</v>
      </c>
      <c r="G661" s="190">
        <v>110.5</v>
      </c>
      <c r="H661" s="190">
        <f t="shared" si="21"/>
        <v>110.5</v>
      </c>
      <c r="J661" s="190">
        <v>110.5</v>
      </c>
      <c r="K661" s="191">
        <f t="shared" si="22"/>
        <v>0</v>
      </c>
      <c r="M661" s="215"/>
      <c r="N661" s="191"/>
    </row>
    <row r="662" spans="1:14" outlineLevel="4" x14ac:dyDescent="0.25">
      <c r="A662" s="188" t="s">
        <v>415</v>
      </c>
      <c r="B662" s="188" t="s">
        <v>802</v>
      </c>
      <c r="C662" s="188" t="s">
        <v>142</v>
      </c>
      <c r="D662" s="188" t="s">
        <v>142</v>
      </c>
      <c r="E662" s="188" t="s">
        <v>803</v>
      </c>
      <c r="F662" s="189">
        <v>45839</v>
      </c>
      <c r="G662" s="190">
        <v>854</v>
      </c>
      <c r="H662" s="190">
        <f t="shared" si="21"/>
        <v>854</v>
      </c>
      <c r="J662" s="190">
        <v>854</v>
      </c>
      <c r="K662" s="191">
        <f t="shared" si="22"/>
        <v>0</v>
      </c>
      <c r="M662" s="215"/>
      <c r="N662" s="191"/>
    </row>
    <row r="663" spans="1:14" outlineLevel="4" x14ac:dyDescent="0.25">
      <c r="A663" s="188" t="s">
        <v>415</v>
      </c>
      <c r="B663" s="188" t="s">
        <v>802</v>
      </c>
      <c r="C663" s="188" t="s">
        <v>123</v>
      </c>
      <c r="D663" s="188" t="s">
        <v>123</v>
      </c>
      <c r="E663" s="188" t="s">
        <v>803</v>
      </c>
      <c r="F663" s="189">
        <v>45839</v>
      </c>
      <c r="G663" s="190">
        <v>2868.42</v>
      </c>
      <c r="H663" s="190">
        <f t="shared" si="21"/>
        <v>2868.42</v>
      </c>
      <c r="J663" s="190">
        <v>2868.42</v>
      </c>
      <c r="K663" s="191">
        <f t="shared" si="22"/>
        <v>0</v>
      </c>
      <c r="M663" s="215"/>
      <c r="N663" s="191"/>
    </row>
    <row r="664" spans="1:14" outlineLevel="3" x14ac:dyDescent="0.25">
      <c r="B664" s="183" t="s">
        <v>804</v>
      </c>
      <c r="F664" s="189"/>
      <c r="G664" s="190">
        <f>SUBTOTAL(9,G660:G663)</f>
        <v>3852.92</v>
      </c>
      <c r="H664" s="190"/>
      <c r="J664" s="190">
        <f>SUBTOTAL(9,J660:J663)</f>
        <v>3852.92</v>
      </c>
      <c r="K664" s="191">
        <f>SUBTOTAL(9,K660:K663)</f>
        <v>0</v>
      </c>
      <c r="M664" s="215"/>
      <c r="N664" s="191"/>
    </row>
    <row r="665" spans="1:14" outlineLevel="4" x14ac:dyDescent="0.25">
      <c r="A665" s="188" t="s">
        <v>415</v>
      </c>
      <c r="B665" s="188" t="s">
        <v>805</v>
      </c>
      <c r="C665" s="188" t="s">
        <v>170</v>
      </c>
      <c r="D665" s="188" t="s">
        <v>170</v>
      </c>
      <c r="E665" s="188" t="s">
        <v>806</v>
      </c>
      <c r="F665" s="189">
        <v>45839</v>
      </c>
      <c r="G665" s="190">
        <v>564.29999999999995</v>
      </c>
      <c r="H665" s="190">
        <f t="shared" si="21"/>
        <v>564.29999999999995</v>
      </c>
      <c r="J665" s="190">
        <v>564.29999999999995</v>
      </c>
      <c r="K665" s="191">
        <f t="shared" si="22"/>
        <v>0</v>
      </c>
      <c r="M665" s="215"/>
      <c r="N665" s="191"/>
    </row>
    <row r="666" spans="1:14" outlineLevel="4" x14ac:dyDescent="0.25">
      <c r="A666" s="188" t="s">
        <v>415</v>
      </c>
      <c r="B666" s="188" t="s">
        <v>805</v>
      </c>
      <c r="C666" s="188" t="s">
        <v>139</v>
      </c>
      <c r="D666" s="188" t="s">
        <v>139</v>
      </c>
      <c r="E666" s="188" t="s">
        <v>807</v>
      </c>
      <c r="F666" s="189">
        <v>45839</v>
      </c>
      <c r="G666" s="190">
        <v>332.59820000000002</v>
      </c>
      <c r="H666" s="190">
        <f t="shared" si="21"/>
        <v>332.59820000000002</v>
      </c>
      <c r="J666" s="190">
        <v>327.91039999999998</v>
      </c>
      <c r="K666" s="191">
        <f t="shared" si="22"/>
        <v>4.6878000000000384</v>
      </c>
      <c r="M666" s="215"/>
      <c r="N666" s="191"/>
    </row>
    <row r="667" spans="1:14" outlineLevel="4" x14ac:dyDescent="0.25">
      <c r="A667" s="188" t="s">
        <v>415</v>
      </c>
      <c r="B667" s="188" t="s">
        <v>805</v>
      </c>
      <c r="C667" s="188" t="s">
        <v>142</v>
      </c>
      <c r="D667" s="188" t="s">
        <v>142</v>
      </c>
      <c r="E667" s="188" t="s">
        <v>807</v>
      </c>
      <c r="F667" s="189">
        <v>45839</v>
      </c>
      <c r="G667" s="190">
        <v>8476</v>
      </c>
      <c r="H667" s="190">
        <f t="shared" si="21"/>
        <v>8476</v>
      </c>
      <c r="J667" s="190">
        <v>8774</v>
      </c>
      <c r="K667" s="191">
        <f t="shared" si="22"/>
        <v>-298</v>
      </c>
      <c r="M667" s="215"/>
      <c r="N667" s="191"/>
    </row>
    <row r="668" spans="1:14" outlineLevel="4" x14ac:dyDescent="0.25">
      <c r="A668" s="188" t="s">
        <v>415</v>
      </c>
      <c r="B668" s="188" t="s">
        <v>805</v>
      </c>
      <c r="C668" s="188" t="s">
        <v>123</v>
      </c>
      <c r="D668" s="188" t="s">
        <v>123</v>
      </c>
      <c r="E668" s="188" t="s">
        <v>807</v>
      </c>
      <c r="F668" s="189">
        <v>45839</v>
      </c>
      <c r="G668" s="190">
        <v>15870.0018</v>
      </c>
      <c r="H668" s="190">
        <f t="shared" si="21"/>
        <v>15870.0018</v>
      </c>
      <c r="J668" s="190">
        <v>15760</v>
      </c>
      <c r="K668" s="191">
        <f t="shared" si="22"/>
        <v>110.0018</v>
      </c>
      <c r="M668" s="215"/>
      <c r="N668" s="191"/>
    </row>
    <row r="669" spans="1:14" outlineLevel="3" x14ac:dyDescent="0.25">
      <c r="B669" s="183" t="s">
        <v>808</v>
      </c>
      <c r="F669" s="189"/>
      <c r="G669" s="190">
        <f>SUBTOTAL(9,G665:G668)</f>
        <v>25242.9</v>
      </c>
      <c r="H669" s="190"/>
      <c r="J669" s="190">
        <f>SUBTOTAL(9,J665:J668)</f>
        <v>25426.2104</v>
      </c>
      <c r="K669" s="191">
        <f>SUBTOTAL(9,K665:K668)</f>
        <v>-183.31039999999996</v>
      </c>
      <c r="M669" s="215"/>
      <c r="N669" s="191"/>
    </row>
    <row r="670" spans="1:14" outlineLevel="4" x14ac:dyDescent="0.25">
      <c r="A670" s="188" t="s">
        <v>415</v>
      </c>
      <c r="B670" s="188" t="s">
        <v>809</v>
      </c>
      <c r="C670" s="188" t="s">
        <v>420</v>
      </c>
      <c r="D670" s="188" t="s">
        <v>420</v>
      </c>
      <c r="E670" s="188" t="s">
        <v>810</v>
      </c>
      <c r="F670" s="189">
        <v>45853</v>
      </c>
      <c r="G670" s="190">
        <v>1746.16</v>
      </c>
      <c r="H670" s="190">
        <f t="shared" si="21"/>
        <v>1746.16</v>
      </c>
      <c r="J670" s="190">
        <v>1746.16</v>
      </c>
      <c r="K670" s="191">
        <f t="shared" si="22"/>
        <v>0</v>
      </c>
      <c r="M670" s="215"/>
      <c r="N670" s="191"/>
    </row>
    <row r="671" spans="1:14" outlineLevel="4" x14ac:dyDescent="0.25">
      <c r="A671" s="188" t="s">
        <v>415</v>
      </c>
      <c r="B671" s="188" t="s">
        <v>809</v>
      </c>
      <c r="C671" s="188" t="s">
        <v>170</v>
      </c>
      <c r="D671" s="188" t="s">
        <v>170</v>
      </c>
      <c r="E671" s="188" t="s">
        <v>810</v>
      </c>
      <c r="F671" s="189">
        <v>45853</v>
      </c>
      <c r="G671" s="190">
        <v>176</v>
      </c>
      <c r="H671" s="190">
        <f t="shared" si="21"/>
        <v>176</v>
      </c>
      <c r="J671" s="190">
        <v>176</v>
      </c>
      <c r="K671" s="191">
        <f t="shared" si="22"/>
        <v>0</v>
      </c>
      <c r="M671" s="215"/>
      <c r="N671" s="191"/>
    </row>
    <row r="672" spans="1:14" outlineLevel="4" x14ac:dyDescent="0.25">
      <c r="A672" s="188" t="s">
        <v>415</v>
      </c>
      <c r="B672" s="188" t="s">
        <v>809</v>
      </c>
      <c r="C672" s="188" t="s">
        <v>139</v>
      </c>
      <c r="D672" s="188" t="s">
        <v>139</v>
      </c>
      <c r="E672" s="188" t="s">
        <v>810</v>
      </c>
      <c r="F672" s="189">
        <v>45853</v>
      </c>
      <c r="G672" s="190">
        <v>368.58</v>
      </c>
      <c r="H672" s="190">
        <f t="shared" si="21"/>
        <v>368.58</v>
      </c>
      <c r="J672" s="190">
        <v>368.58</v>
      </c>
      <c r="K672" s="191">
        <f t="shared" si="22"/>
        <v>0</v>
      </c>
      <c r="M672" s="215"/>
      <c r="N672" s="191"/>
    </row>
    <row r="673" spans="1:14" outlineLevel="4" x14ac:dyDescent="0.25">
      <c r="A673" s="188" t="s">
        <v>415</v>
      </c>
      <c r="B673" s="188" t="s">
        <v>809</v>
      </c>
      <c r="C673" s="188" t="s">
        <v>142</v>
      </c>
      <c r="D673" s="188" t="s">
        <v>142</v>
      </c>
      <c r="E673" s="188" t="s">
        <v>810</v>
      </c>
      <c r="F673" s="189">
        <v>45853</v>
      </c>
      <c r="G673" s="190">
        <v>70</v>
      </c>
      <c r="H673" s="190">
        <f t="shared" si="21"/>
        <v>70</v>
      </c>
      <c r="J673" s="190">
        <v>70</v>
      </c>
      <c r="K673" s="191">
        <f t="shared" si="22"/>
        <v>0</v>
      </c>
      <c r="M673" s="215"/>
      <c r="N673" s="191"/>
    </row>
    <row r="674" spans="1:14" outlineLevel="4" x14ac:dyDescent="0.25">
      <c r="A674" s="188" t="s">
        <v>415</v>
      </c>
      <c r="B674" s="188" t="s">
        <v>809</v>
      </c>
      <c r="C674" s="188" t="s">
        <v>475</v>
      </c>
      <c r="D674" s="188" t="s">
        <v>475</v>
      </c>
      <c r="E674" s="188" t="s">
        <v>810</v>
      </c>
      <c r="F674" s="189">
        <v>45853</v>
      </c>
      <c r="G674" s="190">
        <v>250</v>
      </c>
      <c r="H674" s="190">
        <f t="shared" si="21"/>
        <v>250</v>
      </c>
      <c r="J674" s="190">
        <v>250</v>
      </c>
      <c r="K674" s="191">
        <f t="shared" si="22"/>
        <v>0</v>
      </c>
      <c r="M674" s="215"/>
      <c r="N674" s="191"/>
    </row>
    <row r="675" spans="1:14" outlineLevel="3" x14ac:dyDescent="0.25">
      <c r="B675" s="183" t="s">
        <v>811</v>
      </c>
      <c r="F675" s="189"/>
      <c r="G675" s="190">
        <f>SUBTOTAL(9,G670:G674)</f>
        <v>2610.7400000000002</v>
      </c>
      <c r="H675" s="190"/>
      <c r="J675" s="190">
        <f>SUBTOTAL(9,J670:J674)</f>
        <v>2610.7400000000002</v>
      </c>
      <c r="K675" s="191">
        <f>SUBTOTAL(9,K670:K674)</f>
        <v>0</v>
      </c>
      <c r="M675" s="215"/>
      <c r="N675" s="191"/>
    </row>
    <row r="676" spans="1:14" outlineLevel="4" x14ac:dyDescent="0.25">
      <c r="A676" s="188" t="s">
        <v>415</v>
      </c>
      <c r="B676" s="188" t="s">
        <v>812</v>
      </c>
      <c r="C676" s="188" t="s">
        <v>170</v>
      </c>
      <c r="D676" s="188" t="s">
        <v>171</v>
      </c>
      <c r="E676" s="188" t="s">
        <v>813</v>
      </c>
      <c r="F676" s="189">
        <v>45839</v>
      </c>
      <c r="G676" s="190">
        <v>129.62</v>
      </c>
      <c r="H676" s="190">
        <f t="shared" si="21"/>
        <v>129.62</v>
      </c>
      <c r="J676" s="190">
        <v>129.62</v>
      </c>
      <c r="K676" s="191">
        <f t="shared" si="22"/>
        <v>0</v>
      </c>
      <c r="M676" s="215"/>
      <c r="N676" s="191"/>
    </row>
    <row r="677" spans="1:14" outlineLevel="4" x14ac:dyDescent="0.25">
      <c r="A677" s="188" t="s">
        <v>415</v>
      </c>
      <c r="B677" s="188" t="s">
        <v>812</v>
      </c>
      <c r="C677" s="188" t="s">
        <v>139</v>
      </c>
      <c r="D677" s="188" t="s">
        <v>160</v>
      </c>
      <c r="E677" s="188" t="s">
        <v>813</v>
      </c>
      <c r="F677" s="189">
        <v>45839</v>
      </c>
      <c r="G677" s="190">
        <v>108</v>
      </c>
      <c r="H677" s="190">
        <f t="shared" si="21"/>
        <v>108</v>
      </c>
      <c r="J677" s="190">
        <v>116</v>
      </c>
      <c r="K677" s="191">
        <f t="shared" si="22"/>
        <v>-8</v>
      </c>
      <c r="M677" s="215"/>
      <c r="N677" s="191"/>
    </row>
    <row r="678" spans="1:14" outlineLevel="4" x14ac:dyDescent="0.25">
      <c r="A678" s="188" t="s">
        <v>415</v>
      </c>
      <c r="B678" s="188" t="s">
        <v>812</v>
      </c>
      <c r="C678" s="188" t="s">
        <v>142</v>
      </c>
      <c r="D678" s="188" t="s">
        <v>142</v>
      </c>
      <c r="E678" s="188" t="s">
        <v>813</v>
      </c>
      <c r="F678" s="189">
        <v>45839</v>
      </c>
      <c r="G678" s="190">
        <v>695</v>
      </c>
      <c r="H678" s="190">
        <f t="shared" si="21"/>
        <v>695</v>
      </c>
      <c r="J678" s="190">
        <v>732</v>
      </c>
      <c r="K678" s="191">
        <f t="shared" si="22"/>
        <v>-37</v>
      </c>
      <c r="M678" s="215"/>
      <c r="N678" s="191"/>
    </row>
    <row r="679" spans="1:14" outlineLevel="4" x14ac:dyDescent="0.25">
      <c r="A679" s="188" t="s">
        <v>415</v>
      </c>
      <c r="B679" s="188" t="s">
        <v>812</v>
      </c>
      <c r="C679" s="188" t="s">
        <v>123</v>
      </c>
      <c r="D679" s="188" t="s">
        <v>123</v>
      </c>
      <c r="E679" s="188" t="s">
        <v>813</v>
      </c>
      <c r="F679" s="189">
        <v>45839</v>
      </c>
      <c r="G679" s="190">
        <v>2255.6999999999998</v>
      </c>
      <c r="H679" s="190">
        <f t="shared" si="21"/>
        <v>2255.6999999999998</v>
      </c>
      <c r="J679" s="190">
        <v>2358.6999999999998</v>
      </c>
      <c r="K679" s="191">
        <f t="shared" si="22"/>
        <v>-103</v>
      </c>
      <c r="M679" s="215"/>
      <c r="N679" s="191"/>
    </row>
    <row r="680" spans="1:14" outlineLevel="3" x14ac:dyDescent="0.25">
      <c r="B680" s="183" t="s">
        <v>814</v>
      </c>
      <c r="F680" s="189"/>
      <c r="G680" s="190">
        <f>SUBTOTAL(9,G676:G679)</f>
        <v>3188.3199999999997</v>
      </c>
      <c r="H680" s="190"/>
      <c r="J680" s="190">
        <f>SUBTOTAL(9,J676:J679)</f>
        <v>3336.3199999999997</v>
      </c>
      <c r="K680" s="191">
        <f>SUBTOTAL(9,K676:K679)</f>
        <v>-148</v>
      </c>
      <c r="M680" s="215"/>
      <c r="N680" s="191"/>
    </row>
    <row r="681" spans="1:14" outlineLevel="4" x14ac:dyDescent="0.25">
      <c r="A681" s="188" t="s">
        <v>415</v>
      </c>
      <c r="B681" s="188" t="s">
        <v>815</v>
      </c>
      <c r="C681" s="188" t="s">
        <v>170</v>
      </c>
      <c r="D681" s="188" t="s">
        <v>170</v>
      </c>
      <c r="E681" s="188" t="s">
        <v>816</v>
      </c>
      <c r="F681" s="189">
        <v>45839</v>
      </c>
      <c r="G681" s="190">
        <v>1142.4000000000001</v>
      </c>
      <c r="H681" s="190">
        <f t="shared" si="21"/>
        <v>1142.4000000000001</v>
      </c>
      <c r="J681" s="190">
        <v>1089.5999999999999</v>
      </c>
      <c r="K681" s="191">
        <f t="shared" si="22"/>
        <v>52.800000000000182</v>
      </c>
      <c r="M681" s="215"/>
      <c r="N681" s="191"/>
    </row>
    <row r="682" spans="1:14" outlineLevel="4" x14ac:dyDescent="0.25">
      <c r="A682" s="188" t="s">
        <v>415</v>
      </c>
      <c r="B682" s="188" t="s">
        <v>815</v>
      </c>
      <c r="C682" s="188" t="s">
        <v>139</v>
      </c>
      <c r="D682" s="188" t="s">
        <v>160</v>
      </c>
      <c r="E682" s="188" t="s">
        <v>816</v>
      </c>
      <c r="F682" s="189">
        <v>45839</v>
      </c>
      <c r="G682" s="190">
        <v>196</v>
      </c>
      <c r="H682" s="190">
        <f t="shared" si="21"/>
        <v>196</v>
      </c>
      <c r="J682" s="190">
        <v>188</v>
      </c>
      <c r="K682" s="191">
        <f t="shared" si="22"/>
        <v>8</v>
      </c>
      <c r="M682" s="215"/>
      <c r="N682" s="191"/>
    </row>
    <row r="683" spans="1:14" outlineLevel="4" x14ac:dyDescent="0.25">
      <c r="A683" s="188" t="s">
        <v>415</v>
      </c>
      <c r="B683" s="188" t="s">
        <v>815</v>
      </c>
      <c r="C683" s="188" t="s">
        <v>142</v>
      </c>
      <c r="D683" s="188" t="s">
        <v>162</v>
      </c>
      <c r="E683" s="188" t="s">
        <v>816</v>
      </c>
      <c r="F683" s="189">
        <v>45839</v>
      </c>
      <c r="G683" s="190">
        <v>1424</v>
      </c>
      <c r="H683" s="190">
        <f t="shared" si="21"/>
        <v>1424</v>
      </c>
      <c r="J683" s="190">
        <v>1426</v>
      </c>
      <c r="K683" s="191">
        <f t="shared" si="22"/>
        <v>-2</v>
      </c>
      <c r="M683" s="215"/>
      <c r="N683" s="191"/>
    </row>
    <row r="684" spans="1:14" outlineLevel="4" x14ac:dyDescent="0.25">
      <c r="A684" s="188" t="s">
        <v>415</v>
      </c>
      <c r="B684" s="188" t="s">
        <v>815</v>
      </c>
      <c r="C684" s="188" t="s">
        <v>123</v>
      </c>
      <c r="D684" s="188" t="s">
        <v>428</v>
      </c>
      <c r="E684" s="188" t="s">
        <v>816</v>
      </c>
      <c r="F684" s="189">
        <v>45839</v>
      </c>
      <c r="G684" s="190">
        <v>3530</v>
      </c>
      <c r="H684" s="190">
        <f t="shared" si="21"/>
        <v>3530</v>
      </c>
      <c r="J684" s="190">
        <v>3350</v>
      </c>
      <c r="K684" s="191">
        <f t="shared" si="22"/>
        <v>180</v>
      </c>
      <c r="M684" s="215"/>
      <c r="N684" s="191"/>
    </row>
    <row r="685" spans="1:14" outlineLevel="3" x14ac:dyDescent="0.25">
      <c r="B685" s="183" t="s">
        <v>817</v>
      </c>
      <c r="F685" s="189"/>
      <c r="G685" s="190">
        <f>SUBTOTAL(9,G681:G684)</f>
        <v>6292.4</v>
      </c>
      <c r="H685" s="190"/>
      <c r="J685" s="190">
        <f>SUBTOTAL(9,J681:J684)</f>
        <v>6053.6</v>
      </c>
      <c r="K685" s="191">
        <f>SUBTOTAL(9,K681:K684)</f>
        <v>238.80000000000018</v>
      </c>
      <c r="M685" s="215"/>
      <c r="N685" s="191"/>
    </row>
    <row r="686" spans="1:14" outlineLevel="4" x14ac:dyDescent="0.25">
      <c r="A686" s="188" t="s">
        <v>415</v>
      </c>
      <c r="B686" s="188" t="s">
        <v>818</v>
      </c>
      <c r="C686" s="188" t="s">
        <v>420</v>
      </c>
      <c r="D686" s="188" t="s">
        <v>420</v>
      </c>
      <c r="E686" s="188" t="s">
        <v>819</v>
      </c>
      <c r="F686" s="189">
        <v>45853</v>
      </c>
      <c r="G686" s="190">
        <v>450.8</v>
      </c>
      <c r="H686" s="190">
        <f t="shared" si="21"/>
        <v>450.8</v>
      </c>
      <c r="J686" s="190">
        <v>450.8</v>
      </c>
      <c r="K686" s="191">
        <f t="shared" si="22"/>
        <v>0</v>
      </c>
      <c r="M686" s="215"/>
      <c r="N686" s="191"/>
    </row>
    <row r="687" spans="1:14" outlineLevel="4" x14ac:dyDescent="0.25">
      <c r="A687" s="188" t="s">
        <v>415</v>
      </c>
      <c r="B687" s="188" t="s">
        <v>818</v>
      </c>
      <c r="C687" s="188" t="s">
        <v>139</v>
      </c>
      <c r="D687" s="188" t="s">
        <v>139</v>
      </c>
      <c r="E687" s="188" t="s">
        <v>819</v>
      </c>
      <c r="F687" s="189">
        <v>45853</v>
      </c>
      <c r="G687" s="190">
        <v>1277.06</v>
      </c>
      <c r="H687" s="190">
        <f t="shared" si="21"/>
        <v>1277.06</v>
      </c>
      <c r="J687" s="190">
        <v>1277.06</v>
      </c>
      <c r="K687" s="191">
        <f t="shared" si="22"/>
        <v>0</v>
      </c>
      <c r="M687" s="215"/>
      <c r="N687" s="191"/>
    </row>
    <row r="688" spans="1:14" outlineLevel="4" x14ac:dyDescent="0.25">
      <c r="A688" s="188" t="s">
        <v>415</v>
      </c>
      <c r="B688" s="188" t="s">
        <v>818</v>
      </c>
      <c r="C688" s="188" t="s">
        <v>142</v>
      </c>
      <c r="D688" s="188" t="s">
        <v>142</v>
      </c>
      <c r="E688" s="188" t="s">
        <v>819</v>
      </c>
      <c r="F688" s="189">
        <v>45853</v>
      </c>
      <c r="G688" s="190">
        <v>84</v>
      </c>
      <c r="H688" s="190">
        <f t="shared" si="21"/>
        <v>84</v>
      </c>
      <c r="J688" s="190">
        <v>84</v>
      </c>
      <c r="K688" s="191">
        <f t="shared" si="22"/>
        <v>0</v>
      </c>
      <c r="M688" s="215"/>
      <c r="N688" s="191"/>
    </row>
    <row r="689" spans="1:14" outlineLevel="3" x14ac:dyDescent="0.25">
      <c r="B689" s="183" t="s">
        <v>820</v>
      </c>
      <c r="F689" s="189"/>
      <c r="G689" s="190">
        <f>SUBTOTAL(9,G686:G688)</f>
        <v>1811.86</v>
      </c>
      <c r="H689" s="190"/>
      <c r="J689" s="190">
        <f>SUBTOTAL(9,J686:J688)</f>
        <v>1811.86</v>
      </c>
      <c r="K689" s="191">
        <f>SUBTOTAL(9,K686:K688)</f>
        <v>0</v>
      </c>
      <c r="M689" s="215"/>
      <c r="N689" s="191"/>
    </row>
    <row r="690" spans="1:14" outlineLevel="4" x14ac:dyDescent="0.25">
      <c r="A690" s="188" t="s">
        <v>415</v>
      </c>
      <c r="B690" s="188" t="s">
        <v>821</v>
      </c>
      <c r="C690" s="188" t="s">
        <v>170</v>
      </c>
      <c r="D690" s="188" t="s">
        <v>171</v>
      </c>
      <c r="E690" s="188" t="s">
        <v>822</v>
      </c>
      <c r="F690" s="189">
        <v>45853</v>
      </c>
      <c r="G690" s="190">
        <v>190.5</v>
      </c>
      <c r="H690" s="190">
        <f t="shared" si="21"/>
        <v>190.5</v>
      </c>
      <c r="J690" s="190">
        <v>190.5</v>
      </c>
      <c r="K690" s="191">
        <f t="shared" si="22"/>
        <v>0</v>
      </c>
      <c r="M690" s="215"/>
      <c r="N690" s="191"/>
    </row>
    <row r="691" spans="1:14" outlineLevel="4" x14ac:dyDescent="0.25">
      <c r="A691" s="188" t="s">
        <v>415</v>
      </c>
      <c r="B691" s="188" t="s">
        <v>821</v>
      </c>
      <c r="C691" s="188" t="s">
        <v>139</v>
      </c>
      <c r="D691" s="188" t="s">
        <v>139</v>
      </c>
      <c r="E691" s="188" t="s">
        <v>823</v>
      </c>
      <c r="F691" s="189">
        <v>45853</v>
      </c>
      <c r="G691" s="190">
        <v>330.51</v>
      </c>
      <c r="H691" s="190">
        <f t="shared" si="21"/>
        <v>330.51</v>
      </c>
      <c r="J691" s="190">
        <v>326.51</v>
      </c>
      <c r="K691" s="191">
        <f t="shared" si="22"/>
        <v>4</v>
      </c>
      <c r="M691" s="215"/>
      <c r="N691" s="191"/>
    </row>
    <row r="692" spans="1:14" outlineLevel="4" x14ac:dyDescent="0.25">
      <c r="A692" s="188" t="s">
        <v>415</v>
      </c>
      <c r="B692" s="188" t="s">
        <v>821</v>
      </c>
      <c r="C692" s="188" t="s">
        <v>142</v>
      </c>
      <c r="D692" s="188" t="s">
        <v>142</v>
      </c>
      <c r="E692" s="188" t="s">
        <v>823</v>
      </c>
      <c r="F692" s="189">
        <v>45853</v>
      </c>
      <c r="G692" s="190">
        <f>899+21</f>
        <v>920</v>
      </c>
      <c r="H692" s="190">
        <f t="shared" si="21"/>
        <v>920</v>
      </c>
      <c r="J692" s="190">
        <v>924</v>
      </c>
      <c r="K692" s="191">
        <f t="shared" si="22"/>
        <v>-4</v>
      </c>
      <c r="M692" s="215"/>
      <c r="N692" s="191"/>
    </row>
    <row r="693" spans="1:14" outlineLevel="4" x14ac:dyDescent="0.25">
      <c r="A693" s="188" t="s">
        <v>415</v>
      </c>
      <c r="B693" s="188" t="s">
        <v>821</v>
      </c>
      <c r="C693" s="188" t="s">
        <v>123</v>
      </c>
      <c r="D693" s="188" t="s">
        <v>123</v>
      </c>
      <c r="E693" s="188" t="s">
        <v>823</v>
      </c>
      <c r="F693" s="189">
        <v>45853</v>
      </c>
      <c r="G693" s="190">
        <v>1517.52</v>
      </c>
      <c r="H693" s="190">
        <f t="shared" si="21"/>
        <v>1517.52</v>
      </c>
      <c r="J693" s="190">
        <v>664.97</v>
      </c>
      <c r="K693" s="191">
        <f t="shared" si="22"/>
        <v>852.55</v>
      </c>
      <c r="M693" s="215"/>
      <c r="N693" s="191"/>
    </row>
    <row r="694" spans="1:14" outlineLevel="3" x14ac:dyDescent="0.25">
      <c r="B694" s="183" t="s">
        <v>824</v>
      </c>
      <c r="F694" s="189"/>
      <c r="G694" s="190">
        <f>SUBTOTAL(9,G690:G693)</f>
        <v>2958.5299999999997</v>
      </c>
      <c r="H694" s="190"/>
      <c r="J694" s="190">
        <f>SUBTOTAL(9,J690:J693)</f>
        <v>2105.98</v>
      </c>
      <c r="K694" s="191">
        <f>SUBTOTAL(9,K690:K693)</f>
        <v>852.55</v>
      </c>
      <c r="M694" s="215"/>
      <c r="N694" s="191"/>
    </row>
    <row r="695" spans="1:14" outlineLevel="4" x14ac:dyDescent="0.25">
      <c r="A695" s="188" t="s">
        <v>415</v>
      </c>
      <c r="B695" s="188" t="s">
        <v>825</v>
      </c>
      <c r="C695" s="188" t="s">
        <v>170</v>
      </c>
      <c r="D695" s="188" t="s">
        <v>171</v>
      </c>
      <c r="E695" s="188" t="s">
        <v>826</v>
      </c>
      <c r="F695" s="189">
        <v>45839</v>
      </c>
      <c r="G695" s="190">
        <v>1815.6</v>
      </c>
      <c r="H695" s="190">
        <f t="shared" si="21"/>
        <v>1815.6</v>
      </c>
      <c r="J695" s="190">
        <v>1815.6</v>
      </c>
      <c r="K695" s="191">
        <f t="shared" si="22"/>
        <v>0</v>
      </c>
      <c r="M695" s="215"/>
      <c r="N695" s="191"/>
    </row>
    <row r="696" spans="1:14" outlineLevel="4" x14ac:dyDescent="0.25">
      <c r="A696" s="188" t="s">
        <v>415</v>
      </c>
      <c r="B696" s="188" t="s">
        <v>825</v>
      </c>
      <c r="C696" s="188" t="s">
        <v>139</v>
      </c>
      <c r="D696" s="188" t="s">
        <v>139</v>
      </c>
      <c r="E696" s="188" t="s">
        <v>826</v>
      </c>
      <c r="F696" s="189">
        <v>45839</v>
      </c>
      <c r="G696" s="190">
        <v>918</v>
      </c>
      <c r="H696" s="190">
        <f t="shared" si="21"/>
        <v>918</v>
      </c>
      <c r="J696" s="190">
        <v>908</v>
      </c>
      <c r="K696" s="191">
        <f t="shared" si="22"/>
        <v>10</v>
      </c>
      <c r="M696" s="215"/>
      <c r="N696" s="191"/>
    </row>
    <row r="697" spans="1:14" outlineLevel="4" x14ac:dyDescent="0.25">
      <c r="A697" s="188" t="s">
        <v>415</v>
      </c>
      <c r="B697" s="188" t="s">
        <v>825</v>
      </c>
      <c r="C697" s="188" t="s">
        <v>142</v>
      </c>
      <c r="D697" s="188" t="s">
        <v>142</v>
      </c>
      <c r="E697" s="188" t="s">
        <v>826</v>
      </c>
      <c r="F697" s="189">
        <v>45839</v>
      </c>
      <c r="G697" s="190">
        <v>1907</v>
      </c>
      <c r="H697" s="190">
        <f t="shared" si="21"/>
        <v>1907</v>
      </c>
      <c r="J697" s="190">
        <v>1816</v>
      </c>
      <c r="K697" s="191">
        <f t="shared" si="22"/>
        <v>91</v>
      </c>
      <c r="M697" s="215"/>
      <c r="N697" s="191"/>
    </row>
    <row r="698" spans="1:14" outlineLevel="4" x14ac:dyDescent="0.25">
      <c r="A698" s="188" t="s">
        <v>415</v>
      </c>
      <c r="B698" s="188" t="s">
        <v>825</v>
      </c>
      <c r="C698" s="188" t="s">
        <v>123</v>
      </c>
      <c r="D698" s="188" t="s">
        <v>123</v>
      </c>
      <c r="E698" s="188" t="s">
        <v>826</v>
      </c>
      <c r="F698" s="189">
        <v>45839</v>
      </c>
      <c r="G698" s="190">
        <v>5421.3</v>
      </c>
      <c r="H698" s="190">
        <f t="shared" si="21"/>
        <v>5421.3</v>
      </c>
      <c r="J698" s="190">
        <v>5421.3</v>
      </c>
      <c r="K698" s="191">
        <f t="shared" si="22"/>
        <v>0</v>
      </c>
      <c r="M698" s="215"/>
      <c r="N698" s="191"/>
    </row>
    <row r="699" spans="1:14" outlineLevel="3" x14ac:dyDescent="0.25">
      <c r="B699" s="183" t="s">
        <v>827</v>
      </c>
      <c r="F699" s="189"/>
      <c r="G699" s="190">
        <f>SUBTOTAL(9,G695:G698)</f>
        <v>10061.900000000001</v>
      </c>
      <c r="H699" s="190"/>
      <c r="J699" s="190">
        <f>SUBTOTAL(9,J695:J698)</f>
        <v>9960.9000000000015</v>
      </c>
      <c r="K699" s="191">
        <f>SUBTOTAL(9,K695:K698)</f>
        <v>101</v>
      </c>
      <c r="M699" s="215"/>
      <c r="N699" s="191"/>
    </row>
    <row r="700" spans="1:14" outlineLevel="4" x14ac:dyDescent="0.25">
      <c r="A700" s="188" t="s">
        <v>415</v>
      </c>
      <c r="B700" s="188" t="s">
        <v>828</v>
      </c>
      <c r="C700" s="188" t="s">
        <v>170</v>
      </c>
      <c r="D700" s="188" t="s">
        <v>829</v>
      </c>
      <c r="E700" s="188" t="s">
        <v>830</v>
      </c>
      <c r="F700" s="189">
        <v>45839</v>
      </c>
      <c r="G700" s="190">
        <v>1228.0999999999999</v>
      </c>
      <c r="H700" s="190">
        <f t="shared" si="21"/>
        <v>1228.0999999999999</v>
      </c>
      <c r="J700" s="190">
        <v>1206.0999999999999</v>
      </c>
      <c r="K700" s="191">
        <f t="shared" si="22"/>
        <v>22</v>
      </c>
      <c r="M700" s="215"/>
      <c r="N700" s="191"/>
    </row>
    <row r="701" spans="1:14" outlineLevel="4" x14ac:dyDescent="0.25">
      <c r="A701" s="188" t="s">
        <v>415</v>
      </c>
      <c r="B701" s="188" t="s">
        <v>828</v>
      </c>
      <c r="C701" s="188" t="s">
        <v>139</v>
      </c>
      <c r="D701" s="188" t="s">
        <v>139</v>
      </c>
      <c r="E701" s="188" t="s">
        <v>830</v>
      </c>
      <c r="F701" s="189">
        <v>45839</v>
      </c>
      <c r="G701" s="190">
        <v>0</v>
      </c>
      <c r="H701" s="190">
        <f t="shared" si="21"/>
        <v>0</v>
      </c>
      <c r="J701" s="190">
        <v>0</v>
      </c>
      <c r="K701" s="191">
        <f t="shared" si="22"/>
        <v>0</v>
      </c>
      <c r="M701" s="215"/>
      <c r="N701" s="191"/>
    </row>
    <row r="702" spans="1:14" outlineLevel="4" x14ac:dyDescent="0.25">
      <c r="A702" s="188" t="s">
        <v>415</v>
      </c>
      <c r="B702" s="188" t="s">
        <v>828</v>
      </c>
      <c r="C702" s="188" t="s">
        <v>142</v>
      </c>
      <c r="D702" s="188" t="s">
        <v>142</v>
      </c>
      <c r="E702" s="188" t="s">
        <v>830</v>
      </c>
      <c r="F702" s="189">
        <v>45839</v>
      </c>
      <c r="G702" s="190">
        <v>250</v>
      </c>
      <c r="H702" s="190">
        <f t="shared" si="21"/>
        <v>250</v>
      </c>
      <c r="J702" s="190">
        <v>250</v>
      </c>
      <c r="K702" s="191">
        <f t="shared" si="22"/>
        <v>0</v>
      </c>
      <c r="M702" s="215"/>
      <c r="N702" s="191"/>
    </row>
    <row r="703" spans="1:14" outlineLevel="4" x14ac:dyDescent="0.25">
      <c r="A703" s="188" t="s">
        <v>415</v>
      </c>
      <c r="B703" s="188" t="s">
        <v>828</v>
      </c>
      <c r="C703" s="188" t="s">
        <v>123</v>
      </c>
      <c r="D703" s="188" t="s">
        <v>831</v>
      </c>
      <c r="E703" s="188" t="s">
        <v>830</v>
      </c>
      <c r="F703" s="189">
        <v>45839</v>
      </c>
      <c r="G703" s="190">
        <v>5512.5</v>
      </c>
      <c r="H703" s="190">
        <f t="shared" si="21"/>
        <v>5512.5</v>
      </c>
      <c r="J703" s="190">
        <v>5512.5</v>
      </c>
      <c r="K703" s="191">
        <f t="shared" si="22"/>
        <v>0</v>
      </c>
      <c r="M703" s="215"/>
      <c r="N703" s="191"/>
    </row>
    <row r="704" spans="1:14" outlineLevel="3" x14ac:dyDescent="0.25">
      <c r="B704" s="183" t="s">
        <v>832</v>
      </c>
      <c r="F704" s="189"/>
      <c r="G704" s="190">
        <f>SUBTOTAL(9,G700:G703)</f>
        <v>6990.6</v>
      </c>
      <c r="H704" s="190"/>
      <c r="J704" s="190">
        <f>SUBTOTAL(9,J700:J703)</f>
        <v>6968.6</v>
      </c>
      <c r="K704" s="191">
        <f>SUBTOTAL(9,K700:K703)</f>
        <v>22</v>
      </c>
      <c r="M704" s="215"/>
      <c r="N704" s="191"/>
    </row>
    <row r="705" spans="1:14" outlineLevel="4" x14ac:dyDescent="0.25">
      <c r="A705" s="188" t="s">
        <v>415</v>
      </c>
      <c r="B705" s="188" t="s">
        <v>833</v>
      </c>
      <c r="C705" s="188" t="s">
        <v>170</v>
      </c>
      <c r="D705" s="188" t="s">
        <v>170</v>
      </c>
      <c r="E705" s="188" t="s">
        <v>834</v>
      </c>
      <c r="F705" s="189">
        <v>45839</v>
      </c>
      <c r="G705" s="190">
        <v>2751.2</v>
      </c>
      <c r="H705" s="190">
        <f t="shared" si="21"/>
        <v>2751.2</v>
      </c>
      <c r="J705" s="190">
        <v>2751.2</v>
      </c>
      <c r="K705" s="191">
        <f t="shared" si="22"/>
        <v>0</v>
      </c>
      <c r="M705" s="215"/>
      <c r="N705" s="191"/>
    </row>
    <row r="706" spans="1:14" outlineLevel="4" x14ac:dyDescent="0.25">
      <c r="A706" s="188" t="s">
        <v>415</v>
      </c>
      <c r="B706" s="188" t="s">
        <v>833</v>
      </c>
      <c r="C706" s="188" t="s">
        <v>139</v>
      </c>
      <c r="D706" s="188" t="s">
        <v>139</v>
      </c>
      <c r="E706" s="188" t="s">
        <v>834</v>
      </c>
      <c r="F706" s="189">
        <v>45839</v>
      </c>
      <c r="G706" s="190">
        <v>471</v>
      </c>
      <c r="H706" s="190">
        <f t="shared" si="21"/>
        <v>471</v>
      </c>
      <c r="J706" s="190">
        <v>471</v>
      </c>
      <c r="K706" s="191">
        <f t="shared" si="22"/>
        <v>0</v>
      </c>
      <c r="M706" s="215"/>
      <c r="N706" s="191"/>
    </row>
    <row r="707" spans="1:14" s="202" customFormat="1" outlineLevel="4" x14ac:dyDescent="0.25">
      <c r="A707" s="188" t="s">
        <v>415</v>
      </c>
      <c r="B707" s="202" t="s">
        <v>833</v>
      </c>
      <c r="C707" s="202" t="s">
        <v>139</v>
      </c>
      <c r="D707" s="202" t="s">
        <v>361</v>
      </c>
      <c r="F707" s="203"/>
      <c r="G707" s="204"/>
      <c r="H707" s="190">
        <f t="shared" si="21"/>
        <v>0</v>
      </c>
      <c r="J707" s="204">
        <v>60</v>
      </c>
      <c r="K707" s="191">
        <f t="shared" si="22"/>
        <v>-60</v>
      </c>
      <c r="M707" s="216"/>
      <c r="N707" s="206"/>
    </row>
    <row r="708" spans="1:14" outlineLevel="4" x14ac:dyDescent="0.25">
      <c r="A708" s="188" t="s">
        <v>415</v>
      </c>
      <c r="B708" s="188" t="s">
        <v>833</v>
      </c>
      <c r="C708" s="188" t="s">
        <v>142</v>
      </c>
      <c r="D708" s="188" t="s">
        <v>142</v>
      </c>
      <c r="E708" s="188" t="s">
        <v>835</v>
      </c>
      <c r="F708" s="189">
        <v>45839</v>
      </c>
      <c r="G708" s="190">
        <v>1127</v>
      </c>
      <c r="H708" s="190">
        <f t="shared" si="21"/>
        <v>1127</v>
      </c>
      <c r="J708" s="190">
        <v>1149.75</v>
      </c>
      <c r="K708" s="191">
        <f t="shared" si="22"/>
        <v>-22.75</v>
      </c>
      <c r="M708" s="215"/>
      <c r="N708" s="191"/>
    </row>
    <row r="709" spans="1:14" outlineLevel="4" x14ac:dyDescent="0.25">
      <c r="A709" s="188" t="s">
        <v>415</v>
      </c>
      <c r="B709" s="188" t="s">
        <v>833</v>
      </c>
      <c r="C709" s="188" t="s">
        <v>123</v>
      </c>
      <c r="D709" s="188" t="s">
        <v>836</v>
      </c>
      <c r="E709" s="188" t="s">
        <v>834</v>
      </c>
      <c r="F709" s="189">
        <v>45839</v>
      </c>
      <c r="G709" s="190">
        <v>11080.51</v>
      </c>
      <c r="H709" s="190">
        <f t="shared" si="21"/>
        <v>11080.51</v>
      </c>
      <c r="J709" s="190">
        <v>10757.78</v>
      </c>
      <c r="K709" s="191">
        <f t="shared" si="22"/>
        <v>322.72999999999956</v>
      </c>
      <c r="M709" s="215"/>
      <c r="N709" s="191"/>
    </row>
    <row r="710" spans="1:14" outlineLevel="3" x14ac:dyDescent="0.25">
      <c r="B710" s="183" t="s">
        <v>837</v>
      </c>
      <c r="F710" s="189"/>
      <c r="G710" s="190">
        <f>SUBTOTAL(9,G705:G709)</f>
        <v>15429.71</v>
      </c>
      <c r="H710" s="190"/>
      <c r="J710" s="190">
        <f>SUBTOTAL(9,J705:J709)</f>
        <v>15189.73</v>
      </c>
      <c r="K710" s="191">
        <f>SUBTOTAL(9,K705:K709)</f>
        <v>239.97999999999956</v>
      </c>
      <c r="M710" s="215"/>
      <c r="N710" s="191"/>
    </row>
    <row r="711" spans="1:14" outlineLevel="4" x14ac:dyDescent="0.25">
      <c r="A711" s="188" t="s">
        <v>415</v>
      </c>
      <c r="B711" s="188" t="s">
        <v>838</v>
      </c>
      <c r="C711" s="188" t="s">
        <v>139</v>
      </c>
      <c r="D711" s="188" t="s">
        <v>139</v>
      </c>
      <c r="E711" s="188" t="s">
        <v>839</v>
      </c>
      <c r="F711" s="189">
        <v>45839</v>
      </c>
      <c r="G711" s="190">
        <v>1538.6728000000001</v>
      </c>
      <c r="H711" s="190">
        <f t="shared" si="21"/>
        <v>1538.6728000000001</v>
      </c>
      <c r="J711" s="190">
        <v>1524.7798</v>
      </c>
      <c r="K711" s="191">
        <f t="shared" si="22"/>
        <v>13.893000000000029</v>
      </c>
      <c r="M711" s="215"/>
      <c r="N711" s="191"/>
    </row>
    <row r="712" spans="1:14" outlineLevel="4" x14ac:dyDescent="0.25">
      <c r="A712" s="188" t="s">
        <v>415</v>
      </c>
      <c r="B712" s="188" t="s">
        <v>838</v>
      </c>
      <c r="C712" s="188" t="s">
        <v>142</v>
      </c>
      <c r="D712" s="188" t="s">
        <v>142</v>
      </c>
      <c r="E712" s="188" t="s">
        <v>839</v>
      </c>
      <c r="F712" s="189">
        <v>45839</v>
      </c>
      <c r="G712" s="190">
        <v>338</v>
      </c>
      <c r="H712" s="190">
        <f t="shared" si="21"/>
        <v>338</v>
      </c>
      <c r="J712" s="190">
        <v>338</v>
      </c>
      <c r="K712" s="191">
        <f t="shared" si="22"/>
        <v>0</v>
      </c>
      <c r="M712" s="215"/>
      <c r="N712" s="191"/>
    </row>
    <row r="713" spans="1:14" outlineLevel="4" x14ac:dyDescent="0.25">
      <c r="A713" s="188" t="s">
        <v>415</v>
      </c>
      <c r="B713" s="188" t="s">
        <v>838</v>
      </c>
      <c r="C713" s="188" t="s">
        <v>123</v>
      </c>
      <c r="D713" s="188" t="s">
        <v>840</v>
      </c>
      <c r="E713" s="188" t="s">
        <v>839</v>
      </c>
      <c r="F713" s="189">
        <v>45839</v>
      </c>
      <c r="G713" s="190">
        <v>0</v>
      </c>
      <c r="H713" s="190">
        <f t="shared" si="21"/>
        <v>0</v>
      </c>
      <c r="J713" s="190">
        <v>2.0000000000000001E-4</v>
      </c>
      <c r="K713" s="191">
        <f t="shared" si="22"/>
        <v>-2.0000000000000001E-4</v>
      </c>
      <c r="M713" s="215"/>
      <c r="N713" s="191"/>
    </row>
    <row r="714" spans="1:14" outlineLevel="3" x14ac:dyDescent="0.25">
      <c r="B714" s="183" t="s">
        <v>841</v>
      </c>
      <c r="F714" s="189"/>
      <c r="G714" s="190">
        <f>SUBTOTAL(9,G711:G713)</f>
        <v>1876.6728000000001</v>
      </c>
      <c r="H714" s="190"/>
      <c r="J714" s="190">
        <f>SUBTOTAL(9,J711:J713)</f>
        <v>1862.78</v>
      </c>
      <c r="K714" s="191">
        <f>SUBTOTAL(9,K711:K713)</f>
        <v>13.89280000000003</v>
      </c>
      <c r="M714" s="215"/>
      <c r="N714" s="191"/>
    </row>
    <row r="715" spans="1:14" outlineLevel="4" x14ac:dyDescent="0.25">
      <c r="A715" s="188" t="s">
        <v>415</v>
      </c>
      <c r="B715" s="188" t="s">
        <v>842</v>
      </c>
      <c r="C715" s="188" t="s">
        <v>170</v>
      </c>
      <c r="D715" s="188" t="s">
        <v>170</v>
      </c>
      <c r="E715" s="188" t="s">
        <v>843</v>
      </c>
      <c r="F715" s="189">
        <v>45839</v>
      </c>
      <c r="G715" s="190">
        <v>1638.5</v>
      </c>
      <c r="H715" s="190">
        <f t="shared" si="21"/>
        <v>1638.5</v>
      </c>
      <c r="J715" s="190">
        <v>1638.5</v>
      </c>
      <c r="K715" s="191">
        <f t="shared" si="22"/>
        <v>0</v>
      </c>
      <c r="M715" s="215"/>
      <c r="N715" s="191"/>
    </row>
    <row r="716" spans="1:14" outlineLevel="4" x14ac:dyDescent="0.25">
      <c r="A716" s="188" t="s">
        <v>415</v>
      </c>
      <c r="B716" s="188" t="s">
        <v>842</v>
      </c>
      <c r="C716" s="188" t="s">
        <v>139</v>
      </c>
      <c r="D716" s="188" t="s">
        <v>139</v>
      </c>
      <c r="E716" s="188" t="s">
        <v>843</v>
      </c>
      <c r="F716" s="189">
        <v>45839</v>
      </c>
      <c r="G716" s="190">
        <v>26.2</v>
      </c>
      <c r="H716" s="190">
        <f t="shared" si="21"/>
        <v>26.2</v>
      </c>
      <c r="J716" s="190">
        <v>10</v>
      </c>
      <c r="K716" s="191">
        <f t="shared" si="22"/>
        <v>16.2</v>
      </c>
      <c r="M716" s="215"/>
      <c r="N716" s="191"/>
    </row>
    <row r="717" spans="1:14" outlineLevel="4" x14ac:dyDescent="0.25">
      <c r="A717" s="188" t="s">
        <v>415</v>
      </c>
      <c r="B717" s="188" t="s">
        <v>842</v>
      </c>
      <c r="C717" s="188" t="s">
        <v>142</v>
      </c>
      <c r="D717" s="188" t="s">
        <v>142</v>
      </c>
      <c r="E717" s="188" t="s">
        <v>843</v>
      </c>
      <c r="F717" s="189">
        <v>45839</v>
      </c>
      <c r="G717" s="190">
        <v>1175</v>
      </c>
      <c r="H717" s="190">
        <f t="shared" si="21"/>
        <v>1175</v>
      </c>
      <c r="J717" s="190">
        <v>1195</v>
      </c>
      <c r="K717" s="191">
        <f t="shared" si="22"/>
        <v>-20</v>
      </c>
      <c r="M717" s="215"/>
      <c r="N717" s="191"/>
    </row>
    <row r="718" spans="1:14" outlineLevel="4" x14ac:dyDescent="0.25">
      <c r="A718" s="188" t="s">
        <v>415</v>
      </c>
      <c r="B718" s="188" t="s">
        <v>842</v>
      </c>
      <c r="C718" s="188" t="s">
        <v>123</v>
      </c>
      <c r="D718" s="188" t="s">
        <v>123</v>
      </c>
      <c r="E718" s="188" t="s">
        <v>843</v>
      </c>
      <c r="F718" s="189">
        <v>45839</v>
      </c>
      <c r="G718" s="190">
        <v>4991</v>
      </c>
      <c r="H718" s="190">
        <f t="shared" si="21"/>
        <v>4991</v>
      </c>
      <c r="J718" s="190">
        <v>4991</v>
      </c>
      <c r="K718" s="191">
        <f t="shared" si="22"/>
        <v>0</v>
      </c>
      <c r="M718" s="215"/>
      <c r="N718" s="191"/>
    </row>
    <row r="719" spans="1:14" outlineLevel="4" x14ac:dyDescent="0.25">
      <c r="A719" s="188" t="s">
        <v>415</v>
      </c>
      <c r="B719" s="188" t="s">
        <v>842</v>
      </c>
      <c r="C719" s="188" t="s">
        <v>475</v>
      </c>
      <c r="D719" s="188" t="s">
        <v>475</v>
      </c>
      <c r="E719" s="188" t="s">
        <v>843</v>
      </c>
      <c r="F719" s="189">
        <v>45839</v>
      </c>
      <c r="G719" s="190">
        <v>750</v>
      </c>
      <c r="H719" s="190">
        <f t="shared" si="21"/>
        <v>750</v>
      </c>
      <c r="J719" s="190">
        <v>750</v>
      </c>
      <c r="K719" s="191">
        <f t="shared" si="22"/>
        <v>0</v>
      </c>
      <c r="M719" s="215"/>
      <c r="N719" s="191"/>
    </row>
    <row r="720" spans="1:14" outlineLevel="3" x14ac:dyDescent="0.25">
      <c r="B720" s="183" t="s">
        <v>844</v>
      </c>
      <c r="F720" s="189"/>
      <c r="G720" s="190">
        <f>SUBTOTAL(9,G715:G719)</f>
        <v>8580.7000000000007</v>
      </c>
      <c r="H720" s="190"/>
      <c r="J720" s="190">
        <f>SUBTOTAL(9,J715:J719)</f>
        <v>8584.5</v>
      </c>
      <c r="K720" s="191">
        <f>SUBTOTAL(9,K715:K719)</f>
        <v>-3.8000000000000007</v>
      </c>
      <c r="M720" s="215"/>
      <c r="N720" s="191"/>
    </row>
    <row r="721" spans="1:14" outlineLevel="4" x14ac:dyDescent="0.25">
      <c r="A721" s="188" t="s">
        <v>415</v>
      </c>
      <c r="B721" s="188" t="s">
        <v>845</v>
      </c>
      <c r="C721" s="188" t="s">
        <v>139</v>
      </c>
      <c r="D721" s="188" t="s">
        <v>139</v>
      </c>
      <c r="E721" s="188" t="s">
        <v>846</v>
      </c>
      <c r="F721" s="189">
        <v>45839</v>
      </c>
      <c r="G721" s="190">
        <v>0</v>
      </c>
      <c r="H721" s="190">
        <f t="shared" si="21"/>
        <v>0</v>
      </c>
      <c r="J721" s="190">
        <v>0</v>
      </c>
      <c r="K721" s="191">
        <f t="shared" si="22"/>
        <v>0</v>
      </c>
      <c r="M721" s="215"/>
      <c r="N721" s="191"/>
    </row>
    <row r="722" spans="1:14" outlineLevel="4" x14ac:dyDescent="0.25">
      <c r="A722" s="188" t="s">
        <v>415</v>
      </c>
      <c r="B722" s="188" t="s">
        <v>845</v>
      </c>
      <c r="C722" s="188" t="s">
        <v>142</v>
      </c>
      <c r="D722" s="188" t="s">
        <v>526</v>
      </c>
      <c r="E722" s="188" t="s">
        <v>846</v>
      </c>
      <c r="F722" s="189">
        <v>45839</v>
      </c>
      <c r="G722" s="190">
        <v>2366</v>
      </c>
      <c r="H722" s="190">
        <f t="shared" si="21"/>
        <v>2366</v>
      </c>
      <c r="J722" s="190">
        <v>0</v>
      </c>
      <c r="K722" s="191">
        <f t="shared" si="22"/>
        <v>2366</v>
      </c>
      <c r="M722" s="215" t="s">
        <v>1218</v>
      </c>
      <c r="N722" s="191"/>
    </row>
    <row r="723" spans="1:14" outlineLevel="4" x14ac:dyDescent="0.25">
      <c r="A723" s="188" t="s">
        <v>415</v>
      </c>
      <c r="B723" s="188" t="s">
        <v>845</v>
      </c>
      <c r="C723" s="188" t="s">
        <v>123</v>
      </c>
      <c r="D723" s="188" t="s">
        <v>847</v>
      </c>
      <c r="E723" s="188" t="s">
        <v>846</v>
      </c>
      <c r="F723" s="189">
        <v>45839</v>
      </c>
      <c r="G723" s="190">
        <v>3675</v>
      </c>
      <c r="H723" s="190">
        <f t="shared" si="21"/>
        <v>3675</v>
      </c>
      <c r="J723" s="190">
        <v>3675</v>
      </c>
      <c r="K723" s="191">
        <f t="shared" si="22"/>
        <v>0</v>
      </c>
      <c r="M723" s="215"/>
      <c r="N723" s="191"/>
    </row>
    <row r="724" spans="1:14" outlineLevel="3" x14ac:dyDescent="0.25">
      <c r="B724" s="183" t="s">
        <v>848</v>
      </c>
      <c r="F724" s="189"/>
      <c r="G724" s="190">
        <f>SUBTOTAL(9,G721:G723)</f>
        <v>6041</v>
      </c>
      <c r="H724" s="190"/>
      <c r="J724" s="190">
        <f>SUBTOTAL(9,J721:J723)</f>
        <v>3675</v>
      </c>
      <c r="K724" s="191">
        <f>SUBTOTAL(9,K721:K723)</f>
        <v>2366</v>
      </c>
      <c r="M724" s="215"/>
      <c r="N724" s="191"/>
    </row>
    <row r="725" spans="1:14" outlineLevel="4" x14ac:dyDescent="0.25">
      <c r="A725" s="188" t="s">
        <v>415</v>
      </c>
      <c r="B725" s="188" t="s">
        <v>849</v>
      </c>
      <c r="C725" s="188" t="s">
        <v>170</v>
      </c>
      <c r="D725" s="188" t="s">
        <v>170</v>
      </c>
      <c r="E725" s="188" t="s">
        <v>850</v>
      </c>
      <c r="F725" s="189">
        <v>45839</v>
      </c>
      <c r="G725" s="190">
        <v>125</v>
      </c>
      <c r="H725" s="190">
        <f t="shared" si="21"/>
        <v>125</v>
      </c>
      <c r="J725" s="190">
        <v>125</v>
      </c>
      <c r="K725" s="191">
        <f t="shared" si="22"/>
        <v>0</v>
      </c>
      <c r="M725" s="215"/>
      <c r="N725" s="191"/>
    </row>
    <row r="726" spans="1:14" outlineLevel="4" x14ac:dyDescent="0.25">
      <c r="A726" s="188" t="s">
        <v>415</v>
      </c>
      <c r="B726" s="188" t="s">
        <v>849</v>
      </c>
      <c r="C726" s="188" t="s">
        <v>139</v>
      </c>
      <c r="D726" s="188" t="s">
        <v>139</v>
      </c>
      <c r="E726" s="188" t="s">
        <v>850</v>
      </c>
      <c r="F726" s="189">
        <v>45839</v>
      </c>
      <c r="G726" s="190">
        <v>254.75</v>
      </c>
      <c r="H726" s="190">
        <f t="shared" ref="H726:H804" si="23">+G726</f>
        <v>254.75</v>
      </c>
      <c r="J726" s="190">
        <v>254.75</v>
      </c>
      <c r="K726" s="191">
        <f t="shared" ref="K726:K804" si="24">+H726-J726</f>
        <v>0</v>
      </c>
      <c r="M726" s="215"/>
      <c r="N726" s="191"/>
    </row>
    <row r="727" spans="1:14" outlineLevel="4" x14ac:dyDescent="0.25">
      <c r="A727" s="188" t="s">
        <v>415</v>
      </c>
      <c r="B727" s="188" t="s">
        <v>849</v>
      </c>
      <c r="C727" s="188" t="s">
        <v>142</v>
      </c>
      <c r="D727" s="188" t="s">
        <v>142</v>
      </c>
      <c r="E727" s="188" t="s">
        <v>850</v>
      </c>
      <c r="F727" s="189">
        <v>45839</v>
      </c>
      <c r="G727" s="190">
        <v>91</v>
      </c>
      <c r="H727" s="190">
        <f t="shared" si="23"/>
        <v>91</v>
      </c>
      <c r="J727" s="190">
        <v>91</v>
      </c>
      <c r="K727" s="191">
        <f t="shared" si="24"/>
        <v>0</v>
      </c>
      <c r="M727" s="215"/>
      <c r="N727" s="191"/>
    </row>
    <row r="728" spans="1:14" outlineLevel="4" x14ac:dyDescent="0.25">
      <c r="A728" s="188" t="s">
        <v>415</v>
      </c>
      <c r="B728" s="188" t="s">
        <v>849</v>
      </c>
      <c r="C728" s="188" t="s">
        <v>123</v>
      </c>
      <c r="D728" s="188" t="s">
        <v>851</v>
      </c>
      <c r="E728" s="188" t="s">
        <v>850</v>
      </c>
      <c r="F728" s="189">
        <v>45839</v>
      </c>
      <c r="G728" s="190">
        <v>2060.8000000000002</v>
      </c>
      <c r="H728" s="190">
        <f t="shared" si="23"/>
        <v>2060.8000000000002</v>
      </c>
      <c r="J728" s="190">
        <v>2060.8000000000002</v>
      </c>
      <c r="K728" s="191">
        <f t="shared" si="24"/>
        <v>0</v>
      </c>
      <c r="M728" s="215"/>
      <c r="N728" s="191"/>
    </row>
    <row r="729" spans="1:14" outlineLevel="3" x14ac:dyDescent="0.25">
      <c r="B729" s="183" t="s">
        <v>852</v>
      </c>
      <c r="F729" s="189"/>
      <c r="G729" s="190">
        <f>SUBTOTAL(9,G725:G728)</f>
        <v>2531.5500000000002</v>
      </c>
      <c r="H729" s="190"/>
      <c r="J729" s="190">
        <f>SUBTOTAL(9,J725:J728)</f>
        <v>2531.5500000000002</v>
      </c>
      <c r="K729" s="191">
        <f>SUBTOTAL(9,K725:K728)</f>
        <v>0</v>
      </c>
      <c r="M729" s="215"/>
      <c r="N729" s="191"/>
    </row>
    <row r="730" spans="1:14" outlineLevel="4" x14ac:dyDescent="0.25">
      <c r="A730" s="188" t="s">
        <v>415</v>
      </c>
      <c r="B730" s="188" t="s">
        <v>853</v>
      </c>
      <c r="C730" s="188" t="s">
        <v>420</v>
      </c>
      <c r="D730" s="188" t="s">
        <v>578</v>
      </c>
      <c r="E730" s="188" t="s">
        <v>854</v>
      </c>
      <c r="F730" s="189">
        <v>45839</v>
      </c>
      <c r="G730" s="190">
        <v>600</v>
      </c>
      <c r="H730" s="190">
        <f t="shared" si="23"/>
        <v>600</v>
      </c>
      <c r="J730" s="190">
        <v>586</v>
      </c>
      <c r="K730" s="191">
        <f t="shared" si="24"/>
        <v>14</v>
      </c>
      <c r="M730" s="215"/>
      <c r="N730" s="191"/>
    </row>
    <row r="731" spans="1:14" outlineLevel="4" x14ac:dyDescent="0.25">
      <c r="A731" s="188" t="s">
        <v>415</v>
      </c>
      <c r="B731" s="188" t="s">
        <v>853</v>
      </c>
      <c r="C731" s="188" t="s">
        <v>139</v>
      </c>
      <c r="D731" s="188" t="s">
        <v>581</v>
      </c>
      <c r="E731" s="188" t="s">
        <v>854</v>
      </c>
      <c r="F731" s="189">
        <v>45839</v>
      </c>
      <c r="G731" s="190">
        <v>384.30419999999998</v>
      </c>
      <c r="H731" s="190">
        <f t="shared" si="23"/>
        <v>384.30419999999998</v>
      </c>
      <c r="J731" s="190">
        <v>63</v>
      </c>
      <c r="K731" s="191">
        <f t="shared" si="24"/>
        <v>321.30419999999998</v>
      </c>
      <c r="M731" s="215"/>
      <c r="N731" s="191"/>
    </row>
    <row r="732" spans="1:14" s="202" customFormat="1" outlineLevel="4" x14ac:dyDescent="0.25">
      <c r="A732" s="188" t="s">
        <v>415</v>
      </c>
      <c r="B732" s="202" t="s">
        <v>853</v>
      </c>
      <c r="C732" s="202" t="s">
        <v>139</v>
      </c>
      <c r="D732" s="202" t="s">
        <v>139</v>
      </c>
      <c r="F732" s="203"/>
      <c r="G732" s="204"/>
      <c r="H732" s="190">
        <f t="shared" si="23"/>
        <v>0</v>
      </c>
      <c r="J732" s="204">
        <v>0</v>
      </c>
      <c r="K732" s="191">
        <f t="shared" si="24"/>
        <v>0</v>
      </c>
      <c r="M732" s="216"/>
      <c r="N732" s="206"/>
    </row>
    <row r="733" spans="1:14" outlineLevel="4" x14ac:dyDescent="0.25">
      <c r="A733" s="188" t="s">
        <v>415</v>
      </c>
      <c r="B733" s="188" t="s">
        <v>853</v>
      </c>
      <c r="C733" s="188" t="s">
        <v>142</v>
      </c>
      <c r="D733" s="188" t="s">
        <v>582</v>
      </c>
      <c r="E733" s="188" t="s">
        <v>854</v>
      </c>
      <c r="F733" s="189">
        <v>45839</v>
      </c>
      <c r="G733" s="190">
        <v>840</v>
      </c>
      <c r="H733" s="190">
        <f t="shared" si="23"/>
        <v>840</v>
      </c>
      <c r="J733" s="190">
        <v>133</v>
      </c>
      <c r="K733" s="191">
        <f t="shared" si="24"/>
        <v>707</v>
      </c>
      <c r="M733" s="215"/>
      <c r="N733" s="191"/>
    </row>
    <row r="734" spans="1:14" s="202" customFormat="1" outlineLevel="4" x14ac:dyDescent="0.25">
      <c r="A734" s="188" t="s">
        <v>415</v>
      </c>
      <c r="B734" s="202" t="s">
        <v>853</v>
      </c>
      <c r="C734" s="202" t="s">
        <v>142</v>
      </c>
      <c r="D734" s="202" t="s">
        <v>142</v>
      </c>
      <c r="F734" s="203"/>
      <c r="G734" s="204"/>
      <c r="H734" s="190">
        <f t="shared" si="23"/>
        <v>0</v>
      </c>
      <c r="J734" s="204">
        <v>0</v>
      </c>
      <c r="K734" s="191">
        <f t="shared" si="24"/>
        <v>0</v>
      </c>
      <c r="M734" s="216"/>
      <c r="N734" s="206"/>
    </row>
    <row r="735" spans="1:14" outlineLevel="4" x14ac:dyDescent="0.25">
      <c r="A735" s="188" t="s">
        <v>415</v>
      </c>
      <c r="B735" s="188" t="s">
        <v>853</v>
      </c>
      <c r="C735" s="188" t="s">
        <v>123</v>
      </c>
      <c r="D735" s="188" t="s">
        <v>532</v>
      </c>
      <c r="E735" s="188" t="s">
        <v>854</v>
      </c>
      <c r="F735" s="189">
        <v>45839</v>
      </c>
      <c r="G735" s="190">
        <v>1480</v>
      </c>
      <c r="H735" s="190">
        <f t="shared" si="23"/>
        <v>1480</v>
      </c>
      <c r="J735" s="190">
        <v>2163</v>
      </c>
      <c r="K735" s="191">
        <f t="shared" si="24"/>
        <v>-683</v>
      </c>
      <c r="M735" s="215"/>
      <c r="N735" s="191"/>
    </row>
    <row r="736" spans="1:14" s="202" customFormat="1" outlineLevel="4" x14ac:dyDescent="0.25">
      <c r="A736" s="188" t="s">
        <v>415</v>
      </c>
      <c r="B736" s="202" t="s">
        <v>853</v>
      </c>
      <c r="C736" s="202" t="s">
        <v>123</v>
      </c>
      <c r="D736" s="202" t="s">
        <v>855</v>
      </c>
      <c r="F736" s="203"/>
      <c r="G736" s="204"/>
      <c r="H736" s="190">
        <f t="shared" si="23"/>
        <v>0</v>
      </c>
      <c r="J736" s="204">
        <v>0</v>
      </c>
      <c r="K736" s="191">
        <f t="shared" si="24"/>
        <v>0</v>
      </c>
      <c r="M736" s="216"/>
      <c r="N736" s="206"/>
    </row>
    <row r="737" spans="1:14" s="202" customFormat="1" outlineLevel="3" x14ac:dyDescent="0.25">
      <c r="A737" s="188"/>
      <c r="B737" s="207" t="s">
        <v>856</v>
      </c>
      <c r="F737" s="203"/>
      <c r="G737" s="204">
        <f>SUBTOTAL(9,G730:G736)</f>
        <v>3304.3042</v>
      </c>
      <c r="H737" s="190"/>
      <c r="J737" s="204">
        <f>SUBTOTAL(9,J730:J736)</f>
        <v>2945</v>
      </c>
      <c r="K737" s="191">
        <f>SUBTOTAL(9,K730:K736)</f>
        <v>359.30420000000004</v>
      </c>
      <c r="M737" s="216"/>
      <c r="N737" s="206"/>
    </row>
    <row r="738" spans="1:14" outlineLevel="4" x14ac:dyDescent="0.25">
      <c r="A738" s="188" t="s">
        <v>415</v>
      </c>
      <c r="B738" s="188" t="s">
        <v>857</v>
      </c>
      <c r="C738" s="188" t="s">
        <v>139</v>
      </c>
      <c r="D738" s="188" t="s">
        <v>139</v>
      </c>
      <c r="E738" s="188" t="s">
        <v>858</v>
      </c>
      <c r="F738" s="189">
        <v>45839</v>
      </c>
      <c r="G738" s="190">
        <v>309</v>
      </c>
      <c r="H738" s="190">
        <f t="shared" si="23"/>
        <v>309</v>
      </c>
      <c r="J738" s="190">
        <v>309</v>
      </c>
      <c r="K738" s="191">
        <f t="shared" si="24"/>
        <v>0</v>
      </c>
      <c r="M738" s="215"/>
      <c r="N738" s="191"/>
    </row>
    <row r="739" spans="1:14" outlineLevel="4" x14ac:dyDescent="0.25">
      <c r="A739" s="188" t="s">
        <v>415</v>
      </c>
      <c r="B739" s="188" t="s">
        <v>857</v>
      </c>
      <c r="C739" s="188" t="s">
        <v>142</v>
      </c>
      <c r="D739" s="188" t="s">
        <v>142</v>
      </c>
      <c r="E739" s="188" t="s">
        <v>858</v>
      </c>
      <c r="F739" s="189">
        <v>45839</v>
      </c>
      <c r="G739" s="190">
        <v>1086</v>
      </c>
      <c r="H739" s="190">
        <f t="shared" si="23"/>
        <v>1086</v>
      </c>
      <c r="J739" s="190">
        <v>1080</v>
      </c>
      <c r="K739" s="191">
        <f t="shared" si="24"/>
        <v>6</v>
      </c>
      <c r="M739" s="215"/>
      <c r="N739" s="191"/>
    </row>
    <row r="740" spans="1:14" outlineLevel="4" x14ac:dyDescent="0.25">
      <c r="A740" s="188" t="s">
        <v>415</v>
      </c>
      <c r="B740" s="188" t="s">
        <v>857</v>
      </c>
      <c r="C740" s="188" t="s">
        <v>123</v>
      </c>
      <c r="D740" s="188" t="s">
        <v>859</v>
      </c>
      <c r="E740" s="188" t="s">
        <v>858</v>
      </c>
      <c r="F740" s="189">
        <v>45839</v>
      </c>
      <c r="G740" s="190">
        <v>5549.57</v>
      </c>
      <c r="H740" s="190">
        <f t="shared" si="23"/>
        <v>5549.57</v>
      </c>
      <c r="J740" s="190">
        <v>5549.57</v>
      </c>
      <c r="K740" s="191">
        <f t="shared" si="24"/>
        <v>0</v>
      </c>
      <c r="M740" s="215"/>
      <c r="N740" s="191"/>
    </row>
    <row r="741" spans="1:14" outlineLevel="4" x14ac:dyDescent="0.25">
      <c r="A741" s="188" t="s">
        <v>415</v>
      </c>
      <c r="B741" s="188" t="s">
        <v>857</v>
      </c>
      <c r="C741" s="188" t="s">
        <v>475</v>
      </c>
      <c r="D741" s="188" t="s">
        <v>475</v>
      </c>
      <c r="E741" s="188" t="s">
        <v>858</v>
      </c>
      <c r="F741" s="189">
        <v>45839</v>
      </c>
      <c r="G741" s="190">
        <v>101.51</v>
      </c>
      <c r="H741" s="190">
        <f t="shared" si="23"/>
        <v>101.51</v>
      </c>
      <c r="J741" s="190">
        <v>101.51</v>
      </c>
      <c r="K741" s="191">
        <f t="shared" si="24"/>
        <v>0</v>
      </c>
      <c r="M741" s="215"/>
      <c r="N741" s="191"/>
    </row>
    <row r="742" spans="1:14" outlineLevel="3" x14ac:dyDescent="0.25">
      <c r="B742" s="183" t="s">
        <v>860</v>
      </c>
      <c r="F742" s="189"/>
      <c r="G742" s="190">
        <f>SUBTOTAL(9,G738:G741)</f>
        <v>7046.08</v>
      </c>
      <c r="H742" s="190"/>
      <c r="J742" s="190">
        <f>SUBTOTAL(9,J738:J741)</f>
        <v>7040.08</v>
      </c>
      <c r="K742" s="191">
        <f>SUBTOTAL(9,K738:K741)</f>
        <v>6</v>
      </c>
      <c r="M742" s="215"/>
      <c r="N742" s="191"/>
    </row>
    <row r="743" spans="1:14" outlineLevel="4" x14ac:dyDescent="0.25">
      <c r="A743" s="188" t="s">
        <v>415</v>
      </c>
      <c r="B743" s="188" t="s">
        <v>861</v>
      </c>
      <c r="C743" s="188" t="s">
        <v>139</v>
      </c>
      <c r="D743" s="188" t="s">
        <v>139</v>
      </c>
      <c r="E743" s="188" t="s">
        <v>862</v>
      </c>
      <c r="F743" s="189">
        <v>45839</v>
      </c>
      <c r="G743" s="190">
        <v>130</v>
      </c>
      <c r="H743" s="190">
        <f t="shared" si="23"/>
        <v>130</v>
      </c>
      <c r="J743" s="190">
        <v>130</v>
      </c>
      <c r="K743" s="191">
        <f t="shared" si="24"/>
        <v>0</v>
      </c>
      <c r="M743" s="215"/>
      <c r="N743" s="191"/>
    </row>
    <row r="744" spans="1:14" outlineLevel="4" x14ac:dyDescent="0.25">
      <c r="A744" s="188" t="s">
        <v>415</v>
      </c>
      <c r="B744" s="188" t="s">
        <v>861</v>
      </c>
      <c r="C744" s="188" t="s">
        <v>142</v>
      </c>
      <c r="D744" s="188" t="s">
        <v>142</v>
      </c>
      <c r="E744" s="188" t="s">
        <v>862</v>
      </c>
      <c r="F744" s="189">
        <v>45839</v>
      </c>
      <c r="G744" s="190">
        <v>343</v>
      </c>
      <c r="H744" s="190">
        <f t="shared" si="23"/>
        <v>343</v>
      </c>
      <c r="J744" s="190">
        <v>448</v>
      </c>
      <c r="K744" s="191">
        <f t="shared" si="24"/>
        <v>-105</v>
      </c>
      <c r="M744" s="215"/>
      <c r="N744" s="191"/>
    </row>
    <row r="745" spans="1:14" outlineLevel="4" x14ac:dyDescent="0.25">
      <c r="A745" s="188" t="s">
        <v>415</v>
      </c>
      <c r="B745" s="188" t="s">
        <v>861</v>
      </c>
      <c r="C745" s="188" t="s">
        <v>123</v>
      </c>
      <c r="D745" s="188" t="s">
        <v>863</v>
      </c>
      <c r="E745" s="188" t="s">
        <v>862</v>
      </c>
      <c r="F745" s="189">
        <v>45839</v>
      </c>
      <c r="G745" s="190">
        <v>1639.09</v>
      </c>
      <c r="H745" s="190">
        <f t="shared" si="23"/>
        <v>1639.09</v>
      </c>
      <c r="J745" s="190">
        <v>1591.35</v>
      </c>
      <c r="K745" s="191">
        <f t="shared" si="24"/>
        <v>47.740000000000009</v>
      </c>
      <c r="M745" s="215"/>
      <c r="N745" s="191"/>
    </row>
    <row r="746" spans="1:14" outlineLevel="3" x14ac:dyDescent="0.25">
      <c r="B746" s="183" t="s">
        <v>864</v>
      </c>
      <c r="F746" s="189"/>
      <c r="G746" s="190">
        <f>SUBTOTAL(9,G743:G745)</f>
        <v>2112.09</v>
      </c>
      <c r="H746" s="190"/>
      <c r="J746" s="190">
        <f>SUBTOTAL(9,J743:J745)</f>
        <v>2169.35</v>
      </c>
      <c r="K746" s="191">
        <f>SUBTOTAL(9,K743:K745)</f>
        <v>-57.259999999999991</v>
      </c>
      <c r="M746" s="215"/>
      <c r="N746" s="191"/>
    </row>
    <row r="747" spans="1:14" outlineLevel="4" x14ac:dyDescent="0.25">
      <c r="A747" s="188" t="s">
        <v>415</v>
      </c>
      <c r="B747" s="188" t="s">
        <v>865</v>
      </c>
      <c r="C747" s="188" t="s">
        <v>170</v>
      </c>
      <c r="D747" s="188" t="s">
        <v>866</v>
      </c>
      <c r="E747" s="188" t="s">
        <v>867</v>
      </c>
      <c r="F747" s="189">
        <v>45839</v>
      </c>
      <c r="G747" s="190">
        <v>348</v>
      </c>
      <c r="H747" s="190">
        <f t="shared" si="23"/>
        <v>348</v>
      </c>
      <c r="J747" s="190">
        <v>348</v>
      </c>
      <c r="K747" s="191">
        <f t="shared" si="24"/>
        <v>0</v>
      </c>
      <c r="M747" s="215"/>
      <c r="N747" s="191"/>
    </row>
    <row r="748" spans="1:14" outlineLevel="4" x14ac:dyDescent="0.25">
      <c r="A748" s="188" t="s">
        <v>415</v>
      </c>
      <c r="B748" s="188" t="s">
        <v>865</v>
      </c>
      <c r="C748" s="188" t="s">
        <v>139</v>
      </c>
      <c r="D748" s="188" t="s">
        <v>139</v>
      </c>
      <c r="E748" s="188" t="s">
        <v>867</v>
      </c>
      <c r="F748" s="189">
        <v>45839</v>
      </c>
      <c r="G748" s="190">
        <v>679.75</v>
      </c>
      <c r="H748" s="190">
        <f t="shared" si="23"/>
        <v>679.75</v>
      </c>
      <c r="J748" s="190">
        <v>679.75</v>
      </c>
      <c r="K748" s="191">
        <f t="shared" si="24"/>
        <v>0</v>
      </c>
      <c r="M748" s="215"/>
      <c r="N748" s="191"/>
    </row>
    <row r="749" spans="1:14" outlineLevel="4" x14ac:dyDescent="0.25">
      <c r="A749" s="188" t="s">
        <v>415</v>
      </c>
      <c r="B749" s="188" t="s">
        <v>865</v>
      </c>
      <c r="C749" s="188" t="s">
        <v>142</v>
      </c>
      <c r="D749" s="188" t="s">
        <v>142</v>
      </c>
      <c r="E749" s="188" t="s">
        <v>867</v>
      </c>
      <c r="F749" s="189">
        <v>45839</v>
      </c>
      <c r="G749" s="190">
        <v>189</v>
      </c>
      <c r="H749" s="190">
        <f t="shared" si="23"/>
        <v>189</v>
      </c>
      <c r="J749" s="190">
        <v>203</v>
      </c>
      <c r="K749" s="191">
        <f t="shared" si="24"/>
        <v>-14</v>
      </c>
      <c r="M749" s="215"/>
      <c r="N749" s="191"/>
    </row>
    <row r="750" spans="1:14" outlineLevel="4" x14ac:dyDescent="0.25">
      <c r="A750" s="188" t="s">
        <v>415</v>
      </c>
      <c r="B750" s="188" t="s">
        <v>865</v>
      </c>
      <c r="C750" s="188" t="s">
        <v>123</v>
      </c>
      <c r="D750" s="188" t="s">
        <v>868</v>
      </c>
      <c r="E750" s="188" t="s">
        <v>867</v>
      </c>
      <c r="F750" s="189">
        <v>45839</v>
      </c>
      <c r="G750" s="190">
        <v>1670.92</v>
      </c>
      <c r="H750" s="190">
        <f t="shared" si="23"/>
        <v>1670.92</v>
      </c>
      <c r="J750" s="190">
        <v>1670.92</v>
      </c>
      <c r="K750" s="191">
        <f t="shared" si="24"/>
        <v>0</v>
      </c>
      <c r="M750" s="215"/>
      <c r="N750" s="191"/>
    </row>
    <row r="751" spans="1:14" outlineLevel="3" x14ac:dyDescent="0.25">
      <c r="B751" s="183" t="s">
        <v>869</v>
      </c>
      <c r="F751" s="189"/>
      <c r="G751" s="190">
        <f>SUBTOTAL(9,G747:G750)</f>
        <v>2887.67</v>
      </c>
      <c r="H751" s="190"/>
      <c r="J751" s="190">
        <f>SUBTOTAL(9,J747:J750)</f>
        <v>2901.67</v>
      </c>
      <c r="K751" s="191">
        <f>SUBTOTAL(9,K747:K750)</f>
        <v>-14</v>
      </c>
      <c r="M751" s="215"/>
      <c r="N751" s="191"/>
    </row>
    <row r="752" spans="1:14" outlineLevel="4" x14ac:dyDescent="0.25">
      <c r="A752" s="188" t="s">
        <v>415</v>
      </c>
      <c r="B752" s="188" t="s">
        <v>870</v>
      </c>
      <c r="C752" s="188" t="s">
        <v>170</v>
      </c>
      <c r="D752" s="188" t="s">
        <v>871</v>
      </c>
      <c r="E752" s="188" t="s">
        <v>872</v>
      </c>
      <c r="F752" s="189">
        <v>45839</v>
      </c>
      <c r="G752" s="190">
        <v>140</v>
      </c>
      <c r="H752" s="190">
        <f t="shared" si="23"/>
        <v>140</v>
      </c>
      <c r="J752" s="190">
        <v>140</v>
      </c>
      <c r="K752" s="191">
        <f t="shared" si="24"/>
        <v>0</v>
      </c>
      <c r="M752" s="215"/>
      <c r="N752" s="191"/>
    </row>
    <row r="753" spans="1:14" outlineLevel="4" x14ac:dyDescent="0.25">
      <c r="A753" s="188" t="s">
        <v>415</v>
      </c>
      <c r="B753" s="188" t="s">
        <v>870</v>
      </c>
      <c r="C753" s="188" t="s">
        <v>139</v>
      </c>
      <c r="D753" s="188" t="s">
        <v>139</v>
      </c>
      <c r="E753" s="188" t="s">
        <v>872</v>
      </c>
      <c r="F753" s="189">
        <v>45839</v>
      </c>
      <c r="G753" s="190">
        <v>183.78</v>
      </c>
      <c r="H753" s="190">
        <f t="shared" si="23"/>
        <v>183.78</v>
      </c>
      <c r="J753" s="190">
        <v>183.78</v>
      </c>
      <c r="K753" s="191">
        <f t="shared" si="24"/>
        <v>0</v>
      </c>
      <c r="M753" s="215"/>
      <c r="N753" s="191"/>
    </row>
    <row r="754" spans="1:14" outlineLevel="4" x14ac:dyDescent="0.25">
      <c r="A754" s="188" t="s">
        <v>415</v>
      </c>
      <c r="B754" s="188" t="s">
        <v>870</v>
      </c>
      <c r="C754" s="188" t="s">
        <v>142</v>
      </c>
      <c r="D754" s="188" t="s">
        <v>142</v>
      </c>
      <c r="E754" s="188" t="s">
        <v>872</v>
      </c>
      <c r="F754" s="189">
        <v>45839</v>
      </c>
      <c r="G754" s="190">
        <v>131.25</v>
      </c>
      <c r="H754" s="190">
        <f t="shared" si="23"/>
        <v>131.25</v>
      </c>
      <c r="J754" s="190">
        <v>136.5</v>
      </c>
      <c r="K754" s="191">
        <f t="shared" si="24"/>
        <v>-5.25</v>
      </c>
      <c r="M754" s="215"/>
      <c r="N754" s="191"/>
    </row>
    <row r="755" spans="1:14" outlineLevel="4" x14ac:dyDescent="0.25">
      <c r="A755" s="188" t="s">
        <v>415</v>
      </c>
      <c r="B755" s="188" t="s">
        <v>870</v>
      </c>
      <c r="C755" s="188" t="s">
        <v>123</v>
      </c>
      <c r="D755" s="188" t="s">
        <v>873</v>
      </c>
      <c r="E755" s="188" t="s">
        <v>872</v>
      </c>
      <c r="F755" s="189">
        <v>45839</v>
      </c>
      <c r="G755" s="190">
        <v>2639.29</v>
      </c>
      <c r="H755" s="190">
        <f t="shared" si="23"/>
        <v>2639.29</v>
      </c>
      <c r="J755" s="190">
        <v>2639.29</v>
      </c>
      <c r="K755" s="191">
        <f t="shared" si="24"/>
        <v>0</v>
      </c>
      <c r="M755" s="215"/>
      <c r="N755" s="191"/>
    </row>
    <row r="756" spans="1:14" outlineLevel="4" x14ac:dyDescent="0.25">
      <c r="A756" s="188" t="s">
        <v>415</v>
      </c>
      <c r="B756" s="188" t="s">
        <v>870</v>
      </c>
      <c r="C756" s="188" t="s">
        <v>475</v>
      </c>
      <c r="D756" s="188" t="s">
        <v>874</v>
      </c>
      <c r="E756" s="188" t="s">
        <v>872</v>
      </c>
      <c r="F756" s="189">
        <v>45839</v>
      </c>
      <c r="G756" s="190">
        <v>919.28</v>
      </c>
      <c r="H756" s="190">
        <f t="shared" si="23"/>
        <v>919.28</v>
      </c>
      <c r="J756" s="190">
        <v>919.28</v>
      </c>
      <c r="K756" s="191">
        <f t="shared" si="24"/>
        <v>0</v>
      </c>
      <c r="M756" s="215"/>
      <c r="N756" s="191"/>
    </row>
    <row r="757" spans="1:14" outlineLevel="3" x14ac:dyDescent="0.25">
      <c r="B757" s="183" t="s">
        <v>875</v>
      </c>
      <c r="F757" s="189"/>
      <c r="G757" s="190">
        <f>SUBTOTAL(9,G752:G756)</f>
        <v>4013.5999999999995</v>
      </c>
      <c r="H757" s="190"/>
      <c r="J757" s="190">
        <f>SUBTOTAL(9,J752:J756)</f>
        <v>4018.8499999999995</v>
      </c>
      <c r="K757" s="191">
        <f>SUBTOTAL(9,K752:K756)</f>
        <v>-5.25</v>
      </c>
      <c r="M757" s="215"/>
      <c r="N757" s="191"/>
    </row>
    <row r="758" spans="1:14" outlineLevel="4" x14ac:dyDescent="0.25">
      <c r="A758" s="188" t="s">
        <v>415</v>
      </c>
      <c r="B758" s="188" t="s">
        <v>876</v>
      </c>
      <c r="C758" s="188" t="s">
        <v>139</v>
      </c>
      <c r="D758" s="188" t="s">
        <v>877</v>
      </c>
      <c r="E758" s="188" t="s">
        <v>878</v>
      </c>
      <c r="F758" s="189">
        <v>45839</v>
      </c>
      <c r="G758" s="190">
        <v>245</v>
      </c>
      <c r="H758" s="190">
        <f t="shared" si="23"/>
        <v>245</v>
      </c>
      <c r="J758" s="190">
        <v>270</v>
      </c>
      <c r="K758" s="191">
        <f t="shared" si="24"/>
        <v>-25</v>
      </c>
      <c r="M758" s="215"/>
      <c r="N758" s="191"/>
    </row>
    <row r="759" spans="1:14" outlineLevel="4" x14ac:dyDescent="0.25">
      <c r="A759" s="188" t="s">
        <v>415</v>
      </c>
      <c r="B759" s="188" t="s">
        <v>876</v>
      </c>
      <c r="C759" s="188" t="s">
        <v>139</v>
      </c>
      <c r="D759" s="188" t="s">
        <v>879</v>
      </c>
      <c r="E759" s="188" t="s">
        <v>880</v>
      </c>
      <c r="F759" s="189">
        <v>45839</v>
      </c>
      <c r="G759" s="190">
        <v>352</v>
      </c>
      <c r="H759" s="190">
        <f t="shared" si="23"/>
        <v>352</v>
      </c>
      <c r="J759" s="190">
        <v>352</v>
      </c>
      <c r="K759" s="191">
        <f t="shared" si="24"/>
        <v>0</v>
      </c>
      <c r="M759" s="215"/>
      <c r="N759" s="191"/>
    </row>
    <row r="760" spans="1:14" outlineLevel="4" x14ac:dyDescent="0.25">
      <c r="A760" s="188" t="s">
        <v>415</v>
      </c>
      <c r="B760" s="188" t="s">
        <v>876</v>
      </c>
      <c r="C760" s="188" t="s">
        <v>142</v>
      </c>
      <c r="D760" s="188" t="s">
        <v>142</v>
      </c>
      <c r="E760" s="188" t="s">
        <v>881</v>
      </c>
      <c r="F760" s="189">
        <v>45839</v>
      </c>
      <c r="G760" s="190">
        <v>2057.25</v>
      </c>
      <c r="H760" s="190">
        <f t="shared" si="23"/>
        <v>2057.25</v>
      </c>
      <c r="J760" s="190">
        <v>2054</v>
      </c>
      <c r="K760" s="191">
        <f t="shared" si="24"/>
        <v>3.25</v>
      </c>
      <c r="M760" s="215"/>
      <c r="N760" s="191"/>
    </row>
    <row r="761" spans="1:14" outlineLevel="4" x14ac:dyDescent="0.25">
      <c r="A761" s="188" t="s">
        <v>415</v>
      </c>
      <c r="B761" s="188" t="s">
        <v>876</v>
      </c>
      <c r="C761" s="188" t="s">
        <v>123</v>
      </c>
      <c r="D761" s="188" t="s">
        <v>882</v>
      </c>
      <c r="E761" s="188" t="s">
        <v>883</v>
      </c>
      <c r="F761" s="189">
        <v>45839</v>
      </c>
      <c r="G761" s="190">
        <v>11139.45</v>
      </c>
      <c r="H761" s="190">
        <f t="shared" si="23"/>
        <v>11139.45</v>
      </c>
      <c r="J761" s="190">
        <v>11139.45</v>
      </c>
      <c r="K761" s="191">
        <f t="shared" si="24"/>
        <v>0</v>
      </c>
      <c r="M761" s="215"/>
      <c r="N761" s="191"/>
    </row>
    <row r="762" spans="1:14" outlineLevel="3" x14ac:dyDescent="0.25">
      <c r="B762" s="183" t="s">
        <v>884</v>
      </c>
      <c r="F762" s="189"/>
      <c r="G762" s="190">
        <f>SUBTOTAL(9,G758:G761)</f>
        <v>13793.7</v>
      </c>
      <c r="H762" s="190"/>
      <c r="J762" s="190">
        <f>SUBTOTAL(9,J758:J761)</f>
        <v>13815.45</v>
      </c>
      <c r="K762" s="191">
        <f>SUBTOTAL(9,K758:K761)</f>
        <v>-21.75</v>
      </c>
      <c r="M762" s="215"/>
      <c r="N762" s="191"/>
    </row>
    <row r="763" spans="1:14" outlineLevel="4" x14ac:dyDescent="0.25">
      <c r="A763" s="188" t="s">
        <v>415</v>
      </c>
      <c r="B763" s="188" t="s">
        <v>885</v>
      </c>
      <c r="C763" s="188" t="s">
        <v>170</v>
      </c>
      <c r="D763" s="188" t="s">
        <v>886</v>
      </c>
      <c r="E763" s="188" t="s">
        <v>887</v>
      </c>
      <c r="F763" s="189">
        <v>45839</v>
      </c>
      <c r="G763" s="190">
        <v>154</v>
      </c>
      <c r="H763" s="190">
        <f t="shared" si="23"/>
        <v>154</v>
      </c>
      <c r="J763" s="190">
        <v>154</v>
      </c>
      <c r="K763" s="191">
        <f t="shared" si="24"/>
        <v>0</v>
      </c>
      <c r="M763" s="215"/>
      <c r="N763" s="191"/>
    </row>
    <row r="764" spans="1:14" outlineLevel="4" x14ac:dyDescent="0.25">
      <c r="A764" s="188" t="s">
        <v>415</v>
      </c>
      <c r="B764" s="188" t="s">
        <v>885</v>
      </c>
      <c r="C764" s="188" t="s">
        <v>170</v>
      </c>
      <c r="D764" s="188" t="s">
        <v>888</v>
      </c>
      <c r="E764" s="188" t="s">
        <v>887</v>
      </c>
      <c r="F764" s="189">
        <v>45839</v>
      </c>
      <c r="G764" s="190">
        <v>1132</v>
      </c>
      <c r="H764" s="190">
        <f t="shared" si="23"/>
        <v>1132</v>
      </c>
      <c r="J764" s="190">
        <v>1132</v>
      </c>
      <c r="K764" s="191">
        <f t="shared" si="24"/>
        <v>0</v>
      </c>
      <c r="M764" s="215"/>
      <c r="N764" s="191"/>
    </row>
    <row r="765" spans="1:14" outlineLevel="4" x14ac:dyDescent="0.25">
      <c r="A765" s="188" t="s">
        <v>415</v>
      </c>
      <c r="B765" s="188" t="s">
        <v>885</v>
      </c>
      <c r="C765" s="188" t="s">
        <v>139</v>
      </c>
      <c r="D765" s="188" t="s">
        <v>139</v>
      </c>
      <c r="E765" s="188" t="s">
        <v>887</v>
      </c>
      <c r="F765" s="189">
        <v>45839</v>
      </c>
      <c r="G765" s="190">
        <v>804.25</v>
      </c>
      <c r="H765" s="190">
        <f t="shared" si="23"/>
        <v>804.25</v>
      </c>
      <c r="J765" s="190">
        <v>804.25</v>
      </c>
      <c r="K765" s="191">
        <f t="shared" si="24"/>
        <v>0</v>
      </c>
      <c r="M765" s="215"/>
      <c r="N765" s="191"/>
    </row>
    <row r="766" spans="1:14" outlineLevel="4" x14ac:dyDescent="0.25">
      <c r="A766" s="188" t="s">
        <v>415</v>
      </c>
      <c r="B766" s="188" t="s">
        <v>885</v>
      </c>
      <c r="C766" s="188" t="s">
        <v>142</v>
      </c>
      <c r="D766" s="188" t="s">
        <v>142</v>
      </c>
      <c r="E766" s="188" t="s">
        <v>887</v>
      </c>
      <c r="F766" s="189">
        <v>45839</v>
      </c>
      <c r="G766" s="190">
        <v>1764.2</v>
      </c>
      <c r="H766" s="190">
        <f t="shared" si="23"/>
        <v>1764.2</v>
      </c>
      <c r="J766" s="190">
        <v>1784.6</v>
      </c>
      <c r="K766" s="191">
        <f t="shared" si="24"/>
        <v>-20.399999999999864</v>
      </c>
      <c r="M766" s="215"/>
      <c r="N766" s="191"/>
    </row>
    <row r="767" spans="1:14" outlineLevel="4" x14ac:dyDescent="0.25">
      <c r="A767" s="188" t="s">
        <v>415</v>
      </c>
      <c r="B767" s="188" t="s">
        <v>885</v>
      </c>
      <c r="C767" s="188" t="s">
        <v>123</v>
      </c>
      <c r="D767" s="188" t="s">
        <v>123</v>
      </c>
      <c r="E767" s="188" t="s">
        <v>887</v>
      </c>
      <c r="F767" s="189">
        <v>45839</v>
      </c>
      <c r="G767" s="190">
        <v>4372.3900000000003</v>
      </c>
      <c r="H767" s="190">
        <f t="shared" si="23"/>
        <v>4372.3900000000003</v>
      </c>
      <c r="J767" s="190">
        <v>4372.3900000000003</v>
      </c>
      <c r="K767" s="191">
        <f t="shared" si="24"/>
        <v>0</v>
      </c>
      <c r="M767" s="215"/>
      <c r="N767" s="191"/>
    </row>
    <row r="768" spans="1:14" outlineLevel="3" x14ac:dyDescent="0.25">
      <c r="B768" s="183" t="s">
        <v>889</v>
      </c>
      <c r="F768" s="189"/>
      <c r="G768" s="190">
        <f>SUBTOTAL(9,G763:G767)</f>
        <v>8226.84</v>
      </c>
      <c r="H768" s="190"/>
      <c r="J768" s="190">
        <f>SUBTOTAL(9,J763:J767)</f>
        <v>8247.24</v>
      </c>
      <c r="K768" s="191">
        <f>SUBTOTAL(9,K763:K767)</f>
        <v>-20.399999999999864</v>
      </c>
      <c r="M768" s="215"/>
      <c r="N768" s="191"/>
    </row>
    <row r="769" spans="1:14" outlineLevel="4" x14ac:dyDescent="0.25">
      <c r="A769" s="188" t="s">
        <v>415</v>
      </c>
      <c r="B769" s="188" t="s">
        <v>890</v>
      </c>
      <c r="C769" s="188" t="s">
        <v>170</v>
      </c>
      <c r="D769" s="188" t="s">
        <v>170</v>
      </c>
      <c r="E769" s="188" t="s">
        <v>891</v>
      </c>
      <c r="F769" s="189">
        <v>45839</v>
      </c>
      <c r="G769" s="190">
        <v>282</v>
      </c>
      <c r="H769" s="190">
        <f t="shared" si="23"/>
        <v>282</v>
      </c>
      <c r="J769" s="190">
        <v>282</v>
      </c>
      <c r="K769" s="191">
        <f t="shared" si="24"/>
        <v>0</v>
      </c>
      <c r="M769" s="215"/>
      <c r="N769" s="191"/>
    </row>
    <row r="770" spans="1:14" outlineLevel="4" x14ac:dyDescent="0.25">
      <c r="A770" s="188" t="s">
        <v>415</v>
      </c>
      <c r="B770" s="188" t="s">
        <v>890</v>
      </c>
      <c r="C770" s="188" t="s">
        <v>139</v>
      </c>
      <c r="D770" s="188" t="s">
        <v>139</v>
      </c>
      <c r="E770" s="188" t="s">
        <v>891</v>
      </c>
      <c r="F770" s="189">
        <v>45839</v>
      </c>
      <c r="G770" s="190">
        <v>848.62919999999997</v>
      </c>
      <c r="H770" s="190">
        <f t="shared" si="23"/>
        <v>848.62919999999997</v>
      </c>
      <c r="J770" s="190">
        <v>843.98360000000002</v>
      </c>
      <c r="K770" s="191">
        <f t="shared" si="24"/>
        <v>4.6455999999999449</v>
      </c>
      <c r="M770" s="215"/>
      <c r="N770" s="191"/>
    </row>
    <row r="771" spans="1:14" outlineLevel="4" x14ac:dyDescent="0.25">
      <c r="A771" s="188" t="s">
        <v>415</v>
      </c>
      <c r="B771" s="188" t="s">
        <v>890</v>
      </c>
      <c r="C771" s="188" t="s">
        <v>142</v>
      </c>
      <c r="D771" s="188" t="s">
        <v>142</v>
      </c>
      <c r="E771" s="188" t="s">
        <v>891</v>
      </c>
      <c r="F771" s="189">
        <v>45839</v>
      </c>
      <c r="G771" s="190">
        <v>175</v>
      </c>
      <c r="H771" s="190">
        <f t="shared" si="23"/>
        <v>175</v>
      </c>
      <c r="J771" s="190">
        <v>175</v>
      </c>
      <c r="K771" s="191">
        <f t="shared" si="24"/>
        <v>0</v>
      </c>
      <c r="M771" s="215"/>
      <c r="N771" s="191"/>
    </row>
    <row r="772" spans="1:14" outlineLevel="4" x14ac:dyDescent="0.25">
      <c r="A772" s="188" t="s">
        <v>415</v>
      </c>
      <c r="B772" s="188" t="s">
        <v>890</v>
      </c>
      <c r="C772" s="188" t="s">
        <v>123</v>
      </c>
      <c r="D772" s="188" t="s">
        <v>123</v>
      </c>
      <c r="E772" s="188" t="s">
        <v>891</v>
      </c>
      <c r="F772" s="189">
        <v>45839</v>
      </c>
      <c r="G772" s="190">
        <v>1680.0008</v>
      </c>
      <c r="H772" s="190">
        <f t="shared" si="23"/>
        <v>1680.0008</v>
      </c>
      <c r="J772" s="190">
        <v>1680</v>
      </c>
      <c r="K772" s="191">
        <f t="shared" si="24"/>
        <v>8.0000000002655725E-4</v>
      </c>
      <c r="M772" s="215"/>
      <c r="N772" s="191"/>
    </row>
    <row r="773" spans="1:14" outlineLevel="3" x14ac:dyDescent="0.25">
      <c r="B773" s="183" t="s">
        <v>892</v>
      </c>
      <c r="F773" s="189"/>
      <c r="G773" s="190">
        <f>SUBTOTAL(9,G769:G772)</f>
        <v>2985.63</v>
      </c>
      <c r="H773" s="190"/>
      <c r="J773" s="190">
        <f>SUBTOTAL(9,J769:J772)</f>
        <v>2980.9836</v>
      </c>
      <c r="K773" s="191">
        <f>SUBTOTAL(9,K769:K772)</f>
        <v>4.6463999999999714</v>
      </c>
      <c r="M773" s="215"/>
      <c r="N773" s="191"/>
    </row>
    <row r="774" spans="1:14" outlineLevel="4" x14ac:dyDescent="0.25">
      <c r="A774" s="188" t="s">
        <v>415</v>
      </c>
      <c r="B774" s="188" t="s">
        <v>893</v>
      </c>
      <c r="C774" s="188" t="s">
        <v>139</v>
      </c>
      <c r="D774" s="188" t="s">
        <v>179</v>
      </c>
      <c r="E774" s="188" t="s">
        <v>894</v>
      </c>
      <c r="F774" s="189">
        <v>45839</v>
      </c>
      <c r="G774" s="190">
        <v>781</v>
      </c>
      <c r="H774" s="190">
        <f t="shared" si="23"/>
        <v>781</v>
      </c>
      <c r="J774" s="190">
        <v>1131</v>
      </c>
      <c r="K774" s="191">
        <f t="shared" si="24"/>
        <v>-350</v>
      </c>
      <c r="M774" s="215" t="s">
        <v>1219</v>
      </c>
      <c r="N774" s="191"/>
    </row>
    <row r="775" spans="1:14" s="202" customFormat="1" outlineLevel="4" x14ac:dyDescent="0.25">
      <c r="A775" s="188" t="s">
        <v>415</v>
      </c>
      <c r="B775" s="202" t="s">
        <v>893</v>
      </c>
      <c r="C775" s="202" t="s">
        <v>139</v>
      </c>
      <c r="D775" s="202" t="s">
        <v>895</v>
      </c>
      <c r="F775" s="203"/>
      <c r="G775" s="204"/>
      <c r="H775" s="190">
        <f t="shared" si="23"/>
        <v>0</v>
      </c>
      <c r="J775" s="204">
        <v>0</v>
      </c>
      <c r="K775" s="191">
        <f t="shared" si="24"/>
        <v>0</v>
      </c>
      <c r="M775" s="216"/>
      <c r="N775" s="206"/>
    </row>
    <row r="776" spans="1:14" outlineLevel="4" x14ac:dyDescent="0.25">
      <c r="A776" s="188" t="s">
        <v>415</v>
      </c>
      <c r="B776" s="188" t="s">
        <v>893</v>
      </c>
      <c r="C776" s="188" t="s">
        <v>142</v>
      </c>
      <c r="D776" s="188" t="s">
        <v>142</v>
      </c>
      <c r="E776" s="188" t="s">
        <v>896</v>
      </c>
      <c r="F776" s="189">
        <v>45839</v>
      </c>
      <c r="G776" s="190">
        <v>4148.25</v>
      </c>
      <c r="H776" s="190">
        <f t="shared" si="23"/>
        <v>4148.25</v>
      </c>
      <c r="J776" s="190">
        <v>4219.75</v>
      </c>
      <c r="K776" s="191">
        <f t="shared" si="24"/>
        <v>-71.5</v>
      </c>
      <c r="M776" s="215"/>
      <c r="N776" s="191"/>
    </row>
    <row r="777" spans="1:14" outlineLevel="4" x14ac:dyDescent="0.25">
      <c r="A777" s="188" t="s">
        <v>415</v>
      </c>
      <c r="B777" s="188" t="s">
        <v>893</v>
      </c>
      <c r="C777" s="188" t="s">
        <v>123</v>
      </c>
      <c r="D777" s="188" t="s">
        <v>897</v>
      </c>
      <c r="E777" s="188" t="s">
        <v>898</v>
      </c>
      <c r="F777" s="189">
        <v>45839</v>
      </c>
      <c r="G777" s="190">
        <v>636.5</v>
      </c>
      <c r="H777" s="190">
        <f t="shared" si="23"/>
        <v>636.5</v>
      </c>
      <c r="J777" s="190">
        <v>618</v>
      </c>
      <c r="K777" s="191">
        <f t="shared" si="24"/>
        <v>18.5</v>
      </c>
      <c r="M777" s="215"/>
      <c r="N777" s="191"/>
    </row>
    <row r="778" spans="1:14" outlineLevel="4" x14ac:dyDescent="0.25">
      <c r="A778" s="188" t="s">
        <v>415</v>
      </c>
      <c r="B778" s="188" t="s">
        <v>893</v>
      </c>
      <c r="C778" s="188" t="s">
        <v>123</v>
      </c>
      <c r="D778" s="188" t="s">
        <v>428</v>
      </c>
      <c r="E778" s="188" t="s">
        <v>896</v>
      </c>
      <c r="F778" s="189">
        <v>45839</v>
      </c>
      <c r="G778" s="190">
        <v>11509.08</v>
      </c>
      <c r="H778" s="190">
        <f t="shared" si="23"/>
        <v>11509.08</v>
      </c>
      <c r="J778" s="190">
        <v>11028.25</v>
      </c>
      <c r="K778" s="191">
        <f t="shared" si="24"/>
        <v>480.82999999999993</v>
      </c>
      <c r="M778" s="215"/>
      <c r="N778" s="191"/>
    </row>
    <row r="779" spans="1:14" outlineLevel="4" x14ac:dyDescent="0.25">
      <c r="A779" s="188" t="s">
        <v>415</v>
      </c>
      <c r="B779" s="188" t="s">
        <v>893</v>
      </c>
      <c r="C779" s="188" t="s">
        <v>475</v>
      </c>
      <c r="D779" s="188" t="s">
        <v>899</v>
      </c>
      <c r="E779" s="188" t="s">
        <v>896</v>
      </c>
      <c r="F779" s="189">
        <v>45839</v>
      </c>
      <c r="G779" s="190">
        <v>3650</v>
      </c>
      <c r="H779" s="190">
        <f t="shared" si="23"/>
        <v>3650</v>
      </c>
      <c r="J779" s="190">
        <v>3650</v>
      </c>
      <c r="K779" s="191">
        <f t="shared" si="24"/>
        <v>0</v>
      </c>
      <c r="M779" s="215"/>
      <c r="N779" s="191"/>
    </row>
    <row r="780" spans="1:14" outlineLevel="3" x14ac:dyDescent="0.25">
      <c r="B780" s="183" t="s">
        <v>900</v>
      </c>
      <c r="F780" s="189"/>
      <c r="G780" s="190">
        <f>SUBTOTAL(9,G774:G779)</f>
        <v>20724.830000000002</v>
      </c>
      <c r="H780" s="190"/>
      <c r="J780" s="190">
        <f>SUBTOTAL(9,J774:J779)</f>
        <v>20647</v>
      </c>
      <c r="K780" s="191">
        <f>SUBTOTAL(9,K774:K779)</f>
        <v>77.829999999999927</v>
      </c>
      <c r="M780" s="215"/>
      <c r="N780" s="191"/>
    </row>
    <row r="781" spans="1:14" outlineLevel="4" x14ac:dyDescent="0.25">
      <c r="A781" s="188" t="s">
        <v>415</v>
      </c>
      <c r="B781" s="188" t="s">
        <v>901</v>
      </c>
      <c r="C781" s="188" t="s">
        <v>170</v>
      </c>
      <c r="D781" s="188" t="s">
        <v>170</v>
      </c>
      <c r="E781" s="188" t="s">
        <v>902</v>
      </c>
      <c r="F781" s="189">
        <v>45839</v>
      </c>
      <c r="G781" s="190">
        <v>1962.6</v>
      </c>
      <c r="H781" s="190">
        <f t="shared" si="23"/>
        <v>1962.6</v>
      </c>
      <c r="J781" s="190">
        <v>1962.6</v>
      </c>
      <c r="K781" s="191">
        <f t="shared" si="24"/>
        <v>0</v>
      </c>
      <c r="M781" s="215"/>
      <c r="N781" s="191"/>
    </row>
    <row r="782" spans="1:14" outlineLevel="4" x14ac:dyDescent="0.25">
      <c r="A782" s="188" t="s">
        <v>415</v>
      </c>
      <c r="B782" s="188" t="s">
        <v>901</v>
      </c>
      <c r="C782" s="188" t="s">
        <v>139</v>
      </c>
      <c r="D782" s="188" t="s">
        <v>139</v>
      </c>
      <c r="E782" s="188" t="s">
        <v>903</v>
      </c>
      <c r="F782" s="189">
        <v>45839</v>
      </c>
      <c r="G782" s="190">
        <v>210</v>
      </c>
      <c r="H782" s="190">
        <f t="shared" si="23"/>
        <v>210</v>
      </c>
      <c r="J782" s="190">
        <v>286</v>
      </c>
      <c r="K782" s="191">
        <f t="shared" si="24"/>
        <v>-76</v>
      </c>
      <c r="M782" s="215"/>
      <c r="N782" s="191"/>
    </row>
    <row r="783" spans="1:14" outlineLevel="4" x14ac:dyDescent="0.25">
      <c r="A783" s="188" t="s">
        <v>415</v>
      </c>
      <c r="B783" s="188" t="s">
        <v>901</v>
      </c>
      <c r="C783" s="188" t="s">
        <v>142</v>
      </c>
      <c r="D783" s="188" t="s">
        <v>142</v>
      </c>
      <c r="E783" s="188" t="s">
        <v>903</v>
      </c>
      <c r="F783" s="189">
        <v>45839</v>
      </c>
      <c r="G783" s="190">
        <v>1250.5</v>
      </c>
      <c r="H783" s="190">
        <f t="shared" si="23"/>
        <v>1250.5</v>
      </c>
      <c r="J783" s="190">
        <v>1321.5</v>
      </c>
      <c r="K783" s="191">
        <f t="shared" si="24"/>
        <v>-71</v>
      </c>
      <c r="M783" s="215"/>
      <c r="N783" s="191"/>
    </row>
    <row r="784" spans="1:14" outlineLevel="4" x14ac:dyDescent="0.25">
      <c r="A784" s="188" t="s">
        <v>415</v>
      </c>
      <c r="B784" s="188" t="s">
        <v>901</v>
      </c>
      <c r="C784" s="188" t="s">
        <v>123</v>
      </c>
      <c r="D784" s="188" t="s">
        <v>123</v>
      </c>
      <c r="E784" s="188" t="s">
        <v>903</v>
      </c>
      <c r="F784" s="189">
        <v>45839</v>
      </c>
      <c r="G784" s="190">
        <v>4450</v>
      </c>
      <c r="H784" s="190">
        <f t="shared" si="23"/>
        <v>4450</v>
      </c>
      <c r="J784" s="190">
        <v>4450</v>
      </c>
      <c r="K784" s="191">
        <f t="shared" si="24"/>
        <v>0</v>
      </c>
      <c r="M784" s="215"/>
      <c r="N784" s="191"/>
    </row>
    <row r="785" spans="1:14" outlineLevel="3" x14ac:dyDescent="0.25">
      <c r="B785" s="183" t="s">
        <v>904</v>
      </c>
      <c r="F785" s="189"/>
      <c r="G785" s="190">
        <f>SUBTOTAL(9,G781:G784)</f>
        <v>7873.1</v>
      </c>
      <c r="H785" s="190"/>
      <c r="J785" s="190">
        <f>SUBTOTAL(9,J781:J784)</f>
        <v>8020.1</v>
      </c>
      <c r="K785" s="191">
        <f>SUBTOTAL(9,K781:K784)</f>
        <v>-147</v>
      </c>
      <c r="M785" s="215"/>
      <c r="N785" s="191"/>
    </row>
    <row r="786" spans="1:14" outlineLevel="4" x14ac:dyDescent="0.25">
      <c r="A786" s="188" t="s">
        <v>415</v>
      </c>
      <c r="B786" s="188" t="s">
        <v>905</v>
      </c>
      <c r="C786" s="188" t="s">
        <v>123</v>
      </c>
      <c r="D786" s="188" t="s">
        <v>123</v>
      </c>
      <c r="E786" s="188" t="s">
        <v>906</v>
      </c>
      <c r="F786" s="189">
        <v>45839</v>
      </c>
      <c r="G786" s="190">
        <v>6554</v>
      </c>
      <c r="H786" s="190">
        <f t="shared" si="23"/>
        <v>6554</v>
      </c>
      <c r="J786" s="190">
        <v>7125</v>
      </c>
      <c r="K786" s="191">
        <f t="shared" si="24"/>
        <v>-571</v>
      </c>
      <c r="M786" s="215"/>
      <c r="N786" s="191"/>
    </row>
    <row r="787" spans="1:14" outlineLevel="3" x14ac:dyDescent="0.25">
      <c r="B787" s="183" t="s">
        <v>907</v>
      </c>
      <c r="F787" s="189"/>
      <c r="G787" s="190">
        <f>SUBTOTAL(9,G786:G786)</f>
        <v>6554</v>
      </c>
      <c r="H787" s="190"/>
      <c r="J787" s="190">
        <f>SUBTOTAL(9,J786:J786)</f>
        <v>7125</v>
      </c>
      <c r="K787" s="191">
        <f>SUBTOTAL(9,K786:K786)</f>
        <v>-571</v>
      </c>
      <c r="M787" s="215"/>
      <c r="N787" s="191"/>
    </row>
    <row r="788" spans="1:14" outlineLevel="4" x14ac:dyDescent="0.25">
      <c r="A788" s="188" t="s">
        <v>415</v>
      </c>
      <c r="B788" s="188" t="s">
        <v>908</v>
      </c>
      <c r="C788" s="188" t="s">
        <v>170</v>
      </c>
      <c r="D788" s="188" t="s">
        <v>170</v>
      </c>
      <c r="E788" s="188" t="s">
        <v>909</v>
      </c>
      <c r="F788" s="189">
        <v>45839</v>
      </c>
      <c r="G788" s="190">
        <v>352</v>
      </c>
      <c r="H788" s="190">
        <f t="shared" si="23"/>
        <v>352</v>
      </c>
      <c r="J788" s="190">
        <v>352</v>
      </c>
      <c r="K788" s="191">
        <f t="shared" si="24"/>
        <v>0</v>
      </c>
      <c r="M788" s="215"/>
      <c r="N788" s="191"/>
    </row>
    <row r="789" spans="1:14" outlineLevel="4" x14ac:dyDescent="0.25">
      <c r="A789" s="188" t="s">
        <v>415</v>
      </c>
      <c r="B789" s="188" t="s">
        <v>908</v>
      </c>
      <c r="C789" s="188" t="s">
        <v>139</v>
      </c>
      <c r="D789" s="188" t="s">
        <v>139</v>
      </c>
      <c r="E789" s="188" t="s">
        <v>909</v>
      </c>
      <c r="F789" s="189">
        <v>45839</v>
      </c>
      <c r="G789" s="190">
        <v>147.34</v>
      </c>
      <c r="H789" s="190">
        <f t="shared" si="23"/>
        <v>147.34</v>
      </c>
      <c r="J789" s="190">
        <v>147.34</v>
      </c>
      <c r="K789" s="191">
        <f t="shared" si="24"/>
        <v>0</v>
      </c>
      <c r="M789" s="215"/>
      <c r="N789" s="191"/>
    </row>
    <row r="790" spans="1:14" outlineLevel="4" x14ac:dyDescent="0.25">
      <c r="A790" s="188" t="s">
        <v>415</v>
      </c>
      <c r="B790" s="188" t="s">
        <v>908</v>
      </c>
      <c r="C790" s="188" t="s">
        <v>142</v>
      </c>
      <c r="D790" s="188" t="s">
        <v>142</v>
      </c>
      <c r="E790" s="188" t="s">
        <v>909</v>
      </c>
      <c r="F790" s="189">
        <v>45839</v>
      </c>
      <c r="G790" s="190">
        <v>1080.2</v>
      </c>
      <c r="H790" s="190">
        <f t="shared" si="23"/>
        <v>1080.2</v>
      </c>
      <c r="J790" s="190">
        <v>1136.2</v>
      </c>
      <c r="K790" s="191">
        <f t="shared" si="24"/>
        <v>-56</v>
      </c>
      <c r="M790" s="215"/>
      <c r="N790" s="191"/>
    </row>
    <row r="791" spans="1:14" outlineLevel="4" x14ac:dyDescent="0.25">
      <c r="A791" s="188" t="s">
        <v>415</v>
      </c>
      <c r="B791" s="188" t="s">
        <v>908</v>
      </c>
      <c r="C791" s="188" t="s">
        <v>123</v>
      </c>
      <c r="D791" s="188" t="s">
        <v>123</v>
      </c>
      <c r="E791" s="188" t="s">
        <v>909</v>
      </c>
      <c r="F791" s="189">
        <v>45839</v>
      </c>
      <c r="G791" s="190">
        <v>1801</v>
      </c>
      <c r="H791" s="190">
        <f t="shared" si="23"/>
        <v>1801</v>
      </c>
      <c r="J791" s="190">
        <v>1801</v>
      </c>
      <c r="K791" s="191">
        <f t="shared" si="24"/>
        <v>0</v>
      </c>
      <c r="M791" s="215"/>
      <c r="N791" s="191"/>
    </row>
    <row r="792" spans="1:14" outlineLevel="4" x14ac:dyDescent="0.25">
      <c r="A792" s="188" t="s">
        <v>415</v>
      </c>
      <c r="B792" s="188" t="s">
        <v>908</v>
      </c>
      <c r="C792" s="188" t="s">
        <v>475</v>
      </c>
      <c r="D792" s="188" t="s">
        <v>475</v>
      </c>
      <c r="E792" s="188" t="s">
        <v>909</v>
      </c>
      <c r="F792" s="189">
        <v>45839</v>
      </c>
      <c r="G792" s="190">
        <v>92</v>
      </c>
      <c r="H792" s="190">
        <f t="shared" si="23"/>
        <v>92</v>
      </c>
      <c r="J792" s="190">
        <v>92</v>
      </c>
      <c r="K792" s="191">
        <f t="shared" si="24"/>
        <v>0</v>
      </c>
      <c r="M792" s="215"/>
      <c r="N792" s="191"/>
    </row>
    <row r="793" spans="1:14" outlineLevel="3" x14ac:dyDescent="0.25">
      <c r="B793" s="183" t="s">
        <v>910</v>
      </c>
      <c r="F793" s="189"/>
      <c r="G793" s="190">
        <f>SUBTOTAL(9,G788:G792)</f>
        <v>3472.54</v>
      </c>
      <c r="H793" s="190"/>
      <c r="J793" s="190">
        <f>SUBTOTAL(9,J788:J792)</f>
        <v>3528.54</v>
      </c>
      <c r="K793" s="191">
        <f>SUBTOTAL(9,K788:K792)</f>
        <v>-56</v>
      </c>
      <c r="M793" s="215"/>
      <c r="N793" s="191"/>
    </row>
    <row r="794" spans="1:14" s="202" customFormat="1" outlineLevel="4" x14ac:dyDescent="0.25">
      <c r="A794" s="188" t="s">
        <v>415</v>
      </c>
      <c r="B794" s="202" t="s">
        <v>911</v>
      </c>
      <c r="C794" s="202" t="s">
        <v>420</v>
      </c>
      <c r="D794" s="202" t="s">
        <v>912</v>
      </c>
      <c r="F794" s="203"/>
      <c r="G794" s="204">
        <v>329.4</v>
      </c>
      <c r="H794" s="190">
        <f t="shared" si="23"/>
        <v>329.4</v>
      </c>
      <c r="J794" s="204">
        <v>329.4</v>
      </c>
      <c r="K794" s="191">
        <f t="shared" si="24"/>
        <v>0</v>
      </c>
      <c r="M794" s="216"/>
      <c r="N794" s="206"/>
    </row>
    <row r="795" spans="1:14" s="202" customFormat="1" outlineLevel="3" x14ac:dyDescent="0.25">
      <c r="A795" s="188"/>
      <c r="B795" s="207" t="s">
        <v>913</v>
      </c>
      <c r="F795" s="203"/>
      <c r="G795" s="204">
        <f>SUBTOTAL(9,G794:G794)</f>
        <v>329.4</v>
      </c>
      <c r="H795" s="190"/>
      <c r="J795" s="204">
        <f>SUBTOTAL(9,J794:J794)</f>
        <v>329.4</v>
      </c>
      <c r="K795" s="191">
        <f>SUBTOTAL(9,K794:K794)</f>
        <v>0</v>
      </c>
      <c r="M795" s="216"/>
      <c r="N795" s="206"/>
    </row>
    <row r="796" spans="1:14" outlineLevel="4" x14ac:dyDescent="0.25">
      <c r="A796" s="188" t="s">
        <v>415</v>
      </c>
      <c r="B796" s="188" t="s">
        <v>914</v>
      </c>
      <c r="C796" s="188" t="s">
        <v>170</v>
      </c>
      <c r="D796" s="188" t="s">
        <v>170</v>
      </c>
      <c r="E796" s="188" t="s">
        <v>915</v>
      </c>
      <c r="F796" s="189">
        <v>45839</v>
      </c>
      <c r="G796" s="190">
        <v>16.5</v>
      </c>
      <c r="H796" s="190">
        <f t="shared" si="23"/>
        <v>16.5</v>
      </c>
      <c r="J796" s="190">
        <v>16.5</v>
      </c>
      <c r="K796" s="191">
        <f t="shared" si="24"/>
        <v>0</v>
      </c>
      <c r="M796" s="215"/>
      <c r="N796" s="191"/>
    </row>
    <row r="797" spans="1:14" outlineLevel="4" x14ac:dyDescent="0.25">
      <c r="A797" s="188" t="s">
        <v>415</v>
      </c>
      <c r="B797" s="188" t="s">
        <v>914</v>
      </c>
      <c r="C797" s="188" t="s">
        <v>139</v>
      </c>
      <c r="D797" s="188" t="s">
        <v>139</v>
      </c>
      <c r="E797" s="188" t="s">
        <v>915</v>
      </c>
      <c r="F797" s="189">
        <v>45839</v>
      </c>
      <c r="G797" s="190">
        <v>114.97</v>
      </c>
      <c r="H797" s="190">
        <f t="shared" si="23"/>
        <v>114.97</v>
      </c>
      <c r="J797" s="190">
        <v>114.97</v>
      </c>
      <c r="K797" s="191">
        <f t="shared" si="24"/>
        <v>0</v>
      </c>
      <c r="M797" s="215"/>
      <c r="N797" s="191"/>
    </row>
    <row r="798" spans="1:14" outlineLevel="4" x14ac:dyDescent="0.25">
      <c r="A798" s="188" t="s">
        <v>415</v>
      </c>
      <c r="B798" s="188" t="s">
        <v>914</v>
      </c>
      <c r="C798" s="188" t="s">
        <v>142</v>
      </c>
      <c r="D798" s="188" t="s">
        <v>142</v>
      </c>
      <c r="E798" s="188" t="s">
        <v>915</v>
      </c>
      <c r="F798" s="189">
        <v>45839</v>
      </c>
      <c r="G798" s="190">
        <v>483.05</v>
      </c>
      <c r="H798" s="190">
        <f t="shared" si="23"/>
        <v>483.05</v>
      </c>
      <c r="J798" s="190">
        <v>446.3</v>
      </c>
      <c r="K798" s="191">
        <f t="shared" si="24"/>
        <v>36.75</v>
      </c>
      <c r="M798" s="215"/>
      <c r="N798" s="191"/>
    </row>
    <row r="799" spans="1:14" outlineLevel="4" x14ac:dyDescent="0.25">
      <c r="A799" s="188" t="s">
        <v>415</v>
      </c>
      <c r="B799" s="188" t="s">
        <v>914</v>
      </c>
      <c r="C799" s="188" t="s">
        <v>123</v>
      </c>
      <c r="D799" s="188" t="s">
        <v>123</v>
      </c>
      <c r="E799" s="188" t="s">
        <v>915</v>
      </c>
      <c r="F799" s="189">
        <v>45839</v>
      </c>
      <c r="G799" s="190">
        <v>1207.5</v>
      </c>
      <c r="H799" s="190">
        <f t="shared" si="23"/>
        <v>1207.5</v>
      </c>
      <c r="J799" s="190">
        <v>1207.5</v>
      </c>
      <c r="K799" s="191">
        <f t="shared" si="24"/>
        <v>0</v>
      </c>
      <c r="M799" s="215"/>
      <c r="N799" s="191"/>
    </row>
    <row r="800" spans="1:14" outlineLevel="3" x14ac:dyDescent="0.25">
      <c r="B800" s="183" t="s">
        <v>916</v>
      </c>
      <c r="F800" s="189"/>
      <c r="G800" s="190">
        <f>SUBTOTAL(9,G796:G799)</f>
        <v>1822.02</v>
      </c>
      <c r="H800" s="190"/>
      <c r="J800" s="190">
        <f>SUBTOTAL(9,J796:J799)</f>
        <v>1785.27</v>
      </c>
      <c r="K800" s="191">
        <f>SUBTOTAL(9,K796:K799)</f>
        <v>36.75</v>
      </c>
      <c r="M800" s="215"/>
      <c r="N800" s="191"/>
    </row>
    <row r="801" spans="1:14" outlineLevel="4" x14ac:dyDescent="0.25">
      <c r="A801" s="188" t="s">
        <v>415</v>
      </c>
      <c r="B801" s="188" t="s">
        <v>917</v>
      </c>
      <c r="C801" s="188" t="s">
        <v>170</v>
      </c>
      <c r="D801" s="188" t="s">
        <v>918</v>
      </c>
      <c r="E801" s="188" t="s">
        <v>919</v>
      </c>
      <c r="F801" s="189">
        <v>45839</v>
      </c>
      <c r="G801" s="190">
        <v>1780</v>
      </c>
      <c r="H801" s="190">
        <f t="shared" si="23"/>
        <v>1780</v>
      </c>
      <c r="J801" s="190">
        <v>1780</v>
      </c>
      <c r="K801" s="191">
        <f t="shared" si="24"/>
        <v>0</v>
      </c>
      <c r="M801" s="215"/>
      <c r="N801" s="191"/>
    </row>
    <row r="802" spans="1:14" outlineLevel="4" x14ac:dyDescent="0.25">
      <c r="A802" s="188" t="s">
        <v>415</v>
      </c>
      <c r="B802" s="188" t="s">
        <v>917</v>
      </c>
      <c r="C802" s="188" t="s">
        <v>139</v>
      </c>
      <c r="D802" s="188" t="s">
        <v>179</v>
      </c>
      <c r="E802" s="188" t="s">
        <v>919</v>
      </c>
      <c r="F802" s="189">
        <v>45839</v>
      </c>
      <c r="G802" s="190">
        <v>1507.787</v>
      </c>
      <c r="H802" s="190">
        <f t="shared" si="23"/>
        <v>1507.787</v>
      </c>
      <c r="J802" s="190">
        <v>1502.2275</v>
      </c>
      <c r="K802" s="191">
        <f t="shared" si="24"/>
        <v>5.5595000000000709</v>
      </c>
      <c r="M802" s="215"/>
      <c r="N802" s="191"/>
    </row>
    <row r="803" spans="1:14" outlineLevel="4" x14ac:dyDescent="0.25">
      <c r="A803" s="188" t="s">
        <v>415</v>
      </c>
      <c r="B803" s="188" t="s">
        <v>917</v>
      </c>
      <c r="C803" s="188" t="s">
        <v>142</v>
      </c>
      <c r="D803" s="188" t="s">
        <v>181</v>
      </c>
      <c r="E803" s="188" t="s">
        <v>919</v>
      </c>
      <c r="F803" s="189">
        <v>45839</v>
      </c>
      <c r="G803" s="190">
        <v>2415</v>
      </c>
      <c r="H803" s="190">
        <f t="shared" si="23"/>
        <v>2415</v>
      </c>
      <c r="J803" s="190">
        <v>2395</v>
      </c>
      <c r="K803" s="191">
        <f t="shared" si="24"/>
        <v>20</v>
      </c>
      <c r="M803" s="215"/>
      <c r="N803" s="191"/>
    </row>
    <row r="804" spans="1:14" outlineLevel="4" x14ac:dyDescent="0.25">
      <c r="A804" s="188" t="s">
        <v>415</v>
      </c>
      <c r="B804" s="188" t="s">
        <v>917</v>
      </c>
      <c r="C804" s="188" t="s">
        <v>123</v>
      </c>
      <c r="D804" s="188" t="s">
        <v>188</v>
      </c>
      <c r="E804" s="188" t="s">
        <v>919</v>
      </c>
      <c r="F804" s="189">
        <v>45839</v>
      </c>
      <c r="G804" s="190">
        <v>5102.8530000000001</v>
      </c>
      <c r="H804" s="190">
        <f t="shared" si="23"/>
        <v>5102.8530000000001</v>
      </c>
      <c r="J804" s="190">
        <v>5102.8525</v>
      </c>
      <c r="K804" s="191">
        <f t="shared" si="24"/>
        <v>5.0000000010186341E-4</v>
      </c>
      <c r="M804" s="215"/>
      <c r="N804" s="191"/>
    </row>
    <row r="805" spans="1:14" outlineLevel="3" x14ac:dyDescent="0.25">
      <c r="B805" s="183" t="s">
        <v>920</v>
      </c>
      <c r="F805" s="189"/>
      <c r="G805" s="190">
        <f>SUBTOTAL(9,G801:G804)</f>
        <v>10805.64</v>
      </c>
      <c r="H805" s="190"/>
      <c r="J805" s="190">
        <f>SUBTOTAL(9,J801:J804)</f>
        <v>10780.08</v>
      </c>
      <c r="K805" s="191">
        <f>SUBTOTAL(9,K801:K804)</f>
        <v>25.560000000000173</v>
      </c>
      <c r="M805" s="215"/>
      <c r="N805" s="191"/>
    </row>
    <row r="806" spans="1:14" outlineLevel="4" x14ac:dyDescent="0.25">
      <c r="A806" s="188" t="s">
        <v>415</v>
      </c>
      <c r="B806" s="188" t="s">
        <v>921</v>
      </c>
      <c r="C806" s="188" t="s">
        <v>139</v>
      </c>
      <c r="D806" s="188" t="s">
        <v>139</v>
      </c>
      <c r="E806" s="188" t="s">
        <v>922</v>
      </c>
      <c r="F806" s="189">
        <v>45839</v>
      </c>
      <c r="G806" s="190">
        <v>330.99439999999998</v>
      </c>
      <c r="H806" s="190">
        <f t="shared" ref="H806:H854" si="25">+G806</f>
        <v>330.99439999999998</v>
      </c>
      <c r="J806" s="190">
        <v>348.33199999999999</v>
      </c>
      <c r="K806" s="191">
        <f t="shared" ref="K806:K854" si="26">+H806-J806</f>
        <v>-17.337600000000009</v>
      </c>
      <c r="M806" s="215"/>
      <c r="N806" s="191"/>
    </row>
    <row r="807" spans="1:14" outlineLevel="4" x14ac:dyDescent="0.25">
      <c r="A807" s="188" t="s">
        <v>415</v>
      </c>
      <c r="B807" s="188" t="s">
        <v>921</v>
      </c>
      <c r="C807" s="188" t="s">
        <v>142</v>
      </c>
      <c r="D807" s="188" t="s">
        <v>142</v>
      </c>
      <c r="E807" s="188" t="s">
        <v>922</v>
      </c>
      <c r="F807" s="189">
        <v>45839</v>
      </c>
      <c r="G807" s="190">
        <v>460</v>
      </c>
      <c r="H807" s="190">
        <f t="shared" si="25"/>
        <v>460</v>
      </c>
      <c r="J807" s="190">
        <v>474</v>
      </c>
      <c r="K807" s="191">
        <f t="shared" si="26"/>
        <v>-14</v>
      </c>
      <c r="M807" s="215"/>
      <c r="N807" s="191"/>
    </row>
    <row r="808" spans="1:14" outlineLevel="4" x14ac:dyDescent="0.25">
      <c r="A808" s="188" t="s">
        <v>415</v>
      </c>
      <c r="B808" s="188" t="s">
        <v>921</v>
      </c>
      <c r="C808" s="188" t="s">
        <v>123</v>
      </c>
      <c r="D808" s="188" t="s">
        <v>923</v>
      </c>
      <c r="E808" s="188" t="s">
        <v>922</v>
      </c>
      <c r="F808" s="189">
        <v>45839</v>
      </c>
      <c r="G808" s="190">
        <v>2118.94</v>
      </c>
      <c r="H808" s="190">
        <f t="shared" si="25"/>
        <v>2118.94</v>
      </c>
      <c r="J808" s="190">
        <v>2118.94</v>
      </c>
      <c r="K808" s="191">
        <f t="shared" si="26"/>
        <v>0</v>
      </c>
      <c r="M808" s="215"/>
      <c r="N808" s="191"/>
    </row>
    <row r="809" spans="1:14" outlineLevel="3" x14ac:dyDescent="0.25">
      <c r="B809" s="183" t="s">
        <v>924</v>
      </c>
      <c r="F809" s="189"/>
      <c r="G809" s="190">
        <f>SUBTOTAL(9,G806:G808)</f>
        <v>2909.9344000000001</v>
      </c>
      <c r="H809" s="190"/>
      <c r="J809" s="190">
        <f>SUBTOTAL(9,J806:J808)</f>
        <v>2941.2719999999999</v>
      </c>
      <c r="K809" s="191">
        <f>SUBTOTAL(9,K806:K808)</f>
        <v>-31.337600000000009</v>
      </c>
      <c r="M809" s="215"/>
      <c r="N809" s="191"/>
    </row>
    <row r="810" spans="1:14" outlineLevel="4" x14ac:dyDescent="0.25">
      <c r="A810" s="188" t="s">
        <v>415</v>
      </c>
      <c r="B810" s="188" t="s">
        <v>925</v>
      </c>
      <c r="C810" s="188" t="s">
        <v>170</v>
      </c>
      <c r="D810" s="188" t="s">
        <v>170</v>
      </c>
      <c r="E810" s="188" t="s">
        <v>926</v>
      </c>
      <c r="F810" s="189">
        <v>45839</v>
      </c>
      <c r="G810" s="190">
        <v>976</v>
      </c>
      <c r="H810" s="190">
        <f t="shared" si="25"/>
        <v>976</v>
      </c>
      <c r="J810" s="190">
        <v>976</v>
      </c>
      <c r="K810" s="191">
        <f t="shared" si="26"/>
        <v>0</v>
      </c>
      <c r="M810" s="215"/>
      <c r="N810" s="191"/>
    </row>
    <row r="811" spans="1:14" outlineLevel="4" x14ac:dyDescent="0.25">
      <c r="A811" s="188" t="s">
        <v>415</v>
      </c>
      <c r="B811" s="188" t="s">
        <v>925</v>
      </c>
      <c r="C811" s="188" t="s">
        <v>139</v>
      </c>
      <c r="D811" s="188" t="s">
        <v>139</v>
      </c>
      <c r="E811" s="188" t="s">
        <v>926</v>
      </c>
      <c r="F811" s="189">
        <v>45839</v>
      </c>
      <c r="G811" s="190">
        <v>529.33759999999995</v>
      </c>
      <c r="H811" s="190">
        <f t="shared" si="25"/>
        <v>529.33759999999995</v>
      </c>
      <c r="J811" s="190">
        <v>585.70960000000002</v>
      </c>
      <c r="K811" s="191">
        <f t="shared" si="26"/>
        <v>-56.372000000000071</v>
      </c>
      <c r="M811" s="215"/>
      <c r="N811" s="191"/>
    </row>
    <row r="812" spans="1:14" outlineLevel="4" x14ac:dyDescent="0.25">
      <c r="A812" s="188" t="s">
        <v>415</v>
      </c>
      <c r="B812" s="188" t="s">
        <v>925</v>
      </c>
      <c r="C812" s="188" t="s">
        <v>142</v>
      </c>
      <c r="D812" s="188" t="s">
        <v>142</v>
      </c>
      <c r="E812" s="188" t="s">
        <v>926</v>
      </c>
      <c r="F812" s="189">
        <v>45839</v>
      </c>
      <c r="G812" s="190">
        <v>1015</v>
      </c>
      <c r="H812" s="190">
        <f t="shared" si="25"/>
        <v>1015</v>
      </c>
      <c r="J812" s="190">
        <v>1015</v>
      </c>
      <c r="K812" s="191">
        <f t="shared" si="26"/>
        <v>0</v>
      </c>
      <c r="M812" s="215"/>
      <c r="N812" s="191"/>
    </row>
    <row r="813" spans="1:14" outlineLevel="4" x14ac:dyDescent="0.25">
      <c r="A813" s="188" t="s">
        <v>415</v>
      </c>
      <c r="B813" s="188" t="s">
        <v>925</v>
      </c>
      <c r="C813" s="188" t="s">
        <v>123</v>
      </c>
      <c r="D813" s="188" t="s">
        <v>123</v>
      </c>
      <c r="E813" s="188" t="s">
        <v>926</v>
      </c>
      <c r="F813" s="189">
        <v>45839</v>
      </c>
      <c r="G813" s="190">
        <v>5315.6324000000004</v>
      </c>
      <c r="H813" s="190">
        <f t="shared" si="25"/>
        <v>5315.6324000000004</v>
      </c>
      <c r="J813" s="190">
        <v>5315.6304</v>
      </c>
      <c r="K813" s="191">
        <f t="shared" si="26"/>
        <v>2.0000000004074536E-3</v>
      </c>
      <c r="M813" s="215"/>
      <c r="N813" s="191"/>
    </row>
    <row r="814" spans="1:14" outlineLevel="3" x14ac:dyDescent="0.25">
      <c r="B814" s="183" t="s">
        <v>927</v>
      </c>
      <c r="F814" s="189"/>
      <c r="G814" s="190">
        <f>SUBTOTAL(9,G810:G813)</f>
        <v>7835.97</v>
      </c>
      <c r="H814" s="190"/>
      <c r="J814" s="190">
        <f>SUBTOTAL(9,J810:J813)</f>
        <v>7892.34</v>
      </c>
      <c r="K814" s="191">
        <f>SUBTOTAL(9,K810:K813)</f>
        <v>-56.369999999999663</v>
      </c>
      <c r="M814" s="215"/>
      <c r="N814" s="191"/>
    </row>
    <row r="815" spans="1:14" outlineLevel="4" x14ac:dyDescent="0.25">
      <c r="A815" s="188" t="s">
        <v>415</v>
      </c>
      <c r="B815" s="188" t="s">
        <v>928</v>
      </c>
      <c r="C815" s="188" t="s">
        <v>139</v>
      </c>
      <c r="D815" s="188" t="s">
        <v>306</v>
      </c>
      <c r="E815" s="188" t="s">
        <v>929</v>
      </c>
      <c r="F815" s="189">
        <v>45839</v>
      </c>
      <c r="G815" s="190">
        <v>296</v>
      </c>
      <c r="H815" s="190">
        <f t="shared" si="25"/>
        <v>296</v>
      </c>
      <c r="J815" s="190">
        <v>284</v>
      </c>
      <c r="K815" s="191">
        <f t="shared" si="26"/>
        <v>12</v>
      </c>
      <c r="M815" s="215"/>
      <c r="N815" s="191"/>
    </row>
    <row r="816" spans="1:14" outlineLevel="4" x14ac:dyDescent="0.25">
      <c r="A816" s="188" t="s">
        <v>415</v>
      </c>
      <c r="B816" s="188" t="s">
        <v>928</v>
      </c>
      <c r="C816" s="188" t="s">
        <v>142</v>
      </c>
      <c r="D816" s="188" t="s">
        <v>307</v>
      </c>
      <c r="E816" s="188" t="s">
        <v>929</v>
      </c>
      <c r="F816" s="189">
        <v>45839</v>
      </c>
      <c r="G816" s="190">
        <v>1626</v>
      </c>
      <c r="H816" s="190">
        <f t="shared" si="25"/>
        <v>1626</v>
      </c>
      <c r="J816" s="190">
        <v>1540</v>
      </c>
      <c r="K816" s="191">
        <f t="shared" si="26"/>
        <v>86</v>
      </c>
      <c r="M816" s="215"/>
      <c r="N816" s="191"/>
    </row>
    <row r="817" spans="1:14" outlineLevel="4" x14ac:dyDescent="0.25">
      <c r="A817" s="188" t="s">
        <v>415</v>
      </c>
      <c r="B817" s="188" t="s">
        <v>928</v>
      </c>
      <c r="C817" s="188" t="s">
        <v>123</v>
      </c>
      <c r="D817" s="188" t="s">
        <v>461</v>
      </c>
      <c r="E817" s="188" t="s">
        <v>929</v>
      </c>
      <c r="F817" s="189">
        <v>45839</v>
      </c>
      <c r="G817" s="190">
        <v>4764</v>
      </c>
      <c r="H817" s="190">
        <f t="shared" si="25"/>
        <v>4764</v>
      </c>
      <c r="J817" s="190">
        <v>4627</v>
      </c>
      <c r="K817" s="191">
        <f t="shared" si="26"/>
        <v>137</v>
      </c>
      <c r="M817" s="215"/>
      <c r="N817" s="191"/>
    </row>
    <row r="818" spans="1:14" outlineLevel="3" x14ac:dyDescent="0.25">
      <c r="B818" s="183" t="s">
        <v>930</v>
      </c>
      <c r="F818" s="189"/>
      <c r="G818" s="190">
        <f>SUBTOTAL(9,G815:G817)</f>
        <v>6686</v>
      </c>
      <c r="H818" s="190"/>
      <c r="J818" s="190">
        <f>SUBTOTAL(9,J815:J817)</f>
        <v>6451</v>
      </c>
      <c r="K818" s="191">
        <f>SUBTOTAL(9,K815:K817)</f>
        <v>235</v>
      </c>
      <c r="M818" s="215"/>
      <c r="N818" s="191"/>
    </row>
    <row r="819" spans="1:14" outlineLevel="4" x14ac:dyDescent="0.25">
      <c r="A819" s="188" t="s">
        <v>415</v>
      </c>
      <c r="B819" s="188" t="s">
        <v>931</v>
      </c>
      <c r="C819" s="188" t="s">
        <v>170</v>
      </c>
      <c r="D819" s="188" t="s">
        <v>170</v>
      </c>
      <c r="E819" s="188" t="s">
        <v>932</v>
      </c>
      <c r="F819" s="189">
        <v>45839</v>
      </c>
      <c r="G819" s="190">
        <v>528</v>
      </c>
      <c r="H819" s="190">
        <f t="shared" si="25"/>
        <v>528</v>
      </c>
      <c r="J819" s="190">
        <v>528</v>
      </c>
      <c r="K819" s="191">
        <f t="shared" si="26"/>
        <v>0</v>
      </c>
      <c r="M819" s="215"/>
      <c r="N819" s="191"/>
    </row>
    <row r="820" spans="1:14" outlineLevel="4" x14ac:dyDescent="0.25">
      <c r="A820" s="188" t="s">
        <v>415</v>
      </c>
      <c r="B820" s="188" t="s">
        <v>931</v>
      </c>
      <c r="C820" s="188" t="s">
        <v>139</v>
      </c>
      <c r="D820" s="188" t="s">
        <v>139</v>
      </c>
      <c r="E820" s="188" t="s">
        <v>932</v>
      </c>
      <c r="F820" s="189">
        <v>45839</v>
      </c>
      <c r="G820" s="190">
        <v>335.5</v>
      </c>
      <c r="H820" s="190">
        <f t="shared" si="25"/>
        <v>335.5</v>
      </c>
      <c r="J820" s="190">
        <v>335.5</v>
      </c>
      <c r="K820" s="191">
        <f t="shared" si="26"/>
        <v>0</v>
      </c>
      <c r="M820" s="215"/>
      <c r="N820" s="191"/>
    </row>
    <row r="821" spans="1:14" outlineLevel="4" x14ac:dyDescent="0.25">
      <c r="A821" s="188" t="s">
        <v>415</v>
      </c>
      <c r="B821" s="188" t="s">
        <v>931</v>
      </c>
      <c r="C821" s="188" t="s">
        <v>142</v>
      </c>
      <c r="D821" s="188" t="s">
        <v>142</v>
      </c>
      <c r="E821" s="188" t="s">
        <v>932</v>
      </c>
      <c r="F821" s="189">
        <v>45839</v>
      </c>
      <c r="G821" s="190">
        <v>1002</v>
      </c>
      <c r="H821" s="190">
        <f t="shared" si="25"/>
        <v>1002</v>
      </c>
      <c r="J821" s="190">
        <v>1021</v>
      </c>
      <c r="K821" s="191">
        <f t="shared" si="26"/>
        <v>-19</v>
      </c>
      <c r="M821" s="215"/>
      <c r="N821" s="191"/>
    </row>
    <row r="822" spans="1:14" outlineLevel="4" x14ac:dyDescent="0.25">
      <c r="A822" s="188" t="s">
        <v>415</v>
      </c>
      <c r="B822" s="188" t="s">
        <v>931</v>
      </c>
      <c r="C822" s="188" t="s">
        <v>123</v>
      </c>
      <c r="D822" s="188" t="s">
        <v>123</v>
      </c>
      <c r="E822" s="188" t="s">
        <v>932</v>
      </c>
      <c r="F822" s="189">
        <v>45839</v>
      </c>
      <c r="G822" s="190">
        <v>1975</v>
      </c>
      <c r="H822" s="190">
        <f t="shared" si="25"/>
        <v>1975</v>
      </c>
      <c r="J822" s="190">
        <v>1975</v>
      </c>
      <c r="K822" s="191">
        <f t="shared" si="26"/>
        <v>0</v>
      </c>
      <c r="M822" s="215"/>
      <c r="N822" s="191"/>
    </row>
    <row r="823" spans="1:14" outlineLevel="3" x14ac:dyDescent="0.25">
      <c r="B823" s="183" t="s">
        <v>933</v>
      </c>
      <c r="F823" s="189"/>
      <c r="G823" s="190">
        <f>SUBTOTAL(9,G819:G822)</f>
        <v>3840.5</v>
      </c>
      <c r="H823" s="190"/>
      <c r="J823" s="190">
        <f>SUBTOTAL(9,J819:J822)</f>
        <v>3859.5</v>
      </c>
      <c r="K823" s="191">
        <f>SUBTOTAL(9,K819:K822)</f>
        <v>-19</v>
      </c>
      <c r="M823" s="215"/>
      <c r="N823" s="191"/>
    </row>
    <row r="824" spans="1:14" outlineLevel="4" x14ac:dyDescent="0.25">
      <c r="A824" s="188" t="s">
        <v>415</v>
      </c>
      <c r="B824" s="188" t="s">
        <v>934</v>
      </c>
      <c r="C824" s="188" t="s">
        <v>170</v>
      </c>
      <c r="D824" s="188" t="s">
        <v>935</v>
      </c>
      <c r="E824" s="188" t="s">
        <v>936</v>
      </c>
      <c r="F824" s="189">
        <v>45839</v>
      </c>
      <c r="G824" s="190">
        <v>420</v>
      </c>
      <c r="H824" s="190">
        <f t="shared" si="25"/>
        <v>420</v>
      </c>
      <c r="J824" s="190">
        <v>420</v>
      </c>
      <c r="K824" s="191">
        <f t="shared" si="26"/>
        <v>0</v>
      </c>
      <c r="M824" s="215"/>
      <c r="N824" s="191"/>
    </row>
    <row r="825" spans="1:14" outlineLevel="4" x14ac:dyDescent="0.25">
      <c r="A825" s="188" t="s">
        <v>415</v>
      </c>
      <c r="B825" s="188" t="s">
        <v>934</v>
      </c>
      <c r="C825" s="188" t="s">
        <v>139</v>
      </c>
      <c r="D825" s="188" t="s">
        <v>139</v>
      </c>
      <c r="E825" s="188" t="s">
        <v>936</v>
      </c>
      <c r="F825" s="189">
        <v>45839</v>
      </c>
      <c r="G825" s="190">
        <v>80</v>
      </c>
      <c r="H825" s="190">
        <f t="shared" si="25"/>
        <v>80</v>
      </c>
      <c r="J825" s="190">
        <v>80</v>
      </c>
      <c r="K825" s="191">
        <f t="shared" si="26"/>
        <v>0</v>
      </c>
      <c r="M825" s="215"/>
      <c r="N825" s="191"/>
    </row>
    <row r="826" spans="1:14" outlineLevel="4" x14ac:dyDescent="0.25">
      <c r="A826" s="188" t="s">
        <v>415</v>
      </c>
      <c r="B826" s="188" t="s">
        <v>934</v>
      </c>
      <c r="C826" s="188" t="s">
        <v>142</v>
      </c>
      <c r="D826" s="188" t="s">
        <v>142</v>
      </c>
      <c r="E826" s="188" t="s">
        <v>936</v>
      </c>
      <c r="F826" s="189">
        <v>45839</v>
      </c>
      <c r="G826" s="190">
        <v>147</v>
      </c>
      <c r="H826" s="190">
        <f t="shared" si="25"/>
        <v>147</v>
      </c>
      <c r="J826" s="190">
        <v>147</v>
      </c>
      <c r="K826" s="191">
        <f t="shared" si="26"/>
        <v>0</v>
      </c>
      <c r="M826" s="215"/>
      <c r="N826" s="191"/>
    </row>
    <row r="827" spans="1:14" outlineLevel="4" x14ac:dyDescent="0.25">
      <c r="A827" s="188" t="s">
        <v>415</v>
      </c>
      <c r="B827" s="188" t="s">
        <v>934</v>
      </c>
      <c r="C827" s="188" t="s">
        <v>123</v>
      </c>
      <c r="D827" s="188" t="s">
        <v>937</v>
      </c>
      <c r="E827" s="188" t="s">
        <v>936</v>
      </c>
      <c r="F827" s="189">
        <v>45839</v>
      </c>
      <c r="G827" s="190">
        <v>1473.22</v>
      </c>
      <c r="H827" s="190">
        <f t="shared" si="25"/>
        <v>1473.22</v>
      </c>
      <c r="J827" s="190">
        <v>1473.22</v>
      </c>
      <c r="K827" s="191">
        <f t="shared" si="26"/>
        <v>0</v>
      </c>
      <c r="M827" s="215"/>
      <c r="N827" s="191"/>
    </row>
    <row r="828" spans="1:14" outlineLevel="3" x14ac:dyDescent="0.25">
      <c r="B828" s="183" t="s">
        <v>938</v>
      </c>
      <c r="F828" s="189"/>
      <c r="G828" s="190">
        <f>SUBTOTAL(9,G824:G827)</f>
        <v>2120.2200000000003</v>
      </c>
      <c r="H828" s="190"/>
      <c r="J828" s="190">
        <f>SUBTOTAL(9,J824:J827)</f>
        <v>2120.2200000000003</v>
      </c>
      <c r="K828" s="191">
        <f>SUBTOTAL(9,K824:K827)</f>
        <v>0</v>
      </c>
      <c r="M828" s="215"/>
      <c r="N828" s="191"/>
    </row>
    <row r="829" spans="1:14" outlineLevel="4" x14ac:dyDescent="0.25">
      <c r="A829" s="188" t="s">
        <v>415</v>
      </c>
      <c r="B829" s="188" t="s">
        <v>939</v>
      </c>
      <c r="C829" s="188" t="s">
        <v>170</v>
      </c>
      <c r="D829" s="188" t="s">
        <v>940</v>
      </c>
      <c r="E829" s="188" t="s">
        <v>941</v>
      </c>
      <c r="F829" s="189">
        <v>45839</v>
      </c>
      <c r="G829" s="190">
        <v>107.9</v>
      </c>
      <c r="H829" s="190">
        <f t="shared" si="25"/>
        <v>107.9</v>
      </c>
      <c r="J829" s="190">
        <v>107.9</v>
      </c>
      <c r="K829" s="191">
        <f t="shared" si="26"/>
        <v>0</v>
      </c>
      <c r="M829" s="215"/>
      <c r="N829" s="191"/>
    </row>
    <row r="830" spans="1:14" outlineLevel="4" x14ac:dyDescent="0.25">
      <c r="A830" s="188" t="s">
        <v>415</v>
      </c>
      <c r="B830" s="188" t="s">
        <v>939</v>
      </c>
      <c r="C830" s="188" t="s">
        <v>139</v>
      </c>
      <c r="D830" s="188" t="s">
        <v>139</v>
      </c>
      <c r="E830" s="188" t="s">
        <v>941</v>
      </c>
      <c r="F830" s="189">
        <v>45839</v>
      </c>
      <c r="G830" s="190">
        <v>775.75</v>
      </c>
      <c r="H830" s="190">
        <f t="shared" si="25"/>
        <v>775.75</v>
      </c>
      <c r="J830" s="190">
        <v>775.75</v>
      </c>
      <c r="K830" s="191">
        <f t="shared" si="26"/>
        <v>0</v>
      </c>
      <c r="M830" s="215"/>
      <c r="N830" s="191"/>
    </row>
    <row r="831" spans="1:14" outlineLevel="4" x14ac:dyDescent="0.25">
      <c r="A831" s="188" t="s">
        <v>415</v>
      </c>
      <c r="B831" s="188" t="s">
        <v>939</v>
      </c>
      <c r="C831" s="188" t="s">
        <v>142</v>
      </c>
      <c r="D831" s="188" t="s">
        <v>942</v>
      </c>
      <c r="E831" s="188" t="s">
        <v>941</v>
      </c>
      <c r="F831" s="189">
        <v>45839</v>
      </c>
      <c r="G831" s="190">
        <v>338.1</v>
      </c>
      <c r="H831" s="190">
        <f t="shared" si="25"/>
        <v>338.1</v>
      </c>
      <c r="J831" s="190">
        <v>338.1</v>
      </c>
      <c r="K831" s="191">
        <f t="shared" si="26"/>
        <v>0</v>
      </c>
      <c r="M831" s="215"/>
      <c r="N831" s="191"/>
    </row>
    <row r="832" spans="1:14" outlineLevel="4" x14ac:dyDescent="0.25">
      <c r="A832" s="188" t="s">
        <v>415</v>
      </c>
      <c r="B832" s="188" t="s">
        <v>939</v>
      </c>
      <c r="C832" s="188" t="s">
        <v>123</v>
      </c>
      <c r="D832" s="188" t="s">
        <v>943</v>
      </c>
      <c r="E832" s="188" t="s">
        <v>941</v>
      </c>
      <c r="F832" s="189">
        <v>45839</v>
      </c>
      <c r="G832" s="190">
        <v>1752.61</v>
      </c>
      <c r="H832" s="190">
        <f t="shared" si="25"/>
        <v>1752.61</v>
      </c>
      <c r="J832" s="190">
        <v>1752.61</v>
      </c>
      <c r="K832" s="191">
        <f t="shared" si="26"/>
        <v>0</v>
      </c>
      <c r="M832" s="215"/>
      <c r="N832" s="191"/>
    </row>
    <row r="833" spans="1:14" outlineLevel="3" x14ac:dyDescent="0.25">
      <c r="B833" s="183" t="s">
        <v>944</v>
      </c>
      <c r="F833" s="189"/>
      <c r="G833" s="190">
        <f>SUBTOTAL(9,G829:G832)</f>
        <v>2974.3599999999997</v>
      </c>
      <c r="H833" s="190"/>
      <c r="J833" s="190">
        <f>SUBTOTAL(9,J829:J832)</f>
        <v>2974.3599999999997</v>
      </c>
      <c r="K833" s="191">
        <f>SUBTOTAL(9,K829:K832)</f>
        <v>0</v>
      </c>
      <c r="M833" s="215"/>
      <c r="N833" s="191"/>
    </row>
    <row r="834" spans="1:14" outlineLevel="4" x14ac:dyDescent="0.25">
      <c r="A834" s="188" t="s">
        <v>415</v>
      </c>
      <c r="B834" s="188" t="s">
        <v>945</v>
      </c>
      <c r="C834" s="188" t="s">
        <v>420</v>
      </c>
      <c r="D834" s="188" t="s">
        <v>420</v>
      </c>
      <c r="E834" s="188" t="s">
        <v>946</v>
      </c>
      <c r="F834" s="189">
        <v>45839</v>
      </c>
      <c r="G834" s="190">
        <v>465</v>
      </c>
      <c r="H834" s="190">
        <f t="shared" si="25"/>
        <v>465</v>
      </c>
      <c r="J834" s="190">
        <v>465</v>
      </c>
      <c r="K834" s="191">
        <f t="shared" si="26"/>
        <v>0</v>
      </c>
      <c r="M834" s="215"/>
      <c r="N834" s="191"/>
    </row>
    <row r="835" spans="1:14" outlineLevel="4" x14ac:dyDescent="0.25">
      <c r="A835" s="188" t="s">
        <v>415</v>
      </c>
      <c r="B835" s="188" t="s">
        <v>945</v>
      </c>
      <c r="C835" s="188" t="s">
        <v>139</v>
      </c>
      <c r="D835" s="188" t="s">
        <v>139</v>
      </c>
      <c r="E835" s="188" t="s">
        <v>946</v>
      </c>
      <c r="F835" s="189">
        <v>45839</v>
      </c>
      <c r="G835" s="190">
        <v>128</v>
      </c>
      <c r="H835" s="190">
        <f t="shared" si="25"/>
        <v>128</v>
      </c>
      <c r="J835" s="190">
        <v>128</v>
      </c>
      <c r="K835" s="191">
        <f t="shared" si="26"/>
        <v>0</v>
      </c>
      <c r="M835" s="215"/>
      <c r="N835" s="191"/>
    </row>
    <row r="836" spans="1:14" outlineLevel="4" x14ac:dyDescent="0.25">
      <c r="A836" s="188" t="s">
        <v>415</v>
      </c>
      <c r="B836" s="188" t="s">
        <v>945</v>
      </c>
      <c r="C836" s="188" t="s">
        <v>142</v>
      </c>
      <c r="D836" s="188" t="s">
        <v>142</v>
      </c>
      <c r="E836" s="188" t="s">
        <v>946</v>
      </c>
      <c r="F836" s="189">
        <v>45839</v>
      </c>
      <c r="G836" s="190">
        <v>1973</v>
      </c>
      <c r="H836" s="190">
        <f t="shared" si="25"/>
        <v>1973</v>
      </c>
      <c r="J836" s="190">
        <v>1869</v>
      </c>
      <c r="K836" s="191">
        <f t="shared" si="26"/>
        <v>104</v>
      </c>
      <c r="M836" s="215"/>
      <c r="N836" s="191"/>
    </row>
    <row r="837" spans="1:14" outlineLevel="4" x14ac:dyDescent="0.25">
      <c r="A837" s="188" t="s">
        <v>415</v>
      </c>
      <c r="B837" s="188" t="s">
        <v>945</v>
      </c>
      <c r="C837" s="188" t="s">
        <v>123</v>
      </c>
      <c r="D837" s="188" t="s">
        <v>123</v>
      </c>
      <c r="E837" s="188" t="s">
        <v>946</v>
      </c>
      <c r="F837" s="189">
        <v>45839</v>
      </c>
      <c r="G837" s="190">
        <v>4164</v>
      </c>
      <c r="H837" s="190">
        <f t="shared" si="25"/>
        <v>4164</v>
      </c>
      <c r="J837" s="190">
        <v>4164</v>
      </c>
      <c r="K837" s="191">
        <f t="shared" si="26"/>
        <v>0</v>
      </c>
      <c r="M837" s="215"/>
      <c r="N837" s="191"/>
    </row>
    <row r="838" spans="1:14" outlineLevel="3" x14ac:dyDescent="0.25">
      <c r="B838" s="183" t="s">
        <v>947</v>
      </c>
      <c r="F838" s="189"/>
      <c r="G838" s="190">
        <f>SUBTOTAL(9,G834:G837)</f>
        <v>6730</v>
      </c>
      <c r="H838" s="190"/>
      <c r="J838" s="190">
        <f>SUBTOTAL(9,J834:J837)</f>
        <v>6626</v>
      </c>
      <c r="K838" s="191">
        <f>SUBTOTAL(9,K834:K837)</f>
        <v>104</v>
      </c>
      <c r="M838" s="215"/>
      <c r="N838" s="191"/>
    </row>
    <row r="839" spans="1:14" outlineLevel="4" x14ac:dyDescent="0.25">
      <c r="A839" s="188" t="s">
        <v>415</v>
      </c>
      <c r="B839" s="188" t="s">
        <v>948</v>
      </c>
      <c r="C839" s="188" t="s">
        <v>420</v>
      </c>
      <c r="D839" s="188" t="s">
        <v>949</v>
      </c>
      <c r="E839" s="188" t="s">
        <v>950</v>
      </c>
      <c r="F839" s="189">
        <v>45839</v>
      </c>
      <c r="G839" s="190">
        <v>2008.5</v>
      </c>
      <c r="H839" s="190">
        <f t="shared" si="25"/>
        <v>2008.5</v>
      </c>
      <c r="J839" s="190">
        <v>2008.5</v>
      </c>
      <c r="K839" s="191">
        <f t="shared" si="26"/>
        <v>0</v>
      </c>
      <c r="M839" s="215"/>
      <c r="N839" s="191"/>
    </row>
    <row r="840" spans="1:14" outlineLevel="4" x14ac:dyDescent="0.25">
      <c r="A840" s="188" t="s">
        <v>415</v>
      </c>
      <c r="B840" s="188" t="s">
        <v>948</v>
      </c>
      <c r="C840" s="188" t="s">
        <v>139</v>
      </c>
      <c r="D840" s="188" t="s">
        <v>139</v>
      </c>
      <c r="E840" s="188" t="s">
        <v>950</v>
      </c>
      <c r="F840" s="189">
        <v>45839</v>
      </c>
      <c r="G840" s="190">
        <v>490.5</v>
      </c>
      <c r="H840" s="190">
        <f t="shared" si="25"/>
        <v>490.5</v>
      </c>
      <c r="J840" s="190">
        <v>490.5</v>
      </c>
      <c r="K840" s="191">
        <f t="shared" si="26"/>
        <v>0</v>
      </c>
      <c r="M840" s="215"/>
      <c r="N840" s="191"/>
    </row>
    <row r="841" spans="1:14" outlineLevel="4" x14ac:dyDescent="0.25">
      <c r="A841" s="188" t="s">
        <v>415</v>
      </c>
      <c r="B841" s="188" t="s">
        <v>948</v>
      </c>
      <c r="C841" s="188" t="s">
        <v>142</v>
      </c>
      <c r="D841" s="188" t="s">
        <v>142</v>
      </c>
      <c r="E841" s="188" t="s">
        <v>950</v>
      </c>
      <c r="F841" s="189">
        <v>45839</v>
      </c>
      <c r="G841" s="190">
        <v>2630</v>
      </c>
      <c r="H841" s="190">
        <f t="shared" si="25"/>
        <v>2630</v>
      </c>
      <c r="J841" s="190">
        <v>2618</v>
      </c>
      <c r="K841" s="191">
        <f t="shared" si="26"/>
        <v>12</v>
      </c>
      <c r="M841" s="215"/>
      <c r="N841" s="191"/>
    </row>
    <row r="842" spans="1:14" outlineLevel="4" x14ac:dyDescent="0.25">
      <c r="A842" s="188" t="s">
        <v>415</v>
      </c>
      <c r="B842" s="188" t="s">
        <v>948</v>
      </c>
      <c r="C842" s="188" t="s">
        <v>123</v>
      </c>
      <c r="D842" s="188" t="s">
        <v>951</v>
      </c>
      <c r="E842" s="188" t="s">
        <v>950</v>
      </c>
      <c r="F842" s="189">
        <v>45839</v>
      </c>
      <c r="G842" s="190">
        <v>5035</v>
      </c>
      <c r="H842" s="190">
        <f t="shared" si="25"/>
        <v>5035</v>
      </c>
      <c r="J842" s="190">
        <v>4975</v>
      </c>
      <c r="K842" s="191">
        <f t="shared" si="26"/>
        <v>60</v>
      </c>
      <c r="M842" s="215"/>
      <c r="N842" s="191"/>
    </row>
    <row r="843" spans="1:14" outlineLevel="3" x14ac:dyDescent="0.25">
      <c r="B843" s="183" t="s">
        <v>952</v>
      </c>
      <c r="F843" s="189"/>
      <c r="G843" s="190">
        <f>SUBTOTAL(9,G839:G842)</f>
        <v>10164</v>
      </c>
      <c r="H843" s="190"/>
      <c r="J843" s="190">
        <f>SUBTOTAL(9,J839:J842)</f>
        <v>10092</v>
      </c>
      <c r="K843" s="191">
        <f>SUBTOTAL(9,K839:K842)</f>
        <v>72</v>
      </c>
      <c r="M843" s="215"/>
      <c r="N843" s="191"/>
    </row>
    <row r="844" spans="1:14" s="202" customFormat="1" outlineLevel="4" x14ac:dyDescent="0.25">
      <c r="A844" s="188" t="s">
        <v>415</v>
      </c>
      <c r="B844" s="208" t="s">
        <v>953</v>
      </c>
      <c r="C844" s="208" t="s">
        <v>139</v>
      </c>
      <c r="D844" s="208" t="s">
        <v>139</v>
      </c>
      <c r="F844" s="203"/>
      <c r="G844" s="204"/>
      <c r="H844" s="190">
        <f t="shared" si="25"/>
        <v>0</v>
      </c>
      <c r="J844" s="204">
        <v>360</v>
      </c>
      <c r="K844" s="191">
        <f t="shared" si="26"/>
        <v>-360</v>
      </c>
      <c r="M844" s="216"/>
      <c r="N844" s="206"/>
    </row>
    <row r="845" spans="1:14" outlineLevel="4" x14ac:dyDescent="0.25">
      <c r="A845" s="188" t="s">
        <v>415</v>
      </c>
      <c r="B845" s="188" t="s">
        <v>953</v>
      </c>
      <c r="C845" s="188" t="s">
        <v>170</v>
      </c>
      <c r="D845" s="188" t="s">
        <v>170</v>
      </c>
      <c r="E845" s="188" t="s">
        <v>954</v>
      </c>
      <c r="F845" s="189">
        <v>45839</v>
      </c>
      <c r="G845" s="190">
        <v>2560</v>
      </c>
      <c r="H845" s="190">
        <f t="shared" si="25"/>
        <v>2560</v>
      </c>
      <c r="J845" s="190">
        <v>2560</v>
      </c>
      <c r="K845" s="191">
        <f t="shared" si="26"/>
        <v>0</v>
      </c>
      <c r="M845" s="215"/>
      <c r="N845" s="191"/>
    </row>
    <row r="846" spans="1:14" outlineLevel="4" x14ac:dyDescent="0.25">
      <c r="A846" s="188" t="s">
        <v>415</v>
      </c>
      <c r="B846" s="188" t="s">
        <v>953</v>
      </c>
      <c r="C846" s="188" t="s">
        <v>142</v>
      </c>
      <c r="D846" s="188" t="s">
        <v>142</v>
      </c>
      <c r="E846" s="188" t="s">
        <v>954</v>
      </c>
      <c r="F846" s="189">
        <v>45839</v>
      </c>
      <c r="G846" s="190">
        <v>1988</v>
      </c>
      <c r="H846" s="190">
        <f t="shared" si="25"/>
        <v>1988</v>
      </c>
      <c r="J846" s="190">
        <v>2006</v>
      </c>
      <c r="K846" s="191">
        <f t="shared" si="26"/>
        <v>-18</v>
      </c>
      <c r="M846" s="215"/>
      <c r="N846" s="191"/>
    </row>
    <row r="847" spans="1:14" outlineLevel="4" x14ac:dyDescent="0.25">
      <c r="A847" s="188" t="s">
        <v>415</v>
      </c>
      <c r="B847" s="188" t="s">
        <v>953</v>
      </c>
      <c r="C847" s="188" t="s">
        <v>123</v>
      </c>
      <c r="D847" s="188" t="s">
        <v>123</v>
      </c>
      <c r="E847" s="188" t="s">
        <v>954</v>
      </c>
      <c r="F847" s="189">
        <v>45839</v>
      </c>
      <c r="G847" s="190">
        <v>5992</v>
      </c>
      <c r="H847" s="190">
        <f t="shared" si="25"/>
        <v>5992</v>
      </c>
      <c r="J847" s="190">
        <v>5992</v>
      </c>
      <c r="K847" s="191">
        <f t="shared" si="26"/>
        <v>0</v>
      </c>
      <c r="M847" s="215"/>
      <c r="N847" s="191"/>
    </row>
    <row r="848" spans="1:14" outlineLevel="3" x14ac:dyDescent="0.25">
      <c r="B848" s="183" t="s">
        <v>955</v>
      </c>
      <c r="F848" s="189"/>
      <c r="G848" s="190">
        <f>SUBTOTAL(9,G844:G847)</f>
        <v>10540</v>
      </c>
      <c r="H848" s="190"/>
      <c r="J848" s="190">
        <f>SUBTOTAL(9,J844:J847)</f>
        <v>10918</v>
      </c>
      <c r="K848" s="191">
        <f>SUBTOTAL(9,K844:K847)</f>
        <v>-378</v>
      </c>
      <c r="M848" s="215"/>
      <c r="N848" s="191"/>
    </row>
    <row r="849" spans="1:14" outlineLevel="4" x14ac:dyDescent="0.25">
      <c r="A849" s="188" t="s">
        <v>415</v>
      </c>
      <c r="B849" s="188" t="s">
        <v>956</v>
      </c>
      <c r="C849" s="188" t="s">
        <v>123</v>
      </c>
      <c r="D849" s="188" t="s">
        <v>188</v>
      </c>
      <c r="E849" s="188" t="s">
        <v>957</v>
      </c>
      <c r="F849" s="189">
        <v>45839</v>
      </c>
      <c r="G849" s="190">
        <v>1000</v>
      </c>
      <c r="H849" s="190">
        <f t="shared" si="25"/>
        <v>1000</v>
      </c>
      <c r="J849" s="190">
        <v>1000</v>
      </c>
      <c r="K849" s="191">
        <f t="shared" si="26"/>
        <v>0</v>
      </c>
      <c r="M849" s="215"/>
      <c r="N849" s="191"/>
    </row>
    <row r="850" spans="1:14" outlineLevel="3" x14ac:dyDescent="0.25">
      <c r="B850" s="183" t="s">
        <v>958</v>
      </c>
      <c r="F850" s="189"/>
      <c r="G850" s="190">
        <f>SUBTOTAL(9,G849:G849)</f>
        <v>1000</v>
      </c>
      <c r="H850" s="190"/>
      <c r="J850" s="190">
        <f>SUBTOTAL(9,J849:J849)</f>
        <v>1000</v>
      </c>
      <c r="K850" s="191">
        <f>SUBTOTAL(9,K849:K849)</f>
        <v>0</v>
      </c>
      <c r="M850" s="215"/>
      <c r="N850" s="191"/>
    </row>
    <row r="851" spans="1:14" outlineLevel="4" x14ac:dyDescent="0.25">
      <c r="A851" s="188" t="s">
        <v>415</v>
      </c>
      <c r="B851" s="188" t="s">
        <v>959</v>
      </c>
      <c r="C851" s="188" t="s">
        <v>420</v>
      </c>
      <c r="D851" s="188" t="s">
        <v>420</v>
      </c>
      <c r="E851" s="188" t="s">
        <v>960</v>
      </c>
      <c r="F851" s="189">
        <v>45853</v>
      </c>
      <c r="G851" s="190">
        <v>34.61</v>
      </c>
      <c r="H851" s="190">
        <f t="shared" si="25"/>
        <v>34.61</v>
      </c>
      <c r="J851" s="190">
        <v>33.6</v>
      </c>
      <c r="K851" s="191">
        <f t="shared" si="26"/>
        <v>1.009999999999998</v>
      </c>
      <c r="M851" s="215"/>
      <c r="N851" s="191"/>
    </row>
    <row r="852" spans="1:14" outlineLevel="4" x14ac:dyDescent="0.25">
      <c r="A852" s="188" t="s">
        <v>415</v>
      </c>
      <c r="B852" s="188" t="s">
        <v>959</v>
      </c>
      <c r="C852" s="188" t="s">
        <v>139</v>
      </c>
      <c r="D852" s="188" t="s">
        <v>139</v>
      </c>
      <c r="E852" s="188" t="s">
        <v>960</v>
      </c>
      <c r="F852" s="189">
        <v>45853</v>
      </c>
      <c r="G852" s="190">
        <v>178.96</v>
      </c>
      <c r="H852" s="190">
        <f t="shared" si="25"/>
        <v>178.96</v>
      </c>
      <c r="J852" s="190">
        <v>178.96</v>
      </c>
      <c r="K852" s="191">
        <f t="shared" si="26"/>
        <v>0</v>
      </c>
      <c r="M852" s="215"/>
      <c r="N852" s="191"/>
    </row>
    <row r="853" spans="1:14" outlineLevel="4" x14ac:dyDescent="0.25">
      <c r="A853" s="188" t="s">
        <v>415</v>
      </c>
      <c r="B853" s="188" t="s">
        <v>959</v>
      </c>
      <c r="C853" s="188" t="s">
        <v>142</v>
      </c>
      <c r="D853" s="188" t="s">
        <v>142</v>
      </c>
      <c r="E853" s="188" t="s">
        <v>960</v>
      </c>
      <c r="F853" s="189">
        <v>45853</v>
      </c>
      <c r="G853" s="190">
        <v>28</v>
      </c>
      <c r="H853" s="190">
        <f t="shared" si="25"/>
        <v>28</v>
      </c>
      <c r="J853" s="190">
        <v>28</v>
      </c>
      <c r="K853" s="191">
        <f t="shared" si="26"/>
        <v>0</v>
      </c>
      <c r="M853" s="215"/>
      <c r="N853" s="191"/>
    </row>
    <row r="854" spans="1:14" outlineLevel="4" x14ac:dyDescent="0.25">
      <c r="A854" s="188" t="s">
        <v>415</v>
      </c>
      <c r="B854" s="188" t="s">
        <v>959</v>
      </c>
      <c r="C854" s="188" t="s">
        <v>123</v>
      </c>
      <c r="D854" s="188" t="s">
        <v>123</v>
      </c>
      <c r="E854" s="188" t="s">
        <v>960</v>
      </c>
      <c r="F854" s="189">
        <v>45853</v>
      </c>
      <c r="G854" s="190">
        <v>449.4</v>
      </c>
      <c r="H854" s="190">
        <f t="shared" si="25"/>
        <v>449.4</v>
      </c>
      <c r="J854" s="190">
        <v>446.25</v>
      </c>
      <c r="K854" s="191">
        <f t="shared" si="26"/>
        <v>3.1499999999999773</v>
      </c>
      <c r="M854" s="215"/>
      <c r="N854" s="191"/>
    </row>
    <row r="855" spans="1:14" outlineLevel="3" x14ac:dyDescent="0.25">
      <c r="B855" s="183" t="s">
        <v>961</v>
      </c>
      <c r="F855" s="189"/>
      <c r="G855" s="190">
        <f>SUBTOTAL(9,G851:G854)</f>
        <v>690.97</v>
      </c>
      <c r="H855" s="190"/>
      <c r="J855" s="190">
        <f>SUBTOTAL(9,J851:J854)</f>
        <v>686.81</v>
      </c>
      <c r="K855" s="191">
        <f>SUBTOTAL(9,K851:K854)</f>
        <v>4.1599999999999753</v>
      </c>
      <c r="M855" s="215"/>
      <c r="N855" s="191"/>
    </row>
    <row r="856" spans="1:14" outlineLevel="1" x14ac:dyDescent="0.25">
      <c r="A856" s="183" t="s">
        <v>962</v>
      </c>
      <c r="F856" s="189"/>
      <c r="G856" s="190">
        <f>SUBTOTAL(9,G238:G854)</f>
        <v>781192.20589999994</v>
      </c>
      <c r="H856" s="190"/>
      <c r="J856" s="190">
        <f>SUBTOTAL(9,J238:J854)</f>
        <v>782999.36300000013</v>
      </c>
      <c r="K856" s="191">
        <f>SUBTOTAL(9,K238:K854)</f>
        <v>-1807.1570999999958</v>
      </c>
      <c r="M856" s="215"/>
      <c r="N856" s="191"/>
    </row>
    <row r="857" spans="1:14" x14ac:dyDescent="0.25">
      <c r="A857" s="183" t="s">
        <v>963</v>
      </c>
      <c r="F857" s="189"/>
      <c r="G857" s="190">
        <f>SUBTOTAL(9,G2:G854)</f>
        <v>907987.29550000001</v>
      </c>
      <c r="H857" s="190"/>
      <c r="J857" s="190">
        <f>SUBTOTAL(9,J2:J854)</f>
        <v>921202.74120000016</v>
      </c>
      <c r="K857" s="191">
        <f>SUBTOTAL(9,K2:K854)</f>
        <v>-13215.445699999993</v>
      </c>
      <c r="M857" s="215"/>
      <c r="N857" s="191"/>
    </row>
    <row r="858" spans="1:14" x14ac:dyDescent="0.25">
      <c r="A858" s="183"/>
      <c r="B858" s="183"/>
      <c r="F858" s="189"/>
      <c r="G858" s="190"/>
      <c r="J858" s="190"/>
      <c r="K858" s="190"/>
      <c r="M858" s="215"/>
      <c r="N858" s="191"/>
    </row>
    <row r="859" spans="1:14" x14ac:dyDescent="0.25">
      <c r="B859" s="183"/>
      <c r="F859" s="189"/>
      <c r="G859" s="190"/>
      <c r="J859" s="190"/>
      <c r="K859" s="191"/>
      <c r="M859" s="215"/>
      <c r="N859" s="191"/>
    </row>
    <row r="860" spans="1:14" x14ac:dyDescent="0.25">
      <c r="A860" s="183"/>
      <c r="B860" s="183" t="s">
        <v>963</v>
      </c>
      <c r="F860" s="189"/>
      <c r="G860" s="190">
        <v>907987.29550000001</v>
      </c>
      <c r="J860" s="190">
        <v>921202.74120000016</v>
      </c>
      <c r="K860" s="191">
        <v>-13215.445699999993</v>
      </c>
      <c r="M860" s="215"/>
      <c r="N860" s="191"/>
    </row>
    <row r="861" spans="1:14" x14ac:dyDescent="0.25">
      <c r="B861" s="183"/>
      <c r="F861" s="189"/>
      <c r="G861" s="190"/>
      <c r="J861" s="190"/>
      <c r="K861" s="191"/>
      <c r="M861" s="215"/>
      <c r="N861" s="191"/>
    </row>
    <row r="862" spans="1:14" x14ac:dyDescent="0.25">
      <c r="F862" s="189"/>
      <c r="G862" s="190"/>
      <c r="H862" s="190"/>
      <c r="J862" s="190"/>
      <c r="K862" s="191"/>
    </row>
    <row r="865" spans="5:11" x14ac:dyDescent="0.25">
      <c r="E865" s="183" t="s">
        <v>414</v>
      </c>
      <c r="F865" s="209"/>
      <c r="G865" s="190">
        <v>126795.08959999999</v>
      </c>
      <c r="H865" s="209"/>
      <c r="I865" s="209"/>
      <c r="J865" s="190">
        <v>138203.37820000001</v>
      </c>
      <c r="K865" s="191">
        <f>+G865-J865</f>
        <v>-11408.288600000014</v>
      </c>
    </row>
    <row r="866" spans="5:11" x14ac:dyDescent="0.25">
      <c r="E866" s="209"/>
      <c r="F866" s="209"/>
      <c r="G866" s="190"/>
      <c r="H866" s="209"/>
      <c r="I866" s="209"/>
      <c r="J866" s="190"/>
    </row>
    <row r="867" spans="5:11" x14ac:dyDescent="0.25">
      <c r="E867" s="209"/>
      <c r="F867" s="210" t="s">
        <v>27</v>
      </c>
      <c r="G867" s="190">
        <v>107888</v>
      </c>
      <c r="H867" s="209"/>
      <c r="I867" s="209"/>
      <c r="J867" s="190">
        <v>118590.37</v>
      </c>
      <c r="K867" s="191">
        <f t="shared" ref="K867:K871" si="27">+G867-J867</f>
        <v>-10702.369999999995</v>
      </c>
    </row>
    <row r="868" spans="5:11" x14ac:dyDescent="0.25">
      <c r="E868" s="209"/>
      <c r="F868" s="210" t="s">
        <v>28</v>
      </c>
      <c r="G868" s="190"/>
      <c r="H868" s="209"/>
      <c r="I868" s="209"/>
      <c r="J868" s="190">
        <v>0</v>
      </c>
      <c r="K868" s="191">
        <f t="shared" si="27"/>
        <v>0</v>
      </c>
    </row>
    <row r="869" spans="5:11" x14ac:dyDescent="0.25">
      <c r="E869" s="209"/>
      <c r="F869" s="210" t="s">
        <v>29</v>
      </c>
      <c r="G869" s="190">
        <v>18907</v>
      </c>
      <c r="H869" s="209"/>
      <c r="I869" s="209"/>
      <c r="J869" s="190">
        <v>19613.009999999998</v>
      </c>
      <c r="K869" s="191">
        <f t="shared" si="27"/>
        <v>-706.0099999999984</v>
      </c>
    </row>
    <row r="870" spans="5:11" x14ac:dyDescent="0.25">
      <c r="E870" s="209"/>
      <c r="F870" s="210"/>
      <c r="G870" s="190"/>
      <c r="H870" s="209"/>
      <c r="I870" s="209"/>
      <c r="J870" s="190"/>
      <c r="K870" s="191">
        <f t="shared" si="27"/>
        <v>0</v>
      </c>
    </row>
    <row r="871" spans="5:11" x14ac:dyDescent="0.25">
      <c r="E871" s="209"/>
      <c r="F871" s="210" t="s">
        <v>964</v>
      </c>
      <c r="G871" s="190">
        <v>126795</v>
      </c>
      <c r="H871" s="209"/>
      <c r="I871" s="209"/>
      <c r="J871" s="200">
        <v>138203.38</v>
      </c>
      <c r="K871" s="191">
        <f t="shared" si="27"/>
        <v>-11408.380000000005</v>
      </c>
    </row>
    <row r="872" spans="5:11" x14ac:dyDescent="0.25">
      <c r="E872" s="209"/>
      <c r="F872" s="209"/>
      <c r="G872" s="190"/>
      <c r="H872" s="209"/>
      <c r="I872" s="209"/>
      <c r="J872" s="190"/>
    </row>
    <row r="873" spans="5:11" x14ac:dyDescent="0.25">
      <c r="E873" s="209"/>
      <c r="F873" s="211" t="s">
        <v>965</v>
      </c>
      <c r="G873" s="212">
        <f>G865-G871</f>
        <v>8.9599999992060475E-2</v>
      </c>
      <c r="H873" s="209"/>
      <c r="I873" s="209"/>
      <c r="J873" s="190">
        <v>-1.799999998183921E-3</v>
      </c>
    </row>
    <row r="875" spans="5:11" x14ac:dyDescent="0.25">
      <c r="G875" s="191"/>
    </row>
    <row r="877" spans="5:11" x14ac:dyDescent="0.25">
      <c r="E877" s="183" t="s">
        <v>962</v>
      </c>
      <c r="F877" s="190"/>
      <c r="G877" s="190">
        <v>781192.20589999994</v>
      </c>
      <c r="H877" s="191"/>
      <c r="J877" s="190">
        <v>782999.36300000013</v>
      </c>
      <c r="K877" s="191">
        <f>+G877-J877</f>
        <v>-1807.1571000001859</v>
      </c>
    </row>
    <row r="878" spans="5:11" x14ac:dyDescent="0.25">
      <c r="F878" s="190"/>
      <c r="G878" s="190"/>
      <c r="J878" s="190"/>
    </row>
    <row r="879" spans="5:11" x14ac:dyDescent="0.25">
      <c r="F879" s="213" t="s">
        <v>27</v>
      </c>
      <c r="G879" s="190">
        <v>466037</v>
      </c>
      <c r="J879" s="190">
        <v>476848</v>
      </c>
      <c r="K879" s="191">
        <f t="shared" ref="K879:K881" si="28">+G879-J879</f>
        <v>-10811</v>
      </c>
    </row>
    <row r="880" spans="5:11" x14ac:dyDescent="0.25">
      <c r="F880" s="213" t="s">
        <v>28</v>
      </c>
      <c r="G880" s="190">
        <v>26260</v>
      </c>
      <c r="J880" s="190">
        <v>24486.12</v>
      </c>
      <c r="K880" s="191">
        <f t="shared" si="28"/>
        <v>1773.880000000001</v>
      </c>
    </row>
    <row r="881" spans="1:11" x14ac:dyDescent="0.25">
      <c r="F881" s="213" t="s">
        <v>29</v>
      </c>
      <c r="G881" s="190">
        <v>288895</v>
      </c>
      <c r="J881" s="190">
        <v>281665.7</v>
      </c>
      <c r="K881" s="191">
        <f t="shared" si="28"/>
        <v>7229.2999999999884</v>
      </c>
    </row>
    <row r="882" spans="1:11" x14ac:dyDescent="0.25">
      <c r="F882" s="213"/>
      <c r="G882" s="190"/>
      <c r="J882" s="190"/>
    </row>
    <row r="883" spans="1:11" x14ac:dyDescent="0.25">
      <c r="F883" s="190" t="s">
        <v>964</v>
      </c>
      <c r="G883" s="190">
        <v>781192</v>
      </c>
      <c r="J883" s="190">
        <v>782999.82000000007</v>
      </c>
    </row>
    <row r="884" spans="1:11" x14ac:dyDescent="0.25">
      <c r="F884" s="190"/>
      <c r="G884" s="190"/>
      <c r="J884" s="190"/>
    </row>
    <row r="885" spans="1:11" x14ac:dyDescent="0.25">
      <c r="F885" s="190"/>
      <c r="G885" s="190">
        <v>0.20589999994263053</v>
      </c>
      <c r="J885" s="190">
        <v>-0.45699999993667006</v>
      </c>
    </row>
    <row r="889" spans="1:11" x14ac:dyDescent="0.25">
      <c r="E889" s="183" t="s">
        <v>966</v>
      </c>
      <c r="G889" s="191">
        <f>+G865+G877</f>
        <v>907987.29549999989</v>
      </c>
      <c r="J889" s="191">
        <f>+J877+J865</f>
        <v>921202.74120000016</v>
      </c>
      <c r="K889" s="191">
        <f>+G889-J889</f>
        <v>-13215.445700000273</v>
      </c>
    </row>
    <row r="891" spans="1:11" x14ac:dyDescent="0.25">
      <c r="F891" s="210" t="s">
        <v>27</v>
      </c>
      <c r="G891" s="191">
        <f>+G867+G879</f>
        <v>573925</v>
      </c>
      <c r="J891" s="191">
        <f>+J867+J879</f>
        <v>595438.37</v>
      </c>
      <c r="K891" s="191">
        <f t="shared" ref="K891:K893" si="29">+G891-J891</f>
        <v>-21513.369999999995</v>
      </c>
    </row>
    <row r="892" spans="1:11" x14ac:dyDescent="0.25">
      <c r="F892" s="210" t="s">
        <v>28</v>
      </c>
      <c r="G892" s="191">
        <f>+G868+G880</f>
        <v>26260</v>
      </c>
      <c r="J892" s="191">
        <f t="shared" ref="J892:J893" si="30">+J868+J880</f>
        <v>24486.12</v>
      </c>
      <c r="K892" s="191">
        <f t="shared" si="29"/>
        <v>1773.880000000001</v>
      </c>
    </row>
    <row r="893" spans="1:11" x14ac:dyDescent="0.25">
      <c r="F893" s="210" t="s">
        <v>29</v>
      </c>
      <c r="G893" s="191">
        <f>+G869+G881</f>
        <v>307802</v>
      </c>
      <c r="J893" s="191">
        <f t="shared" si="30"/>
        <v>301278.71000000002</v>
      </c>
      <c r="K893" s="191">
        <f t="shared" si="29"/>
        <v>6523.289999999979</v>
      </c>
    </row>
    <row r="894" spans="1:11" x14ac:dyDescent="0.25">
      <c r="F894" s="210"/>
    </row>
    <row r="895" spans="1:11" x14ac:dyDescent="0.25">
      <c r="F895" s="210" t="s">
        <v>964</v>
      </c>
      <c r="G895" s="191">
        <f>+G871+G883</f>
        <v>907987</v>
      </c>
      <c r="J895" s="191">
        <f>+SUM(J891:J893)</f>
        <v>921203.19999999995</v>
      </c>
    </row>
    <row r="896" spans="1:11" x14ac:dyDescent="0.25">
      <c r="A896" s="183"/>
      <c r="F896" s="210"/>
      <c r="G896" s="191"/>
    </row>
  </sheetData>
  <autoFilter ref="A1:M235" xr:uid="{42939861-A937-4ABC-8A5E-5A54C1879591}">
    <sortState xmlns:xlrd2="http://schemas.microsoft.com/office/spreadsheetml/2017/richdata2" ref="A2:M235">
      <sortCondition ref="B1:B235"/>
    </sortState>
  </autoFilter>
  <conditionalFormatting sqref="L1">
    <cfRule type="cellIs" dxfId="1" priority="1" operator="lessThan">
      <formula>-0.25</formula>
    </cfRule>
    <cfRule type="cellIs" dxfId="0" priority="2" operator="greaterThan">
      <formula>0.25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14369-46CA-465E-8445-DE129AE8ABFF}">
  <sheetPr>
    <tabColor rgb="FF92D050"/>
  </sheetPr>
  <dimension ref="A1:AH95"/>
  <sheetViews>
    <sheetView topLeftCell="E1" workbookViewId="0">
      <pane ySplit="7" topLeftCell="A47" activePane="bottomLeft" state="frozen"/>
      <selection pane="bottomLeft" activeCell="P69" sqref="P69"/>
    </sheetView>
  </sheetViews>
  <sheetFormatPr defaultRowHeight="15.75" x14ac:dyDescent="0.25"/>
  <cols>
    <col min="1" max="1" width="14.85546875" style="29" customWidth="1"/>
    <col min="2" max="2" width="12.140625" style="29" customWidth="1"/>
    <col min="3" max="3" width="16.42578125" style="29" customWidth="1"/>
    <col min="4" max="4" width="13" style="29" customWidth="1"/>
    <col min="5" max="5" width="23.7109375" style="29" bestFit="1" customWidth="1"/>
    <col min="6" max="6" width="32.7109375" style="29" bestFit="1" customWidth="1"/>
    <col min="7" max="7" width="18.7109375" style="48" customWidth="1"/>
    <col min="8" max="8" width="23.28515625" style="29" customWidth="1"/>
    <col min="9" max="10" width="21.140625" style="31" customWidth="1"/>
    <col min="11" max="16" width="20.28515625" style="29" customWidth="1"/>
    <col min="17" max="17" width="30.85546875" style="29" customWidth="1"/>
    <col min="18" max="18" width="20.28515625" style="29" customWidth="1"/>
    <col min="19" max="19" width="21.28515625" style="34" customWidth="1"/>
    <col min="20" max="20" width="20.85546875" style="29" customWidth="1"/>
    <col min="21" max="16384" width="9.140625" style="29"/>
  </cols>
  <sheetData>
    <row r="1" spans="1:19" ht="19.5" x14ac:dyDescent="0.3">
      <c r="A1" s="28" t="s">
        <v>967</v>
      </c>
      <c r="D1" s="30"/>
      <c r="E1" s="30"/>
      <c r="F1" s="220" t="s">
        <v>968</v>
      </c>
      <c r="G1" s="221"/>
      <c r="H1" s="31" t="s">
        <v>969</v>
      </c>
      <c r="I1" s="32" t="s">
        <v>970</v>
      </c>
      <c r="J1" s="33" t="s">
        <v>120</v>
      </c>
      <c r="R1" s="31"/>
    </row>
    <row r="2" spans="1:19" ht="19.5" x14ac:dyDescent="0.3">
      <c r="C2" s="30"/>
      <c r="D2" s="30"/>
      <c r="E2" s="30"/>
      <c r="F2" s="35" t="s">
        <v>971</v>
      </c>
      <c r="G2" s="36">
        <v>65070</v>
      </c>
      <c r="H2" s="37">
        <f>ROUND(+H14,0)</f>
        <v>65070</v>
      </c>
      <c r="I2" s="38">
        <f>+G2-H2</f>
        <v>0</v>
      </c>
      <c r="J2" s="39"/>
      <c r="K2" s="40"/>
      <c r="L2" s="40"/>
      <c r="M2" s="40"/>
      <c r="N2" s="40"/>
      <c r="O2" s="40"/>
      <c r="P2" s="40"/>
      <c r="Q2" s="40"/>
      <c r="R2" s="34"/>
    </row>
    <row r="3" spans="1:19" ht="19.5" x14ac:dyDescent="0.3">
      <c r="C3" s="30"/>
      <c r="D3" s="30"/>
      <c r="E3" s="30"/>
      <c r="F3" s="35" t="s">
        <v>972</v>
      </c>
      <c r="G3" s="36">
        <v>218508</v>
      </c>
      <c r="H3" s="37">
        <f>ROUND(+H47,0)</f>
        <v>218275</v>
      </c>
      <c r="I3" s="38">
        <f>+G3-H3</f>
        <v>233</v>
      </c>
      <c r="J3" s="41"/>
      <c r="K3" s="41"/>
      <c r="L3" s="41"/>
      <c r="M3" s="41"/>
      <c r="N3" s="41"/>
      <c r="O3" s="41"/>
      <c r="P3" s="41"/>
      <c r="Q3" s="40"/>
      <c r="R3" s="34"/>
    </row>
    <row r="4" spans="1:19" ht="25.5" x14ac:dyDescent="0.3">
      <c r="A4" s="42" t="s">
        <v>973</v>
      </c>
      <c r="C4" s="30"/>
      <c r="D4" s="30"/>
      <c r="E4" s="30"/>
      <c r="F4" s="43" t="s">
        <v>974</v>
      </c>
      <c r="G4" s="36">
        <v>147139</v>
      </c>
      <c r="H4" s="37">
        <f>ROUND(+H63,0)</f>
        <v>147139</v>
      </c>
      <c r="I4" s="38">
        <f>+G4-H4</f>
        <v>0</v>
      </c>
      <c r="J4" s="44"/>
      <c r="K4" s="40"/>
      <c r="L4" s="40"/>
      <c r="M4" s="40"/>
      <c r="N4" s="40"/>
      <c r="O4" s="40"/>
      <c r="P4" s="40"/>
      <c r="Q4" s="40"/>
      <c r="R4" s="34"/>
    </row>
    <row r="5" spans="1:19" ht="20.25" thickBot="1" x14ac:dyDescent="0.35">
      <c r="A5" s="45" t="s">
        <v>975</v>
      </c>
      <c r="C5" s="30"/>
      <c r="D5" s="30"/>
      <c r="E5" s="30"/>
      <c r="F5" s="46" t="s">
        <v>976</v>
      </c>
      <c r="G5" s="47">
        <v>88589</v>
      </c>
      <c r="H5" s="37">
        <f>ROUND(+H76,0)</f>
        <v>88605</v>
      </c>
      <c r="I5" s="38">
        <f>+G5-H5</f>
        <v>-16</v>
      </c>
      <c r="J5" s="44"/>
      <c r="K5" s="40"/>
      <c r="L5" s="40"/>
      <c r="M5" s="40"/>
      <c r="N5" s="40"/>
      <c r="O5" s="40"/>
      <c r="P5" s="40"/>
      <c r="Q5" s="40"/>
      <c r="R5" s="34"/>
    </row>
    <row r="6" spans="1:19" x14ac:dyDescent="0.25">
      <c r="I6" s="34"/>
      <c r="J6" s="34"/>
      <c r="S6" s="29"/>
    </row>
    <row r="7" spans="1:19" ht="45" x14ac:dyDescent="0.25">
      <c r="A7" s="49" t="s">
        <v>977</v>
      </c>
      <c r="B7" s="49" t="s">
        <v>978</v>
      </c>
      <c r="C7" s="50" t="s">
        <v>979</v>
      </c>
      <c r="D7" s="50" t="s">
        <v>980</v>
      </c>
      <c r="E7" s="50" t="s">
        <v>981</v>
      </c>
      <c r="F7" s="50" t="s">
        <v>982</v>
      </c>
      <c r="G7" s="51" t="s">
        <v>983</v>
      </c>
      <c r="H7" s="52" t="s">
        <v>984</v>
      </c>
      <c r="I7" s="52" t="s">
        <v>985</v>
      </c>
      <c r="J7" s="52" t="s">
        <v>986</v>
      </c>
      <c r="K7" s="53" t="s">
        <v>987</v>
      </c>
      <c r="L7" s="53" t="s">
        <v>988</v>
      </c>
      <c r="M7" s="53" t="s">
        <v>965</v>
      </c>
      <c r="N7" s="53" t="s">
        <v>989</v>
      </c>
      <c r="O7" s="53" t="s">
        <v>990</v>
      </c>
      <c r="P7" s="53" t="s">
        <v>991</v>
      </c>
      <c r="Q7" s="54" t="s">
        <v>120</v>
      </c>
      <c r="S7" s="29"/>
    </row>
    <row r="8" spans="1:19" x14ac:dyDescent="0.25">
      <c r="A8" s="55"/>
      <c r="B8" s="56"/>
      <c r="C8" s="57" t="s">
        <v>992</v>
      </c>
      <c r="D8" s="57" t="s">
        <v>993</v>
      </c>
      <c r="E8" s="57" t="s">
        <v>994</v>
      </c>
      <c r="F8" s="57" t="s">
        <v>995</v>
      </c>
      <c r="G8" s="58" t="s">
        <v>996</v>
      </c>
      <c r="H8" s="59">
        <v>8227.2061958041959</v>
      </c>
      <c r="I8" s="59"/>
      <c r="J8" s="59">
        <v>0</v>
      </c>
      <c r="K8" s="59">
        <f t="shared" ref="K8:K13" si="0">+H8-I8-J8</f>
        <v>8227.2061958041959</v>
      </c>
      <c r="L8" s="59">
        <v>7739.4788811188801</v>
      </c>
      <c r="M8" s="59">
        <f t="shared" ref="M8:M70" si="1">+K8-L8</f>
        <v>487.72731468531583</v>
      </c>
      <c r="N8" s="59"/>
      <c r="O8" s="59"/>
      <c r="P8" s="59"/>
      <c r="Q8" s="60"/>
      <c r="S8" s="29"/>
    </row>
    <row r="9" spans="1:19" x14ac:dyDescent="0.25">
      <c r="A9" s="61"/>
      <c r="B9" s="62"/>
      <c r="C9" s="57" t="s">
        <v>997</v>
      </c>
      <c r="D9" s="57" t="s">
        <v>998</v>
      </c>
      <c r="E9" s="57" t="s">
        <v>999</v>
      </c>
      <c r="F9" s="57" t="s">
        <v>1000</v>
      </c>
      <c r="G9" s="58" t="s">
        <v>996</v>
      </c>
      <c r="H9" s="59">
        <v>10252.928125874127</v>
      </c>
      <c r="I9" s="59"/>
      <c r="J9" s="59">
        <v>0</v>
      </c>
      <c r="K9" s="59">
        <f t="shared" si="0"/>
        <v>10252.928125874127</v>
      </c>
      <c r="L9" s="59">
        <v>9789.9935664335662</v>
      </c>
      <c r="M9" s="59">
        <f t="shared" si="1"/>
        <v>462.93455944056041</v>
      </c>
      <c r="N9" s="59"/>
      <c r="O9" s="59"/>
      <c r="P9" s="59"/>
      <c r="Q9" s="60"/>
      <c r="S9" s="29"/>
    </row>
    <row r="10" spans="1:19" x14ac:dyDescent="0.25">
      <c r="A10" s="55"/>
      <c r="B10" s="56"/>
      <c r="C10" s="63" t="s">
        <v>1001</v>
      </c>
      <c r="D10" s="63" t="s">
        <v>1002</v>
      </c>
      <c r="E10" s="63" t="s">
        <v>1003</v>
      </c>
      <c r="F10" s="63" t="s">
        <v>1000</v>
      </c>
      <c r="G10" s="64" t="s">
        <v>996</v>
      </c>
      <c r="H10" s="59">
        <v>8541.9456223776233</v>
      </c>
      <c r="I10" s="59"/>
      <c r="J10" s="59">
        <v>0</v>
      </c>
      <c r="K10" s="59">
        <f t="shared" si="0"/>
        <v>8541.9456223776233</v>
      </c>
      <c r="L10" s="59">
        <v>8418.5193006993013</v>
      </c>
      <c r="M10" s="59">
        <f t="shared" si="1"/>
        <v>123.42632167832198</v>
      </c>
      <c r="N10" s="59"/>
      <c r="O10" s="59"/>
      <c r="P10" s="59"/>
      <c r="Q10" s="60"/>
      <c r="S10" s="29"/>
    </row>
    <row r="11" spans="1:19" x14ac:dyDescent="0.25">
      <c r="A11" s="61"/>
      <c r="B11" s="62"/>
      <c r="C11" s="57" t="s">
        <v>1004</v>
      </c>
      <c r="D11" s="57" t="s">
        <v>1005</v>
      </c>
      <c r="E11" s="57" t="s">
        <v>1006</v>
      </c>
      <c r="F11" s="57" t="s">
        <v>1000</v>
      </c>
      <c r="G11" s="58" t="s">
        <v>996</v>
      </c>
      <c r="H11" s="59">
        <v>11735.635916083918</v>
      </c>
      <c r="I11" s="59"/>
      <c r="J11" s="59">
        <v>0</v>
      </c>
      <c r="K11" s="59">
        <f t="shared" si="0"/>
        <v>11735.635916083918</v>
      </c>
      <c r="L11" s="59">
        <v>11134.027622377622</v>
      </c>
      <c r="M11" s="59">
        <f t="shared" si="1"/>
        <v>601.60829370629654</v>
      </c>
      <c r="N11" s="59"/>
      <c r="O11" s="59"/>
      <c r="P11" s="59"/>
      <c r="Q11" s="60"/>
      <c r="S11" s="29"/>
    </row>
    <row r="12" spans="1:19" x14ac:dyDescent="0.25">
      <c r="A12" s="55"/>
      <c r="B12" s="56"/>
      <c r="C12" s="63" t="s">
        <v>1007</v>
      </c>
      <c r="D12" s="63" t="s">
        <v>1008</v>
      </c>
      <c r="E12" s="63" t="s">
        <v>1009</v>
      </c>
      <c r="F12" s="63" t="s">
        <v>1010</v>
      </c>
      <c r="G12" s="64" t="s">
        <v>996</v>
      </c>
      <c r="H12" s="59">
        <v>14843.209909090911</v>
      </c>
      <c r="I12" s="59"/>
      <c r="J12" s="59">
        <v>0</v>
      </c>
      <c r="K12" s="59">
        <f t="shared" si="0"/>
        <v>14843.209909090911</v>
      </c>
      <c r="L12" s="59">
        <v>13739.234090909089</v>
      </c>
      <c r="M12" s="59">
        <f t="shared" si="1"/>
        <v>1103.9758181818215</v>
      </c>
      <c r="N12" s="59"/>
      <c r="O12" s="59"/>
      <c r="P12" s="59"/>
      <c r="Q12" s="60"/>
      <c r="S12" s="29"/>
    </row>
    <row r="13" spans="1:19" x14ac:dyDescent="0.25">
      <c r="A13" s="61"/>
      <c r="B13" s="62"/>
      <c r="C13" s="63" t="s">
        <v>1011</v>
      </c>
      <c r="D13" s="63" t="s">
        <v>1012</v>
      </c>
      <c r="E13" s="63" t="s">
        <v>1013</v>
      </c>
      <c r="F13" s="63" t="s">
        <v>1014</v>
      </c>
      <c r="G13" s="64" t="s">
        <v>996</v>
      </c>
      <c r="H13" s="59">
        <v>11468.906104895106</v>
      </c>
      <c r="I13" s="59"/>
      <c r="J13" s="59">
        <v>0</v>
      </c>
      <c r="K13" s="59">
        <f t="shared" si="0"/>
        <v>11468.906104895106</v>
      </c>
      <c r="L13" s="59">
        <v>10855.792972027972</v>
      </c>
      <c r="M13" s="59">
        <f t="shared" si="1"/>
        <v>613.11313286713448</v>
      </c>
      <c r="N13" s="59"/>
      <c r="O13" s="59"/>
      <c r="P13" s="59"/>
      <c r="Q13" s="60"/>
      <c r="S13" s="29"/>
    </row>
    <row r="14" spans="1:19" x14ac:dyDescent="0.25">
      <c r="A14" s="65"/>
      <c r="B14" s="66"/>
      <c r="C14" s="67"/>
      <c r="D14" s="67"/>
      <c r="E14" s="67"/>
      <c r="F14" s="68"/>
      <c r="G14" s="69" t="s">
        <v>1015</v>
      </c>
      <c r="H14" s="70">
        <f>SUM(H8:H13)</f>
        <v>65069.831874125877</v>
      </c>
      <c r="I14" s="70">
        <f t="shared" ref="I14:K14" si="2">SUM(I8:I13)</f>
        <v>0</v>
      </c>
      <c r="J14" s="70">
        <f t="shared" si="2"/>
        <v>0</v>
      </c>
      <c r="K14" s="70">
        <f t="shared" si="2"/>
        <v>65069.831874125877</v>
      </c>
      <c r="L14" s="70">
        <f>+SUM(L8:L13)</f>
        <v>61677.046433566436</v>
      </c>
      <c r="M14" s="70">
        <f t="shared" si="1"/>
        <v>3392.7854405594408</v>
      </c>
      <c r="N14" s="70"/>
      <c r="O14" s="70"/>
      <c r="P14" s="70"/>
      <c r="Q14" s="71">
        <f>+M14/K14</f>
        <v>5.2140682445939057E-2</v>
      </c>
      <c r="S14" s="29"/>
    </row>
    <row r="15" spans="1:19" x14ac:dyDescent="0.25">
      <c r="A15" s="72"/>
      <c r="B15" s="73"/>
      <c r="C15" s="74" t="s">
        <v>1016</v>
      </c>
      <c r="D15" s="74" t="s">
        <v>1017</v>
      </c>
      <c r="E15" s="74" t="s">
        <v>1018</v>
      </c>
      <c r="F15" s="74" t="s">
        <v>1019</v>
      </c>
      <c r="G15" s="75" t="s">
        <v>1020</v>
      </c>
      <c r="H15" s="76">
        <v>12052.760314685314</v>
      </c>
      <c r="I15" s="77"/>
      <c r="J15" s="76">
        <v>0</v>
      </c>
      <c r="K15" s="77">
        <f t="shared" ref="K15:K29" si="3">+H15-I15-J15</f>
        <v>12052.760314685314</v>
      </c>
      <c r="L15" s="77">
        <v>11295.288916083917</v>
      </c>
      <c r="M15" s="77">
        <f t="shared" si="1"/>
        <v>757.4713986013976</v>
      </c>
      <c r="N15" s="77"/>
      <c r="O15" s="77"/>
      <c r="P15" s="77"/>
      <c r="Q15" s="78"/>
      <c r="S15" s="29"/>
    </row>
    <row r="16" spans="1:19" x14ac:dyDescent="0.25">
      <c r="A16" s="72"/>
      <c r="B16" s="73"/>
      <c r="C16" s="74" t="s">
        <v>1021</v>
      </c>
      <c r="D16" s="74" t="s">
        <v>1022</v>
      </c>
      <c r="E16" s="74" t="s">
        <v>1023</v>
      </c>
      <c r="F16" s="74" t="s">
        <v>1024</v>
      </c>
      <c r="G16" s="75" t="s">
        <v>1020</v>
      </c>
      <c r="H16" s="76">
        <v>5456.6311538461541</v>
      </c>
      <c r="I16" s="77"/>
      <c r="J16" s="76">
        <v>0</v>
      </c>
      <c r="K16" s="77">
        <f t="shared" si="3"/>
        <v>5456.6311538461541</v>
      </c>
      <c r="L16" s="77">
        <v>5191.752692307693</v>
      </c>
      <c r="M16" s="77">
        <f t="shared" si="1"/>
        <v>264.87846153846112</v>
      </c>
      <c r="N16" s="77"/>
      <c r="O16" s="77"/>
      <c r="P16" s="77"/>
      <c r="Q16" s="78"/>
      <c r="S16" s="29"/>
    </row>
    <row r="17" spans="1:19" x14ac:dyDescent="0.25">
      <c r="A17" s="79"/>
      <c r="B17" s="80">
        <v>45813</v>
      </c>
      <c r="C17" s="81" t="s">
        <v>1025</v>
      </c>
      <c r="D17" s="81" t="s">
        <v>1026</v>
      </c>
      <c r="E17" s="81" t="s">
        <v>1027</v>
      </c>
      <c r="F17" s="81" t="s">
        <v>1010</v>
      </c>
      <c r="G17" s="81" t="s">
        <v>1020</v>
      </c>
      <c r="H17" s="76">
        <v>4632.9359999999997</v>
      </c>
      <c r="I17" s="82"/>
      <c r="J17" s="76">
        <v>0</v>
      </c>
      <c r="K17" s="82">
        <f t="shared" si="3"/>
        <v>4632.9359999999997</v>
      </c>
      <c r="L17" s="83">
        <v>2215.752</v>
      </c>
      <c r="M17" s="83">
        <f t="shared" si="1"/>
        <v>2417.1839999999997</v>
      </c>
      <c r="N17" s="83"/>
      <c r="O17" s="83"/>
      <c r="P17" s="83"/>
      <c r="Q17" s="84"/>
      <c r="S17" s="29"/>
    </row>
    <row r="18" spans="1:19" x14ac:dyDescent="0.25">
      <c r="A18" s="72"/>
      <c r="B18" s="73"/>
      <c r="C18" s="74" t="s">
        <v>1028</v>
      </c>
      <c r="D18" s="74" t="s">
        <v>1029</v>
      </c>
      <c r="E18" s="74" t="s">
        <v>1030</v>
      </c>
      <c r="F18" s="74" t="s">
        <v>1010</v>
      </c>
      <c r="G18" s="75" t="s">
        <v>1020</v>
      </c>
      <c r="H18" s="76">
        <v>5608.6484545454559</v>
      </c>
      <c r="I18" s="77"/>
      <c r="J18" s="76">
        <v>522.05999999999995</v>
      </c>
      <c r="K18" s="77">
        <f t="shared" si="3"/>
        <v>5086.5884545454555</v>
      </c>
      <c r="L18" s="77">
        <v>4833.1675454545457</v>
      </c>
      <c r="M18" s="77">
        <f t="shared" si="1"/>
        <v>253.42090909090984</v>
      </c>
      <c r="N18" s="77"/>
      <c r="O18" s="77"/>
      <c r="P18" s="77"/>
      <c r="Q18" s="78"/>
      <c r="S18" s="29"/>
    </row>
    <row r="19" spans="1:19" x14ac:dyDescent="0.25">
      <c r="A19" s="72"/>
      <c r="B19" s="73"/>
      <c r="C19" s="74" t="s">
        <v>1031</v>
      </c>
      <c r="D19" s="74" t="s">
        <v>1032</v>
      </c>
      <c r="E19" s="74" t="s">
        <v>1033</v>
      </c>
      <c r="F19" s="74" t="s">
        <v>1010</v>
      </c>
      <c r="G19" s="75" t="s">
        <v>1020</v>
      </c>
      <c r="H19" s="76">
        <v>6438.7071818181821</v>
      </c>
      <c r="I19" s="77"/>
      <c r="J19" s="76">
        <v>276.93</v>
      </c>
      <c r="K19" s="77">
        <f t="shared" si="3"/>
        <v>6161.7771818181818</v>
      </c>
      <c r="L19" s="77">
        <v>5905.6688181818181</v>
      </c>
      <c r="M19" s="77">
        <f t="shared" si="1"/>
        <v>256.10836363636372</v>
      </c>
      <c r="N19" s="77"/>
      <c r="O19" s="77"/>
      <c r="P19" s="77"/>
      <c r="Q19" s="78"/>
      <c r="S19" s="29"/>
    </row>
    <row r="20" spans="1:19" x14ac:dyDescent="0.25">
      <c r="A20" s="72"/>
      <c r="B20" s="73"/>
      <c r="C20" s="74" t="s">
        <v>1034</v>
      </c>
      <c r="D20" s="74" t="s">
        <v>1002</v>
      </c>
      <c r="E20" s="74" t="s">
        <v>1035</v>
      </c>
      <c r="F20" s="74" t="s">
        <v>1036</v>
      </c>
      <c r="G20" s="75" t="s">
        <v>1020</v>
      </c>
      <c r="H20" s="76">
        <v>7682.8948531468541</v>
      </c>
      <c r="I20" s="77"/>
      <c r="J20" s="76">
        <v>0</v>
      </c>
      <c r="K20" s="77">
        <f t="shared" si="3"/>
        <v>7682.8948531468541</v>
      </c>
      <c r="L20" s="77">
        <v>7152.8708391608398</v>
      </c>
      <c r="M20" s="77">
        <f t="shared" si="1"/>
        <v>530.02401398601432</v>
      </c>
      <c r="N20" s="77"/>
      <c r="O20" s="77"/>
      <c r="P20" s="77"/>
      <c r="Q20" s="78"/>
      <c r="S20" s="29"/>
    </row>
    <row r="21" spans="1:19" x14ac:dyDescent="0.25">
      <c r="A21" s="85">
        <v>45833</v>
      </c>
      <c r="B21" s="86"/>
      <c r="C21" s="87" t="s">
        <v>1037</v>
      </c>
      <c r="D21" s="87" t="s">
        <v>1038</v>
      </c>
      <c r="E21" s="87" t="s">
        <v>1039</v>
      </c>
      <c r="F21" s="87" t="s">
        <v>1040</v>
      </c>
      <c r="G21" s="88" t="s">
        <v>1020</v>
      </c>
      <c r="H21" s="76">
        <v>7176.67</v>
      </c>
      <c r="I21" s="89">
        <v>7176.67</v>
      </c>
      <c r="J21" s="89"/>
      <c r="K21" s="89">
        <f t="shared" si="3"/>
        <v>0</v>
      </c>
      <c r="L21" s="89">
        <v>6051.8269230769238</v>
      </c>
      <c r="M21" s="89">
        <f t="shared" si="1"/>
        <v>-6051.8269230769238</v>
      </c>
      <c r="N21" s="89"/>
      <c r="O21" s="89"/>
      <c r="P21" s="89"/>
      <c r="Q21" s="90" t="s">
        <v>1041</v>
      </c>
      <c r="S21" s="29"/>
    </row>
    <row r="22" spans="1:19" x14ac:dyDescent="0.25">
      <c r="A22" s="72"/>
      <c r="B22" s="73"/>
      <c r="C22" s="74" t="s">
        <v>1042</v>
      </c>
      <c r="D22" s="74" t="s">
        <v>1043</v>
      </c>
      <c r="E22" s="74" t="s">
        <v>1044</v>
      </c>
      <c r="F22" s="74" t="s">
        <v>1010</v>
      </c>
      <c r="G22" s="75" t="s">
        <v>1020</v>
      </c>
      <c r="H22" s="76">
        <v>5224.6312727272725</v>
      </c>
      <c r="I22" s="77"/>
      <c r="J22" s="76">
        <v>48.230000000000004</v>
      </c>
      <c r="K22" s="77">
        <f t="shared" si="3"/>
        <v>5176.401272727273</v>
      </c>
      <c r="L22" s="77">
        <v>4761.2107272727271</v>
      </c>
      <c r="M22" s="77">
        <f t="shared" si="1"/>
        <v>415.19054545454583</v>
      </c>
      <c r="N22" s="77"/>
      <c r="O22" s="77"/>
      <c r="P22" s="77"/>
      <c r="Q22" s="78"/>
      <c r="S22" s="29"/>
    </row>
    <row r="23" spans="1:19" x14ac:dyDescent="0.25">
      <c r="A23" s="72"/>
      <c r="B23" s="73"/>
      <c r="C23" s="74" t="s">
        <v>1045</v>
      </c>
      <c r="D23" s="74" t="s">
        <v>1046</v>
      </c>
      <c r="E23" s="74" t="s">
        <v>1047</v>
      </c>
      <c r="F23" s="74" t="s">
        <v>1036</v>
      </c>
      <c r="G23" s="75" t="s">
        <v>1020</v>
      </c>
      <c r="H23" s="76">
        <v>8671.4988531468534</v>
      </c>
      <c r="I23" s="77"/>
      <c r="J23" s="76">
        <v>0</v>
      </c>
      <c r="K23" s="77">
        <f t="shared" si="3"/>
        <v>8671.4988531468534</v>
      </c>
      <c r="L23" s="77">
        <v>7765.1254545454549</v>
      </c>
      <c r="M23" s="77">
        <f t="shared" si="1"/>
        <v>906.37339860139855</v>
      </c>
      <c r="N23" s="77"/>
      <c r="O23" s="77"/>
      <c r="P23" s="77"/>
      <c r="Q23" s="78"/>
      <c r="S23" s="29"/>
    </row>
    <row r="24" spans="1:19" x14ac:dyDescent="0.25">
      <c r="A24" s="72"/>
      <c r="B24" s="73"/>
      <c r="C24" s="74" t="s">
        <v>1048</v>
      </c>
      <c r="D24" s="74" t="s">
        <v>1049</v>
      </c>
      <c r="E24" s="74" t="s">
        <v>1050</v>
      </c>
      <c r="F24" s="74" t="s">
        <v>1010</v>
      </c>
      <c r="G24" s="75" t="s">
        <v>1020</v>
      </c>
      <c r="H24" s="76">
        <v>7742.6589999999997</v>
      </c>
      <c r="I24" s="77"/>
      <c r="J24" s="76">
        <v>81.48</v>
      </c>
      <c r="K24" s="77">
        <f t="shared" si="3"/>
        <v>7661.1790000000001</v>
      </c>
      <c r="L24" s="77">
        <v>6788.6370000000006</v>
      </c>
      <c r="M24" s="77">
        <f t="shared" si="1"/>
        <v>872.54199999999946</v>
      </c>
      <c r="N24" s="77"/>
      <c r="O24" s="77"/>
      <c r="P24" s="77"/>
      <c r="Q24" s="78"/>
      <c r="S24" s="29"/>
    </row>
    <row r="25" spans="1:19" x14ac:dyDescent="0.25">
      <c r="A25" s="72"/>
      <c r="B25" s="73"/>
      <c r="C25" s="74" t="s">
        <v>1048</v>
      </c>
      <c r="D25" s="74" t="s">
        <v>1051</v>
      </c>
      <c r="E25" s="74" t="s">
        <v>1052</v>
      </c>
      <c r="F25" s="74" t="s">
        <v>1010</v>
      </c>
      <c r="G25" s="75" t="s">
        <v>1020</v>
      </c>
      <c r="H25" s="76">
        <v>3158.5256363636367</v>
      </c>
      <c r="I25" s="77"/>
      <c r="J25" s="76">
        <v>2.21</v>
      </c>
      <c r="K25" s="77">
        <f t="shared" si="3"/>
        <v>3156.3156363636367</v>
      </c>
      <c r="L25" s="77">
        <v>4122.8143636363639</v>
      </c>
      <c r="M25" s="77">
        <f t="shared" si="1"/>
        <v>-966.49872727272714</v>
      </c>
      <c r="N25" s="77"/>
      <c r="O25" s="77"/>
      <c r="P25" s="77"/>
      <c r="Q25" s="78"/>
      <c r="S25" s="29"/>
    </row>
    <row r="26" spans="1:19" x14ac:dyDescent="0.25">
      <c r="A26" s="72"/>
      <c r="B26" s="73"/>
      <c r="C26" s="74" t="s">
        <v>1053</v>
      </c>
      <c r="D26" s="74" t="s">
        <v>1054</v>
      </c>
      <c r="E26" s="74" t="s">
        <v>1055</v>
      </c>
      <c r="F26" s="74" t="s">
        <v>1036</v>
      </c>
      <c r="G26" s="75" t="s">
        <v>1020</v>
      </c>
      <c r="H26" s="76">
        <v>7294.9821818181827</v>
      </c>
      <c r="I26" s="77"/>
      <c r="J26" s="76">
        <v>334.46999999999997</v>
      </c>
      <c r="K26" s="77">
        <f t="shared" si="3"/>
        <v>6960.5121818181824</v>
      </c>
      <c r="L26" s="77">
        <v>6813.6878181818183</v>
      </c>
      <c r="M26" s="77">
        <f t="shared" si="1"/>
        <v>146.82436363636407</v>
      </c>
      <c r="N26" s="77"/>
      <c r="O26" s="77"/>
      <c r="P26" s="77"/>
      <c r="Q26" s="78"/>
      <c r="S26" s="29"/>
    </row>
    <row r="27" spans="1:19" x14ac:dyDescent="0.25">
      <c r="A27" s="72"/>
      <c r="B27" s="73"/>
      <c r="C27" s="74" t="s">
        <v>1056</v>
      </c>
      <c r="D27" s="74" t="s">
        <v>1057</v>
      </c>
      <c r="E27" s="74" t="s">
        <v>1058</v>
      </c>
      <c r="F27" s="74" t="s">
        <v>1010</v>
      </c>
      <c r="G27" s="75" t="s">
        <v>1020</v>
      </c>
      <c r="H27" s="76">
        <v>7839.0509999999995</v>
      </c>
      <c r="I27" s="77"/>
      <c r="J27" s="76">
        <v>640.32999999999993</v>
      </c>
      <c r="K27" s="77">
        <f t="shared" si="3"/>
        <v>7198.7209999999995</v>
      </c>
      <c r="L27" s="77">
        <v>6748.6230000000005</v>
      </c>
      <c r="M27" s="77">
        <f t="shared" si="1"/>
        <v>450.09799999999905</v>
      </c>
      <c r="N27" s="77"/>
      <c r="O27" s="77"/>
      <c r="P27" s="77"/>
      <c r="Q27" s="78"/>
      <c r="S27" s="29"/>
    </row>
    <row r="28" spans="1:19" x14ac:dyDescent="0.25">
      <c r="A28" s="72"/>
      <c r="B28" s="73"/>
      <c r="C28" s="74" t="s">
        <v>1059</v>
      </c>
      <c r="D28" s="74" t="s">
        <v>1060</v>
      </c>
      <c r="E28" s="74" t="s">
        <v>1061</v>
      </c>
      <c r="F28" s="74" t="s">
        <v>1036</v>
      </c>
      <c r="G28" s="75" t="s">
        <v>1020</v>
      </c>
      <c r="H28" s="76">
        <v>4456.0446363636365</v>
      </c>
      <c r="I28" s="77"/>
      <c r="J28" s="76">
        <v>167.48</v>
      </c>
      <c r="K28" s="77">
        <f t="shared" si="3"/>
        <v>4288.564636363637</v>
      </c>
      <c r="L28" s="77">
        <v>3598.7253636363635</v>
      </c>
      <c r="M28" s="77">
        <f t="shared" si="1"/>
        <v>689.83927272727351</v>
      </c>
      <c r="N28" s="77"/>
      <c r="O28" s="77"/>
      <c r="P28" s="77"/>
      <c r="Q28" s="78"/>
      <c r="S28" s="29"/>
    </row>
    <row r="29" spans="1:19" x14ac:dyDescent="0.25">
      <c r="A29" s="72"/>
      <c r="B29" s="73"/>
      <c r="C29" s="74" t="s">
        <v>1062</v>
      </c>
      <c r="D29" s="74" t="s">
        <v>1063</v>
      </c>
      <c r="E29" s="74" t="s">
        <v>1064</v>
      </c>
      <c r="F29" s="74" t="s">
        <v>1010</v>
      </c>
      <c r="G29" s="75" t="s">
        <v>1020</v>
      </c>
      <c r="H29" s="76">
        <v>8983.7497272727269</v>
      </c>
      <c r="I29" s="77"/>
      <c r="J29" s="76">
        <v>1941.9</v>
      </c>
      <c r="K29" s="77">
        <f t="shared" si="3"/>
        <v>7041.8497272727273</v>
      </c>
      <c r="L29" s="77">
        <v>7213.9562727272732</v>
      </c>
      <c r="M29" s="77">
        <f t="shared" si="1"/>
        <v>-172.10654545454599</v>
      </c>
      <c r="N29" s="77"/>
      <c r="O29" s="77"/>
      <c r="P29" s="77"/>
      <c r="Q29" s="78"/>
      <c r="S29" s="29"/>
    </row>
    <row r="30" spans="1:19" x14ac:dyDescent="0.25">
      <c r="A30" s="45"/>
      <c r="B30" s="91">
        <v>45846</v>
      </c>
      <c r="C30" s="92" t="s">
        <v>1065</v>
      </c>
      <c r="D30" s="92" t="s">
        <v>1066</v>
      </c>
      <c r="E30" s="92" t="s">
        <v>1067</v>
      </c>
      <c r="F30" s="92" t="s">
        <v>1010</v>
      </c>
      <c r="G30" s="92" t="s">
        <v>1020</v>
      </c>
      <c r="H30" s="76">
        <v>1438</v>
      </c>
      <c r="I30" s="93"/>
      <c r="J30" s="93"/>
      <c r="K30" s="94">
        <v>1760</v>
      </c>
      <c r="L30" s="93"/>
      <c r="M30" s="93"/>
      <c r="N30" s="93"/>
      <c r="O30" s="93"/>
      <c r="P30" s="93"/>
      <c r="Q30" s="93" t="s">
        <v>1068</v>
      </c>
      <c r="S30" s="29"/>
    </row>
    <row r="31" spans="1:19" x14ac:dyDescent="0.25">
      <c r="A31" s="72"/>
      <c r="B31" s="73"/>
      <c r="C31" s="74" t="s">
        <v>1069</v>
      </c>
      <c r="D31" s="74" t="s">
        <v>1070</v>
      </c>
      <c r="E31" s="74" t="s">
        <v>1071</v>
      </c>
      <c r="F31" s="74" t="s">
        <v>1010</v>
      </c>
      <c r="G31" s="75" t="s">
        <v>1020</v>
      </c>
      <c r="H31" s="76">
        <v>6333.8434545454547</v>
      </c>
      <c r="I31" s="77"/>
      <c r="J31" s="76">
        <v>239</v>
      </c>
      <c r="K31" s="77">
        <f t="shared" ref="K31:K46" si="4">+H31-I31-J31</f>
        <v>6094.8434545454547</v>
      </c>
      <c r="L31" s="77">
        <v>5916.4945454545459</v>
      </c>
      <c r="M31" s="77">
        <f t="shared" ref="M31:M46" si="5">+K31-L31</f>
        <v>178.34890909090882</v>
      </c>
      <c r="N31" s="77"/>
      <c r="O31" s="77"/>
      <c r="P31" s="77"/>
      <c r="Q31" s="78"/>
      <c r="S31" s="29"/>
    </row>
    <row r="32" spans="1:19" x14ac:dyDescent="0.25">
      <c r="A32" s="72"/>
      <c r="B32" s="73"/>
      <c r="C32" s="74" t="s">
        <v>1072</v>
      </c>
      <c r="D32" s="74" t="s">
        <v>1073</v>
      </c>
      <c r="E32" s="74" t="s">
        <v>1074</v>
      </c>
      <c r="F32" s="74" t="s">
        <v>1010</v>
      </c>
      <c r="G32" s="75" t="s">
        <v>1020</v>
      </c>
      <c r="H32" s="76">
        <v>7543.6975454545454</v>
      </c>
      <c r="I32" s="77"/>
      <c r="J32" s="76">
        <v>819.94</v>
      </c>
      <c r="K32" s="77">
        <f t="shared" si="4"/>
        <v>6723.7575454545458</v>
      </c>
      <c r="L32" s="77">
        <v>7383.1284545454537</v>
      </c>
      <c r="M32" s="77">
        <f t="shared" si="5"/>
        <v>-659.37090909090784</v>
      </c>
      <c r="N32" s="77"/>
      <c r="O32" s="77"/>
      <c r="P32" s="77"/>
      <c r="Q32" s="78"/>
      <c r="S32" s="29"/>
    </row>
    <row r="33" spans="1:19" x14ac:dyDescent="0.25">
      <c r="A33" s="72"/>
      <c r="B33" s="73"/>
      <c r="C33" s="74" t="s">
        <v>1075</v>
      </c>
      <c r="D33" s="74" t="s">
        <v>1076</v>
      </c>
      <c r="E33" s="74" t="s">
        <v>1077</v>
      </c>
      <c r="F33" s="74" t="s">
        <v>1010</v>
      </c>
      <c r="G33" s="75" t="s">
        <v>1020</v>
      </c>
      <c r="H33" s="76">
        <v>5951.4901818181816</v>
      </c>
      <c r="I33" s="77"/>
      <c r="J33" s="76">
        <v>496.2</v>
      </c>
      <c r="K33" s="77">
        <f t="shared" si="4"/>
        <v>5455.2901818181817</v>
      </c>
      <c r="L33" s="77">
        <v>5252.0498181818184</v>
      </c>
      <c r="M33" s="77">
        <f t="shared" si="5"/>
        <v>203.24036363636333</v>
      </c>
      <c r="N33" s="77"/>
      <c r="O33" s="77"/>
      <c r="P33" s="77"/>
      <c r="Q33" s="78"/>
      <c r="S33" s="29"/>
    </row>
    <row r="34" spans="1:19" x14ac:dyDescent="0.25">
      <c r="A34" s="72"/>
      <c r="B34" s="73"/>
      <c r="C34" s="74" t="s">
        <v>1078</v>
      </c>
      <c r="D34" s="74" t="s">
        <v>1076</v>
      </c>
      <c r="E34" s="74" t="s">
        <v>1079</v>
      </c>
      <c r="F34" s="74" t="s">
        <v>1010</v>
      </c>
      <c r="G34" s="75" t="s">
        <v>1020</v>
      </c>
      <c r="H34" s="76">
        <v>11333.891629370632</v>
      </c>
      <c r="I34" s="77"/>
      <c r="J34" s="76">
        <v>0</v>
      </c>
      <c r="K34" s="77">
        <f t="shared" si="4"/>
        <v>11333.891629370632</v>
      </c>
      <c r="L34" s="77">
        <v>10672.082832167835</v>
      </c>
      <c r="M34" s="77">
        <f t="shared" si="5"/>
        <v>661.808797202797</v>
      </c>
      <c r="N34" s="77"/>
      <c r="O34" s="77"/>
      <c r="P34" s="77"/>
      <c r="Q34" s="78"/>
      <c r="S34" s="29"/>
    </row>
    <row r="35" spans="1:19" x14ac:dyDescent="0.25">
      <c r="A35" s="72"/>
      <c r="B35" s="73"/>
      <c r="C35" s="74" t="s">
        <v>1080</v>
      </c>
      <c r="D35" s="74" t="s">
        <v>1081</v>
      </c>
      <c r="E35" s="74" t="s">
        <v>1082</v>
      </c>
      <c r="F35" s="74" t="s">
        <v>1036</v>
      </c>
      <c r="G35" s="75" t="s">
        <v>1020</v>
      </c>
      <c r="H35" s="76">
        <v>6971.1025454545461</v>
      </c>
      <c r="I35" s="77"/>
      <c r="J35" s="76">
        <v>421.52000000000004</v>
      </c>
      <c r="K35" s="77">
        <f t="shared" si="4"/>
        <v>6549.5825454545457</v>
      </c>
      <c r="L35" s="77">
        <v>6440.2594545454549</v>
      </c>
      <c r="M35" s="77">
        <f t="shared" si="5"/>
        <v>109.32309090909075</v>
      </c>
      <c r="N35" s="77"/>
      <c r="O35" s="77"/>
      <c r="P35" s="77"/>
      <c r="Q35" s="78"/>
      <c r="S35" s="29"/>
    </row>
    <row r="36" spans="1:19" x14ac:dyDescent="0.25">
      <c r="A36" s="72"/>
      <c r="B36" s="73"/>
      <c r="C36" s="74" t="s">
        <v>1083</v>
      </c>
      <c r="D36" s="74" t="s">
        <v>1084</v>
      </c>
      <c r="E36" s="74" t="s">
        <v>1085</v>
      </c>
      <c r="F36" s="74" t="s">
        <v>1086</v>
      </c>
      <c r="G36" s="75" t="s">
        <v>1020</v>
      </c>
      <c r="H36" s="76">
        <v>9196.9272657342663</v>
      </c>
      <c r="I36" s="77"/>
      <c r="J36" s="76">
        <v>0</v>
      </c>
      <c r="K36" s="77">
        <f t="shared" si="4"/>
        <v>9196.9272657342663</v>
      </c>
      <c r="L36" s="77">
        <v>8530.5791958041955</v>
      </c>
      <c r="M36" s="77">
        <f t="shared" si="5"/>
        <v>666.34806993007078</v>
      </c>
      <c r="N36" s="77"/>
      <c r="O36" s="77"/>
      <c r="P36" s="77"/>
      <c r="Q36" s="78"/>
      <c r="S36" s="29"/>
    </row>
    <row r="37" spans="1:19" x14ac:dyDescent="0.25">
      <c r="A37" s="79"/>
      <c r="B37" s="80"/>
      <c r="C37" s="81" t="s">
        <v>1087</v>
      </c>
      <c r="D37" s="81" t="s">
        <v>1088</v>
      </c>
      <c r="E37" s="81" t="s">
        <v>1089</v>
      </c>
      <c r="F37" s="81" t="s">
        <v>1036</v>
      </c>
      <c r="G37" s="81" t="s">
        <v>1020</v>
      </c>
      <c r="H37" s="76">
        <v>3949.77</v>
      </c>
      <c r="I37" s="82"/>
      <c r="J37" s="76">
        <v>23.07</v>
      </c>
      <c r="K37" s="82">
        <f t="shared" si="4"/>
        <v>3926.7</v>
      </c>
      <c r="L37" s="83">
        <v>3016.99</v>
      </c>
      <c r="M37" s="83">
        <f t="shared" si="5"/>
        <v>909.71</v>
      </c>
      <c r="N37" s="83"/>
      <c r="O37" s="83"/>
      <c r="P37" s="83"/>
      <c r="Q37" s="84"/>
      <c r="S37" s="29"/>
    </row>
    <row r="38" spans="1:19" x14ac:dyDescent="0.25">
      <c r="A38" s="72"/>
      <c r="B38" s="73"/>
      <c r="C38" s="74" t="s">
        <v>1090</v>
      </c>
      <c r="D38" s="74" t="s">
        <v>1091</v>
      </c>
      <c r="E38" s="74" t="s">
        <v>1092</v>
      </c>
      <c r="F38" s="74" t="s">
        <v>1040</v>
      </c>
      <c r="G38" s="75" t="s">
        <v>1020</v>
      </c>
      <c r="H38" s="76">
        <v>7530.517272727272</v>
      </c>
      <c r="I38" s="77"/>
      <c r="J38" s="76">
        <v>735.04</v>
      </c>
      <c r="K38" s="77">
        <f t="shared" si="4"/>
        <v>6795.4772727272721</v>
      </c>
      <c r="L38" s="77">
        <v>6862.7687272727262</v>
      </c>
      <c r="M38" s="77">
        <f t="shared" si="5"/>
        <v>-67.291454545454144</v>
      </c>
      <c r="N38" s="77"/>
      <c r="O38" s="77"/>
      <c r="P38" s="77"/>
      <c r="Q38" s="95"/>
      <c r="S38" s="29"/>
    </row>
    <row r="39" spans="1:19" x14ac:dyDescent="0.25">
      <c r="A39" s="72"/>
      <c r="B39" s="73"/>
      <c r="C39" s="74" t="s">
        <v>1093</v>
      </c>
      <c r="D39" s="74" t="s">
        <v>1094</v>
      </c>
      <c r="E39" s="74" t="s">
        <v>1095</v>
      </c>
      <c r="F39" s="74" t="s">
        <v>1010</v>
      </c>
      <c r="G39" s="75" t="s">
        <v>1020</v>
      </c>
      <c r="H39" s="76">
        <v>5500.4806363636362</v>
      </c>
      <c r="I39" s="77"/>
      <c r="J39" s="76">
        <v>711.99</v>
      </c>
      <c r="K39" s="77">
        <f t="shared" si="4"/>
        <v>4788.4906363636364</v>
      </c>
      <c r="L39" s="77">
        <v>4635.0653636363641</v>
      </c>
      <c r="M39" s="77">
        <f t="shared" si="5"/>
        <v>153.42527272727239</v>
      </c>
      <c r="N39" s="77"/>
      <c r="O39" s="77"/>
      <c r="P39" s="77"/>
      <c r="Q39" s="78"/>
      <c r="S39" s="29"/>
    </row>
    <row r="40" spans="1:19" x14ac:dyDescent="0.25">
      <c r="A40" s="72"/>
      <c r="B40" s="73"/>
      <c r="C40" s="74" t="s">
        <v>1096</v>
      </c>
      <c r="D40" s="74" t="s">
        <v>1073</v>
      </c>
      <c r="E40" s="74" t="s">
        <v>1097</v>
      </c>
      <c r="F40" s="74" t="s">
        <v>1010</v>
      </c>
      <c r="G40" s="75" t="s">
        <v>1020</v>
      </c>
      <c r="H40" s="76">
        <v>6669.8720909090916</v>
      </c>
      <c r="I40" s="77"/>
      <c r="J40" s="76">
        <v>340.89</v>
      </c>
      <c r="K40" s="77">
        <f t="shared" si="4"/>
        <v>6328.9820909090913</v>
      </c>
      <c r="L40" s="77">
        <v>6237.3039090909087</v>
      </c>
      <c r="M40" s="77">
        <f t="shared" si="5"/>
        <v>91.678181818182566</v>
      </c>
      <c r="N40" s="77"/>
      <c r="O40" s="77"/>
      <c r="P40" s="77"/>
      <c r="Q40" s="78"/>
      <c r="S40" s="29"/>
    </row>
    <row r="41" spans="1:19" x14ac:dyDescent="0.25">
      <c r="A41" s="72"/>
      <c r="B41" s="73"/>
      <c r="C41" s="74" t="s">
        <v>1098</v>
      </c>
      <c r="D41" s="74" t="s">
        <v>1070</v>
      </c>
      <c r="E41" s="74" t="s">
        <v>1099</v>
      </c>
      <c r="F41" s="74" t="s">
        <v>1100</v>
      </c>
      <c r="G41" s="75" t="s">
        <v>1020</v>
      </c>
      <c r="H41" s="76">
        <v>8694.3384615384621</v>
      </c>
      <c r="I41" s="77"/>
      <c r="J41" s="76">
        <v>0</v>
      </c>
      <c r="K41" s="77">
        <f t="shared" si="4"/>
        <v>8694.3384615384621</v>
      </c>
      <c r="L41" s="77">
        <v>8176.2730769230766</v>
      </c>
      <c r="M41" s="77">
        <f t="shared" si="5"/>
        <v>518.06538461538548</v>
      </c>
      <c r="N41" s="77"/>
      <c r="O41" s="77"/>
      <c r="P41" s="77"/>
      <c r="Q41" s="78"/>
      <c r="S41" s="29"/>
    </row>
    <row r="42" spans="1:19" x14ac:dyDescent="0.25">
      <c r="A42" s="72"/>
      <c r="B42" s="73"/>
      <c r="C42" s="74" t="s">
        <v>1101</v>
      </c>
      <c r="D42" s="74" t="s">
        <v>1102</v>
      </c>
      <c r="E42" s="74" t="s">
        <v>1103</v>
      </c>
      <c r="F42" s="74" t="s">
        <v>1010</v>
      </c>
      <c r="G42" s="75" t="s">
        <v>1020</v>
      </c>
      <c r="H42" s="76">
        <v>8617.2218181818189</v>
      </c>
      <c r="I42" s="77"/>
      <c r="J42" s="76">
        <v>364.81</v>
      </c>
      <c r="K42" s="77">
        <f t="shared" si="4"/>
        <v>8252.4118181818194</v>
      </c>
      <c r="L42" s="77">
        <v>7334.090181818181</v>
      </c>
      <c r="M42" s="77">
        <f t="shared" si="5"/>
        <v>918.32163636363839</v>
      </c>
      <c r="N42" s="77"/>
      <c r="O42" s="77"/>
      <c r="P42" s="77"/>
      <c r="Q42" s="78"/>
      <c r="S42" s="29"/>
    </row>
    <row r="43" spans="1:19" x14ac:dyDescent="0.25">
      <c r="A43" s="72"/>
      <c r="B43" s="73"/>
      <c r="C43" s="74" t="s">
        <v>1104</v>
      </c>
      <c r="D43" s="74" t="s">
        <v>1105</v>
      </c>
      <c r="E43" s="74" t="s">
        <v>1106</v>
      </c>
      <c r="F43" s="74" t="s">
        <v>1086</v>
      </c>
      <c r="G43" s="75" t="s">
        <v>1020</v>
      </c>
      <c r="H43" s="76">
        <v>7691.9524545454542</v>
      </c>
      <c r="I43" s="77"/>
      <c r="J43" s="76">
        <v>0</v>
      </c>
      <c r="K43" s="77">
        <f t="shared" si="4"/>
        <v>7691.9524545454542</v>
      </c>
      <c r="L43" s="77">
        <v>7199.2995454545453</v>
      </c>
      <c r="M43" s="77">
        <f t="shared" si="5"/>
        <v>492.65290909090891</v>
      </c>
      <c r="N43" s="77"/>
      <c r="O43" s="77"/>
      <c r="P43" s="77"/>
      <c r="Q43" s="78"/>
      <c r="S43" s="29"/>
    </row>
    <row r="44" spans="1:19" x14ac:dyDescent="0.25">
      <c r="A44" s="72"/>
      <c r="B44" s="73"/>
      <c r="C44" s="74" t="s">
        <v>1107</v>
      </c>
      <c r="D44" s="74" t="s">
        <v>1108</v>
      </c>
      <c r="E44" s="74" t="s">
        <v>1109</v>
      </c>
      <c r="F44" s="74" t="s">
        <v>1024</v>
      </c>
      <c r="G44" s="75" t="s">
        <v>1020</v>
      </c>
      <c r="H44" s="76">
        <v>4663.5964545454544</v>
      </c>
      <c r="I44" s="77"/>
      <c r="J44" s="76">
        <v>0</v>
      </c>
      <c r="K44" s="77">
        <f t="shared" si="4"/>
        <v>4663.5964545454544</v>
      </c>
      <c r="L44" s="77">
        <v>4362.9735454545453</v>
      </c>
      <c r="M44" s="77">
        <f t="shared" si="5"/>
        <v>300.62290909090916</v>
      </c>
      <c r="N44" s="77"/>
      <c r="O44" s="77"/>
      <c r="P44" s="77"/>
      <c r="Q44" s="78"/>
      <c r="S44" s="29"/>
    </row>
    <row r="45" spans="1:19" x14ac:dyDescent="0.25">
      <c r="A45" s="72"/>
      <c r="B45" s="72"/>
      <c r="C45" s="96" t="s">
        <v>1110</v>
      </c>
      <c r="D45" s="96" t="s">
        <v>1070</v>
      </c>
      <c r="E45" s="96" t="s">
        <v>1111</v>
      </c>
      <c r="F45" s="96" t="s">
        <v>1086</v>
      </c>
      <c r="G45" s="97" t="s">
        <v>1020</v>
      </c>
      <c r="H45" s="76">
        <v>8494.8441748251753</v>
      </c>
      <c r="I45" s="98"/>
      <c r="J45" s="99">
        <v>0</v>
      </c>
      <c r="K45" s="98">
        <f t="shared" si="4"/>
        <v>8494.8441748251753</v>
      </c>
      <c r="L45" s="98">
        <v>7785.098286713288</v>
      </c>
      <c r="M45" s="98">
        <f t="shared" si="5"/>
        <v>709.74588811188733</v>
      </c>
      <c r="N45" s="98"/>
      <c r="O45" s="98"/>
      <c r="P45" s="98"/>
      <c r="Q45" s="100"/>
      <c r="S45" s="29"/>
    </row>
    <row r="46" spans="1:19" x14ac:dyDescent="0.25">
      <c r="A46" s="72"/>
      <c r="B46" s="73"/>
      <c r="C46" s="74" t="s">
        <v>1112</v>
      </c>
      <c r="D46" s="74" t="s">
        <v>1113</v>
      </c>
      <c r="E46" s="74" t="s">
        <v>1114</v>
      </c>
      <c r="F46" s="74" t="s">
        <v>1010</v>
      </c>
      <c r="G46" s="75" t="s">
        <v>1020</v>
      </c>
      <c r="H46" s="76">
        <v>5272.8194545454544</v>
      </c>
      <c r="I46" s="77"/>
      <c r="J46" s="76">
        <v>17.55</v>
      </c>
      <c r="K46" s="77">
        <f t="shared" si="4"/>
        <v>5255.2694545454542</v>
      </c>
      <c r="L46" s="77">
        <v>4850.0645454545456</v>
      </c>
      <c r="M46" s="77">
        <f t="shared" si="5"/>
        <v>405.20490909090859</v>
      </c>
      <c r="N46" s="77"/>
      <c r="O46" s="77"/>
      <c r="P46" s="77"/>
      <c r="Q46" s="78"/>
      <c r="S46" s="29"/>
    </row>
    <row r="47" spans="1:19" x14ac:dyDescent="0.25">
      <c r="A47" s="65"/>
      <c r="B47" s="66"/>
      <c r="C47" s="67"/>
      <c r="D47" s="67"/>
      <c r="E47" s="67"/>
      <c r="F47" s="67"/>
      <c r="G47" s="69" t="s">
        <v>1115</v>
      </c>
      <c r="H47" s="70">
        <f>SUM(H15:H46)</f>
        <v>218274.75570629371</v>
      </c>
      <c r="I47" s="70">
        <f>SUM(I15:I46)</f>
        <v>7176.67</v>
      </c>
      <c r="J47" s="70">
        <f>SUM(J15:J46)</f>
        <v>8185.1000000000013</v>
      </c>
      <c r="K47" s="70">
        <f>SUM(K15:K46)</f>
        <v>203234.98570629369</v>
      </c>
      <c r="L47" s="70">
        <f>SUM(L15:L46)</f>
        <v>195113.62921678319</v>
      </c>
      <c r="M47" s="70">
        <f t="shared" si="1"/>
        <v>8121.3564895105083</v>
      </c>
      <c r="N47" s="70"/>
      <c r="O47" s="70"/>
      <c r="P47" s="70"/>
      <c r="Q47" s="71">
        <f>+M47/K47</f>
        <v>3.9960425422260401E-2</v>
      </c>
      <c r="S47" s="29"/>
    </row>
    <row r="48" spans="1:19" x14ac:dyDescent="0.25">
      <c r="A48" s="101"/>
      <c r="B48" s="102"/>
      <c r="C48" s="103" t="s">
        <v>1116</v>
      </c>
      <c r="D48" s="103" t="s">
        <v>1117</v>
      </c>
      <c r="E48" s="103" t="s">
        <v>1118</v>
      </c>
      <c r="F48" s="103" t="s">
        <v>1119</v>
      </c>
      <c r="G48" s="104" t="s">
        <v>1120</v>
      </c>
      <c r="H48" s="105">
        <v>2014.16</v>
      </c>
      <c r="I48" s="105"/>
      <c r="J48" s="105">
        <v>0</v>
      </c>
      <c r="K48" s="105">
        <f t="shared" ref="K48:K62" si="6">+H48-I48-J48</f>
        <v>2014.16</v>
      </c>
      <c r="L48" s="105">
        <v>2034.83</v>
      </c>
      <c r="M48" s="105">
        <f t="shared" si="1"/>
        <v>-20.669999999999845</v>
      </c>
      <c r="N48" s="105"/>
      <c r="O48" s="105"/>
      <c r="P48" s="105"/>
      <c r="Q48" s="106"/>
      <c r="S48" s="29"/>
    </row>
    <row r="49" spans="1:34" x14ac:dyDescent="0.25">
      <c r="A49" s="101"/>
      <c r="B49" s="102"/>
      <c r="C49" s="103" t="s">
        <v>1121</v>
      </c>
      <c r="D49" s="103" t="s">
        <v>1122</v>
      </c>
      <c r="E49" s="103" t="s">
        <v>1123</v>
      </c>
      <c r="F49" s="103" t="s">
        <v>1119</v>
      </c>
      <c r="G49" s="104" t="s">
        <v>1120</v>
      </c>
      <c r="H49" s="105">
        <v>2123.08</v>
      </c>
      <c r="I49" s="105"/>
      <c r="J49" s="105">
        <v>0</v>
      </c>
      <c r="K49" s="105">
        <f t="shared" si="6"/>
        <v>2123.08</v>
      </c>
      <c r="L49" s="105">
        <v>3290.77</v>
      </c>
      <c r="M49" s="105">
        <f t="shared" si="1"/>
        <v>-1167.69</v>
      </c>
      <c r="N49" s="105"/>
      <c r="O49" s="105"/>
      <c r="P49" s="105"/>
      <c r="Q49" s="106"/>
      <c r="S49" s="29"/>
    </row>
    <row r="50" spans="1:34" x14ac:dyDescent="0.25">
      <c r="A50" s="101"/>
      <c r="B50" s="102"/>
      <c r="C50" s="103" t="s">
        <v>1124</v>
      </c>
      <c r="D50" s="103" t="s">
        <v>1125</v>
      </c>
      <c r="E50" s="103" t="s">
        <v>1126</v>
      </c>
      <c r="F50" s="103" t="s">
        <v>1119</v>
      </c>
      <c r="G50" s="104" t="s">
        <v>1120</v>
      </c>
      <c r="H50" s="105">
        <v>2307.6</v>
      </c>
      <c r="I50" s="105"/>
      <c r="J50" s="105">
        <v>0</v>
      </c>
      <c r="K50" s="105">
        <f t="shared" si="6"/>
        <v>2307.6</v>
      </c>
      <c r="L50" s="105">
        <v>3467.54</v>
      </c>
      <c r="M50" s="105">
        <f t="shared" si="1"/>
        <v>-1159.94</v>
      </c>
      <c r="N50" s="105"/>
      <c r="O50" s="105"/>
      <c r="P50" s="105"/>
      <c r="Q50" s="106"/>
      <c r="S50" s="29"/>
    </row>
    <row r="51" spans="1:34" x14ac:dyDescent="0.25">
      <c r="A51" s="101"/>
      <c r="B51" s="102"/>
      <c r="C51" s="103" t="s">
        <v>1127</v>
      </c>
      <c r="D51" s="103" t="s">
        <v>1128</v>
      </c>
      <c r="E51" s="103" t="s">
        <v>1129</v>
      </c>
      <c r="F51" s="103" t="s">
        <v>1119</v>
      </c>
      <c r="G51" s="104" t="s">
        <v>1120</v>
      </c>
      <c r="H51" s="105">
        <v>2016.21</v>
      </c>
      <c r="I51" s="105"/>
      <c r="J51" s="105">
        <v>0</v>
      </c>
      <c r="K51" s="105">
        <f t="shared" si="6"/>
        <v>2016.21</v>
      </c>
      <c r="L51" s="105">
        <v>1996.58</v>
      </c>
      <c r="M51" s="105">
        <f t="shared" si="1"/>
        <v>19.630000000000109</v>
      </c>
      <c r="N51" s="105"/>
      <c r="O51" s="105"/>
      <c r="P51" s="105"/>
      <c r="Q51" s="106"/>
      <c r="S51" s="29"/>
    </row>
    <row r="52" spans="1:34" x14ac:dyDescent="0.25">
      <c r="A52" s="101"/>
      <c r="B52" s="102"/>
      <c r="C52" s="103" t="s">
        <v>1130</v>
      </c>
      <c r="D52" s="103" t="s">
        <v>1131</v>
      </c>
      <c r="E52" s="103" t="s">
        <v>1132</v>
      </c>
      <c r="F52" s="103" t="s">
        <v>1133</v>
      </c>
      <c r="G52" s="104" t="s">
        <v>1120</v>
      </c>
      <c r="H52" s="105">
        <v>10649.830062937064</v>
      </c>
      <c r="I52" s="105"/>
      <c r="J52" s="105">
        <v>0</v>
      </c>
      <c r="K52" s="105">
        <f t="shared" si="6"/>
        <v>10649.830062937064</v>
      </c>
      <c r="L52" s="105">
        <v>10287.001783216783</v>
      </c>
      <c r="M52" s="105">
        <f t="shared" si="1"/>
        <v>362.82827972028099</v>
      </c>
      <c r="N52" s="105"/>
      <c r="O52" s="105"/>
      <c r="P52" s="105"/>
      <c r="Q52" s="106"/>
      <c r="S52" s="29"/>
    </row>
    <row r="53" spans="1:34" x14ac:dyDescent="0.25">
      <c r="A53" s="107"/>
      <c r="B53" s="108"/>
      <c r="C53" s="109" t="s">
        <v>1134</v>
      </c>
      <c r="D53" s="109" t="s">
        <v>1135</v>
      </c>
      <c r="E53" s="109" t="s">
        <v>1136</v>
      </c>
      <c r="F53" s="109" t="s">
        <v>1133</v>
      </c>
      <c r="G53" s="110" t="s">
        <v>1120</v>
      </c>
      <c r="H53" s="105">
        <v>25217.64220979021</v>
      </c>
      <c r="I53" s="105"/>
      <c r="J53" s="105">
        <v>0</v>
      </c>
      <c r="K53" s="105">
        <f t="shared" si="6"/>
        <v>25217.64220979021</v>
      </c>
      <c r="L53" s="105">
        <v>11537.575944055945</v>
      </c>
      <c r="M53" s="105">
        <f t="shared" si="1"/>
        <v>13680.066265734265</v>
      </c>
      <c r="N53" s="105">
        <v>16097.01</v>
      </c>
      <c r="O53" s="105">
        <v>3598.07</v>
      </c>
      <c r="P53" s="105">
        <f>+N53-O53</f>
        <v>12498.94</v>
      </c>
      <c r="Q53" s="106"/>
      <c r="S53" s="29"/>
    </row>
    <row r="54" spans="1:34" x14ac:dyDescent="0.25">
      <c r="A54" s="85">
        <v>45835</v>
      </c>
      <c r="B54" s="86"/>
      <c r="C54" s="87" t="s">
        <v>1137</v>
      </c>
      <c r="D54" s="87" t="s">
        <v>1138</v>
      </c>
      <c r="E54" s="87" t="s">
        <v>1139</v>
      </c>
      <c r="F54" s="87" t="s">
        <v>1133</v>
      </c>
      <c r="G54" s="88" t="s">
        <v>1120</v>
      </c>
      <c r="H54" s="89">
        <v>83.539999999999992</v>
      </c>
      <c r="I54" s="89">
        <v>83.539999999999992</v>
      </c>
      <c r="J54" s="89">
        <v>0</v>
      </c>
      <c r="K54" s="89">
        <f t="shared" si="6"/>
        <v>0</v>
      </c>
      <c r="L54" s="89">
        <v>8473.583846153846</v>
      </c>
      <c r="M54" s="89">
        <f t="shared" si="1"/>
        <v>-8473.583846153846</v>
      </c>
      <c r="N54" s="89">
        <v>77.61</v>
      </c>
      <c r="O54" s="89">
        <v>560.41999999999996</v>
      </c>
      <c r="P54" s="105">
        <f t="shared" ref="P54:P62" si="7">+N54-O54</f>
        <v>-482.80999999999995</v>
      </c>
      <c r="Q54" s="90"/>
      <c r="S54" s="29"/>
    </row>
    <row r="55" spans="1:34" x14ac:dyDescent="0.25">
      <c r="A55" s="101"/>
      <c r="B55" s="102"/>
      <c r="C55" s="103" t="s">
        <v>1140</v>
      </c>
      <c r="D55" s="103" t="s">
        <v>1002</v>
      </c>
      <c r="E55" s="103" t="s">
        <v>1141</v>
      </c>
      <c r="F55" s="103" t="s">
        <v>1133</v>
      </c>
      <c r="G55" s="104" t="s">
        <v>1120</v>
      </c>
      <c r="H55" s="105">
        <v>10728.382489510488</v>
      </c>
      <c r="I55" s="105"/>
      <c r="J55" s="105">
        <v>0</v>
      </c>
      <c r="K55" s="105">
        <f t="shared" si="6"/>
        <v>10728.382489510488</v>
      </c>
      <c r="L55" s="105">
        <v>10735.727202797203</v>
      </c>
      <c r="M55" s="105">
        <f t="shared" si="1"/>
        <v>-7.3447132867149776</v>
      </c>
      <c r="N55" s="105">
        <v>3256.62</v>
      </c>
      <c r="O55" s="105">
        <v>4053.6</v>
      </c>
      <c r="P55" s="105">
        <f t="shared" si="7"/>
        <v>-796.98</v>
      </c>
      <c r="Q55" s="106"/>
      <c r="S55" s="29"/>
    </row>
    <row r="56" spans="1:34" x14ac:dyDescent="0.25">
      <c r="A56" s="111"/>
      <c r="B56" s="111">
        <v>45859</v>
      </c>
      <c r="C56" s="112" t="s">
        <v>1142</v>
      </c>
      <c r="D56" s="112" t="s">
        <v>1091</v>
      </c>
      <c r="E56" s="112" t="s">
        <v>1143</v>
      </c>
      <c r="F56" s="112" t="s">
        <v>1133</v>
      </c>
      <c r="G56" s="113" t="s">
        <v>1120</v>
      </c>
      <c r="H56" s="114">
        <v>2803.1181538461537</v>
      </c>
      <c r="I56" s="114"/>
      <c r="J56" s="105">
        <v>0</v>
      </c>
      <c r="K56" s="114">
        <v>7187.5</v>
      </c>
      <c r="L56" s="114">
        <v>0</v>
      </c>
      <c r="M56" s="114">
        <f t="shared" si="1"/>
        <v>7187.5</v>
      </c>
      <c r="N56" s="114"/>
      <c r="O56" s="114"/>
      <c r="P56" s="105">
        <f t="shared" si="7"/>
        <v>0</v>
      </c>
      <c r="Q56" s="115" t="s">
        <v>1144</v>
      </c>
      <c r="S56" s="29"/>
    </row>
    <row r="57" spans="1:34" x14ac:dyDescent="0.25">
      <c r="A57" s="101"/>
      <c r="B57" s="102"/>
      <c r="C57" s="103" t="s">
        <v>1145</v>
      </c>
      <c r="D57" s="103" t="s">
        <v>1131</v>
      </c>
      <c r="E57" s="103" t="s">
        <v>1146</v>
      </c>
      <c r="F57" s="103" t="s">
        <v>1147</v>
      </c>
      <c r="G57" s="104" t="s">
        <v>1120</v>
      </c>
      <c r="H57" s="105">
        <v>9246.86320979021</v>
      </c>
      <c r="I57" s="105"/>
      <c r="J57" s="105">
        <v>0</v>
      </c>
      <c r="K57" s="105">
        <f t="shared" si="6"/>
        <v>9246.86320979021</v>
      </c>
      <c r="L57" s="105">
        <v>8649.6209440559451</v>
      </c>
      <c r="M57" s="105">
        <f t="shared" si="1"/>
        <v>597.24226573426495</v>
      </c>
      <c r="N57" s="105"/>
      <c r="O57" s="105"/>
      <c r="P57" s="105">
        <f t="shared" si="7"/>
        <v>0</v>
      </c>
      <c r="Q57" s="106"/>
      <c r="S57" s="29"/>
    </row>
    <row r="58" spans="1:34" x14ac:dyDescent="0.25">
      <c r="A58" s="107"/>
      <c r="B58" s="108"/>
      <c r="C58" s="109" t="s">
        <v>1078</v>
      </c>
      <c r="D58" s="109" t="s">
        <v>1148</v>
      </c>
      <c r="E58" s="109" t="s">
        <v>1149</v>
      </c>
      <c r="F58" s="109" t="s">
        <v>1147</v>
      </c>
      <c r="G58" s="109" t="s">
        <v>1120</v>
      </c>
      <c r="H58" s="105">
        <v>18429.259748251749</v>
      </c>
      <c r="I58" s="105"/>
      <c r="J58" s="105">
        <v>0</v>
      </c>
      <c r="K58" s="105">
        <f t="shared" si="6"/>
        <v>18429.259748251749</v>
      </c>
      <c r="L58" s="105">
        <v>17154.242867132867</v>
      </c>
      <c r="M58" s="105">
        <f t="shared" si="1"/>
        <v>1275.0168811188814</v>
      </c>
      <c r="N58" s="105"/>
      <c r="O58" s="105"/>
      <c r="P58" s="105">
        <f t="shared" si="7"/>
        <v>0</v>
      </c>
      <c r="Q58" s="106"/>
      <c r="S58" s="29"/>
      <c r="AH58" s="29">
        <f>2080/8</f>
        <v>260</v>
      </c>
    </row>
    <row r="59" spans="1:34" x14ac:dyDescent="0.25">
      <c r="A59" s="107"/>
      <c r="B59" s="108"/>
      <c r="C59" s="109" t="s">
        <v>1150</v>
      </c>
      <c r="D59" s="109" t="s">
        <v>1151</v>
      </c>
      <c r="E59" s="109" t="s">
        <v>1152</v>
      </c>
      <c r="F59" s="109" t="s">
        <v>1153</v>
      </c>
      <c r="G59" s="110" t="s">
        <v>1120</v>
      </c>
      <c r="H59" s="105">
        <v>8187.7503636363635</v>
      </c>
      <c r="I59" s="105"/>
      <c r="J59" s="105">
        <v>0</v>
      </c>
      <c r="K59" s="105">
        <f t="shared" si="6"/>
        <v>8187.7503636363635</v>
      </c>
      <c r="L59" s="105">
        <v>8911.7136363636364</v>
      </c>
      <c r="M59" s="105">
        <f t="shared" si="1"/>
        <v>-723.96327272727285</v>
      </c>
      <c r="N59" s="105">
        <v>144.58000000000001</v>
      </c>
      <c r="O59" s="105">
        <v>1283.26</v>
      </c>
      <c r="P59" s="105">
        <f t="shared" si="7"/>
        <v>-1138.68</v>
      </c>
      <c r="Q59" s="106"/>
      <c r="S59" s="29"/>
    </row>
    <row r="60" spans="1:34" x14ac:dyDescent="0.25">
      <c r="A60" s="101"/>
      <c r="B60" s="102"/>
      <c r="C60" s="103" t="s">
        <v>1154</v>
      </c>
      <c r="D60" s="103" t="s">
        <v>1131</v>
      </c>
      <c r="E60" s="103" t="s">
        <v>1155</v>
      </c>
      <c r="F60" s="103" t="s">
        <v>1156</v>
      </c>
      <c r="G60" s="104" t="s">
        <v>1120</v>
      </c>
      <c r="H60" s="105">
        <v>27842.702279720284</v>
      </c>
      <c r="I60" s="105"/>
      <c r="J60" s="105">
        <v>0</v>
      </c>
      <c r="K60" s="105">
        <f t="shared" si="6"/>
        <v>27842.702279720284</v>
      </c>
      <c r="L60" s="105">
        <v>22214.141258741256</v>
      </c>
      <c r="M60" s="105">
        <f t="shared" si="1"/>
        <v>5628.5610209790284</v>
      </c>
      <c r="N60" s="105">
        <v>11133.41</v>
      </c>
      <c r="O60" s="105">
        <v>6262.37</v>
      </c>
      <c r="P60" s="105">
        <f t="shared" si="7"/>
        <v>4871.04</v>
      </c>
      <c r="Q60" s="106"/>
      <c r="S60" s="29"/>
    </row>
    <row r="61" spans="1:34" x14ac:dyDescent="0.25">
      <c r="A61" s="101"/>
      <c r="B61" s="102"/>
      <c r="C61" s="103" t="s">
        <v>1157</v>
      </c>
      <c r="D61" s="103" t="s">
        <v>1158</v>
      </c>
      <c r="E61" s="103" t="s">
        <v>1159</v>
      </c>
      <c r="F61" s="103" t="s">
        <v>1156</v>
      </c>
      <c r="G61" s="104" t="s">
        <v>1120</v>
      </c>
      <c r="H61" s="105">
        <v>15580.833440559441</v>
      </c>
      <c r="I61" s="105"/>
      <c r="J61" s="105">
        <v>0</v>
      </c>
      <c r="K61" s="105">
        <f t="shared" si="6"/>
        <v>15580.833440559441</v>
      </c>
      <c r="L61" s="105">
        <v>11149.407482517483</v>
      </c>
      <c r="M61" s="105">
        <f t="shared" si="1"/>
        <v>4431.4259580419584</v>
      </c>
      <c r="N61" s="105">
        <v>4894.75</v>
      </c>
      <c r="O61" s="105">
        <v>1232.08</v>
      </c>
      <c r="P61" s="105">
        <f t="shared" si="7"/>
        <v>3662.67</v>
      </c>
      <c r="Q61" s="106"/>
      <c r="S61" s="29"/>
    </row>
    <row r="62" spans="1:34" x14ac:dyDescent="0.25">
      <c r="A62" s="107"/>
      <c r="B62" s="108"/>
      <c r="C62" s="109" t="s">
        <v>1160</v>
      </c>
      <c r="D62" s="109" t="s">
        <v>1084</v>
      </c>
      <c r="E62" s="109" t="s">
        <v>1161</v>
      </c>
      <c r="F62" s="109" t="s">
        <v>1156</v>
      </c>
      <c r="G62" s="110" t="s">
        <v>1120</v>
      </c>
      <c r="H62" s="105">
        <v>9907.8367622377627</v>
      </c>
      <c r="I62" s="105"/>
      <c r="J62" s="105">
        <v>0</v>
      </c>
      <c r="K62" s="105">
        <f t="shared" si="6"/>
        <v>9907.8367622377627</v>
      </c>
      <c r="L62" s="105">
        <v>9668.6449300699296</v>
      </c>
      <c r="M62" s="105">
        <f t="shared" si="1"/>
        <v>239.19183216783313</v>
      </c>
      <c r="N62" s="105">
        <v>1233.9100000000001</v>
      </c>
      <c r="O62" s="105">
        <v>1460.82</v>
      </c>
      <c r="P62" s="105">
        <f t="shared" si="7"/>
        <v>-226.90999999999985</v>
      </c>
      <c r="Q62" s="106"/>
      <c r="S62" s="29"/>
    </row>
    <row r="63" spans="1:34" x14ac:dyDescent="0.25">
      <c r="A63" s="66"/>
      <c r="B63" s="66"/>
      <c r="C63" s="66"/>
      <c r="D63" s="66"/>
      <c r="E63" s="66"/>
      <c r="F63" s="66"/>
      <c r="G63" s="116" t="s">
        <v>1162</v>
      </c>
      <c r="H63" s="70">
        <f>SUM(H48:H62)</f>
        <v>147138.80872027975</v>
      </c>
      <c r="I63" s="70">
        <f>SUM(I48:I62)</f>
        <v>83.539999999999992</v>
      </c>
      <c r="J63" s="70">
        <f>SUM(J48:J62)</f>
        <v>0</v>
      </c>
      <c r="K63" s="70">
        <f>SUMIFS(K8:K75,G8:G75,"3-Sales Labor Costs")</f>
        <v>151439.65056643359</v>
      </c>
      <c r="L63" s="70">
        <v>126930.65619047618</v>
      </c>
      <c r="M63" s="117">
        <f t="shared" si="1"/>
        <v>24508.994375957409</v>
      </c>
      <c r="N63" s="117">
        <f>SUM(N48:N62)</f>
        <v>36837.890000000007</v>
      </c>
      <c r="O63" s="117">
        <f t="shared" ref="O63:P63" si="8">SUM(O48:O62)</f>
        <v>18450.620000000003</v>
      </c>
      <c r="P63" s="117">
        <f t="shared" si="8"/>
        <v>18387.27</v>
      </c>
      <c r="Q63" s="71">
        <f t="shared" ref="Q63" si="9">+M63/K63</f>
        <v>0.16184000877105695</v>
      </c>
    </row>
    <row r="64" spans="1:34" x14ac:dyDescent="0.25">
      <c r="A64" s="118"/>
      <c r="B64" s="119"/>
      <c r="C64" s="120" t="s">
        <v>1163</v>
      </c>
      <c r="D64" s="120" t="s">
        <v>1164</v>
      </c>
      <c r="E64" s="120" t="s">
        <v>1165</v>
      </c>
      <c r="F64" s="120" t="s">
        <v>1166</v>
      </c>
      <c r="G64" s="121" t="s">
        <v>1167</v>
      </c>
      <c r="H64" s="122">
        <v>9403.6507762237761</v>
      </c>
      <c r="I64" s="122"/>
      <c r="J64" s="122">
        <v>0</v>
      </c>
      <c r="K64" s="122">
        <f>+H64-I64-J64</f>
        <v>9403.6507762237761</v>
      </c>
      <c r="L64" s="122">
        <v>8912.9219930069921</v>
      </c>
      <c r="M64" s="122">
        <f t="shared" si="1"/>
        <v>490.728783216784</v>
      </c>
      <c r="N64" s="122"/>
      <c r="O64" s="122"/>
      <c r="P64" s="122"/>
      <c r="Q64" s="123"/>
      <c r="S64" s="29"/>
    </row>
    <row r="65" spans="1:20" x14ac:dyDescent="0.25">
      <c r="A65" s="124"/>
      <c r="B65" s="125"/>
      <c r="C65" s="120" t="s">
        <v>1168</v>
      </c>
      <c r="D65" s="120" t="s">
        <v>1169</v>
      </c>
      <c r="E65" s="120" t="s">
        <v>1170</v>
      </c>
      <c r="F65" s="120" t="s">
        <v>1166</v>
      </c>
      <c r="G65" s="120" t="s">
        <v>1167</v>
      </c>
      <c r="H65" s="122">
        <v>12124.987930069934</v>
      </c>
      <c r="I65" s="122"/>
      <c r="J65" s="122">
        <v>0</v>
      </c>
      <c r="K65" s="122">
        <f>+H65-I65-J65</f>
        <v>12124.987930069934</v>
      </c>
      <c r="L65" s="122">
        <v>11287.014685314685</v>
      </c>
      <c r="M65" s="122">
        <f t="shared" si="1"/>
        <v>837.97324475524874</v>
      </c>
      <c r="N65" s="122"/>
      <c r="O65" s="122"/>
      <c r="P65" s="122"/>
      <c r="Q65" s="123"/>
      <c r="S65" s="29"/>
    </row>
    <row r="66" spans="1:20" x14ac:dyDescent="0.25">
      <c r="A66" s="124"/>
      <c r="B66" s="125"/>
      <c r="C66" s="120" t="s">
        <v>1171</v>
      </c>
      <c r="D66" s="120" t="s">
        <v>1172</v>
      </c>
      <c r="E66" s="120" t="s">
        <v>1173</v>
      </c>
      <c r="F66" s="120" t="s">
        <v>1174</v>
      </c>
      <c r="G66" s="120" t="s">
        <v>1167</v>
      </c>
      <c r="H66" s="122">
        <v>8484.2319650349655</v>
      </c>
      <c r="I66" s="122"/>
      <c r="J66" s="122">
        <v>0</v>
      </c>
      <c r="K66" s="122">
        <f t="shared" ref="K66:K75" si="10">+H66-I66-J66</f>
        <v>8484.2319650349655</v>
      </c>
      <c r="L66" s="122">
        <v>7441.7408041958042</v>
      </c>
      <c r="M66" s="122">
        <f t="shared" si="1"/>
        <v>1042.4911608391612</v>
      </c>
      <c r="N66" s="122"/>
      <c r="O66" s="122"/>
      <c r="P66" s="122"/>
      <c r="Q66" s="126" t="s">
        <v>1175</v>
      </c>
      <c r="S66" s="29"/>
    </row>
    <row r="67" spans="1:20" x14ac:dyDescent="0.25">
      <c r="A67" s="124"/>
      <c r="B67" s="125"/>
      <c r="C67" s="127" t="s">
        <v>1176</v>
      </c>
      <c r="D67" s="127" t="s">
        <v>1177</v>
      </c>
      <c r="E67" s="127" t="s">
        <v>1178</v>
      </c>
      <c r="F67" s="127" t="s">
        <v>1179</v>
      </c>
      <c r="G67" s="128" t="s">
        <v>1167</v>
      </c>
      <c r="H67" s="122">
        <v>9066.2323916083933</v>
      </c>
      <c r="I67" s="122"/>
      <c r="J67" s="122">
        <v>0</v>
      </c>
      <c r="K67" s="122">
        <f t="shared" si="10"/>
        <v>9066.2323916083933</v>
      </c>
      <c r="L67" s="122">
        <v>8448.5077622377612</v>
      </c>
      <c r="M67" s="122">
        <f t="shared" si="1"/>
        <v>617.7246293706321</v>
      </c>
      <c r="N67" s="122"/>
      <c r="O67" s="122"/>
      <c r="P67" s="122"/>
      <c r="Q67" s="123"/>
      <c r="S67" s="29"/>
    </row>
    <row r="68" spans="1:20" x14ac:dyDescent="0.25">
      <c r="A68" s="118"/>
      <c r="B68" s="119"/>
      <c r="C68" s="120" t="s">
        <v>1180</v>
      </c>
      <c r="D68" s="120" t="s">
        <v>1181</v>
      </c>
      <c r="E68" s="120" t="s">
        <v>1182</v>
      </c>
      <c r="F68" s="120" t="s">
        <v>1179</v>
      </c>
      <c r="G68" s="121" t="s">
        <v>1167</v>
      </c>
      <c r="H68" s="122">
        <v>12130.003678321678</v>
      </c>
      <c r="I68" s="122"/>
      <c r="J68" s="122">
        <v>0</v>
      </c>
      <c r="K68" s="122">
        <f t="shared" si="10"/>
        <v>12130.003678321678</v>
      </c>
      <c r="L68" s="122">
        <v>11381.207552447553</v>
      </c>
      <c r="M68" s="122">
        <f t="shared" si="1"/>
        <v>748.79612587412521</v>
      </c>
      <c r="N68" s="122"/>
      <c r="O68" s="122"/>
      <c r="P68" s="122"/>
      <c r="Q68" s="123"/>
      <c r="S68" s="29"/>
    </row>
    <row r="69" spans="1:20" x14ac:dyDescent="0.25">
      <c r="A69" s="118"/>
      <c r="B69" s="119"/>
      <c r="C69" s="127" t="s">
        <v>1183</v>
      </c>
      <c r="D69" s="127" t="s">
        <v>1184</v>
      </c>
      <c r="E69" s="127" t="s">
        <v>1185</v>
      </c>
      <c r="F69" s="127" t="s">
        <v>1119</v>
      </c>
      <c r="G69" s="127" t="s">
        <v>1167</v>
      </c>
      <c r="H69" s="122">
        <v>1540</v>
      </c>
      <c r="I69" s="122"/>
      <c r="J69" s="122">
        <v>0</v>
      </c>
      <c r="K69" s="122">
        <f t="shared" si="10"/>
        <v>1540</v>
      </c>
      <c r="L69" s="122">
        <v>1470</v>
      </c>
      <c r="M69" s="122">
        <f t="shared" si="1"/>
        <v>70</v>
      </c>
      <c r="N69" s="122"/>
      <c r="O69" s="122"/>
      <c r="P69" s="122"/>
      <c r="Q69" s="123"/>
      <c r="S69" s="29"/>
    </row>
    <row r="70" spans="1:20" x14ac:dyDescent="0.25">
      <c r="A70" s="118"/>
      <c r="B70" s="119"/>
      <c r="C70" s="127" t="s">
        <v>1186</v>
      </c>
      <c r="D70" s="127" t="s">
        <v>1187</v>
      </c>
      <c r="E70" s="127" t="s">
        <v>1188</v>
      </c>
      <c r="F70" s="127" t="s">
        <v>1119</v>
      </c>
      <c r="G70" s="128" t="s">
        <v>1167</v>
      </c>
      <c r="H70" s="122">
        <v>1891.75</v>
      </c>
      <c r="I70" s="122"/>
      <c r="J70" s="122">
        <v>0</v>
      </c>
      <c r="K70" s="122">
        <f t="shared" si="10"/>
        <v>1891.75</v>
      </c>
      <c r="L70" s="122">
        <v>1877.06</v>
      </c>
      <c r="M70" s="122">
        <f t="shared" si="1"/>
        <v>14.690000000000055</v>
      </c>
      <c r="N70" s="122"/>
      <c r="O70" s="122"/>
      <c r="P70" s="122"/>
      <c r="Q70" s="123"/>
      <c r="S70" s="29"/>
    </row>
    <row r="71" spans="1:20" x14ac:dyDescent="0.25">
      <c r="A71" s="118"/>
      <c r="B71" s="119"/>
      <c r="C71" s="127" t="s">
        <v>1189</v>
      </c>
      <c r="D71" s="127" t="s">
        <v>1190</v>
      </c>
      <c r="E71" s="127" t="s">
        <v>1191</v>
      </c>
      <c r="F71" s="127" t="s">
        <v>1119</v>
      </c>
      <c r="G71" s="128" t="s">
        <v>1167</v>
      </c>
      <c r="H71" s="122">
        <v>1848.05</v>
      </c>
      <c r="I71" s="122"/>
      <c r="J71" s="122">
        <v>0</v>
      </c>
      <c r="K71" s="122">
        <f t="shared" si="10"/>
        <v>1848.05</v>
      </c>
      <c r="L71" s="122">
        <v>1972.11</v>
      </c>
      <c r="M71" s="122">
        <f>+K71-L71</f>
        <v>-124.05999999999995</v>
      </c>
      <c r="N71" s="122"/>
      <c r="O71" s="122"/>
      <c r="P71" s="122"/>
      <c r="Q71" s="123"/>
      <c r="S71" s="29"/>
    </row>
    <row r="72" spans="1:20" x14ac:dyDescent="0.25">
      <c r="A72" s="129"/>
      <c r="B72" s="130"/>
      <c r="C72" s="131" t="s">
        <v>1157</v>
      </c>
      <c r="D72" s="131" t="s">
        <v>1192</v>
      </c>
      <c r="E72" s="131" t="s">
        <v>1193</v>
      </c>
      <c r="F72" s="131" t="s">
        <v>1194</v>
      </c>
      <c r="G72" s="132" t="s">
        <v>1167</v>
      </c>
      <c r="H72" s="133">
        <v>7435.9289090909097</v>
      </c>
      <c r="I72" s="133">
        <v>2647.25</v>
      </c>
      <c r="J72" s="133">
        <v>26.89</v>
      </c>
      <c r="K72" s="133">
        <f t="shared" si="10"/>
        <v>4761.7889090909093</v>
      </c>
      <c r="L72" s="133">
        <v>5201.9110909090905</v>
      </c>
      <c r="M72" s="133">
        <f>+K72-L72</f>
        <v>-440.12218181818116</v>
      </c>
      <c r="N72" s="133"/>
      <c r="O72" s="133"/>
      <c r="P72" s="133"/>
      <c r="Q72" s="134" t="s">
        <v>1195</v>
      </c>
      <c r="S72" s="29"/>
    </row>
    <row r="73" spans="1:20" x14ac:dyDescent="0.25">
      <c r="A73" s="118"/>
      <c r="B73" s="119"/>
      <c r="C73" s="120" t="s">
        <v>1025</v>
      </c>
      <c r="D73" s="120" t="s">
        <v>998</v>
      </c>
      <c r="E73" s="120" t="s">
        <v>1196</v>
      </c>
      <c r="F73" s="120" t="s">
        <v>1197</v>
      </c>
      <c r="G73" s="121" t="s">
        <v>1167</v>
      </c>
      <c r="H73" s="122">
        <v>7306.7531818181824</v>
      </c>
      <c r="I73" s="122"/>
      <c r="J73" s="122">
        <v>0</v>
      </c>
      <c r="K73" s="122">
        <f t="shared" si="10"/>
        <v>7306.7531818181824</v>
      </c>
      <c r="L73" s="122">
        <v>7032.1268181818177</v>
      </c>
      <c r="M73" s="122">
        <f>+K73-L73</f>
        <v>274.62636363636466</v>
      </c>
      <c r="N73" s="122"/>
      <c r="O73" s="122"/>
      <c r="P73" s="122"/>
      <c r="Q73" s="123"/>
      <c r="S73" s="29"/>
    </row>
    <row r="74" spans="1:20" s="139" customFormat="1" x14ac:dyDescent="0.25">
      <c r="A74" s="124"/>
      <c r="B74" s="124"/>
      <c r="C74" s="135" t="s">
        <v>1198</v>
      </c>
      <c r="D74" s="135" t="s">
        <v>1199</v>
      </c>
      <c r="E74" s="135" t="s">
        <v>1200</v>
      </c>
      <c r="F74" s="135" t="s">
        <v>1197</v>
      </c>
      <c r="G74" s="136" t="s">
        <v>1167</v>
      </c>
      <c r="H74" s="122">
        <v>8909.1951818181824</v>
      </c>
      <c r="I74" s="137"/>
      <c r="J74" s="122">
        <v>0</v>
      </c>
      <c r="K74" s="138">
        <f t="shared" si="10"/>
        <v>8909.1951818181824</v>
      </c>
      <c r="L74" s="138">
        <v>8816.4968181818185</v>
      </c>
      <c r="M74" s="138">
        <f>+K74-L74</f>
        <v>92.698363636363865</v>
      </c>
      <c r="N74" s="138"/>
      <c r="O74" s="138"/>
      <c r="P74" s="138"/>
      <c r="Q74" s="123"/>
    </row>
    <row r="75" spans="1:20" x14ac:dyDescent="0.25">
      <c r="A75" s="118"/>
      <c r="B75" s="118"/>
      <c r="C75" s="140" t="s">
        <v>1201</v>
      </c>
      <c r="D75" s="140" t="s">
        <v>1199</v>
      </c>
      <c r="E75" s="140" t="s">
        <v>1202</v>
      </c>
      <c r="F75" s="140" t="s">
        <v>1203</v>
      </c>
      <c r="G75" s="141" t="s">
        <v>1167</v>
      </c>
      <c r="H75" s="122">
        <v>8463.7844125874126</v>
      </c>
      <c r="I75" s="122"/>
      <c r="J75" s="122">
        <v>0</v>
      </c>
      <c r="K75" s="122">
        <f t="shared" si="10"/>
        <v>8463.7844125874126</v>
      </c>
      <c r="L75" s="122">
        <v>8096.9383566433562</v>
      </c>
      <c r="M75" s="122">
        <f>+K75-L75</f>
        <v>366.84605594405639</v>
      </c>
      <c r="N75" s="122"/>
      <c r="O75" s="122"/>
      <c r="P75" s="122"/>
      <c r="Q75" s="123"/>
      <c r="S75" s="29"/>
    </row>
    <row r="76" spans="1:20" x14ac:dyDescent="0.25">
      <c r="G76" s="142" t="s">
        <v>1204</v>
      </c>
      <c r="H76" s="117">
        <f>SUM(H64:H75)</f>
        <v>88604.568426573431</v>
      </c>
      <c r="I76" s="117">
        <f t="shared" ref="I76:K76" si="11">SUM(I64:I75)</f>
        <v>2647.25</v>
      </c>
      <c r="J76" s="117">
        <f t="shared" si="11"/>
        <v>26.89</v>
      </c>
      <c r="K76" s="117">
        <f t="shared" si="11"/>
        <v>85930.428426573431</v>
      </c>
      <c r="L76" s="117">
        <f>SUM(L64:L75)</f>
        <v>81938.035881118863</v>
      </c>
      <c r="M76" s="117">
        <f t="shared" ref="M76" si="12">+K76-L76</f>
        <v>3992.3925454545679</v>
      </c>
      <c r="N76" s="117"/>
      <c r="O76" s="117"/>
      <c r="P76" s="117"/>
      <c r="Q76" s="71">
        <f>+M76/K76</f>
        <v>4.6460754572706708E-2</v>
      </c>
      <c r="S76" s="29"/>
    </row>
    <row r="77" spans="1:20" x14ac:dyDescent="0.25">
      <c r="G77" s="142"/>
      <c r="H77" s="143"/>
      <c r="I77" s="144"/>
      <c r="J77" s="144"/>
      <c r="K77" s="144"/>
      <c r="L77" s="144"/>
      <c r="M77" s="144"/>
      <c r="N77" s="144"/>
      <c r="O77" s="144"/>
      <c r="P77" s="144"/>
      <c r="Q77" s="145"/>
      <c r="S77" s="29"/>
    </row>
    <row r="78" spans="1:20" x14ac:dyDescent="0.25">
      <c r="F78" s="145"/>
      <c r="G78" s="146" t="s">
        <v>1205</v>
      </c>
      <c r="H78" s="143">
        <f>H76+H63+H47+H14</f>
        <v>519087.96472727275</v>
      </c>
      <c r="I78" s="144">
        <f>+I76+I63+I47+I14</f>
        <v>9907.4599999999991</v>
      </c>
      <c r="J78" s="144">
        <f>+J76+J63+J47+J14</f>
        <v>8211.9900000000016</v>
      </c>
      <c r="K78" s="144">
        <f>K76+K63+K47+K14</f>
        <v>505674.89657342655</v>
      </c>
      <c r="L78" s="144">
        <f>+L76+L63+L47+L14</f>
        <v>465659.36772194464</v>
      </c>
      <c r="M78" s="117">
        <f>+K78-L78</f>
        <v>40015.528851481911</v>
      </c>
      <c r="N78" s="117">
        <f>+N63</f>
        <v>36837.890000000007</v>
      </c>
      <c r="O78" s="117">
        <f>+O63</f>
        <v>18450.620000000003</v>
      </c>
      <c r="P78" s="117">
        <f>+N78-O78</f>
        <v>18387.270000000004</v>
      </c>
      <c r="Q78" s="71">
        <f>+M78/K78</f>
        <v>7.9132915481145413E-2</v>
      </c>
      <c r="R78" s="34"/>
      <c r="S78" s="29"/>
    </row>
    <row r="79" spans="1:20" ht="18.75" x14ac:dyDescent="0.3">
      <c r="A79" s="147" t="s">
        <v>1206</v>
      </c>
      <c r="G79" s="142"/>
      <c r="H79" s="143"/>
      <c r="I79" s="148"/>
      <c r="J79" s="144"/>
      <c r="K79" s="144"/>
      <c r="L79" s="144"/>
      <c r="M79" s="144"/>
      <c r="N79" s="144"/>
      <c r="O79" s="144"/>
      <c r="P79" s="144"/>
      <c r="Q79" s="145"/>
      <c r="R79" s="34"/>
      <c r="S79" s="29"/>
    </row>
    <row r="80" spans="1:20" x14ac:dyDescent="0.25">
      <c r="G80" s="29"/>
      <c r="H80" s="37"/>
      <c r="I80" s="29"/>
      <c r="J80" s="29"/>
      <c r="R80" s="34"/>
      <c r="S80" s="37"/>
      <c r="T80" s="37"/>
    </row>
    <row r="81" spans="6:20" x14ac:dyDescent="0.25">
      <c r="G81" s="29"/>
      <c r="I81" s="29"/>
      <c r="J81" s="29"/>
      <c r="R81" s="34"/>
      <c r="S81" s="37"/>
      <c r="T81" s="37"/>
    </row>
    <row r="82" spans="6:20" x14ac:dyDescent="0.25">
      <c r="G82" s="149" t="s">
        <v>1207</v>
      </c>
      <c r="H82" s="31"/>
      <c r="I82" s="29"/>
      <c r="J82" s="29"/>
      <c r="R82" s="34"/>
      <c r="S82" s="37"/>
    </row>
    <row r="83" spans="6:20" x14ac:dyDescent="0.25">
      <c r="G83" s="149" t="s">
        <v>1208</v>
      </c>
      <c r="H83" s="150"/>
      <c r="I83" s="29"/>
      <c r="J83" s="29"/>
      <c r="K83" s="150">
        <f>SUMIFS(K8:K82,G8:G82,"1-IT Project Labor")</f>
        <v>65069.831874125877</v>
      </c>
      <c r="L83" s="150"/>
      <c r="M83" s="150"/>
      <c r="N83" s="150"/>
      <c r="O83" s="150"/>
      <c r="P83" s="150"/>
      <c r="R83" s="34"/>
      <c r="S83" s="29"/>
    </row>
    <row r="84" spans="6:20" x14ac:dyDescent="0.25">
      <c r="G84" s="149" t="s">
        <v>1209</v>
      </c>
      <c r="H84" s="151"/>
      <c r="I84" s="29"/>
      <c r="J84" s="29"/>
      <c r="K84" s="150">
        <f>SUMIFS(K8:K81,G8:G81,"2-Direct Labor")</f>
        <v>203234.98570629369</v>
      </c>
      <c r="L84" s="150"/>
      <c r="M84" s="150"/>
      <c r="N84" s="150"/>
      <c r="O84" s="150"/>
      <c r="P84" s="150"/>
      <c r="R84" s="34"/>
      <c r="S84" s="29"/>
    </row>
    <row r="85" spans="6:20" x14ac:dyDescent="0.25">
      <c r="G85" s="149" t="s">
        <v>1210</v>
      </c>
      <c r="H85" s="150"/>
      <c r="I85" s="29"/>
      <c r="J85" s="29"/>
      <c r="K85" s="150">
        <f>SUMIFS(K8:K81,G8:G81,"3-Sales Labor Costs")</f>
        <v>151439.65056643359</v>
      </c>
      <c r="L85" s="150"/>
      <c r="M85" s="150"/>
      <c r="N85" s="150"/>
      <c r="O85" s="150"/>
      <c r="P85" s="150"/>
      <c r="R85" s="34"/>
      <c r="S85" s="29"/>
    </row>
    <row r="86" spans="6:20" x14ac:dyDescent="0.25">
      <c r="G86" s="149" t="s">
        <v>1211</v>
      </c>
      <c r="H86" s="150"/>
      <c r="I86" s="29"/>
      <c r="J86" s="29"/>
      <c r="K86" s="150">
        <f>SUMIFS(K8:K81,G8:G81,"4-Admin ")</f>
        <v>85930.428426573431</v>
      </c>
      <c r="L86" s="150"/>
      <c r="M86" s="150"/>
      <c r="N86" s="150"/>
      <c r="O86" s="150"/>
      <c r="P86" s="150"/>
      <c r="R86" s="34"/>
      <c r="S86" s="29"/>
    </row>
    <row r="87" spans="6:20" x14ac:dyDescent="0.25">
      <c r="G87" s="149" t="s">
        <v>1205</v>
      </c>
      <c r="H87" s="150"/>
      <c r="I87" s="29"/>
      <c r="J87" s="29"/>
      <c r="K87" s="150">
        <f>SUM(K83:K86)</f>
        <v>505674.89657342655</v>
      </c>
      <c r="L87" s="150"/>
      <c r="M87" s="150"/>
      <c r="N87" s="150"/>
      <c r="O87" s="150"/>
      <c r="P87" s="150"/>
      <c r="R87" s="34"/>
      <c r="S87" s="29"/>
    </row>
    <row r="88" spans="6:20" x14ac:dyDescent="0.25">
      <c r="H88" s="31"/>
      <c r="J88" s="29"/>
      <c r="K88" s="150"/>
      <c r="L88" s="150"/>
      <c r="M88" s="150"/>
      <c r="N88" s="150"/>
      <c r="O88" s="150"/>
      <c r="P88" s="150"/>
      <c r="R88" s="34"/>
      <c r="S88" s="29"/>
    </row>
    <row r="89" spans="6:20" x14ac:dyDescent="0.25">
      <c r="F89" s="67"/>
      <c r="H89" s="152"/>
      <c r="I89" s="152"/>
      <c r="J89" s="37"/>
      <c r="K89" s="37"/>
      <c r="L89" s="37"/>
      <c r="M89" s="37"/>
      <c r="N89" s="37"/>
      <c r="O89" s="37"/>
      <c r="P89" s="37"/>
      <c r="Q89" s="37"/>
      <c r="R89" s="34"/>
      <c r="S89" s="29"/>
    </row>
    <row r="90" spans="6:20" x14ac:dyDescent="0.25">
      <c r="F90" s="153"/>
      <c r="H90" s="152"/>
      <c r="I90" s="152"/>
      <c r="J90" s="37"/>
      <c r="K90" s="37"/>
      <c r="L90" s="37"/>
      <c r="M90" s="37"/>
      <c r="N90" s="37"/>
      <c r="O90" s="37"/>
      <c r="P90" s="37"/>
      <c r="R90" s="34"/>
      <c r="S90" s="29"/>
    </row>
    <row r="91" spans="6:20" x14ac:dyDescent="0.25">
      <c r="H91" s="31"/>
      <c r="J91" s="29"/>
      <c r="R91" s="34"/>
      <c r="S91" s="29"/>
    </row>
    <row r="92" spans="6:20" x14ac:dyDescent="0.25">
      <c r="H92" s="31"/>
      <c r="J92" s="29"/>
      <c r="R92" s="34"/>
      <c r="S92" s="29"/>
    </row>
    <row r="93" spans="6:20" x14ac:dyDescent="0.25">
      <c r="H93" s="31"/>
      <c r="J93" s="29"/>
      <c r="R93" s="34"/>
      <c r="S93" s="29"/>
    </row>
    <row r="94" spans="6:20" x14ac:dyDescent="0.25">
      <c r="R94" s="34"/>
      <c r="S94" s="29"/>
    </row>
    <row r="95" spans="6:20" x14ac:dyDescent="0.25">
      <c r="R95" s="34"/>
      <c r="S95" s="29"/>
    </row>
  </sheetData>
  <autoFilter ref="A7:T79" xr:uid="{BBDFE225-E5DA-4A08-8312-A9C08EF41A09}"/>
  <mergeCells count="1">
    <mergeCell ref="F1:G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47a66f-b3ee-4495-bf32-e6370fcf1efb">
      <Terms xmlns="http://schemas.microsoft.com/office/infopath/2007/PartnerControls"/>
    </lcf76f155ced4ddcb4097134ff3c332f>
    <TaxCatchAll xmlns="82563692-96a6-488b-9f55-d4b046c45fc9" xsi:nil="true"/>
    <SharedWithUsers xmlns="82563692-96a6-488b-9f55-d4b046c45fc9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56198B76F4F64085C7A299E3D96786" ma:contentTypeVersion="15" ma:contentTypeDescription="Create a new document." ma:contentTypeScope="" ma:versionID="746aade65ca4b0040cf516088ff49224">
  <xsd:schema xmlns:xsd="http://www.w3.org/2001/XMLSchema" xmlns:xs="http://www.w3.org/2001/XMLSchema" xmlns:p="http://schemas.microsoft.com/office/2006/metadata/properties" xmlns:ns2="4a47a66f-b3ee-4495-bf32-e6370fcf1efb" xmlns:ns3="82563692-96a6-488b-9f55-d4b046c45fc9" targetNamespace="http://schemas.microsoft.com/office/2006/metadata/properties" ma:root="true" ma:fieldsID="7e63f1ae85dede17b58ad4fef404785c" ns2:_="" ns3:_="">
    <xsd:import namespace="4a47a66f-b3ee-4495-bf32-e6370fcf1efb"/>
    <xsd:import namespace="82563692-96a6-488b-9f55-d4b046c45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47a66f-b3ee-4495-bf32-e6370fcf1e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4b6eeb6-03b1-4186-a525-5274877e6c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63692-96a6-488b-9f55-d4b046c45fc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f764ec-2591-407e-a629-0e8203bbd38d}" ma:internalName="TaxCatchAll" ma:showField="CatchAllData" ma:web="82563692-96a6-488b-9f55-d4b046c45f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01AAF5-54BC-4E8C-930A-C58DFAB75634}">
  <ds:schemaRefs>
    <ds:schemaRef ds:uri="http://schemas.microsoft.com/office/2006/metadata/properties"/>
    <ds:schemaRef ds:uri="http://schemas.microsoft.com/office/infopath/2007/PartnerControls"/>
    <ds:schemaRef ds:uri="4a47a66f-b3ee-4495-bf32-e6370fcf1efb"/>
    <ds:schemaRef ds:uri="82563692-96a6-488b-9f55-d4b046c45fc9"/>
  </ds:schemaRefs>
</ds:datastoreItem>
</file>

<file path=customXml/itemProps2.xml><?xml version="1.0" encoding="utf-8"?>
<ds:datastoreItem xmlns:ds="http://schemas.openxmlformats.org/officeDocument/2006/customXml" ds:itemID="{002E6717-1FCB-4366-A1AF-F855B7722F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47a66f-b3ee-4495-bf32-e6370fcf1efb"/>
    <ds:schemaRef ds:uri="82563692-96a6-488b-9f55-d4b046c45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8B1B7D-1550-41D3-BA49-F2D6C65EDE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P&amp;L MTD with Previous Month Com</vt:lpstr>
      <vt:lpstr>Footnotes</vt:lpstr>
      <vt:lpstr>Agreement</vt:lpstr>
      <vt:lpstr>Payroll Breakdown - July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 Vicencio</dc:creator>
  <cp:keywords/>
  <dc:description/>
  <cp:lastModifiedBy>Dennis Vicencio</cp:lastModifiedBy>
  <cp:revision/>
  <dcterms:created xsi:type="dcterms:W3CDTF">2025-08-22T13:51:18Z</dcterms:created>
  <dcterms:modified xsi:type="dcterms:W3CDTF">2025-09-12T00:43:27Z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926ae2-a5f5-4eb8-b7a9-2a972f12d6fe_Enabled">
    <vt:lpwstr>true</vt:lpwstr>
  </property>
  <property fmtid="{D5CDD505-2E9C-101B-9397-08002B2CF9AE}" pid="3" name="MSIP_Label_e3926ae2-a5f5-4eb8-b7a9-2a972f12d6fe_SetDate">
    <vt:lpwstr>2025-08-22T13:51:12Z</vt:lpwstr>
  </property>
  <property fmtid="{D5CDD505-2E9C-101B-9397-08002B2CF9AE}" pid="4" name="MSIP_Label_e3926ae2-a5f5-4eb8-b7a9-2a972f12d6fe_Method">
    <vt:lpwstr>Standard</vt:lpwstr>
  </property>
  <property fmtid="{D5CDD505-2E9C-101B-9397-08002B2CF9AE}" pid="5" name="MSIP_Label_e3926ae2-a5f5-4eb8-b7a9-2a972f12d6fe_Name">
    <vt:lpwstr>e3926ae2-a5f5-4eb8-b7a9-2a972f12d6fe</vt:lpwstr>
  </property>
  <property fmtid="{D5CDD505-2E9C-101B-9397-08002B2CF9AE}" pid="6" name="MSIP_Label_e3926ae2-a5f5-4eb8-b7a9-2a972f12d6fe_SiteId">
    <vt:lpwstr>9ef5d077-23c6-453f-94f9-7809c35a837f</vt:lpwstr>
  </property>
  <property fmtid="{D5CDD505-2E9C-101B-9397-08002B2CF9AE}" pid="7" name="MSIP_Label_e3926ae2-a5f5-4eb8-b7a9-2a972f12d6fe_ActionId">
    <vt:lpwstr>05953289-9ec2-4931-8b5f-20eedb431d99</vt:lpwstr>
  </property>
  <property fmtid="{D5CDD505-2E9C-101B-9397-08002B2CF9AE}" pid="8" name="MSIP_Label_e3926ae2-a5f5-4eb8-b7a9-2a972f12d6fe_ContentBits">
    <vt:lpwstr>0</vt:lpwstr>
  </property>
  <property fmtid="{D5CDD505-2E9C-101B-9397-08002B2CF9AE}" pid="9" name="MSIP_Label_e3926ae2-a5f5-4eb8-b7a9-2a972f12d6fe_Tag">
    <vt:lpwstr>10, 3, 0, 1</vt:lpwstr>
  </property>
  <property fmtid="{D5CDD505-2E9C-101B-9397-08002B2CF9AE}" pid="10" name="MediaServiceImageTags">
    <vt:lpwstr/>
  </property>
  <property fmtid="{D5CDD505-2E9C-101B-9397-08002B2CF9AE}" pid="11" name="ContentTypeId">
    <vt:lpwstr>0x0101001A56198B76F4F64085C7A299E3D96786</vt:lpwstr>
  </property>
  <property fmtid="{D5CDD505-2E9C-101B-9397-08002B2CF9AE}" pid="12" name="_SourceUrl">
    <vt:lpwstr/>
  </property>
  <property fmtid="{D5CDD505-2E9C-101B-9397-08002B2CF9AE}" pid="13" name="_SharedFileIndex">
    <vt:lpwstr/>
  </property>
  <property fmtid="{D5CDD505-2E9C-101B-9397-08002B2CF9AE}" pid="14" name="ComplianceAssetId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</Properties>
</file>