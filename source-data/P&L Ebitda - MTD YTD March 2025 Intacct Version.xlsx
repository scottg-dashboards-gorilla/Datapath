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8"/>
  <workbookPr/>
  <mc:AlternateContent xmlns:mc="http://schemas.openxmlformats.org/markup-compatibility/2006">
    <mc:Choice Requires="x15">
      <x15ac:absPath xmlns:x15ac="http://schemas.microsoft.com/office/spreadsheetml/2010/11/ac" url="https://datapathinc-my.sharepoint.com/personal/dvicencio_mydatapath_com/Documents/Monthly Financials/2025/"/>
    </mc:Choice>
  </mc:AlternateContent>
  <xr:revisionPtr revIDLastSave="9" documentId="8_{E95482B9-A4BA-4D92-A2DB-856999F1A3D8}" xr6:coauthVersionLast="47" xr6:coauthVersionMax="47" xr10:uidLastSave="{F43713DE-C57F-4501-8F29-63E9AFF29E65}"/>
  <bookViews>
    <workbookView xWindow="33600" yWindow="0" windowWidth="38400" windowHeight="21600" firstSheet="3" activeTab="3" xr2:uid="{00000000-000D-0000-FFFF-FFFF00000000}"/>
  </bookViews>
  <sheets>
    <sheet name="P&amp;L" sheetId="6" r:id="rId1"/>
    <sheet name="Footnote" sheetId="2" r:id="rId2"/>
    <sheet name="Payroll Breakdown - March" sheetId="3" r:id="rId3"/>
    <sheet name="Agreements" sheetId="4" r:id="rId4"/>
  </sheets>
  <definedNames>
    <definedName name="_xlnm._FilterDatabase" localSheetId="3" hidden="1">Agreements!$A$1:$L$1</definedName>
    <definedName name="_xlnm._FilterDatabase" localSheetId="2" hidden="1">'Payroll Breakdown - March'!$A$7:$O$79</definedName>
    <definedName name="NB_Monthly_Recurring_Private_Cloud_CA">#REF!</definedName>
    <definedName name="NB_Monthly_Recurring_Private_Cloud_OH">#REF!</definedName>
    <definedName name="NB_Monthly_Recurring_Resale_CA">#REF!</definedName>
    <definedName name="NB_Monthly_Recurring_Resale_OH">#REF!</definedName>
    <definedName name="NB_Monthly_Recurring_Services_CA">#REF!</definedName>
    <definedName name="NB_Monthly_Recurring_Services_OH">#REF!</definedName>
    <definedName name="WA_Monthly_Recurring_Private_Cloud_CA">#REF!</definedName>
    <definedName name="WA_Monthly_Recurring_Resale_CA">#REF!</definedName>
    <definedName name="WA_Monthly_Recurring_Resale_OH">#REF!</definedName>
    <definedName name="WA_Monthly_Recurring_Services_CA">#REF!</definedName>
    <definedName name="WA_Monthly_Recurring_Services_O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5" i="4" l="1"/>
  <c r="J852" i="4"/>
  <c r="G852" i="4"/>
  <c r="G855" i="4" s="1"/>
  <c r="J845" i="4"/>
  <c r="G845" i="4"/>
  <c r="J835" i="4"/>
  <c r="G835" i="4"/>
  <c r="K834" i="4"/>
  <c r="H834" i="4"/>
  <c r="K833" i="4"/>
  <c r="H833" i="4"/>
  <c r="K832" i="4"/>
  <c r="H832" i="4"/>
  <c r="K831" i="4"/>
  <c r="K835" i="4" s="1"/>
  <c r="H831" i="4"/>
  <c r="J830" i="4"/>
  <c r="G830" i="4"/>
  <c r="K829" i="4"/>
  <c r="H829" i="4"/>
  <c r="K828" i="4"/>
  <c r="H828" i="4"/>
  <c r="K827" i="4"/>
  <c r="H827" i="4"/>
  <c r="K826" i="4"/>
  <c r="K830" i="4" s="1"/>
  <c r="H826" i="4"/>
  <c r="K825" i="4"/>
  <c r="H825" i="4"/>
  <c r="J824" i="4"/>
  <c r="G824" i="4"/>
  <c r="K823" i="4"/>
  <c r="H823" i="4"/>
  <c r="K822" i="4"/>
  <c r="K824" i="4" s="1"/>
  <c r="H822" i="4"/>
  <c r="J821" i="4"/>
  <c r="G821" i="4"/>
  <c r="K820" i="4"/>
  <c r="H820" i="4"/>
  <c r="K819" i="4"/>
  <c r="K821" i="4" s="1"/>
  <c r="H819" i="4"/>
  <c r="K818" i="4"/>
  <c r="J818" i="4"/>
  <c r="G818" i="4"/>
  <c r="K817" i="4"/>
  <c r="H817" i="4"/>
  <c r="K816" i="4"/>
  <c r="J816" i="4"/>
  <c r="G816" i="4"/>
  <c r="K815" i="4"/>
  <c r="H815" i="4"/>
  <c r="K814" i="4"/>
  <c r="H814" i="4"/>
  <c r="J813" i="4"/>
  <c r="G813" i="4"/>
  <c r="K812" i="4"/>
  <c r="H812" i="4"/>
  <c r="K811" i="4"/>
  <c r="H811" i="4"/>
  <c r="K810" i="4"/>
  <c r="H810" i="4"/>
  <c r="K809" i="4"/>
  <c r="H809" i="4"/>
  <c r="K808" i="4"/>
  <c r="K813" i="4" s="1"/>
  <c r="H808" i="4"/>
  <c r="K807" i="4"/>
  <c r="H807" i="4"/>
  <c r="J806" i="4"/>
  <c r="G806" i="4"/>
  <c r="K805" i="4"/>
  <c r="H805" i="4"/>
  <c r="K804" i="4"/>
  <c r="K806" i="4" s="1"/>
  <c r="H804" i="4"/>
  <c r="J803" i="4"/>
  <c r="G803" i="4"/>
  <c r="K802" i="4"/>
  <c r="K803" i="4" s="1"/>
  <c r="H802" i="4"/>
  <c r="K801" i="4"/>
  <c r="J801" i="4"/>
  <c r="G801" i="4"/>
  <c r="K800" i="4"/>
  <c r="H800" i="4"/>
  <c r="J799" i="4"/>
  <c r="G799" i="4"/>
  <c r="K798" i="4"/>
  <c r="H798" i="4"/>
  <c r="K797" i="4"/>
  <c r="H797" i="4"/>
  <c r="K796" i="4"/>
  <c r="H796" i="4"/>
  <c r="K795" i="4"/>
  <c r="K799" i="4" s="1"/>
  <c r="H795" i="4"/>
  <c r="K794" i="4"/>
  <c r="J794" i="4"/>
  <c r="G794" i="4"/>
  <c r="K793" i="4"/>
  <c r="H793" i="4"/>
  <c r="K792" i="4"/>
  <c r="H792" i="4"/>
  <c r="K791" i="4"/>
  <c r="H791" i="4"/>
  <c r="J790" i="4"/>
  <c r="G790" i="4"/>
  <c r="K789" i="4"/>
  <c r="H789" i="4"/>
  <c r="K788" i="4"/>
  <c r="H788" i="4"/>
  <c r="K787" i="4"/>
  <c r="K790" i="4" s="1"/>
  <c r="H787" i="4"/>
  <c r="J786" i="4"/>
  <c r="G786" i="4"/>
  <c r="K785" i="4"/>
  <c r="K786" i="4" s="1"/>
  <c r="H785" i="4"/>
  <c r="J784" i="4"/>
  <c r="G784" i="4"/>
  <c r="K783" i="4"/>
  <c r="H783" i="4"/>
  <c r="K782" i="4"/>
  <c r="H782" i="4"/>
  <c r="K781" i="4"/>
  <c r="H781" i="4"/>
  <c r="K780" i="4"/>
  <c r="K784" i="4" s="1"/>
  <c r="H780" i="4"/>
  <c r="K779" i="4"/>
  <c r="H779" i="4"/>
  <c r="J778" i="4"/>
  <c r="G778" i="4"/>
  <c r="K777" i="4"/>
  <c r="K778" i="4" s="1"/>
  <c r="H777" i="4"/>
  <c r="K776" i="4"/>
  <c r="H776" i="4"/>
  <c r="J775" i="4"/>
  <c r="G775" i="4"/>
  <c r="K774" i="4"/>
  <c r="H774" i="4"/>
  <c r="K773" i="4"/>
  <c r="K775" i="4" s="1"/>
  <c r="H773" i="4"/>
  <c r="K772" i="4"/>
  <c r="H772" i="4"/>
  <c r="J771" i="4"/>
  <c r="G771" i="4"/>
  <c r="K770" i="4"/>
  <c r="H770" i="4"/>
  <c r="K769" i="4"/>
  <c r="H769" i="4"/>
  <c r="K768" i="4"/>
  <c r="H768" i="4"/>
  <c r="K767" i="4"/>
  <c r="H767" i="4"/>
  <c r="K766" i="4"/>
  <c r="K771" i="4" s="1"/>
  <c r="H766" i="4"/>
  <c r="J765" i="4"/>
  <c r="G765" i="4"/>
  <c r="K764" i="4"/>
  <c r="H764" i="4"/>
  <c r="K763" i="4"/>
  <c r="H763" i="4"/>
  <c r="K762" i="4"/>
  <c r="K765" i="4" s="1"/>
  <c r="H762" i="4"/>
  <c r="J761" i="4"/>
  <c r="G761" i="4"/>
  <c r="K760" i="4"/>
  <c r="H760" i="4"/>
  <c r="K759" i="4"/>
  <c r="K761" i="4" s="1"/>
  <c r="H759" i="4"/>
  <c r="J758" i="4"/>
  <c r="G758" i="4"/>
  <c r="K757" i="4"/>
  <c r="H757" i="4"/>
  <c r="K756" i="4"/>
  <c r="K758" i="4" s="1"/>
  <c r="H756" i="4"/>
  <c r="K755" i="4"/>
  <c r="J755" i="4"/>
  <c r="G755" i="4"/>
  <c r="K754" i="4"/>
  <c r="H754" i="4"/>
  <c r="K753" i="4"/>
  <c r="H753" i="4"/>
  <c r="K752" i="4"/>
  <c r="J752" i="4"/>
  <c r="G752" i="4"/>
  <c r="K751" i="4"/>
  <c r="H751" i="4"/>
  <c r="K750" i="4"/>
  <c r="H750" i="4"/>
  <c r="K749" i="4"/>
  <c r="J749" i="4"/>
  <c r="G749" i="4"/>
  <c r="K748" i="4"/>
  <c r="H748" i="4"/>
  <c r="J747" i="4"/>
  <c r="G747" i="4"/>
  <c r="K746" i="4"/>
  <c r="H746" i="4"/>
  <c r="K745" i="4"/>
  <c r="K747" i="4" s="1"/>
  <c r="H745" i="4"/>
  <c r="K744" i="4"/>
  <c r="H744" i="4"/>
  <c r="J743" i="4"/>
  <c r="G743" i="4"/>
  <c r="K742" i="4"/>
  <c r="H742" i="4"/>
  <c r="K741" i="4"/>
  <c r="H741" i="4"/>
  <c r="K740" i="4"/>
  <c r="H740" i="4"/>
  <c r="K739" i="4"/>
  <c r="K743" i="4" s="1"/>
  <c r="H739" i="4"/>
  <c r="J738" i="4"/>
  <c r="G738" i="4"/>
  <c r="K737" i="4"/>
  <c r="H737" i="4"/>
  <c r="K736" i="4"/>
  <c r="H736" i="4"/>
  <c r="K735" i="4"/>
  <c r="H735" i="4"/>
  <c r="K734" i="4"/>
  <c r="K738" i="4" s="1"/>
  <c r="H734" i="4"/>
  <c r="K733" i="4"/>
  <c r="H733" i="4"/>
  <c r="K732" i="4"/>
  <c r="H732" i="4"/>
  <c r="J731" i="4"/>
  <c r="G731" i="4"/>
  <c r="K730" i="4"/>
  <c r="H730" i="4"/>
  <c r="K729" i="4"/>
  <c r="H729" i="4"/>
  <c r="K728" i="4"/>
  <c r="H728" i="4"/>
  <c r="K727" i="4"/>
  <c r="K731" i="4" s="1"/>
  <c r="H727" i="4"/>
  <c r="K726" i="4"/>
  <c r="H726" i="4"/>
  <c r="J725" i="4"/>
  <c r="G725" i="4"/>
  <c r="K724" i="4"/>
  <c r="H724" i="4"/>
  <c r="K723" i="4"/>
  <c r="K725" i="4" s="1"/>
  <c r="H723" i="4"/>
  <c r="K722" i="4"/>
  <c r="H722" i="4"/>
  <c r="K721" i="4"/>
  <c r="H721" i="4"/>
  <c r="J720" i="4"/>
  <c r="G720" i="4"/>
  <c r="K719" i="4"/>
  <c r="H719" i="4"/>
  <c r="K718" i="4"/>
  <c r="H718" i="4"/>
  <c r="K717" i="4"/>
  <c r="H717" i="4"/>
  <c r="K716" i="4"/>
  <c r="K720" i="4" s="1"/>
  <c r="H716" i="4"/>
  <c r="K715" i="4"/>
  <c r="H715" i="4"/>
  <c r="J714" i="4"/>
  <c r="G714" i="4"/>
  <c r="K713" i="4"/>
  <c r="H713" i="4"/>
  <c r="K712" i="4"/>
  <c r="H712" i="4"/>
  <c r="K711" i="4"/>
  <c r="H711" i="4"/>
  <c r="K710" i="4"/>
  <c r="H710" i="4"/>
  <c r="K709" i="4"/>
  <c r="K714" i="4" s="1"/>
  <c r="H709" i="4"/>
  <c r="K708" i="4"/>
  <c r="J708" i="4"/>
  <c r="G708" i="4"/>
  <c r="K707" i="4"/>
  <c r="H707" i="4"/>
  <c r="K706" i="4"/>
  <c r="H706" i="4"/>
  <c r="K705" i="4"/>
  <c r="H705" i="4"/>
  <c r="K704" i="4"/>
  <c r="H704" i="4"/>
  <c r="J703" i="4"/>
  <c r="G703" i="4"/>
  <c r="K702" i="4"/>
  <c r="H702" i="4"/>
  <c r="K701" i="4"/>
  <c r="K703" i="4" s="1"/>
  <c r="H701" i="4"/>
  <c r="K700" i="4"/>
  <c r="H700" i="4"/>
  <c r="J699" i="4"/>
  <c r="G699" i="4"/>
  <c r="K698" i="4"/>
  <c r="H698" i="4"/>
  <c r="K697" i="4"/>
  <c r="H697" i="4"/>
  <c r="K696" i="4"/>
  <c r="H696" i="4"/>
  <c r="K695" i="4"/>
  <c r="H695" i="4"/>
  <c r="K694" i="4"/>
  <c r="K699" i="4" s="1"/>
  <c r="H694" i="4"/>
  <c r="J693" i="4"/>
  <c r="G693" i="4"/>
  <c r="K692" i="4"/>
  <c r="H692" i="4"/>
  <c r="K691" i="4"/>
  <c r="H691" i="4"/>
  <c r="K690" i="4"/>
  <c r="H690" i="4"/>
  <c r="K689" i="4"/>
  <c r="K693" i="4" s="1"/>
  <c r="H689" i="4"/>
  <c r="J688" i="4"/>
  <c r="G688" i="4"/>
  <c r="K687" i="4"/>
  <c r="K688" i="4" s="1"/>
  <c r="H687" i="4"/>
  <c r="K686" i="4"/>
  <c r="H686" i="4"/>
  <c r="J685" i="4"/>
  <c r="G685" i="4"/>
  <c r="K684" i="4"/>
  <c r="H684" i="4"/>
  <c r="K683" i="4"/>
  <c r="K682" i="4"/>
  <c r="H682" i="4"/>
  <c r="K681" i="4"/>
  <c r="H681" i="4"/>
  <c r="K680" i="4"/>
  <c r="H680" i="4"/>
  <c r="K679" i="4"/>
  <c r="K685" i="4" s="1"/>
  <c r="H679" i="4"/>
  <c r="J678" i="4"/>
  <c r="G678" i="4"/>
  <c r="K677" i="4"/>
  <c r="H677" i="4"/>
  <c r="K676" i="4"/>
  <c r="H676" i="4"/>
  <c r="K675" i="4"/>
  <c r="H675" i="4"/>
  <c r="K674" i="4"/>
  <c r="H674" i="4"/>
  <c r="K673" i="4"/>
  <c r="H673" i="4"/>
  <c r="K672" i="4"/>
  <c r="K678" i="4" s="1"/>
  <c r="H672" i="4"/>
  <c r="K671" i="4"/>
  <c r="J671" i="4"/>
  <c r="G671" i="4"/>
  <c r="K670" i="4"/>
  <c r="H670" i="4"/>
  <c r="K669" i="4"/>
  <c r="H669" i="4"/>
  <c r="K668" i="4"/>
  <c r="H668" i="4"/>
  <c r="K667" i="4"/>
  <c r="H667" i="4"/>
  <c r="K666" i="4"/>
  <c r="H666" i="4"/>
  <c r="K665" i="4"/>
  <c r="H665" i="4"/>
  <c r="K664" i="4"/>
  <c r="J664" i="4"/>
  <c r="G664" i="4"/>
  <c r="K663" i="4"/>
  <c r="H663" i="4"/>
  <c r="K662" i="4"/>
  <c r="H662" i="4"/>
  <c r="K661" i="4"/>
  <c r="H661" i="4"/>
  <c r="J660" i="4"/>
  <c r="J659" i="4"/>
  <c r="G659" i="4"/>
  <c r="G660" i="4" s="1"/>
  <c r="K658" i="4"/>
  <c r="H658" i="4"/>
  <c r="K657" i="4"/>
  <c r="K659" i="4" s="1"/>
  <c r="K660" i="4" s="1"/>
  <c r="H657" i="4"/>
  <c r="J656" i="4"/>
  <c r="G656" i="4"/>
  <c r="K655" i="4"/>
  <c r="H655" i="4"/>
  <c r="K654" i="4"/>
  <c r="K656" i="4" s="1"/>
  <c r="H654" i="4"/>
  <c r="J653" i="4"/>
  <c r="G653" i="4"/>
  <c r="K652" i="4"/>
  <c r="H652" i="4"/>
  <c r="K651" i="4"/>
  <c r="K653" i="4" s="1"/>
  <c r="H651" i="4"/>
  <c r="K650" i="4"/>
  <c r="J650" i="4"/>
  <c r="G650" i="4"/>
  <c r="K649" i="4"/>
  <c r="H649" i="4"/>
  <c r="K648" i="4"/>
  <c r="H648" i="4"/>
  <c r="K647" i="4"/>
  <c r="J647" i="4"/>
  <c r="G647" i="4"/>
  <c r="K646" i="4"/>
  <c r="H646" i="4"/>
  <c r="K645" i="4"/>
  <c r="H645" i="4"/>
  <c r="J644" i="4"/>
  <c r="G644" i="4"/>
  <c r="K643" i="4"/>
  <c r="H643" i="4"/>
  <c r="K642" i="4"/>
  <c r="H642" i="4"/>
  <c r="K641" i="4"/>
  <c r="H641" i="4"/>
  <c r="K640" i="4"/>
  <c r="K644" i="4" s="1"/>
  <c r="H640" i="4"/>
  <c r="K639" i="4"/>
  <c r="H639" i="4"/>
  <c r="K638" i="4"/>
  <c r="H638" i="4"/>
  <c r="K637" i="4"/>
  <c r="H637" i="4"/>
  <c r="K636" i="4"/>
  <c r="J636" i="4"/>
  <c r="G636" i="4"/>
  <c r="K635" i="4"/>
  <c r="H635" i="4"/>
  <c r="K634" i="4"/>
  <c r="H634" i="4"/>
  <c r="K633" i="4"/>
  <c r="H633" i="4"/>
  <c r="K632" i="4"/>
  <c r="J632" i="4"/>
  <c r="G632" i="4"/>
  <c r="K631" i="4"/>
  <c r="H631" i="4"/>
  <c r="K630" i="4"/>
  <c r="H630" i="4"/>
  <c r="K629" i="4"/>
  <c r="H629" i="4"/>
  <c r="K628" i="4"/>
  <c r="H628" i="4"/>
  <c r="K627" i="4"/>
  <c r="H627" i="4"/>
  <c r="J626" i="4"/>
  <c r="G626" i="4"/>
  <c r="K625" i="4"/>
  <c r="H625" i="4"/>
  <c r="K624" i="4"/>
  <c r="H624" i="4"/>
  <c r="K623" i="4"/>
  <c r="H623" i="4"/>
  <c r="K622" i="4"/>
  <c r="K626" i="4" s="1"/>
  <c r="H622" i="4"/>
  <c r="K621" i="4"/>
  <c r="J621" i="4"/>
  <c r="G621" i="4"/>
  <c r="K620" i="4"/>
  <c r="H620" i="4"/>
  <c r="K619" i="4"/>
  <c r="H619" i="4"/>
  <c r="K618" i="4"/>
  <c r="H618" i="4"/>
  <c r="K617" i="4"/>
  <c r="H617" i="4"/>
  <c r="K616" i="4"/>
  <c r="H616" i="4"/>
  <c r="J615" i="4"/>
  <c r="G615" i="4"/>
  <c r="K614" i="4"/>
  <c r="K615" i="4" s="1"/>
  <c r="H614" i="4"/>
  <c r="J613" i="4"/>
  <c r="J836" i="4" s="1"/>
  <c r="G613" i="4"/>
  <c r="G836" i="4" s="1"/>
  <c r="K612" i="4"/>
  <c r="K613" i="4" s="1"/>
  <c r="K836" i="4" s="1"/>
  <c r="H612" i="4"/>
  <c r="K611" i="4"/>
  <c r="H611" i="4"/>
  <c r="K610" i="4"/>
  <c r="H610" i="4"/>
  <c r="K608" i="4"/>
  <c r="J608" i="4"/>
  <c r="G608" i="4"/>
  <c r="K607" i="4"/>
  <c r="K606" i="4"/>
  <c r="K605" i="4"/>
  <c r="K604" i="4"/>
  <c r="J603" i="4"/>
  <c r="G603" i="4"/>
  <c r="K602" i="4"/>
  <c r="K603" i="4" s="1"/>
  <c r="K601" i="4"/>
  <c r="K600" i="4"/>
  <c r="J599" i="4"/>
  <c r="G599" i="4"/>
  <c r="K598" i="4"/>
  <c r="K597" i="4"/>
  <c r="K596" i="4"/>
  <c r="K599" i="4" s="1"/>
  <c r="K595" i="4"/>
  <c r="J594" i="4"/>
  <c r="G594" i="4"/>
  <c r="K593" i="4"/>
  <c r="K592" i="4"/>
  <c r="K591" i="4"/>
  <c r="K590" i="4"/>
  <c r="K594" i="4" s="1"/>
  <c r="J589" i="4"/>
  <c r="G589" i="4"/>
  <c r="K588" i="4"/>
  <c r="K587" i="4"/>
  <c r="K586" i="4"/>
  <c r="K585" i="4"/>
  <c r="K589" i="4" s="1"/>
  <c r="K584" i="4"/>
  <c r="J584" i="4"/>
  <c r="G584" i="4"/>
  <c r="K583" i="4"/>
  <c r="K582" i="4"/>
  <c r="K581" i="4"/>
  <c r="K580" i="4"/>
  <c r="K579" i="4"/>
  <c r="J579" i="4"/>
  <c r="G579" i="4"/>
  <c r="K578" i="4"/>
  <c r="K577" i="4"/>
  <c r="K576" i="4"/>
  <c r="K575" i="4"/>
  <c r="K574" i="4"/>
  <c r="J574" i="4"/>
  <c r="G574" i="4"/>
  <c r="K573" i="4"/>
  <c r="K572" i="4"/>
  <c r="K571" i="4"/>
  <c r="J570" i="4"/>
  <c r="G570" i="4"/>
  <c r="K569" i="4"/>
  <c r="K568" i="4"/>
  <c r="K567" i="4"/>
  <c r="K566" i="4"/>
  <c r="K570" i="4" s="1"/>
  <c r="J565" i="4"/>
  <c r="G565" i="4"/>
  <c r="K564" i="4"/>
  <c r="K563" i="4"/>
  <c r="K562" i="4"/>
  <c r="K565" i="4" s="1"/>
  <c r="J561" i="4"/>
  <c r="G561" i="4"/>
  <c r="K560" i="4"/>
  <c r="K559" i="4"/>
  <c r="K558" i="4"/>
  <c r="K557" i="4"/>
  <c r="K561" i="4" s="1"/>
  <c r="K556" i="4"/>
  <c r="J556" i="4"/>
  <c r="G556" i="4"/>
  <c r="K555" i="4"/>
  <c r="K554" i="4"/>
  <c r="K553" i="4"/>
  <c r="K552" i="4"/>
  <c r="K551" i="4"/>
  <c r="J551" i="4"/>
  <c r="G551" i="4"/>
  <c r="K550" i="4"/>
  <c r="K549" i="4"/>
  <c r="K548" i="4"/>
  <c r="K547" i="4"/>
  <c r="K546" i="4"/>
  <c r="J546" i="4"/>
  <c r="G546" i="4"/>
  <c r="K545" i="4"/>
  <c r="K544" i="4"/>
  <c r="K543" i="4"/>
  <c r="K542" i="4"/>
  <c r="J541" i="4"/>
  <c r="G541" i="4"/>
  <c r="K540" i="4"/>
  <c r="K541" i="4" s="1"/>
  <c r="K539" i="4"/>
  <c r="K538" i="4"/>
  <c r="K537" i="4"/>
  <c r="K536" i="4"/>
  <c r="J535" i="4"/>
  <c r="G535" i="4"/>
  <c r="K534" i="4"/>
  <c r="K535" i="4" s="1"/>
  <c r="K532" i="4"/>
  <c r="J531" i="4"/>
  <c r="J533" i="4" s="1"/>
  <c r="G531" i="4"/>
  <c r="G533" i="4" s="1"/>
  <c r="K530" i="4"/>
  <c r="K531" i="4" s="1"/>
  <c r="K529" i="4"/>
  <c r="K533" i="4" s="1"/>
  <c r="J528" i="4"/>
  <c r="G528" i="4"/>
  <c r="K527" i="4"/>
  <c r="K526" i="4"/>
  <c r="K525" i="4"/>
  <c r="K524" i="4"/>
  <c r="K523" i="4"/>
  <c r="K528" i="4" s="1"/>
  <c r="J522" i="4"/>
  <c r="G522" i="4"/>
  <c r="K521" i="4"/>
  <c r="K520" i="4"/>
  <c r="K519" i="4"/>
  <c r="K518" i="4"/>
  <c r="K522" i="4" s="1"/>
  <c r="J517" i="4"/>
  <c r="G517" i="4"/>
  <c r="K516" i="4"/>
  <c r="K515" i="4"/>
  <c r="K514" i="4"/>
  <c r="K513" i="4"/>
  <c r="K512" i="4"/>
  <c r="K517" i="4" s="1"/>
  <c r="J511" i="4"/>
  <c r="G511" i="4"/>
  <c r="K510" i="4"/>
  <c r="K509" i="4"/>
  <c r="K508" i="4"/>
  <c r="K507" i="4"/>
  <c r="K511" i="4" s="1"/>
  <c r="K506" i="4"/>
  <c r="J506" i="4"/>
  <c r="G506" i="4"/>
  <c r="K505" i="4"/>
  <c r="K504" i="4"/>
  <c r="K503" i="4"/>
  <c r="K502" i="4"/>
  <c r="K501" i="4"/>
  <c r="K500" i="4"/>
  <c r="J500" i="4"/>
  <c r="G500" i="4"/>
  <c r="K499" i="4"/>
  <c r="K498" i="4"/>
  <c r="K497" i="4"/>
  <c r="K496" i="4"/>
  <c r="K495" i="4"/>
  <c r="J495" i="4"/>
  <c r="G495" i="4"/>
  <c r="K494" i="4"/>
  <c r="K493" i="4"/>
  <c r="K492" i="4"/>
  <c r="J491" i="4"/>
  <c r="G491" i="4"/>
  <c r="K490" i="4"/>
  <c r="K491" i="4" s="1"/>
  <c r="K489" i="4"/>
  <c r="K488" i="4"/>
  <c r="K487" i="4"/>
  <c r="J486" i="4"/>
  <c r="G486" i="4"/>
  <c r="K485" i="4"/>
  <c r="K484" i="4"/>
  <c r="K483" i="4"/>
  <c r="K482" i="4"/>
  <c r="K486" i="4" s="1"/>
  <c r="J481" i="4"/>
  <c r="G481" i="4"/>
  <c r="K480" i="4"/>
  <c r="K479" i="4"/>
  <c r="K478" i="4"/>
  <c r="K477" i="4"/>
  <c r="K481" i="4" s="1"/>
  <c r="J476" i="4"/>
  <c r="G476" i="4"/>
  <c r="K475" i="4"/>
  <c r="K474" i="4"/>
  <c r="K476" i="4" s="1"/>
  <c r="K473" i="4"/>
  <c r="J473" i="4"/>
  <c r="G473" i="4"/>
  <c r="K472" i="4"/>
  <c r="K471" i="4"/>
  <c r="K470" i="4"/>
  <c r="K469" i="4"/>
  <c r="K468" i="4"/>
  <c r="K467" i="4"/>
  <c r="J467" i="4"/>
  <c r="G467" i="4"/>
  <c r="K466" i="4"/>
  <c r="K465" i="4"/>
  <c r="K464" i="4"/>
  <c r="J463" i="4"/>
  <c r="G463" i="4"/>
  <c r="K462" i="4"/>
  <c r="K463" i="4" s="1"/>
  <c r="K461" i="4"/>
  <c r="K460" i="4"/>
  <c r="K459" i="4"/>
  <c r="K458" i="4"/>
  <c r="J457" i="4"/>
  <c r="G457" i="4"/>
  <c r="K456" i="4"/>
  <c r="K457" i="4" s="1"/>
  <c r="K455" i="4"/>
  <c r="K454" i="4"/>
  <c r="K453" i="4"/>
  <c r="J452" i="4"/>
  <c r="G452" i="4"/>
  <c r="K451" i="4"/>
  <c r="K450" i="4"/>
  <c r="K449" i="4"/>
  <c r="K448" i="4"/>
  <c r="K452" i="4" s="1"/>
  <c r="J447" i="4"/>
  <c r="G447" i="4"/>
  <c r="K446" i="4"/>
  <c r="K445" i="4"/>
  <c r="K444" i="4"/>
  <c r="K447" i="4" s="1"/>
  <c r="K443" i="4"/>
  <c r="J442" i="4"/>
  <c r="G442" i="4"/>
  <c r="K441" i="4"/>
  <c r="K440" i="4"/>
  <c r="K439" i="4"/>
  <c r="K442" i="4" s="1"/>
  <c r="K438" i="4"/>
  <c r="J438" i="4"/>
  <c r="G438" i="4"/>
  <c r="K437" i="4"/>
  <c r="K436" i="4"/>
  <c r="K435" i="4"/>
  <c r="K434" i="4"/>
  <c r="J434" i="4"/>
  <c r="G434" i="4"/>
  <c r="K433" i="4"/>
  <c r="K432" i="4"/>
  <c r="K431" i="4"/>
  <c r="K430" i="4"/>
  <c r="J429" i="4"/>
  <c r="G429" i="4"/>
  <c r="K428" i="4"/>
  <c r="K429" i="4" s="1"/>
  <c r="K427" i="4"/>
  <c r="K426" i="4"/>
  <c r="K425" i="4"/>
  <c r="K424" i="4"/>
  <c r="J423" i="4"/>
  <c r="G423" i="4"/>
  <c r="K422" i="4"/>
  <c r="K423" i="4" s="1"/>
  <c r="J421" i="4"/>
  <c r="G421" i="4"/>
  <c r="K420" i="4"/>
  <c r="K419" i="4"/>
  <c r="K418" i="4"/>
  <c r="K417" i="4"/>
  <c r="K421" i="4" s="1"/>
  <c r="K416" i="4"/>
  <c r="J416" i="4"/>
  <c r="G416" i="4"/>
  <c r="K415" i="4"/>
  <c r="K414" i="4"/>
  <c r="K413" i="4"/>
  <c r="K412" i="4"/>
  <c r="K411" i="4"/>
  <c r="J411" i="4"/>
  <c r="G411" i="4"/>
  <c r="K410" i="4"/>
  <c r="J409" i="4"/>
  <c r="G409" i="4"/>
  <c r="K408" i="4"/>
  <c r="K409" i="4" s="1"/>
  <c r="K407" i="4"/>
  <c r="J407" i="4"/>
  <c r="G407" i="4"/>
  <c r="K406" i="4"/>
  <c r="K405" i="4"/>
  <c r="K404" i="4"/>
  <c r="J403" i="4"/>
  <c r="G403" i="4"/>
  <c r="K402" i="4"/>
  <c r="K403" i="4" s="1"/>
  <c r="K401" i="4"/>
  <c r="K400" i="4"/>
  <c r="K399" i="4"/>
  <c r="K398" i="4"/>
  <c r="J397" i="4"/>
  <c r="G397" i="4"/>
  <c r="K396" i="4"/>
  <c r="K397" i="4" s="1"/>
  <c r="K395" i="4"/>
  <c r="K394" i="4"/>
  <c r="K393" i="4"/>
  <c r="J392" i="4"/>
  <c r="G392" i="4"/>
  <c r="K391" i="4"/>
  <c r="K390" i="4"/>
  <c r="K392" i="4" s="1"/>
  <c r="K389" i="4"/>
  <c r="K388" i="4"/>
  <c r="J387" i="4"/>
  <c r="G387" i="4"/>
  <c r="K386" i="4"/>
  <c r="K385" i="4"/>
  <c r="K384" i="4"/>
  <c r="K387" i="4" s="1"/>
  <c r="K383" i="4"/>
  <c r="K382" i="4"/>
  <c r="J381" i="4"/>
  <c r="G381" i="4"/>
  <c r="K380" i="4"/>
  <c r="K379" i="4"/>
  <c r="K381" i="4" s="1"/>
  <c r="K378" i="4"/>
  <c r="J378" i="4"/>
  <c r="G378" i="4"/>
  <c r="K377" i="4"/>
  <c r="K376" i="4"/>
  <c r="K375" i="4"/>
  <c r="K374" i="4"/>
  <c r="J374" i="4"/>
  <c r="G374" i="4"/>
  <c r="K373" i="4"/>
  <c r="J372" i="4"/>
  <c r="G372" i="4"/>
  <c r="K371" i="4"/>
  <c r="K370" i="4"/>
  <c r="K369" i="4"/>
  <c r="K368" i="4"/>
  <c r="K372" i="4" s="1"/>
  <c r="J367" i="4"/>
  <c r="G367" i="4"/>
  <c r="K366" i="4"/>
  <c r="K365" i="4"/>
  <c r="K364" i="4"/>
  <c r="K363" i="4"/>
  <c r="K362" i="4"/>
  <c r="K367" i="4" s="1"/>
  <c r="J361" i="4"/>
  <c r="G361" i="4"/>
  <c r="K360" i="4"/>
  <c r="K359" i="4"/>
  <c r="K361" i="4" s="1"/>
  <c r="K358" i="4"/>
  <c r="J358" i="4"/>
  <c r="G358" i="4"/>
  <c r="K357" i="4"/>
  <c r="K356" i="4"/>
  <c r="K355" i="4"/>
  <c r="K354" i="4"/>
  <c r="J353" i="4"/>
  <c r="G353" i="4"/>
  <c r="K352" i="4"/>
  <c r="K353" i="4" s="1"/>
  <c r="K351" i="4"/>
  <c r="K350" i="4"/>
  <c r="J349" i="4"/>
  <c r="G349" i="4"/>
  <c r="K348" i="4"/>
  <c r="K347" i="4"/>
  <c r="K346" i="4"/>
  <c r="K349" i="4" s="1"/>
  <c r="K345" i="4"/>
  <c r="K344" i="4"/>
  <c r="J343" i="4"/>
  <c r="G343" i="4"/>
  <c r="K342" i="4"/>
  <c r="K341" i="4"/>
  <c r="K340" i="4"/>
  <c r="K343" i="4" s="1"/>
  <c r="K339" i="4"/>
  <c r="J338" i="4"/>
  <c r="G338" i="4"/>
  <c r="K337" i="4"/>
  <c r="K338" i="4" s="1"/>
  <c r="K336" i="4"/>
  <c r="J336" i="4"/>
  <c r="G336" i="4"/>
  <c r="K335" i="4"/>
  <c r="J334" i="4"/>
  <c r="G334" i="4"/>
  <c r="K333" i="4"/>
  <c r="K332" i="4"/>
  <c r="K331" i="4"/>
  <c r="K330" i="4"/>
  <c r="K334" i="4" s="1"/>
  <c r="J329" i="4"/>
  <c r="G329" i="4"/>
  <c r="K328" i="4"/>
  <c r="K329" i="4" s="1"/>
  <c r="J327" i="4"/>
  <c r="G327" i="4"/>
  <c r="K326" i="4"/>
  <c r="K327" i="4" s="1"/>
  <c r="J325" i="4"/>
  <c r="G325" i="4"/>
  <c r="K324" i="4"/>
  <c r="K323" i="4"/>
  <c r="K322" i="4"/>
  <c r="K321" i="4"/>
  <c r="J321" i="4"/>
  <c r="G321" i="4"/>
  <c r="K320" i="4"/>
  <c r="K319" i="4"/>
  <c r="K318" i="4"/>
  <c r="K317" i="4"/>
  <c r="K316" i="4"/>
  <c r="J316" i="4"/>
  <c r="G316" i="4"/>
  <c r="K315" i="4"/>
  <c r="J314" i="4"/>
  <c r="G314" i="4"/>
  <c r="K313" i="4"/>
  <c r="K312" i="4"/>
  <c r="K311" i="4"/>
  <c r="K310" i="4"/>
  <c r="J309" i="4"/>
  <c r="G309" i="4"/>
  <c r="K308" i="4"/>
  <c r="K307" i="4"/>
  <c r="K306" i="4"/>
  <c r="K305" i="4"/>
  <c r="K304" i="4"/>
  <c r="K303" i="4"/>
  <c r="K309" i="4" s="1"/>
  <c r="J302" i="4"/>
  <c r="G302" i="4"/>
  <c r="K301" i="4"/>
  <c r="K300" i="4"/>
  <c r="K299" i="4"/>
  <c r="K298" i="4"/>
  <c r="K302" i="4" s="1"/>
  <c r="J297" i="4"/>
  <c r="G297" i="4"/>
  <c r="K296" i="4"/>
  <c r="K295" i="4"/>
  <c r="K294" i="4"/>
  <c r="K297" i="4" s="1"/>
  <c r="J293" i="4"/>
  <c r="G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93" i="4" s="1"/>
  <c r="J253" i="4"/>
  <c r="G253" i="4"/>
  <c r="K252" i="4"/>
  <c r="K251" i="4"/>
  <c r="K250" i="4"/>
  <c r="K253" i="4" s="1"/>
  <c r="K249" i="4"/>
  <c r="J249" i="4"/>
  <c r="G249" i="4"/>
  <c r="K248" i="4"/>
  <c r="K247" i="4"/>
  <c r="K246" i="4"/>
  <c r="K245" i="4"/>
  <c r="K244" i="4"/>
  <c r="K243" i="4"/>
  <c r="J243" i="4"/>
  <c r="G243" i="4"/>
  <c r="K242" i="4"/>
  <c r="K241" i="4"/>
  <c r="K240" i="4"/>
  <c r="K239" i="4"/>
  <c r="K238" i="4"/>
  <c r="K237" i="4"/>
  <c r="J237" i="4"/>
  <c r="G237" i="4"/>
  <c r="K236" i="4"/>
  <c r="K235" i="4"/>
  <c r="K234" i="4"/>
  <c r="K233" i="4"/>
  <c r="K232" i="4"/>
  <c r="K231" i="4"/>
  <c r="J231" i="4"/>
  <c r="G231" i="4"/>
  <c r="K230" i="4"/>
  <c r="K229" i="4"/>
  <c r="K228" i="4"/>
  <c r="J227" i="4"/>
  <c r="G227" i="4"/>
  <c r="K226" i="4"/>
  <c r="K227" i="4" s="1"/>
  <c r="K225" i="4"/>
  <c r="K224" i="4"/>
  <c r="J223" i="4"/>
  <c r="G223" i="4"/>
  <c r="K222" i="4"/>
  <c r="K221" i="4"/>
  <c r="K220" i="4"/>
  <c r="K223" i="4" s="1"/>
  <c r="K219" i="4"/>
  <c r="K218" i="4"/>
  <c r="J217" i="4"/>
  <c r="G217" i="4"/>
  <c r="K216" i="4"/>
  <c r="K215" i="4"/>
  <c r="K214" i="4"/>
  <c r="K217" i="4" s="1"/>
  <c r="K213" i="4"/>
  <c r="J212" i="4"/>
  <c r="G212" i="4"/>
  <c r="K211" i="4"/>
  <c r="K210" i="4"/>
  <c r="K209" i="4"/>
  <c r="K208" i="4"/>
  <c r="K212" i="4" s="1"/>
  <c r="J207" i="4"/>
  <c r="G207" i="4"/>
  <c r="K206" i="4"/>
  <c r="K205" i="4"/>
  <c r="K204" i="4"/>
  <c r="K203" i="4"/>
  <c r="K207" i="4" s="1"/>
  <c r="K202" i="4"/>
  <c r="J202" i="4"/>
  <c r="G202" i="4"/>
  <c r="K201" i="4"/>
  <c r="K200" i="4"/>
  <c r="K199" i="4"/>
  <c r="K198" i="4"/>
  <c r="K197" i="4"/>
  <c r="J197" i="4"/>
  <c r="G197" i="4"/>
  <c r="K196" i="4"/>
  <c r="K195" i="4"/>
  <c r="K194" i="4"/>
  <c r="K193" i="4"/>
  <c r="K192" i="4"/>
  <c r="J192" i="4"/>
  <c r="G192" i="4"/>
  <c r="K191" i="4"/>
  <c r="K190" i="4"/>
  <c r="K189" i="4"/>
  <c r="K188" i="4"/>
  <c r="K187" i="4"/>
  <c r="K186" i="4"/>
  <c r="J186" i="4"/>
  <c r="G186" i="4"/>
  <c r="K185" i="4"/>
  <c r="K184" i="4"/>
  <c r="K183" i="4"/>
  <c r="K182" i="4"/>
  <c r="J181" i="4"/>
  <c r="G181" i="4"/>
  <c r="K180" i="4"/>
  <c r="K179" i="4"/>
  <c r="K178" i="4"/>
  <c r="K177" i="4"/>
  <c r="K176" i="4"/>
  <c r="J175" i="4"/>
  <c r="G175" i="4"/>
  <c r="K174" i="4"/>
  <c r="K175" i="4" s="1"/>
  <c r="K173" i="4"/>
  <c r="K172" i="4"/>
  <c r="K171" i="4"/>
  <c r="K170" i="4"/>
  <c r="J169" i="4"/>
  <c r="G169" i="4"/>
  <c r="K168" i="4"/>
  <c r="K169" i="4" s="1"/>
  <c r="K167" i="4"/>
  <c r="K166" i="4"/>
  <c r="K165" i="4"/>
  <c r="J164" i="4"/>
  <c r="G164" i="4"/>
  <c r="K163" i="4"/>
  <c r="K162" i="4"/>
  <c r="K161" i="4"/>
  <c r="K164" i="4" s="1"/>
  <c r="J160" i="4"/>
  <c r="G160" i="4"/>
  <c r="K159" i="4"/>
  <c r="K158" i="4"/>
  <c r="K157" i="4"/>
  <c r="K160" i="4" s="1"/>
  <c r="K156" i="4"/>
  <c r="J156" i="4"/>
  <c r="G156" i="4"/>
  <c r="K155" i="4"/>
  <c r="J154" i="4"/>
  <c r="G154" i="4"/>
  <c r="K153" i="4"/>
  <c r="K152" i="4"/>
  <c r="K154" i="4" s="1"/>
  <c r="K151" i="4"/>
  <c r="K150" i="4"/>
  <c r="J149" i="4"/>
  <c r="G149" i="4"/>
  <c r="K148" i="4"/>
  <c r="K147" i="4"/>
  <c r="K146" i="4"/>
  <c r="K149" i="4" s="1"/>
  <c r="K145" i="4"/>
  <c r="K144" i="4"/>
  <c r="J143" i="4"/>
  <c r="G143" i="4"/>
  <c r="K142" i="4"/>
  <c r="K141" i="4"/>
  <c r="K140" i="4"/>
  <c r="K143" i="4" s="1"/>
  <c r="K139" i="4"/>
  <c r="J138" i="4"/>
  <c r="G138" i="4"/>
  <c r="K137" i="4"/>
  <c r="K136" i="4"/>
  <c r="K135" i="4"/>
  <c r="K134" i="4"/>
  <c r="K133" i="4"/>
  <c r="K138" i="4" s="1"/>
  <c r="J132" i="4"/>
  <c r="G132" i="4"/>
  <c r="K131" i="4"/>
  <c r="K130" i="4"/>
  <c r="K129" i="4"/>
  <c r="K128" i="4"/>
  <c r="K127" i="4"/>
  <c r="K126" i="4"/>
  <c r="K125" i="4"/>
  <c r="K124" i="4"/>
  <c r="K132" i="4" s="1"/>
  <c r="J123" i="4"/>
  <c r="G123" i="4"/>
  <c r="K122" i="4"/>
  <c r="K123" i="4" s="1"/>
  <c r="K121" i="4"/>
  <c r="K120" i="4"/>
  <c r="K119" i="4"/>
  <c r="J118" i="4"/>
  <c r="G118" i="4"/>
  <c r="K117" i="4"/>
  <c r="K116" i="4"/>
  <c r="K118" i="4" s="1"/>
  <c r="K115" i="4"/>
  <c r="K114" i="4"/>
  <c r="J113" i="4"/>
  <c r="G113" i="4"/>
  <c r="K112" i="4"/>
  <c r="K111" i="4"/>
  <c r="K110" i="4"/>
  <c r="K113" i="4" s="1"/>
  <c r="J109" i="4"/>
  <c r="G109" i="4"/>
  <c r="K108" i="4"/>
  <c r="K107" i="4"/>
  <c r="K106" i="4"/>
  <c r="K105" i="4"/>
  <c r="K109" i="4" s="1"/>
  <c r="K104" i="4"/>
  <c r="J104" i="4"/>
  <c r="G104" i="4"/>
  <c r="K103" i="4"/>
  <c r="J102" i="4"/>
  <c r="G102" i="4"/>
  <c r="K101" i="4"/>
  <c r="K100" i="4"/>
  <c r="K102" i="4" s="1"/>
  <c r="K99" i="4"/>
  <c r="K98" i="4"/>
  <c r="J97" i="4"/>
  <c r="G97" i="4"/>
  <c r="K96" i="4"/>
  <c r="K95" i="4"/>
  <c r="K94" i="4"/>
  <c r="K97" i="4" s="1"/>
  <c r="K93" i="4"/>
  <c r="K92" i="4"/>
  <c r="J91" i="4"/>
  <c r="G91" i="4"/>
  <c r="K90" i="4"/>
  <c r="K89" i="4"/>
  <c r="K88" i="4"/>
  <c r="K91" i="4" s="1"/>
  <c r="K87" i="4"/>
  <c r="J86" i="4"/>
  <c r="G86" i="4"/>
  <c r="K85" i="4"/>
  <c r="K84" i="4"/>
  <c r="K83" i="4"/>
  <c r="K82" i="4"/>
  <c r="K86" i="4" s="1"/>
  <c r="J81" i="4"/>
  <c r="G81" i="4"/>
  <c r="K80" i="4"/>
  <c r="K79" i="4"/>
  <c r="K78" i="4"/>
  <c r="K77" i="4"/>
  <c r="K76" i="4"/>
  <c r="K81" i="4" s="1"/>
  <c r="J75" i="4"/>
  <c r="G75" i="4"/>
  <c r="K74" i="4"/>
  <c r="K73" i="4"/>
  <c r="K72" i="4"/>
  <c r="K75" i="4" s="1"/>
  <c r="K71" i="4"/>
  <c r="J71" i="4"/>
  <c r="G71" i="4"/>
  <c r="K70" i="4"/>
  <c r="K69" i="4"/>
  <c r="K68" i="4"/>
  <c r="K67" i="4"/>
  <c r="K66" i="4"/>
  <c r="K65" i="4"/>
  <c r="J65" i="4"/>
  <c r="G65" i="4"/>
  <c r="K64" i="4"/>
  <c r="K63" i="4"/>
  <c r="K62" i="4"/>
  <c r="J61" i="4"/>
  <c r="G61" i="4"/>
  <c r="K60" i="4"/>
  <c r="K61" i="4" s="1"/>
  <c r="K59" i="4"/>
  <c r="K58" i="4"/>
  <c r="K57" i="4"/>
  <c r="J56" i="4"/>
  <c r="G56" i="4"/>
  <c r="K55" i="4"/>
  <c r="K54" i="4"/>
  <c r="K53" i="4"/>
  <c r="K56" i="4" s="1"/>
  <c r="J52" i="4"/>
  <c r="G52" i="4"/>
  <c r="K51" i="4"/>
  <c r="K50" i="4"/>
  <c r="K49" i="4"/>
  <c r="K52" i="4" s="1"/>
  <c r="K48" i="4"/>
  <c r="J48" i="4"/>
  <c r="G48" i="4"/>
  <c r="K47" i="4"/>
  <c r="K46" i="4"/>
  <c r="K45" i="4"/>
  <c r="K44" i="4"/>
  <c r="K43" i="4"/>
  <c r="J43" i="4"/>
  <c r="G43" i="4"/>
  <c r="K42" i="4"/>
  <c r="K41" i="4"/>
  <c r="K40" i="4"/>
  <c r="K39" i="4"/>
  <c r="K38" i="4"/>
  <c r="J38" i="4"/>
  <c r="G38" i="4"/>
  <c r="K37" i="4"/>
  <c r="K36" i="4"/>
  <c r="K35" i="4"/>
  <c r="J34" i="4"/>
  <c r="G34" i="4"/>
  <c r="K33" i="4"/>
  <c r="K32" i="4"/>
  <c r="K34" i="4" s="1"/>
  <c r="J31" i="4"/>
  <c r="G31" i="4"/>
  <c r="K30" i="4"/>
  <c r="K29" i="4"/>
  <c r="K28" i="4"/>
  <c r="K27" i="4"/>
  <c r="K31" i="4" s="1"/>
  <c r="K26" i="4"/>
  <c r="J26" i="4"/>
  <c r="G26" i="4"/>
  <c r="K25" i="4"/>
  <c r="K24" i="4"/>
  <c r="K23" i="4"/>
  <c r="K22" i="4"/>
  <c r="K21" i="4"/>
  <c r="J21" i="4"/>
  <c r="G21" i="4"/>
  <c r="K20" i="4"/>
  <c r="K19" i="4"/>
  <c r="K18" i="4"/>
  <c r="K17" i="4"/>
  <c r="K16" i="4"/>
  <c r="J16" i="4"/>
  <c r="G16" i="4"/>
  <c r="K15" i="4"/>
  <c r="K14" i="4"/>
  <c r="K13" i="4"/>
  <c r="K12" i="4"/>
  <c r="K11" i="4"/>
  <c r="K10" i="4"/>
  <c r="J10" i="4"/>
  <c r="G10" i="4"/>
  <c r="K9" i="4"/>
  <c r="K8" i="4"/>
  <c r="K7" i="4"/>
  <c r="K6" i="4"/>
  <c r="J5" i="4"/>
  <c r="G5" i="4"/>
  <c r="K4" i="4"/>
  <c r="K5" i="4" s="1"/>
  <c r="K3" i="4"/>
  <c r="K2" i="4"/>
  <c r="K181" i="4" l="1"/>
  <c r="K325" i="4"/>
  <c r="K314" i="4"/>
  <c r="G609" i="4"/>
  <c r="G837" i="4" s="1"/>
  <c r="G856" i="4" s="1"/>
  <c r="J609" i="4"/>
  <c r="J837" i="4" s="1"/>
  <c r="J856" i="4" s="1"/>
  <c r="K609" i="4"/>
  <c r="K837" i="4" s="1"/>
  <c r="K88" i="3" l="1"/>
  <c r="K87" i="3"/>
  <c r="K82" i="3"/>
  <c r="K81" i="3"/>
  <c r="J77" i="3"/>
  <c r="J79" i="3" s="1"/>
  <c r="I77" i="3"/>
  <c r="H77" i="3"/>
  <c r="H5" i="3" s="1"/>
  <c r="I5" i="3" s="1"/>
  <c r="K76" i="3"/>
  <c r="K75" i="3"/>
  <c r="K74" i="3"/>
  <c r="K73" i="3"/>
  <c r="K72" i="3"/>
  <c r="K71" i="3"/>
  <c r="K70" i="3"/>
  <c r="K69" i="3"/>
  <c r="K89" i="3" s="1"/>
  <c r="K68" i="3"/>
  <c r="K67" i="3"/>
  <c r="K66" i="3"/>
  <c r="I65" i="3"/>
  <c r="H65" i="3"/>
  <c r="H4" i="3" s="1"/>
  <c r="I4" i="3" s="1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0" i="3"/>
  <c r="K49" i="3"/>
  <c r="K65" i="3" s="1"/>
  <c r="I48" i="3"/>
  <c r="H48" i="3"/>
  <c r="H3" i="3" s="1"/>
  <c r="I3" i="3" s="1"/>
  <c r="K47" i="3"/>
  <c r="K46" i="3"/>
  <c r="K45" i="3"/>
  <c r="K44" i="3"/>
  <c r="K43" i="3"/>
  <c r="K42" i="3"/>
  <c r="K41" i="3"/>
  <c r="K40" i="3"/>
  <c r="K38" i="3"/>
  <c r="K37" i="3"/>
  <c r="K36" i="3"/>
  <c r="K35" i="3"/>
  <c r="K33" i="3"/>
  <c r="K32" i="3"/>
  <c r="K31" i="3"/>
  <c r="K30" i="3"/>
  <c r="K28" i="3"/>
  <c r="K27" i="3"/>
  <c r="K24" i="3"/>
  <c r="K23" i="3"/>
  <c r="K22" i="3"/>
  <c r="K21" i="3"/>
  <c r="K20" i="3"/>
  <c r="K19" i="3"/>
  <c r="K48" i="3" s="1"/>
  <c r="K18" i="3"/>
  <c r="K17" i="3"/>
  <c r="K16" i="3"/>
  <c r="K15" i="3"/>
  <c r="H15" i="3"/>
  <c r="I15" i="3" s="1"/>
  <c r="K14" i="3"/>
  <c r="K13" i="3"/>
  <c r="K12" i="3"/>
  <c r="K11" i="3"/>
  <c r="K10" i="3"/>
  <c r="K9" i="3"/>
  <c r="K8" i="3"/>
  <c r="K86" i="3" s="1"/>
  <c r="K90" i="3" s="1"/>
  <c r="I79" i="3" l="1"/>
  <c r="H2" i="3"/>
  <c r="I2" i="3" s="1"/>
  <c r="K77" i="3"/>
  <c r="K79" i="3" s="1"/>
  <c r="H79" i="3"/>
</calcChain>
</file>

<file path=xl/sharedStrings.xml><?xml version="1.0" encoding="utf-8"?>
<sst xmlns="http://schemas.openxmlformats.org/spreadsheetml/2006/main" count="4248" uniqueCount="1273">
  <si>
    <t>Datapath</t>
  </si>
  <si>
    <t>P&amp;L MTD with Previous Month Comparison</t>
  </si>
  <si>
    <t>Reporting Book:</t>
  </si>
  <si>
    <t>ACCRUAL</t>
  </si>
  <si>
    <t>As of Date:</t>
  </si>
  <si>
    <t>03/31/2025</t>
  </si>
  <si>
    <t>Location Group:</t>
  </si>
  <si>
    <t>Modesto Fresno Ohio</t>
  </si>
  <si>
    <t xml:space="preserve"> </t>
  </si>
  <si>
    <t>DP California</t>
  </si>
  <si>
    <t>DP Ohio</t>
  </si>
  <si>
    <t>Data Path - All Locations</t>
  </si>
  <si>
    <t>Month Ending</t>
  </si>
  <si>
    <t>Year To Date</t>
  </si>
  <si>
    <t>02/28/2025</t>
  </si>
  <si>
    <t>Variance</t>
  </si>
  <si>
    <t>Foot notes</t>
  </si>
  <si>
    <t xml:space="preserve">  Net Income- With DL above the line</t>
  </si>
  <si>
    <t xml:space="preserve">  </t>
  </si>
  <si>
    <t xml:space="preserve">    Operating Net Income- DL above the line</t>
  </si>
  <si>
    <t xml:space="preserve">    </t>
  </si>
  <si>
    <t xml:space="preserve">      Gross Profit with Direct Labor</t>
  </si>
  <si>
    <t xml:space="preserve">      </t>
  </si>
  <si>
    <t xml:space="preserve">        Revenue</t>
  </si>
  <si>
    <t xml:space="preserve">        </t>
  </si>
  <si>
    <t xml:space="preserve">          Monthly Recurring Services</t>
  </si>
  <si>
    <t>See Agreements 
tab for 
Breakdown</t>
  </si>
  <si>
    <t xml:space="preserve">          Monthly Recurring Private Cloud</t>
  </si>
  <si>
    <t xml:space="preserve">          Monthly Recurring Resale</t>
  </si>
  <si>
    <t xml:space="preserve">          Project Services</t>
  </si>
  <si>
    <t xml:space="preserve">          Subcontracted Services</t>
  </si>
  <si>
    <t xml:space="preserve">          Product Sales</t>
  </si>
  <si>
    <t xml:space="preserve">          Revenue - Other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</si>
  <si>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</si>
  <si>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</si>
  <si>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</si>
  <si>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Cost of Monthly Recurring Cloud</t>
  </si>
  <si>
    <t xml:space="preserve">          Cost of Monthly Recurring Resale</t>
  </si>
  <si>
    <t xml:space="preserve">          Project Service Costs</t>
  </si>
  <si>
    <t xml:space="preserve">          Subcontractor Service Costs</t>
  </si>
  <si>
    <t xml:space="preserve">          Product Sales Cost</t>
  </si>
  <si>
    <t xml:space="preserve">          IT Project Labor</t>
  </si>
  <si>
    <t xml:space="preserve">          Direct Labor Costs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</si>
  <si>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</si>
  <si>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</si>
  <si>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</si>
  <si>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Operating Expense- no Direct or Sales Labor</t>
  </si>
  <si>
    <t xml:space="preserve">        Payroll and Related Expenses no Direct or Sales Labor</t>
  </si>
  <si>
    <t xml:space="preserve">        Utilities and Facilities</t>
  </si>
  <si>
    <t xml:space="preserve">          Facilities</t>
  </si>
  <si>
    <t xml:space="preserve">          Repairs and Maintenance</t>
  </si>
  <si>
    <t xml:space="preserve">          Utilities</t>
  </si>
  <si>
    <t xml:space="preserve">        Total Utilities and Facilities</t>
  </si>
  <si>
    <t xml:space="preserve">        Operating and Maintenance Expenses</t>
  </si>
  <si>
    <t xml:space="preserve">          Software and Maintenance</t>
  </si>
  <si>
    <t xml:space="preserve">          Professional Services</t>
  </si>
  <si>
    <t xml:space="preserve">          Automobile Expenses</t>
  </si>
  <si>
    <t xml:space="preserve">        Total Operating and Maintenance Expenses</t>
  </si>
  <si>
    <t xml:space="preserve">        Marketing and Advertising Expenses</t>
  </si>
  <si>
    <t xml:space="preserve">          Advertising and Promotion</t>
  </si>
  <si>
    <t xml:space="preserve">        Total Marketing and Advertising Expenses</t>
  </si>
  <si>
    <t xml:space="preserve">        General and Administrative Expenses</t>
  </si>
  <si>
    <t xml:space="preserve">          Office Supplies</t>
  </si>
  <si>
    <t xml:space="preserve">          Charitable Contributions</t>
  </si>
  <si>
    <t xml:space="preserve">          Education</t>
  </si>
  <si>
    <t xml:space="preserve">          Finance Charges</t>
  </si>
  <si>
    <t xml:space="preserve">          Travel, Meals and Entertainment</t>
  </si>
  <si>
    <t xml:space="preserve">          </t>
  </si>
  <si>
    <t xml:space="preserve">            Travel Expenses</t>
  </si>
  <si>
    <t xml:space="preserve">            Meals and Entertainment</t>
  </si>
  <si>
    <t xml:space="preserve">          Total Travel, Meals and Entertainment</t>
  </si>
  <si>
    <t xml:space="preserve">        Total General and Administrative Expenses</t>
  </si>
  <si>
    <t xml:space="preserve">        Taxes and Insurance</t>
  </si>
  <si>
    <t xml:space="preserve">          Insurance</t>
  </si>
  <si>
    <t xml:space="preserve">          Taxes</t>
  </si>
  <si>
    <t xml:space="preserve">        Total Taxes and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</si>
  <si>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</si>
  <si>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</si>
  <si>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</si>
  <si>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</si>
  <si>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  Interest Income</t>
  </si>
  <si>
    <t xml:space="preserve">        Other Income</t>
  </si>
  <si>
    <t xml:space="preserve">      Total Other Income</t>
  </si>
  <si>
    <t xml:space="preserve">      Other Expense</t>
  </si>
  <si>
    <t xml:space="preserve">        Interest Expenses</t>
  </si>
  <si>
    <t xml:space="preserve">        Partnership Expenses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</si>
  <si>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</si>
  <si>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</si>
  <si>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</si>
  <si>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</si>
  <si>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Total Income Taxes</t>
  </si>
  <si>
    <t xml:space="preserve">  EBITDA</t>
  </si>
  <si>
    <t>Created on : 04/30/2025 12:11 PM PST</t>
  </si>
  <si>
    <t>Foot Note</t>
  </si>
  <si>
    <t>Line</t>
  </si>
  <si>
    <t xml:space="preserve">Increase (Decrease) </t>
  </si>
  <si>
    <t>Note</t>
  </si>
  <si>
    <t>Sales Labor Costs- CA</t>
  </si>
  <si>
    <t>Decrease</t>
  </si>
  <si>
    <t>DinYero bonus 35k in Feb</t>
  </si>
  <si>
    <t>Payroll and Related Expenses no Direct or Sales Labor- CA</t>
  </si>
  <si>
    <t>Brian Jump final pay in Feb</t>
  </si>
  <si>
    <t>Repairs and Maintenance- CA</t>
  </si>
  <si>
    <t>Increase</t>
  </si>
  <si>
    <t>Dehart Plumbing Maintenance visit</t>
  </si>
  <si>
    <t>Professional Services- CA</t>
  </si>
  <si>
    <t>Feb had David Bates and Progress payment for PSG</t>
  </si>
  <si>
    <t>Advertising and Promotion- CA</t>
  </si>
  <si>
    <t xml:space="preserve">Engage Switch and Hubspot hit 3 times instead of 2 </t>
  </si>
  <si>
    <t>Office Supplies- CA</t>
  </si>
  <si>
    <t>Last month there was purchase of PPE for site visits and annual fee for AMEX</t>
  </si>
  <si>
    <t>Charitable Contributions-CA</t>
  </si>
  <si>
    <t>Donation to National Ability Center 2,600</t>
  </si>
  <si>
    <t>Meals and Entertainment- CA</t>
  </si>
  <si>
    <t>In February there were going away events</t>
  </si>
  <si>
    <t xml:space="preserve"> Interest Income-CA</t>
  </si>
  <si>
    <t>Lower Balance in Money Market Account</t>
  </si>
  <si>
    <t xml:space="preserve"> Interest Expense-CA</t>
  </si>
  <si>
    <t>Rate changed from 10.25 to 9.25 on 02/05/2025- payment changed from 10,037.84 to 9,989.45 in March</t>
  </si>
  <si>
    <t>Sales Labor- OH</t>
  </si>
  <si>
    <t>One time payout to Tiffany F and Dan K started</t>
  </si>
  <si>
    <t>Repairs and Maintenance- OH</t>
  </si>
  <si>
    <t>Repairs from the flooding</t>
  </si>
  <si>
    <t>Office Supplies- OH</t>
  </si>
  <si>
    <t>February there were shirts and jackets for new employees</t>
  </si>
  <si>
    <t>Software-Oh</t>
  </si>
  <si>
    <t>Credit for over charge for Avalara</t>
  </si>
  <si>
    <t>March Payroll Breakdown</t>
  </si>
  <si>
    <t>P&amp;L</t>
  </si>
  <si>
    <t xml:space="preserve">Payoll Cost </t>
  </si>
  <si>
    <t>Differences</t>
  </si>
  <si>
    <t>Notes</t>
  </si>
  <si>
    <t>IT Project Labor</t>
  </si>
  <si>
    <t>Payroll Tax Adj</t>
  </si>
  <si>
    <t>Direct Labor</t>
  </si>
  <si>
    <t>Gift cards for incentives</t>
  </si>
  <si>
    <t xml:space="preserve">Dismissed </t>
  </si>
  <si>
    <t>Sales
 (includes commissions)</t>
  </si>
  <si>
    <t>New Hires</t>
  </si>
  <si>
    <t>Admin</t>
  </si>
  <si>
    <t>UMR final billings</t>
  </si>
  <si>
    <t xml:space="preserve">Last Day </t>
  </si>
  <si>
    <t>New Hire
First Day</t>
  </si>
  <si>
    <t>Last Name</t>
  </si>
  <si>
    <t>First Name</t>
  </si>
  <si>
    <t>Full Name</t>
  </si>
  <si>
    <t>Department</t>
  </si>
  <si>
    <t>Financial Statement 
category</t>
  </si>
  <si>
    <t>Payroll Cost</t>
  </si>
  <si>
    <t>One time 
Payouts</t>
  </si>
  <si>
    <t xml:space="preserve">After- Hours On Call and Overtime </t>
  </si>
  <si>
    <t>Monthly Base Cost</t>
  </si>
  <si>
    <t>Brinovec</t>
  </si>
  <si>
    <t>Matthew</t>
  </si>
  <si>
    <t>Matthew Brinovec</t>
  </si>
  <si>
    <t>East Coast - Engineering</t>
  </si>
  <si>
    <t>1-IT Project Labor</t>
  </si>
  <si>
    <t>Bruce</t>
  </si>
  <si>
    <t>James</t>
  </si>
  <si>
    <t>James Bruce</t>
  </si>
  <si>
    <t xml:space="preserve">West Coast - Engineering </t>
  </si>
  <si>
    <t>Gilmore</t>
  </si>
  <si>
    <t>Christopher</t>
  </si>
  <si>
    <t>Christopher Gilmore</t>
  </si>
  <si>
    <t>West Cost-Fresno Engineering</t>
  </si>
  <si>
    <t>Harsch</t>
  </si>
  <si>
    <t>Jack</t>
  </si>
  <si>
    <t>Jack Harsch</t>
  </si>
  <si>
    <t>Lampe</t>
  </si>
  <si>
    <t>Matthew Lampe</t>
  </si>
  <si>
    <t>Newson</t>
  </si>
  <si>
    <t>Keith</t>
  </si>
  <si>
    <t>Keith Newson</t>
  </si>
  <si>
    <t>Walski</t>
  </si>
  <si>
    <t>Stephen</t>
  </si>
  <si>
    <t>Stephen Walski</t>
  </si>
  <si>
    <t>West Coast - Service Delivery</t>
  </si>
  <si>
    <t>1-IT Project Labor Total</t>
  </si>
  <si>
    <t>Annabel</t>
  </si>
  <si>
    <t>Peter</t>
  </si>
  <si>
    <t>Peter Annabel</t>
  </si>
  <si>
    <t>Cloud Services</t>
  </si>
  <si>
    <t>2-Direct Labor</t>
  </si>
  <si>
    <t>Barr</t>
  </si>
  <si>
    <t>Kevin</t>
  </si>
  <si>
    <t>Kevin Barr</t>
  </si>
  <si>
    <t>East Coast - Installation Services</t>
  </si>
  <si>
    <t>Bennett</t>
  </si>
  <si>
    <t>Harry</t>
  </si>
  <si>
    <t>Harry Bennett</t>
  </si>
  <si>
    <t>Blair</t>
  </si>
  <si>
    <t>Joshua</t>
  </si>
  <si>
    <t>Joshua Blair</t>
  </si>
  <si>
    <t>Brennan</t>
  </si>
  <si>
    <t>Thomas</t>
  </si>
  <si>
    <t>Thomas Brennan</t>
  </si>
  <si>
    <t>Brockett</t>
  </si>
  <si>
    <t>Casey</t>
  </si>
  <si>
    <t>Casey Brockett</t>
  </si>
  <si>
    <t>West Coast-Fresno Service</t>
  </si>
  <si>
    <t>Chavez Soto</t>
  </si>
  <si>
    <t>Cristina</t>
  </si>
  <si>
    <t>Cristina Chavez Soto</t>
  </si>
  <si>
    <t>Conkle</t>
  </si>
  <si>
    <t>Kerr</t>
  </si>
  <si>
    <t>Kerr Conkle</t>
  </si>
  <si>
    <t>East Coast - Service Desk</t>
  </si>
  <si>
    <t>Contreras</t>
  </si>
  <si>
    <t>Angela</t>
  </si>
  <si>
    <t>Angela Contreras</t>
  </si>
  <si>
    <t>Oscar</t>
  </si>
  <si>
    <t>Oscar Contreras</t>
  </si>
  <si>
    <t>Corder</t>
  </si>
  <si>
    <t>Wayne</t>
  </si>
  <si>
    <t>Wayne Corder</t>
  </si>
  <si>
    <t>Dean</t>
  </si>
  <si>
    <t>Sam</t>
  </si>
  <si>
    <t>Sam Dean</t>
  </si>
  <si>
    <t>Doyle</t>
  </si>
  <si>
    <t>William</t>
  </si>
  <si>
    <t>William Doyle</t>
  </si>
  <si>
    <t>Dupray</t>
  </si>
  <si>
    <t>Nathaniel</t>
  </si>
  <si>
    <t>Nathaniel Dupray</t>
  </si>
  <si>
    <t>Espinoza</t>
  </si>
  <si>
    <t>Gabriel</t>
  </si>
  <si>
    <t>Gabriel Espinoza</t>
  </si>
  <si>
    <t>Freeburg</t>
  </si>
  <si>
    <t>Kenneth</t>
  </si>
  <si>
    <t>Kenneth Freeburg</t>
  </si>
  <si>
    <t>Payout for unused vacation time</t>
  </si>
  <si>
    <t>Hughes</t>
  </si>
  <si>
    <t>Michael</t>
  </si>
  <si>
    <t>Michael Hughes</t>
  </si>
  <si>
    <t>Huizar</t>
  </si>
  <si>
    <t>Luis</t>
  </si>
  <si>
    <t>Luis Huizar</t>
  </si>
  <si>
    <t>Hulsey-Cedeno</t>
  </si>
  <si>
    <t>Brandon</t>
  </si>
  <si>
    <t>Brandon Hulsey-Cedeno</t>
  </si>
  <si>
    <t>Johnson</t>
  </si>
  <si>
    <t>Brandon Johnson</t>
  </si>
  <si>
    <t>Keim</t>
  </si>
  <si>
    <t>Colton</t>
  </si>
  <si>
    <t>Colton Keim</t>
  </si>
  <si>
    <t>Lanning</t>
  </si>
  <si>
    <t>Nathan</t>
  </si>
  <si>
    <t>Nathan Lanning</t>
  </si>
  <si>
    <t>East Coast - Field Engineering</t>
  </si>
  <si>
    <t>Mercer</t>
  </si>
  <si>
    <t>Mark</t>
  </si>
  <si>
    <t>Mark Mercer</t>
  </si>
  <si>
    <t>Morozov</t>
  </si>
  <si>
    <t>Steve</t>
  </si>
  <si>
    <t>Pena</t>
  </si>
  <si>
    <t>Luis Pena</t>
  </si>
  <si>
    <t>Pontes</t>
  </si>
  <si>
    <t>Victor</t>
  </si>
  <si>
    <t>Victor Pontes</t>
  </si>
  <si>
    <t>Schilber</t>
  </si>
  <si>
    <t>Michael Schilber</t>
  </si>
  <si>
    <t>Cyber Security</t>
  </si>
  <si>
    <t>Stewart</t>
  </si>
  <si>
    <t>Timothy</t>
  </si>
  <si>
    <t>Timothy Stewart</t>
  </si>
  <si>
    <t>Strassell</t>
  </si>
  <si>
    <t>Cory</t>
  </si>
  <si>
    <t>Cory Strassell</t>
  </si>
  <si>
    <t>Terrell</t>
  </si>
  <si>
    <t>Duncan</t>
  </si>
  <si>
    <t>Duncan Terrell</t>
  </si>
  <si>
    <t>Trude</t>
  </si>
  <si>
    <t>Michael Trude</t>
  </si>
  <si>
    <t>Williams III</t>
  </si>
  <si>
    <t>Hildria</t>
  </si>
  <si>
    <t>Hildria Williams III</t>
  </si>
  <si>
    <t>Direct Labor Total</t>
  </si>
  <si>
    <t>Baker</t>
  </si>
  <si>
    <t>Matthew Baker</t>
  </si>
  <si>
    <t>East Coast - Sales and Marketing</t>
  </si>
  <si>
    <t>3-Sales Labor Costs</t>
  </si>
  <si>
    <t>Finkton</t>
  </si>
  <si>
    <t>Tiffany</t>
  </si>
  <si>
    <t>Tiffany Finkton</t>
  </si>
  <si>
    <t>Severance and Payout for unused PTO</t>
  </si>
  <si>
    <t>Kuphal</t>
  </si>
  <si>
    <t>Daniel</t>
  </si>
  <si>
    <t>Daniel Kuphal</t>
  </si>
  <si>
    <t>Lobo</t>
  </si>
  <si>
    <t>Lester</t>
  </si>
  <si>
    <t>Lester Lobo</t>
  </si>
  <si>
    <t>Walker</t>
  </si>
  <si>
    <t>Joel</t>
  </si>
  <si>
    <t>Joel Walker</t>
  </si>
  <si>
    <t>De Guzman</t>
  </si>
  <si>
    <t>Edwin</t>
  </si>
  <si>
    <t>Edwin De Guzman</t>
  </si>
  <si>
    <t>Contract Wages</t>
  </si>
  <si>
    <t>Chadwell</t>
  </si>
  <si>
    <t>Daniel Chadwell</t>
  </si>
  <si>
    <t>Procurement and Sales Engineering</t>
  </si>
  <si>
    <t>DinYero</t>
  </si>
  <si>
    <t>DinYero Johnson</t>
  </si>
  <si>
    <t>Maestas</t>
  </si>
  <si>
    <t>Ricky</t>
  </si>
  <si>
    <t>Ricky Maestas</t>
  </si>
  <si>
    <t>West Coast - Education</t>
  </si>
  <si>
    <t>Harvey</t>
  </si>
  <si>
    <t>Jay</t>
  </si>
  <si>
    <t>Jay Harvey</t>
  </si>
  <si>
    <t>West Coast - Sales + Marketing</t>
  </si>
  <si>
    <t>La Fleche</t>
  </si>
  <si>
    <t>Nathan La Fleche</t>
  </si>
  <si>
    <t>Sturdivant</t>
  </si>
  <si>
    <t>Daniel Sturdivant</t>
  </si>
  <si>
    <t>Wise</t>
  </si>
  <si>
    <t>Brayden</t>
  </si>
  <si>
    <t>Brayden Wise</t>
  </si>
  <si>
    <t>Martinez Duran</t>
  </si>
  <si>
    <t>Julissa</t>
  </si>
  <si>
    <t>Julissa Duran</t>
  </si>
  <si>
    <t>Villanueva</t>
  </si>
  <si>
    <t>Myca</t>
  </si>
  <si>
    <t>Myca Villanueva</t>
  </si>
  <si>
    <t>Martinez</t>
  </si>
  <si>
    <t>Maria</t>
  </si>
  <si>
    <t>Maria Martinez</t>
  </si>
  <si>
    <t>Sales Labor Total</t>
  </si>
  <si>
    <t>Bates</t>
  </si>
  <si>
    <t>James Bates</t>
  </si>
  <si>
    <t>Owner</t>
  </si>
  <si>
    <t xml:space="preserve">4-Admin </t>
  </si>
  <si>
    <t>Craig</t>
  </si>
  <si>
    <t>David</t>
  </si>
  <si>
    <t>David Craig</t>
  </si>
  <si>
    <t>Darmstandler</t>
  </si>
  <si>
    <t>David Darmstandler</t>
  </si>
  <si>
    <t>Gregory</t>
  </si>
  <si>
    <t>Gregory Harvey</t>
  </si>
  <si>
    <t>East Coast - Procurement</t>
  </si>
  <si>
    <t>Hennington</t>
  </si>
  <si>
    <t>Melinda</t>
  </si>
  <si>
    <t>Melinda Hennington</t>
  </si>
  <si>
    <t>Admin Finance-Fresno</t>
  </si>
  <si>
    <t>Moore</t>
  </si>
  <si>
    <t>Rebecca</t>
  </si>
  <si>
    <t>Rebecca Moore</t>
  </si>
  <si>
    <t xml:space="preserve">Admin + Finance + HR	</t>
  </si>
  <si>
    <t>Peterson</t>
  </si>
  <si>
    <t>Devin</t>
  </si>
  <si>
    <t>Devin Peterson</t>
  </si>
  <si>
    <t>Central Services &amp; Internal IT</t>
  </si>
  <si>
    <t>Rownd</t>
  </si>
  <si>
    <t>Marshall</t>
  </si>
  <si>
    <t>Marshall Rownd</t>
  </si>
  <si>
    <t>Santiago</t>
  </si>
  <si>
    <t>Stella</t>
  </si>
  <si>
    <t>Stella Santiago</t>
  </si>
  <si>
    <t>Dizon</t>
  </si>
  <si>
    <t>Jaquelene</t>
  </si>
  <si>
    <t>Jaque Dizon</t>
  </si>
  <si>
    <t>Vicencio</t>
  </si>
  <si>
    <t>P. Dennis</t>
  </si>
  <si>
    <t>P. Dennis Vicencio</t>
  </si>
  <si>
    <t>Admin Total Costs</t>
  </si>
  <si>
    <t>March</t>
  </si>
  <si>
    <t>Total Labor Costs</t>
  </si>
  <si>
    <t>New Hires - April</t>
  </si>
  <si>
    <t>Wijaya</t>
  </si>
  <si>
    <t>Tommy</t>
  </si>
  <si>
    <t>McArthur</t>
  </si>
  <si>
    <t>Alex</t>
  </si>
  <si>
    <t>Terrones</t>
  </si>
  <si>
    <t>Genelyn</t>
  </si>
  <si>
    <t>Need to confirm salary</t>
  </si>
  <si>
    <t>Vincent</t>
  </si>
  <si>
    <t>Arnold</t>
  </si>
  <si>
    <t>Tier 2 Tech Support - need start date</t>
  </si>
  <si>
    <t>Est March Totals</t>
  </si>
  <si>
    <t>IT Project Labor Costs</t>
  </si>
  <si>
    <t>Direct Labor Costs</t>
  </si>
  <si>
    <t>Sales Labor Costs</t>
  </si>
  <si>
    <t>Admin Labor Costs</t>
  </si>
  <si>
    <t>Location</t>
  </si>
  <si>
    <t>Customer</t>
  </si>
  <si>
    <t>Agreement Type</t>
  </si>
  <si>
    <t>Agreement Name</t>
  </si>
  <si>
    <t>March
Invoice
Number</t>
  </si>
  <si>
    <t>Invoice Date</t>
  </si>
  <si>
    <t>March Financials</t>
  </si>
  <si>
    <t>March Revenue</t>
  </si>
  <si>
    <t>Feb Clawback</t>
  </si>
  <si>
    <t>Feb Financials</t>
  </si>
  <si>
    <t>Difference 
March- Feb</t>
  </si>
  <si>
    <t>CA</t>
  </si>
  <si>
    <t>TCB Industrial</t>
  </si>
  <si>
    <t>Recurring Resale - Security</t>
  </si>
  <si>
    <t>176544</t>
  </si>
  <si>
    <t>24 Hour Home Care</t>
  </si>
  <si>
    <t>176455</t>
  </si>
  <si>
    <t>T-Services-MSP</t>
  </si>
  <si>
    <t>24 Hour Home Care Total</t>
  </si>
  <si>
    <t>7C Escrow</t>
  </si>
  <si>
    <t>Cloud - Private</t>
  </si>
  <si>
    <t>176756</t>
  </si>
  <si>
    <t>Recurring Resale - MSP</t>
  </si>
  <si>
    <t>7C Escrow Total</t>
  </si>
  <si>
    <t>Abest Professional Health Care</t>
  </si>
  <si>
    <t>Recurring Resale - Microsoft 365 NCE</t>
  </si>
  <si>
    <t>176456</t>
  </si>
  <si>
    <t>Recurring Resale - MSP 2025/27</t>
  </si>
  <si>
    <t>Temp Backups Agreement</t>
  </si>
  <si>
    <t>Recurring Resale - Security 2025/27</t>
  </si>
  <si>
    <t>T-Services-MSP 2024/27</t>
  </si>
  <si>
    <t>Abest Professional Health Care Total</t>
  </si>
  <si>
    <t>ABI Healthcare</t>
  </si>
  <si>
    <t>176457</t>
  </si>
  <si>
    <t>MSP -Recurring Resale</t>
  </si>
  <si>
    <t>ABI Healthcare Total</t>
  </si>
  <si>
    <t>ABIFI Professional Health Care</t>
  </si>
  <si>
    <t>176458</t>
  </si>
  <si>
    <t>Recurring Resale - MSP 2024/27</t>
  </si>
  <si>
    <t>Recurring Resale - Security 2024/27</t>
  </si>
  <si>
    <t>ABIFI Professional Health Care Total</t>
  </si>
  <si>
    <t>Ability Ambeck Mortgage</t>
  </si>
  <si>
    <t>Ability Microsoft 365</t>
  </si>
  <si>
    <t>176459</t>
  </si>
  <si>
    <t>Ability - Recurring Resale - Security</t>
  </si>
  <si>
    <t>Ability-Managed</t>
  </si>
  <si>
    <t>Ability Ambeck Mortgage Total</t>
  </si>
  <si>
    <t>Advantage Home Care</t>
  </si>
  <si>
    <t>176460</t>
  </si>
  <si>
    <t>New Agreement 03/2025</t>
  </si>
  <si>
    <t>Advantage Home Care Total</t>
  </si>
  <si>
    <t>Agape Corporation  WEB Du</t>
  </si>
  <si>
    <t>176417</t>
  </si>
  <si>
    <t>Agape Corporation  WEB Du Total</t>
  </si>
  <si>
    <t>Agee Construction</t>
  </si>
  <si>
    <t>Agee Microsoft 365</t>
  </si>
  <si>
    <t>176418</t>
  </si>
  <si>
    <t>Agee Construction Total</t>
  </si>
  <si>
    <t>Alliance Services</t>
  </si>
  <si>
    <t>176461</t>
  </si>
  <si>
    <t>Alliance Services Total</t>
  </si>
  <si>
    <t>Ameribest</t>
  </si>
  <si>
    <t>176462</t>
  </si>
  <si>
    <t>Ameribest Total</t>
  </si>
  <si>
    <t>American Institute of Science and Technology</t>
  </si>
  <si>
    <t>176463</t>
  </si>
  <si>
    <t>T-Services-MSP 24/27</t>
  </si>
  <si>
    <t>American Institute of Science and Technology Total</t>
  </si>
  <si>
    <t>Anonymous LLC</t>
  </si>
  <si>
    <t>Anonymous Cloud Services</t>
  </si>
  <si>
    <t>176757</t>
  </si>
  <si>
    <t>Anonymous LLC Total</t>
  </si>
  <si>
    <t>AP Logic, Inc.</t>
  </si>
  <si>
    <t>176758</t>
  </si>
  <si>
    <t>AP Logic, Inc. Total</t>
  </si>
  <si>
    <t>Applegate Teeples Drilling</t>
  </si>
  <si>
    <t>176464</t>
  </si>
  <si>
    <t>Applegate Teeples Drilling Total</t>
  </si>
  <si>
    <t>ATD Home Health Agency, INC</t>
  </si>
  <si>
    <t>Recurring Resale - MSP 24/27</t>
  </si>
  <si>
    <t>176465</t>
  </si>
  <si>
    <t>Recurring Resale - Security 24/27</t>
  </si>
  <si>
    <t>ATD Home Health Agency, INC Total</t>
  </si>
  <si>
    <t>Aweta - Americas</t>
  </si>
  <si>
    <t>176419</t>
  </si>
  <si>
    <t>T-Services-Security</t>
  </si>
  <si>
    <t>Aweta - Americas Total</t>
  </si>
  <si>
    <t>Big Valley Grace Community Church</t>
  </si>
  <si>
    <t>176466</t>
  </si>
  <si>
    <t>Big Valley Grace Community Church Total</t>
  </si>
  <si>
    <t>Borba Farms Partners</t>
  </si>
  <si>
    <t>176420</t>
  </si>
  <si>
    <t>Borba Farms Partners Total</t>
  </si>
  <si>
    <t>Caloy Company LLC</t>
  </si>
  <si>
    <t>176467</t>
  </si>
  <si>
    <t>Caloy Microsoft 365</t>
  </si>
  <si>
    <t>Caloy-Managed</t>
  </si>
  <si>
    <t>Caloy Company LLC Total</t>
  </si>
  <si>
    <t>Capital Financial Consultants Group</t>
  </si>
  <si>
    <t>Capital Financial Cloud Services</t>
  </si>
  <si>
    <t>176759</t>
  </si>
  <si>
    <t>Capital Financial Consultants Group Total</t>
  </si>
  <si>
    <t>Carmel Unified School District</t>
  </si>
  <si>
    <t>176468</t>
  </si>
  <si>
    <t>Carmel Unified School District Total</t>
  </si>
  <si>
    <t>Central Valley Pain Management</t>
  </si>
  <si>
    <t>176469</t>
  </si>
  <si>
    <t>CV Pain Management Managed Services</t>
  </si>
  <si>
    <t>Central Valley Pain Management Total</t>
  </si>
  <si>
    <t>Chatom Union School District</t>
  </si>
  <si>
    <t>Recurring Resale - MSP 2024/25</t>
  </si>
  <si>
    <t>176470</t>
  </si>
  <si>
    <t>Recurring Resale - Security 2024/25</t>
  </si>
  <si>
    <t>T-Services-MSP 2024/25</t>
  </si>
  <si>
    <t>Chatom Union School District Total</t>
  </si>
  <si>
    <t>Choice Home Care</t>
  </si>
  <si>
    <t>176471</t>
  </si>
  <si>
    <t>Choice Home Care Total</t>
  </si>
  <si>
    <t>Circle of Life - First Nations - Soaring Eagles</t>
  </si>
  <si>
    <t>176472</t>
  </si>
  <si>
    <t>Increased M365 count</t>
  </si>
  <si>
    <t>Managed Services</t>
  </si>
  <si>
    <t>Circle of Life - First Nations - Soaring Eagles Total</t>
  </si>
  <si>
    <t>City of Atwater</t>
  </si>
  <si>
    <t>City of Atwater Microsoft 365</t>
  </si>
  <si>
    <t>176474</t>
  </si>
  <si>
    <t>Managed Office 365 Backups</t>
  </si>
  <si>
    <t>176477</t>
  </si>
  <si>
    <t>176473</t>
  </si>
  <si>
    <t>Recurring Resale - MSP - Mimecast</t>
  </si>
  <si>
    <t>176476</t>
  </si>
  <si>
    <t>176475</t>
  </si>
  <si>
    <t>City of Atwater Managed Service</t>
  </si>
  <si>
    <t>T-Services-MSP - Managed Services</t>
  </si>
  <si>
    <t>176478</t>
  </si>
  <si>
    <t>City of Atwater Total</t>
  </si>
  <si>
    <t>City of Firebaugh</t>
  </si>
  <si>
    <t>City of Firebaugh Cloud Services</t>
  </si>
  <si>
    <t>176421</t>
  </si>
  <si>
    <t>City of Firebaugh Total</t>
  </si>
  <si>
    <t>City of Selma</t>
  </si>
  <si>
    <t>Microsoft 365</t>
  </si>
  <si>
    <t>176423</t>
  </si>
  <si>
    <t>Recurring Resale - MSP 2024/2027</t>
  </si>
  <si>
    <t>176422</t>
  </si>
  <si>
    <t>Recurring Resale - Security 2024/2027</t>
  </si>
  <si>
    <t>T-Services-MSP 2024/2027</t>
  </si>
  <si>
    <t>City of Selma Total</t>
  </si>
  <si>
    <t>Collectibles Management Resources</t>
  </si>
  <si>
    <t>Private Cloud Services</t>
  </si>
  <si>
    <t>176424</t>
  </si>
  <si>
    <t>Collectibles Management Microsoft 365</t>
  </si>
  <si>
    <t>Collectibles Management Support360</t>
  </si>
  <si>
    <t>Collectibles Management Resources Total</t>
  </si>
  <si>
    <t>Community Action Partnership of Madera Co</t>
  </si>
  <si>
    <t>176428</t>
  </si>
  <si>
    <t>176426</t>
  </si>
  <si>
    <t>176427</t>
  </si>
  <si>
    <t>176425</t>
  </si>
  <si>
    <t>Community Action Partnership of Madera Co Total</t>
  </si>
  <si>
    <t>Cranbrook Group Inc</t>
  </si>
  <si>
    <t>Cranbrook Group Inc Total</t>
  </si>
  <si>
    <t>Cranbrook Group Inc.</t>
  </si>
  <si>
    <t>176479</t>
  </si>
  <si>
    <t>Cranbrook Group Inc. Total</t>
  </si>
  <si>
    <t>Daniel, Towle and Warkentine CPA</t>
  </si>
  <si>
    <t>176429</t>
  </si>
  <si>
    <t>Daniel, Towle and Warkentine CPA Total</t>
  </si>
  <si>
    <t>DeHart Plumbing, Heating &amp; Air, Inc.</t>
  </si>
  <si>
    <t>DeHart Microsoft 365</t>
  </si>
  <si>
    <t>176480</t>
  </si>
  <si>
    <t>Recurring Resale - MSP 2025</t>
  </si>
  <si>
    <t>176481</t>
  </si>
  <si>
    <t>Recurring Resale - Security 2025</t>
  </si>
  <si>
    <t>T-Services-MSP 2025</t>
  </si>
  <si>
    <t>DeHart Plumbing, Heating &amp; Air, Inc. Total</t>
  </si>
  <si>
    <t>Del Puerto Healthcare District</t>
  </si>
  <si>
    <t>Del Puerto Microsoft 365</t>
  </si>
  <si>
    <t>176482</t>
  </si>
  <si>
    <t>Del Puerto-Managed</t>
  </si>
  <si>
    <t>Del Puerto Security Services</t>
  </si>
  <si>
    <t>Del Puerto Healthcare District Total</t>
  </si>
  <si>
    <t>Dependable Home Health Care</t>
  </si>
  <si>
    <t>176483</t>
  </si>
  <si>
    <t>New M365 Agreement 03/2025</t>
  </si>
  <si>
    <t>Dependable Home Health Care Total</t>
  </si>
  <si>
    <t>Devoted Guardians</t>
  </si>
  <si>
    <t>176484</t>
  </si>
  <si>
    <t>Devoted Guardians Total</t>
  </si>
  <si>
    <t>DiMare</t>
  </si>
  <si>
    <t>Dimare Microsoft 365</t>
  </si>
  <si>
    <t>176485</t>
  </si>
  <si>
    <t>DiMare Total</t>
  </si>
  <si>
    <t>Diversified Machining &amp; Fabrication</t>
  </si>
  <si>
    <t>176486</t>
  </si>
  <si>
    <t>Diversified Machining &amp; Fabrication Total</t>
  </si>
  <si>
    <t>Duarte Nursery</t>
  </si>
  <si>
    <t>Duarte Microsoft 365</t>
  </si>
  <si>
    <t>176487</t>
  </si>
  <si>
    <t>Duarte Nursery Total</t>
  </si>
  <si>
    <t>Dust Bowl Brewing Company</t>
  </si>
  <si>
    <t>Dustbowl Microsoft 365</t>
  </si>
  <si>
    <t>176488</t>
  </si>
  <si>
    <t>Dust Bowl Brewing Company Total</t>
  </si>
  <si>
    <t>Eastern Sierra USD</t>
  </si>
  <si>
    <t>176489</t>
  </si>
  <si>
    <t>Eastern Sierra USD Total</t>
  </si>
  <si>
    <t>Empire Union School District</t>
  </si>
  <si>
    <t>Empire USD - Streamline IT Ticketing System 24/25</t>
  </si>
  <si>
    <t>176491</t>
  </si>
  <si>
    <t>176490</t>
  </si>
  <si>
    <t>176492</t>
  </si>
  <si>
    <t>Empire Union School District Total</t>
  </si>
  <si>
    <t>Fabricated Extrusion Company</t>
  </si>
  <si>
    <t>24/27 Cloud - Private</t>
  </si>
  <si>
    <t>176494</t>
  </si>
  <si>
    <t>176493</t>
  </si>
  <si>
    <t>24/27 Recurring Resale - MSP</t>
  </si>
  <si>
    <t>24/27 Recurring Resale - Security</t>
  </si>
  <si>
    <t>24/27 T-Services-MSP</t>
  </si>
  <si>
    <t>Fabricated Extrusion Company Total</t>
  </si>
  <si>
    <t>Field Van, Inc</t>
  </si>
  <si>
    <t>176430</t>
  </si>
  <si>
    <t>Field Van, Inc Total</t>
  </si>
  <si>
    <t>Fiscalini Farmstead</t>
  </si>
  <si>
    <t>176495</t>
  </si>
  <si>
    <t>Fiscalini Farmstead Total</t>
  </si>
  <si>
    <t>Formulation Technology, Inc.</t>
  </si>
  <si>
    <t>Formulation Tech Microsoft 365</t>
  </si>
  <si>
    <t>176496</t>
  </si>
  <si>
    <t>Formation-Managed</t>
  </si>
  <si>
    <t>Formulation Technology, Inc. Total</t>
  </si>
  <si>
    <t>Fortune-Ratliff General Contractors, Inc.</t>
  </si>
  <si>
    <t>176431</t>
  </si>
  <si>
    <t>Fortune-Ratliff General Contractors, Inc. Total</t>
  </si>
  <si>
    <t>Free Wheelchair Mission</t>
  </si>
  <si>
    <t>176760</t>
  </si>
  <si>
    <t>Free Wheelchair Mission Total</t>
  </si>
  <si>
    <t>Gill Ranch Storage, LLC</t>
  </si>
  <si>
    <t>176432</t>
  </si>
  <si>
    <t>Gill Ranch Storage, LLC Total</t>
  </si>
  <si>
    <t>Graceada Partners</t>
  </si>
  <si>
    <t>Microsoft 365 - 520-530 9th Street</t>
  </si>
  <si>
    <t>176698</t>
  </si>
  <si>
    <t>Microsoft 365 - Carson Aire</t>
  </si>
  <si>
    <t>176692</t>
  </si>
  <si>
    <t>Microsoft 365 - Cedar Oaks</t>
  </si>
  <si>
    <t>176695</t>
  </si>
  <si>
    <t>Microsoft 365 - College Park</t>
  </si>
  <si>
    <t>176696</t>
  </si>
  <si>
    <t>Microsoft 365 - La Loma</t>
  </si>
  <si>
    <t>176697</t>
  </si>
  <si>
    <t>Microsoft 365 - Main</t>
  </si>
  <si>
    <t>176688</t>
  </si>
  <si>
    <t>Microsoft 365 - Stoneybrook</t>
  </si>
  <si>
    <t>176690</t>
  </si>
  <si>
    <t>Microsoft 365 - Sundance</t>
  </si>
  <si>
    <t>176699</t>
  </si>
  <si>
    <t>Microsoft 365 - The Lofts</t>
  </si>
  <si>
    <t>176689</t>
  </si>
  <si>
    <t>Microsoft 365 - Tyner Ranch</t>
  </si>
  <si>
    <t>176691</t>
  </si>
  <si>
    <t>Microsoft 365 - Vantage Point</t>
  </si>
  <si>
    <t>176693</t>
  </si>
  <si>
    <t>Microsoft 365 - Willows</t>
  </si>
  <si>
    <t>176694</t>
  </si>
  <si>
    <t>Recurring Resale - MSP - Carson Aire</t>
  </si>
  <si>
    <t>Recurring Resale - MSP - Cedar Oaks Apartments</t>
  </si>
  <si>
    <t>Recurring Resale - MSP - Main</t>
  </si>
  <si>
    <t>Recurring Resale - MSP - The Willows</t>
  </si>
  <si>
    <t>Recurring Resale - MSP - Tyner Ranch</t>
  </si>
  <si>
    <t>Recurring Resale - MSP -Stoneybrook Apartments</t>
  </si>
  <si>
    <t>Recurring Resale - MSP -The Lofts</t>
  </si>
  <si>
    <t>Recurring Resale - MSP -Vantage Point Apartments</t>
  </si>
  <si>
    <t>Recurring Resale - Security - Carson Aire</t>
  </si>
  <si>
    <t>Recurring Resale - Security - Main</t>
  </si>
  <si>
    <t>Recurring Resale - Security - The Lofts</t>
  </si>
  <si>
    <t>Recurring Resale - Security - Tyner Ranch</t>
  </si>
  <si>
    <t>Recurring Resale - Security - Vantage Point Apartments</t>
  </si>
  <si>
    <t>Recurring Resale - Security -Cedar Oaks Apartments</t>
  </si>
  <si>
    <t>Recurring Resale - Security -Stoneybrook Apartments</t>
  </si>
  <si>
    <t>Recurring Resale - Security -the Willows</t>
  </si>
  <si>
    <t>T-Services-MSP - Carson Aire</t>
  </si>
  <si>
    <t>T-Services-MSP - Cedar Oaks Apartments</t>
  </si>
  <si>
    <t>T-Services-MSP - Main</t>
  </si>
  <si>
    <t>T-Services-MSP -Stoneybrook Apartments</t>
  </si>
  <si>
    <t>T-Services-MSP -The Willows</t>
  </si>
  <si>
    <t>T-Services-MSP -Tyner Ranch</t>
  </si>
  <si>
    <t>T-Services-MSP -Vantage Point Apartments</t>
  </si>
  <si>
    <t>T-Services-MSP-The Lofts</t>
  </si>
  <si>
    <t>T-Services-MSP-Main</t>
  </si>
  <si>
    <t>T-Services-MSP-Carson Aire</t>
  </si>
  <si>
    <t>T-Services-MSP-Tyner Ranch</t>
  </si>
  <si>
    <t>Graceada Partners Total</t>
  </si>
  <si>
    <t>Variable Licenses</t>
  </si>
  <si>
    <t>Gratton Elementary School District</t>
  </si>
  <si>
    <t>176497</t>
  </si>
  <si>
    <t>Gratton-Managed</t>
  </si>
  <si>
    <t>Gratton Elementary School District Total</t>
  </si>
  <si>
    <t>Hall Management Corp</t>
  </si>
  <si>
    <t>Cloud - Private 2025/28</t>
  </si>
  <si>
    <t>176433</t>
  </si>
  <si>
    <t>Recurring Resale - MSP 2025/28</t>
  </si>
  <si>
    <t>Recurring Resale - Security 2025/28</t>
  </si>
  <si>
    <t>T-Services-MSP 2025/28</t>
  </si>
  <si>
    <t>Hall Management Corp Total</t>
  </si>
  <si>
    <t>Hercules OEM Group</t>
  </si>
  <si>
    <t>Hercules Cloud - Private</t>
  </si>
  <si>
    <t>176761</t>
  </si>
  <si>
    <t>Hercules OEM Group Microsoft 365</t>
  </si>
  <si>
    <t>All Seals Intermedia</t>
  </si>
  <si>
    <t>Hercules OEM Group Managed Services</t>
  </si>
  <si>
    <t>Hercules OEM Group Total</t>
  </si>
  <si>
    <t>HHHC</t>
  </si>
  <si>
    <t>176498</t>
  </si>
  <si>
    <t>HHHC Total</t>
  </si>
  <si>
    <t>Hogan Manufacturing</t>
  </si>
  <si>
    <t>Hogan-VOIP ONLY</t>
  </si>
  <si>
    <t>176499</t>
  </si>
  <si>
    <t>Hogan Manufacturing Total</t>
  </si>
  <si>
    <t>Horizon Nut Company</t>
  </si>
  <si>
    <t>Horizon Nut Microsoft 365</t>
  </si>
  <si>
    <t>176500</t>
  </si>
  <si>
    <t>Horizon Nut Managed Services</t>
  </si>
  <si>
    <t>Horizon Nut Company Total</t>
  </si>
  <si>
    <t>Impact Home Health</t>
  </si>
  <si>
    <t>176501</t>
  </si>
  <si>
    <t>176703</t>
  </si>
  <si>
    <t>Impact Home Health Total</t>
  </si>
  <si>
    <t>Inland Star Distribution Center - Carson</t>
  </si>
  <si>
    <t>Inland CARSON - Managed Service - NO End User Support</t>
  </si>
  <si>
    <t>176434</t>
  </si>
  <si>
    <t>Inland Star Distribution Center - Carson Total</t>
  </si>
  <si>
    <t>Inland Star Distribution Center - Corporate</t>
  </si>
  <si>
    <t>Inland CORPORATE - Managed Service - NO End User Support</t>
  </si>
  <si>
    <t>176435</t>
  </si>
  <si>
    <t>Inland Star Distribution Center - Corporate Total</t>
  </si>
  <si>
    <t>Inland Star Distribution Center - Fresno</t>
  </si>
  <si>
    <t>176436</t>
  </si>
  <si>
    <t>Inland Star - Managed Service - NO End User Support</t>
  </si>
  <si>
    <t>Inland Star Distribution Center - Fresno Total</t>
  </si>
  <si>
    <t>Inland Star Distribution Center - Visalia</t>
  </si>
  <si>
    <t>Inland Visalia Managed Service - NO End User Support</t>
  </si>
  <si>
    <t>176437</t>
  </si>
  <si>
    <t>Inland Star Distribution Center - Visalia Total</t>
  </si>
  <si>
    <t>Irvine Invoice Accruals</t>
  </si>
  <si>
    <t>Irvine Invoice Accruals Total</t>
  </si>
  <si>
    <t>JEM Management Corporation</t>
  </si>
  <si>
    <t>JEM Microsoft 365</t>
  </si>
  <si>
    <t>176438</t>
  </si>
  <si>
    <t>JEM Management Support360</t>
  </si>
  <si>
    <t>JEM Management Corporation Total</t>
  </si>
  <si>
    <t>John Potter Specialty Foods, Inc.</t>
  </si>
  <si>
    <t>176502</t>
  </si>
  <si>
    <t>John Potter Microsoft 365</t>
  </si>
  <si>
    <t>John Potter Specialty Foods, Inc. Total</t>
  </si>
  <si>
    <t>Kaplan &amp; Trombi</t>
  </si>
  <si>
    <t>176762</t>
  </si>
  <si>
    <t>Kaplan &amp; Trombi Total</t>
  </si>
  <si>
    <t>Keen Care</t>
  </si>
  <si>
    <t>Microsoft 365 NCE</t>
  </si>
  <si>
    <t>176504</t>
  </si>
  <si>
    <t>176503</t>
  </si>
  <si>
    <t>Keen Care Total</t>
  </si>
  <si>
    <t>Keyes Union School District</t>
  </si>
  <si>
    <t>176506</t>
  </si>
  <si>
    <t>Keyes USD-Managed</t>
  </si>
  <si>
    <t>176505</t>
  </si>
  <si>
    <t>Keyes Union School District Total</t>
  </si>
  <si>
    <t>Laguna Tools</t>
  </si>
  <si>
    <t>Laguna Tools Cloud Services</t>
  </si>
  <si>
    <t>176763</t>
  </si>
  <si>
    <t>Laguna Tools Microsoft 365</t>
  </si>
  <si>
    <t>Laguna Tools Total</t>
  </si>
  <si>
    <t>Life Improvement Homecare, Inc.</t>
  </si>
  <si>
    <t>Recurring Resale - Microsoft 365 NCE - Monthly</t>
  </si>
  <si>
    <t>176508</t>
  </si>
  <si>
    <t>176507</t>
  </si>
  <si>
    <t>Life Improvement Homecare, Inc. Total</t>
  </si>
  <si>
    <t>Line-Mobility</t>
  </si>
  <si>
    <t>176509</t>
  </si>
  <si>
    <t>Line-Mobility Total</t>
  </si>
  <si>
    <t>Linwood Engineering Associates</t>
  </si>
  <si>
    <t>176764</t>
  </si>
  <si>
    <t>Linwood Engineering Associates Total</t>
  </si>
  <si>
    <t>Lucia Mar Unified School District</t>
  </si>
  <si>
    <t>176511</t>
  </si>
  <si>
    <t>VOIP Support</t>
  </si>
  <si>
    <t>176510</t>
  </si>
  <si>
    <t>Lucia Mar Unified School District Total</t>
  </si>
  <si>
    <t>Madera County Transportation Commission</t>
  </si>
  <si>
    <t>176439</t>
  </si>
  <si>
    <t>Madera County Transportation Microsoft 365</t>
  </si>
  <si>
    <t>Madera Transport Support360</t>
  </si>
  <si>
    <t>Madera County Transportation Commission Total</t>
  </si>
  <si>
    <t>MedTech Billing Services</t>
  </si>
  <si>
    <t>Microsoft NCE</t>
  </si>
  <si>
    <t>176513</t>
  </si>
  <si>
    <t>176512</t>
  </si>
  <si>
    <t>MedTech Billing Services Total</t>
  </si>
  <si>
    <t>Modiv</t>
  </si>
  <si>
    <t>176765</t>
  </si>
  <si>
    <t>MODIV Managed IT  month to month</t>
  </si>
  <si>
    <t>Modiv Total</t>
  </si>
  <si>
    <t>Monte Vista Small Animal Hospital</t>
  </si>
  <si>
    <t>176514</t>
  </si>
  <si>
    <t>Monte Vista Small Animal Hospital Total</t>
  </si>
  <si>
    <t>Newman-Crows Landing USD</t>
  </si>
  <si>
    <t>176515</t>
  </si>
  <si>
    <t>176516</t>
  </si>
  <si>
    <t>Newman-Crows Landing USD Total</t>
  </si>
  <si>
    <t>Nyansa Learning Corporation</t>
  </si>
  <si>
    <t>176766</t>
  </si>
  <si>
    <t>Nyansa Learning Corporation Total</t>
  </si>
  <si>
    <t>Oliveira Wealth</t>
  </si>
  <si>
    <t>176517</t>
  </si>
  <si>
    <t>Oliveira Wealth Total</t>
  </si>
  <si>
    <t>Orange County Human Relations</t>
  </si>
  <si>
    <t>176767</t>
  </si>
  <si>
    <t>Orange County Human Relations Total</t>
  </si>
  <si>
    <t>Panoche Energy Center</t>
  </si>
  <si>
    <t>176440</t>
  </si>
  <si>
    <t>Panoche Energy Center Total</t>
  </si>
  <si>
    <t>Pasco</t>
  </si>
  <si>
    <t>176518</t>
  </si>
  <si>
    <t>Pasco Total</t>
  </si>
  <si>
    <t>Peak Real Estate Management LLC</t>
  </si>
  <si>
    <t>176768</t>
  </si>
  <si>
    <t>Peak Real Estate Management LLC Total</t>
  </si>
  <si>
    <t>Pearl's Hope</t>
  </si>
  <si>
    <t>176520</t>
  </si>
  <si>
    <t>176519</t>
  </si>
  <si>
    <t>Pearl's Hope Total</t>
  </si>
  <si>
    <t>PeopleCare Health Services</t>
  </si>
  <si>
    <t>176521</t>
  </si>
  <si>
    <t>PeopleCare Health Services Total</t>
  </si>
  <si>
    <t>Primetime Escrow</t>
  </si>
  <si>
    <t>176769</t>
  </si>
  <si>
    <t>Primetime Escrow Total</t>
  </si>
  <si>
    <t>Project Hope Alliance</t>
  </si>
  <si>
    <t>176771</t>
  </si>
  <si>
    <t>176770</t>
  </si>
  <si>
    <t>Project Hope Alliance Total</t>
  </si>
  <si>
    <t>Quality Home Services</t>
  </si>
  <si>
    <t>176441</t>
  </si>
  <si>
    <t>Quality Home Services Total</t>
  </si>
  <si>
    <t>REMAX Executive</t>
  </si>
  <si>
    <t>Remax Microsoft 365</t>
  </si>
  <si>
    <t>176522</t>
  </si>
  <si>
    <t>REMAX - Managed Services</t>
  </si>
  <si>
    <t>REMAX Executive Total</t>
  </si>
  <si>
    <t>River Delta USD</t>
  </si>
  <si>
    <t>176523</t>
  </si>
  <si>
    <t>Recurring Resale - MSP 24/25</t>
  </si>
  <si>
    <t>176525</t>
  </si>
  <si>
    <t>176524</t>
  </si>
  <si>
    <t>River Delta-Managed</t>
  </si>
  <si>
    <t>River Delta USD Total</t>
  </si>
  <si>
    <t>Rizo Lopez Foods</t>
  </si>
  <si>
    <t>176526</t>
  </si>
  <si>
    <t>Rizo Foods-Managed</t>
  </si>
  <si>
    <t>Rizo Lopez Foods Total</t>
  </si>
  <si>
    <t>Rumiano Cheese Company</t>
  </si>
  <si>
    <t>176527</t>
  </si>
  <si>
    <t>Rumiano Cheese Company Total</t>
  </si>
  <si>
    <t>Samaritan Village</t>
  </si>
  <si>
    <t>176528</t>
  </si>
  <si>
    <t>Samaritan Managed Services</t>
  </si>
  <si>
    <t>Samaritan Village Total</t>
  </si>
  <si>
    <t>Sargent &amp; Bryan, Inc</t>
  </si>
  <si>
    <t>176529</t>
  </si>
  <si>
    <t>Sargent &amp; Bryan Support360</t>
  </si>
  <si>
    <t>Sargent &amp; Bryan, Inc Total</t>
  </si>
  <si>
    <t>Satake USA</t>
  </si>
  <si>
    <t>24/25 Cloud - Private</t>
  </si>
  <si>
    <t>176530</t>
  </si>
  <si>
    <t>Satake- Managed</t>
  </si>
  <si>
    <t>Satake USA Total</t>
  </si>
  <si>
    <t>Sconza Candy Company</t>
  </si>
  <si>
    <t>176531</t>
  </si>
  <si>
    <t>Sconza Candy Managed Services</t>
  </si>
  <si>
    <t>Sconza Candy Company Total</t>
  </si>
  <si>
    <t>Shiloh Elementary School District</t>
  </si>
  <si>
    <t>176532</t>
  </si>
  <si>
    <t>Shiloh-Managed</t>
  </si>
  <si>
    <t>Shiloh Elementary School District Total</t>
  </si>
  <si>
    <t>Spring Creek Golf &amp; Country Club</t>
  </si>
  <si>
    <t>Spring Creek Microsoft 365</t>
  </si>
  <si>
    <t>176533</t>
  </si>
  <si>
    <t>Spring Creek-Managed</t>
  </si>
  <si>
    <t>Spring Creek Golf &amp; Country Club Total</t>
  </si>
  <si>
    <t>St Lukes Family Practice</t>
  </si>
  <si>
    <t>St. Luke's Family Practice Microsoft 365</t>
  </si>
  <si>
    <t>176534</t>
  </si>
  <si>
    <t>St Lukes-Managed</t>
  </si>
  <si>
    <t>St. Lukes Security Services</t>
  </si>
  <si>
    <t>St Lukes Family Practice Total</t>
  </si>
  <si>
    <t>Stanislaus Union School District</t>
  </si>
  <si>
    <t>Backups</t>
  </si>
  <si>
    <t>176537</t>
  </si>
  <si>
    <t>Remote Software</t>
  </si>
  <si>
    <t>176535</t>
  </si>
  <si>
    <t>176538</t>
  </si>
  <si>
    <t>MSA Stanislaus USD</t>
  </si>
  <si>
    <t>176536</t>
  </si>
  <si>
    <t>Stanislaus Union School District Total</t>
  </si>
  <si>
    <t>Stewart &amp; Jasper</t>
  </si>
  <si>
    <t>Microsoft 365 NCE - Jasper Foods</t>
  </si>
  <si>
    <t>176539</t>
  </si>
  <si>
    <t>Stewart &amp; Jasper Microsoft 365</t>
  </si>
  <si>
    <t>Stewart &amp; Jasper Total</t>
  </si>
  <si>
    <t>SVH Law</t>
  </si>
  <si>
    <t>176540</t>
  </si>
  <si>
    <t>SVH Law Total</t>
  </si>
  <si>
    <t>Sylvan Union School District</t>
  </si>
  <si>
    <t>176542</t>
  </si>
  <si>
    <t>176543</t>
  </si>
  <si>
    <t>2525Sylvan VOIP Managed</t>
  </si>
  <si>
    <t>176541</t>
  </si>
  <si>
    <t>Sylvan Union Security</t>
  </si>
  <si>
    <t>Sylvan Union School District Total</t>
  </si>
  <si>
    <t>176545</t>
  </si>
  <si>
    <t>Albert Einstein Academy of Ohio Total</t>
  </si>
  <si>
    <t>TCB Industrial Total</t>
  </si>
  <si>
    <t>Team Risk Management Strategies</t>
  </si>
  <si>
    <t>176546</t>
  </si>
  <si>
    <t>Team Risk Management Strategies Total</t>
  </si>
  <si>
    <t>Terra Linda Farms</t>
  </si>
  <si>
    <t>176442</t>
  </si>
  <si>
    <t>Terra Linda Farms Total</t>
  </si>
  <si>
    <t>Tri-Dam Project</t>
  </si>
  <si>
    <t>March is the last month</t>
  </si>
  <si>
    <t xml:space="preserve">Agreement Ended </t>
  </si>
  <si>
    <t>Tri-Dam Project Total</t>
  </si>
  <si>
    <t>Trumark Companies</t>
  </si>
  <si>
    <t>Trumark Companies Cloud Services</t>
  </si>
  <si>
    <t>176772</t>
  </si>
  <si>
    <t>Trumark Microsoft 365</t>
  </si>
  <si>
    <t>Trumark Companies Total</t>
  </si>
  <si>
    <t>United Way of Stanislaus County</t>
  </si>
  <si>
    <t>176547</t>
  </si>
  <si>
    <t>United Way of Stanislaus County Total</t>
  </si>
  <si>
    <t>Valley Iron</t>
  </si>
  <si>
    <t>Recurring Resale - Microsoft 365 NCE 25/26</t>
  </si>
  <si>
    <t>176823</t>
  </si>
  <si>
    <t>Recurring Resale - MSP 25/26</t>
  </si>
  <si>
    <t>Recurring Resale - Security 25/26</t>
  </si>
  <si>
    <t>T-Services-MSP 25/26</t>
  </si>
  <si>
    <t>Valley Iron Total</t>
  </si>
  <si>
    <t>Valley Urology</t>
  </si>
  <si>
    <t>176444</t>
  </si>
  <si>
    <t>Valley Urology Support360</t>
  </si>
  <si>
    <t>Valley Urology Total</t>
  </si>
  <si>
    <t>Vie-Del Company</t>
  </si>
  <si>
    <t>176445</t>
  </si>
  <si>
    <t>Vie-Del Company Total</t>
  </si>
  <si>
    <t>Vital Care Solutions</t>
  </si>
  <si>
    <t>176548</t>
  </si>
  <si>
    <t>Vital Care Solutions Total</t>
  </si>
  <si>
    <t>Warden's</t>
  </si>
  <si>
    <t>176549</t>
  </si>
  <si>
    <t>Warden's Total</t>
  </si>
  <si>
    <t>Warren &amp; Baerg Manufacturing, Inc.</t>
  </si>
  <si>
    <t>Warren &amp; Baerg Microsoft 365</t>
  </si>
  <si>
    <t>176446</t>
  </si>
  <si>
    <t>Warren &amp; Baerg Support360</t>
  </si>
  <si>
    <t>Warren &amp; Baerg Manufacturing, Inc. Total</t>
  </si>
  <si>
    <t>Weakley &amp; Arendt, LLP</t>
  </si>
  <si>
    <t>Weakley &amp; Arendt Microsoft 365</t>
  </si>
  <si>
    <t>176447</t>
  </si>
  <si>
    <t>Weakley Security Agreement</t>
  </si>
  <si>
    <t>Weakley &amp; Arendt, LLP Support360</t>
  </si>
  <si>
    <t>Weakley &amp; Arendt, LLP Total</t>
  </si>
  <si>
    <t>Western Steel Buildings</t>
  </si>
  <si>
    <t>176550</t>
  </si>
  <si>
    <t>Western Steel Buildings Total</t>
  </si>
  <si>
    <t>Westmark Incorporated</t>
  </si>
  <si>
    <t>Cloud - Private 2023-2027</t>
  </si>
  <si>
    <t>176551</t>
  </si>
  <si>
    <t>West-Mark Inc Managed Services</t>
  </si>
  <si>
    <t>Westmark Incorporated Total</t>
  </si>
  <si>
    <t>Winton-Ireland, Strom &amp; Green</t>
  </si>
  <si>
    <t>176552</t>
  </si>
  <si>
    <t>Winton-Ireland, Strom &amp; Green Total</t>
  </si>
  <si>
    <t>Your Escrow Company</t>
  </si>
  <si>
    <t>176773</t>
  </si>
  <si>
    <t>Your Escrow Company Total</t>
  </si>
  <si>
    <t>CA Total</t>
  </si>
  <si>
    <t>OH</t>
  </si>
  <si>
    <t>Albert Einstein Academy of Ohio</t>
  </si>
  <si>
    <t>176592OH</t>
  </si>
  <si>
    <t>Managed Security &amp; Voip removed</t>
  </si>
  <si>
    <t>Arts and College Preparatory Academy</t>
  </si>
  <si>
    <t>T-Erate-MIBS-USAC Percentage</t>
  </si>
  <si>
    <t>2024/25  T-Erate-MIBS-USAC Percentage</t>
  </si>
  <si>
    <t>176564OH</t>
  </si>
  <si>
    <t>Anna LSD</t>
  </si>
  <si>
    <t>Erate-MIBS-School Percentage</t>
  </si>
  <si>
    <t>2024/25 MIBS ERATE - School</t>
  </si>
  <si>
    <t>176639OH</t>
  </si>
  <si>
    <t>Anna LSD Total</t>
  </si>
  <si>
    <t>Arcanum Butler Local School District</t>
  </si>
  <si>
    <t>Network and Server Support MSC 2024/25</t>
  </si>
  <si>
    <t>176593OH</t>
  </si>
  <si>
    <t>Arcanum Butler Local School District Total</t>
  </si>
  <si>
    <t>2024/25 Erate-MIBS-School Percentage</t>
  </si>
  <si>
    <t>176640OH</t>
  </si>
  <si>
    <t>Recurring Resale - MSP 23/26</t>
  </si>
  <si>
    <t>176594OH</t>
  </si>
  <si>
    <t>Recurring Resale - Security 23/26</t>
  </si>
  <si>
    <t>City Day Community School</t>
  </si>
  <si>
    <t>176642OH</t>
  </si>
  <si>
    <t>T-Services-MSP 23/26</t>
  </si>
  <si>
    <t>Arts and College Preparatory Academy Total</t>
  </si>
  <si>
    <t>Caldwell Exempted Village</t>
  </si>
  <si>
    <t>176641OH</t>
  </si>
  <si>
    <t>2024/25 T-Erate-MIBS-USAC Percentage</t>
  </si>
  <si>
    <t>176565OH</t>
  </si>
  <si>
    <t>T-Services-MSP 2025 Camera</t>
  </si>
  <si>
    <t>176595OH</t>
  </si>
  <si>
    <t>T-Services-MSP VoIP</t>
  </si>
  <si>
    <t>176596OH</t>
  </si>
  <si>
    <t>Caldwell Exempted Village Total</t>
  </si>
  <si>
    <t>Columbus Preparatory Academy</t>
  </si>
  <si>
    <t>176567OH</t>
  </si>
  <si>
    <t>176597OH</t>
  </si>
  <si>
    <t>176566OH</t>
  </si>
  <si>
    <t>Managed Services 2024/27</t>
  </si>
  <si>
    <t>City Day Community School Total</t>
  </si>
  <si>
    <t>2024/25 -MIBS-School Percentage</t>
  </si>
  <si>
    <t>176643OH</t>
  </si>
  <si>
    <t>176675OH</t>
  </si>
  <si>
    <t>Cristo Rey High School</t>
  </si>
  <si>
    <t>Managed Services 2024/25</t>
  </si>
  <si>
    <t>176598OH</t>
  </si>
  <si>
    <t>Columbus Preparatory Academy Total</t>
  </si>
  <si>
    <t>Chromebook ADP Managed Services</t>
  </si>
  <si>
    <t>24/25 Chromebook ADP Managed Services -2</t>
  </si>
  <si>
    <t>176668OH</t>
  </si>
  <si>
    <t>176644OH</t>
  </si>
  <si>
    <t>176568OH</t>
  </si>
  <si>
    <t>2018/2026 VOIP</t>
  </si>
  <si>
    <t>176599OH</t>
  </si>
  <si>
    <t>East Muskingum School District</t>
  </si>
  <si>
    <t>176674OH</t>
  </si>
  <si>
    <t>Cristo Rey High School Total</t>
  </si>
  <si>
    <t>Dayton SMART Elementary</t>
  </si>
  <si>
    <t>176600OH</t>
  </si>
  <si>
    <t>Dayton SMART Elementary Total</t>
  </si>
  <si>
    <t>East Dayton Christian</t>
  </si>
  <si>
    <t>176601OH</t>
  </si>
  <si>
    <t>East Dayton Christian Total</t>
  </si>
  <si>
    <t>Explorers Academy of Science and Tech</t>
  </si>
  <si>
    <t>Voice Services 2024/25</t>
  </si>
  <si>
    <t>176604OH</t>
  </si>
  <si>
    <t>176602OH</t>
  </si>
  <si>
    <t>East Muskingum School District Total</t>
  </si>
  <si>
    <t>Energility LLC</t>
  </si>
  <si>
    <t>176603OH</t>
  </si>
  <si>
    <t>2021/23 MSC</t>
  </si>
  <si>
    <t>Energility LLC Total</t>
  </si>
  <si>
    <t>176645OH</t>
  </si>
  <si>
    <t>176569OH</t>
  </si>
  <si>
    <t>Focus Learning Academy of Central Col Total</t>
  </si>
  <si>
    <t>Explorers Academy of Science and Tech Total</t>
  </si>
  <si>
    <t>Focus Learning Academy North</t>
  </si>
  <si>
    <t>176605OH</t>
  </si>
  <si>
    <t>Focus Learning Academy North Total</t>
  </si>
  <si>
    <t>Focus Learning Academy of Central Col</t>
  </si>
  <si>
    <t>2024/25  Erate-MIBS-School Percentage</t>
  </si>
  <si>
    <t>176646OH</t>
  </si>
  <si>
    <t>2/25 T-Erate-MIBS-USAC Percentage</t>
  </si>
  <si>
    <t>176570OH</t>
  </si>
  <si>
    <t>Global Ambassadors Language Academy</t>
  </si>
  <si>
    <t>176607OH</t>
  </si>
  <si>
    <t>Franklinton High School</t>
  </si>
  <si>
    <t>24/25 Recurring Resale - MSP</t>
  </si>
  <si>
    <t>176606OH</t>
  </si>
  <si>
    <t>24/25 Recurring Resale - Security</t>
  </si>
  <si>
    <t>24/25 T-Services-MSP</t>
  </si>
  <si>
    <t>Franklinton High School Total</t>
  </si>
  <si>
    <t>176647OH</t>
  </si>
  <si>
    <t>Holowicki Enterprises</t>
  </si>
  <si>
    <t>Managed Security Marysville #28775</t>
  </si>
  <si>
    <t>176612OH</t>
  </si>
  <si>
    <t>176571OH</t>
  </si>
  <si>
    <t>2023/2025 MSC</t>
  </si>
  <si>
    <t>Global Ambassadors Language Academy Total</t>
  </si>
  <si>
    <t>Managed Security - Britton Store #35696</t>
  </si>
  <si>
    <t>176608OH</t>
  </si>
  <si>
    <t>Managed Security - Renner Store #11490</t>
  </si>
  <si>
    <t>176609OH</t>
  </si>
  <si>
    <t>Managed Security Avery Store #15746</t>
  </si>
  <si>
    <t>176611OH</t>
  </si>
  <si>
    <t>Managed Security Hillard #2466</t>
  </si>
  <si>
    <t>176613OH</t>
  </si>
  <si>
    <t>Managed Security West Jefferson Store #22386</t>
  </si>
  <si>
    <t>176610OH</t>
  </si>
  <si>
    <t>Holowicki Enterprises Total</t>
  </si>
  <si>
    <t>Imagine Akron Academy</t>
  </si>
  <si>
    <t>176648OH</t>
  </si>
  <si>
    <t>176572OH</t>
  </si>
  <si>
    <t>Imagine Akron Academy Total</t>
  </si>
  <si>
    <t>Imagine Bella Academy of Excellence</t>
  </si>
  <si>
    <t>176649OH</t>
  </si>
  <si>
    <t>176614OH</t>
  </si>
  <si>
    <t>176573OH</t>
  </si>
  <si>
    <t>T-Services-MSP 2024/2025</t>
  </si>
  <si>
    <t>Imagine Bella Academy of Excellence Total</t>
  </si>
  <si>
    <t>Imagine Columbus Primary Academy</t>
  </si>
  <si>
    <t>176650OH</t>
  </si>
  <si>
    <t>176615OH</t>
  </si>
  <si>
    <t>Recurring Resale - Security 24/25</t>
  </si>
  <si>
    <t>176574OH</t>
  </si>
  <si>
    <t>Managed Services 24/25</t>
  </si>
  <si>
    <t>Imagine Columbus Primary Academy Total</t>
  </si>
  <si>
    <t>Imagine Great Western Academy</t>
  </si>
  <si>
    <t>176616OH</t>
  </si>
  <si>
    <t>Recurring Resale - Security 2024</t>
  </si>
  <si>
    <t>2021/2023 MSC</t>
  </si>
  <si>
    <t>Imagine Great Western Academy Total</t>
  </si>
  <si>
    <t>Imagine Groveport Community School</t>
  </si>
  <si>
    <t>176651OH</t>
  </si>
  <si>
    <t>176617OH</t>
  </si>
  <si>
    <t>176575OH</t>
  </si>
  <si>
    <t>Imagine Groveport Community School Total</t>
  </si>
  <si>
    <t>Imagine Klepinger Rd</t>
  </si>
  <si>
    <t>176652OH</t>
  </si>
  <si>
    <t>176618OH</t>
  </si>
  <si>
    <t>176576OH</t>
  </si>
  <si>
    <t>Imagine Klepinger Rd Total</t>
  </si>
  <si>
    <t>Imagine Leadership Academy</t>
  </si>
  <si>
    <t>176653OH</t>
  </si>
  <si>
    <t>176619OH</t>
  </si>
  <si>
    <t>176577OH</t>
  </si>
  <si>
    <t>Imagine Leadership Academy Total</t>
  </si>
  <si>
    <t>Imagine Madison Ave</t>
  </si>
  <si>
    <t>Erate-MIBS-School Percentage 24/25 - School %</t>
  </si>
  <si>
    <t>176654OH</t>
  </si>
  <si>
    <t>176620OH</t>
  </si>
  <si>
    <t>T-Erate-MIBS-USAC Percentage 24/25</t>
  </si>
  <si>
    <t>176578OH</t>
  </si>
  <si>
    <t>Imagine Madison Ave Total</t>
  </si>
  <si>
    <t>Imagine Sullivant</t>
  </si>
  <si>
    <t>176655OH</t>
  </si>
  <si>
    <t>176621OH</t>
  </si>
  <si>
    <t>176579OH</t>
  </si>
  <si>
    <t>Imagine Sullivant Total</t>
  </si>
  <si>
    <t>Invictus HS</t>
  </si>
  <si>
    <t>176656OH</t>
  </si>
  <si>
    <t>176622OH</t>
  </si>
  <si>
    <t>2024/25 -Erate-MIBS-USAC Percentage</t>
  </si>
  <si>
    <t>176580OH</t>
  </si>
  <si>
    <t>24 to 27 T-Services-MSP</t>
  </si>
  <si>
    <t>Invictus HS Total</t>
  </si>
  <si>
    <t>LHollingworth</t>
  </si>
  <si>
    <t>Chromebook ADP Managed Services 24/27</t>
  </si>
  <si>
    <t>176623OH</t>
  </si>
  <si>
    <t>Managed Services 24/27</t>
  </si>
  <si>
    <t>LHollingworth Total</t>
  </si>
  <si>
    <t>Luther Memorial</t>
  </si>
  <si>
    <t>176624OH</t>
  </si>
  <si>
    <t>Luther Memorial Total</t>
  </si>
  <si>
    <t>Lutheran High School East</t>
  </si>
  <si>
    <t>2011/23 VOIP Agreement.</t>
  </si>
  <si>
    <t>176686OH</t>
  </si>
  <si>
    <t>There was a credit memo issued in Feb for duplicate billing</t>
  </si>
  <si>
    <t>Lutheran High School East Total</t>
  </si>
  <si>
    <t>Madison Plains LSD</t>
  </si>
  <si>
    <t>176657OH</t>
  </si>
  <si>
    <t>176581OH</t>
  </si>
  <si>
    <t>Madison Plains LSD Total</t>
  </si>
  <si>
    <t>Main St. Academy</t>
  </si>
  <si>
    <t>2021/26 MIBS ERATE - School</t>
  </si>
  <si>
    <t>176658OH</t>
  </si>
  <si>
    <t>176582OH</t>
  </si>
  <si>
    <t>Main St. Academy Total</t>
  </si>
  <si>
    <t>Menlo Park Academy</t>
  </si>
  <si>
    <t>176659OH</t>
  </si>
  <si>
    <t>176583OH</t>
  </si>
  <si>
    <t>Menlo Park Academy Total</t>
  </si>
  <si>
    <t>Miami East Local Schools</t>
  </si>
  <si>
    <t>176660OH</t>
  </si>
  <si>
    <t>176584OH</t>
  </si>
  <si>
    <t>Miami East Local Schools Total</t>
  </si>
  <si>
    <t>Millennium Comm School</t>
  </si>
  <si>
    <t>176673OH</t>
  </si>
  <si>
    <t>Security Services</t>
  </si>
  <si>
    <t>176670OH</t>
  </si>
  <si>
    <t>2022/2024 MSC</t>
  </si>
  <si>
    <t>176625OH</t>
  </si>
  <si>
    <t>Millennium Comm School Total</t>
  </si>
  <si>
    <t>North Shore High School</t>
  </si>
  <si>
    <t>176661OH</t>
  </si>
  <si>
    <t>176626OH</t>
  </si>
  <si>
    <t>176585OH</t>
  </si>
  <si>
    <t>North Shore High School Total</t>
  </si>
  <si>
    <t>Par Excellence Academy</t>
  </si>
  <si>
    <t>Recurring Resale - MSP 1</t>
  </si>
  <si>
    <t>176627OH</t>
  </si>
  <si>
    <t>Par Excellence Academy Total</t>
  </si>
  <si>
    <t>Reynoldsburg City School District</t>
  </si>
  <si>
    <t>Basic Maintenance - School Percentage 24/25</t>
  </si>
  <si>
    <t>176662OH</t>
  </si>
  <si>
    <t>Basic Maintenace IC- USAC 24/25</t>
  </si>
  <si>
    <t>176586OH</t>
  </si>
  <si>
    <t>Reynoldsburg City School District Total</t>
  </si>
  <si>
    <t>River Gate HS</t>
  </si>
  <si>
    <t>176663OH</t>
  </si>
  <si>
    <t>176628OH</t>
  </si>
  <si>
    <t>176587OH</t>
  </si>
  <si>
    <t>River Gate HS Total</t>
  </si>
  <si>
    <t>Scheurer Health</t>
  </si>
  <si>
    <t>Blended Services</t>
  </si>
  <si>
    <t>176669OH</t>
  </si>
  <si>
    <t>Scheurer Health Total</t>
  </si>
  <si>
    <t>St John Lutheran Nottingham</t>
  </si>
  <si>
    <t>176629OH</t>
  </si>
  <si>
    <t>St John Lutheran Nottingham Total</t>
  </si>
  <si>
    <t>St Sebastian Elem School</t>
  </si>
  <si>
    <t>T-Services-MSP 24/25</t>
  </si>
  <si>
    <t>176630OH</t>
  </si>
  <si>
    <t>Decrease in Huntress</t>
  </si>
  <si>
    <t>St Sebastian Elem School Total</t>
  </si>
  <si>
    <t>St. Adalbert School</t>
  </si>
  <si>
    <t>176664OH</t>
  </si>
  <si>
    <t>School MSC St Adalbert</t>
  </si>
  <si>
    <t>176631OH</t>
  </si>
  <si>
    <t>Items moved toT-Services MSP</t>
  </si>
  <si>
    <t>176588OH</t>
  </si>
  <si>
    <t>From School MSC St Adalbert</t>
  </si>
  <si>
    <t>St. Adalbert School Total</t>
  </si>
  <si>
    <t>St. John 23rd School</t>
  </si>
  <si>
    <t>Recurring Resale - Microsoft 365 NCE 2025</t>
  </si>
  <si>
    <t>St. John 23rd School Total</t>
  </si>
  <si>
    <t>Strasburg-Franklin Local Schools</t>
  </si>
  <si>
    <t>T-Services-MSP Voice Only</t>
  </si>
  <si>
    <t>176632OH</t>
  </si>
  <si>
    <t>Strasburg-Franklin Local Schools Total</t>
  </si>
  <si>
    <t>Sunbridge Schools</t>
  </si>
  <si>
    <t>Recurring Resale - MSP 2024-2025</t>
  </si>
  <si>
    <t>176672OH</t>
  </si>
  <si>
    <t>176633OH</t>
  </si>
  <si>
    <t>Sunbridge Schools Total</t>
  </si>
  <si>
    <t>The Richland School of Academic Arts</t>
  </si>
  <si>
    <t>176665OH</t>
  </si>
  <si>
    <t>176634OH</t>
  </si>
  <si>
    <t>Recurring Resale - MSP 24/26</t>
  </si>
  <si>
    <t>Recurring Resale - Security - 24/26</t>
  </si>
  <si>
    <t>176589OH</t>
  </si>
  <si>
    <t>School MSC 24/26</t>
  </si>
  <si>
    <t>The Richland School of Academic Arts Total</t>
  </si>
  <si>
    <t>The Ummah Center</t>
  </si>
  <si>
    <t>176635OH</t>
  </si>
  <si>
    <t>The Ummah Center Total</t>
  </si>
  <si>
    <t>Toledo School for the Arts</t>
  </si>
  <si>
    <t>176671OH</t>
  </si>
  <si>
    <t>Toledo School for the Arts Total</t>
  </si>
  <si>
    <t>Tolles Career and Technical Center</t>
  </si>
  <si>
    <t>Basic Maintenace IC -24/25School Percentage</t>
  </si>
  <si>
    <t>176666OH</t>
  </si>
  <si>
    <t>Basic Maintenance IC -24/25 USAC Percentage</t>
  </si>
  <si>
    <t>176590OH</t>
  </si>
  <si>
    <t>Tolles Career and Technical Center Total</t>
  </si>
  <si>
    <t>Westwood Prep</t>
  </si>
  <si>
    <t>Recurring Resale - SecurityB</t>
  </si>
  <si>
    <t>176636OH</t>
  </si>
  <si>
    <t>Items moved to T-Services MSP</t>
  </si>
  <si>
    <t>From Recurring Resale - SecurityB</t>
  </si>
  <si>
    <t>Westwood Prep Total</t>
  </si>
  <si>
    <t>Worthington Christian School</t>
  </si>
  <si>
    <t>176667OH</t>
  </si>
  <si>
    <t>Recurring Resale - MSP 24/24</t>
  </si>
  <si>
    <t>176637OH</t>
  </si>
  <si>
    <t>176591OH</t>
  </si>
  <si>
    <t>T-Services-MSP - 24/25</t>
  </si>
  <si>
    <t>Worthington Christian School Total</t>
  </si>
  <si>
    <t>Youthbuild Columbus Community</t>
  </si>
  <si>
    <t>24/26 Recurring Resale - MSP</t>
  </si>
  <si>
    <t>176638OH</t>
  </si>
  <si>
    <t>24/26 Recurring Resale - Security</t>
  </si>
  <si>
    <t>24/26 T-Services-MSP</t>
  </si>
  <si>
    <t>24/26 T-Services-MSP B</t>
  </si>
  <si>
    <t>Youthbuild Columbus Community Total</t>
  </si>
  <si>
    <t>OH Total</t>
  </si>
  <si>
    <t>Grand Total</t>
  </si>
  <si>
    <t xml:space="preserve">CA </t>
  </si>
  <si>
    <t>CA -Total Recurring Revenue</t>
  </si>
  <si>
    <t>OH -Total Recurring Revenue</t>
  </si>
  <si>
    <t>All Locations- Total Recurring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</si>
</sst>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0.000%"/>
  </numFmts>
  <fonts count="2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8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9"/>
      <name val="Helvetica"/>
      <family val="2"/>
    </font>
    <font>
      <sz val="11"/>
      <color rgb="FF242424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10"/>
      <name val="Helvetic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B3B3B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1">
    <xf numFmtId="0" fontId="0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0" fontId="1" fillId="0" borderId="0"/>
  </cellStyleXfs>
  <cellXfs count="15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8" fillId="0" borderId="0" xfId="0" applyFont="1"/>
    <xf numFmtId="0" fontId="12" fillId="0" borderId="0" xfId="6" applyFont="1" applyAlignment="1">
      <alignment horizontal="left"/>
    </xf>
    <xf numFmtId="0" fontId="11" fillId="0" borderId="0" xfId="6"/>
    <xf numFmtId="0" fontId="12" fillId="0" borderId="0" xfId="6" applyFont="1" applyAlignment="1">
      <alignment horizontal="center"/>
    </xf>
    <xf numFmtId="0" fontId="11" fillId="0" borderId="0" xfId="6" applyAlignment="1">
      <alignment horizontal="center"/>
    </xf>
    <xf numFmtId="40" fontId="11" fillId="0" borderId="0" xfId="6" applyNumberFormat="1" applyAlignment="1">
      <alignment horizontal="left" wrapText="1"/>
    </xf>
    <xf numFmtId="0" fontId="11" fillId="0" borderId="0" xfId="6" applyAlignment="1">
      <alignment wrapText="1"/>
    </xf>
    <xf numFmtId="43" fontId="0" fillId="0" borderId="0" xfId="7" applyFont="1"/>
    <xf numFmtId="43" fontId="10" fillId="0" borderId="7" xfId="7" applyFont="1" applyBorder="1" applyAlignment="1">
      <alignment horizontal="right"/>
    </xf>
    <xf numFmtId="43" fontId="10" fillId="0" borderId="8" xfId="7" applyFont="1" applyBorder="1" applyAlignment="1">
      <alignment horizontal="center"/>
    </xf>
    <xf numFmtId="43" fontId="11" fillId="0" borderId="0" xfId="6" applyNumberFormat="1"/>
    <xf numFmtId="40" fontId="11" fillId="0" borderId="0" xfId="6" applyNumberFormat="1" applyAlignment="1">
      <alignment horizontal="left"/>
    </xf>
    <xf numFmtId="43" fontId="11" fillId="0" borderId="0" xfId="8" applyFont="1"/>
    <xf numFmtId="0" fontId="11" fillId="5" borderId="9" xfId="6" applyFill="1" applyBorder="1"/>
    <xf numFmtId="43" fontId="13" fillId="0" borderId="7" xfId="7" applyFont="1" applyBorder="1" applyAlignment="1">
      <alignment horizontal="right" wrapText="1"/>
    </xf>
    <xf numFmtId="0" fontId="11" fillId="6" borderId="10" xfId="6" applyFill="1" applyBorder="1"/>
    <xf numFmtId="43" fontId="10" fillId="0" borderId="11" xfId="7" applyFont="1" applyBorder="1" applyAlignment="1">
      <alignment horizontal="right"/>
    </xf>
    <xf numFmtId="43" fontId="10" fillId="0" borderId="12" xfId="7" applyFont="1" applyBorder="1" applyAlignment="1">
      <alignment horizontal="center"/>
    </xf>
    <xf numFmtId="0" fontId="11" fillId="0" borderId="0" xfId="6" applyAlignment="1">
      <alignment horizontal="left"/>
    </xf>
    <xf numFmtId="14" fontId="9" fillId="7" borderId="9" xfId="6" applyNumberFormat="1" applyFont="1" applyFill="1" applyBorder="1" applyAlignment="1">
      <alignment wrapText="1"/>
    </xf>
    <xf numFmtId="0" fontId="9" fillId="7" borderId="9" xfId="6" applyFont="1" applyFill="1" applyBorder="1"/>
    <xf numFmtId="0" fontId="9" fillId="7" borderId="9" xfId="6" applyFont="1" applyFill="1" applyBorder="1" applyAlignment="1">
      <alignment horizontal="left" wrapText="1"/>
    </xf>
    <xf numFmtId="43" fontId="9" fillId="7" borderId="9" xfId="8" applyFont="1" applyFill="1" applyBorder="1" applyAlignment="1">
      <alignment horizontal="center" wrapText="1"/>
    </xf>
    <xf numFmtId="43" fontId="9" fillId="7" borderId="0" xfId="8" applyFont="1" applyFill="1" applyAlignment="1">
      <alignment horizontal="center" wrapText="1"/>
    </xf>
    <xf numFmtId="43" fontId="9" fillId="7" borderId="0" xfId="7" applyFont="1" applyFill="1" applyAlignment="1">
      <alignment horizontal="center" wrapText="1"/>
    </xf>
    <xf numFmtId="14" fontId="11" fillId="8" borderId="10" xfId="6" applyNumberFormat="1" applyFill="1" applyBorder="1"/>
    <xf numFmtId="14" fontId="11" fillId="8" borderId="9" xfId="6" applyNumberFormat="1" applyFill="1" applyBorder="1"/>
    <xf numFmtId="0" fontId="11" fillId="8" borderId="9" xfId="6" applyFill="1" applyBorder="1"/>
    <xf numFmtId="0" fontId="11" fillId="8" borderId="9" xfId="6" applyFill="1" applyBorder="1" applyAlignment="1">
      <alignment horizontal="left"/>
    </xf>
    <xf numFmtId="43" fontId="0" fillId="9" borderId="13" xfId="8" applyFont="1" applyFill="1" applyBorder="1"/>
    <xf numFmtId="43" fontId="0" fillId="9" borderId="13" xfId="7" applyFont="1" applyFill="1" applyBorder="1"/>
    <xf numFmtId="14" fontId="11" fillId="9" borderId="10" xfId="6" applyNumberFormat="1" applyFill="1" applyBorder="1"/>
    <xf numFmtId="14" fontId="11" fillId="9" borderId="9" xfId="6" applyNumberFormat="1" applyFill="1" applyBorder="1"/>
    <xf numFmtId="0" fontId="11" fillId="9" borderId="9" xfId="6" applyFill="1" applyBorder="1"/>
    <xf numFmtId="0" fontId="11" fillId="9" borderId="9" xfId="6" applyFill="1" applyBorder="1" applyAlignment="1">
      <alignment horizontal="left"/>
    </xf>
    <xf numFmtId="14" fontId="11" fillId="0" borderId="10" xfId="6" applyNumberFormat="1" applyBorder="1"/>
    <xf numFmtId="14" fontId="11" fillId="0" borderId="9" xfId="6" applyNumberFormat="1" applyBorder="1"/>
    <xf numFmtId="0" fontId="11" fillId="0" borderId="9" xfId="6" applyBorder="1"/>
    <xf numFmtId="0" fontId="10" fillId="0" borderId="9" xfId="6" applyFont="1" applyBorder="1"/>
    <xf numFmtId="0" fontId="10" fillId="0" borderId="9" xfId="6" applyFont="1" applyBorder="1" applyAlignment="1">
      <alignment horizontal="left"/>
    </xf>
    <xf numFmtId="43" fontId="10" fillId="0" borderId="13" xfId="8" applyFont="1" applyBorder="1"/>
    <xf numFmtId="43" fontId="10" fillId="0" borderId="13" xfId="7" applyFont="1" applyBorder="1"/>
    <xf numFmtId="14" fontId="11" fillId="10" borderId="10" xfId="6" applyNumberFormat="1" applyFill="1" applyBorder="1"/>
    <xf numFmtId="14" fontId="11" fillId="10" borderId="9" xfId="6" applyNumberFormat="1" applyFill="1" applyBorder="1"/>
    <xf numFmtId="0" fontId="11" fillId="10" borderId="9" xfId="6" applyFill="1" applyBorder="1"/>
    <xf numFmtId="0" fontId="11" fillId="10" borderId="9" xfId="6" applyFill="1" applyBorder="1" applyAlignment="1">
      <alignment horizontal="left"/>
    </xf>
    <xf numFmtId="43" fontId="0" fillId="10" borderId="13" xfId="8" applyFont="1" applyFill="1" applyBorder="1"/>
    <xf numFmtId="43" fontId="0" fillId="10" borderId="13" xfId="7" applyFont="1" applyFill="1" applyBorder="1"/>
    <xf numFmtId="14" fontId="11" fillId="5" borderId="9" xfId="6" applyNumberFormat="1" applyFill="1" applyBorder="1"/>
    <xf numFmtId="43" fontId="1" fillId="5" borderId="9" xfId="8" applyFont="1" applyFill="1" applyBorder="1"/>
    <xf numFmtId="14" fontId="11" fillId="6" borderId="10" xfId="6" applyNumberFormat="1" applyFill="1" applyBorder="1"/>
    <xf numFmtId="43" fontId="11" fillId="6" borderId="10" xfId="8" applyFont="1" applyFill="1" applyBorder="1"/>
    <xf numFmtId="14" fontId="11" fillId="11" borderId="10" xfId="6" applyNumberFormat="1" applyFill="1" applyBorder="1"/>
    <xf numFmtId="14" fontId="11" fillId="11" borderId="9" xfId="6" applyNumberFormat="1" applyFill="1" applyBorder="1"/>
    <xf numFmtId="0" fontId="11" fillId="11" borderId="9" xfId="6" applyFill="1" applyBorder="1"/>
    <xf numFmtId="0" fontId="11" fillId="11" borderId="9" xfId="6" applyFill="1" applyBorder="1" applyAlignment="1">
      <alignment horizontal="left"/>
    </xf>
    <xf numFmtId="43" fontId="0" fillId="11" borderId="13" xfId="8" applyFont="1" applyFill="1" applyBorder="1"/>
    <xf numFmtId="43" fontId="0" fillId="11" borderId="13" xfId="7" applyFont="1" applyFill="1" applyBorder="1"/>
    <xf numFmtId="14" fontId="11" fillId="5" borderId="9" xfId="6" applyNumberFormat="1" applyFill="1" applyBorder="1" applyAlignment="1">
      <alignment wrapText="1"/>
    </xf>
    <xf numFmtId="14" fontId="11" fillId="12" borderId="10" xfId="6" applyNumberFormat="1" applyFill="1" applyBorder="1"/>
    <xf numFmtId="14" fontId="11" fillId="12" borderId="9" xfId="6" applyNumberFormat="1" applyFill="1" applyBorder="1"/>
    <xf numFmtId="0" fontId="11" fillId="12" borderId="9" xfId="6" applyFill="1" applyBorder="1"/>
    <xf numFmtId="0" fontId="11" fillId="12" borderId="9" xfId="6" applyFill="1" applyBorder="1" applyAlignment="1">
      <alignment horizontal="left"/>
    </xf>
    <xf numFmtId="14" fontId="11" fillId="11" borderId="0" xfId="6" applyNumberFormat="1" applyFill="1"/>
    <xf numFmtId="0" fontId="11" fillId="11" borderId="0" xfId="6" applyFill="1"/>
    <xf numFmtId="43" fontId="11" fillId="11" borderId="13" xfId="8" applyFont="1" applyFill="1" applyBorder="1" applyAlignment="1">
      <alignment horizontal="center"/>
    </xf>
    <xf numFmtId="0" fontId="11" fillId="11" borderId="13" xfId="6" applyFill="1" applyBorder="1"/>
    <xf numFmtId="14" fontId="10" fillId="0" borderId="9" xfId="6" applyNumberFormat="1" applyFont="1" applyBorder="1"/>
    <xf numFmtId="14" fontId="11" fillId="13" borderId="10" xfId="6" applyNumberFormat="1" applyFill="1" applyBorder="1"/>
    <xf numFmtId="14" fontId="11" fillId="13" borderId="9" xfId="6" applyNumberFormat="1" applyFill="1" applyBorder="1"/>
    <xf numFmtId="0" fontId="11" fillId="13" borderId="9" xfId="6" applyFill="1" applyBorder="1"/>
    <xf numFmtId="0" fontId="11" fillId="13" borderId="9" xfId="6" applyFill="1" applyBorder="1" applyAlignment="1">
      <alignment horizontal="left"/>
    </xf>
    <xf numFmtId="43" fontId="0" fillId="14" borderId="13" xfId="8" applyFont="1" applyFill="1" applyBorder="1"/>
    <xf numFmtId="43" fontId="0" fillId="14" borderId="13" xfId="7" applyFont="1" applyFill="1" applyBorder="1"/>
    <xf numFmtId="14" fontId="11" fillId="14" borderId="10" xfId="6" applyNumberFormat="1" applyFill="1" applyBorder="1"/>
    <xf numFmtId="14" fontId="11" fillId="14" borderId="9" xfId="6" applyNumberFormat="1" applyFill="1" applyBorder="1"/>
    <xf numFmtId="0" fontId="11" fillId="14" borderId="9" xfId="6" applyFill="1" applyBorder="1"/>
    <xf numFmtId="0" fontId="11" fillId="14" borderId="9" xfId="6" applyFill="1" applyBorder="1" applyAlignment="1">
      <alignment horizontal="left"/>
    </xf>
    <xf numFmtId="43" fontId="0" fillId="15" borderId="13" xfId="8" applyFont="1" applyFill="1" applyBorder="1"/>
    <xf numFmtId="0" fontId="10" fillId="0" borderId="0" xfId="6" applyFont="1" applyAlignment="1">
      <alignment horizontal="left"/>
    </xf>
    <xf numFmtId="43" fontId="10" fillId="0" borderId="13" xfId="8" applyFont="1" applyBorder="1" applyAlignment="1">
      <alignment horizontal="center"/>
    </xf>
    <xf numFmtId="0" fontId="10" fillId="0" borderId="13" xfId="6" applyFont="1" applyBorder="1"/>
    <xf numFmtId="43" fontId="10" fillId="0" borderId="0" xfId="8" applyFont="1" applyAlignment="1">
      <alignment horizontal="center"/>
    </xf>
    <xf numFmtId="43" fontId="10" fillId="0" borderId="0" xfId="8" applyFont="1"/>
    <xf numFmtId="0" fontId="10" fillId="0" borderId="0" xfId="6" applyFont="1"/>
    <xf numFmtId="43" fontId="10" fillId="0" borderId="0" xfId="7" applyFont="1" applyAlignment="1">
      <alignment horizontal="left"/>
    </xf>
    <xf numFmtId="43" fontId="10" fillId="0" borderId="0" xfId="7" applyFont="1"/>
    <xf numFmtId="0" fontId="14" fillId="6" borderId="10" xfId="6" applyFont="1" applyFill="1" applyBorder="1"/>
    <xf numFmtId="43" fontId="10" fillId="0" borderId="9" xfId="8" applyFont="1" applyBorder="1"/>
    <xf numFmtId="43" fontId="11" fillId="6" borderId="0" xfId="6" applyNumberFormat="1" applyFill="1"/>
    <xf numFmtId="0" fontId="15" fillId="6" borderId="0" xfId="6" applyFont="1" applyFill="1" applyAlignment="1">
      <alignment wrapText="1"/>
    </xf>
    <xf numFmtId="0" fontId="16" fillId="0" borderId="0" xfId="6" applyFont="1" applyAlignment="1">
      <alignment horizontal="left"/>
    </xf>
    <xf numFmtId="43" fontId="17" fillId="0" borderId="0" xfId="7" applyFont="1" applyAlignment="1">
      <alignment horizontal="center"/>
    </xf>
    <xf numFmtId="43" fontId="17" fillId="0" borderId="0" xfId="6" applyNumberFormat="1" applyFont="1" applyAlignment="1">
      <alignment horizontal="center"/>
    </xf>
    <xf numFmtId="43" fontId="11" fillId="0" borderId="0" xfId="6" applyNumberFormat="1" applyAlignment="1">
      <alignment horizontal="center"/>
    </xf>
    <xf numFmtId="0" fontId="11" fillId="0" borderId="10" xfId="6" applyBorder="1"/>
    <xf numFmtId="0" fontId="19" fillId="0" borderId="0" xfId="9" applyFont="1"/>
    <xf numFmtId="0" fontId="19" fillId="0" borderId="0" xfId="9" applyFont="1" applyAlignment="1">
      <alignment horizontal="center" vertical="top" wrapText="1"/>
    </xf>
    <xf numFmtId="0" fontId="19" fillId="0" borderId="0" xfId="9" applyFont="1" applyAlignment="1">
      <alignment horizontal="center"/>
    </xf>
    <xf numFmtId="43" fontId="19" fillId="0" borderId="0" xfId="8" applyFont="1" applyAlignment="1">
      <alignment horizontal="center" vertical="center" wrapText="1"/>
    </xf>
    <xf numFmtId="0" fontId="18" fillId="0" borderId="0" xfId="9"/>
    <xf numFmtId="0" fontId="1" fillId="0" borderId="0" xfId="10"/>
    <xf numFmtId="14" fontId="1" fillId="0" borderId="0" xfId="10" applyNumberFormat="1"/>
    <xf numFmtId="43" fontId="0" fillId="0" borderId="0" xfId="8" applyFont="1"/>
    <xf numFmtId="0" fontId="10" fillId="0" borderId="0" xfId="10" applyFont="1"/>
    <xf numFmtId="0" fontId="1" fillId="6" borderId="0" xfId="10" applyFill="1"/>
    <xf numFmtId="14" fontId="1" fillId="6" borderId="0" xfId="10" applyNumberFormat="1" applyFill="1"/>
    <xf numFmtId="43" fontId="0" fillId="6" borderId="0" xfId="8" applyFont="1" applyFill="1"/>
    <xf numFmtId="0" fontId="10" fillId="6" borderId="0" xfId="10" applyFont="1" applyFill="1"/>
    <xf numFmtId="14" fontId="18" fillId="0" borderId="0" xfId="9" applyNumberFormat="1"/>
    <xf numFmtId="43" fontId="1" fillId="0" borderId="0" xfId="8"/>
    <xf numFmtId="43" fontId="18" fillId="0" borderId="0" xfId="8" applyFont="1"/>
    <xf numFmtId="0" fontId="1" fillId="16" borderId="0" xfId="10" applyFill="1"/>
    <xf numFmtId="14" fontId="1" fillId="16" borderId="0" xfId="10" applyNumberFormat="1" applyFill="1"/>
    <xf numFmtId="43" fontId="0" fillId="16" borderId="0" xfId="8" applyFont="1" applyFill="1"/>
    <xf numFmtId="0" fontId="10" fillId="16" borderId="0" xfId="10" applyFont="1" applyFill="1"/>
    <xf numFmtId="14" fontId="19" fillId="0" borderId="0" xfId="9" applyNumberFormat="1" applyFont="1"/>
    <xf numFmtId="43" fontId="19" fillId="0" borderId="0" xfId="8" applyFont="1" applyFill="1"/>
    <xf numFmtId="43" fontId="18" fillId="0" borderId="0" xfId="8" applyFont="1" applyFill="1"/>
    <xf numFmtId="43" fontId="1" fillId="0" borderId="0" xfId="8" applyFill="1"/>
    <xf numFmtId="0" fontId="10" fillId="0" borderId="0" xfId="10" applyFont="1" applyAlignment="1">
      <alignment horizontal="right"/>
    </xf>
    <xf numFmtId="164" fontId="0" fillId="2" borderId="0" xfId="0" applyNumberFormat="1" applyFill="1"/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0" fontId="20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/>
    </xf>
    <xf numFmtId="0" fontId="20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4" borderId="0" xfId="0" applyNumberFormat="1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2" borderId="3" xfId="0" applyNumberFormat="1" applyFont="1" applyFill="1" applyBorder="1" applyAlignment="1">
      <alignment horizontal="right"/>
    </xf>
    <xf numFmtId="164" fontId="20" fillId="2" borderId="4" xfId="0" applyNumberFormat="1" applyFont="1" applyFill="1" applyBorder="1" applyAlignment="1">
      <alignment horizontal="right"/>
    </xf>
    <xf numFmtId="164" fontId="4" fillId="17" borderId="0" xfId="0" applyNumberFormat="1" applyFont="1" applyFill="1" applyAlignment="1">
      <alignment horizontal="center" wrapText="1"/>
    </xf>
    <xf numFmtId="164" fontId="4" fillId="17" borderId="0" xfId="0" applyNumberFormat="1" applyFont="1" applyFill="1" applyAlignment="1">
      <alignment horizontal="center"/>
    </xf>
    <xf numFmtId="0" fontId="10" fillId="0" borderId="5" xfId="6" applyFont="1" applyBorder="1" applyAlignment="1">
      <alignment horizontal="center"/>
    </xf>
    <xf numFmtId="0" fontId="10" fillId="0" borderId="6" xfId="6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5" fontId="4" fillId="0" borderId="0" xfId="1" applyNumberFormat="1" applyFont="1" applyFill="1" applyAlignment="1">
      <alignment horizontal="right"/>
    </xf>
    <xf numFmtId="10" fontId="4" fillId="0" borderId="0" xfId="1" applyNumberFormat="1" applyFont="1" applyFill="1" applyAlignment="1">
      <alignment horizontal="right"/>
    </xf>
    <xf numFmtId="9" fontId="4" fillId="2" borderId="0" xfId="1" applyFont="1" applyFill="1" applyAlignment="1">
      <alignment horizontal="right"/>
    </xf>
  </cellXfs>
  <cellStyles count="11">
    <cellStyle name="Comma" xfId="4" xr:uid="{00000000-0005-0000-0000-000004000000}"/>
    <cellStyle name="Comma [0]" xfId="5" xr:uid="{00000000-0005-0000-0000-000005000000}"/>
    <cellStyle name="Comma 2 2" xfId="7" xr:uid="{D624298B-131C-4E21-978A-1DBBDBA1A3C8}"/>
    <cellStyle name="Comma 3" xfId="8" xr:uid="{CF1BABF0-7BC2-46B0-8D45-5B62FA6AFA3F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9" xr:uid="{FB0A8640-0C05-4FC7-81F5-AD563452F55E}"/>
    <cellStyle name="Normal 2 2" xfId="6" xr:uid="{E57B8DBC-3B58-44AE-9744-B9B3E59877DA}"/>
    <cellStyle name="Normal 3" xfId="10" xr:uid="{F956C64B-5844-4416-BD37-0BB29AF9987A}"/>
    <cellStyle name="Percent" xfId="1" xr:uid="{00000000-0005-0000-0000-000001000000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72D82-837B-4D9B-A53B-3598BA1967F1}" name="Table1" displayName="Table1" ref="A1:D24" totalsRowShown="0" headerRowDxfId="0">
  <autoFilter ref="A1:D24" xr:uid="{F71D3494-093B-4704-8CF8-90B53FA30342}"/>
  <tableColumns count="4">
    <tableColumn id="1" xr3:uid="{73A70C14-0524-45DF-9B55-F317F7F1ECF1}" name="Foot Note"/>
    <tableColumn id="2" xr3:uid="{13D0EC33-74FA-4510-B95A-85E5ABAE3CF0}" name="Line"/>
    <tableColumn id="3" xr3:uid="{A3078A91-D858-419A-AEA2-4A5E37AFF46A}" name="Increase (Decrease) "/>
    <tableColumn id="4" xr3:uid="{ECC0EDB8-9FEA-42E4-86CE-96B7D224F9BC}" name="Not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2417-52D1-41E9-BB32-17C7D723FEFB}">
  <dimension ref="A1:Q82"/>
  <sheetViews>
    <sheetView workbookViewId="0">
      <pane xSplit="1" ySplit="9" topLeftCell="B10" activePane="bottomRight" state="frozen"/>
      <selection pane="bottomRight" activeCell="F20" sqref="F20"/>
      <selection pane="bottomLeft" activeCell="A10" sqref="A10"/>
      <selection pane="topRight" activeCell="B1" sqref="B1"/>
    </sheetView>
  </sheetViews>
  <sheetFormatPr defaultColWidth="9.140625" defaultRowHeight="12.95"/>
  <cols>
    <col min="1" max="1" width="44.85546875" style="1" customWidth="1"/>
    <col min="2" max="4" width="16.7109375" style="1" customWidth="1"/>
    <col min="5" max="5" width="17.7109375" style="1" customWidth="1"/>
    <col min="6" max="8" width="16.7109375" style="1" customWidth="1"/>
    <col min="9" max="9" width="18.42578125" style="1" customWidth="1"/>
    <col min="10" max="12" width="16.7109375" style="1" customWidth="1"/>
    <col min="13" max="13" width="21" style="1" customWidth="1"/>
    <col min="14" max="16" width="16.7109375" style="1" customWidth="1"/>
    <col min="17" max="17" width="9.140625" style="1" customWidth="1"/>
    <col min="18" max="18" width="11" style="1" bestFit="1" customWidth="1"/>
    <col min="19" max="16384" width="9.140625" style="1"/>
  </cols>
  <sheetData>
    <row r="1" spans="1:16" ht="15.95">
      <c r="A1" s="3" t="s">
        <v>0</v>
      </c>
    </row>
    <row r="2" spans="1:16" ht="15.95">
      <c r="A2" s="3" t="s">
        <v>1</v>
      </c>
    </row>
    <row r="3" spans="1:16">
      <c r="A3" s="132" t="s">
        <v>2</v>
      </c>
      <c r="B3" s="132" t="s">
        <v>3</v>
      </c>
    </row>
    <row r="4" spans="1:16">
      <c r="A4" s="132" t="s">
        <v>4</v>
      </c>
      <c r="B4" s="132" t="s">
        <v>5</v>
      </c>
    </row>
    <row r="5" spans="1:16">
      <c r="A5" s="132" t="s">
        <v>6</v>
      </c>
      <c r="B5" s="132" t="s">
        <v>7</v>
      </c>
    </row>
    <row r="6" spans="1:16">
      <c r="A6" s="2" t="s">
        <v>8</v>
      </c>
    </row>
    <row r="7" spans="1:16" ht="27.95">
      <c r="A7" s="132" t="s">
        <v>8</v>
      </c>
      <c r="B7" s="134" t="s">
        <v>9</v>
      </c>
      <c r="C7" s="134" t="s">
        <v>9</v>
      </c>
      <c r="D7" s="134" t="s">
        <v>8</v>
      </c>
      <c r="E7" s="134"/>
      <c r="F7" s="134" t="s">
        <v>10</v>
      </c>
      <c r="G7" s="134" t="s">
        <v>10</v>
      </c>
      <c r="H7" s="134" t="s">
        <v>8</v>
      </c>
      <c r="I7" s="134"/>
      <c r="J7" s="134" t="s">
        <v>11</v>
      </c>
      <c r="K7" s="134" t="s">
        <v>11</v>
      </c>
      <c r="L7" s="134" t="s">
        <v>8</v>
      </c>
      <c r="M7" s="134"/>
      <c r="N7" s="134" t="s">
        <v>9</v>
      </c>
      <c r="O7" s="134" t="s">
        <v>10</v>
      </c>
      <c r="P7" s="134" t="s">
        <v>11</v>
      </c>
    </row>
    <row r="8" spans="1:16">
      <c r="A8" s="132" t="s">
        <v>8</v>
      </c>
      <c r="B8" s="135" t="s">
        <v>12</v>
      </c>
      <c r="C8" s="135" t="s">
        <v>12</v>
      </c>
      <c r="D8" s="135" t="s">
        <v>8</v>
      </c>
      <c r="E8" s="135"/>
      <c r="F8" s="135" t="s">
        <v>12</v>
      </c>
      <c r="G8" s="135" t="s">
        <v>12</v>
      </c>
      <c r="H8" s="135" t="s">
        <v>8</v>
      </c>
      <c r="I8" s="135"/>
      <c r="J8" s="135" t="s">
        <v>12</v>
      </c>
      <c r="K8" s="135" t="s">
        <v>12</v>
      </c>
      <c r="L8" s="135" t="s">
        <v>8</v>
      </c>
      <c r="M8" s="135"/>
      <c r="N8" s="135" t="s">
        <v>13</v>
      </c>
      <c r="O8" s="135" t="s">
        <v>13</v>
      </c>
      <c r="P8" s="135" t="s">
        <v>13</v>
      </c>
    </row>
    <row r="9" spans="1:16">
      <c r="A9" s="132" t="s">
        <v>8</v>
      </c>
      <c r="B9" s="136" t="s">
        <v>5</v>
      </c>
      <c r="C9" s="136" t="s">
        <v>14</v>
      </c>
      <c r="D9" s="136" t="s">
        <v>15</v>
      </c>
      <c r="E9" s="150" t="s">
        <v>16</v>
      </c>
      <c r="F9" s="136" t="s">
        <v>5</v>
      </c>
      <c r="G9" s="136" t="s">
        <v>14</v>
      </c>
      <c r="H9" s="136" t="s">
        <v>15</v>
      </c>
      <c r="I9" s="150" t="s">
        <v>16</v>
      </c>
      <c r="J9" s="136" t="s">
        <v>5</v>
      </c>
      <c r="K9" s="136" t="s">
        <v>14</v>
      </c>
      <c r="L9" s="136" t="s">
        <v>15</v>
      </c>
      <c r="M9" s="150" t="s">
        <v>16</v>
      </c>
      <c r="N9" s="136" t="s">
        <v>5</v>
      </c>
      <c r="O9" s="136" t="s">
        <v>5</v>
      </c>
      <c r="P9" s="136" t="s">
        <v>5</v>
      </c>
    </row>
    <row r="10" spans="1:16">
      <c r="A10" s="132" t="s">
        <v>8</v>
      </c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</row>
    <row r="11" spans="1:16">
      <c r="A11" s="138" t="s">
        <v>17</v>
      </c>
      <c r="B11" s="138" t="s">
        <v>18</v>
      </c>
      <c r="C11" s="138" t="s">
        <v>18</v>
      </c>
      <c r="D11" s="138" t="s">
        <v>18</v>
      </c>
      <c r="E11" s="138"/>
      <c r="F11" s="138" t="s">
        <v>18</v>
      </c>
      <c r="G11" s="138" t="s">
        <v>18</v>
      </c>
      <c r="H11" s="138" t="s">
        <v>18</v>
      </c>
      <c r="I11" s="138"/>
      <c r="J11" s="138" t="s">
        <v>18</v>
      </c>
      <c r="K11" s="138" t="s">
        <v>18</v>
      </c>
      <c r="L11" s="138" t="s">
        <v>18</v>
      </c>
      <c r="M11" s="138"/>
      <c r="N11" s="138" t="s">
        <v>18</v>
      </c>
      <c r="O11" s="138" t="s">
        <v>18</v>
      </c>
      <c r="P11" s="138" t="s">
        <v>18</v>
      </c>
    </row>
    <row r="12" spans="1:16">
      <c r="A12" s="132" t="s">
        <v>19</v>
      </c>
      <c r="B12" s="132" t="s">
        <v>20</v>
      </c>
      <c r="C12" s="132" t="s">
        <v>20</v>
      </c>
      <c r="D12" s="132" t="s">
        <v>20</v>
      </c>
      <c r="E12" s="132"/>
      <c r="F12" s="132" t="s">
        <v>20</v>
      </c>
      <c r="G12" s="132" t="s">
        <v>20</v>
      </c>
      <c r="H12" s="132" t="s">
        <v>20</v>
      </c>
      <c r="I12" s="132"/>
      <c r="J12" s="132" t="s">
        <v>20</v>
      </c>
      <c r="K12" s="132" t="s">
        <v>20</v>
      </c>
      <c r="L12" s="132" t="s">
        <v>20</v>
      </c>
      <c r="M12" s="132"/>
      <c r="N12" s="132" t="s">
        <v>20</v>
      </c>
      <c r="O12" s="132" t="s">
        <v>20</v>
      </c>
      <c r="P12" s="132" t="s">
        <v>20</v>
      </c>
    </row>
    <row r="13" spans="1:16">
      <c r="A13" s="132" t="s">
        <v>21</v>
      </c>
      <c r="B13" s="132" t="s">
        <v>22</v>
      </c>
      <c r="C13" s="132" t="s">
        <v>22</v>
      </c>
      <c r="D13" s="132" t="s">
        <v>22</v>
      </c>
      <c r="E13" s="132"/>
      <c r="F13" s="132" t="s">
        <v>22</v>
      </c>
      <c r="G13" s="132" t="s">
        <v>22</v>
      </c>
      <c r="H13" s="132" t="s">
        <v>22</v>
      </c>
      <c r="I13" s="132"/>
      <c r="J13" s="132" t="s">
        <v>22</v>
      </c>
      <c r="K13" s="132" t="s">
        <v>22</v>
      </c>
      <c r="L13" s="132" t="s">
        <v>22</v>
      </c>
      <c r="M13" s="132"/>
      <c r="N13" s="132" t="s">
        <v>22</v>
      </c>
      <c r="O13" s="132" t="s">
        <v>22</v>
      </c>
      <c r="P13" s="132" t="s">
        <v>22</v>
      </c>
    </row>
    <row r="14" spans="1:16">
      <c r="A14" s="132" t="s">
        <v>23</v>
      </c>
      <c r="B14" s="132" t="s">
        <v>24</v>
      </c>
      <c r="C14" s="132" t="s">
        <v>24</v>
      </c>
      <c r="D14" s="132" t="s">
        <v>24</v>
      </c>
      <c r="E14" s="132"/>
      <c r="F14" s="132" t="s">
        <v>24</v>
      </c>
      <c r="G14" s="132" t="s">
        <v>24</v>
      </c>
      <c r="H14" s="132" t="s">
        <v>24</v>
      </c>
      <c r="I14" s="132"/>
      <c r="J14" s="132" t="s">
        <v>24</v>
      </c>
      <c r="K14" s="132" t="s">
        <v>24</v>
      </c>
      <c r="L14" s="132" t="s">
        <v>24</v>
      </c>
      <c r="M14" s="132"/>
      <c r="N14" s="132" t="s">
        <v>24</v>
      </c>
      <c r="O14" s="132" t="s">
        <v>24</v>
      </c>
      <c r="P14" s="132" t="s">
        <v>24</v>
      </c>
    </row>
    <row r="15" spans="1:16">
      <c r="A15" s="132" t="s">
        <v>25</v>
      </c>
      <c r="B15" s="139">
        <v>431911</v>
      </c>
      <c r="C15" s="139">
        <v>422703</v>
      </c>
      <c r="D15" s="139">
        <v>9208</v>
      </c>
      <c r="E15" s="146" t="s">
        <v>26</v>
      </c>
      <c r="F15" s="139">
        <v>118738</v>
      </c>
      <c r="G15" s="139">
        <v>119260</v>
      </c>
      <c r="H15" s="139">
        <v>-522</v>
      </c>
      <c r="I15" s="146" t="s">
        <v>26</v>
      </c>
      <c r="J15" s="139">
        <v>550648</v>
      </c>
      <c r="K15" s="139">
        <v>541962</v>
      </c>
      <c r="L15" s="139">
        <v>8686</v>
      </c>
      <c r="M15" s="146" t="s">
        <v>26</v>
      </c>
      <c r="N15" s="139">
        <v>1272063</v>
      </c>
      <c r="O15" s="139">
        <v>357912</v>
      </c>
      <c r="P15" s="139">
        <v>1629975</v>
      </c>
    </row>
    <row r="16" spans="1:16">
      <c r="A16" s="132" t="s">
        <v>27</v>
      </c>
      <c r="B16" s="139">
        <v>22726</v>
      </c>
      <c r="C16" s="139">
        <v>22726</v>
      </c>
      <c r="D16" s="139">
        <v>0</v>
      </c>
      <c r="E16" s="147"/>
      <c r="F16" s="139">
        <v>0</v>
      </c>
      <c r="G16" s="139">
        <v>0</v>
      </c>
      <c r="H16" s="139">
        <v>0</v>
      </c>
      <c r="I16" s="147"/>
      <c r="J16" s="139">
        <v>22726</v>
      </c>
      <c r="K16" s="139">
        <v>22726</v>
      </c>
      <c r="L16" s="139">
        <v>0</v>
      </c>
      <c r="M16" s="147"/>
      <c r="N16" s="139">
        <v>65589</v>
      </c>
      <c r="O16" s="139">
        <v>0</v>
      </c>
      <c r="P16" s="139">
        <v>65589</v>
      </c>
    </row>
    <row r="17" spans="1:17">
      <c r="A17" s="132" t="s">
        <v>28</v>
      </c>
      <c r="B17" s="139">
        <v>245980</v>
      </c>
      <c r="C17" s="139">
        <v>229082</v>
      </c>
      <c r="D17" s="139">
        <v>16898</v>
      </c>
      <c r="E17" s="147"/>
      <c r="F17" s="139">
        <v>19338</v>
      </c>
      <c r="G17" s="139">
        <v>18478</v>
      </c>
      <c r="H17" s="139">
        <v>861</v>
      </c>
      <c r="I17" s="147"/>
      <c r="J17" s="139">
        <v>265320</v>
      </c>
      <c r="K17" s="139">
        <v>247561</v>
      </c>
      <c r="L17" s="139">
        <v>17759</v>
      </c>
      <c r="M17" s="147"/>
      <c r="N17" s="139">
        <v>695566</v>
      </c>
      <c r="O17" s="139">
        <v>56286</v>
      </c>
      <c r="P17" s="139">
        <v>751852</v>
      </c>
    </row>
    <row r="18" spans="1:17">
      <c r="A18" s="132" t="s">
        <v>29</v>
      </c>
      <c r="B18" s="139">
        <v>85469</v>
      </c>
      <c r="C18" s="139">
        <v>63465</v>
      </c>
      <c r="D18" s="139">
        <v>22004</v>
      </c>
      <c r="E18" s="139"/>
      <c r="F18" s="139">
        <v>19767</v>
      </c>
      <c r="G18" s="139">
        <v>29031</v>
      </c>
      <c r="H18" s="139">
        <v>-9264</v>
      </c>
      <c r="I18" s="139"/>
      <c r="J18" s="139">
        <v>105235</v>
      </c>
      <c r="K18" s="139">
        <v>92496</v>
      </c>
      <c r="L18" s="139">
        <v>12739</v>
      </c>
      <c r="M18" s="139"/>
      <c r="N18" s="139">
        <v>187346</v>
      </c>
      <c r="O18" s="139">
        <v>62103</v>
      </c>
      <c r="P18" s="139">
        <v>249449</v>
      </c>
    </row>
    <row r="19" spans="1:17">
      <c r="A19" s="132" t="s">
        <v>30</v>
      </c>
      <c r="B19" s="139">
        <v>29810</v>
      </c>
      <c r="C19" s="139">
        <v>56437</v>
      </c>
      <c r="D19" s="139">
        <v>-26627</v>
      </c>
      <c r="E19" s="139"/>
      <c r="F19" s="139">
        <v>5210</v>
      </c>
      <c r="G19" s="139">
        <v>1679</v>
      </c>
      <c r="H19" s="139">
        <v>3530</v>
      </c>
      <c r="I19" s="139"/>
      <c r="J19" s="139">
        <v>35020</v>
      </c>
      <c r="K19" s="139">
        <v>58116</v>
      </c>
      <c r="L19" s="139">
        <v>-23096</v>
      </c>
      <c r="M19" s="139"/>
      <c r="N19" s="139">
        <v>172928</v>
      </c>
      <c r="O19" s="139">
        <v>6889</v>
      </c>
      <c r="P19" s="139">
        <v>179817</v>
      </c>
    </row>
    <row r="20" spans="1:17">
      <c r="A20" s="132" t="s">
        <v>31</v>
      </c>
      <c r="B20" s="139">
        <v>210985</v>
      </c>
      <c r="C20" s="139">
        <v>260504</v>
      </c>
      <c r="D20" s="139">
        <v>-49519</v>
      </c>
      <c r="E20" s="141"/>
      <c r="F20" s="139">
        <v>229398</v>
      </c>
      <c r="G20" s="139">
        <v>293528</v>
      </c>
      <c r="H20" s="139">
        <v>-64130</v>
      </c>
      <c r="I20" s="141"/>
      <c r="J20" s="139">
        <v>440383</v>
      </c>
      <c r="K20" s="139">
        <v>554032</v>
      </c>
      <c r="L20" s="139">
        <v>-113649</v>
      </c>
      <c r="M20" s="139"/>
      <c r="N20" s="139">
        <v>551998</v>
      </c>
      <c r="O20" s="139">
        <v>654223</v>
      </c>
      <c r="P20" s="139">
        <v>1206221</v>
      </c>
      <c r="Q20" s="131"/>
    </row>
    <row r="21" spans="1:17">
      <c r="A21" s="132" t="s">
        <v>32</v>
      </c>
      <c r="B21" s="139">
        <v>5986</v>
      </c>
      <c r="C21" s="139">
        <v>7690</v>
      </c>
      <c r="D21" s="139">
        <v>-1704</v>
      </c>
      <c r="E21" s="151"/>
      <c r="F21" s="139">
        <v>5152</v>
      </c>
      <c r="G21" s="139">
        <v>0</v>
      </c>
      <c r="H21" s="139">
        <v>5152</v>
      </c>
      <c r="I21" s="152"/>
      <c r="J21" s="139">
        <v>11139</v>
      </c>
      <c r="K21" s="139">
        <v>7690</v>
      </c>
      <c r="L21" s="139">
        <v>3448</v>
      </c>
      <c r="M21" s="153"/>
      <c r="N21" s="139">
        <v>19267</v>
      </c>
      <c r="O21" s="139">
        <v>5152</v>
      </c>
      <c r="P21" s="139">
        <v>24419</v>
      </c>
    </row>
    <row r="22" spans="1:17">
      <c r="A22" s="132" t="s">
        <v>33</v>
      </c>
      <c r="B22" s="140">
        <v>1032867</v>
      </c>
      <c r="C22" s="140">
        <v>1062607</v>
      </c>
      <c r="D22" s="140">
        <v>-29740</v>
      </c>
      <c r="E22" s="140"/>
      <c r="F22" s="140">
        <v>397603</v>
      </c>
      <c r="G22" s="140">
        <v>461976</v>
      </c>
      <c r="H22" s="140">
        <v>-64373</v>
      </c>
      <c r="I22" s="140"/>
      <c r="J22" s="140">
        <v>1430471</v>
      </c>
      <c r="K22" s="140">
        <v>1524583</v>
      </c>
      <c r="L22" s="140">
        <v>-94113</v>
      </c>
      <c r="M22" s="140"/>
      <c r="N22" s="140">
        <v>2964757</v>
      </c>
      <c r="O22" s="140">
        <v>1142565</v>
      </c>
      <c r="P22" s="140">
        <v>4107322</v>
      </c>
    </row>
    <row r="23" spans="1:17">
      <c r="A23" s="132" t="s">
        <v>34</v>
      </c>
      <c r="B23" s="132" t="s">
        <v>24</v>
      </c>
      <c r="C23" s="132" t="s">
        <v>24</v>
      </c>
      <c r="D23" s="132" t="s">
        <v>24</v>
      </c>
      <c r="E23" s="132"/>
      <c r="F23" s="132" t="s">
        <v>24</v>
      </c>
      <c r="G23" s="132" t="s">
        <v>24</v>
      </c>
      <c r="H23" s="132" t="s">
        <v>24</v>
      </c>
      <c r="I23" s="132"/>
      <c r="J23" s="132" t="s">
        <v>24</v>
      </c>
      <c r="K23" s="132" t="s">
        <v>24</v>
      </c>
      <c r="L23" s="132" t="s">
        <v>24</v>
      </c>
      <c r="M23" s="132"/>
      <c r="N23" s="132" t="s">
        <v>24</v>
      </c>
      <c r="O23" s="132" t="s">
        <v>24</v>
      </c>
      <c r="P23" s="132" t="s">
        <v>24</v>
      </c>
    </row>
    <row r="24" spans="1:17">
      <c r="A24" s="132" t="s">
        <v>35</v>
      </c>
      <c r="B24" s="139">
        <v>16120</v>
      </c>
      <c r="C24" s="139">
        <v>18327</v>
      </c>
      <c r="D24" s="139">
        <v>-2207</v>
      </c>
      <c r="E24" s="139"/>
      <c r="F24" s="139">
        <v>6026</v>
      </c>
      <c r="G24" s="139">
        <v>6016</v>
      </c>
      <c r="H24" s="139">
        <v>11</v>
      </c>
      <c r="I24" s="139"/>
      <c r="J24" s="139">
        <v>22148</v>
      </c>
      <c r="K24" s="139">
        <v>24343</v>
      </c>
      <c r="L24" s="139">
        <v>-2196</v>
      </c>
      <c r="M24" s="139"/>
      <c r="N24" s="139">
        <v>50355</v>
      </c>
      <c r="O24" s="139">
        <v>19021</v>
      </c>
      <c r="P24" s="139">
        <v>69376</v>
      </c>
    </row>
    <row r="25" spans="1:17">
      <c r="A25" s="132" t="s">
        <v>36</v>
      </c>
      <c r="B25" s="139">
        <v>10287</v>
      </c>
      <c r="C25" s="139">
        <v>10352</v>
      </c>
      <c r="D25" s="139">
        <v>-65</v>
      </c>
      <c r="E25" s="139"/>
      <c r="F25" s="139">
        <v>0</v>
      </c>
      <c r="G25" s="139">
        <v>0</v>
      </c>
      <c r="H25" s="139">
        <v>0</v>
      </c>
      <c r="I25" s="139"/>
      <c r="J25" s="139">
        <v>10286</v>
      </c>
      <c r="K25" s="139">
        <v>10352</v>
      </c>
      <c r="L25" s="139">
        <v>-64</v>
      </c>
      <c r="M25" s="139"/>
      <c r="N25" s="139">
        <v>29554</v>
      </c>
      <c r="O25" s="139">
        <v>0</v>
      </c>
      <c r="P25" s="139">
        <v>29553</v>
      </c>
    </row>
    <row r="26" spans="1:17">
      <c r="A26" s="132" t="s">
        <v>37</v>
      </c>
      <c r="B26" s="139">
        <v>164149</v>
      </c>
      <c r="C26" s="139">
        <v>153080</v>
      </c>
      <c r="D26" s="139">
        <v>11069</v>
      </c>
      <c r="E26" s="139"/>
      <c r="F26" s="139">
        <v>6866</v>
      </c>
      <c r="G26" s="139">
        <v>6144</v>
      </c>
      <c r="H26" s="139">
        <v>721</v>
      </c>
      <c r="I26" s="141"/>
      <c r="J26" s="139">
        <v>171015</v>
      </c>
      <c r="K26" s="139">
        <v>159224</v>
      </c>
      <c r="L26" s="139">
        <v>11789</v>
      </c>
      <c r="M26" s="139"/>
      <c r="N26" s="139">
        <v>465757</v>
      </c>
      <c r="O26" s="139">
        <v>22430</v>
      </c>
      <c r="P26" s="139">
        <v>488189</v>
      </c>
    </row>
    <row r="27" spans="1:17">
      <c r="A27" s="132" t="s">
        <v>38</v>
      </c>
      <c r="B27" s="139">
        <v>0</v>
      </c>
      <c r="C27" s="139">
        <v>0</v>
      </c>
      <c r="D27" s="139">
        <v>0</v>
      </c>
      <c r="E27" s="139"/>
      <c r="F27" s="139">
        <v>24</v>
      </c>
      <c r="G27" s="139">
        <v>0</v>
      </c>
      <c r="H27" s="139">
        <v>24</v>
      </c>
      <c r="I27" s="139"/>
      <c r="J27" s="139">
        <v>24</v>
      </c>
      <c r="K27" s="139">
        <v>0</v>
      </c>
      <c r="L27" s="139">
        <v>24</v>
      </c>
      <c r="M27" s="139"/>
      <c r="N27" s="139">
        <v>0</v>
      </c>
      <c r="O27" s="139">
        <v>24</v>
      </c>
      <c r="P27" s="139">
        <v>23</v>
      </c>
    </row>
    <row r="28" spans="1:17">
      <c r="A28" s="132" t="s">
        <v>39</v>
      </c>
      <c r="B28" s="139">
        <v>24843</v>
      </c>
      <c r="C28" s="139">
        <v>47030</v>
      </c>
      <c r="D28" s="139">
        <v>-22187</v>
      </c>
      <c r="E28" s="139"/>
      <c r="F28" s="139">
        <v>4475</v>
      </c>
      <c r="G28" s="139">
        <v>1325</v>
      </c>
      <c r="H28" s="139">
        <v>3151</v>
      </c>
      <c r="I28" s="139"/>
      <c r="J28" s="139">
        <v>29319</v>
      </c>
      <c r="K28" s="139">
        <v>48356</v>
      </c>
      <c r="L28" s="139">
        <v>-19036</v>
      </c>
      <c r="M28" s="139"/>
      <c r="N28" s="139">
        <v>144309</v>
      </c>
      <c r="O28" s="139">
        <v>5800</v>
      </c>
      <c r="P28" s="139">
        <v>150110</v>
      </c>
    </row>
    <row r="29" spans="1:17">
      <c r="A29" s="132" t="s">
        <v>40</v>
      </c>
      <c r="B29" s="139">
        <v>178517</v>
      </c>
      <c r="C29" s="139">
        <v>220363</v>
      </c>
      <c r="D29" s="139">
        <v>-41846</v>
      </c>
      <c r="E29" s="139"/>
      <c r="F29" s="139">
        <v>192172</v>
      </c>
      <c r="G29" s="139">
        <v>251628</v>
      </c>
      <c r="H29" s="139">
        <v>-59457</v>
      </c>
      <c r="I29" s="139"/>
      <c r="J29" s="139">
        <v>370688</v>
      </c>
      <c r="K29" s="139">
        <v>471991</v>
      </c>
      <c r="L29" s="139">
        <v>-101303</v>
      </c>
      <c r="M29" s="139"/>
      <c r="N29" s="139">
        <v>467538</v>
      </c>
      <c r="O29" s="139">
        <v>555535</v>
      </c>
      <c r="P29" s="139">
        <v>1023071</v>
      </c>
    </row>
    <row r="30" spans="1:17">
      <c r="A30" s="132" t="s">
        <v>41</v>
      </c>
      <c r="B30" s="139">
        <v>55070</v>
      </c>
      <c r="C30" s="139">
        <v>50100</v>
      </c>
      <c r="D30" s="139">
        <v>4970</v>
      </c>
      <c r="E30" s="139"/>
      <c r="F30" s="139">
        <v>16052</v>
      </c>
      <c r="G30" s="139">
        <v>14503</v>
      </c>
      <c r="H30" s="139">
        <v>1550</v>
      </c>
      <c r="I30" s="139"/>
      <c r="J30" s="139">
        <v>71122</v>
      </c>
      <c r="K30" s="139">
        <v>64602</v>
      </c>
      <c r="L30" s="139">
        <v>6520</v>
      </c>
      <c r="M30" s="139"/>
      <c r="N30" s="139">
        <v>159261</v>
      </c>
      <c r="O30" s="139">
        <v>46347</v>
      </c>
      <c r="P30" s="139">
        <v>205609</v>
      </c>
    </row>
    <row r="31" spans="1:17">
      <c r="A31" s="132" t="s">
        <v>42</v>
      </c>
      <c r="B31" s="139">
        <v>155199</v>
      </c>
      <c r="C31" s="139">
        <v>142233</v>
      </c>
      <c r="D31" s="139">
        <v>12967</v>
      </c>
      <c r="E31" s="139"/>
      <c r="F31" s="139">
        <v>71918</v>
      </c>
      <c r="G31" s="139">
        <v>60949</v>
      </c>
      <c r="H31" s="139">
        <v>10968</v>
      </c>
      <c r="I31" s="139"/>
      <c r="J31" s="139">
        <v>227117</v>
      </c>
      <c r="K31" s="139">
        <v>203182</v>
      </c>
      <c r="L31" s="139">
        <v>23935</v>
      </c>
      <c r="M31" s="139"/>
      <c r="N31" s="139">
        <v>457569</v>
      </c>
      <c r="O31" s="139">
        <v>200408</v>
      </c>
      <c r="P31" s="139">
        <v>657977</v>
      </c>
    </row>
    <row r="32" spans="1:17">
      <c r="A32" s="132" t="s">
        <v>43</v>
      </c>
      <c r="B32" s="140">
        <v>604185</v>
      </c>
      <c r="C32" s="140">
        <v>641485</v>
      </c>
      <c r="D32" s="140">
        <v>-37299</v>
      </c>
      <c r="E32" s="140"/>
      <c r="F32" s="140">
        <v>297533</v>
      </c>
      <c r="G32" s="140">
        <v>340565</v>
      </c>
      <c r="H32" s="140">
        <v>-43032</v>
      </c>
      <c r="I32" s="140"/>
      <c r="J32" s="140">
        <v>901719</v>
      </c>
      <c r="K32" s="140">
        <v>982050</v>
      </c>
      <c r="L32" s="140">
        <v>-80331</v>
      </c>
      <c r="M32" s="140"/>
      <c r="N32" s="140">
        <v>1774343</v>
      </c>
      <c r="O32" s="140">
        <v>849565</v>
      </c>
      <c r="P32" s="140">
        <v>2623908</v>
      </c>
    </row>
    <row r="33" spans="1:16">
      <c r="A33" s="132" t="s">
        <v>44</v>
      </c>
      <c r="B33" s="140">
        <v>428682</v>
      </c>
      <c r="C33" s="140">
        <v>421122</v>
      </c>
      <c r="D33" s="140">
        <v>7559</v>
      </c>
      <c r="E33" s="140"/>
      <c r="F33" s="140">
        <v>100070</v>
      </c>
      <c r="G33" s="140">
        <v>121411</v>
      </c>
      <c r="H33" s="140">
        <v>-21341</v>
      </c>
      <c r="I33" s="140"/>
      <c r="J33" s="140">
        <v>528752</v>
      </c>
      <c r="K33" s="140">
        <v>542533</v>
      </c>
      <c r="L33" s="140">
        <v>-13781</v>
      </c>
      <c r="M33" s="140"/>
      <c r="N33" s="140">
        <v>1190414</v>
      </c>
      <c r="O33" s="140">
        <v>293000</v>
      </c>
      <c r="P33" s="140">
        <v>1483414</v>
      </c>
    </row>
    <row r="34" spans="1:16">
      <c r="A34" s="132" t="s">
        <v>45</v>
      </c>
      <c r="B34" s="139">
        <v>92538</v>
      </c>
      <c r="C34" s="139">
        <v>131045</v>
      </c>
      <c r="D34" s="139">
        <v>-38508</v>
      </c>
      <c r="E34" s="142">
        <v>1</v>
      </c>
      <c r="F34" s="139">
        <v>52506</v>
      </c>
      <c r="G34" s="139">
        <v>35196</v>
      </c>
      <c r="H34" s="139">
        <v>17311</v>
      </c>
      <c r="I34" s="142">
        <v>11</v>
      </c>
      <c r="J34" s="139">
        <v>145044</v>
      </c>
      <c r="K34" s="139">
        <v>166242</v>
      </c>
      <c r="L34" s="139">
        <v>-21198</v>
      </c>
      <c r="M34" s="139"/>
      <c r="N34" s="139">
        <v>344435</v>
      </c>
      <c r="O34" s="139">
        <v>141655</v>
      </c>
      <c r="P34" s="139">
        <v>486090</v>
      </c>
    </row>
    <row r="35" spans="1:16">
      <c r="A35" s="132" t="s">
        <v>46</v>
      </c>
      <c r="B35" s="132" t="s">
        <v>22</v>
      </c>
      <c r="C35" s="132" t="s">
        <v>22</v>
      </c>
      <c r="D35" s="132" t="s">
        <v>22</v>
      </c>
      <c r="E35" s="132"/>
      <c r="F35" s="132" t="s">
        <v>22</v>
      </c>
      <c r="G35" s="132" t="s">
        <v>22</v>
      </c>
      <c r="H35" s="132" t="s">
        <v>22</v>
      </c>
      <c r="I35" s="132"/>
      <c r="J35" s="132" t="s">
        <v>22</v>
      </c>
      <c r="K35" s="132" t="s">
        <v>22</v>
      </c>
      <c r="L35" s="132" t="s">
        <v>22</v>
      </c>
      <c r="M35" s="132"/>
      <c r="N35" s="132" t="s">
        <v>22</v>
      </c>
      <c r="O35" s="132" t="s">
        <v>22</v>
      </c>
      <c r="P35" s="132" t="s">
        <v>22</v>
      </c>
    </row>
    <row r="36" spans="1:16">
      <c r="A36" s="132" t="s">
        <v>47</v>
      </c>
      <c r="B36" s="139">
        <v>82420</v>
      </c>
      <c r="C36" s="139">
        <v>104803</v>
      </c>
      <c r="D36" s="139">
        <v>-22382</v>
      </c>
      <c r="E36" s="142">
        <v>2</v>
      </c>
      <c r="F36" s="139">
        <v>4292</v>
      </c>
      <c r="G36" s="139">
        <v>2766</v>
      </c>
      <c r="H36" s="139">
        <v>1526</v>
      </c>
      <c r="I36" s="139"/>
      <c r="J36" s="139">
        <v>86712</v>
      </c>
      <c r="K36" s="139">
        <v>107567</v>
      </c>
      <c r="L36" s="139">
        <v>-20856</v>
      </c>
      <c r="M36" s="139"/>
      <c r="N36" s="139">
        <v>264805</v>
      </c>
      <c r="O36" s="139">
        <v>17860</v>
      </c>
      <c r="P36" s="139">
        <v>282664</v>
      </c>
    </row>
    <row r="37" spans="1:16">
      <c r="A37" s="132" t="s">
        <v>48</v>
      </c>
      <c r="B37" s="132" t="s">
        <v>24</v>
      </c>
      <c r="C37" s="132" t="s">
        <v>24</v>
      </c>
      <c r="D37" s="132" t="s">
        <v>24</v>
      </c>
      <c r="E37" s="132"/>
      <c r="F37" s="132" t="s">
        <v>24</v>
      </c>
      <c r="G37" s="132" t="s">
        <v>24</v>
      </c>
      <c r="H37" s="132" t="s">
        <v>24</v>
      </c>
      <c r="I37" s="132"/>
      <c r="J37" s="132" t="s">
        <v>24</v>
      </c>
      <c r="K37" s="132" t="s">
        <v>24</v>
      </c>
      <c r="L37" s="132" t="s">
        <v>24</v>
      </c>
      <c r="M37" s="132"/>
      <c r="N37" s="132" t="s">
        <v>24</v>
      </c>
      <c r="O37" s="132" t="s">
        <v>24</v>
      </c>
      <c r="P37" s="132" t="s">
        <v>24</v>
      </c>
    </row>
    <row r="38" spans="1:16">
      <c r="A38" s="132" t="s">
        <v>49</v>
      </c>
      <c r="B38" s="139">
        <v>16659</v>
      </c>
      <c r="C38" s="139">
        <v>16658</v>
      </c>
      <c r="D38" s="139">
        <v>0</v>
      </c>
      <c r="E38" s="139"/>
      <c r="F38" s="139">
        <v>9557</v>
      </c>
      <c r="G38" s="139">
        <v>9557</v>
      </c>
      <c r="H38" s="139">
        <v>0</v>
      </c>
      <c r="I38" s="139"/>
      <c r="J38" s="139">
        <v>26216</v>
      </c>
      <c r="K38" s="139">
        <v>26216</v>
      </c>
      <c r="L38" s="139">
        <v>0</v>
      </c>
      <c r="M38" s="139"/>
      <c r="N38" s="139">
        <v>49976</v>
      </c>
      <c r="O38" s="139">
        <v>28671</v>
      </c>
      <c r="P38" s="139">
        <v>78648</v>
      </c>
    </row>
    <row r="39" spans="1:16">
      <c r="A39" s="132" t="s">
        <v>50</v>
      </c>
      <c r="B39" s="139">
        <v>839</v>
      </c>
      <c r="C39" s="139">
        <v>545</v>
      </c>
      <c r="D39" s="139">
        <v>294</v>
      </c>
      <c r="E39" s="142">
        <v>3</v>
      </c>
      <c r="F39" s="139">
        <v>18448</v>
      </c>
      <c r="G39" s="139">
        <v>572</v>
      </c>
      <c r="H39" s="139">
        <v>17876</v>
      </c>
      <c r="I39" s="142">
        <v>12</v>
      </c>
      <c r="J39" s="139">
        <v>19286</v>
      </c>
      <c r="K39" s="139">
        <v>1117</v>
      </c>
      <c r="L39" s="139">
        <v>18170</v>
      </c>
      <c r="M39" s="139"/>
      <c r="N39" s="139">
        <v>1683</v>
      </c>
      <c r="O39" s="139">
        <v>19019</v>
      </c>
      <c r="P39" s="139">
        <v>20702</v>
      </c>
    </row>
    <row r="40" spans="1:16">
      <c r="A40" s="132" t="s">
        <v>51</v>
      </c>
      <c r="B40" s="139">
        <v>10636</v>
      </c>
      <c r="C40" s="139">
        <v>11044</v>
      </c>
      <c r="D40" s="139">
        <v>-407</v>
      </c>
      <c r="E40" s="139"/>
      <c r="F40" s="139">
        <v>2241</v>
      </c>
      <c r="G40" s="139">
        <v>1966</v>
      </c>
      <c r="H40" s="139">
        <v>274</v>
      </c>
      <c r="I40" s="139"/>
      <c r="J40" s="139">
        <v>12877</v>
      </c>
      <c r="K40" s="139">
        <v>13010</v>
      </c>
      <c r="L40" s="139">
        <v>-133</v>
      </c>
      <c r="M40" s="139"/>
      <c r="N40" s="139">
        <v>32719</v>
      </c>
      <c r="O40" s="139">
        <v>6704</v>
      </c>
      <c r="P40" s="139">
        <v>39423</v>
      </c>
    </row>
    <row r="41" spans="1:16">
      <c r="A41" s="132" t="s">
        <v>52</v>
      </c>
      <c r="B41" s="140">
        <v>28134</v>
      </c>
      <c r="C41" s="140">
        <v>28247</v>
      </c>
      <c r="D41" s="140">
        <v>-113</v>
      </c>
      <c r="E41" s="140"/>
      <c r="F41" s="140">
        <v>30246</v>
      </c>
      <c r="G41" s="140">
        <v>12095</v>
      </c>
      <c r="H41" s="140">
        <v>18150</v>
      </c>
      <c r="I41" s="140"/>
      <c r="J41" s="140">
        <v>58379</v>
      </c>
      <c r="K41" s="140">
        <v>40343</v>
      </c>
      <c r="L41" s="140">
        <v>18037</v>
      </c>
      <c r="M41" s="140"/>
      <c r="N41" s="140">
        <v>84378</v>
      </c>
      <c r="O41" s="140">
        <v>54394</v>
      </c>
      <c r="P41" s="140">
        <v>138773</v>
      </c>
    </row>
    <row r="42" spans="1:16">
      <c r="A42" s="132" t="s">
        <v>53</v>
      </c>
      <c r="B42" s="132" t="s">
        <v>24</v>
      </c>
      <c r="C42" s="132" t="s">
        <v>24</v>
      </c>
      <c r="D42" s="132" t="s">
        <v>24</v>
      </c>
      <c r="E42" s="132"/>
      <c r="F42" s="132" t="s">
        <v>24</v>
      </c>
      <c r="G42" s="132" t="s">
        <v>24</v>
      </c>
      <c r="H42" s="132" t="s">
        <v>24</v>
      </c>
      <c r="I42" s="132"/>
      <c r="J42" s="132" t="s">
        <v>24</v>
      </c>
      <c r="K42" s="132" t="s">
        <v>24</v>
      </c>
      <c r="L42" s="132" t="s">
        <v>24</v>
      </c>
      <c r="M42" s="132"/>
      <c r="N42" s="132" t="s">
        <v>24</v>
      </c>
      <c r="O42" s="132" t="s">
        <v>24</v>
      </c>
      <c r="P42" s="132" t="s">
        <v>24</v>
      </c>
    </row>
    <row r="43" spans="1:16">
      <c r="A43" s="132" t="s">
        <v>54</v>
      </c>
      <c r="B43" s="139">
        <v>19151</v>
      </c>
      <c r="C43" s="139">
        <v>19050</v>
      </c>
      <c r="D43" s="139">
        <v>100</v>
      </c>
      <c r="E43" s="139"/>
      <c r="F43" s="139">
        <v>7277</v>
      </c>
      <c r="G43" s="139">
        <v>8399</v>
      </c>
      <c r="H43" s="139">
        <v>-1121</v>
      </c>
      <c r="I43" s="142">
        <v>14</v>
      </c>
      <c r="J43" s="139">
        <v>26429</v>
      </c>
      <c r="K43" s="139">
        <v>27450</v>
      </c>
      <c r="L43" s="139">
        <v>-1022</v>
      </c>
      <c r="M43" s="139"/>
      <c r="N43" s="139">
        <v>57104</v>
      </c>
      <c r="O43" s="139">
        <v>23938</v>
      </c>
      <c r="P43" s="139">
        <v>81042</v>
      </c>
    </row>
    <row r="44" spans="1:16">
      <c r="A44" s="132" t="s">
        <v>55</v>
      </c>
      <c r="B44" s="139">
        <v>45364</v>
      </c>
      <c r="C44" s="139">
        <v>72845</v>
      </c>
      <c r="D44" s="139">
        <v>-27481</v>
      </c>
      <c r="E44" s="142">
        <v>4</v>
      </c>
      <c r="F44" s="139">
        <v>2839</v>
      </c>
      <c r="G44" s="139">
        <v>2635</v>
      </c>
      <c r="H44" s="139">
        <v>203</v>
      </c>
      <c r="I44" s="139"/>
      <c r="J44" s="139">
        <v>48202</v>
      </c>
      <c r="K44" s="139">
        <v>75479</v>
      </c>
      <c r="L44" s="139">
        <v>-27277</v>
      </c>
      <c r="M44" s="139"/>
      <c r="N44" s="139">
        <v>171154</v>
      </c>
      <c r="O44" s="139">
        <v>7822</v>
      </c>
      <c r="P44" s="139">
        <v>178977</v>
      </c>
    </row>
    <row r="45" spans="1:16">
      <c r="A45" s="132" t="s">
        <v>56</v>
      </c>
      <c r="B45" s="139">
        <v>3300</v>
      </c>
      <c r="C45" s="139">
        <v>3812</v>
      </c>
      <c r="D45" s="139">
        <v>-511</v>
      </c>
      <c r="E45" s="139"/>
      <c r="F45" s="139">
        <v>1996</v>
      </c>
      <c r="G45" s="139">
        <v>2502</v>
      </c>
      <c r="H45" s="139">
        <v>-505</v>
      </c>
      <c r="I45" s="139"/>
      <c r="J45" s="139">
        <v>5297</v>
      </c>
      <c r="K45" s="139">
        <v>6313</v>
      </c>
      <c r="L45" s="139">
        <v>-1016</v>
      </c>
      <c r="M45" s="139"/>
      <c r="N45" s="139">
        <v>11817</v>
      </c>
      <c r="O45" s="139">
        <v>6765</v>
      </c>
      <c r="P45" s="139">
        <v>18581</v>
      </c>
    </row>
    <row r="46" spans="1:16">
      <c r="A46" s="132" t="s">
        <v>57</v>
      </c>
      <c r="B46" s="140">
        <v>67815</v>
      </c>
      <c r="C46" s="140">
        <v>95707</v>
      </c>
      <c r="D46" s="140">
        <v>-27892</v>
      </c>
      <c r="E46" s="140"/>
      <c r="F46" s="140">
        <v>12112</v>
      </c>
      <c r="G46" s="140">
        <v>13536</v>
      </c>
      <c r="H46" s="140">
        <v>-1423</v>
      </c>
      <c r="I46" s="140"/>
      <c r="J46" s="140">
        <v>79928</v>
      </c>
      <c r="K46" s="140">
        <v>109242</v>
      </c>
      <c r="L46" s="140">
        <v>-29315</v>
      </c>
      <c r="M46" s="140"/>
      <c r="N46" s="140">
        <v>240075</v>
      </c>
      <c r="O46" s="140">
        <v>38525</v>
      </c>
      <c r="P46" s="140">
        <v>278600</v>
      </c>
    </row>
    <row r="47" spans="1:16">
      <c r="A47" s="132" t="s">
        <v>58</v>
      </c>
      <c r="B47" s="132" t="s">
        <v>24</v>
      </c>
      <c r="C47" s="132" t="s">
        <v>24</v>
      </c>
      <c r="D47" s="132" t="s">
        <v>24</v>
      </c>
      <c r="E47" s="132"/>
      <c r="F47" s="132" t="s">
        <v>24</v>
      </c>
      <c r="G47" s="132" t="s">
        <v>24</v>
      </c>
      <c r="H47" s="132" t="s">
        <v>24</v>
      </c>
      <c r="I47" s="132"/>
      <c r="J47" s="132" t="s">
        <v>24</v>
      </c>
      <c r="K47" s="132" t="s">
        <v>24</v>
      </c>
      <c r="L47" s="132" t="s">
        <v>24</v>
      </c>
      <c r="M47" s="132"/>
      <c r="N47" s="132" t="s">
        <v>24</v>
      </c>
      <c r="O47" s="132" t="s">
        <v>24</v>
      </c>
      <c r="P47" s="132" t="s">
        <v>24</v>
      </c>
    </row>
    <row r="48" spans="1:16">
      <c r="A48" s="132" t="s">
        <v>59</v>
      </c>
      <c r="B48" s="139">
        <v>7153</v>
      </c>
      <c r="C48" s="139">
        <v>2308</v>
      </c>
      <c r="D48" s="139">
        <v>4844</v>
      </c>
      <c r="E48" s="142">
        <v>5</v>
      </c>
      <c r="F48" s="139">
        <v>834</v>
      </c>
      <c r="G48" s="139">
        <v>812</v>
      </c>
      <c r="H48" s="139">
        <v>22</v>
      </c>
      <c r="I48" s="139"/>
      <c r="J48" s="139">
        <v>7987</v>
      </c>
      <c r="K48" s="139">
        <v>3121</v>
      </c>
      <c r="L48" s="139">
        <v>4866</v>
      </c>
      <c r="M48" s="139"/>
      <c r="N48" s="139">
        <v>13500</v>
      </c>
      <c r="O48" s="139">
        <v>2127</v>
      </c>
      <c r="P48" s="139">
        <v>15627</v>
      </c>
    </row>
    <row r="49" spans="1:16">
      <c r="A49" s="132" t="s">
        <v>60</v>
      </c>
      <c r="B49" s="140">
        <v>7153</v>
      </c>
      <c r="C49" s="140">
        <v>2308</v>
      </c>
      <c r="D49" s="140">
        <v>4844</v>
      </c>
      <c r="E49" s="140"/>
      <c r="F49" s="140">
        <v>834</v>
      </c>
      <c r="G49" s="140">
        <v>812</v>
      </c>
      <c r="H49" s="140">
        <v>22</v>
      </c>
      <c r="I49" s="140"/>
      <c r="J49" s="140">
        <v>7987</v>
      </c>
      <c r="K49" s="140">
        <v>3121</v>
      </c>
      <c r="L49" s="140">
        <v>4866</v>
      </c>
      <c r="M49" s="140"/>
      <c r="N49" s="140">
        <v>13500</v>
      </c>
      <c r="O49" s="140">
        <v>2127</v>
      </c>
      <c r="P49" s="140">
        <v>15627</v>
      </c>
    </row>
    <row r="50" spans="1:16">
      <c r="A50" s="132" t="s">
        <v>61</v>
      </c>
      <c r="B50" s="132" t="s">
        <v>24</v>
      </c>
      <c r="C50" s="132" t="s">
        <v>24</v>
      </c>
      <c r="D50" s="132" t="s">
        <v>24</v>
      </c>
      <c r="E50" s="132"/>
      <c r="F50" s="132" t="s">
        <v>24</v>
      </c>
      <c r="G50" s="132" t="s">
        <v>24</v>
      </c>
      <c r="H50" s="132" t="s">
        <v>24</v>
      </c>
      <c r="I50" s="132"/>
      <c r="J50" s="132" t="s">
        <v>24</v>
      </c>
      <c r="K50" s="132" t="s">
        <v>24</v>
      </c>
      <c r="L50" s="132" t="s">
        <v>24</v>
      </c>
      <c r="M50" s="132"/>
      <c r="N50" s="132" t="s">
        <v>24</v>
      </c>
      <c r="O50" s="132" t="s">
        <v>24</v>
      </c>
      <c r="P50" s="132" t="s">
        <v>24</v>
      </c>
    </row>
    <row r="51" spans="1:16">
      <c r="A51" s="132" t="s">
        <v>62</v>
      </c>
      <c r="B51" s="139">
        <v>4098</v>
      </c>
      <c r="C51" s="139">
        <v>5365</v>
      </c>
      <c r="D51" s="139">
        <v>-1266</v>
      </c>
      <c r="E51" s="142">
        <v>6</v>
      </c>
      <c r="F51" s="139">
        <v>2700</v>
      </c>
      <c r="G51" s="139">
        <v>3216</v>
      </c>
      <c r="H51" s="139">
        <v>-516</v>
      </c>
      <c r="I51" s="142">
        <v>13</v>
      </c>
      <c r="J51" s="139">
        <v>6798</v>
      </c>
      <c r="K51" s="139">
        <v>8580</v>
      </c>
      <c r="L51" s="139">
        <v>-1783</v>
      </c>
      <c r="M51" s="139"/>
      <c r="N51" s="139">
        <v>14222</v>
      </c>
      <c r="O51" s="139">
        <v>8810</v>
      </c>
      <c r="P51" s="139">
        <v>23032</v>
      </c>
    </row>
    <row r="52" spans="1:16">
      <c r="A52" s="132" t="s">
        <v>63</v>
      </c>
      <c r="B52" s="139">
        <v>3600</v>
      </c>
      <c r="C52" s="139">
        <v>1000</v>
      </c>
      <c r="D52" s="139">
        <v>2600</v>
      </c>
      <c r="E52" s="142">
        <v>7</v>
      </c>
      <c r="F52" s="139">
        <v>0</v>
      </c>
      <c r="G52" s="139">
        <v>0</v>
      </c>
      <c r="H52" s="139">
        <v>0</v>
      </c>
      <c r="I52" s="139"/>
      <c r="J52" s="139">
        <v>3600</v>
      </c>
      <c r="K52" s="139">
        <v>1000</v>
      </c>
      <c r="L52" s="139">
        <v>2600</v>
      </c>
      <c r="M52" s="139"/>
      <c r="N52" s="139">
        <v>5600</v>
      </c>
      <c r="O52" s="139">
        <v>0</v>
      </c>
      <c r="P52" s="139">
        <v>5600</v>
      </c>
    </row>
    <row r="53" spans="1:16">
      <c r="A53" s="132" t="s">
        <v>64</v>
      </c>
      <c r="B53" s="139">
        <v>175</v>
      </c>
      <c r="C53" s="139">
        <v>110</v>
      </c>
      <c r="D53" s="139">
        <v>65</v>
      </c>
      <c r="E53" s="143"/>
      <c r="F53" s="139">
        <v>0</v>
      </c>
      <c r="G53" s="139">
        <v>0</v>
      </c>
      <c r="H53" s="139">
        <v>0</v>
      </c>
      <c r="I53" s="139"/>
      <c r="J53" s="139">
        <v>175</v>
      </c>
      <c r="K53" s="139">
        <v>110</v>
      </c>
      <c r="L53" s="139">
        <v>66</v>
      </c>
      <c r="M53" s="139"/>
      <c r="N53" s="139">
        <v>570</v>
      </c>
      <c r="O53" s="139">
        <v>0</v>
      </c>
      <c r="P53" s="139">
        <v>570</v>
      </c>
    </row>
    <row r="54" spans="1:16">
      <c r="A54" s="132" t="s">
        <v>65</v>
      </c>
      <c r="B54" s="139">
        <v>3053</v>
      </c>
      <c r="C54" s="139">
        <v>3501</v>
      </c>
      <c r="D54" s="139">
        <v>-449</v>
      </c>
      <c r="E54" s="143"/>
      <c r="F54" s="139">
        <v>0</v>
      </c>
      <c r="G54" s="139">
        <v>0</v>
      </c>
      <c r="H54" s="139">
        <v>0</v>
      </c>
      <c r="I54" s="139"/>
      <c r="J54" s="139">
        <v>3053</v>
      </c>
      <c r="K54" s="139">
        <v>3502</v>
      </c>
      <c r="L54" s="139">
        <v>-449</v>
      </c>
      <c r="M54" s="139"/>
      <c r="N54" s="139">
        <v>10861</v>
      </c>
      <c r="O54" s="139">
        <v>-127</v>
      </c>
      <c r="P54" s="139">
        <v>10734</v>
      </c>
    </row>
    <row r="55" spans="1:16">
      <c r="A55" s="132" t="s">
        <v>66</v>
      </c>
      <c r="B55" s="132" t="s">
        <v>67</v>
      </c>
      <c r="C55" s="132" t="s">
        <v>67</v>
      </c>
      <c r="D55" s="132" t="s">
        <v>67</v>
      </c>
      <c r="E55" s="135"/>
      <c r="F55" s="132" t="s">
        <v>67</v>
      </c>
      <c r="G55" s="132" t="s">
        <v>67</v>
      </c>
      <c r="H55" s="132" t="s">
        <v>67</v>
      </c>
      <c r="I55" s="132"/>
      <c r="J55" s="132" t="s">
        <v>67</v>
      </c>
      <c r="K55" s="132" t="s">
        <v>67</v>
      </c>
      <c r="L55" s="132" t="s">
        <v>67</v>
      </c>
      <c r="M55" s="132"/>
      <c r="N55" s="132" t="s">
        <v>67</v>
      </c>
      <c r="O55" s="132" t="s">
        <v>67</v>
      </c>
      <c r="P55" s="132" t="s">
        <v>67</v>
      </c>
    </row>
    <row r="56" spans="1:16">
      <c r="A56" s="132" t="s">
        <v>68</v>
      </c>
      <c r="B56" s="139">
        <v>5361</v>
      </c>
      <c r="C56" s="139">
        <v>5371</v>
      </c>
      <c r="D56" s="139">
        <v>-9</v>
      </c>
      <c r="E56" s="143"/>
      <c r="F56" s="139">
        <v>1838</v>
      </c>
      <c r="G56" s="139">
        <v>2095</v>
      </c>
      <c r="H56" s="139">
        <v>-258</v>
      </c>
      <c r="I56" s="139"/>
      <c r="J56" s="139">
        <v>7199</v>
      </c>
      <c r="K56" s="139">
        <v>7466</v>
      </c>
      <c r="L56" s="139">
        <v>-267</v>
      </c>
      <c r="M56" s="139"/>
      <c r="N56" s="139">
        <v>17112</v>
      </c>
      <c r="O56" s="139">
        <v>3952</v>
      </c>
      <c r="P56" s="139">
        <v>21064</v>
      </c>
    </row>
    <row r="57" spans="1:16">
      <c r="A57" s="132" t="s">
        <v>69</v>
      </c>
      <c r="B57" s="139">
        <v>1097</v>
      </c>
      <c r="C57" s="139">
        <v>2196</v>
      </c>
      <c r="D57" s="139">
        <v>-1100</v>
      </c>
      <c r="E57" s="142">
        <v>8</v>
      </c>
      <c r="F57" s="139">
        <v>637</v>
      </c>
      <c r="G57" s="139">
        <v>1487</v>
      </c>
      <c r="H57" s="139">
        <v>-849</v>
      </c>
      <c r="I57" s="139"/>
      <c r="J57" s="139">
        <v>1734</v>
      </c>
      <c r="K57" s="139">
        <v>3683</v>
      </c>
      <c r="L57" s="139">
        <v>-1949</v>
      </c>
      <c r="M57" s="139"/>
      <c r="N57" s="139">
        <v>4739</v>
      </c>
      <c r="O57" s="139">
        <v>2366</v>
      </c>
      <c r="P57" s="139">
        <v>7105</v>
      </c>
    </row>
    <row r="58" spans="1:16">
      <c r="A58" s="132" t="s">
        <v>70</v>
      </c>
      <c r="B58" s="140">
        <v>6458</v>
      </c>
      <c r="C58" s="140">
        <v>7567</v>
      </c>
      <c r="D58" s="140">
        <v>-1109</v>
      </c>
      <c r="E58" s="140"/>
      <c r="F58" s="140">
        <v>2475</v>
      </c>
      <c r="G58" s="140">
        <v>3582</v>
      </c>
      <c r="H58" s="140">
        <v>-1107</v>
      </c>
      <c r="I58" s="140"/>
      <c r="J58" s="140">
        <v>8933</v>
      </c>
      <c r="K58" s="140">
        <v>11149</v>
      </c>
      <c r="L58" s="140">
        <v>-2216</v>
      </c>
      <c r="M58" s="140"/>
      <c r="N58" s="140">
        <v>21851</v>
      </c>
      <c r="O58" s="140">
        <v>6318</v>
      </c>
      <c r="P58" s="140">
        <v>28169</v>
      </c>
    </row>
    <row r="59" spans="1:16">
      <c r="A59" s="132" t="s">
        <v>71</v>
      </c>
      <c r="B59" s="140">
        <v>17384</v>
      </c>
      <c r="C59" s="140">
        <v>17543</v>
      </c>
      <c r="D59" s="140">
        <v>-159</v>
      </c>
      <c r="E59" s="140"/>
      <c r="F59" s="140">
        <v>5175</v>
      </c>
      <c r="G59" s="140">
        <v>6798</v>
      </c>
      <c r="H59" s="140">
        <v>-1623</v>
      </c>
      <c r="I59" s="140"/>
      <c r="J59" s="140">
        <v>22559</v>
      </c>
      <c r="K59" s="140">
        <v>24341</v>
      </c>
      <c r="L59" s="140">
        <v>-1782</v>
      </c>
      <c r="M59" s="140"/>
      <c r="N59" s="140">
        <v>53104</v>
      </c>
      <c r="O59" s="140">
        <v>15001</v>
      </c>
      <c r="P59" s="140">
        <v>68105</v>
      </c>
    </row>
    <row r="60" spans="1:16">
      <c r="A60" s="132" t="s">
        <v>72</v>
      </c>
      <c r="B60" s="132" t="s">
        <v>24</v>
      </c>
      <c r="C60" s="132" t="s">
        <v>24</v>
      </c>
      <c r="D60" s="132" t="s">
        <v>24</v>
      </c>
      <c r="E60" s="132"/>
      <c r="F60" s="132" t="s">
        <v>24</v>
      </c>
      <c r="G60" s="132" t="s">
        <v>24</v>
      </c>
      <c r="H60" s="132" t="s">
        <v>24</v>
      </c>
      <c r="I60" s="132"/>
      <c r="J60" s="132" t="s">
        <v>24</v>
      </c>
      <c r="K60" s="132" t="s">
        <v>24</v>
      </c>
      <c r="L60" s="132" t="s">
        <v>24</v>
      </c>
      <c r="M60" s="132"/>
      <c r="N60" s="132" t="s">
        <v>24</v>
      </c>
      <c r="O60" s="132" t="s">
        <v>24</v>
      </c>
      <c r="P60" s="132" t="s">
        <v>24</v>
      </c>
    </row>
    <row r="61" spans="1:16">
      <c r="A61" s="132" t="s">
        <v>73</v>
      </c>
      <c r="B61" s="139">
        <v>5488</v>
      </c>
      <c r="C61" s="139">
        <v>5477</v>
      </c>
      <c r="D61" s="139">
        <v>12</v>
      </c>
      <c r="E61" s="139"/>
      <c r="F61" s="139">
        <v>1942</v>
      </c>
      <c r="G61" s="139">
        <v>1942</v>
      </c>
      <c r="H61" s="139">
        <v>0</v>
      </c>
      <c r="I61" s="139"/>
      <c r="J61" s="139">
        <v>7430</v>
      </c>
      <c r="K61" s="139">
        <v>7419</v>
      </c>
      <c r="L61" s="139">
        <v>12</v>
      </c>
      <c r="M61" s="139"/>
      <c r="N61" s="139">
        <v>16449</v>
      </c>
      <c r="O61" s="139">
        <v>5825</v>
      </c>
      <c r="P61" s="139">
        <v>22274</v>
      </c>
    </row>
    <row r="62" spans="1:16">
      <c r="A62" s="132" t="s">
        <v>74</v>
      </c>
      <c r="B62" s="139">
        <v>0</v>
      </c>
      <c r="C62" s="139">
        <v>25</v>
      </c>
      <c r="D62" s="139">
        <v>-25</v>
      </c>
      <c r="E62" s="139"/>
      <c r="F62" s="139">
        <v>0</v>
      </c>
      <c r="G62" s="139">
        <v>0</v>
      </c>
      <c r="H62" s="139">
        <v>0</v>
      </c>
      <c r="I62" s="139"/>
      <c r="J62" s="139">
        <v>0</v>
      </c>
      <c r="K62" s="139">
        <v>25</v>
      </c>
      <c r="L62" s="139">
        <v>-25</v>
      </c>
      <c r="M62" s="139"/>
      <c r="N62" s="139">
        <v>712</v>
      </c>
      <c r="O62" s="139">
        <v>0</v>
      </c>
      <c r="P62" s="139">
        <v>713</v>
      </c>
    </row>
    <row r="63" spans="1:16">
      <c r="A63" s="132" t="s">
        <v>75</v>
      </c>
      <c r="B63" s="140">
        <v>5488</v>
      </c>
      <c r="C63" s="140">
        <v>5502</v>
      </c>
      <c r="D63" s="140">
        <v>-13</v>
      </c>
      <c r="E63" s="140"/>
      <c r="F63" s="140">
        <v>1942</v>
      </c>
      <c r="G63" s="140">
        <v>1942</v>
      </c>
      <c r="H63" s="140">
        <v>0</v>
      </c>
      <c r="I63" s="140"/>
      <c r="J63" s="140">
        <v>7430</v>
      </c>
      <c r="K63" s="140">
        <v>7444</v>
      </c>
      <c r="L63" s="140">
        <v>-13</v>
      </c>
      <c r="M63" s="140"/>
      <c r="N63" s="140">
        <v>17161</v>
      </c>
      <c r="O63" s="140">
        <v>5825</v>
      </c>
      <c r="P63" s="140">
        <v>22987</v>
      </c>
    </row>
    <row r="64" spans="1:16">
      <c r="A64" s="132" t="s">
        <v>76</v>
      </c>
      <c r="B64" s="140">
        <v>208394</v>
      </c>
      <c r="C64" s="140">
        <v>254110</v>
      </c>
      <c r="D64" s="140">
        <v>-45715</v>
      </c>
      <c r="E64" s="140"/>
      <c r="F64" s="140">
        <v>54601</v>
      </c>
      <c r="G64" s="140">
        <v>37949</v>
      </c>
      <c r="H64" s="140">
        <v>16652</v>
      </c>
      <c r="I64" s="140"/>
      <c r="J64" s="140">
        <v>262995</v>
      </c>
      <c r="K64" s="140">
        <v>292058</v>
      </c>
      <c r="L64" s="140">
        <v>-29063</v>
      </c>
      <c r="M64" s="140"/>
      <c r="N64" s="140">
        <v>673023</v>
      </c>
      <c r="O64" s="140">
        <v>133732</v>
      </c>
      <c r="P64" s="140">
        <v>806756</v>
      </c>
    </row>
    <row r="65" spans="1:16">
      <c r="A65" s="132" t="s">
        <v>77</v>
      </c>
      <c r="B65" s="144">
        <v>127750</v>
      </c>
      <c r="C65" s="144">
        <v>35967</v>
      </c>
      <c r="D65" s="144">
        <v>91782</v>
      </c>
      <c r="E65" s="144"/>
      <c r="F65" s="144">
        <v>-7037</v>
      </c>
      <c r="G65" s="144">
        <v>48266</v>
      </c>
      <c r="H65" s="144">
        <v>-55303</v>
      </c>
      <c r="I65" s="144"/>
      <c r="J65" s="144">
        <v>120713</v>
      </c>
      <c r="K65" s="144">
        <v>84233</v>
      </c>
      <c r="L65" s="144">
        <v>36479</v>
      </c>
      <c r="M65" s="144"/>
      <c r="N65" s="144">
        <v>172956</v>
      </c>
      <c r="O65" s="144">
        <v>17613</v>
      </c>
      <c r="P65" s="144">
        <v>190568</v>
      </c>
    </row>
    <row r="66" spans="1:16">
      <c r="A66" s="132" t="s">
        <v>78</v>
      </c>
      <c r="B66" s="133" t="s">
        <v>20</v>
      </c>
      <c r="C66" s="133" t="s">
        <v>20</v>
      </c>
      <c r="D66" s="133" t="s">
        <v>20</v>
      </c>
      <c r="E66" s="133"/>
      <c r="F66" s="133" t="s">
        <v>20</v>
      </c>
      <c r="G66" s="133" t="s">
        <v>20</v>
      </c>
      <c r="H66" s="133" t="s">
        <v>20</v>
      </c>
      <c r="I66" s="133"/>
      <c r="J66" s="133" t="s">
        <v>20</v>
      </c>
      <c r="K66" s="133" t="s">
        <v>20</v>
      </c>
      <c r="L66" s="133" t="s">
        <v>20</v>
      </c>
      <c r="M66" s="133"/>
      <c r="N66" s="133" t="s">
        <v>20</v>
      </c>
      <c r="O66" s="133" t="s">
        <v>20</v>
      </c>
      <c r="P66" s="133" t="s">
        <v>20</v>
      </c>
    </row>
    <row r="67" spans="1:16">
      <c r="A67" s="132" t="s">
        <v>79</v>
      </c>
      <c r="B67" s="132" t="s">
        <v>22</v>
      </c>
      <c r="C67" s="132" t="s">
        <v>22</v>
      </c>
      <c r="D67" s="132" t="s">
        <v>22</v>
      </c>
      <c r="E67" s="132"/>
      <c r="F67" s="132" t="s">
        <v>22</v>
      </c>
      <c r="G67" s="132" t="s">
        <v>22</v>
      </c>
      <c r="H67" s="132" t="s">
        <v>22</v>
      </c>
      <c r="I67" s="132"/>
      <c r="J67" s="132" t="s">
        <v>22</v>
      </c>
      <c r="K67" s="132" t="s">
        <v>22</v>
      </c>
      <c r="L67" s="132" t="s">
        <v>22</v>
      </c>
      <c r="M67" s="132"/>
      <c r="N67" s="132" t="s">
        <v>22</v>
      </c>
      <c r="O67" s="132" t="s">
        <v>22</v>
      </c>
      <c r="P67" s="132" t="s">
        <v>22</v>
      </c>
    </row>
    <row r="68" spans="1:16">
      <c r="A68" s="132" t="s">
        <v>80</v>
      </c>
      <c r="B68" s="139">
        <v>832</v>
      </c>
      <c r="C68" s="139">
        <v>1250</v>
      </c>
      <c r="D68" s="139">
        <v>-417</v>
      </c>
      <c r="E68" s="142">
        <v>9</v>
      </c>
      <c r="F68" s="139">
        <v>0</v>
      </c>
      <c r="G68" s="139">
        <v>0</v>
      </c>
      <c r="H68" s="139">
        <v>0</v>
      </c>
      <c r="I68" s="139"/>
      <c r="J68" s="139">
        <v>832</v>
      </c>
      <c r="K68" s="139">
        <v>1250</v>
      </c>
      <c r="L68" s="139">
        <v>-417</v>
      </c>
      <c r="M68" s="139"/>
      <c r="N68" s="139">
        <v>3695</v>
      </c>
      <c r="O68" s="139">
        <v>0</v>
      </c>
      <c r="P68" s="139">
        <v>3696</v>
      </c>
    </row>
    <row r="69" spans="1:16">
      <c r="A69" s="132" t="s">
        <v>81</v>
      </c>
      <c r="B69" s="139">
        <v>800</v>
      </c>
      <c r="C69" s="139">
        <v>0</v>
      </c>
      <c r="D69" s="139">
        <v>800</v>
      </c>
      <c r="E69" s="139"/>
      <c r="F69" s="139">
        <v>0</v>
      </c>
      <c r="G69" s="139">
        <v>0</v>
      </c>
      <c r="H69" s="139">
        <v>0</v>
      </c>
      <c r="I69" s="139"/>
      <c r="J69" s="139">
        <v>800</v>
      </c>
      <c r="K69" s="139">
        <v>0</v>
      </c>
      <c r="L69" s="139">
        <v>800</v>
      </c>
      <c r="M69" s="139"/>
      <c r="N69" s="139">
        <v>10800</v>
      </c>
      <c r="O69" s="139">
        <v>6000</v>
      </c>
      <c r="P69" s="139">
        <v>16800</v>
      </c>
    </row>
    <row r="70" spans="1:16">
      <c r="A70" s="132" t="s">
        <v>82</v>
      </c>
      <c r="B70" s="140">
        <v>1632</v>
      </c>
      <c r="C70" s="140">
        <v>1250</v>
      </c>
      <c r="D70" s="140">
        <v>383</v>
      </c>
      <c r="E70" s="140"/>
      <c r="F70" s="140">
        <v>0</v>
      </c>
      <c r="G70" s="140">
        <v>0</v>
      </c>
      <c r="H70" s="140">
        <v>0</v>
      </c>
      <c r="I70" s="140"/>
      <c r="J70" s="140">
        <v>1632</v>
      </c>
      <c r="K70" s="140">
        <v>1250</v>
      </c>
      <c r="L70" s="140">
        <v>383</v>
      </c>
      <c r="M70" s="140"/>
      <c r="N70" s="140">
        <v>14495</v>
      </c>
      <c r="O70" s="140">
        <v>6000</v>
      </c>
      <c r="P70" s="140">
        <v>20496</v>
      </c>
    </row>
    <row r="71" spans="1:16">
      <c r="A71" s="132" t="s">
        <v>83</v>
      </c>
      <c r="B71" s="132" t="s">
        <v>22</v>
      </c>
      <c r="C71" s="132" t="s">
        <v>22</v>
      </c>
      <c r="D71" s="132" t="s">
        <v>22</v>
      </c>
      <c r="E71" s="132"/>
      <c r="F71" s="132" t="s">
        <v>22</v>
      </c>
      <c r="G71" s="132" t="s">
        <v>22</v>
      </c>
      <c r="H71" s="132" t="s">
        <v>22</v>
      </c>
      <c r="I71" s="132"/>
      <c r="J71" s="132" t="s">
        <v>22</v>
      </c>
      <c r="K71" s="132" t="s">
        <v>22</v>
      </c>
      <c r="L71" s="132" t="s">
        <v>22</v>
      </c>
      <c r="M71" s="132"/>
      <c r="N71" s="132" t="s">
        <v>22</v>
      </c>
      <c r="O71" s="132" t="s">
        <v>22</v>
      </c>
      <c r="P71" s="132" t="s">
        <v>22</v>
      </c>
    </row>
    <row r="72" spans="1:16">
      <c r="A72" s="132" t="s">
        <v>84</v>
      </c>
      <c r="B72" s="139">
        <v>-754</v>
      </c>
      <c r="C72" s="139">
        <v>-1008</v>
      </c>
      <c r="D72" s="139">
        <v>254</v>
      </c>
      <c r="E72" s="142">
        <v>10</v>
      </c>
      <c r="F72" s="139">
        <v>-6446</v>
      </c>
      <c r="G72" s="139">
        <v>-6389</v>
      </c>
      <c r="H72" s="139">
        <v>-57</v>
      </c>
      <c r="I72" s="139"/>
      <c r="J72" s="139">
        <v>-7200</v>
      </c>
      <c r="K72" s="139">
        <v>-7396</v>
      </c>
      <c r="L72" s="139">
        <v>196</v>
      </c>
      <c r="M72" s="139"/>
      <c r="N72" s="139">
        <v>-2847</v>
      </c>
      <c r="O72" s="139">
        <v>-19357</v>
      </c>
      <c r="P72" s="139">
        <v>-22204</v>
      </c>
    </row>
    <row r="73" spans="1:16">
      <c r="A73" s="132" t="s">
        <v>85</v>
      </c>
      <c r="B73" s="139">
        <v>-16187</v>
      </c>
      <c r="C73" s="139">
        <v>-49115</v>
      </c>
      <c r="D73" s="139">
        <v>32928</v>
      </c>
      <c r="E73" s="139"/>
      <c r="F73" s="139">
        <v>0</v>
      </c>
      <c r="G73" s="139">
        <v>0</v>
      </c>
      <c r="H73" s="139">
        <v>0</v>
      </c>
      <c r="I73" s="139"/>
      <c r="J73" s="139">
        <v>-16187</v>
      </c>
      <c r="K73" s="139">
        <v>-49116</v>
      </c>
      <c r="L73" s="139">
        <v>32929</v>
      </c>
      <c r="M73" s="139"/>
      <c r="N73" s="139">
        <v>-90752</v>
      </c>
      <c r="O73" s="139">
        <v>0</v>
      </c>
      <c r="P73" s="139">
        <v>-90752</v>
      </c>
    </row>
    <row r="74" spans="1:16">
      <c r="A74" s="132" t="s">
        <v>86</v>
      </c>
      <c r="B74" s="140">
        <v>-16941</v>
      </c>
      <c r="C74" s="140">
        <v>-50123</v>
      </c>
      <c r="D74" s="140">
        <v>33182</v>
      </c>
      <c r="E74" s="140"/>
      <c r="F74" s="140">
        <v>-6446</v>
      </c>
      <c r="G74" s="140">
        <v>-6389</v>
      </c>
      <c r="H74" s="140">
        <v>-57</v>
      </c>
      <c r="I74" s="140"/>
      <c r="J74" s="140">
        <v>-23387</v>
      </c>
      <c r="K74" s="140">
        <v>-56512</v>
      </c>
      <c r="L74" s="140">
        <v>33125</v>
      </c>
      <c r="M74" s="140"/>
      <c r="N74" s="140">
        <v>-93599</v>
      </c>
      <c r="O74" s="140">
        <v>-19357</v>
      </c>
      <c r="P74" s="140">
        <v>-112956</v>
      </c>
    </row>
    <row r="75" spans="1:16">
      <c r="A75" s="132" t="s">
        <v>87</v>
      </c>
      <c r="B75" s="144">
        <v>-15309</v>
      </c>
      <c r="C75" s="144">
        <v>-48873</v>
      </c>
      <c r="D75" s="144">
        <v>33565</v>
      </c>
      <c r="E75" s="144"/>
      <c r="F75" s="144">
        <v>-6446</v>
      </c>
      <c r="G75" s="144">
        <v>-6389</v>
      </c>
      <c r="H75" s="144">
        <v>-57</v>
      </c>
      <c r="I75" s="144"/>
      <c r="J75" s="144">
        <v>-21755</v>
      </c>
      <c r="K75" s="144">
        <v>-55262</v>
      </c>
      <c r="L75" s="144">
        <v>33508</v>
      </c>
      <c r="M75" s="144"/>
      <c r="N75" s="144">
        <v>-79104</v>
      </c>
      <c r="O75" s="144">
        <v>-13357</v>
      </c>
      <c r="P75" s="144">
        <v>-92460</v>
      </c>
    </row>
    <row r="76" spans="1:16">
      <c r="A76" s="132" t="s">
        <v>88</v>
      </c>
      <c r="B76" s="133" t="s">
        <v>20</v>
      </c>
      <c r="C76" s="133" t="s">
        <v>20</v>
      </c>
      <c r="D76" s="133" t="s">
        <v>20</v>
      </c>
      <c r="E76" s="133"/>
      <c r="F76" s="133" t="s">
        <v>20</v>
      </c>
      <c r="G76" s="133" t="s">
        <v>20</v>
      </c>
      <c r="H76" s="133" t="s">
        <v>20</v>
      </c>
      <c r="I76" s="133"/>
      <c r="J76" s="133" t="s">
        <v>20</v>
      </c>
      <c r="K76" s="133" t="s">
        <v>20</v>
      </c>
      <c r="L76" s="133" t="s">
        <v>20</v>
      </c>
      <c r="M76" s="133"/>
      <c r="N76" s="133" t="s">
        <v>20</v>
      </c>
      <c r="O76" s="133" t="s">
        <v>20</v>
      </c>
      <c r="P76" s="133" t="s">
        <v>20</v>
      </c>
    </row>
    <row r="77" spans="1:16">
      <c r="A77" s="132" t="s">
        <v>89</v>
      </c>
      <c r="B77" s="139">
        <v>2118</v>
      </c>
      <c r="C77" s="139">
        <v>1442</v>
      </c>
      <c r="D77" s="139">
        <v>677</v>
      </c>
      <c r="E77" s="139"/>
      <c r="F77" s="139">
        <v>13749</v>
      </c>
      <c r="G77" s="139">
        <v>1249</v>
      </c>
      <c r="H77" s="139">
        <v>12500</v>
      </c>
      <c r="I77" s="139"/>
      <c r="J77" s="139">
        <v>15867</v>
      </c>
      <c r="K77" s="139">
        <v>2691</v>
      </c>
      <c r="L77" s="139">
        <v>13177</v>
      </c>
      <c r="M77" s="139"/>
      <c r="N77" s="139">
        <v>4905</v>
      </c>
      <c r="O77" s="139">
        <v>16572</v>
      </c>
      <c r="P77" s="139">
        <v>21478</v>
      </c>
    </row>
    <row r="78" spans="1:16">
      <c r="A78" s="132" t="s">
        <v>90</v>
      </c>
      <c r="B78" s="144">
        <v>2118</v>
      </c>
      <c r="C78" s="144">
        <v>1442</v>
      </c>
      <c r="D78" s="144">
        <v>677</v>
      </c>
      <c r="E78" s="144"/>
      <c r="F78" s="144">
        <v>13749</v>
      </c>
      <c r="G78" s="144">
        <v>1249</v>
      </c>
      <c r="H78" s="144">
        <v>12500</v>
      </c>
      <c r="I78" s="144"/>
      <c r="J78" s="144">
        <v>15867</v>
      </c>
      <c r="K78" s="144">
        <v>2691</v>
      </c>
      <c r="L78" s="144">
        <v>13177</v>
      </c>
      <c r="M78" s="144"/>
      <c r="N78" s="144">
        <v>4905</v>
      </c>
      <c r="O78" s="144">
        <v>16572</v>
      </c>
      <c r="P78" s="144">
        <v>21478</v>
      </c>
    </row>
    <row r="79" spans="1:16" ht="14.1" thickBot="1">
      <c r="A79" s="138" t="s">
        <v>91</v>
      </c>
      <c r="B79" s="145">
        <v>110323</v>
      </c>
      <c r="C79" s="145">
        <v>-14348</v>
      </c>
      <c r="D79" s="145">
        <v>124671</v>
      </c>
      <c r="E79" s="145"/>
      <c r="F79" s="145">
        <v>-27232</v>
      </c>
      <c r="G79" s="145">
        <v>40628</v>
      </c>
      <c r="H79" s="145">
        <v>-67860</v>
      </c>
      <c r="I79" s="145"/>
      <c r="J79" s="145">
        <v>83091</v>
      </c>
      <c r="K79" s="145">
        <v>26280</v>
      </c>
      <c r="L79" s="145">
        <v>56810</v>
      </c>
      <c r="M79" s="145"/>
      <c r="N79" s="145">
        <v>88947</v>
      </c>
      <c r="O79" s="145">
        <v>-12316</v>
      </c>
      <c r="P79" s="145">
        <v>76630</v>
      </c>
    </row>
    <row r="80" spans="1:16" ht="14.1" thickTop="1">
      <c r="A80" s="2" t="s">
        <v>8</v>
      </c>
    </row>
    <row r="81" spans="1:1">
      <c r="A81" s="2" t="s">
        <v>8</v>
      </c>
    </row>
    <row r="82" spans="1:1">
      <c r="A82" s="4" t="s">
        <v>92</v>
      </c>
    </row>
  </sheetData>
  <mergeCells count="3">
    <mergeCell ref="E15:E17"/>
    <mergeCell ref="I15:I17"/>
    <mergeCell ref="M15:M17"/>
  </mergeCells>
  <pageMargins left="0.75" right="0.75" top="1" bottom="1" header="0.5" footer="0.5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5610-445E-4F51-B5B3-A5EEC6AAD4FA}">
  <sheetPr>
    <tabColor rgb="FFFFFF00"/>
  </sheetPr>
  <dimension ref="A1:D22"/>
  <sheetViews>
    <sheetView workbookViewId="0">
      <selection activeCell="D16" sqref="D16"/>
    </sheetView>
  </sheetViews>
  <sheetFormatPr defaultColWidth="8.85546875" defaultRowHeight="12.95"/>
  <cols>
    <col min="1" max="1" width="14.85546875" customWidth="1"/>
    <col min="2" max="2" width="51.85546875" customWidth="1"/>
    <col min="3" max="3" width="21.140625" customWidth="1"/>
    <col min="4" max="4" width="101.7109375" customWidth="1"/>
  </cols>
  <sheetData>
    <row r="1" spans="1:4" ht="17.100000000000001">
      <c r="A1" s="5" t="s">
        <v>93</v>
      </c>
      <c r="B1" s="5" t="s">
        <v>94</v>
      </c>
      <c r="C1" s="6" t="s">
        <v>95</v>
      </c>
      <c r="D1" s="5" t="s">
        <v>96</v>
      </c>
    </row>
    <row r="2" spans="1:4">
      <c r="A2">
        <v>1</v>
      </c>
      <c r="B2" s="7" t="s">
        <v>97</v>
      </c>
      <c r="C2" t="s">
        <v>98</v>
      </c>
      <c r="D2" t="s">
        <v>99</v>
      </c>
    </row>
    <row r="3" spans="1:4">
      <c r="A3">
        <v>2</v>
      </c>
      <c r="B3" s="8" t="s">
        <v>100</v>
      </c>
      <c r="C3" t="s">
        <v>98</v>
      </c>
      <c r="D3" t="s">
        <v>101</v>
      </c>
    </row>
    <row r="4" spans="1:4">
      <c r="A4">
        <v>3</v>
      </c>
      <c r="B4" t="s">
        <v>102</v>
      </c>
      <c r="C4" t="s">
        <v>103</v>
      </c>
      <c r="D4" t="s">
        <v>104</v>
      </c>
    </row>
    <row r="5" spans="1:4">
      <c r="A5">
        <v>4</v>
      </c>
      <c r="B5" t="s">
        <v>105</v>
      </c>
      <c r="C5" t="s">
        <v>98</v>
      </c>
      <c r="D5" t="s">
        <v>106</v>
      </c>
    </row>
    <row r="6" spans="1:4">
      <c r="A6">
        <v>5</v>
      </c>
      <c r="B6" t="s">
        <v>107</v>
      </c>
      <c r="C6" t="s">
        <v>103</v>
      </c>
      <c r="D6" t="s">
        <v>108</v>
      </c>
    </row>
    <row r="7" spans="1:4" ht="14.1">
      <c r="A7">
        <v>6</v>
      </c>
      <c r="B7" t="s">
        <v>109</v>
      </c>
      <c r="C7" t="s">
        <v>98</v>
      </c>
      <c r="D7" s="9" t="s">
        <v>110</v>
      </c>
    </row>
    <row r="8" spans="1:4">
      <c r="A8">
        <v>7</v>
      </c>
      <c r="B8" t="s">
        <v>111</v>
      </c>
      <c r="C8" t="s">
        <v>103</v>
      </c>
      <c r="D8" t="s">
        <v>112</v>
      </c>
    </row>
    <row r="9" spans="1:4">
      <c r="A9">
        <v>8</v>
      </c>
      <c r="B9" t="s">
        <v>113</v>
      </c>
      <c r="C9" t="s">
        <v>98</v>
      </c>
      <c r="D9" t="s">
        <v>114</v>
      </c>
    </row>
    <row r="10" spans="1:4">
      <c r="A10">
        <v>9</v>
      </c>
      <c r="B10" t="s">
        <v>115</v>
      </c>
      <c r="C10" t="s">
        <v>98</v>
      </c>
      <c r="D10" t="s">
        <v>116</v>
      </c>
    </row>
    <row r="11" spans="1:4">
      <c r="A11">
        <v>10</v>
      </c>
      <c r="B11" t="s">
        <v>117</v>
      </c>
      <c r="C11" t="s">
        <v>98</v>
      </c>
      <c r="D11" t="s">
        <v>118</v>
      </c>
    </row>
    <row r="12" spans="1:4">
      <c r="A12">
        <v>11</v>
      </c>
      <c r="B12" t="s">
        <v>119</v>
      </c>
      <c r="C12" t="s">
        <v>103</v>
      </c>
      <c r="D12" t="s">
        <v>120</v>
      </c>
    </row>
    <row r="13" spans="1:4">
      <c r="A13">
        <v>12</v>
      </c>
      <c r="B13" t="s">
        <v>121</v>
      </c>
      <c r="C13" t="s">
        <v>103</v>
      </c>
      <c r="D13" t="s">
        <v>122</v>
      </c>
    </row>
    <row r="14" spans="1:4">
      <c r="A14">
        <v>13</v>
      </c>
      <c r="B14" t="s">
        <v>123</v>
      </c>
      <c r="C14" t="s">
        <v>98</v>
      </c>
      <c r="D14" t="s">
        <v>124</v>
      </c>
    </row>
    <row r="15" spans="1:4">
      <c r="A15">
        <v>14</v>
      </c>
      <c r="B15" t="s">
        <v>125</v>
      </c>
      <c r="C15" t="s">
        <v>98</v>
      </c>
      <c r="D15" t="s">
        <v>126</v>
      </c>
    </row>
    <row r="17" spans="2:4" ht="15">
      <c r="B17" s="10"/>
    </row>
    <row r="22" spans="2:4" ht="15">
      <c r="D22" s="10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5D78-5DFA-4E18-8337-AC55E3684C56}">
  <sheetPr>
    <tabColor rgb="FF92D050"/>
  </sheetPr>
  <dimension ref="A1:O98"/>
  <sheetViews>
    <sheetView workbookViewId="0">
      <pane ySplit="7" topLeftCell="A25" activePane="bottomLeft" state="frozen"/>
      <selection pane="bottomLeft" activeCell="F31" sqref="F31"/>
    </sheetView>
  </sheetViews>
  <sheetFormatPr defaultColWidth="9.140625" defaultRowHeight="15.95"/>
  <cols>
    <col min="1" max="1" width="14.85546875" style="12" customWidth="1"/>
    <col min="2" max="2" width="12.140625" style="12" customWidth="1"/>
    <col min="3" max="3" width="12.42578125" style="12" customWidth="1"/>
    <col min="4" max="4" width="12.85546875" style="12" customWidth="1"/>
    <col min="5" max="5" width="0" style="12" hidden="1" customWidth="1"/>
    <col min="6" max="6" width="32.7109375" style="12" bestFit="1" customWidth="1"/>
    <col min="7" max="7" width="18.7109375" style="28" customWidth="1"/>
    <col min="8" max="8" width="23.28515625" style="12" customWidth="1"/>
    <col min="9" max="10" width="21.140625" style="14" customWidth="1"/>
    <col min="11" max="11" width="20.28515625" style="12" customWidth="1"/>
    <col min="12" max="12" width="30.85546875" style="12" customWidth="1"/>
    <col min="13" max="13" width="20.28515625" style="12" customWidth="1"/>
    <col min="14" max="14" width="21.28515625" style="17" customWidth="1"/>
    <col min="15" max="15" width="20.85546875" style="12" customWidth="1"/>
    <col min="16" max="16384" width="9.140625" style="12"/>
  </cols>
  <sheetData>
    <row r="1" spans="1:14" ht="20.100000000000001">
      <c r="A1" s="11" t="s">
        <v>127</v>
      </c>
      <c r="D1" s="13"/>
      <c r="E1" s="13"/>
      <c r="F1" s="148" t="s">
        <v>128</v>
      </c>
      <c r="G1" s="149"/>
      <c r="H1" s="14" t="s">
        <v>129</v>
      </c>
      <c r="I1" s="15" t="s">
        <v>130</v>
      </c>
      <c r="J1" s="16" t="s">
        <v>131</v>
      </c>
      <c r="M1" s="14"/>
    </row>
    <row r="2" spans="1:14" ht="20.100000000000001">
      <c r="C2" s="13"/>
      <c r="D2" s="13"/>
      <c r="E2" s="13"/>
      <c r="F2" s="18" t="s">
        <v>132</v>
      </c>
      <c r="G2" s="19">
        <v>71122</v>
      </c>
      <c r="H2" s="20">
        <f>ROUND(+H15,0)</f>
        <v>70896</v>
      </c>
      <c r="I2" s="21">
        <f>+G2-H2</f>
        <v>226</v>
      </c>
      <c r="J2" s="14" t="s">
        <v>133</v>
      </c>
      <c r="K2" s="22"/>
      <c r="L2" s="22"/>
      <c r="M2" s="17"/>
    </row>
    <row r="3" spans="1:14" ht="20.100000000000001">
      <c r="C3" s="13"/>
      <c r="D3" s="13"/>
      <c r="E3" s="13"/>
      <c r="F3" s="18" t="s">
        <v>134</v>
      </c>
      <c r="G3" s="19">
        <v>227117</v>
      </c>
      <c r="H3" s="20">
        <f>ROUND(+H48,0)</f>
        <v>225643</v>
      </c>
      <c r="I3" s="21">
        <f>+G3-H3</f>
        <v>1474</v>
      </c>
      <c r="J3" s="20" t="s">
        <v>135</v>
      </c>
      <c r="K3" s="22"/>
      <c r="L3" s="22"/>
      <c r="M3" s="17"/>
    </row>
    <row r="4" spans="1:14" ht="27.95">
      <c r="A4" s="23" t="s">
        <v>136</v>
      </c>
      <c r="C4" s="13"/>
      <c r="D4" s="13"/>
      <c r="E4" s="13"/>
      <c r="F4" s="24" t="s">
        <v>137</v>
      </c>
      <c r="G4" s="19">
        <v>145044</v>
      </c>
      <c r="H4" s="20">
        <f>ROUND(+H65,0)</f>
        <v>144485</v>
      </c>
      <c r="I4" s="21">
        <f>+G4-H4</f>
        <v>559</v>
      </c>
      <c r="J4" s="14" t="s">
        <v>133</v>
      </c>
      <c r="K4" s="22"/>
      <c r="L4" s="22"/>
      <c r="M4" s="17"/>
    </row>
    <row r="5" spans="1:14" ht="21" thickBot="1">
      <c r="A5" s="25" t="s">
        <v>138</v>
      </c>
      <c r="C5" s="13"/>
      <c r="D5" s="13"/>
      <c r="E5" s="13"/>
      <c r="F5" s="26" t="s">
        <v>139</v>
      </c>
      <c r="G5" s="27">
        <v>86712</v>
      </c>
      <c r="H5" s="20">
        <f>ROUND(+H77,0)</f>
        <v>85140</v>
      </c>
      <c r="I5" s="21">
        <f>+G5-H5</f>
        <v>1572</v>
      </c>
      <c r="J5" s="20" t="s">
        <v>140</v>
      </c>
      <c r="K5" s="22"/>
      <c r="L5" s="22"/>
      <c r="M5" s="17"/>
    </row>
    <row r="6" spans="1:14">
      <c r="I6" s="17"/>
      <c r="J6" s="17"/>
      <c r="N6" s="12"/>
    </row>
    <row r="7" spans="1:14" ht="32.1">
      <c r="A7" s="29" t="s">
        <v>141</v>
      </c>
      <c r="B7" s="29" t="s">
        <v>142</v>
      </c>
      <c r="C7" s="30" t="s">
        <v>143</v>
      </c>
      <c r="D7" s="30" t="s">
        <v>144</v>
      </c>
      <c r="E7" s="30" t="s">
        <v>145</v>
      </c>
      <c r="F7" s="30" t="s">
        <v>146</v>
      </c>
      <c r="G7" s="31" t="s">
        <v>147</v>
      </c>
      <c r="H7" s="32" t="s">
        <v>148</v>
      </c>
      <c r="I7" s="32" t="s">
        <v>149</v>
      </c>
      <c r="J7" s="32" t="s">
        <v>150</v>
      </c>
      <c r="K7" s="33" t="s">
        <v>151</v>
      </c>
      <c r="L7" s="34" t="s">
        <v>131</v>
      </c>
      <c r="N7" s="12"/>
    </row>
    <row r="8" spans="1:14">
      <c r="A8" s="35"/>
      <c r="B8" s="36"/>
      <c r="C8" s="37" t="s">
        <v>152</v>
      </c>
      <c r="D8" s="37" t="s">
        <v>153</v>
      </c>
      <c r="E8" s="37" t="s">
        <v>154</v>
      </c>
      <c r="F8" s="37" t="s">
        <v>155</v>
      </c>
      <c r="G8" s="38" t="s">
        <v>156</v>
      </c>
      <c r="H8" s="39">
        <v>7747.42</v>
      </c>
      <c r="I8" s="39"/>
      <c r="J8" s="39">
        <v>0</v>
      </c>
      <c r="K8" s="39">
        <f t="shared" ref="K8:K14" si="0">+H8-I8-J8</f>
        <v>7747.42</v>
      </c>
      <c r="L8" s="40"/>
      <c r="N8" s="12"/>
    </row>
    <row r="9" spans="1:14">
      <c r="A9" s="41"/>
      <c r="B9" s="42"/>
      <c r="C9" s="43" t="s">
        <v>157</v>
      </c>
      <c r="D9" s="43" t="s">
        <v>158</v>
      </c>
      <c r="E9" s="43" t="s">
        <v>159</v>
      </c>
      <c r="F9" s="43" t="s">
        <v>160</v>
      </c>
      <c r="G9" s="44" t="s">
        <v>156</v>
      </c>
      <c r="H9" s="39">
        <v>9939.1285714285696</v>
      </c>
      <c r="I9" s="39"/>
      <c r="J9" s="39">
        <v>0</v>
      </c>
      <c r="K9" s="39">
        <f t="shared" si="0"/>
        <v>9939.1285714285696</v>
      </c>
      <c r="L9" s="40"/>
      <c r="N9" s="12"/>
    </row>
    <row r="10" spans="1:14">
      <c r="A10" s="35"/>
      <c r="B10" s="36"/>
      <c r="C10" s="37" t="s">
        <v>161</v>
      </c>
      <c r="D10" s="37" t="s">
        <v>162</v>
      </c>
      <c r="E10" s="37" t="s">
        <v>163</v>
      </c>
      <c r="F10" s="37" t="s">
        <v>164</v>
      </c>
      <c r="G10" s="38" t="s">
        <v>156</v>
      </c>
      <c r="H10" s="39">
        <v>10986.849999999999</v>
      </c>
      <c r="I10" s="39"/>
      <c r="J10" s="39">
        <v>0</v>
      </c>
      <c r="K10" s="39">
        <f t="shared" si="0"/>
        <v>10986.849999999999</v>
      </c>
      <c r="L10" s="40"/>
      <c r="N10" s="12"/>
    </row>
    <row r="11" spans="1:14">
      <c r="A11" s="41"/>
      <c r="B11" s="42"/>
      <c r="C11" s="43" t="s">
        <v>165</v>
      </c>
      <c r="D11" s="43" t="s">
        <v>166</v>
      </c>
      <c r="E11" s="43" t="s">
        <v>167</v>
      </c>
      <c r="F11" s="43" t="s">
        <v>155</v>
      </c>
      <c r="G11" s="44" t="s">
        <v>156</v>
      </c>
      <c r="H11" s="39">
        <v>8305.442857142858</v>
      </c>
      <c r="I11" s="39"/>
      <c r="J11" s="39">
        <v>0</v>
      </c>
      <c r="K11" s="39">
        <f t="shared" si="0"/>
        <v>8305.442857142858</v>
      </c>
      <c r="L11" s="40"/>
      <c r="N11" s="12"/>
    </row>
    <row r="12" spans="1:14">
      <c r="A12" s="35"/>
      <c r="B12" s="36"/>
      <c r="C12" s="37" t="s">
        <v>168</v>
      </c>
      <c r="D12" s="37" t="s">
        <v>153</v>
      </c>
      <c r="E12" s="37" t="s">
        <v>169</v>
      </c>
      <c r="F12" s="37" t="s">
        <v>160</v>
      </c>
      <c r="G12" s="38" t="s">
        <v>156</v>
      </c>
      <c r="H12" s="39">
        <v>9072.334285714287</v>
      </c>
      <c r="I12" s="39"/>
      <c r="J12" s="39">
        <v>0</v>
      </c>
      <c r="K12" s="39">
        <f t="shared" si="0"/>
        <v>9072.334285714287</v>
      </c>
      <c r="L12" s="40"/>
      <c r="N12" s="12"/>
    </row>
    <row r="13" spans="1:14">
      <c r="A13" s="41"/>
      <c r="B13" s="42"/>
      <c r="C13" s="43" t="s">
        <v>170</v>
      </c>
      <c r="D13" s="43" t="s">
        <v>171</v>
      </c>
      <c r="E13" s="43" t="s">
        <v>172</v>
      </c>
      <c r="F13" s="43" t="s">
        <v>160</v>
      </c>
      <c r="G13" s="44" t="s">
        <v>156</v>
      </c>
      <c r="H13" s="39">
        <v>11253.372857142858</v>
      </c>
      <c r="I13" s="39"/>
      <c r="J13" s="39">
        <v>0</v>
      </c>
      <c r="K13" s="39">
        <f t="shared" si="0"/>
        <v>11253.372857142858</v>
      </c>
      <c r="L13" s="40"/>
      <c r="N13" s="12"/>
    </row>
    <row r="14" spans="1:14">
      <c r="A14" s="35"/>
      <c r="B14" s="36"/>
      <c r="C14" s="37" t="s">
        <v>173</v>
      </c>
      <c r="D14" s="37" t="s">
        <v>174</v>
      </c>
      <c r="E14" s="37" t="s">
        <v>175</v>
      </c>
      <c r="F14" s="37" t="s">
        <v>176</v>
      </c>
      <c r="G14" s="38" t="s">
        <v>156</v>
      </c>
      <c r="H14" s="39">
        <v>13591.628571428573</v>
      </c>
      <c r="I14" s="39"/>
      <c r="J14" s="39">
        <v>0</v>
      </c>
      <c r="K14" s="39">
        <f t="shared" si="0"/>
        <v>13591.628571428573</v>
      </c>
      <c r="L14" s="40"/>
      <c r="N14" s="12"/>
    </row>
    <row r="15" spans="1:14">
      <c r="A15" s="45"/>
      <c r="B15" s="46"/>
      <c r="C15" s="47"/>
      <c r="D15" s="47"/>
      <c r="E15" s="47"/>
      <c r="F15" s="48"/>
      <c r="G15" s="49" t="s">
        <v>177</v>
      </c>
      <c r="H15" s="50">
        <f>SUMIFS(H8:H76,G8:G76,"1-IT Project Labor")</f>
        <v>70896.177142857137</v>
      </c>
      <c r="I15" s="50">
        <f>SUMIFS(I8:I76,H8:H76,"1-IT Project Labor")</f>
        <v>0</v>
      </c>
      <c r="J15" s="50">
        <v>0</v>
      </c>
      <c r="K15" s="50">
        <f>SUMIFS(K8:K76,G8:G76,"1-IT Project Labor")</f>
        <v>70896.177142857137</v>
      </c>
      <c r="L15" s="51"/>
      <c r="N15" s="12"/>
    </row>
    <row r="16" spans="1:14">
      <c r="A16" s="52"/>
      <c r="B16" s="53"/>
      <c r="C16" s="54" t="s">
        <v>178</v>
      </c>
      <c r="D16" s="54" t="s">
        <v>179</v>
      </c>
      <c r="E16" s="54" t="s">
        <v>180</v>
      </c>
      <c r="F16" s="54" t="s">
        <v>181</v>
      </c>
      <c r="G16" s="55" t="s">
        <v>182</v>
      </c>
      <c r="H16" s="56">
        <v>12162.034285714286</v>
      </c>
      <c r="I16" s="56"/>
      <c r="J16" s="56">
        <v>0</v>
      </c>
      <c r="K16" s="56">
        <f t="shared" ref="K16:K24" si="1">+H16-I16-J16</f>
        <v>12162.034285714286</v>
      </c>
      <c r="L16" s="57"/>
      <c r="N16" s="12"/>
    </row>
    <row r="17" spans="1:14">
      <c r="A17" s="52"/>
      <c r="B17" s="53"/>
      <c r="C17" s="54" t="s">
        <v>183</v>
      </c>
      <c r="D17" s="54" t="s">
        <v>184</v>
      </c>
      <c r="E17" s="54" t="s">
        <v>185</v>
      </c>
      <c r="F17" s="54" t="s">
        <v>186</v>
      </c>
      <c r="G17" s="55" t="s">
        <v>182</v>
      </c>
      <c r="H17" s="56">
        <v>5522.5071428571428</v>
      </c>
      <c r="I17" s="56"/>
      <c r="J17" s="56">
        <v>0</v>
      </c>
      <c r="K17" s="56">
        <f t="shared" si="1"/>
        <v>5522.5071428571428</v>
      </c>
      <c r="L17" s="57"/>
      <c r="N17" s="12"/>
    </row>
    <row r="18" spans="1:14">
      <c r="A18" s="52"/>
      <c r="B18" s="53"/>
      <c r="C18" s="54" t="s">
        <v>187</v>
      </c>
      <c r="D18" s="54" t="s">
        <v>188</v>
      </c>
      <c r="E18" s="54" t="s">
        <v>189</v>
      </c>
      <c r="F18" s="54" t="s">
        <v>176</v>
      </c>
      <c r="G18" s="55" t="s">
        <v>182</v>
      </c>
      <c r="H18" s="56">
        <v>6204.8914285714291</v>
      </c>
      <c r="I18" s="56"/>
      <c r="J18" s="56">
        <v>84.341250000000002</v>
      </c>
      <c r="K18" s="56">
        <f t="shared" si="1"/>
        <v>6120.5501785714287</v>
      </c>
      <c r="L18" s="57"/>
      <c r="N18" s="12"/>
    </row>
    <row r="19" spans="1:14">
      <c r="A19" s="52"/>
      <c r="B19" s="53"/>
      <c r="C19" s="54" t="s">
        <v>190</v>
      </c>
      <c r="D19" s="54" t="s">
        <v>191</v>
      </c>
      <c r="E19" s="54" t="s">
        <v>192</v>
      </c>
      <c r="F19" s="54" t="s">
        <v>176</v>
      </c>
      <c r="G19" s="55" t="s">
        <v>182</v>
      </c>
      <c r="H19" s="56">
        <v>6376.7428571428582</v>
      </c>
      <c r="I19" s="56"/>
      <c r="J19" s="56">
        <v>1052.8035</v>
      </c>
      <c r="K19" s="56">
        <f t="shared" si="1"/>
        <v>5323.9393571428582</v>
      </c>
      <c r="L19" s="57"/>
      <c r="N19" s="12"/>
    </row>
    <row r="20" spans="1:14">
      <c r="A20" s="52"/>
      <c r="B20" s="53"/>
      <c r="C20" s="54" t="s">
        <v>193</v>
      </c>
      <c r="D20" s="54" t="s">
        <v>194</v>
      </c>
      <c r="E20" s="54" t="s">
        <v>195</v>
      </c>
      <c r="F20" s="54" t="s">
        <v>176</v>
      </c>
      <c r="G20" s="55" t="s">
        <v>182</v>
      </c>
      <c r="H20" s="56">
        <v>6160.5128571428577</v>
      </c>
      <c r="I20" s="56"/>
      <c r="J20" s="56">
        <v>229.071</v>
      </c>
      <c r="K20" s="56">
        <f t="shared" si="1"/>
        <v>5931.4418571428578</v>
      </c>
      <c r="L20" s="57"/>
      <c r="N20" s="12"/>
    </row>
    <row r="21" spans="1:14">
      <c r="A21" s="52"/>
      <c r="B21" s="53"/>
      <c r="C21" s="54" t="s">
        <v>196</v>
      </c>
      <c r="D21" s="54" t="s">
        <v>197</v>
      </c>
      <c r="E21" s="54" t="s">
        <v>198</v>
      </c>
      <c r="F21" s="54" t="s">
        <v>199</v>
      </c>
      <c r="G21" s="55" t="s">
        <v>182</v>
      </c>
      <c r="H21" s="56">
        <v>7627.8528571428578</v>
      </c>
      <c r="I21" s="56"/>
      <c r="J21" s="56">
        <v>0</v>
      </c>
      <c r="K21" s="56">
        <f t="shared" si="1"/>
        <v>7627.8528571428578</v>
      </c>
      <c r="L21" s="57"/>
      <c r="N21" s="12"/>
    </row>
    <row r="22" spans="1:14">
      <c r="A22" s="52"/>
      <c r="B22" s="53"/>
      <c r="C22" s="54" t="s">
        <v>200</v>
      </c>
      <c r="D22" s="54" t="s">
        <v>201</v>
      </c>
      <c r="E22" s="54" t="s">
        <v>202</v>
      </c>
      <c r="F22" s="54" t="s">
        <v>176</v>
      </c>
      <c r="G22" s="55" t="s">
        <v>182</v>
      </c>
      <c r="H22" s="56">
        <v>6095.9785714285726</v>
      </c>
      <c r="I22" s="56"/>
      <c r="J22" s="56">
        <v>181.67699999999999</v>
      </c>
      <c r="K22" s="56">
        <f t="shared" si="1"/>
        <v>5914.301571428573</v>
      </c>
      <c r="L22" s="57"/>
      <c r="N22" s="12"/>
    </row>
    <row r="23" spans="1:14">
      <c r="A23" s="52"/>
      <c r="B23" s="53"/>
      <c r="C23" s="54" t="s">
        <v>203</v>
      </c>
      <c r="D23" s="54" t="s">
        <v>204</v>
      </c>
      <c r="E23" s="54" t="s">
        <v>205</v>
      </c>
      <c r="F23" s="54" t="s">
        <v>206</v>
      </c>
      <c r="G23" s="55" t="s">
        <v>182</v>
      </c>
      <c r="H23" s="56">
        <v>8356.7542857142853</v>
      </c>
      <c r="I23" s="56"/>
      <c r="J23" s="56">
        <v>0</v>
      </c>
      <c r="K23" s="56">
        <f t="shared" si="1"/>
        <v>8356.7542857142853</v>
      </c>
      <c r="L23" s="57"/>
      <c r="N23" s="12"/>
    </row>
    <row r="24" spans="1:14">
      <c r="A24" s="52"/>
      <c r="B24" s="53"/>
      <c r="C24" s="54" t="s">
        <v>207</v>
      </c>
      <c r="D24" s="54" t="s">
        <v>208</v>
      </c>
      <c r="E24" s="54" t="s">
        <v>209</v>
      </c>
      <c r="F24" s="54" t="s">
        <v>176</v>
      </c>
      <c r="G24" s="55" t="s">
        <v>182</v>
      </c>
      <c r="H24" s="56">
        <v>8013.5557142857142</v>
      </c>
      <c r="I24" s="56"/>
      <c r="J24" s="56">
        <v>184.67099999999999</v>
      </c>
      <c r="K24" s="56">
        <f t="shared" si="1"/>
        <v>7828.8847142857139</v>
      </c>
      <c r="L24" s="57"/>
      <c r="N24" s="12"/>
    </row>
    <row r="25" spans="1:14">
      <c r="A25" s="52"/>
      <c r="B25" s="53"/>
      <c r="C25" s="54" t="s">
        <v>207</v>
      </c>
      <c r="D25" s="54" t="s">
        <v>210</v>
      </c>
      <c r="E25" s="54" t="s">
        <v>211</v>
      </c>
      <c r="F25" s="54" t="s">
        <v>176</v>
      </c>
      <c r="G25" s="55" t="s">
        <v>182</v>
      </c>
      <c r="H25" s="56">
        <v>4613.761428571429</v>
      </c>
      <c r="I25" s="56"/>
      <c r="J25" s="56">
        <v>10.989000000000001</v>
      </c>
      <c r="K25" s="56">
        <v>4235.1486000000004</v>
      </c>
      <c r="L25" s="57"/>
      <c r="N25" s="12"/>
    </row>
    <row r="26" spans="1:14">
      <c r="A26" s="58">
        <v>45733</v>
      </c>
      <c r="B26" s="58">
        <v>45712</v>
      </c>
      <c r="C26" s="58" t="s">
        <v>212</v>
      </c>
      <c r="D26" s="58" t="s">
        <v>213</v>
      </c>
      <c r="E26" s="58" t="s">
        <v>214</v>
      </c>
      <c r="F26" s="58" t="s">
        <v>176</v>
      </c>
      <c r="G26" s="58" t="s">
        <v>182</v>
      </c>
      <c r="H26" s="59">
        <v>2945.2771428571423</v>
      </c>
      <c r="I26" s="59"/>
      <c r="J26" s="59">
        <v>35.1</v>
      </c>
      <c r="K26" s="59"/>
      <c r="L26" s="58"/>
      <c r="N26" s="12"/>
    </row>
    <row r="27" spans="1:14">
      <c r="A27" s="52"/>
      <c r="B27" s="53"/>
      <c r="C27" s="54" t="s">
        <v>215</v>
      </c>
      <c r="D27" s="54" t="s">
        <v>216</v>
      </c>
      <c r="E27" s="54" t="s">
        <v>217</v>
      </c>
      <c r="F27" s="54" t="s">
        <v>206</v>
      </c>
      <c r="G27" s="55" t="s">
        <v>182</v>
      </c>
      <c r="H27" s="56">
        <v>7464.454285714286</v>
      </c>
      <c r="I27" s="56"/>
      <c r="J27" s="56">
        <v>216.81600000000003</v>
      </c>
      <c r="K27" s="56">
        <f>+H27-I27-J27</f>
        <v>7247.6382857142862</v>
      </c>
      <c r="L27" s="57"/>
      <c r="N27" s="12"/>
    </row>
    <row r="28" spans="1:14">
      <c r="A28" s="52"/>
      <c r="B28" s="53"/>
      <c r="C28" s="54" t="s">
        <v>218</v>
      </c>
      <c r="D28" s="54" t="s">
        <v>219</v>
      </c>
      <c r="E28" s="54" t="s">
        <v>220</v>
      </c>
      <c r="F28" s="54" t="s">
        <v>176</v>
      </c>
      <c r="G28" s="55" t="s">
        <v>182</v>
      </c>
      <c r="H28" s="56">
        <v>6350.7842857142869</v>
      </c>
      <c r="I28" s="56"/>
      <c r="J28" s="56">
        <v>392.73599999999999</v>
      </c>
      <c r="K28" s="56">
        <f>+H28-I28-J28</f>
        <v>5958.048285714287</v>
      </c>
      <c r="L28" s="57"/>
      <c r="N28" s="12"/>
    </row>
    <row r="29" spans="1:14">
      <c r="A29" s="52"/>
      <c r="B29" s="53"/>
      <c r="C29" s="54" t="s">
        <v>221</v>
      </c>
      <c r="D29" s="54" t="s">
        <v>222</v>
      </c>
      <c r="E29" s="54" t="s">
        <v>223</v>
      </c>
      <c r="F29" s="54" t="s">
        <v>206</v>
      </c>
      <c r="G29" s="55" t="s">
        <v>182</v>
      </c>
      <c r="H29" s="56">
        <v>3981.4085714285716</v>
      </c>
      <c r="I29" s="56"/>
      <c r="J29" s="56">
        <v>37.563000000000002</v>
      </c>
      <c r="K29" s="56">
        <v>4176.2219333333342</v>
      </c>
      <c r="L29" s="57"/>
      <c r="N29" s="12"/>
    </row>
    <row r="30" spans="1:14">
      <c r="A30" s="52"/>
      <c r="B30" s="53"/>
      <c r="C30" s="54" t="s">
        <v>224</v>
      </c>
      <c r="D30" s="54" t="s">
        <v>225</v>
      </c>
      <c r="E30" s="54" t="s">
        <v>226</v>
      </c>
      <c r="F30" s="54" t="s">
        <v>176</v>
      </c>
      <c r="G30" s="55" t="s">
        <v>182</v>
      </c>
      <c r="H30" s="56">
        <v>8355.8871428571438</v>
      </c>
      <c r="I30" s="56"/>
      <c r="J30" s="56">
        <v>1192.2404999999999</v>
      </c>
      <c r="K30" s="56">
        <f>+H30-I30-J30</f>
        <v>7163.6466428571439</v>
      </c>
      <c r="L30" s="57"/>
      <c r="N30" s="12"/>
    </row>
    <row r="31" spans="1:14">
      <c r="A31" s="58">
        <v>45723</v>
      </c>
      <c r="B31" s="58"/>
      <c r="C31" s="58" t="s">
        <v>227</v>
      </c>
      <c r="D31" s="58" t="s">
        <v>228</v>
      </c>
      <c r="E31" s="58" t="s">
        <v>229</v>
      </c>
      <c r="F31" s="58" t="s">
        <v>206</v>
      </c>
      <c r="G31" s="58" t="s">
        <v>182</v>
      </c>
      <c r="H31" s="59">
        <v>9475.3799999999992</v>
      </c>
      <c r="I31" s="59">
        <v>6030</v>
      </c>
      <c r="J31" s="59">
        <v>0</v>
      </c>
      <c r="K31" s="59">
        <f>+H31-I31-J31</f>
        <v>3445.3799999999992</v>
      </c>
      <c r="L31" s="58" t="s">
        <v>230</v>
      </c>
      <c r="N31" s="12"/>
    </row>
    <row r="32" spans="1:14">
      <c r="A32" s="52"/>
      <c r="B32" s="53"/>
      <c r="C32" s="54" t="s">
        <v>231</v>
      </c>
      <c r="D32" s="54" t="s">
        <v>232</v>
      </c>
      <c r="E32" s="54" t="s">
        <v>233</v>
      </c>
      <c r="F32" s="54" t="s">
        <v>176</v>
      </c>
      <c r="G32" s="55" t="s">
        <v>182</v>
      </c>
      <c r="H32" s="56">
        <v>7001.3185714285719</v>
      </c>
      <c r="I32" s="56"/>
      <c r="J32" s="56">
        <v>653.39549999999997</v>
      </c>
      <c r="K32" s="56">
        <f>+H32-I32-J32</f>
        <v>6347.9230714285723</v>
      </c>
      <c r="L32" s="57"/>
      <c r="N32" s="12"/>
    </row>
    <row r="33" spans="1:14">
      <c r="A33" s="52"/>
      <c r="B33" s="53"/>
      <c r="C33" s="54" t="s">
        <v>234</v>
      </c>
      <c r="D33" s="54" t="s">
        <v>235</v>
      </c>
      <c r="E33" s="54" t="s">
        <v>236</v>
      </c>
      <c r="F33" s="54" t="s">
        <v>176</v>
      </c>
      <c r="G33" s="55" t="s">
        <v>182</v>
      </c>
      <c r="H33" s="56">
        <v>7119.0999999999995</v>
      </c>
      <c r="I33" s="56"/>
      <c r="J33" s="56">
        <v>416.25</v>
      </c>
      <c r="K33" s="56">
        <f>+H33-I33-J33</f>
        <v>6702.8499999999995</v>
      </c>
      <c r="L33" s="57"/>
      <c r="N33" s="12"/>
    </row>
    <row r="34" spans="1:14">
      <c r="A34" s="52"/>
      <c r="B34" s="53"/>
      <c r="C34" s="54" t="s">
        <v>237</v>
      </c>
      <c r="D34" s="54" t="s">
        <v>238</v>
      </c>
      <c r="E34" s="54" t="s">
        <v>239</v>
      </c>
      <c r="F34" s="54" t="s">
        <v>176</v>
      </c>
      <c r="G34" s="55" t="s">
        <v>182</v>
      </c>
      <c r="H34" s="56">
        <v>5891.8542857142857</v>
      </c>
      <c r="I34" s="56"/>
      <c r="J34" s="56">
        <v>448.08749999999998</v>
      </c>
      <c r="K34" s="56">
        <v>4893.6602666666668</v>
      </c>
      <c r="L34" s="57"/>
      <c r="N34" s="12"/>
    </row>
    <row r="35" spans="1:14">
      <c r="A35" s="52"/>
      <c r="B35" s="53"/>
      <c r="C35" s="54" t="s">
        <v>240</v>
      </c>
      <c r="D35" s="54" t="s">
        <v>238</v>
      </c>
      <c r="E35" s="54" t="s">
        <v>241</v>
      </c>
      <c r="F35" s="54" t="s">
        <v>176</v>
      </c>
      <c r="G35" s="55" t="s">
        <v>182</v>
      </c>
      <c r="H35" s="56">
        <v>11442.470000000001</v>
      </c>
      <c r="I35" s="56"/>
      <c r="J35" s="56">
        <v>0</v>
      </c>
      <c r="K35" s="56">
        <f t="shared" ref="K35:K47" si="2">+H35-I35-J35</f>
        <v>11442.470000000001</v>
      </c>
      <c r="L35" s="57"/>
      <c r="N35" s="12"/>
    </row>
    <row r="36" spans="1:14">
      <c r="A36" s="52"/>
      <c r="B36" s="53"/>
      <c r="C36" s="54" t="s">
        <v>242</v>
      </c>
      <c r="D36" s="54" t="s">
        <v>243</v>
      </c>
      <c r="E36" s="54" t="s">
        <v>244</v>
      </c>
      <c r="F36" s="54" t="s">
        <v>206</v>
      </c>
      <c r="G36" s="55" t="s">
        <v>182</v>
      </c>
      <c r="H36" s="56">
        <v>7114.4685714285715</v>
      </c>
      <c r="I36" s="56"/>
      <c r="J36" s="56">
        <v>503.99999999999994</v>
      </c>
      <c r="K36" s="56">
        <f t="shared" si="2"/>
        <v>6610.4685714285715</v>
      </c>
      <c r="L36" s="57"/>
      <c r="N36" s="12"/>
    </row>
    <row r="37" spans="1:14">
      <c r="A37" s="52"/>
      <c r="B37" s="53"/>
      <c r="C37" s="54" t="s">
        <v>245</v>
      </c>
      <c r="D37" s="54" t="s">
        <v>246</v>
      </c>
      <c r="E37" s="54" t="s">
        <v>247</v>
      </c>
      <c r="F37" s="54" t="s">
        <v>248</v>
      </c>
      <c r="G37" s="55" t="s">
        <v>182</v>
      </c>
      <c r="H37" s="56">
        <v>8999.1457142857162</v>
      </c>
      <c r="I37" s="56"/>
      <c r="J37" s="56">
        <v>0</v>
      </c>
      <c r="K37" s="56">
        <f t="shared" si="2"/>
        <v>8999.1457142857162</v>
      </c>
      <c r="L37" s="57"/>
      <c r="N37" s="12"/>
    </row>
    <row r="38" spans="1:14">
      <c r="A38" s="52"/>
      <c r="B38" s="53"/>
      <c r="C38" s="54" t="s">
        <v>249</v>
      </c>
      <c r="D38" s="54" t="s">
        <v>250</v>
      </c>
      <c r="E38" s="54" t="s">
        <v>251</v>
      </c>
      <c r="F38" s="54" t="s">
        <v>199</v>
      </c>
      <c r="G38" s="55" t="s">
        <v>182</v>
      </c>
      <c r="H38" s="56">
        <v>8037.6957142857136</v>
      </c>
      <c r="I38" s="56"/>
      <c r="J38" s="56">
        <v>312.79499999999996</v>
      </c>
      <c r="K38" s="56">
        <f t="shared" si="2"/>
        <v>7724.9007142857135</v>
      </c>
      <c r="L38" s="57"/>
      <c r="N38" s="12"/>
    </row>
    <row r="39" spans="1:14">
      <c r="A39" s="25"/>
      <c r="B39" s="60">
        <v>45726</v>
      </c>
      <c r="C39" s="25" t="s">
        <v>252</v>
      </c>
      <c r="D39" s="25" t="s">
        <v>253</v>
      </c>
      <c r="E39" s="25"/>
      <c r="F39" s="25" t="s">
        <v>176</v>
      </c>
      <c r="G39" s="25" t="s">
        <v>182</v>
      </c>
      <c r="H39" s="61">
        <v>3246.8599999999997</v>
      </c>
      <c r="I39" s="61"/>
      <c r="J39" s="61">
        <v>57.75</v>
      </c>
      <c r="K39" s="61"/>
      <c r="L39" s="61"/>
      <c r="N39" s="12"/>
    </row>
    <row r="40" spans="1:14">
      <c r="A40" s="52"/>
      <c r="B40" s="53"/>
      <c r="C40" s="54" t="s">
        <v>254</v>
      </c>
      <c r="D40" s="54" t="s">
        <v>235</v>
      </c>
      <c r="E40" s="54" t="s">
        <v>255</v>
      </c>
      <c r="F40" s="54" t="s">
        <v>176</v>
      </c>
      <c r="G40" s="55" t="s">
        <v>182</v>
      </c>
      <c r="H40" s="56">
        <v>8708.7485714285704</v>
      </c>
      <c r="I40" s="56"/>
      <c r="J40" s="56">
        <v>1852.425</v>
      </c>
      <c r="K40" s="56">
        <f t="shared" si="2"/>
        <v>6856.3235714285702</v>
      </c>
      <c r="L40" s="57"/>
      <c r="N40" s="12"/>
    </row>
    <row r="41" spans="1:14">
      <c r="A41" s="52"/>
      <c r="B41" s="53"/>
      <c r="C41" s="54" t="s">
        <v>256</v>
      </c>
      <c r="D41" s="54" t="s">
        <v>257</v>
      </c>
      <c r="E41" s="54" t="s">
        <v>258</v>
      </c>
      <c r="F41" s="54" t="s">
        <v>176</v>
      </c>
      <c r="G41" s="55" t="s">
        <v>182</v>
      </c>
      <c r="H41" s="56">
        <v>6851.022857142857</v>
      </c>
      <c r="I41" s="56"/>
      <c r="J41" s="56">
        <v>244.98600000000002</v>
      </c>
      <c r="K41" s="56">
        <f t="shared" si="2"/>
        <v>6606.0368571428571</v>
      </c>
      <c r="L41" s="57"/>
      <c r="N41" s="12"/>
    </row>
    <row r="42" spans="1:14">
      <c r="A42" s="52"/>
      <c r="B42" s="53"/>
      <c r="C42" s="54" t="s">
        <v>259</v>
      </c>
      <c r="D42" s="54" t="s">
        <v>232</v>
      </c>
      <c r="E42" s="54" t="s">
        <v>260</v>
      </c>
      <c r="F42" s="54" t="s">
        <v>261</v>
      </c>
      <c r="G42" s="55" t="s">
        <v>182</v>
      </c>
      <c r="H42" s="56">
        <v>8776.6528571428571</v>
      </c>
      <c r="I42" s="56"/>
      <c r="J42" s="56">
        <v>0</v>
      </c>
      <c r="K42" s="56">
        <f t="shared" si="2"/>
        <v>8776.6528571428571</v>
      </c>
      <c r="L42" s="57"/>
      <c r="N42" s="12"/>
    </row>
    <row r="43" spans="1:14">
      <c r="A43" s="52"/>
      <c r="B43" s="53"/>
      <c r="C43" s="54" t="s">
        <v>262</v>
      </c>
      <c r="D43" s="54" t="s">
        <v>263</v>
      </c>
      <c r="E43" s="54" t="s">
        <v>264</v>
      </c>
      <c r="F43" s="54" t="s">
        <v>176</v>
      </c>
      <c r="G43" s="55" t="s">
        <v>182</v>
      </c>
      <c r="H43" s="56">
        <v>8512.4471428571433</v>
      </c>
      <c r="I43" s="56"/>
      <c r="J43" s="56">
        <v>533.40525000000002</v>
      </c>
      <c r="K43" s="56">
        <f t="shared" si="2"/>
        <v>7979.0418928571435</v>
      </c>
      <c r="L43" s="57"/>
      <c r="N43" s="12"/>
    </row>
    <row r="44" spans="1:14">
      <c r="A44" s="52"/>
      <c r="B44" s="53"/>
      <c r="C44" s="54" t="s">
        <v>265</v>
      </c>
      <c r="D44" s="54" t="s">
        <v>266</v>
      </c>
      <c r="E44" s="54" t="s">
        <v>267</v>
      </c>
      <c r="F44" s="54" t="s">
        <v>248</v>
      </c>
      <c r="G44" s="55" t="s">
        <v>182</v>
      </c>
      <c r="H44" s="56">
        <v>7760.9642857142853</v>
      </c>
      <c r="I44" s="56"/>
      <c r="J44" s="56">
        <v>0</v>
      </c>
      <c r="K44" s="56">
        <f t="shared" si="2"/>
        <v>7760.9642857142853</v>
      </c>
      <c r="L44" s="57"/>
      <c r="N44" s="12"/>
    </row>
    <row r="45" spans="1:14">
      <c r="A45" s="52"/>
      <c r="B45" s="53"/>
      <c r="C45" s="54" t="s">
        <v>268</v>
      </c>
      <c r="D45" s="54" t="s">
        <v>269</v>
      </c>
      <c r="E45" s="54" t="s">
        <v>270</v>
      </c>
      <c r="F45" s="54" t="s">
        <v>186</v>
      </c>
      <c r="G45" s="55" t="s">
        <v>182</v>
      </c>
      <c r="H45" s="56">
        <v>4695.67</v>
      </c>
      <c r="I45" s="56"/>
      <c r="J45" s="56">
        <v>0</v>
      </c>
      <c r="K45" s="56">
        <f t="shared" si="2"/>
        <v>4695.67</v>
      </c>
      <c r="L45" s="57"/>
      <c r="N45" s="12"/>
    </row>
    <row r="46" spans="1:14">
      <c r="A46" s="52"/>
      <c r="B46" s="53"/>
      <c r="C46" s="54" t="s">
        <v>271</v>
      </c>
      <c r="D46" s="54" t="s">
        <v>232</v>
      </c>
      <c r="E46" s="54" t="s">
        <v>272</v>
      </c>
      <c r="F46" s="54" t="s">
        <v>248</v>
      </c>
      <c r="G46" s="55" t="s">
        <v>182</v>
      </c>
      <c r="H46" s="56">
        <v>8245.5342857142859</v>
      </c>
      <c r="I46" s="56"/>
      <c r="J46" s="56">
        <v>0</v>
      </c>
      <c r="K46" s="56">
        <f t="shared" si="2"/>
        <v>8245.5342857142859</v>
      </c>
      <c r="L46" s="57"/>
      <c r="N46" s="12"/>
    </row>
    <row r="47" spans="1:14">
      <c r="A47" s="58">
        <v>45723</v>
      </c>
      <c r="B47" s="58"/>
      <c r="C47" s="58" t="s">
        <v>273</v>
      </c>
      <c r="D47" s="58" t="s">
        <v>274</v>
      </c>
      <c r="E47" s="58" t="s">
        <v>275</v>
      </c>
      <c r="F47" s="58" t="s">
        <v>176</v>
      </c>
      <c r="G47" s="58" t="s">
        <v>182</v>
      </c>
      <c r="H47" s="59">
        <v>3530.79</v>
      </c>
      <c r="I47" s="59">
        <v>509.44</v>
      </c>
      <c r="J47" s="59">
        <v>89.616</v>
      </c>
      <c r="K47" s="59">
        <f t="shared" si="2"/>
        <v>2931.7339999999999</v>
      </c>
      <c r="L47" s="58" t="s">
        <v>230</v>
      </c>
      <c r="N47" s="12"/>
    </row>
    <row r="48" spans="1:14">
      <c r="A48" s="45"/>
      <c r="B48" s="46"/>
      <c r="C48" s="47"/>
      <c r="D48" s="47"/>
      <c r="E48" s="47"/>
      <c r="F48" s="47"/>
      <c r="G48" s="49" t="s">
        <v>276</v>
      </c>
      <c r="H48" s="50">
        <f>SUMIFS(H8:H76,G8:G76,"2-Direct Labor")</f>
        <v>225642.52571428573</v>
      </c>
      <c r="I48" s="50">
        <f>SUMIFS(I8:I76,G8:G76,"2-Direct Labor")</f>
        <v>6539.44</v>
      </c>
      <c r="J48" s="50"/>
      <c r="K48" s="50">
        <f>SUMIFS(K8:K76,G8:G76,"2-Direct Labor")</f>
        <v>203587.72608571433</v>
      </c>
      <c r="L48" s="51"/>
      <c r="N48" s="12"/>
    </row>
    <row r="49" spans="1:14">
      <c r="A49" s="62"/>
      <c r="B49" s="63"/>
      <c r="C49" s="64" t="s">
        <v>277</v>
      </c>
      <c r="D49" s="64" t="s">
        <v>153</v>
      </c>
      <c r="E49" s="64" t="s">
        <v>278</v>
      </c>
      <c r="F49" s="64" t="s">
        <v>279</v>
      </c>
      <c r="G49" s="65" t="s">
        <v>280</v>
      </c>
      <c r="H49" s="66">
        <v>7940.1214285714286</v>
      </c>
      <c r="I49" s="66"/>
      <c r="J49" s="66">
        <v>0</v>
      </c>
      <c r="K49" s="66">
        <f>+H49-I49-J49</f>
        <v>7940.1214285714286</v>
      </c>
      <c r="L49" s="67"/>
      <c r="N49" s="12"/>
    </row>
    <row r="50" spans="1:14" ht="33.950000000000003">
      <c r="A50" s="58">
        <v>45729</v>
      </c>
      <c r="B50" s="58"/>
      <c r="C50" s="58" t="s">
        <v>281</v>
      </c>
      <c r="D50" s="58" t="s">
        <v>282</v>
      </c>
      <c r="E50" s="58" t="s">
        <v>283</v>
      </c>
      <c r="F50" s="58" t="s">
        <v>279</v>
      </c>
      <c r="G50" s="58" t="s">
        <v>280</v>
      </c>
      <c r="H50" s="59">
        <v>9419.9914285714294</v>
      </c>
      <c r="I50" s="59">
        <v>4768</v>
      </c>
      <c r="J50" s="59">
        <v>0</v>
      </c>
      <c r="K50" s="59">
        <f>+H50-I50-J50</f>
        <v>4651.9914285714294</v>
      </c>
      <c r="L50" s="68" t="s">
        <v>284</v>
      </c>
      <c r="N50" s="12"/>
    </row>
    <row r="51" spans="1:14">
      <c r="A51" s="62"/>
      <c r="B51" s="63"/>
      <c r="C51" s="64" t="s">
        <v>285</v>
      </c>
      <c r="D51" s="64" t="s">
        <v>286</v>
      </c>
      <c r="E51" s="64" t="s">
        <v>287</v>
      </c>
      <c r="F51" s="64" t="s">
        <v>279</v>
      </c>
      <c r="G51" s="65" t="s">
        <v>280</v>
      </c>
      <c r="H51" s="66">
        <v>11448.18142857143</v>
      </c>
      <c r="I51" s="66"/>
      <c r="J51" s="66">
        <v>0</v>
      </c>
      <c r="K51" s="66">
        <v>9583.3333333333339</v>
      </c>
      <c r="L51" s="67"/>
      <c r="N51" s="12"/>
    </row>
    <row r="52" spans="1:14">
      <c r="A52" s="62"/>
      <c r="B52" s="63"/>
      <c r="C52" s="64" t="s">
        <v>288</v>
      </c>
      <c r="D52" s="64" t="s">
        <v>289</v>
      </c>
      <c r="E52" s="64" t="s">
        <v>290</v>
      </c>
      <c r="F52" s="64" t="s">
        <v>279</v>
      </c>
      <c r="G52" s="65" t="s">
        <v>280</v>
      </c>
      <c r="H52" s="66">
        <v>9057.5971428571429</v>
      </c>
      <c r="I52" s="66"/>
      <c r="J52" s="66">
        <v>0</v>
      </c>
      <c r="K52" s="66">
        <f t="shared" ref="K52:K64" si="3">+H52-I52-J52</f>
        <v>9057.5971428571429</v>
      </c>
      <c r="L52" s="67"/>
      <c r="N52" s="12"/>
    </row>
    <row r="53" spans="1:14">
      <c r="A53" s="69"/>
      <c r="B53" s="70"/>
      <c r="C53" s="71" t="s">
        <v>291</v>
      </c>
      <c r="D53" s="71" t="s">
        <v>292</v>
      </c>
      <c r="E53" s="71" t="s">
        <v>293</v>
      </c>
      <c r="F53" s="71" t="s">
        <v>279</v>
      </c>
      <c r="G53" s="72" t="s">
        <v>280</v>
      </c>
      <c r="H53" s="66">
        <v>12756.615714285716</v>
      </c>
      <c r="I53" s="66"/>
      <c r="J53" s="66">
        <v>0</v>
      </c>
      <c r="K53" s="66">
        <f t="shared" si="3"/>
        <v>12756.615714285716</v>
      </c>
      <c r="L53" s="67"/>
      <c r="N53" s="12"/>
    </row>
    <row r="54" spans="1:14">
      <c r="A54" s="62"/>
      <c r="B54" s="63"/>
      <c r="C54" s="64" t="s">
        <v>294</v>
      </c>
      <c r="D54" s="64" t="s">
        <v>295</v>
      </c>
      <c r="E54" s="64" t="s">
        <v>296</v>
      </c>
      <c r="F54" s="64" t="s">
        <v>297</v>
      </c>
      <c r="G54" s="65" t="s">
        <v>280</v>
      </c>
      <c r="H54" s="66">
        <v>1884.72</v>
      </c>
      <c r="I54" s="66"/>
      <c r="J54" s="66">
        <v>0</v>
      </c>
      <c r="K54" s="66">
        <f t="shared" si="3"/>
        <v>1884.72</v>
      </c>
      <c r="L54" s="67"/>
      <c r="N54" s="12"/>
    </row>
    <row r="55" spans="1:14">
      <c r="A55" s="62"/>
      <c r="B55" s="63"/>
      <c r="C55" s="64" t="s">
        <v>298</v>
      </c>
      <c r="D55" s="64" t="s">
        <v>286</v>
      </c>
      <c r="E55" s="64" t="s">
        <v>299</v>
      </c>
      <c r="F55" s="64" t="s">
        <v>300</v>
      </c>
      <c r="G55" s="65" t="s">
        <v>280</v>
      </c>
      <c r="H55" s="66">
        <v>9329.0085714285724</v>
      </c>
      <c r="I55" s="66"/>
      <c r="J55" s="66">
        <v>0</v>
      </c>
      <c r="K55" s="66">
        <f t="shared" si="3"/>
        <v>9329.0085714285724</v>
      </c>
      <c r="L55" s="67"/>
      <c r="N55" s="12"/>
    </row>
    <row r="56" spans="1:14">
      <c r="A56" s="69"/>
      <c r="B56" s="70"/>
      <c r="C56" s="71" t="s">
        <v>240</v>
      </c>
      <c r="D56" s="71" t="s">
        <v>301</v>
      </c>
      <c r="E56" s="71" t="s">
        <v>302</v>
      </c>
      <c r="F56" s="71" t="s">
        <v>300</v>
      </c>
      <c r="G56" s="71" t="s">
        <v>280</v>
      </c>
      <c r="H56" s="66">
        <v>18582.380000000005</v>
      </c>
      <c r="I56" s="66"/>
      <c r="J56" s="66">
        <v>0</v>
      </c>
      <c r="K56" s="66">
        <f t="shared" si="3"/>
        <v>18582.380000000005</v>
      </c>
      <c r="L56" s="67"/>
      <c r="N56" s="12"/>
    </row>
    <row r="57" spans="1:14">
      <c r="A57" s="69"/>
      <c r="B57" s="70"/>
      <c r="C57" s="71" t="s">
        <v>303</v>
      </c>
      <c r="D57" s="71" t="s">
        <v>304</v>
      </c>
      <c r="E57" s="71" t="s">
        <v>305</v>
      </c>
      <c r="F57" s="71" t="s">
        <v>306</v>
      </c>
      <c r="G57" s="72" t="s">
        <v>280</v>
      </c>
      <c r="H57" s="66">
        <v>8592.4128571428573</v>
      </c>
      <c r="I57" s="66"/>
      <c r="J57" s="66">
        <v>0</v>
      </c>
      <c r="K57" s="66">
        <f t="shared" si="3"/>
        <v>8592.4128571428573</v>
      </c>
      <c r="L57" s="67"/>
      <c r="N57" s="12"/>
    </row>
    <row r="58" spans="1:14">
      <c r="A58" s="62"/>
      <c r="B58" s="63"/>
      <c r="C58" s="64" t="s">
        <v>307</v>
      </c>
      <c r="D58" s="64" t="s">
        <v>308</v>
      </c>
      <c r="E58" s="64" t="s">
        <v>309</v>
      </c>
      <c r="F58" s="64" t="s">
        <v>310</v>
      </c>
      <c r="G58" s="65" t="s">
        <v>280</v>
      </c>
      <c r="H58" s="66">
        <v>10477.255714285715</v>
      </c>
      <c r="I58" s="66"/>
      <c r="J58" s="66">
        <v>0</v>
      </c>
      <c r="K58" s="66">
        <f t="shared" si="3"/>
        <v>10477.255714285715</v>
      </c>
      <c r="L58" s="67"/>
      <c r="N58" s="12"/>
    </row>
    <row r="59" spans="1:14">
      <c r="A59" s="69"/>
      <c r="B59" s="70"/>
      <c r="C59" s="71" t="s">
        <v>311</v>
      </c>
      <c r="D59" s="71" t="s">
        <v>246</v>
      </c>
      <c r="E59" s="71" t="s">
        <v>312</v>
      </c>
      <c r="F59" s="71" t="s">
        <v>310</v>
      </c>
      <c r="G59" s="72" t="s">
        <v>280</v>
      </c>
      <c r="H59" s="66">
        <v>9218.7000000000007</v>
      </c>
      <c r="I59" s="66"/>
      <c r="J59" s="66">
        <v>0</v>
      </c>
      <c r="K59" s="66">
        <f t="shared" si="3"/>
        <v>9218.7000000000007</v>
      </c>
      <c r="L59" s="67"/>
      <c r="N59" s="12"/>
    </row>
    <row r="60" spans="1:14">
      <c r="A60" s="62"/>
      <c r="B60" s="63"/>
      <c r="C60" s="64" t="s">
        <v>313</v>
      </c>
      <c r="D60" s="64" t="s">
        <v>286</v>
      </c>
      <c r="E60" s="64" t="s">
        <v>314</v>
      </c>
      <c r="F60" s="64" t="s">
        <v>310</v>
      </c>
      <c r="G60" s="65" t="s">
        <v>280</v>
      </c>
      <c r="H60" s="66">
        <v>22913.431428571432</v>
      </c>
      <c r="I60" s="66"/>
      <c r="J60" s="66">
        <v>0</v>
      </c>
      <c r="K60" s="66">
        <f t="shared" si="3"/>
        <v>22913.431428571432</v>
      </c>
      <c r="L60" s="67"/>
      <c r="N60" s="12"/>
    </row>
    <row r="61" spans="1:14">
      <c r="A61" s="58">
        <v>45739</v>
      </c>
      <c r="B61" s="58"/>
      <c r="C61" s="58" t="s">
        <v>315</v>
      </c>
      <c r="D61" s="58" t="s">
        <v>316</v>
      </c>
      <c r="E61" s="58" t="s">
        <v>317</v>
      </c>
      <c r="F61" s="58" t="s">
        <v>310</v>
      </c>
      <c r="G61" s="58" t="s">
        <v>280</v>
      </c>
      <c r="H61" s="59">
        <v>5338.9085714285711</v>
      </c>
      <c r="I61" s="59">
        <v>504.23</v>
      </c>
      <c r="J61" s="59">
        <v>0</v>
      </c>
      <c r="K61" s="59">
        <f t="shared" si="3"/>
        <v>4834.6785714285706</v>
      </c>
      <c r="L61" s="58" t="s">
        <v>230</v>
      </c>
      <c r="N61" s="12"/>
    </row>
    <row r="62" spans="1:14">
      <c r="A62" s="62"/>
      <c r="B62" s="63"/>
      <c r="C62" s="64" t="s">
        <v>318</v>
      </c>
      <c r="D62" s="64" t="s">
        <v>319</v>
      </c>
      <c r="E62" s="64" t="s">
        <v>320</v>
      </c>
      <c r="F62" s="64" t="s">
        <v>297</v>
      </c>
      <c r="G62" s="65" t="s">
        <v>280</v>
      </c>
      <c r="H62" s="66">
        <v>2123.0700000000002</v>
      </c>
      <c r="I62" s="66"/>
      <c r="J62" s="66">
        <v>0</v>
      </c>
      <c r="K62" s="66">
        <f t="shared" si="3"/>
        <v>2123.0700000000002</v>
      </c>
      <c r="L62" s="67"/>
      <c r="N62" s="12"/>
    </row>
    <row r="63" spans="1:14">
      <c r="A63" s="69"/>
      <c r="B63" s="70"/>
      <c r="C63" s="71" t="s">
        <v>321</v>
      </c>
      <c r="D63" s="71" t="s">
        <v>322</v>
      </c>
      <c r="E63" s="71" t="s">
        <v>323</v>
      </c>
      <c r="F63" s="71" t="s">
        <v>297</v>
      </c>
      <c r="G63" s="72" t="s">
        <v>280</v>
      </c>
      <c r="H63" s="66">
        <v>1940.97</v>
      </c>
      <c r="I63" s="66"/>
      <c r="J63" s="66">
        <v>0</v>
      </c>
      <c r="K63" s="66">
        <f t="shared" si="3"/>
        <v>1940.97</v>
      </c>
      <c r="L63" s="67"/>
      <c r="N63" s="12"/>
    </row>
    <row r="64" spans="1:14">
      <c r="A64" s="73"/>
      <c r="B64" s="73"/>
      <c r="C64" s="74" t="s">
        <v>324</v>
      </c>
      <c r="D64" s="74" t="s">
        <v>325</v>
      </c>
      <c r="E64" s="74" t="s">
        <v>326</v>
      </c>
      <c r="F64" s="74" t="s">
        <v>297</v>
      </c>
      <c r="G64" s="72" t="s">
        <v>280</v>
      </c>
      <c r="H64" s="66">
        <v>3461.54</v>
      </c>
      <c r="I64" s="75"/>
      <c r="J64" s="75">
        <v>0</v>
      </c>
      <c r="K64" s="66">
        <f t="shared" si="3"/>
        <v>3461.54</v>
      </c>
      <c r="L64" s="76"/>
      <c r="N64" s="12"/>
    </row>
    <row r="65" spans="1:14">
      <c r="A65" s="46"/>
      <c r="B65" s="46"/>
      <c r="C65" s="46"/>
      <c r="D65" s="46"/>
      <c r="E65" s="46"/>
      <c r="F65" s="46"/>
      <c r="G65" s="77" t="s">
        <v>327</v>
      </c>
      <c r="H65" s="50">
        <f>SUMIFS(H8:H76,G8:G76,"3-Sales Labor Costs")</f>
        <v>144484.90428571429</v>
      </c>
      <c r="I65" s="50">
        <f>SUMIFS(I8:I76,G8:G76,"3-Sales Labor Costs")</f>
        <v>5272.23</v>
      </c>
      <c r="J65" s="50"/>
      <c r="K65" s="50">
        <f>SUMIFS(K8:K76,G8:G76,"3-Sales Labor Costs")</f>
        <v>137347.82619047622</v>
      </c>
      <c r="L65" s="51"/>
    </row>
    <row r="66" spans="1:14">
      <c r="A66" s="78"/>
      <c r="B66" s="79"/>
      <c r="C66" s="80" t="s">
        <v>328</v>
      </c>
      <c r="D66" s="80" t="s">
        <v>158</v>
      </c>
      <c r="E66" s="80" t="s">
        <v>329</v>
      </c>
      <c r="F66" s="80" t="s">
        <v>330</v>
      </c>
      <c r="G66" s="81" t="s">
        <v>331</v>
      </c>
      <c r="H66" s="82">
        <v>7395.7371428571423</v>
      </c>
      <c r="I66" s="82"/>
      <c r="J66" s="82">
        <v>0</v>
      </c>
      <c r="K66" s="82">
        <f>+H66-I66-J66</f>
        <v>7395.7371428571423</v>
      </c>
      <c r="L66" s="83"/>
      <c r="N66" s="12"/>
    </row>
    <row r="67" spans="1:14">
      <c r="A67" s="84"/>
      <c r="B67" s="85"/>
      <c r="C67" s="86" t="s">
        <v>332</v>
      </c>
      <c r="D67" s="86" t="s">
        <v>333</v>
      </c>
      <c r="E67" s="86" t="s">
        <v>334</v>
      </c>
      <c r="F67" s="86" t="s">
        <v>300</v>
      </c>
      <c r="G67" s="87" t="s">
        <v>331</v>
      </c>
      <c r="H67" s="82">
        <v>8559.8085714285717</v>
      </c>
      <c r="I67" s="82"/>
      <c r="J67" s="82">
        <v>0</v>
      </c>
      <c r="K67" s="82">
        <f>+H67-I67-J67</f>
        <v>8559.8085714285717</v>
      </c>
      <c r="L67" s="83"/>
      <c r="N67" s="12"/>
    </row>
    <row r="68" spans="1:14">
      <c r="A68" s="78"/>
      <c r="B68" s="79"/>
      <c r="C68" s="80" t="s">
        <v>335</v>
      </c>
      <c r="D68" s="80" t="s">
        <v>333</v>
      </c>
      <c r="E68" s="80" t="s">
        <v>336</v>
      </c>
      <c r="F68" s="80" t="s">
        <v>330</v>
      </c>
      <c r="G68" s="81" t="s">
        <v>331</v>
      </c>
      <c r="H68" s="82">
        <v>9045.1542857142849</v>
      </c>
      <c r="I68" s="82"/>
      <c r="J68" s="82">
        <v>0</v>
      </c>
      <c r="K68" s="82">
        <f>+H68-I68-J68</f>
        <v>9045.1542857142849</v>
      </c>
      <c r="L68" s="83"/>
      <c r="N68" s="12"/>
    </row>
    <row r="69" spans="1:14">
      <c r="A69" s="84"/>
      <c r="B69" s="85"/>
      <c r="C69" s="86" t="s">
        <v>307</v>
      </c>
      <c r="D69" s="86" t="s">
        <v>337</v>
      </c>
      <c r="E69" s="86" t="s">
        <v>338</v>
      </c>
      <c r="F69" s="86" t="s">
        <v>339</v>
      </c>
      <c r="G69" s="87" t="s">
        <v>331</v>
      </c>
      <c r="H69" s="82">
        <v>5590.9685714285715</v>
      </c>
      <c r="I69" s="82"/>
      <c r="J69" s="88">
        <v>31.875</v>
      </c>
      <c r="K69" s="82">
        <f>+H69-I69-J69</f>
        <v>5559.0935714285715</v>
      </c>
      <c r="L69" s="83"/>
      <c r="N69" s="12"/>
    </row>
    <row r="70" spans="1:14">
      <c r="A70" s="78"/>
      <c r="B70" s="79"/>
      <c r="C70" s="80" t="s">
        <v>340</v>
      </c>
      <c r="D70" s="80" t="s">
        <v>341</v>
      </c>
      <c r="E70" s="80" t="s">
        <v>342</v>
      </c>
      <c r="F70" s="80" t="s">
        <v>343</v>
      </c>
      <c r="G70" s="81" t="s">
        <v>331</v>
      </c>
      <c r="H70" s="82">
        <v>8060.3557142857135</v>
      </c>
      <c r="I70" s="82"/>
      <c r="J70" s="82">
        <v>0</v>
      </c>
      <c r="K70" s="82">
        <f>+H70-I70-J70</f>
        <v>8060.3557142857135</v>
      </c>
      <c r="L70" s="83"/>
      <c r="N70" s="12"/>
    </row>
    <row r="71" spans="1:14">
      <c r="A71" s="78"/>
      <c r="B71" s="79"/>
      <c r="C71" s="80" t="s">
        <v>344</v>
      </c>
      <c r="D71" s="80" t="s">
        <v>345</v>
      </c>
      <c r="E71" s="80" t="s">
        <v>346</v>
      </c>
      <c r="F71" s="80" t="s">
        <v>347</v>
      </c>
      <c r="G71" s="81" t="s">
        <v>331</v>
      </c>
      <c r="H71" s="82">
        <v>9500.6542857142867</v>
      </c>
      <c r="I71" s="82"/>
      <c r="J71" s="82">
        <v>0</v>
      </c>
      <c r="K71" s="82">
        <f t="shared" ref="K71:K76" si="4">+H71-I71-J71</f>
        <v>9500.6542857142867</v>
      </c>
      <c r="L71" s="83"/>
      <c r="N71" s="12"/>
    </row>
    <row r="72" spans="1:14">
      <c r="A72" s="84"/>
      <c r="B72" s="85"/>
      <c r="C72" s="86" t="s">
        <v>348</v>
      </c>
      <c r="D72" s="86" t="s">
        <v>349</v>
      </c>
      <c r="E72" s="86" t="s">
        <v>350</v>
      </c>
      <c r="F72" s="86" t="s">
        <v>351</v>
      </c>
      <c r="G72" s="87" t="s">
        <v>331</v>
      </c>
      <c r="H72" s="82">
        <v>9143.090000000002</v>
      </c>
      <c r="I72" s="82"/>
      <c r="J72" s="82">
        <v>0</v>
      </c>
      <c r="K72" s="82">
        <f t="shared" si="4"/>
        <v>9143.090000000002</v>
      </c>
      <c r="L72" s="83"/>
      <c r="N72" s="12"/>
    </row>
    <row r="73" spans="1:14">
      <c r="A73" s="78"/>
      <c r="B73" s="79"/>
      <c r="C73" s="80" t="s">
        <v>352</v>
      </c>
      <c r="D73" s="80" t="s">
        <v>353</v>
      </c>
      <c r="E73" s="80" t="s">
        <v>354</v>
      </c>
      <c r="F73" s="80" t="s">
        <v>351</v>
      </c>
      <c r="G73" s="81" t="s">
        <v>331</v>
      </c>
      <c r="H73" s="82">
        <v>12241.46</v>
      </c>
      <c r="I73" s="82"/>
      <c r="J73" s="82">
        <v>0</v>
      </c>
      <c r="K73" s="82">
        <f t="shared" si="4"/>
        <v>12241.46</v>
      </c>
      <c r="L73" s="83"/>
      <c r="N73" s="12"/>
    </row>
    <row r="74" spans="1:14">
      <c r="A74" s="78"/>
      <c r="B74" s="79"/>
      <c r="C74" s="80" t="s">
        <v>355</v>
      </c>
      <c r="D74" s="80" t="s">
        <v>356</v>
      </c>
      <c r="E74" s="80" t="s">
        <v>357</v>
      </c>
      <c r="F74" s="80" t="s">
        <v>297</v>
      </c>
      <c r="G74" s="81" t="s">
        <v>331</v>
      </c>
      <c r="H74" s="82">
        <v>1577.5</v>
      </c>
      <c r="I74" s="82"/>
      <c r="J74" s="82">
        <v>0</v>
      </c>
      <c r="K74" s="82">
        <f t="shared" si="4"/>
        <v>1577.5</v>
      </c>
      <c r="L74" s="83"/>
      <c r="N74" s="12"/>
    </row>
    <row r="75" spans="1:14">
      <c r="A75" s="84"/>
      <c r="B75" s="85"/>
      <c r="C75" s="86" t="s">
        <v>358</v>
      </c>
      <c r="D75" s="86" t="s">
        <v>359</v>
      </c>
      <c r="E75" s="86" t="s">
        <v>360</v>
      </c>
      <c r="F75" s="86" t="s">
        <v>297</v>
      </c>
      <c r="G75" s="87" t="s">
        <v>331</v>
      </c>
      <c r="H75" s="82">
        <v>1799.03</v>
      </c>
      <c r="I75" s="82"/>
      <c r="J75" s="82">
        <v>0</v>
      </c>
      <c r="K75" s="82">
        <f t="shared" si="4"/>
        <v>1799.03</v>
      </c>
      <c r="L75" s="83"/>
      <c r="N75" s="12"/>
    </row>
    <row r="76" spans="1:14">
      <c r="A76" s="78"/>
      <c r="B76" s="78"/>
      <c r="C76" s="80" t="s">
        <v>361</v>
      </c>
      <c r="D76" s="80" t="s">
        <v>362</v>
      </c>
      <c r="E76" s="80" t="s">
        <v>363</v>
      </c>
      <c r="F76" s="80" t="s">
        <v>347</v>
      </c>
      <c r="G76" s="80" t="s">
        <v>331</v>
      </c>
      <c r="H76" s="82">
        <v>12226.117142857143</v>
      </c>
      <c r="I76" s="82"/>
      <c r="J76" s="82">
        <v>0</v>
      </c>
      <c r="K76" s="82">
        <f t="shared" si="4"/>
        <v>12226.117142857143</v>
      </c>
      <c r="L76" s="83"/>
      <c r="N76" s="12"/>
    </row>
    <row r="77" spans="1:14">
      <c r="G77" s="89" t="s">
        <v>364</v>
      </c>
      <c r="H77" s="90">
        <f>SUMIFS(H8:H76,G8:G76,"4-Admin ")</f>
        <v>85139.875714285707</v>
      </c>
      <c r="I77" s="50">
        <f>SUMIFS(I8:I76,G8:G76,"4-Admin ")</f>
        <v>0</v>
      </c>
      <c r="J77" s="50">
        <f>SUMIFS(J8:J76,G8:G76,"4-Admin ")</f>
        <v>31.875</v>
      </c>
      <c r="K77" s="90">
        <f>SUMIFS(K8:K76,G8:G76,"4-Admin ")</f>
        <v>85108.000714285707</v>
      </c>
      <c r="L77" s="91"/>
      <c r="N77" s="12"/>
    </row>
    <row r="78" spans="1:14">
      <c r="G78" s="89"/>
      <c r="H78" s="92"/>
      <c r="I78" s="93"/>
      <c r="J78" s="93"/>
      <c r="K78" s="93"/>
      <c r="L78" s="94"/>
      <c r="N78" s="12"/>
    </row>
    <row r="79" spans="1:14">
      <c r="F79" s="94" t="s">
        <v>365</v>
      </c>
      <c r="G79" s="95" t="s">
        <v>366</v>
      </c>
      <c r="H79" s="92">
        <f>H77+H65+H48+H15</f>
        <v>526163.48285714281</v>
      </c>
      <c r="I79" s="93">
        <f>I77+I65+I48+I15</f>
        <v>11811.669999999998</v>
      </c>
      <c r="J79" s="93">
        <f>J77+J65+J48+J15</f>
        <v>31.875</v>
      </c>
      <c r="K79" s="93">
        <f>K77+K65+K48+K15</f>
        <v>496939.73013333336</v>
      </c>
      <c r="L79" s="96"/>
      <c r="M79" s="17"/>
      <c r="N79" s="12"/>
    </row>
    <row r="80" spans="1:14" ht="18.95">
      <c r="A80" s="97" t="s">
        <v>367</v>
      </c>
      <c r="G80" s="89"/>
      <c r="H80" s="92"/>
      <c r="I80" s="98"/>
      <c r="J80" s="93"/>
      <c r="K80" s="93"/>
      <c r="L80" s="94"/>
      <c r="M80" s="17"/>
      <c r="N80" s="12"/>
    </row>
    <row r="81" spans="1:15">
      <c r="A81" s="25"/>
      <c r="B81" s="60">
        <v>45761</v>
      </c>
      <c r="C81" s="25" t="s">
        <v>368</v>
      </c>
      <c r="D81" s="25" t="s">
        <v>369</v>
      </c>
      <c r="E81" s="25"/>
      <c r="F81" s="25"/>
      <c r="G81" s="25"/>
      <c r="H81" s="25"/>
      <c r="I81" s="25"/>
      <c r="J81" s="25"/>
      <c r="K81" s="99">
        <f>25*173.33+(25*173.33*0.1)</f>
        <v>4766.5749999999998</v>
      </c>
      <c r="L81" s="100"/>
      <c r="M81" s="17"/>
      <c r="N81" s="20"/>
      <c r="O81" s="20"/>
    </row>
    <row r="82" spans="1:15">
      <c r="A82" s="25"/>
      <c r="B82" s="60">
        <v>45754</v>
      </c>
      <c r="C82" s="25" t="s">
        <v>370</v>
      </c>
      <c r="D82" s="25" t="s">
        <v>371</v>
      </c>
      <c r="E82" s="25"/>
      <c r="F82" s="25"/>
      <c r="G82" s="25"/>
      <c r="H82" s="25"/>
      <c r="I82" s="25"/>
      <c r="J82" s="25"/>
      <c r="K82" s="99">
        <f>23*173.33+23*173.33*0.1</f>
        <v>4385.2489999999998</v>
      </c>
      <c r="L82" s="100"/>
      <c r="M82" s="17"/>
      <c r="N82" s="20"/>
      <c r="O82" s="20"/>
    </row>
    <row r="83" spans="1:15">
      <c r="A83" s="25"/>
      <c r="B83" s="60">
        <v>45768</v>
      </c>
      <c r="C83" s="25" t="s">
        <v>372</v>
      </c>
      <c r="D83" s="25" t="s">
        <v>373</v>
      </c>
      <c r="E83" s="25"/>
      <c r="F83" s="25" t="s">
        <v>300</v>
      </c>
      <c r="G83" s="25"/>
      <c r="H83" s="25"/>
      <c r="I83" s="25"/>
      <c r="J83" s="25"/>
      <c r="K83" s="99"/>
      <c r="L83" s="100" t="s">
        <v>374</v>
      </c>
      <c r="M83" s="17"/>
      <c r="N83" s="20"/>
      <c r="O83" s="20"/>
    </row>
    <row r="84" spans="1:15">
      <c r="A84" s="25"/>
      <c r="B84" s="60"/>
      <c r="C84" s="25" t="s">
        <v>375</v>
      </c>
      <c r="D84" s="25" t="s">
        <v>376</v>
      </c>
      <c r="E84" s="25"/>
      <c r="F84" s="25" t="s">
        <v>176</v>
      </c>
      <c r="G84" s="25"/>
      <c r="H84" s="25"/>
      <c r="I84" s="25"/>
      <c r="J84" s="25"/>
      <c r="K84" s="99"/>
      <c r="L84" s="100" t="s">
        <v>377</v>
      </c>
      <c r="M84" s="17"/>
      <c r="N84" s="20"/>
      <c r="O84" s="20"/>
    </row>
    <row r="85" spans="1:15">
      <c r="G85" s="101" t="s">
        <v>378</v>
      </c>
      <c r="H85" s="14"/>
      <c r="I85" s="12"/>
      <c r="J85" s="12"/>
      <c r="M85" s="17"/>
      <c r="N85" s="20"/>
    </row>
    <row r="86" spans="1:15">
      <c r="G86" s="101" t="s">
        <v>379</v>
      </c>
      <c r="H86" s="102"/>
      <c r="I86" s="12"/>
      <c r="J86" s="12"/>
      <c r="K86" s="102">
        <f>SUMIFS(K8:K85,G8:G85,"1-IT Project Labor")</f>
        <v>70896.177142857137</v>
      </c>
      <c r="M86" s="17"/>
      <c r="N86" s="12"/>
    </row>
    <row r="87" spans="1:15">
      <c r="G87" s="101" t="s">
        <v>380</v>
      </c>
      <c r="H87" s="103"/>
      <c r="I87" s="12"/>
      <c r="J87" s="12"/>
      <c r="K87" s="102">
        <f>SUMIFS(K8:K84,G8:G84,"2-Direct Labor")</f>
        <v>203587.72608571433</v>
      </c>
      <c r="M87" s="17"/>
      <c r="N87" s="12"/>
    </row>
    <row r="88" spans="1:15">
      <c r="G88" s="101" t="s">
        <v>381</v>
      </c>
      <c r="H88" s="102"/>
      <c r="I88" s="12"/>
      <c r="J88" s="12"/>
      <c r="K88" s="102">
        <f>SUMIFS(K8:K84,G8:G84,"3-Sales Labor Costs")</f>
        <v>137347.82619047622</v>
      </c>
      <c r="M88" s="17"/>
      <c r="N88" s="12"/>
    </row>
    <row r="89" spans="1:15">
      <c r="G89" s="101" t="s">
        <v>382</v>
      </c>
      <c r="H89" s="102"/>
      <c r="I89" s="12"/>
      <c r="J89" s="12"/>
      <c r="K89" s="102">
        <f>SUMIFS(K8:K84,G8:G84,"4-Admin ")</f>
        <v>85108.000714285707</v>
      </c>
      <c r="M89" s="17"/>
      <c r="N89" s="12"/>
    </row>
    <row r="90" spans="1:15">
      <c r="G90" s="101" t="s">
        <v>366</v>
      </c>
      <c r="H90" s="102"/>
      <c r="I90" s="12"/>
      <c r="J90" s="12"/>
      <c r="K90" s="102">
        <f>SUM(K86:K89)</f>
        <v>496939.73013333342</v>
      </c>
      <c r="M90" s="17"/>
      <c r="N90" s="12"/>
    </row>
    <row r="91" spans="1:15">
      <c r="H91" s="14"/>
      <c r="J91" s="12"/>
      <c r="K91" s="102"/>
      <c r="M91" s="17"/>
      <c r="N91" s="12"/>
    </row>
    <row r="92" spans="1:15">
      <c r="F92" s="47"/>
      <c r="H92" s="104"/>
      <c r="I92" s="104"/>
      <c r="J92" s="20"/>
      <c r="K92" s="20"/>
      <c r="L92" s="20"/>
      <c r="M92" s="17"/>
      <c r="N92" s="12"/>
    </row>
    <row r="93" spans="1:15">
      <c r="F93" s="105"/>
      <c r="H93" s="104"/>
      <c r="I93" s="104"/>
      <c r="J93" s="20"/>
      <c r="K93" s="20"/>
      <c r="M93" s="17"/>
      <c r="N93" s="12"/>
    </row>
    <row r="94" spans="1:15">
      <c r="H94" s="14"/>
      <c r="J94" s="12"/>
      <c r="M94" s="17"/>
      <c r="N94" s="12"/>
    </row>
    <row r="95" spans="1:15">
      <c r="H95" s="14"/>
      <c r="J95" s="12"/>
      <c r="M95" s="17"/>
      <c r="N95" s="12"/>
    </row>
    <row r="96" spans="1:15">
      <c r="H96" s="14"/>
      <c r="J96" s="12"/>
      <c r="M96" s="17"/>
      <c r="N96" s="12"/>
    </row>
    <row r="97" spans="13:14">
      <c r="M97" s="17"/>
      <c r="N97" s="12"/>
    </row>
    <row r="98" spans="13:14">
      <c r="M98" s="17"/>
      <c r="N98" s="12"/>
    </row>
  </sheetData>
  <autoFilter ref="A7:O79" xr:uid="{BBDFE225-E5DA-4A08-8312-A9C08EF41A09}"/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4EA6-ABEF-484A-AFEB-10A40DD70575}">
  <sheetPr>
    <tabColor rgb="FFFFC000"/>
  </sheetPr>
  <dimension ref="A1:M856"/>
  <sheetViews>
    <sheetView tabSelected="1" workbookViewId="0">
      <pane xSplit="2" ySplit="4" topLeftCell="C109" activePane="bottomRight" state="frozen"/>
      <selection pane="bottomRight" activeCell="D119" sqref="C119:D119"/>
      <selection pane="bottomLeft" activeCell="A5" sqref="A5"/>
      <selection pane="topRight" activeCell="C1" sqref="C1"/>
    </sheetView>
  </sheetViews>
  <sheetFormatPr defaultColWidth="9.140625" defaultRowHeight="15" outlineLevelRow="3"/>
  <cols>
    <col min="1" max="1" width="9.140625" style="111"/>
    <col min="2" max="2" width="45.85546875" style="111" customWidth="1"/>
    <col min="3" max="3" width="38" style="111" customWidth="1"/>
    <col min="4" max="4" width="28.85546875" style="111" customWidth="1"/>
    <col min="5" max="5" width="17.7109375" style="111" hidden="1" customWidth="1"/>
    <col min="6" max="6" width="9.7109375" style="111" customWidth="1"/>
    <col min="7" max="7" width="12.85546875" style="113" customWidth="1"/>
    <col min="8" max="8" width="13" style="113" customWidth="1"/>
    <col min="9" max="9" width="12.28515625" style="113" customWidth="1"/>
    <col min="10" max="10" width="12.7109375" style="113" customWidth="1"/>
    <col min="11" max="11" width="13.42578125" style="113" customWidth="1"/>
    <col min="12" max="12" width="54.42578125" style="111" customWidth="1"/>
    <col min="13" max="16384" width="9.140625" style="111"/>
  </cols>
  <sheetData>
    <row r="1" spans="1:12" ht="48">
      <c r="A1" s="106" t="s">
        <v>383</v>
      </c>
      <c r="B1" s="106" t="s">
        <v>384</v>
      </c>
      <c r="C1" s="106" t="s">
        <v>385</v>
      </c>
      <c r="D1" s="106" t="s">
        <v>386</v>
      </c>
      <c r="E1" s="107" t="s">
        <v>387</v>
      </c>
      <c r="F1" s="108" t="s">
        <v>388</v>
      </c>
      <c r="G1" s="109" t="s">
        <v>389</v>
      </c>
      <c r="H1" s="109" t="s">
        <v>390</v>
      </c>
      <c r="I1" s="109" t="s">
        <v>391</v>
      </c>
      <c r="J1" s="109" t="s">
        <v>392</v>
      </c>
      <c r="K1" s="109" t="s">
        <v>393</v>
      </c>
      <c r="L1" s="110" t="s">
        <v>131</v>
      </c>
    </row>
    <row r="2" spans="1:12" hidden="1" outlineLevel="3">
      <c r="A2" s="111" t="s">
        <v>394</v>
      </c>
      <c r="B2" s="111" t="s">
        <v>395</v>
      </c>
      <c r="C2" s="111" t="s">
        <v>396</v>
      </c>
      <c r="D2" s="111" t="s">
        <v>396</v>
      </c>
      <c r="E2" s="111" t="s">
        <v>397</v>
      </c>
      <c r="F2" s="112">
        <v>45717</v>
      </c>
      <c r="G2" s="113">
        <v>1054.5</v>
      </c>
      <c r="H2" s="113">
        <v>1054.5</v>
      </c>
      <c r="J2" s="113">
        <v>991</v>
      </c>
      <c r="K2" s="113">
        <f>G2-J2</f>
        <v>63.5</v>
      </c>
    </row>
    <row r="3" spans="1:12" hidden="1" outlineLevel="3">
      <c r="A3" s="111" t="s">
        <v>394</v>
      </c>
      <c r="B3" s="111" t="s">
        <v>398</v>
      </c>
      <c r="C3" s="111" t="s">
        <v>396</v>
      </c>
      <c r="D3" s="111" t="s">
        <v>396</v>
      </c>
      <c r="E3" s="111" t="s">
        <v>399</v>
      </c>
      <c r="F3" s="112">
        <v>45717</v>
      </c>
      <c r="G3" s="113">
        <v>3710</v>
      </c>
      <c r="H3" s="113">
        <v>3710</v>
      </c>
      <c r="J3" s="113">
        <v>3580</v>
      </c>
      <c r="K3" s="113">
        <f>G3-J3</f>
        <v>130</v>
      </c>
    </row>
    <row r="4" spans="1:12" hidden="1" outlineLevel="3">
      <c r="A4" s="111" t="s">
        <v>394</v>
      </c>
      <c r="B4" s="111" t="s">
        <v>398</v>
      </c>
      <c r="C4" s="111" t="s">
        <v>400</v>
      </c>
      <c r="D4" s="111" t="s">
        <v>400</v>
      </c>
      <c r="E4" s="111" t="s">
        <v>399</v>
      </c>
      <c r="F4" s="112">
        <v>45717</v>
      </c>
      <c r="G4" s="113">
        <v>24565</v>
      </c>
      <c r="H4" s="113">
        <v>24565</v>
      </c>
      <c r="J4" s="113">
        <v>24790</v>
      </c>
      <c r="K4" s="113">
        <f>G4-J4</f>
        <v>-225</v>
      </c>
    </row>
    <row r="5" spans="1:12" outlineLevel="2" collapsed="1">
      <c r="B5" s="114" t="s">
        <v>401</v>
      </c>
      <c r="F5" s="112"/>
      <c r="G5" s="113">
        <f>SUBTOTAL(9,G2:G4)</f>
        <v>29329.5</v>
      </c>
      <c r="J5" s="113">
        <f>SUBTOTAL(9,J2:J4)</f>
        <v>29361</v>
      </c>
      <c r="K5" s="113">
        <f>SUBTOTAL(9,K2:K4)</f>
        <v>-31.5</v>
      </c>
    </row>
    <row r="6" spans="1:12" hidden="1" outlineLevel="3">
      <c r="A6" s="111" t="s">
        <v>394</v>
      </c>
      <c r="B6" s="111" t="s">
        <v>402</v>
      </c>
      <c r="C6" s="111" t="s">
        <v>403</v>
      </c>
      <c r="D6" s="111" t="s">
        <v>403</v>
      </c>
      <c r="E6" s="111" t="s">
        <v>404</v>
      </c>
      <c r="F6" s="112">
        <v>45731</v>
      </c>
      <c r="G6" s="113">
        <v>926.2</v>
      </c>
      <c r="H6" s="113">
        <v>926.2</v>
      </c>
      <c r="J6" s="113">
        <v>926.2</v>
      </c>
      <c r="K6" s="113">
        <f>G6-J6</f>
        <v>0</v>
      </c>
    </row>
    <row r="7" spans="1:12" hidden="1" outlineLevel="3">
      <c r="A7" s="111" t="s">
        <v>394</v>
      </c>
      <c r="B7" s="111" t="s">
        <v>402</v>
      </c>
      <c r="C7" s="111" t="s">
        <v>405</v>
      </c>
      <c r="D7" s="111" t="s">
        <v>405</v>
      </c>
      <c r="E7" s="111" t="s">
        <v>404</v>
      </c>
      <c r="F7" s="112">
        <v>45731</v>
      </c>
      <c r="G7" s="113">
        <v>28.38</v>
      </c>
      <c r="H7" s="113">
        <v>28.38</v>
      </c>
      <c r="J7" s="113">
        <v>28.38</v>
      </c>
      <c r="K7" s="113">
        <f>G7-J7</f>
        <v>0</v>
      </c>
    </row>
    <row r="8" spans="1:12" hidden="1" outlineLevel="3">
      <c r="A8" s="111" t="s">
        <v>394</v>
      </c>
      <c r="B8" s="111" t="s">
        <v>402</v>
      </c>
      <c r="C8" s="111" t="s">
        <v>396</v>
      </c>
      <c r="D8" s="111" t="s">
        <v>396</v>
      </c>
      <c r="E8" s="111" t="s">
        <v>404</v>
      </c>
      <c r="F8" s="112">
        <v>45731</v>
      </c>
      <c r="G8" s="113">
        <v>323.5</v>
      </c>
      <c r="H8" s="113">
        <v>323.5</v>
      </c>
      <c r="J8" s="113">
        <v>323.5</v>
      </c>
      <c r="K8" s="113">
        <f>G8-J8</f>
        <v>0</v>
      </c>
    </row>
    <row r="9" spans="1:12" hidden="1" outlineLevel="3">
      <c r="A9" s="111" t="s">
        <v>394</v>
      </c>
      <c r="B9" s="111" t="s">
        <v>402</v>
      </c>
      <c r="C9" s="111" t="s">
        <v>400</v>
      </c>
      <c r="D9" s="111" t="s">
        <v>400</v>
      </c>
      <c r="E9" s="111" t="s">
        <v>404</v>
      </c>
      <c r="F9" s="112">
        <v>45731</v>
      </c>
      <c r="G9" s="113">
        <v>341.25</v>
      </c>
      <c r="H9" s="113">
        <v>341.25</v>
      </c>
      <c r="J9" s="113">
        <v>341.25</v>
      </c>
      <c r="K9" s="113">
        <f>G9-J9</f>
        <v>0</v>
      </c>
    </row>
    <row r="10" spans="1:12" outlineLevel="2" collapsed="1">
      <c r="B10" s="114" t="s">
        <v>406</v>
      </c>
      <c r="F10" s="112"/>
      <c r="G10" s="113">
        <f>SUBTOTAL(9,G6:G9)</f>
        <v>1619.33</v>
      </c>
      <c r="J10" s="113">
        <f>SUBTOTAL(9,J6:J9)</f>
        <v>1619.33</v>
      </c>
      <c r="K10" s="113">
        <f>SUBTOTAL(9,K6:K9)</f>
        <v>0</v>
      </c>
    </row>
    <row r="11" spans="1:12" hidden="1" outlineLevel="3">
      <c r="A11" s="111" t="s">
        <v>394</v>
      </c>
      <c r="B11" s="111" t="s">
        <v>407</v>
      </c>
      <c r="C11" s="111" t="s">
        <v>408</v>
      </c>
      <c r="D11" s="111" t="s">
        <v>408</v>
      </c>
      <c r="E11" s="111" t="s">
        <v>409</v>
      </c>
      <c r="F11" s="112">
        <v>45717</v>
      </c>
      <c r="G11" s="113">
        <v>462</v>
      </c>
      <c r="H11" s="113">
        <v>462</v>
      </c>
      <c r="J11" s="113">
        <v>462</v>
      </c>
      <c r="K11" s="113">
        <f>G11-J11</f>
        <v>0</v>
      </c>
    </row>
    <row r="12" spans="1:12" hidden="1" outlineLevel="3">
      <c r="A12" s="111" t="s">
        <v>394</v>
      </c>
      <c r="B12" s="111" t="s">
        <v>407</v>
      </c>
      <c r="C12" s="111" t="s">
        <v>405</v>
      </c>
      <c r="D12" s="111" t="s">
        <v>410</v>
      </c>
      <c r="E12" s="111" t="s">
        <v>409</v>
      </c>
      <c r="F12" s="112">
        <v>45717</v>
      </c>
      <c r="G12" s="113">
        <v>230.7467</v>
      </c>
      <c r="H12" s="113">
        <v>230.7467</v>
      </c>
      <c r="J12" s="113">
        <v>227.9462</v>
      </c>
      <c r="K12" s="113">
        <f>G12-J12</f>
        <v>2.8004999999999995</v>
      </c>
    </row>
    <row r="13" spans="1:12" hidden="1" outlineLevel="3">
      <c r="A13" s="111" t="s">
        <v>394</v>
      </c>
      <c r="B13" s="111" t="s">
        <v>407</v>
      </c>
      <c r="C13" s="111" t="s">
        <v>405</v>
      </c>
      <c r="D13" s="111" t="s">
        <v>411</v>
      </c>
      <c r="E13" s="111" t="s">
        <v>409</v>
      </c>
      <c r="F13" s="112">
        <v>45717</v>
      </c>
      <c r="G13" s="113">
        <v>145.49340000000001</v>
      </c>
      <c r="H13" s="113">
        <v>145.49340000000001</v>
      </c>
      <c r="J13" s="113">
        <v>0</v>
      </c>
      <c r="K13" s="113">
        <f>G13-J13</f>
        <v>145.49340000000001</v>
      </c>
    </row>
    <row r="14" spans="1:12" hidden="1" outlineLevel="3">
      <c r="A14" s="111" t="s">
        <v>394</v>
      </c>
      <c r="B14" s="111" t="s">
        <v>407</v>
      </c>
      <c r="C14" s="111" t="s">
        <v>396</v>
      </c>
      <c r="D14" s="111" t="s">
        <v>412</v>
      </c>
      <c r="E14" s="111" t="s">
        <v>409</v>
      </c>
      <c r="F14" s="112">
        <v>45717</v>
      </c>
      <c r="G14" s="113">
        <v>365</v>
      </c>
      <c r="H14" s="113">
        <v>365</v>
      </c>
      <c r="J14" s="113">
        <v>285</v>
      </c>
      <c r="K14" s="113">
        <f>G14-J14</f>
        <v>80</v>
      </c>
    </row>
    <row r="15" spans="1:12" hidden="1" outlineLevel="3">
      <c r="A15" s="111" t="s">
        <v>394</v>
      </c>
      <c r="B15" s="111" t="s">
        <v>407</v>
      </c>
      <c r="C15" s="111" t="s">
        <v>400</v>
      </c>
      <c r="D15" s="111" t="s">
        <v>413</v>
      </c>
      <c r="E15" s="111" t="s">
        <v>409</v>
      </c>
      <c r="F15" s="112">
        <v>45717</v>
      </c>
      <c r="G15" s="113">
        <v>1447</v>
      </c>
      <c r="H15" s="113">
        <v>1447</v>
      </c>
      <c r="J15" s="113">
        <v>1447.0038</v>
      </c>
      <c r="K15" s="113">
        <f>G15-J15</f>
        <v>-3.7999999999556167E-3</v>
      </c>
    </row>
    <row r="16" spans="1:12" outlineLevel="2" collapsed="1">
      <c r="B16" s="114" t="s">
        <v>414</v>
      </c>
      <c r="F16" s="112"/>
      <c r="G16" s="113">
        <f>SUBTOTAL(9,G11:G15)</f>
        <v>2650.2401</v>
      </c>
      <c r="J16" s="113">
        <f>SUBTOTAL(9,J11:J15)</f>
        <v>2421.9499999999998</v>
      </c>
      <c r="K16" s="113">
        <f>SUBTOTAL(9,K11:K15)</f>
        <v>228.29010000000005</v>
      </c>
    </row>
    <row r="17" spans="1:13" hidden="1" outlineLevel="3">
      <c r="A17" s="111" t="s">
        <v>394</v>
      </c>
      <c r="B17" s="111" t="s">
        <v>415</v>
      </c>
      <c r="C17" s="111" t="s">
        <v>408</v>
      </c>
      <c r="D17" s="111" t="s">
        <v>408</v>
      </c>
      <c r="E17" s="111" t="s">
        <v>416</v>
      </c>
      <c r="F17" s="112">
        <v>45717</v>
      </c>
      <c r="G17" s="113">
        <v>55.2</v>
      </c>
      <c r="H17" s="113">
        <v>55.2</v>
      </c>
      <c r="J17" s="113">
        <v>45.6</v>
      </c>
      <c r="K17" s="113">
        <f>G17-J17</f>
        <v>9.6000000000000014</v>
      </c>
    </row>
    <row r="18" spans="1:13" hidden="1" outlineLevel="3">
      <c r="A18" s="111" t="s">
        <v>394</v>
      </c>
      <c r="B18" s="111" t="s">
        <v>415</v>
      </c>
      <c r="C18" s="111" t="s">
        <v>405</v>
      </c>
      <c r="D18" s="111" t="s">
        <v>417</v>
      </c>
      <c r="E18" s="111" t="s">
        <v>416</v>
      </c>
      <c r="F18" s="112">
        <v>45717</v>
      </c>
      <c r="G18" s="113">
        <v>10.5</v>
      </c>
      <c r="H18" s="113">
        <v>10.5</v>
      </c>
      <c r="J18" s="113">
        <v>10.5</v>
      </c>
      <c r="K18" s="113">
        <f>G18-J18</f>
        <v>0</v>
      </c>
    </row>
    <row r="19" spans="1:13" hidden="1" outlineLevel="3">
      <c r="A19" s="111" t="s">
        <v>394</v>
      </c>
      <c r="B19" s="111" t="s">
        <v>415</v>
      </c>
      <c r="C19" s="111" t="s">
        <v>396</v>
      </c>
      <c r="D19" s="111" t="s">
        <v>396</v>
      </c>
      <c r="E19" s="111" t="s">
        <v>416</v>
      </c>
      <c r="F19" s="112">
        <v>45717</v>
      </c>
      <c r="G19" s="113">
        <v>1788</v>
      </c>
      <c r="H19" s="113">
        <v>1788</v>
      </c>
      <c r="J19" s="113">
        <v>1740</v>
      </c>
      <c r="K19" s="113">
        <f>G19-J19</f>
        <v>48</v>
      </c>
    </row>
    <row r="20" spans="1:13" hidden="1" outlineLevel="3">
      <c r="A20" s="111" t="s">
        <v>394</v>
      </c>
      <c r="B20" s="111" t="s">
        <v>415</v>
      </c>
      <c r="C20" s="111" t="s">
        <v>400</v>
      </c>
      <c r="D20" s="111" t="s">
        <v>400</v>
      </c>
      <c r="E20" s="111" t="s">
        <v>416</v>
      </c>
      <c r="F20" s="112">
        <v>45717</v>
      </c>
      <c r="G20" s="113">
        <v>7997</v>
      </c>
      <c r="H20" s="113">
        <v>7997</v>
      </c>
      <c r="J20" s="113">
        <v>7969</v>
      </c>
      <c r="K20" s="113">
        <f>G20-J20</f>
        <v>28</v>
      </c>
    </row>
    <row r="21" spans="1:13" outlineLevel="2" collapsed="1">
      <c r="B21" s="114" t="s">
        <v>418</v>
      </c>
      <c r="F21" s="112"/>
      <c r="G21" s="113">
        <f>SUBTOTAL(9,G17:G20)</f>
        <v>9850.7000000000007</v>
      </c>
      <c r="J21" s="113">
        <f>SUBTOTAL(9,J17:J20)</f>
        <v>9765.1</v>
      </c>
      <c r="K21" s="113">
        <f>SUBTOTAL(9,K17:K20)</f>
        <v>85.6</v>
      </c>
    </row>
    <row r="22" spans="1:13" hidden="1" outlineLevel="3">
      <c r="A22" s="111" t="s">
        <v>394</v>
      </c>
      <c r="B22" s="111" t="s">
        <v>419</v>
      </c>
      <c r="C22" s="111" t="s">
        <v>408</v>
      </c>
      <c r="D22" s="111" t="s">
        <v>408</v>
      </c>
      <c r="E22" s="111" t="s">
        <v>420</v>
      </c>
      <c r="F22" s="112">
        <v>45717</v>
      </c>
      <c r="G22" s="113">
        <v>1694.4</v>
      </c>
      <c r="H22" s="113">
        <v>1694.4</v>
      </c>
      <c r="J22" s="113">
        <v>1694.4</v>
      </c>
      <c r="K22" s="113">
        <f>G22-J22</f>
        <v>0</v>
      </c>
    </row>
    <row r="23" spans="1:13" hidden="1" outlineLevel="3">
      <c r="A23" s="111" t="s">
        <v>394</v>
      </c>
      <c r="B23" s="111" t="s">
        <v>419</v>
      </c>
      <c r="C23" s="111" t="s">
        <v>405</v>
      </c>
      <c r="D23" s="111" t="s">
        <v>421</v>
      </c>
      <c r="E23" s="111" t="s">
        <v>420</v>
      </c>
      <c r="F23" s="112">
        <v>45717</v>
      </c>
      <c r="G23" s="113">
        <v>660.58214999999996</v>
      </c>
      <c r="H23" s="113">
        <v>660.58214999999996</v>
      </c>
      <c r="J23" s="113">
        <v>198</v>
      </c>
      <c r="K23" s="113">
        <f>G23-J23</f>
        <v>462.58214999999996</v>
      </c>
    </row>
    <row r="24" spans="1:13" hidden="1" outlineLevel="3">
      <c r="A24" s="111" t="s">
        <v>394</v>
      </c>
      <c r="B24" s="111" t="s">
        <v>419</v>
      </c>
      <c r="C24" s="111" t="s">
        <v>396</v>
      </c>
      <c r="D24" s="111" t="s">
        <v>422</v>
      </c>
      <c r="E24" s="111" t="s">
        <v>420</v>
      </c>
      <c r="F24" s="112">
        <v>45717</v>
      </c>
      <c r="G24" s="113">
        <v>703</v>
      </c>
      <c r="H24" s="113">
        <v>703</v>
      </c>
      <c r="J24" s="113">
        <v>698</v>
      </c>
      <c r="K24" s="113">
        <f>G24-J24</f>
        <v>5</v>
      </c>
    </row>
    <row r="25" spans="1:13" hidden="1" outlineLevel="3">
      <c r="A25" s="111" t="s">
        <v>394</v>
      </c>
      <c r="B25" s="111" t="s">
        <v>419</v>
      </c>
      <c r="C25" s="111" t="s">
        <v>400</v>
      </c>
      <c r="D25" s="111" t="s">
        <v>400</v>
      </c>
      <c r="E25" s="111" t="s">
        <v>420</v>
      </c>
      <c r="F25" s="112">
        <v>45717</v>
      </c>
      <c r="G25" s="113">
        <v>2648</v>
      </c>
      <c r="H25" s="113">
        <v>2648</v>
      </c>
      <c r="J25" s="113">
        <v>2634</v>
      </c>
      <c r="K25" s="113">
        <f>G25-J25</f>
        <v>14</v>
      </c>
    </row>
    <row r="26" spans="1:13" outlineLevel="2" collapsed="1">
      <c r="B26" s="114" t="s">
        <v>423</v>
      </c>
      <c r="F26" s="112"/>
      <c r="G26" s="113">
        <f>SUBTOTAL(9,G22:G25)</f>
        <v>5705.9821499999998</v>
      </c>
      <c r="J26" s="113">
        <f>SUBTOTAL(9,J22:J25)</f>
        <v>5224.3999999999996</v>
      </c>
      <c r="K26" s="113">
        <f>SUBTOTAL(9,K22:K25)</f>
        <v>481.58214999999996</v>
      </c>
    </row>
    <row r="27" spans="1:13" hidden="1" outlineLevel="3">
      <c r="A27" s="111" t="s">
        <v>394</v>
      </c>
      <c r="B27" s="111" t="s">
        <v>424</v>
      </c>
      <c r="C27" s="111" t="s">
        <v>408</v>
      </c>
      <c r="D27" s="111" t="s">
        <v>425</v>
      </c>
      <c r="E27" s="111" t="s">
        <v>426</v>
      </c>
      <c r="F27" s="112">
        <v>45717</v>
      </c>
      <c r="G27" s="113">
        <v>994</v>
      </c>
      <c r="H27" s="113">
        <v>994</v>
      </c>
      <c r="J27" s="113">
        <v>994</v>
      </c>
      <c r="K27" s="113">
        <f>G27-J27</f>
        <v>0</v>
      </c>
    </row>
    <row r="28" spans="1:13" hidden="1" outlineLevel="3">
      <c r="A28" s="111" t="s">
        <v>394</v>
      </c>
      <c r="B28" s="111" t="s">
        <v>424</v>
      </c>
      <c r="C28" s="111" t="s">
        <v>405</v>
      </c>
      <c r="D28" s="111" t="s">
        <v>405</v>
      </c>
      <c r="E28" s="111" t="s">
        <v>426</v>
      </c>
      <c r="F28" s="112">
        <v>45717</v>
      </c>
      <c r="G28" s="113">
        <v>625.51</v>
      </c>
      <c r="H28" s="113">
        <v>625.51</v>
      </c>
      <c r="J28" s="113">
        <v>670.51</v>
      </c>
      <c r="K28" s="113">
        <f>G28-J28</f>
        <v>-45</v>
      </c>
    </row>
    <row r="29" spans="1:13" hidden="1" outlineLevel="3">
      <c r="A29" s="111" t="s">
        <v>394</v>
      </c>
      <c r="B29" s="111" t="s">
        <v>424</v>
      </c>
      <c r="C29" s="111" t="s">
        <v>396</v>
      </c>
      <c r="D29" s="111" t="s">
        <v>427</v>
      </c>
      <c r="E29" s="111" t="s">
        <v>426</v>
      </c>
      <c r="F29" s="112">
        <v>45717</v>
      </c>
      <c r="G29" s="113">
        <v>903</v>
      </c>
      <c r="H29" s="113">
        <v>903</v>
      </c>
      <c r="J29" s="113">
        <v>896.5</v>
      </c>
      <c r="K29" s="113">
        <f>G29-J29</f>
        <v>6.5</v>
      </c>
    </row>
    <row r="30" spans="1:13" hidden="1" outlineLevel="3">
      <c r="A30" s="111" t="s">
        <v>394</v>
      </c>
      <c r="B30" s="111" t="s">
        <v>424</v>
      </c>
      <c r="C30" s="111" t="s">
        <v>400</v>
      </c>
      <c r="D30" s="111" t="s">
        <v>428</v>
      </c>
      <c r="E30" s="111" t="s">
        <v>426</v>
      </c>
      <c r="F30" s="112">
        <v>45717</v>
      </c>
      <c r="G30" s="113">
        <v>716.85</v>
      </c>
      <c r="H30" s="113">
        <v>716.85</v>
      </c>
      <c r="J30" s="113">
        <v>716.85</v>
      </c>
      <c r="K30" s="113">
        <f>G30-J30</f>
        <v>0</v>
      </c>
    </row>
    <row r="31" spans="1:13" outlineLevel="2" collapsed="1">
      <c r="B31" s="114" t="s">
        <v>429</v>
      </c>
      <c r="F31" s="112"/>
      <c r="G31" s="113">
        <f>SUBTOTAL(9,G27:G30)</f>
        <v>3239.36</v>
      </c>
      <c r="J31" s="113">
        <f>SUBTOTAL(9,J27:J30)</f>
        <v>3277.86</v>
      </c>
      <c r="K31" s="113">
        <f>SUBTOTAL(9,K27:K30)</f>
        <v>-38.5</v>
      </c>
    </row>
    <row r="32" spans="1:13" outlineLevel="3">
      <c r="A32" s="115" t="s">
        <v>394</v>
      </c>
      <c r="B32" s="115" t="s">
        <v>430</v>
      </c>
      <c r="C32" s="115" t="s">
        <v>396</v>
      </c>
      <c r="D32" s="115" t="s">
        <v>396</v>
      </c>
      <c r="E32" s="115" t="s">
        <v>431</v>
      </c>
      <c r="F32" s="116">
        <v>45717</v>
      </c>
      <c r="G32" s="117">
        <v>4646</v>
      </c>
      <c r="H32" s="117">
        <v>4646</v>
      </c>
      <c r="I32" s="117"/>
      <c r="J32" s="117">
        <v>0</v>
      </c>
      <c r="K32" s="117">
        <f>G32-J32</f>
        <v>4646</v>
      </c>
      <c r="L32" s="115" t="s">
        <v>432</v>
      </c>
      <c r="M32" s="115"/>
    </row>
    <row r="33" spans="1:13" outlineLevel="3">
      <c r="A33" s="115" t="s">
        <v>394</v>
      </c>
      <c r="B33" s="115" t="s">
        <v>430</v>
      </c>
      <c r="C33" s="115" t="s">
        <v>400</v>
      </c>
      <c r="D33" s="115" t="s">
        <v>400</v>
      </c>
      <c r="E33" s="115" t="s">
        <v>431</v>
      </c>
      <c r="F33" s="116">
        <v>45717</v>
      </c>
      <c r="G33" s="117">
        <v>7674</v>
      </c>
      <c r="H33" s="117">
        <v>7674</v>
      </c>
      <c r="I33" s="117"/>
      <c r="J33" s="117">
        <v>0</v>
      </c>
      <c r="K33" s="117">
        <f>G33-J33</f>
        <v>7674</v>
      </c>
      <c r="L33" s="115" t="s">
        <v>432</v>
      </c>
      <c r="M33" s="115"/>
    </row>
    <row r="34" spans="1:13" outlineLevel="2">
      <c r="A34" s="115"/>
      <c r="B34" s="118" t="s">
        <v>433</v>
      </c>
      <c r="C34" s="115"/>
      <c r="D34" s="115"/>
      <c r="E34" s="115"/>
      <c r="F34" s="116"/>
      <c r="G34" s="117">
        <f>SUBTOTAL(9,G32:G33)</f>
        <v>12320</v>
      </c>
      <c r="H34" s="117"/>
      <c r="I34" s="117"/>
      <c r="J34" s="117">
        <f>SUBTOTAL(9,J32:J33)</f>
        <v>0</v>
      </c>
      <c r="K34" s="117">
        <f>SUBTOTAL(9,K32:K33)</f>
        <v>12320</v>
      </c>
      <c r="L34" s="115" t="s">
        <v>432</v>
      </c>
      <c r="M34" s="115"/>
    </row>
    <row r="35" spans="1:13" hidden="1" outlineLevel="3">
      <c r="A35" s="111" t="s">
        <v>394</v>
      </c>
      <c r="B35" s="111" t="s">
        <v>434</v>
      </c>
      <c r="C35" s="111" t="s">
        <v>405</v>
      </c>
      <c r="D35" s="111" t="s">
        <v>405</v>
      </c>
      <c r="E35" s="111" t="s">
        <v>435</v>
      </c>
      <c r="F35" s="112">
        <v>45717</v>
      </c>
      <c r="G35" s="113">
        <v>250</v>
      </c>
      <c r="H35" s="113">
        <v>250</v>
      </c>
      <c r="J35" s="113">
        <v>250</v>
      </c>
      <c r="K35" s="113">
        <f>G35-J35</f>
        <v>0</v>
      </c>
    </row>
    <row r="36" spans="1:13" hidden="1" outlineLevel="3">
      <c r="A36" s="111" t="s">
        <v>394</v>
      </c>
      <c r="B36" s="111" t="s">
        <v>434</v>
      </c>
      <c r="C36" s="111" t="s">
        <v>396</v>
      </c>
      <c r="D36" s="111" t="s">
        <v>396</v>
      </c>
      <c r="E36" s="111" t="s">
        <v>435</v>
      </c>
      <c r="F36" s="112">
        <v>45717</v>
      </c>
      <c r="G36" s="113">
        <v>1600</v>
      </c>
      <c r="H36" s="113">
        <v>1600</v>
      </c>
      <c r="J36" s="113">
        <v>1600</v>
      </c>
      <c r="K36" s="113">
        <f>G36-J36</f>
        <v>0</v>
      </c>
    </row>
    <row r="37" spans="1:13" hidden="1" outlineLevel="3">
      <c r="A37" s="111" t="s">
        <v>394</v>
      </c>
      <c r="B37" s="111" t="s">
        <v>434</v>
      </c>
      <c r="C37" s="111" t="s">
        <v>400</v>
      </c>
      <c r="D37" s="111" t="s">
        <v>400</v>
      </c>
      <c r="E37" s="111" t="s">
        <v>435</v>
      </c>
      <c r="F37" s="112">
        <v>45717</v>
      </c>
      <c r="G37" s="113">
        <v>3288.79</v>
      </c>
      <c r="H37" s="113">
        <v>3288.79</v>
      </c>
      <c r="J37" s="113">
        <v>3288.79</v>
      </c>
      <c r="K37" s="113">
        <f>G37-J37</f>
        <v>0</v>
      </c>
    </row>
    <row r="38" spans="1:13" outlineLevel="2" collapsed="1">
      <c r="B38" s="114" t="s">
        <v>436</v>
      </c>
      <c r="F38" s="112"/>
      <c r="G38" s="113">
        <f>SUBTOTAL(9,G35:G37)</f>
        <v>5138.79</v>
      </c>
      <c r="J38" s="113">
        <f>SUBTOTAL(9,J35:J37)</f>
        <v>5138.79</v>
      </c>
      <c r="K38" s="113">
        <f>SUBTOTAL(9,K35:K37)</f>
        <v>0</v>
      </c>
    </row>
    <row r="39" spans="1:13" hidden="1" outlineLevel="3">
      <c r="A39" s="111" t="s">
        <v>394</v>
      </c>
      <c r="B39" s="111" t="s">
        <v>437</v>
      </c>
      <c r="C39" s="111" t="s">
        <v>408</v>
      </c>
      <c r="D39" s="111" t="s">
        <v>438</v>
      </c>
      <c r="E39" s="111" t="s">
        <v>439</v>
      </c>
      <c r="F39" s="112">
        <v>45717</v>
      </c>
      <c r="G39" s="113">
        <v>337.5</v>
      </c>
      <c r="H39" s="113">
        <v>337.5</v>
      </c>
      <c r="J39" s="113">
        <v>337.5</v>
      </c>
      <c r="K39" s="113">
        <f>G39-J39</f>
        <v>0</v>
      </c>
    </row>
    <row r="40" spans="1:13" hidden="1" outlineLevel="3">
      <c r="A40" s="111" t="s">
        <v>394</v>
      </c>
      <c r="B40" s="111" t="s">
        <v>437</v>
      </c>
      <c r="C40" s="111" t="s">
        <v>405</v>
      </c>
      <c r="D40" s="111" t="s">
        <v>405</v>
      </c>
      <c r="E40" s="111" t="s">
        <v>439</v>
      </c>
      <c r="F40" s="112">
        <v>45717</v>
      </c>
      <c r="G40" s="113">
        <v>502.81799999999998</v>
      </c>
      <c r="H40" s="113">
        <v>502.81799999999998</v>
      </c>
      <c r="J40" s="113">
        <v>494.5068</v>
      </c>
      <c r="K40" s="113">
        <f>G40-J40</f>
        <v>8.3111999999999853</v>
      </c>
    </row>
    <row r="41" spans="1:13" hidden="1" outlineLevel="3">
      <c r="A41" s="111" t="s">
        <v>394</v>
      </c>
      <c r="B41" s="111" t="s">
        <v>437</v>
      </c>
      <c r="C41" s="111" t="s">
        <v>396</v>
      </c>
      <c r="D41" s="111" t="s">
        <v>396</v>
      </c>
      <c r="E41" s="111" t="s">
        <v>439</v>
      </c>
      <c r="F41" s="112">
        <v>45717</v>
      </c>
      <c r="G41" s="113">
        <v>517.5</v>
      </c>
      <c r="H41" s="113">
        <v>517.5</v>
      </c>
      <c r="J41" s="113">
        <v>517.5</v>
      </c>
      <c r="K41" s="113">
        <f>G41-J41</f>
        <v>0</v>
      </c>
    </row>
    <row r="42" spans="1:13" hidden="1" outlineLevel="3">
      <c r="A42" s="111" t="s">
        <v>394</v>
      </c>
      <c r="B42" s="111" t="s">
        <v>437</v>
      </c>
      <c r="C42" s="111" t="s">
        <v>400</v>
      </c>
      <c r="D42" s="111" t="s">
        <v>400</v>
      </c>
      <c r="E42" s="111" t="s">
        <v>439</v>
      </c>
      <c r="F42" s="112">
        <v>45717</v>
      </c>
      <c r="G42" s="113">
        <v>1706.8820000000001</v>
      </c>
      <c r="H42" s="113">
        <v>1706.8820000000001</v>
      </c>
      <c r="J42" s="113">
        <v>1706.8832</v>
      </c>
      <c r="K42" s="113">
        <f>G42-J42</f>
        <v>-1.199999999926149E-3</v>
      </c>
    </row>
    <row r="43" spans="1:13" outlineLevel="2" collapsed="1">
      <c r="B43" s="114" t="s">
        <v>440</v>
      </c>
      <c r="F43" s="112"/>
      <c r="G43" s="113">
        <f>SUBTOTAL(9,G39:G42)</f>
        <v>3064.7</v>
      </c>
      <c r="J43" s="113">
        <f>SUBTOTAL(9,J39:J42)</f>
        <v>3056.3900000000003</v>
      </c>
      <c r="K43" s="113">
        <f>SUBTOTAL(9,K39:K42)</f>
        <v>8.3100000000000591</v>
      </c>
    </row>
    <row r="44" spans="1:13" hidden="1" outlineLevel="3">
      <c r="A44" s="111" t="s">
        <v>394</v>
      </c>
      <c r="B44" s="111" t="s">
        <v>441</v>
      </c>
      <c r="C44" s="111" t="s">
        <v>408</v>
      </c>
      <c r="D44" s="111" t="s">
        <v>408</v>
      </c>
      <c r="E44" s="111" t="s">
        <v>442</v>
      </c>
      <c r="F44" s="112">
        <v>45717</v>
      </c>
      <c r="G44" s="113">
        <v>636</v>
      </c>
      <c r="H44" s="113">
        <v>636</v>
      </c>
      <c r="J44" s="113">
        <v>636</v>
      </c>
      <c r="K44" s="113">
        <f>G44-J44</f>
        <v>0</v>
      </c>
    </row>
    <row r="45" spans="1:13" hidden="1" outlineLevel="3">
      <c r="A45" s="111" t="s">
        <v>394</v>
      </c>
      <c r="B45" s="111" t="s">
        <v>441</v>
      </c>
      <c r="C45" s="111" t="s">
        <v>405</v>
      </c>
      <c r="D45" s="111" t="s">
        <v>405</v>
      </c>
      <c r="E45" s="111" t="s">
        <v>442</v>
      </c>
      <c r="F45" s="112">
        <v>45717</v>
      </c>
      <c r="G45" s="113">
        <v>154</v>
      </c>
      <c r="H45" s="113">
        <v>154</v>
      </c>
      <c r="J45" s="113">
        <v>142</v>
      </c>
      <c r="K45" s="113">
        <f>G45-J45</f>
        <v>12</v>
      </c>
    </row>
    <row r="46" spans="1:13" hidden="1" outlineLevel="3">
      <c r="A46" s="111" t="s">
        <v>394</v>
      </c>
      <c r="B46" s="111" t="s">
        <v>441</v>
      </c>
      <c r="C46" s="111" t="s">
        <v>396</v>
      </c>
      <c r="D46" s="111" t="s">
        <v>396</v>
      </c>
      <c r="E46" s="111" t="s">
        <v>442</v>
      </c>
      <c r="F46" s="112">
        <v>45717</v>
      </c>
      <c r="G46" s="113">
        <v>478</v>
      </c>
      <c r="H46" s="113">
        <v>478</v>
      </c>
      <c r="J46" s="113">
        <v>479</v>
      </c>
      <c r="K46" s="113">
        <f>G46-J46</f>
        <v>-1</v>
      </c>
    </row>
    <row r="47" spans="1:13" hidden="1" outlineLevel="3">
      <c r="A47" s="111" t="s">
        <v>394</v>
      </c>
      <c r="B47" s="111" t="s">
        <v>441</v>
      </c>
      <c r="C47" s="111" t="s">
        <v>400</v>
      </c>
      <c r="D47" s="111" t="s">
        <v>400</v>
      </c>
      <c r="E47" s="111" t="s">
        <v>442</v>
      </c>
      <c r="F47" s="112">
        <v>45717</v>
      </c>
      <c r="G47" s="113">
        <v>1640</v>
      </c>
      <c r="H47" s="113">
        <v>1640</v>
      </c>
      <c r="J47" s="113">
        <v>1640</v>
      </c>
      <c r="K47" s="113">
        <f>G47-J47</f>
        <v>0</v>
      </c>
    </row>
    <row r="48" spans="1:13" outlineLevel="2" collapsed="1">
      <c r="B48" s="114" t="s">
        <v>443</v>
      </c>
      <c r="F48" s="112"/>
      <c r="G48" s="113">
        <f>SUBTOTAL(9,G44:G47)</f>
        <v>2908</v>
      </c>
      <c r="J48" s="113">
        <f>SUBTOTAL(9,J44:J47)</f>
        <v>2897</v>
      </c>
      <c r="K48" s="113">
        <f>SUBTOTAL(9,K44:K47)</f>
        <v>11</v>
      </c>
    </row>
    <row r="49" spans="1:11" hidden="1" outlineLevel="3">
      <c r="A49" s="111" t="s">
        <v>394</v>
      </c>
      <c r="B49" s="111" t="s">
        <v>444</v>
      </c>
      <c r="C49" s="111" t="s">
        <v>396</v>
      </c>
      <c r="D49" s="111" t="s">
        <v>396</v>
      </c>
      <c r="E49" s="111" t="s">
        <v>445</v>
      </c>
      <c r="F49" s="112">
        <v>45717</v>
      </c>
      <c r="G49" s="113">
        <v>1045</v>
      </c>
      <c r="H49" s="113">
        <v>1045</v>
      </c>
      <c r="J49" s="113">
        <v>1045</v>
      </c>
      <c r="K49" s="113">
        <f>G49-J49</f>
        <v>0</v>
      </c>
    </row>
    <row r="50" spans="1:11" hidden="1" outlineLevel="3">
      <c r="A50" s="111" t="s">
        <v>394</v>
      </c>
      <c r="B50" s="111" t="s">
        <v>444</v>
      </c>
      <c r="C50" s="111" t="s">
        <v>400</v>
      </c>
      <c r="D50" s="111" t="s">
        <v>400</v>
      </c>
      <c r="E50" s="111" t="s">
        <v>445</v>
      </c>
      <c r="F50" s="112">
        <v>45717</v>
      </c>
      <c r="G50" s="113">
        <v>7235</v>
      </c>
      <c r="H50" s="113">
        <v>7235</v>
      </c>
      <c r="J50" s="113">
        <v>7235</v>
      </c>
      <c r="K50" s="113">
        <f>G50-J50</f>
        <v>0</v>
      </c>
    </row>
    <row r="51" spans="1:11" hidden="1" outlineLevel="3">
      <c r="A51" s="111" t="s">
        <v>394</v>
      </c>
      <c r="B51" s="111" t="s">
        <v>444</v>
      </c>
      <c r="C51" s="111" t="s">
        <v>405</v>
      </c>
      <c r="D51" s="111" t="s">
        <v>405</v>
      </c>
      <c r="F51" s="112"/>
      <c r="J51" s="113">
        <v>200</v>
      </c>
      <c r="K51" s="113">
        <f>G51-J51</f>
        <v>-200</v>
      </c>
    </row>
    <row r="52" spans="1:11" outlineLevel="2" collapsed="1">
      <c r="B52" s="114" t="s">
        <v>446</v>
      </c>
      <c r="F52" s="112"/>
      <c r="G52" s="113">
        <f>SUBTOTAL(9,G49:G51)</f>
        <v>8280</v>
      </c>
      <c r="J52" s="113">
        <f>SUBTOTAL(9,J49:J51)</f>
        <v>8480</v>
      </c>
      <c r="K52" s="113">
        <f>SUBTOTAL(9,K49:K51)</f>
        <v>-200</v>
      </c>
    </row>
    <row r="53" spans="1:11" hidden="1" outlineLevel="3">
      <c r="A53" s="111" t="s">
        <v>394</v>
      </c>
      <c r="B53" s="111" t="s">
        <v>447</v>
      </c>
      <c r="C53" s="111" t="s">
        <v>405</v>
      </c>
      <c r="D53" s="111" t="s">
        <v>405</v>
      </c>
      <c r="E53" s="111" t="s">
        <v>448</v>
      </c>
      <c r="F53" s="112">
        <v>45717</v>
      </c>
      <c r="G53" s="113">
        <v>72</v>
      </c>
      <c r="H53" s="113">
        <v>72</v>
      </c>
      <c r="J53" s="113">
        <v>72</v>
      </c>
      <c r="K53" s="113">
        <f>G53-J53</f>
        <v>0</v>
      </c>
    </row>
    <row r="54" spans="1:11" hidden="1" outlineLevel="3">
      <c r="A54" s="111" t="s">
        <v>394</v>
      </c>
      <c r="B54" s="111" t="s">
        <v>447</v>
      </c>
      <c r="C54" s="111" t="s">
        <v>396</v>
      </c>
      <c r="D54" s="111" t="s">
        <v>396</v>
      </c>
      <c r="E54" s="111" t="s">
        <v>448</v>
      </c>
      <c r="F54" s="112">
        <v>45717</v>
      </c>
      <c r="G54" s="113">
        <v>190</v>
      </c>
      <c r="H54" s="113">
        <v>190</v>
      </c>
      <c r="J54" s="113">
        <v>190</v>
      </c>
      <c r="K54" s="113">
        <f>G54-J54</f>
        <v>0</v>
      </c>
    </row>
    <row r="55" spans="1:11" hidden="1" outlineLevel="3">
      <c r="A55" s="111" t="s">
        <v>394</v>
      </c>
      <c r="B55" s="111" t="s">
        <v>447</v>
      </c>
      <c r="C55" s="111" t="s">
        <v>400</v>
      </c>
      <c r="D55" s="111" t="s">
        <v>449</v>
      </c>
      <c r="E55" s="111" t="s">
        <v>448</v>
      </c>
      <c r="F55" s="112">
        <v>45717</v>
      </c>
      <c r="G55" s="113">
        <v>835</v>
      </c>
      <c r="H55" s="113">
        <v>835</v>
      </c>
      <c r="J55" s="113">
        <v>835</v>
      </c>
      <c r="K55" s="113">
        <f>G55-J55</f>
        <v>0</v>
      </c>
    </row>
    <row r="56" spans="1:11" outlineLevel="2" collapsed="1">
      <c r="B56" s="114" t="s">
        <v>450</v>
      </c>
      <c r="F56" s="112"/>
      <c r="G56" s="113">
        <f>SUBTOTAL(9,G53:G55)</f>
        <v>1097</v>
      </c>
      <c r="J56" s="113">
        <f>SUBTOTAL(9,J53:J55)</f>
        <v>1097</v>
      </c>
      <c r="K56" s="113">
        <f>SUBTOTAL(9,K53:K55)</f>
        <v>0</v>
      </c>
    </row>
    <row r="57" spans="1:11" hidden="1" outlineLevel="3">
      <c r="A57" s="111" t="s">
        <v>394</v>
      </c>
      <c r="B57" s="111" t="s">
        <v>451</v>
      </c>
      <c r="C57" s="111" t="s">
        <v>403</v>
      </c>
      <c r="D57" s="111" t="s">
        <v>452</v>
      </c>
      <c r="E57" s="111" t="s">
        <v>453</v>
      </c>
      <c r="F57" s="112">
        <v>45731</v>
      </c>
      <c r="G57" s="113">
        <v>530.5</v>
      </c>
      <c r="H57" s="113">
        <v>530.5</v>
      </c>
      <c r="J57" s="113">
        <v>530.5</v>
      </c>
      <c r="K57" s="113">
        <f>G57-J57</f>
        <v>0</v>
      </c>
    </row>
    <row r="58" spans="1:11" hidden="1" outlineLevel="3">
      <c r="A58" s="111" t="s">
        <v>394</v>
      </c>
      <c r="B58" s="111" t="s">
        <v>451</v>
      </c>
      <c r="C58" s="111" t="s">
        <v>405</v>
      </c>
      <c r="D58" s="111" t="s">
        <v>405</v>
      </c>
      <c r="E58" s="111" t="s">
        <v>453</v>
      </c>
      <c r="F58" s="112">
        <v>45731</v>
      </c>
      <c r="G58" s="113">
        <v>1540</v>
      </c>
      <c r="H58" s="113">
        <v>1540</v>
      </c>
      <c r="J58" s="113">
        <v>1540</v>
      </c>
      <c r="K58" s="113">
        <f>G58-J58</f>
        <v>0</v>
      </c>
    </row>
    <row r="59" spans="1:11" hidden="1" outlineLevel="3">
      <c r="A59" s="111" t="s">
        <v>394</v>
      </c>
      <c r="B59" s="111" t="s">
        <v>451</v>
      </c>
      <c r="C59" s="111" t="s">
        <v>396</v>
      </c>
      <c r="D59" s="111" t="s">
        <v>396</v>
      </c>
      <c r="E59" s="111" t="s">
        <v>453</v>
      </c>
      <c r="F59" s="112">
        <v>45731</v>
      </c>
      <c r="G59" s="113">
        <v>250</v>
      </c>
      <c r="H59" s="113">
        <v>250</v>
      </c>
      <c r="J59" s="113">
        <v>250</v>
      </c>
      <c r="K59" s="113">
        <f>G59-J59</f>
        <v>0</v>
      </c>
    </row>
    <row r="60" spans="1:11" hidden="1" outlineLevel="3">
      <c r="A60" s="111" t="s">
        <v>394</v>
      </c>
      <c r="B60" s="111" t="s">
        <v>451</v>
      </c>
      <c r="C60" s="111" t="s">
        <v>400</v>
      </c>
      <c r="D60" s="111" t="s">
        <v>400</v>
      </c>
      <c r="E60" s="111" t="s">
        <v>453</v>
      </c>
      <c r="F60" s="112">
        <v>45731</v>
      </c>
      <c r="G60" s="113">
        <v>2520</v>
      </c>
      <c r="H60" s="113">
        <v>2520</v>
      </c>
      <c r="J60" s="113">
        <v>2520</v>
      </c>
      <c r="K60" s="113">
        <f>G60-J60</f>
        <v>0</v>
      </c>
    </row>
    <row r="61" spans="1:11" outlineLevel="2" collapsed="1">
      <c r="B61" s="114" t="s">
        <v>454</v>
      </c>
      <c r="F61" s="112"/>
      <c r="G61" s="113">
        <f>SUBTOTAL(9,G57:G60)</f>
        <v>4840.5</v>
      </c>
      <c r="J61" s="113">
        <f>SUBTOTAL(9,J57:J60)</f>
        <v>4840.5</v>
      </c>
      <c r="K61" s="113">
        <f>SUBTOTAL(9,K57:K60)</f>
        <v>0</v>
      </c>
    </row>
    <row r="62" spans="1:11" hidden="1" outlineLevel="3">
      <c r="A62" s="111" t="s">
        <v>394</v>
      </c>
      <c r="B62" s="111" t="s">
        <v>455</v>
      </c>
      <c r="C62" s="111" t="s">
        <v>405</v>
      </c>
      <c r="D62" s="111" t="s">
        <v>405</v>
      </c>
      <c r="E62" s="111" t="s">
        <v>456</v>
      </c>
      <c r="F62" s="112">
        <v>45731</v>
      </c>
      <c r="G62" s="113">
        <v>55</v>
      </c>
      <c r="H62" s="113">
        <v>55</v>
      </c>
      <c r="J62" s="113">
        <v>55</v>
      </c>
      <c r="K62" s="113">
        <f>G62-J62</f>
        <v>0</v>
      </c>
    </row>
    <row r="63" spans="1:11" hidden="1" outlineLevel="3">
      <c r="A63" s="111" t="s">
        <v>394</v>
      </c>
      <c r="B63" s="111" t="s">
        <v>455</v>
      </c>
      <c r="C63" s="111" t="s">
        <v>396</v>
      </c>
      <c r="D63" s="111" t="s">
        <v>396</v>
      </c>
      <c r="E63" s="111" t="s">
        <v>456</v>
      </c>
      <c r="F63" s="112">
        <v>45731</v>
      </c>
      <c r="G63" s="113">
        <v>355</v>
      </c>
      <c r="H63" s="113">
        <v>355</v>
      </c>
      <c r="J63" s="113">
        <v>355</v>
      </c>
      <c r="K63" s="113">
        <f>G63-J63</f>
        <v>0</v>
      </c>
    </row>
    <row r="64" spans="1:11" hidden="1" outlineLevel="3">
      <c r="A64" s="111" t="s">
        <v>394</v>
      </c>
      <c r="B64" s="111" t="s">
        <v>455</v>
      </c>
      <c r="C64" s="111" t="s">
        <v>400</v>
      </c>
      <c r="D64" s="111" t="s">
        <v>400</v>
      </c>
      <c r="E64" s="111" t="s">
        <v>456</v>
      </c>
      <c r="F64" s="112">
        <v>45731</v>
      </c>
      <c r="G64" s="113">
        <v>361.7</v>
      </c>
      <c r="H64" s="113">
        <v>361.7</v>
      </c>
      <c r="J64" s="113">
        <v>361.7</v>
      </c>
      <c r="K64" s="113">
        <f>G64-J64</f>
        <v>0</v>
      </c>
    </row>
    <row r="65" spans="1:11" outlineLevel="2" collapsed="1">
      <c r="B65" s="114" t="s">
        <v>457</v>
      </c>
      <c r="F65" s="112"/>
      <c r="G65" s="113">
        <f>SUBTOTAL(9,G62:G64)</f>
        <v>771.7</v>
      </c>
      <c r="J65" s="113">
        <f>SUBTOTAL(9,J62:J64)</f>
        <v>771.7</v>
      </c>
      <c r="K65" s="113">
        <f>SUBTOTAL(9,K62:K64)</f>
        <v>0</v>
      </c>
    </row>
    <row r="66" spans="1:11" hidden="1" outlineLevel="3">
      <c r="A66" s="111" t="s">
        <v>394</v>
      </c>
      <c r="B66" s="111" t="s">
        <v>458</v>
      </c>
      <c r="C66" s="111" t="s">
        <v>403</v>
      </c>
      <c r="D66" s="111" t="s">
        <v>403</v>
      </c>
      <c r="E66" s="111" t="s">
        <v>459</v>
      </c>
      <c r="F66" s="112">
        <v>45717</v>
      </c>
      <c r="G66" s="113">
        <v>500</v>
      </c>
      <c r="H66" s="113">
        <v>500</v>
      </c>
      <c r="J66" s="113">
        <v>500</v>
      </c>
      <c r="K66" s="113">
        <f>G66-J66</f>
        <v>0</v>
      </c>
    </row>
    <row r="67" spans="1:11" hidden="1" outlineLevel="3">
      <c r="A67" s="111" t="s">
        <v>394</v>
      </c>
      <c r="B67" s="111" t="s">
        <v>458</v>
      </c>
      <c r="C67" s="111" t="s">
        <v>408</v>
      </c>
      <c r="D67" s="111" t="s">
        <v>408</v>
      </c>
      <c r="E67" s="111" t="s">
        <v>459</v>
      </c>
      <c r="F67" s="112">
        <v>45717</v>
      </c>
      <c r="G67" s="113">
        <v>604.79999999999995</v>
      </c>
      <c r="H67" s="113">
        <v>604.79999999999995</v>
      </c>
      <c r="J67" s="113">
        <v>638.4</v>
      </c>
      <c r="K67" s="113">
        <f>G67-J67</f>
        <v>-33.600000000000023</v>
      </c>
    </row>
    <row r="68" spans="1:11" hidden="1" outlineLevel="3">
      <c r="A68" s="111" t="s">
        <v>394</v>
      </c>
      <c r="B68" s="111" t="s">
        <v>458</v>
      </c>
      <c r="C68" s="111" t="s">
        <v>405</v>
      </c>
      <c r="D68" s="111" t="s">
        <v>405</v>
      </c>
      <c r="E68" s="111" t="s">
        <v>459</v>
      </c>
      <c r="F68" s="112">
        <v>45717</v>
      </c>
      <c r="G68" s="113">
        <v>105.5</v>
      </c>
      <c r="H68" s="113">
        <v>105.5</v>
      </c>
      <c r="J68" s="113">
        <v>105.5</v>
      </c>
      <c r="K68" s="113">
        <f>G68-J68</f>
        <v>0</v>
      </c>
    </row>
    <row r="69" spans="1:11" hidden="1" outlineLevel="3">
      <c r="A69" s="111" t="s">
        <v>394</v>
      </c>
      <c r="B69" s="111" t="s">
        <v>458</v>
      </c>
      <c r="C69" s="111" t="s">
        <v>396</v>
      </c>
      <c r="D69" s="111" t="s">
        <v>396</v>
      </c>
      <c r="E69" s="111" t="s">
        <v>459</v>
      </c>
      <c r="F69" s="112">
        <v>45717</v>
      </c>
      <c r="G69" s="113">
        <v>425</v>
      </c>
      <c r="H69" s="113">
        <v>425</v>
      </c>
      <c r="J69" s="113">
        <v>425</v>
      </c>
      <c r="K69" s="113">
        <f>G69-J69</f>
        <v>0</v>
      </c>
    </row>
    <row r="70" spans="1:11" hidden="1" outlineLevel="3">
      <c r="A70" s="111" t="s">
        <v>394</v>
      </c>
      <c r="B70" s="111" t="s">
        <v>458</v>
      </c>
      <c r="C70" s="111" t="s">
        <v>400</v>
      </c>
      <c r="D70" s="111" t="s">
        <v>400</v>
      </c>
      <c r="E70" s="111" t="s">
        <v>459</v>
      </c>
      <c r="F70" s="112">
        <v>45717</v>
      </c>
      <c r="G70" s="113">
        <v>1672.37</v>
      </c>
      <c r="H70" s="113">
        <v>1672.37</v>
      </c>
      <c r="J70" s="113">
        <v>1672.37</v>
      </c>
      <c r="K70" s="113">
        <f>G70-J70</f>
        <v>0</v>
      </c>
    </row>
    <row r="71" spans="1:11" outlineLevel="2" collapsed="1">
      <c r="B71" s="114" t="s">
        <v>460</v>
      </c>
      <c r="F71" s="112"/>
      <c r="G71" s="113">
        <f>SUBTOTAL(9,G66:G70)</f>
        <v>3307.67</v>
      </c>
      <c r="J71" s="113">
        <f>SUBTOTAL(9,J66:J70)</f>
        <v>3341.27</v>
      </c>
      <c r="K71" s="113">
        <f>SUBTOTAL(9,K66:K70)</f>
        <v>-33.600000000000023</v>
      </c>
    </row>
    <row r="72" spans="1:11" hidden="1" outlineLevel="3">
      <c r="A72" s="111" t="s">
        <v>394</v>
      </c>
      <c r="B72" s="111" t="s">
        <v>461</v>
      </c>
      <c r="C72" s="111" t="s">
        <v>405</v>
      </c>
      <c r="D72" s="111" t="s">
        <v>462</v>
      </c>
      <c r="E72" s="111" t="s">
        <v>463</v>
      </c>
      <c r="F72" s="112">
        <v>45717</v>
      </c>
      <c r="G72" s="113">
        <v>50</v>
      </c>
      <c r="H72" s="113">
        <v>50</v>
      </c>
      <c r="J72" s="113">
        <v>50</v>
      </c>
      <c r="K72" s="113">
        <f>G72-J72</f>
        <v>0</v>
      </c>
    </row>
    <row r="73" spans="1:11" hidden="1" outlineLevel="3">
      <c r="A73" s="111" t="s">
        <v>394</v>
      </c>
      <c r="B73" s="111" t="s">
        <v>461</v>
      </c>
      <c r="C73" s="111" t="s">
        <v>396</v>
      </c>
      <c r="D73" s="111" t="s">
        <v>464</v>
      </c>
      <c r="E73" s="111" t="s">
        <v>463</v>
      </c>
      <c r="F73" s="112">
        <v>45717</v>
      </c>
      <c r="G73" s="113">
        <v>95</v>
      </c>
      <c r="H73" s="113">
        <v>95</v>
      </c>
      <c r="J73" s="113">
        <v>55</v>
      </c>
      <c r="K73" s="113">
        <f>G73-J73</f>
        <v>40</v>
      </c>
    </row>
    <row r="74" spans="1:11" hidden="1" outlineLevel="3">
      <c r="A74" s="111" t="s">
        <v>394</v>
      </c>
      <c r="B74" s="111" t="s">
        <v>461</v>
      </c>
      <c r="C74" s="111" t="s">
        <v>400</v>
      </c>
      <c r="D74" s="111" t="s">
        <v>449</v>
      </c>
      <c r="E74" s="111" t="s">
        <v>463</v>
      </c>
      <c r="F74" s="112">
        <v>45717</v>
      </c>
      <c r="G74" s="113">
        <v>981</v>
      </c>
      <c r="H74" s="113">
        <v>981</v>
      </c>
      <c r="J74" s="113">
        <v>960</v>
      </c>
      <c r="K74" s="113">
        <f>G74-J74</f>
        <v>21</v>
      </c>
    </row>
    <row r="75" spans="1:11" outlineLevel="2" collapsed="1">
      <c r="B75" s="114" t="s">
        <v>465</v>
      </c>
      <c r="F75" s="112"/>
      <c r="G75" s="113">
        <f>SUBTOTAL(9,G72:G74)</f>
        <v>1126</v>
      </c>
      <c r="J75" s="113">
        <f>SUBTOTAL(9,J72:J74)</f>
        <v>1065</v>
      </c>
      <c r="K75" s="113">
        <f>SUBTOTAL(9,K72:K74)</f>
        <v>61</v>
      </c>
    </row>
    <row r="76" spans="1:11" hidden="1" outlineLevel="3">
      <c r="A76" s="111" t="s">
        <v>394</v>
      </c>
      <c r="B76" s="111" t="s">
        <v>466</v>
      </c>
      <c r="C76" s="111" t="s">
        <v>408</v>
      </c>
      <c r="D76" s="111" t="s">
        <v>408</v>
      </c>
      <c r="E76" s="111" t="s">
        <v>467</v>
      </c>
      <c r="F76" s="112">
        <v>45717</v>
      </c>
      <c r="G76" s="113">
        <v>1004</v>
      </c>
      <c r="H76" s="113">
        <v>1004</v>
      </c>
      <c r="J76" s="113">
        <v>982</v>
      </c>
      <c r="K76" s="113">
        <f>G76-J76</f>
        <v>22</v>
      </c>
    </row>
    <row r="77" spans="1:11" hidden="1" outlineLevel="3">
      <c r="A77" s="111" t="s">
        <v>394</v>
      </c>
      <c r="B77" s="111" t="s">
        <v>466</v>
      </c>
      <c r="C77" s="111" t="s">
        <v>405</v>
      </c>
      <c r="D77" s="111" t="s">
        <v>405</v>
      </c>
      <c r="E77" s="111" t="s">
        <v>467</v>
      </c>
      <c r="F77" s="112">
        <v>45717</v>
      </c>
      <c r="G77" s="113">
        <v>669.29200000000003</v>
      </c>
      <c r="H77" s="113">
        <v>669.29200000000003</v>
      </c>
      <c r="J77" s="113">
        <v>669.45100000000002</v>
      </c>
      <c r="K77" s="113">
        <f>G77-J77</f>
        <v>-0.15899999999999181</v>
      </c>
    </row>
    <row r="78" spans="1:11" hidden="1" outlineLevel="3">
      <c r="A78" s="111" t="s">
        <v>394</v>
      </c>
      <c r="B78" s="111" t="s">
        <v>466</v>
      </c>
      <c r="C78" s="111" t="s">
        <v>396</v>
      </c>
      <c r="D78" s="111" t="s">
        <v>396</v>
      </c>
      <c r="E78" s="111" t="s">
        <v>467</v>
      </c>
      <c r="F78" s="112">
        <v>45717</v>
      </c>
      <c r="G78" s="113">
        <v>722</v>
      </c>
      <c r="H78" s="113">
        <v>722</v>
      </c>
      <c r="J78" s="113">
        <v>722</v>
      </c>
      <c r="K78" s="113">
        <f>G78-J78</f>
        <v>0</v>
      </c>
    </row>
    <row r="79" spans="1:11" hidden="1" outlineLevel="3">
      <c r="A79" s="111" t="s">
        <v>394</v>
      </c>
      <c r="B79" s="111" t="s">
        <v>466</v>
      </c>
      <c r="C79" s="111" t="s">
        <v>400</v>
      </c>
      <c r="D79" s="111" t="s">
        <v>400</v>
      </c>
      <c r="E79" s="111" t="s">
        <v>467</v>
      </c>
      <c r="F79" s="112">
        <v>45717</v>
      </c>
      <c r="G79" s="113">
        <v>2708.94</v>
      </c>
      <c r="H79" s="113">
        <v>2708.94</v>
      </c>
      <c r="J79" s="113">
        <v>2708.94</v>
      </c>
      <c r="K79" s="113">
        <f>G79-J79</f>
        <v>0</v>
      </c>
    </row>
    <row r="80" spans="1:11" hidden="1" outlineLevel="3">
      <c r="A80" s="111" t="s">
        <v>394</v>
      </c>
      <c r="B80" s="111" t="s">
        <v>466</v>
      </c>
      <c r="C80" s="111" t="s">
        <v>468</v>
      </c>
      <c r="D80" s="111" t="s">
        <v>468</v>
      </c>
      <c r="E80" s="111" t="s">
        <v>467</v>
      </c>
      <c r="F80" s="112">
        <v>45717</v>
      </c>
      <c r="G80" s="113">
        <v>55</v>
      </c>
      <c r="H80" s="113">
        <v>55</v>
      </c>
      <c r="J80" s="113">
        <v>55</v>
      </c>
      <c r="K80" s="113">
        <f>G80-J80</f>
        <v>0</v>
      </c>
    </row>
    <row r="81" spans="1:11" outlineLevel="2" collapsed="1">
      <c r="B81" s="114" t="s">
        <v>469</v>
      </c>
      <c r="F81" s="112"/>
      <c r="G81" s="113">
        <f>SUBTOTAL(9,G76:G80)</f>
        <v>5159.232</v>
      </c>
      <c r="J81" s="113">
        <f>SUBTOTAL(9,J76:J80)</f>
        <v>5137.3909999999996</v>
      </c>
      <c r="K81" s="113">
        <f>SUBTOTAL(9,K76:K80)</f>
        <v>21.841000000000008</v>
      </c>
    </row>
    <row r="82" spans="1:11" hidden="1" outlineLevel="3">
      <c r="A82" s="111" t="s">
        <v>394</v>
      </c>
      <c r="B82" s="111" t="s">
        <v>470</v>
      </c>
      <c r="C82" s="111" t="s">
        <v>408</v>
      </c>
      <c r="D82" s="111" t="s">
        <v>408</v>
      </c>
      <c r="E82" s="111" t="s">
        <v>471</v>
      </c>
      <c r="F82" s="112">
        <v>45717</v>
      </c>
      <c r="G82" s="113">
        <v>27</v>
      </c>
      <c r="H82" s="113">
        <v>27</v>
      </c>
      <c r="J82" s="113">
        <v>27</v>
      </c>
      <c r="K82" s="113">
        <f>G82-J82</f>
        <v>0</v>
      </c>
    </row>
    <row r="83" spans="1:11" hidden="1" outlineLevel="3">
      <c r="A83" s="111" t="s">
        <v>394</v>
      </c>
      <c r="B83" s="111" t="s">
        <v>470</v>
      </c>
      <c r="C83" s="111" t="s">
        <v>405</v>
      </c>
      <c r="D83" s="111" t="s">
        <v>405</v>
      </c>
      <c r="E83" s="111" t="s">
        <v>471</v>
      </c>
      <c r="F83" s="112">
        <v>45717</v>
      </c>
      <c r="G83" s="113">
        <v>685.16</v>
      </c>
      <c r="H83" s="113">
        <v>685.16</v>
      </c>
      <c r="J83" s="113">
        <v>680.86720000000003</v>
      </c>
      <c r="K83" s="113">
        <f>G83-J83</f>
        <v>4.2927999999999429</v>
      </c>
    </row>
    <row r="84" spans="1:11" hidden="1" outlineLevel="3">
      <c r="A84" s="111" t="s">
        <v>394</v>
      </c>
      <c r="B84" s="111" t="s">
        <v>470</v>
      </c>
      <c r="C84" s="111" t="s">
        <v>396</v>
      </c>
      <c r="D84" s="111" t="s">
        <v>396</v>
      </c>
      <c r="E84" s="111" t="s">
        <v>471</v>
      </c>
      <c r="F84" s="112">
        <v>45717</v>
      </c>
      <c r="G84" s="113">
        <v>920</v>
      </c>
      <c r="H84" s="113">
        <v>920</v>
      </c>
      <c r="J84" s="113">
        <v>930</v>
      </c>
      <c r="K84" s="113">
        <f>G84-J84</f>
        <v>-10</v>
      </c>
    </row>
    <row r="85" spans="1:11" hidden="1" outlineLevel="3">
      <c r="A85" s="111" t="s">
        <v>394</v>
      </c>
      <c r="B85" s="111" t="s">
        <v>470</v>
      </c>
      <c r="C85" s="111" t="s">
        <v>400</v>
      </c>
      <c r="D85" s="111" t="s">
        <v>400</v>
      </c>
      <c r="E85" s="111" t="s">
        <v>471</v>
      </c>
      <c r="F85" s="112">
        <v>45717</v>
      </c>
      <c r="G85" s="113">
        <v>7219.01</v>
      </c>
      <c r="H85" s="113">
        <v>7219.01</v>
      </c>
      <c r="J85" s="113">
        <v>7219.0128000000004</v>
      </c>
      <c r="K85" s="113">
        <f>G85-J85</f>
        <v>-2.8000000002066372E-3</v>
      </c>
    </row>
    <row r="86" spans="1:11" outlineLevel="2" collapsed="1">
      <c r="B86" s="114" t="s">
        <v>472</v>
      </c>
      <c r="F86" s="112"/>
      <c r="G86" s="113">
        <f>SUBTOTAL(9,G82:G85)</f>
        <v>8851.17</v>
      </c>
      <c r="J86" s="113">
        <f>SUBTOTAL(9,J82:J85)</f>
        <v>8856.880000000001</v>
      </c>
      <c r="K86" s="113">
        <f>SUBTOTAL(9,K82:K85)</f>
        <v>-5.7100000000002638</v>
      </c>
    </row>
    <row r="87" spans="1:11" hidden="1" outlineLevel="3">
      <c r="A87" s="111" t="s">
        <v>394</v>
      </c>
      <c r="B87" s="111" t="s">
        <v>473</v>
      </c>
      <c r="C87" s="111" t="s">
        <v>408</v>
      </c>
      <c r="D87" s="111" t="s">
        <v>408</v>
      </c>
      <c r="E87" s="111" t="s">
        <v>474</v>
      </c>
      <c r="F87" s="112">
        <v>45717</v>
      </c>
      <c r="G87" s="113">
        <v>388</v>
      </c>
      <c r="H87" s="113">
        <v>388</v>
      </c>
      <c r="J87" s="113">
        <v>388</v>
      </c>
      <c r="K87" s="113">
        <f>G87-J87</f>
        <v>0</v>
      </c>
    </row>
    <row r="88" spans="1:11" hidden="1" outlineLevel="3">
      <c r="A88" s="111" t="s">
        <v>394</v>
      </c>
      <c r="B88" s="111" t="s">
        <v>473</v>
      </c>
      <c r="C88" s="111" t="s">
        <v>405</v>
      </c>
      <c r="D88" s="111" t="s">
        <v>405</v>
      </c>
      <c r="E88" s="111" t="s">
        <v>474</v>
      </c>
      <c r="F88" s="112">
        <v>45717</v>
      </c>
      <c r="G88" s="113">
        <v>333.87</v>
      </c>
      <c r="H88" s="113">
        <v>333.87</v>
      </c>
      <c r="J88" s="113">
        <v>333.17039999999997</v>
      </c>
      <c r="K88" s="113">
        <f>G88-J88</f>
        <v>0.6996000000000322</v>
      </c>
    </row>
    <row r="89" spans="1:11" hidden="1" outlineLevel="3">
      <c r="A89" s="111" t="s">
        <v>394</v>
      </c>
      <c r="B89" s="111" t="s">
        <v>473</v>
      </c>
      <c r="C89" s="111" t="s">
        <v>396</v>
      </c>
      <c r="D89" s="111" t="s">
        <v>396</v>
      </c>
      <c r="E89" s="111" t="s">
        <v>474</v>
      </c>
      <c r="F89" s="112">
        <v>45717</v>
      </c>
      <c r="G89" s="113">
        <v>245</v>
      </c>
      <c r="H89" s="113">
        <v>245</v>
      </c>
      <c r="J89" s="113">
        <v>245</v>
      </c>
      <c r="K89" s="113">
        <f>G89-J89</f>
        <v>0</v>
      </c>
    </row>
    <row r="90" spans="1:11" hidden="1" outlineLevel="3">
      <c r="A90" s="111" t="s">
        <v>394</v>
      </c>
      <c r="B90" s="111" t="s">
        <v>473</v>
      </c>
      <c r="C90" s="111" t="s">
        <v>400</v>
      </c>
      <c r="D90" s="111" t="s">
        <v>400</v>
      </c>
      <c r="E90" s="111" t="s">
        <v>474</v>
      </c>
      <c r="F90" s="112">
        <v>45717</v>
      </c>
      <c r="G90" s="113">
        <v>1409.19</v>
      </c>
      <c r="H90" s="113">
        <v>1409.19</v>
      </c>
      <c r="J90" s="113">
        <v>1409.19</v>
      </c>
      <c r="K90" s="113">
        <f>G90-J90</f>
        <v>0</v>
      </c>
    </row>
    <row r="91" spans="1:11" outlineLevel="2" collapsed="1">
      <c r="B91" s="114" t="s">
        <v>475</v>
      </c>
      <c r="F91" s="112"/>
      <c r="G91" s="113">
        <f>SUBTOTAL(9,G87:G90)</f>
        <v>2376.06</v>
      </c>
      <c r="J91" s="113">
        <f>SUBTOTAL(9,J87:J90)</f>
        <v>2375.3604</v>
      </c>
      <c r="K91" s="113">
        <f>SUBTOTAL(9,K87:K90)</f>
        <v>0.6996000000000322</v>
      </c>
    </row>
    <row r="92" spans="1:11" hidden="1" outlineLevel="3">
      <c r="A92" s="111" t="s">
        <v>394</v>
      </c>
      <c r="B92" s="111" t="s">
        <v>476</v>
      </c>
      <c r="C92" s="111" t="s">
        <v>403</v>
      </c>
      <c r="D92" s="111" t="s">
        <v>403</v>
      </c>
      <c r="E92" s="111" t="s">
        <v>477</v>
      </c>
      <c r="F92" s="112">
        <v>45717</v>
      </c>
      <c r="G92" s="113">
        <v>293</v>
      </c>
      <c r="H92" s="113">
        <v>293</v>
      </c>
      <c r="J92" s="113">
        <v>293</v>
      </c>
      <c r="K92" s="113">
        <f>G92-J92</f>
        <v>0</v>
      </c>
    </row>
    <row r="93" spans="1:11" hidden="1" outlineLevel="3">
      <c r="A93" s="111" t="s">
        <v>394</v>
      </c>
      <c r="B93" s="111" t="s">
        <v>476</v>
      </c>
      <c r="C93" s="111" t="s">
        <v>408</v>
      </c>
      <c r="D93" s="111" t="s">
        <v>478</v>
      </c>
      <c r="E93" s="111" t="s">
        <v>477</v>
      </c>
      <c r="F93" s="112">
        <v>45717</v>
      </c>
      <c r="G93" s="113">
        <v>352</v>
      </c>
      <c r="H93" s="113">
        <v>352</v>
      </c>
      <c r="J93" s="113">
        <v>352</v>
      </c>
      <c r="K93" s="113">
        <f>G93-J93</f>
        <v>0</v>
      </c>
    </row>
    <row r="94" spans="1:11" hidden="1" outlineLevel="3">
      <c r="A94" s="111" t="s">
        <v>394</v>
      </c>
      <c r="B94" s="111" t="s">
        <v>476</v>
      </c>
      <c r="C94" s="111" t="s">
        <v>405</v>
      </c>
      <c r="D94" s="111" t="s">
        <v>405</v>
      </c>
      <c r="E94" s="111" t="s">
        <v>477</v>
      </c>
      <c r="F94" s="112">
        <v>45717</v>
      </c>
      <c r="G94" s="113">
        <v>119.5</v>
      </c>
      <c r="H94" s="113">
        <v>119.5</v>
      </c>
      <c r="J94" s="113">
        <v>119.5</v>
      </c>
      <c r="K94" s="113">
        <f>G94-J94</f>
        <v>0</v>
      </c>
    </row>
    <row r="95" spans="1:11" hidden="1" outlineLevel="3">
      <c r="A95" s="111" t="s">
        <v>394</v>
      </c>
      <c r="B95" s="111" t="s">
        <v>476</v>
      </c>
      <c r="C95" s="111" t="s">
        <v>396</v>
      </c>
      <c r="D95" s="111" t="s">
        <v>396</v>
      </c>
      <c r="E95" s="111" t="s">
        <v>477</v>
      </c>
      <c r="F95" s="112">
        <v>45717</v>
      </c>
      <c r="G95" s="113">
        <v>91</v>
      </c>
      <c r="H95" s="113">
        <v>91</v>
      </c>
      <c r="J95" s="113">
        <v>98</v>
      </c>
      <c r="K95" s="113">
        <f>G95-J95</f>
        <v>-7</v>
      </c>
    </row>
    <row r="96" spans="1:11" hidden="1" outlineLevel="3">
      <c r="A96" s="111" t="s">
        <v>394</v>
      </c>
      <c r="B96" s="111" t="s">
        <v>476</v>
      </c>
      <c r="C96" s="111" t="s">
        <v>400</v>
      </c>
      <c r="D96" s="111" t="s">
        <v>479</v>
      </c>
      <c r="E96" s="111" t="s">
        <v>477</v>
      </c>
      <c r="F96" s="112">
        <v>45717</v>
      </c>
      <c r="G96" s="113">
        <v>4244.8599999999997</v>
      </c>
      <c r="H96" s="113">
        <v>4244.8599999999997</v>
      </c>
      <c r="J96" s="113">
        <v>4244.8599999999997</v>
      </c>
      <c r="K96" s="113">
        <f>G96-J96</f>
        <v>0</v>
      </c>
    </row>
    <row r="97" spans="1:11" outlineLevel="2" collapsed="1">
      <c r="B97" s="114" t="s">
        <v>480</v>
      </c>
      <c r="F97" s="112"/>
      <c r="G97" s="113">
        <f>SUBTOTAL(9,G92:G96)</f>
        <v>5100.3599999999997</v>
      </c>
      <c r="J97" s="113">
        <f>SUBTOTAL(9,J92:J96)</f>
        <v>5107.3599999999997</v>
      </c>
      <c r="K97" s="113">
        <f>SUBTOTAL(9,K92:K96)</f>
        <v>-7</v>
      </c>
    </row>
    <row r="98" spans="1:11" hidden="1" outlineLevel="3">
      <c r="A98" s="111" t="s">
        <v>394</v>
      </c>
      <c r="B98" s="111" t="s">
        <v>481</v>
      </c>
      <c r="C98" s="111" t="s">
        <v>403</v>
      </c>
      <c r="D98" s="111" t="s">
        <v>482</v>
      </c>
      <c r="E98" s="111" t="s">
        <v>483</v>
      </c>
      <c r="F98" s="112">
        <v>45731</v>
      </c>
      <c r="G98" s="113">
        <v>325</v>
      </c>
      <c r="H98" s="113">
        <v>325</v>
      </c>
      <c r="J98" s="113">
        <v>325</v>
      </c>
      <c r="K98" s="113">
        <f>G98-J98</f>
        <v>0</v>
      </c>
    </row>
    <row r="99" spans="1:11" hidden="1" outlineLevel="3">
      <c r="A99" s="111" t="s">
        <v>394</v>
      </c>
      <c r="B99" s="111" t="s">
        <v>481</v>
      </c>
      <c r="C99" s="111" t="s">
        <v>405</v>
      </c>
      <c r="D99" s="111" t="s">
        <v>405</v>
      </c>
      <c r="E99" s="111" t="s">
        <v>483</v>
      </c>
      <c r="F99" s="112">
        <v>45731</v>
      </c>
      <c r="G99" s="113">
        <v>0</v>
      </c>
      <c r="H99" s="113">
        <v>0</v>
      </c>
      <c r="J99" s="113">
        <v>0</v>
      </c>
      <c r="K99" s="113">
        <f>G99-J99</f>
        <v>0</v>
      </c>
    </row>
    <row r="100" spans="1:11" hidden="1" outlineLevel="3">
      <c r="A100" s="111" t="s">
        <v>394</v>
      </c>
      <c r="B100" s="111" t="s">
        <v>481</v>
      </c>
      <c r="C100" s="111" t="s">
        <v>396</v>
      </c>
      <c r="D100" s="111" t="s">
        <v>396</v>
      </c>
      <c r="E100" s="111" t="s">
        <v>483</v>
      </c>
      <c r="F100" s="112">
        <v>45731</v>
      </c>
      <c r="G100" s="113">
        <v>313</v>
      </c>
      <c r="H100" s="113">
        <v>313</v>
      </c>
      <c r="J100" s="113">
        <v>313</v>
      </c>
      <c r="K100" s="113">
        <f>G100-J100</f>
        <v>0</v>
      </c>
    </row>
    <row r="101" spans="1:11" hidden="1" outlineLevel="3">
      <c r="A101" s="111" t="s">
        <v>394</v>
      </c>
      <c r="B101" s="111" t="s">
        <v>481</v>
      </c>
      <c r="C101" s="111" t="s">
        <v>400</v>
      </c>
      <c r="D101" s="111" t="s">
        <v>400</v>
      </c>
      <c r="E101" s="111" t="s">
        <v>483</v>
      </c>
      <c r="F101" s="112">
        <v>45731</v>
      </c>
      <c r="G101" s="113">
        <v>892.5</v>
      </c>
      <c r="H101" s="113">
        <v>892.5</v>
      </c>
      <c r="J101" s="113">
        <v>892.5</v>
      </c>
      <c r="K101" s="113">
        <f>G101-J101</f>
        <v>0</v>
      </c>
    </row>
    <row r="102" spans="1:11" outlineLevel="2" collapsed="1">
      <c r="B102" s="114" t="s">
        <v>484</v>
      </c>
      <c r="F102" s="112"/>
      <c r="G102" s="113">
        <f>SUBTOTAL(9,G98:G101)</f>
        <v>1530.5</v>
      </c>
      <c r="J102" s="113">
        <f>SUBTOTAL(9,J98:J101)</f>
        <v>1530.5</v>
      </c>
      <c r="K102" s="113">
        <f>SUBTOTAL(9,K98:K101)</f>
        <v>0</v>
      </c>
    </row>
    <row r="103" spans="1:11" hidden="1" outlineLevel="3">
      <c r="A103" s="111" t="s">
        <v>394</v>
      </c>
      <c r="B103" s="111" t="s">
        <v>485</v>
      </c>
      <c r="C103" s="111" t="s">
        <v>400</v>
      </c>
      <c r="D103" s="111" t="s">
        <v>400</v>
      </c>
      <c r="E103" s="111" t="s">
        <v>486</v>
      </c>
      <c r="F103" s="112">
        <v>45717</v>
      </c>
      <c r="G103" s="113">
        <v>8127</v>
      </c>
      <c r="H103" s="113">
        <v>8127</v>
      </c>
      <c r="J103" s="113">
        <v>8127</v>
      </c>
      <c r="K103" s="113">
        <f>G103-J103</f>
        <v>0</v>
      </c>
    </row>
    <row r="104" spans="1:11" outlineLevel="2" collapsed="1">
      <c r="B104" s="114" t="s">
        <v>487</v>
      </c>
      <c r="F104" s="112"/>
      <c r="G104" s="113">
        <f>SUBTOTAL(9,G103:G103)</f>
        <v>8127</v>
      </c>
      <c r="J104" s="113">
        <f>SUBTOTAL(9,J103:J103)</f>
        <v>8127</v>
      </c>
      <c r="K104" s="113">
        <f>SUBTOTAL(9,K103:K103)</f>
        <v>0</v>
      </c>
    </row>
    <row r="105" spans="1:11" hidden="1" outlineLevel="3">
      <c r="A105" s="111" t="s">
        <v>394</v>
      </c>
      <c r="B105" s="111" t="s">
        <v>488</v>
      </c>
      <c r="C105" s="111" t="s">
        <v>405</v>
      </c>
      <c r="D105" s="111" t="s">
        <v>405</v>
      </c>
      <c r="E105" s="111" t="s">
        <v>489</v>
      </c>
      <c r="F105" s="112">
        <v>45717</v>
      </c>
      <c r="G105" s="113">
        <v>160.12960000000001</v>
      </c>
      <c r="H105" s="113">
        <v>160.12960000000001</v>
      </c>
      <c r="J105" s="113">
        <v>162.78880000000001</v>
      </c>
      <c r="K105" s="113">
        <f>G105-J105</f>
        <v>-2.6591999999999985</v>
      </c>
    </row>
    <row r="106" spans="1:11" hidden="1" outlineLevel="3">
      <c r="A106" s="111" t="s">
        <v>394</v>
      </c>
      <c r="B106" s="111" t="s">
        <v>488</v>
      </c>
      <c r="C106" s="111" t="s">
        <v>396</v>
      </c>
      <c r="D106" s="111" t="s">
        <v>396</v>
      </c>
      <c r="E106" s="111" t="s">
        <v>489</v>
      </c>
      <c r="F106" s="112">
        <v>45717</v>
      </c>
      <c r="G106" s="113">
        <v>495</v>
      </c>
      <c r="H106" s="113">
        <v>495</v>
      </c>
      <c r="J106" s="113">
        <v>502</v>
      </c>
      <c r="K106" s="113">
        <f>G106-J106</f>
        <v>-7</v>
      </c>
    </row>
    <row r="107" spans="1:11" hidden="1" outlineLevel="3">
      <c r="A107" s="111" t="s">
        <v>394</v>
      </c>
      <c r="B107" s="111" t="s">
        <v>488</v>
      </c>
      <c r="C107" s="111" t="s">
        <v>400</v>
      </c>
      <c r="D107" s="111" t="s">
        <v>490</v>
      </c>
      <c r="E107" s="111" t="s">
        <v>489</v>
      </c>
      <c r="F107" s="112">
        <v>45717</v>
      </c>
      <c r="G107" s="113">
        <v>2832.8503999999998</v>
      </c>
      <c r="H107" s="113">
        <v>2832.8503999999998</v>
      </c>
      <c r="J107" s="113">
        <v>2832.8512000000001</v>
      </c>
      <c r="K107" s="113">
        <f>G107-J107</f>
        <v>-8.0000000025393092E-4</v>
      </c>
    </row>
    <row r="108" spans="1:11" hidden="1" outlineLevel="3">
      <c r="A108" s="111" t="s">
        <v>394</v>
      </c>
      <c r="B108" s="111" t="s">
        <v>488</v>
      </c>
      <c r="C108" s="111" t="s">
        <v>468</v>
      </c>
      <c r="D108" s="111" t="s">
        <v>468</v>
      </c>
      <c r="E108" s="111" t="s">
        <v>489</v>
      </c>
      <c r="F108" s="112">
        <v>45717</v>
      </c>
      <c r="G108" s="113">
        <v>236.25</v>
      </c>
      <c r="H108" s="113">
        <v>236.25</v>
      </c>
      <c r="J108" s="113">
        <v>236.25</v>
      </c>
      <c r="K108" s="113">
        <f>G108-J108</f>
        <v>0</v>
      </c>
    </row>
    <row r="109" spans="1:11" outlineLevel="2" collapsed="1">
      <c r="B109" s="114" t="s">
        <v>491</v>
      </c>
      <c r="F109" s="112"/>
      <c r="G109" s="113">
        <f>SUBTOTAL(9,G105:G108)</f>
        <v>3724.2299999999996</v>
      </c>
      <c r="J109" s="113">
        <f>SUBTOTAL(9,J105:J108)</f>
        <v>3733.8900000000003</v>
      </c>
      <c r="K109" s="113">
        <f>SUBTOTAL(9,K105:K108)</f>
        <v>-9.6600000000002524</v>
      </c>
    </row>
    <row r="110" spans="1:11" hidden="1" outlineLevel="3">
      <c r="A110" s="111" t="s">
        <v>394</v>
      </c>
      <c r="B110" s="111" t="s">
        <v>492</v>
      </c>
      <c r="C110" s="111" t="s">
        <v>405</v>
      </c>
      <c r="D110" s="111" t="s">
        <v>493</v>
      </c>
      <c r="E110" s="111" t="s">
        <v>494</v>
      </c>
      <c r="F110" s="112">
        <v>45717</v>
      </c>
      <c r="G110" s="113">
        <v>559.5</v>
      </c>
      <c r="H110" s="113">
        <v>559.5</v>
      </c>
      <c r="J110" s="113">
        <v>559.5</v>
      </c>
      <c r="K110" s="113">
        <f>G110-J110</f>
        <v>0</v>
      </c>
    </row>
    <row r="111" spans="1:11" hidden="1" outlineLevel="3">
      <c r="A111" s="111" t="s">
        <v>394</v>
      </c>
      <c r="B111" s="111" t="s">
        <v>492</v>
      </c>
      <c r="C111" s="111" t="s">
        <v>396</v>
      </c>
      <c r="D111" s="111" t="s">
        <v>495</v>
      </c>
      <c r="E111" s="111" t="s">
        <v>494</v>
      </c>
      <c r="F111" s="112">
        <v>45717</v>
      </c>
      <c r="G111" s="113">
        <v>390</v>
      </c>
      <c r="H111" s="113">
        <v>390</v>
      </c>
      <c r="J111" s="113">
        <v>403</v>
      </c>
      <c r="K111" s="113">
        <f>G111-J111</f>
        <v>-13</v>
      </c>
    </row>
    <row r="112" spans="1:11" hidden="1" outlineLevel="3">
      <c r="A112" s="111" t="s">
        <v>394</v>
      </c>
      <c r="B112" s="111" t="s">
        <v>492</v>
      </c>
      <c r="C112" s="111" t="s">
        <v>400</v>
      </c>
      <c r="D112" s="111" t="s">
        <v>496</v>
      </c>
      <c r="E112" s="111" t="s">
        <v>494</v>
      </c>
      <c r="F112" s="112">
        <v>45717</v>
      </c>
      <c r="G112" s="113">
        <v>3031</v>
      </c>
      <c r="H112" s="113">
        <v>3031</v>
      </c>
      <c r="J112" s="113">
        <v>3031</v>
      </c>
      <c r="K112" s="113">
        <f>G112-J112</f>
        <v>0</v>
      </c>
    </row>
    <row r="113" spans="1:12" outlineLevel="2" collapsed="1">
      <c r="B113" s="114" t="s">
        <v>497</v>
      </c>
      <c r="F113" s="112"/>
      <c r="G113" s="113">
        <f>SUBTOTAL(9,G110:G112)</f>
        <v>3980.5</v>
      </c>
      <c r="J113" s="113">
        <f>SUBTOTAL(9,J110:J112)</f>
        <v>3993.5</v>
      </c>
      <c r="K113" s="113">
        <f>SUBTOTAL(9,K110:K112)</f>
        <v>-13</v>
      </c>
    </row>
    <row r="114" spans="1:12" hidden="1" outlineLevel="3">
      <c r="A114" s="111" t="s">
        <v>394</v>
      </c>
      <c r="B114" s="111" t="s">
        <v>498</v>
      </c>
      <c r="C114" s="111" t="s">
        <v>408</v>
      </c>
      <c r="D114" s="111" t="s">
        <v>408</v>
      </c>
      <c r="E114" s="111" t="s">
        <v>499</v>
      </c>
      <c r="F114" s="112">
        <v>45717</v>
      </c>
      <c r="G114" s="113">
        <v>326.39999999999998</v>
      </c>
      <c r="H114" s="113">
        <v>326.39999999999998</v>
      </c>
      <c r="J114" s="113">
        <v>326.39999999999998</v>
      </c>
      <c r="K114" s="113">
        <f>G114-J114</f>
        <v>0</v>
      </c>
    </row>
    <row r="115" spans="1:12" hidden="1" outlineLevel="3">
      <c r="A115" s="111" t="s">
        <v>394</v>
      </c>
      <c r="B115" s="111" t="s">
        <v>498</v>
      </c>
      <c r="C115" s="111" t="s">
        <v>405</v>
      </c>
      <c r="D115" s="111" t="s">
        <v>405</v>
      </c>
      <c r="E115" s="111" t="s">
        <v>499</v>
      </c>
      <c r="F115" s="112">
        <v>45717</v>
      </c>
      <c r="G115" s="113">
        <v>193.93219999999999</v>
      </c>
      <c r="H115" s="113">
        <v>193.93219999999999</v>
      </c>
      <c r="J115" s="113">
        <v>177.87559999999999</v>
      </c>
      <c r="K115" s="113">
        <f>G115-J115</f>
        <v>16.056600000000003</v>
      </c>
    </row>
    <row r="116" spans="1:12" hidden="1" outlineLevel="3">
      <c r="A116" s="111" t="s">
        <v>394</v>
      </c>
      <c r="B116" s="111" t="s">
        <v>498</v>
      </c>
      <c r="C116" s="111" t="s">
        <v>396</v>
      </c>
      <c r="D116" s="111" t="s">
        <v>422</v>
      </c>
      <c r="E116" s="111" t="s">
        <v>499</v>
      </c>
      <c r="F116" s="112">
        <v>45717</v>
      </c>
      <c r="G116" s="113">
        <v>110</v>
      </c>
      <c r="H116" s="113">
        <v>110</v>
      </c>
      <c r="J116" s="113">
        <v>115</v>
      </c>
      <c r="K116" s="113">
        <f>G116-J116</f>
        <v>-5</v>
      </c>
    </row>
    <row r="117" spans="1:12" hidden="1" outlineLevel="3">
      <c r="A117" s="111" t="s">
        <v>394</v>
      </c>
      <c r="B117" s="111" t="s">
        <v>498</v>
      </c>
      <c r="C117" s="111" t="s">
        <v>400</v>
      </c>
      <c r="D117" s="111" t="s">
        <v>413</v>
      </c>
      <c r="E117" s="111" t="s">
        <v>499</v>
      </c>
      <c r="F117" s="112">
        <v>45717</v>
      </c>
      <c r="G117" s="113">
        <v>780</v>
      </c>
      <c r="H117" s="113">
        <v>780</v>
      </c>
      <c r="J117" s="113">
        <v>780.00440000000003</v>
      </c>
      <c r="K117" s="113">
        <f>G117-J117</f>
        <v>-4.400000000032378E-3</v>
      </c>
    </row>
    <row r="118" spans="1:12" outlineLevel="2" collapsed="1">
      <c r="B118" s="114" t="s">
        <v>500</v>
      </c>
      <c r="F118" s="112"/>
      <c r="G118" s="113">
        <f>SUBTOTAL(9,G114:G117)</f>
        <v>1410.3321999999998</v>
      </c>
      <c r="J118" s="113">
        <f>SUBTOTAL(9,J114:J117)</f>
        <v>1399.28</v>
      </c>
      <c r="K118" s="113">
        <f>SUBTOTAL(9,K114:K117)</f>
        <v>11.052199999999971</v>
      </c>
    </row>
    <row r="119" spans="1:12" outlineLevel="3">
      <c r="A119" s="111" t="s">
        <v>394</v>
      </c>
      <c r="B119" s="111" t="s">
        <v>501</v>
      </c>
      <c r="C119" s="111" t="s">
        <v>408</v>
      </c>
      <c r="D119" s="111" t="s">
        <v>408</v>
      </c>
      <c r="E119" s="111" t="s">
        <v>502</v>
      </c>
      <c r="F119" s="112">
        <v>45717</v>
      </c>
      <c r="G119" s="113">
        <v>4024.2</v>
      </c>
      <c r="H119" s="113">
        <v>4024.2</v>
      </c>
      <c r="J119" s="113">
        <v>195.6</v>
      </c>
      <c r="K119" s="113">
        <f>G119-J119</f>
        <v>3828.6</v>
      </c>
      <c r="L119" s="111" t="s">
        <v>503</v>
      </c>
    </row>
    <row r="120" spans="1:12" outlineLevel="3">
      <c r="A120" s="111" t="s">
        <v>394</v>
      </c>
      <c r="B120" s="111" t="s">
        <v>501</v>
      </c>
      <c r="C120" s="111" t="s">
        <v>405</v>
      </c>
      <c r="D120" s="111" t="s">
        <v>405</v>
      </c>
      <c r="E120" s="111" t="s">
        <v>502</v>
      </c>
      <c r="F120" s="112">
        <v>45717</v>
      </c>
      <c r="G120" s="113">
        <v>756</v>
      </c>
      <c r="H120" s="113">
        <v>756</v>
      </c>
      <c r="J120" s="113">
        <v>744</v>
      </c>
      <c r="K120" s="113">
        <f>G120-J120</f>
        <v>12</v>
      </c>
    </row>
    <row r="121" spans="1:12" outlineLevel="3">
      <c r="A121" s="111" t="s">
        <v>394</v>
      </c>
      <c r="B121" s="111" t="s">
        <v>501</v>
      </c>
      <c r="C121" s="111" t="s">
        <v>396</v>
      </c>
      <c r="D121" s="111" t="s">
        <v>396</v>
      </c>
      <c r="E121" s="111" t="s">
        <v>502</v>
      </c>
      <c r="F121" s="112">
        <v>45717</v>
      </c>
      <c r="G121" s="113">
        <v>80</v>
      </c>
      <c r="H121" s="113">
        <v>80</v>
      </c>
      <c r="J121" s="113">
        <v>55</v>
      </c>
      <c r="K121" s="113">
        <f>G121-J121</f>
        <v>25</v>
      </c>
    </row>
    <row r="122" spans="1:12" outlineLevel="3">
      <c r="A122" s="111" t="s">
        <v>394</v>
      </c>
      <c r="B122" s="111" t="s">
        <v>501</v>
      </c>
      <c r="C122" s="111" t="s">
        <v>400</v>
      </c>
      <c r="D122" s="111" t="s">
        <v>504</v>
      </c>
      <c r="E122" s="111" t="s">
        <v>502</v>
      </c>
      <c r="F122" s="112">
        <v>45717</v>
      </c>
      <c r="G122" s="113">
        <v>10595</v>
      </c>
      <c r="H122" s="113">
        <v>10595</v>
      </c>
      <c r="J122" s="113">
        <v>10535</v>
      </c>
      <c r="K122" s="113">
        <f>G122-J122</f>
        <v>60</v>
      </c>
    </row>
    <row r="123" spans="1:12" outlineLevel="2">
      <c r="A123" s="115"/>
      <c r="B123" s="118" t="s">
        <v>505</v>
      </c>
      <c r="C123" s="115"/>
      <c r="D123" s="115"/>
      <c r="E123" s="115"/>
      <c r="F123" s="116"/>
      <c r="G123" s="117">
        <f>SUBTOTAL(9,G119:G122)</f>
        <v>15455.2</v>
      </c>
      <c r="H123" s="117"/>
      <c r="I123" s="117"/>
      <c r="J123" s="117">
        <f>SUBTOTAL(9,J119:J122)</f>
        <v>11529.6</v>
      </c>
      <c r="K123" s="117">
        <f>SUBTOTAL(9,K119:K122)</f>
        <v>3925.6</v>
      </c>
      <c r="L123" s="115" t="s">
        <v>503</v>
      </c>
    </row>
    <row r="124" spans="1:12" hidden="1" outlineLevel="3">
      <c r="A124" s="111" t="s">
        <v>394</v>
      </c>
      <c r="B124" s="111" t="s">
        <v>506</v>
      </c>
      <c r="C124" s="111" t="s">
        <v>408</v>
      </c>
      <c r="D124" s="111" t="s">
        <v>507</v>
      </c>
      <c r="E124" s="111" t="s">
        <v>508</v>
      </c>
      <c r="F124" s="112">
        <v>45717</v>
      </c>
      <c r="G124" s="113">
        <v>2831</v>
      </c>
      <c r="H124" s="113">
        <v>2831</v>
      </c>
      <c r="J124" s="113">
        <v>2831</v>
      </c>
      <c r="K124" s="113">
        <f t="shared" ref="K124:K131" si="0">G124-J124</f>
        <v>0</v>
      </c>
    </row>
    <row r="125" spans="1:12" hidden="1" outlineLevel="3">
      <c r="A125" s="111" t="s">
        <v>394</v>
      </c>
      <c r="B125" s="111" t="s">
        <v>506</v>
      </c>
      <c r="C125" s="111" t="s">
        <v>405</v>
      </c>
      <c r="D125" s="111" t="s">
        <v>509</v>
      </c>
      <c r="E125" s="111" t="s">
        <v>510</v>
      </c>
      <c r="F125" s="112">
        <v>45717</v>
      </c>
      <c r="G125" s="113">
        <v>760</v>
      </c>
      <c r="H125" s="113">
        <v>760</v>
      </c>
      <c r="J125" s="113">
        <v>730</v>
      </c>
      <c r="K125" s="113">
        <f t="shared" si="0"/>
        <v>30</v>
      </c>
    </row>
    <row r="126" spans="1:12" hidden="1" outlineLevel="3">
      <c r="A126" s="111" t="s">
        <v>394</v>
      </c>
      <c r="B126" s="111" t="s">
        <v>506</v>
      </c>
      <c r="C126" s="111" t="s">
        <v>405</v>
      </c>
      <c r="D126" s="111" t="s">
        <v>405</v>
      </c>
      <c r="E126" s="111" t="s">
        <v>511</v>
      </c>
      <c r="F126" s="112">
        <v>45717</v>
      </c>
      <c r="G126" s="113">
        <v>830</v>
      </c>
      <c r="H126" s="113">
        <v>830</v>
      </c>
      <c r="J126" s="113">
        <v>830</v>
      </c>
      <c r="K126" s="113">
        <f t="shared" si="0"/>
        <v>0</v>
      </c>
    </row>
    <row r="127" spans="1:12" hidden="1" outlineLevel="3">
      <c r="A127" s="111" t="s">
        <v>394</v>
      </c>
      <c r="B127" s="111" t="s">
        <v>506</v>
      </c>
      <c r="C127" s="111" t="s">
        <v>405</v>
      </c>
      <c r="D127" s="111" t="s">
        <v>512</v>
      </c>
      <c r="E127" s="111" t="s">
        <v>513</v>
      </c>
      <c r="F127" s="112">
        <v>45717</v>
      </c>
      <c r="G127" s="113">
        <v>1089</v>
      </c>
      <c r="H127" s="113">
        <v>1089</v>
      </c>
      <c r="J127" s="113">
        <v>1089</v>
      </c>
      <c r="K127" s="113">
        <f t="shared" si="0"/>
        <v>0</v>
      </c>
    </row>
    <row r="128" spans="1:12" hidden="1" outlineLevel="3">
      <c r="A128" s="111" t="s">
        <v>394</v>
      </c>
      <c r="B128" s="111" t="s">
        <v>506</v>
      </c>
      <c r="C128" s="111" t="s">
        <v>396</v>
      </c>
      <c r="D128" s="111" t="s">
        <v>396</v>
      </c>
      <c r="E128" s="111" t="s">
        <v>514</v>
      </c>
      <c r="F128" s="112">
        <v>45717</v>
      </c>
      <c r="G128" s="113">
        <v>1997</v>
      </c>
      <c r="H128" s="113">
        <v>1997</v>
      </c>
      <c r="J128" s="113">
        <v>1780</v>
      </c>
      <c r="K128" s="113">
        <f t="shared" si="0"/>
        <v>217</v>
      </c>
    </row>
    <row r="129" spans="1:11" hidden="1" outlineLevel="3">
      <c r="A129" s="111" t="s">
        <v>394</v>
      </c>
      <c r="B129" s="111" t="s">
        <v>506</v>
      </c>
      <c r="C129" s="111" t="s">
        <v>400</v>
      </c>
      <c r="D129" s="111" t="s">
        <v>515</v>
      </c>
      <c r="E129" s="111" t="s">
        <v>511</v>
      </c>
      <c r="F129" s="112">
        <v>45717</v>
      </c>
      <c r="G129" s="113">
        <v>2601</v>
      </c>
      <c r="H129" s="113">
        <v>2601</v>
      </c>
      <c r="J129" s="113">
        <v>2601</v>
      </c>
      <c r="K129" s="113">
        <f t="shared" si="0"/>
        <v>0</v>
      </c>
    </row>
    <row r="130" spans="1:11" hidden="1" outlineLevel="3">
      <c r="A130" s="111" t="s">
        <v>394</v>
      </c>
      <c r="B130" s="111" t="s">
        <v>506</v>
      </c>
      <c r="C130" s="111" t="s">
        <v>400</v>
      </c>
      <c r="D130" s="111" t="s">
        <v>516</v>
      </c>
      <c r="E130" s="111" t="s">
        <v>517</v>
      </c>
      <c r="F130" s="112">
        <v>45717</v>
      </c>
      <c r="G130" s="113">
        <v>8321</v>
      </c>
      <c r="H130" s="113">
        <v>8321</v>
      </c>
      <c r="J130" s="113">
        <v>8321</v>
      </c>
      <c r="K130" s="113">
        <f t="shared" si="0"/>
        <v>0</v>
      </c>
    </row>
    <row r="131" spans="1:11" hidden="1" outlineLevel="3">
      <c r="A131" s="111" t="s">
        <v>394</v>
      </c>
      <c r="B131" s="111" t="s">
        <v>506</v>
      </c>
      <c r="C131" s="111" t="s">
        <v>468</v>
      </c>
      <c r="D131" s="111" t="s">
        <v>468</v>
      </c>
      <c r="E131" s="111" t="s">
        <v>514</v>
      </c>
      <c r="F131" s="112">
        <v>45717</v>
      </c>
      <c r="G131" s="113">
        <v>750</v>
      </c>
      <c r="H131" s="113">
        <v>750</v>
      </c>
      <c r="J131" s="113">
        <v>750</v>
      </c>
      <c r="K131" s="113">
        <f t="shared" si="0"/>
        <v>0</v>
      </c>
    </row>
    <row r="132" spans="1:11" outlineLevel="2" collapsed="1">
      <c r="B132" s="114" t="s">
        <v>518</v>
      </c>
      <c r="F132" s="112"/>
      <c r="G132" s="113">
        <f>SUBTOTAL(9,G124:G131)</f>
        <v>19179</v>
      </c>
      <c r="J132" s="113">
        <f>SUBTOTAL(9,J124:J131)</f>
        <v>18932</v>
      </c>
      <c r="K132" s="113">
        <f>SUBTOTAL(9,K124:K131)</f>
        <v>247</v>
      </c>
    </row>
    <row r="133" spans="1:11" hidden="1" outlineLevel="3">
      <c r="A133" s="111" t="s">
        <v>394</v>
      </c>
      <c r="B133" s="111" t="s">
        <v>519</v>
      </c>
      <c r="C133" s="111" t="s">
        <v>403</v>
      </c>
      <c r="D133" s="111" t="s">
        <v>520</v>
      </c>
      <c r="E133" s="111" t="s">
        <v>521</v>
      </c>
      <c r="F133" s="112">
        <v>45717</v>
      </c>
      <c r="G133" s="113">
        <v>2185.71</v>
      </c>
      <c r="H133" s="113">
        <v>2185.71</v>
      </c>
      <c r="J133" s="113">
        <v>2185.71</v>
      </c>
      <c r="K133" s="113">
        <f>G133-J133</f>
        <v>0</v>
      </c>
    </row>
    <row r="134" spans="1:11" hidden="1" outlineLevel="3">
      <c r="A134" s="111" t="s">
        <v>394</v>
      </c>
      <c r="B134" s="111" t="s">
        <v>519</v>
      </c>
      <c r="C134" s="111" t="s">
        <v>408</v>
      </c>
      <c r="D134" s="111" t="s">
        <v>408</v>
      </c>
      <c r="E134" s="111" t="s">
        <v>521</v>
      </c>
      <c r="F134" s="112">
        <v>45717</v>
      </c>
      <c r="G134" s="113">
        <v>788</v>
      </c>
      <c r="H134" s="113">
        <v>788</v>
      </c>
      <c r="J134" s="113">
        <v>788</v>
      </c>
      <c r="K134" s="113">
        <f>G134-J134</f>
        <v>0</v>
      </c>
    </row>
    <row r="135" spans="1:11" hidden="1" outlineLevel="3">
      <c r="A135" s="111" t="s">
        <v>394</v>
      </c>
      <c r="B135" s="111" t="s">
        <v>519</v>
      </c>
      <c r="C135" s="111" t="s">
        <v>405</v>
      </c>
      <c r="D135" s="111" t="s">
        <v>405</v>
      </c>
      <c r="E135" s="111" t="s">
        <v>521</v>
      </c>
      <c r="F135" s="112">
        <v>45717</v>
      </c>
      <c r="G135" s="113">
        <v>478.75</v>
      </c>
      <c r="H135" s="113">
        <v>478.75</v>
      </c>
      <c r="J135" s="113">
        <v>478.75</v>
      </c>
      <c r="K135" s="113">
        <f>G135-J135</f>
        <v>0</v>
      </c>
    </row>
    <row r="136" spans="1:11" hidden="1" outlineLevel="3">
      <c r="A136" s="111" t="s">
        <v>394</v>
      </c>
      <c r="B136" s="111" t="s">
        <v>519</v>
      </c>
      <c r="C136" s="111" t="s">
        <v>396</v>
      </c>
      <c r="D136" s="111" t="s">
        <v>396</v>
      </c>
      <c r="E136" s="111" t="s">
        <v>521</v>
      </c>
      <c r="F136" s="112">
        <v>45717</v>
      </c>
      <c r="G136" s="113">
        <v>273</v>
      </c>
      <c r="H136" s="113">
        <v>273</v>
      </c>
      <c r="J136" s="113">
        <v>273</v>
      </c>
      <c r="K136" s="113">
        <f>G136-J136</f>
        <v>0</v>
      </c>
    </row>
    <row r="137" spans="1:11" hidden="1" outlineLevel="3">
      <c r="A137" s="111" t="s">
        <v>394</v>
      </c>
      <c r="B137" s="111" t="s">
        <v>519</v>
      </c>
      <c r="C137" s="111" t="s">
        <v>400</v>
      </c>
      <c r="D137" s="111" t="s">
        <v>400</v>
      </c>
      <c r="E137" s="111" t="s">
        <v>521</v>
      </c>
      <c r="F137" s="112">
        <v>45717</v>
      </c>
      <c r="G137" s="113">
        <v>2231.25</v>
      </c>
      <c r="H137" s="113">
        <v>2231.25</v>
      </c>
      <c r="J137" s="113">
        <v>2231.25</v>
      </c>
      <c r="K137" s="113">
        <f>G137-J137</f>
        <v>0</v>
      </c>
    </row>
    <row r="138" spans="1:11" outlineLevel="2" collapsed="1">
      <c r="B138" s="114" t="s">
        <v>522</v>
      </c>
      <c r="F138" s="112"/>
      <c r="G138" s="113">
        <f>SUBTOTAL(9,G133:G137)</f>
        <v>5956.71</v>
      </c>
      <c r="J138" s="113">
        <f>SUBTOTAL(9,J133:J137)</f>
        <v>5956.71</v>
      </c>
      <c r="K138" s="113">
        <f>SUBTOTAL(9,K133:K137)</f>
        <v>0</v>
      </c>
    </row>
    <row r="139" spans="1:11" hidden="1" outlineLevel="3">
      <c r="A139" s="111" t="s">
        <v>394</v>
      </c>
      <c r="B139" s="111" t="s">
        <v>523</v>
      </c>
      <c r="C139" s="111" t="s">
        <v>408</v>
      </c>
      <c r="D139" s="111" t="s">
        <v>524</v>
      </c>
      <c r="E139" s="111" t="s">
        <v>525</v>
      </c>
      <c r="F139" s="112">
        <v>45717</v>
      </c>
      <c r="G139" s="113">
        <v>4224</v>
      </c>
      <c r="H139" s="113">
        <v>4224</v>
      </c>
      <c r="J139" s="113">
        <v>4224</v>
      </c>
      <c r="K139" s="113">
        <f>G139-J139</f>
        <v>0</v>
      </c>
    </row>
    <row r="140" spans="1:11" hidden="1" outlineLevel="3">
      <c r="A140" s="111" t="s">
        <v>394</v>
      </c>
      <c r="B140" s="111" t="s">
        <v>523</v>
      </c>
      <c r="C140" s="111" t="s">
        <v>405</v>
      </c>
      <c r="D140" s="111" t="s">
        <v>526</v>
      </c>
      <c r="E140" s="111" t="s">
        <v>527</v>
      </c>
      <c r="F140" s="112">
        <v>45717</v>
      </c>
      <c r="G140" s="113">
        <v>1726</v>
      </c>
      <c r="H140" s="113">
        <v>1726</v>
      </c>
      <c r="J140" s="113">
        <v>1718</v>
      </c>
      <c r="K140" s="113">
        <f>G140-J140</f>
        <v>8</v>
      </c>
    </row>
    <row r="141" spans="1:11" hidden="1" outlineLevel="3">
      <c r="A141" s="111" t="s">
        <v>394</v>
      </c>
      <c r="B141" s="111" t="s">
        <v>523</v>
      </c>
      <c r="C141" s="111" t="s">
        <v>396</v>
      </c>
      <c r="D141" s="111" t="s">
        <v>528</v>
      </c>
      <c r="E141" s="111" t="s">
        <v>527</v>
      </c>
      <c r="F141" s="112">
        <v>45717</v>
      </c>
      <c r="G141" s="113">
        <v>3234.5</v>
      </c>
      <c r="H141" s="113">
        <v>3234.5</v>
      </c>
      <c r="J141" s="113">
        <v>3254</v>
      </c>
      <c r="K141" s="113">
        <f>G141-J141</f>
        <v>-19.5</v>
      </c>
    </row>
    <row r="142" spans="1:11" hidden="1" outlineLevel="3">
      <c r="A142" s="111" t="s">
        <v>394</v>
      </c>
      <c r="B142" s="111" t="s">
        <v>523</v>
      </c>
      <c r="C142" s="111" t="s">
        <v>400</v>
      </c>
      <c r="D142" s="111" t="s">
        <v>529</v>
      </c>
      <c r="E142" s="111" t="s">
        <v>527</v>
      </c>
      <c r="F142" s="112">
        <v>45717</v>
      </c>
      <c r="G142" s="113">
        <v>5370</v>
      </c>
      <c r="H142" s="113">
        <v>5370</v>
      </c>
      <c r="J142" s="113">
        <v>5370</v>
      </c>
      <c r="K142" s="113">
        <f>G142-J142</f>
        <v>0</v>
      </c>
    </row>
    <row r="143" spans="1:11" outlineLevel="2" collapsed="1">
      <c r="B143" s="114" t="s">
        <v>530</v>
      </c>
      <c r="F143" s="112"/>
      <c r="G143" s="113">
        <f>SUBTOTAL(9,G139:G142)</f>
        <v>14554.5</v>
      </c>
      <c r="J143" s="113">
        <f>SUBTOTAL(9,J139:J142)</f>
        <v>14566</v>
      </c>
      <c r="K143" s="113">
        <f>SUBTOTAL(9,K139:K142)</f>
        <v>-11.5</v>
      </c>
    </row>
    <row r="144" spans="1:11" hidden="1" outlineLevel="3">
      <c r="A144" s="111" t="s">
        <v>394</v>
      </c>
      <c r="B144" s="111" t="s">
        <v>531</v>
      </c>
      <c r="C144" s="111" t="s">
        <v>403</v>
      </c>
      <c r="D144" s="111" t="s">
        <v>532</v>
      </c>
      <c r="E144" s="111" t="s">
        <v>533</v>
      </c>
      <c r="F144" s="112">
        <v>45717</v>
      </c>
      <c r="G144" s="113">
        <v>1400</v>
      </c>
      <c r="H144" s="113">
        <v>1400</v>
      </c>
      <c r="J144" s="113">
        <v>1400</v>
      </c>
      <c r="K144" s="113">
        <f>G144-J144</f>
        <v>0</v>
      </c>
    </row>
    <row r="145" spans="1:11" hidden="1" outlineLevel="3">
      <c r="A145" s="111" t="s">
        <v>394</v>
      </c>
      <c r="B145" s="111" t="s">
        <v>531</v>
      </c>
      <c r="C145" s="111" t="s">
        <v>408</v>
      </c>
      <c r="D145" s="111" t="s">
        <v>534</v>
      </c>
      <c r="E145" s="111" t="s">
        <v>533</v>
      </c>
      <c r="F145" s="112">
        <v>45717</v>
      </c>
      <c r="G145" s="113">
        <v>446</v>
      </c>
      <c r="H145" s="113">
        <v>446</v>
      </c>
      <c r="J145" s="113">
        <v>446</v>
      </c>
      <c r="K145" s="113">
        <f>G145-J145</f>
        <v>0</v>
      </c>
    </row>
    <row r="146" spans="1:11" hidden="1" outlineLevel="3">
      <c r="A146" s="111" t="s">
        <v>394</v>
      </c>
      <c r="B146" s="111" t="s">
        <v>531</v>
      </c>
      <c r="C146" s="111" t="s">
        <v>405</v>
      </c>
      <c r="D146" s="111" t="s">
        <v>405</v>
      </c>
      <c r="E146" s="111" t="s">
        <v>533</v>
      </c>
      <c r="F146" s="112">
        <v>45717</v>
      </c>
      <c r="G146" s="113">
        <v>676.75</v>
      </c>
      <c r="H146" s="113">
        <v>676.75</v>
      </c>
      <c r="J146" s="113">
        <v>676.75</v>
      </c>
      <c r="K146" s="113">
        <f>G146-J146</f>
        <v>0</v>
      </c>
    </row>
    <row r="147" spans="1:11" hidden="1" outlineLevel="3">
      <c r="A147" s="111" t="s">
        <v>394</v>
      </c>
      <c r="B147" s="111" t="s">
        <v>531</v>
      </c>
      <c r="C147" s="111" t="s">
        <v>396</v>
      </c>
      <c r="D147" s="111" t="s">
        <v>396</v>
      </c>
      <c r="E147" s="111" t="s">
        <v>533</v>
      </c>
      <c r="F147" s="112">
        <v>45717</v>
      </c>
      <c r="G147" s="113">
        <v>474</v>
      </c>
      <c r="H147" s="113">
        <v>474</v>
      </c>
      <c r="J147" s="113">
        <v>474</v>
      </c>
      <c r="K147" s="113">
        <f>G147-J147</f>
        <v>0</v>
      </c>
    </row>
    <row r="148" spans="1:11" hidden="1" outlineLevel="3">
      <c r="A148" s="111" t="s">
        <v>394</v>
      </c>
      <c r="B148" s="111" t="s">
        <v>531</v>
      </c>
      <c r="C148" s="111" t="s">
        <v>400</v>
      </c>
      <c r="D148" s="111" t="s">
        <v>535</v>
      </c>
      <c r="E148" s="111" t="s">
        <v>533</v>
      </c>
      <c r="F148" s="112">
        <v>45717</v>
      </c>
      <c r="G148" s="113">
        <v>1514.97</v>
      </c>
      <c r="H148" s="113">
        <v>1514.97</v>
      </c>
      <c r="J148" s="113">
        <v>1514.97</v>
      </c>
      <c r="K148" s="113">
        <f>G148-J148</f>
        <v>0</v>
      </c>
    </row>
    <row r="149" spans="1:11" outlineLevel="2" collapsed="1">
      <c r="B149" s="114" t="s">
        <v>536</v>
      </c>
      <c r="F149" s="112"/>
      <c r="G149" s="113">
        <f>SUBTOTAL(9,G144:G148)</f>
        <v>4511.72</v>
      </c>
      <c r="J149" s="113">
        <f>SUBTOTAL(9,J144:J148)</f>
        <v>4511.72</v>
      </c>
      <c r="K149" s="113">
        <f>SUBTOTAL(9,K144:K148)</f>
        <v>0</v>
      </c>
    </row>
    <row r="150" spans="1:11" hidden="1" outlineLevel="3">
      <c r="A150" s="111" t="s">
        <v>394</v>
      </c>
      <c r="B150" s="111" t="s">
        <v>537</v>
      </c>
      <c r="C150" s="111" t="s">
        <v>408</v>
      </c>
      <c r="D150" s="111" t="s">
        <v>408</v>
      </c>
      <c r="E150" s="111" t="s">
        <v>538</v>
      </c>
      <c r="F150" s="112">
        <v>45717</v>
      </c>
      <c r="G150" s="113">
        <v>3108</v>
      </c>
      <c r="H150" s="113">
        <v>3108</v>
      </c>
      <c r="J150" s="113">
        <v>3108</v>
      </c>
      <c r="K150" s="113">
        <f>G150-J150</f>
        <v>0</v>
      </c>
    </row>
    <row r="151" spans="1:11" hidden="1" outlineLevel="3">
      <c r="A151" s="111" t="s">
        <v>394</v>
      </c>
      <c r="B151" s="111" t="s">
        <v>537</v>
      </c>
      <c r="C151" s="111" t="s">
        <v>405</v>
      </c>
      <c r="D151" s="111" t="s">
        <v>405</v>
      </c>
      <c r="E151" s="111" t="s">
        <v>539</v>
      </c>
      <c r="F151" s="112">
        <v>45717</v>
      </c>
      <c r="G151" s="113">
        <v>1735</v>
      </c>
      <c r="H151" s="113">
        <v>1735</v>
      </c>
      <c r="J151" s="113">
        <v>1730</v>
      </c>
      <c r="K151" s="113">
        <f>G151-J151</f>
        <v>5</v>
      </c>
    </row>
    <row r="152" spans="1:11" hidden="1" outlineLevel="3">
      <c r="A152" s="111" t="s">
        <v>394</v>
      </c>
      <c r="B152" s="111" t="s">
        <v>537</v>
      </c>
      <c r="C152" s="111" t="s">
        <v>396</v>
      </c>
      <c r="D152" s="111" t="s">
        <v>396</v>
      </c>
      <c r="E152" s="111" t="s">
        <v>540</v>
      </c>
      <c r="F152" s="112">
        <v>45717</v>
      </c>
      <c r="G152" s="113">
        <v>1320</v>
      </c>
      <c r="H152" s="113">
        <v>1320</v>
      </c>
      <c r="J152" s="113">
        <v>1338</v>
      </c>
      <c r="K152" s="113">
        <f>G152-J152</f>
        <v>-18</v>
      </c>
    </row>
    <row r="153" spans="1:11" hidden="1" outlineLevel="3">
      <c r="A153" s="111" t="s">
        <v>394</v>
      </c>
      <c r="B153" s="111" t="s">
        <v>537</v>
      </c>
      <c r="C153" s="111" t="s">
        <v>400</v>
      </c>
      <c r="D153" s="111" t="s">
        <v>400</v>
      </c>
      <c r="E153" s="111" t="s">
        <v>541</v>
      </c>
      <c r="F153" s="112">
        <v>45717</v>
      </c>
      <c r="G153" s="113">
        <v>4700</v>
      </c>
      <c r="H153" s="113">
        <v>4700</v>
      </c>
      <c r="J153" s="113">
        <v>4700</v>
      </c>
      <c r="K153" s="113">
        <f>G153-J153</f>
        <v>0</v>
      </c>
    </row>
    <row r="154" spans="1:11" outlineLevel="2" collapsed="1">
      <c r="B154" s="114" t="s">
        <v>542</v>
      </c>
      <c r="F154" s="112"/>
      <c r="G154" s="113">
        <f>SUBTOTAL(9,G150:G153)</f>
        <v>10863</v>
      </c>
      <c r="J154" s="113">
        <f>SUBTOTAL(9,J150:J153)</f>
        <v>10876</v>
      </c>
      <c r="K154" s="113">
        <f>SUBTOTAL(9,K150:K153)</f>
        <v>-13</v>
      </c>
    </row>
    <row r="155" spans="1:11" hidden="1" outlineLevel="3">
      <c r="A155" s="111" t="s">
        <v>394</v>
      </c>
      <c r="B155" s="111" t="s">
        <v>543</v>
      </c>
      <c r="C155" s="111" t="s">
        <v>400</v>
      </c>
      <c r="D155" s="111" t="s">
        <v>504</v>
      </c>
      <c r="F155" s="112"/>
      <c r="J155" s="113">
        <v>-145.5</v>
      </c>
      <c r="K155" s="113">
        <f>G155-J155</f>
        <v>145.5</v>
      </c>
    </row>
    <row r="156" spans="1:11" outlineLevel="2" collapsed="1">
      <c r="B156" s="114" t="s">
        <v>544</v>
      </c>
      <c r="F156" s="112"/>
      <c r="G156" s="113">
        <f>SUBTOTAL(9,G155:G155)</f>
        <v>0</v>
      </c>
      <c r="J156" s="113">
        <f>SUBTOTAL(9,J155:J155)</f>
        <v>-145.5</v>
      </c>
      <c r="K156" s="113">
        <f>SUBTOTAL(9,K155:K155)</f>
        <v>145.5</v>
      </c>
    </row>
    <row r="157" spans="1:11" hidden="1" outlineLevel="3">
      <c r="A157" s="111" t="s">
        <v>394</v>
      </c>
      <c r="B157" s="111" t="s">
        <v>545</v>
      </c>
      <c r="C157" s="111" t="s">
        <v>405</v>
      </c>
      <c r="D157" s="111" t="s">
        <v>405</v>
      </c>
      <c r="E157" s="111" t="s">
        <v>546</v>
      </c>
      <c r="F157" s="112">
        <v>45717</v>
      </c>
      <c r="G157" s="113">
        <v>692.34540000000004</v>
      </c>
      <c r="H157" s="113">
        <v>692.34540000000004</v>
      </c>
      <c r="J157" s="113">
        <v>684.029</v>
      </c>
      <c r="K157" s="113">
        <f>G157-J157</f>
        <v>8.3164000000000442</v>
      </c>
    </row>
    <row r="158" spans="1:11" hidden="1" outlineLevel="3">
      <c r="A158" s="111" t="s">
        <v>394</v>
      </c>
      <c r="B158" s="111" t="s">
        <v>545</v>
      </c>
      <c r="C158" s="111" t="s">
        <v>396</v>
      </c>
      <c r="D158" s="111" t="s">
        <v>396</v>
      </c>
      <c r="E158" s="111" t="s">
        <v>546</v>
      </c>
      <c r="F158" s="112">
        <v>45717</v>
      </c>
      <c r="G158" s="113">
        <v>1426</v>
      </c>
      <c r="H158" s="113">
        <v>1426</v>
      </c>
      <c r="J158" s="113">
        <v>1437</v>
      </c>
      <c r="K158" s="113">
        <f>G158-J158</f>
        <v>-11</v>
      </c>
    </row>
    <row r="159" spans="1:11" hidden="1" outlineLevel="3">
      <c r="A159" s="111" t="s">
        <v>394</v>
      </c>
      <c r="B159" s="111" t="s">
        <v>545</v>
      </c>
      <c r="C159" s="111" t="s">
        <v>400</v>
      </c>
      <c r="D159" s="111" t="s">
        <v>504</v>
      </c>
      <c r="E159" s="111" t="s">
        <v>546</v>
      </c>
      <c r="F159" s="112">
        <v>45717</v>
      </c>
      <c r="G159" s="113">
        <v>3903.0046000000002</v>
      </c>
      <c r="H159" s="113">
        <v>3903.0046000000002</v>
      </c>
      <c r="J159" s="113">
        <v>4036.5010000000002</v>
      </c>
      <c r="K159" s="113">
        <f>G159-J159</f>
        <v>-133.49639999999999</v>
      </c>
    </row>
    <row r="160" spans="1:11" outlineLevel="2" collapsed="1">
      <c r="B160" s="114" t="s">
        <v>547</v>
      </c>
      <c r="F160" s="112"/>
      <c r="G160" s="113">
        <f>SUBTOTAL(9,G157:G159)</f>
        <v>6021.35</v>
      </c>
      <c r="J160" s="113">
        <f>SUBTOTAL(9,J157:J159)</f>
        <v>6157.5300000000007</v>
      </c>
      <c r="K160" s="113">
        <f>SUBTOTAL(9,K157:K159)</f>
        <v>-136.17999999999995</v>
      </c>
    </row>
    <row r="161" spans="1:11" hidden="1" outlineLevel="3">
      <c r="A161" s="111" t="s">
        <v>394</v>
      </c>
      <c r="B161" s="111" t="s">
        <v>548</v>
      </c>
      <c r="C161" s="111" t="s">
        <v>405</v>
      </c>
      <c r="D161" s="111" t="s">
        <v>405</v>
      </c>
      <c r="E161" s="111" t="s">
        <v>549</v>
      </c>
      <c r="F161" s="112">
        <v>45717</v>
      </c>
      <c r="G161" s="113">
        <v>0</v>
      </c>
      <c r="H161" s="113">
        <v>0</v>
      </c>
      <c r="J161" s="113">
        <v>0</v>
      </c>
      <c r="K161" s="113">
        <f>G161-J161</f>
        <v>0</v>
      </c>
    </row>
    <row r="162" spans="1:11" hidden="1" outlineLevel="3">
      <c r="A162" s="111" t="s">
        <v>394</v>
      </c>
      <c r="B162" s="111" t="s">
        <v>548</v>
      </c>
      <c r="C162" s="111" t="s">
        <v>396</v>
      </c>
      <c r="D162" s="111" t="s">
        <v>396</v>
      </c>
      <c r="E162" s="111" t="s">
        <v>549</v>
      </c>
      <c r="F162" s="112">
        <v>45717</v>
      </c>
      <c r="G162" s="113">
        <v>70</v>
      </c>
      <c r="H162" s="113">
        <v>70</v>
      </c>
      <c r="J162" s="113">
        <v>70</v>
      </c>
      <c r="K162" s="113">
        <f>G162-J162</f>
        <v>0</v>
      </c>
    </row>
    <row r="163" spans="1:11" hidden="1" outlineLevel="3">
      <c r="A163" s="111" t="s">
        <v>394</v>
      </c>
      <c r="B163" s="111" t="s">
        <v>548</v>
      </c>
      <c r="C163" s="111" t="s">
        <v>400</v>
      </c>
      <c r="D163" s="111" t="s">
        <v>400</v>
      </c>
      <c r="E163" s="111" t="s">
        <v>549</v>
      </c>
      <c r="F163" s="112">
        <v>45717</v>
      </c>
      <c r="G163" s="113">
        <v>885.59</v>
      </c>
      <c r="H163" s="113">
        <v>885.59</v>
      </c>
      <c r="J163" s="113">
        <v>885.59</v>
      </c>
      <c r="K163" s="113">
        <f>G163-J163</f>
        <v>0</v>
      </c>
    </row>
    <row r="164" spans="1:11" outlineLevel="2" collapsed="1">
      <c r="B164" s="114" t="s">
        <v>550</v>
      </c>
      <c r="F164" s="112"/>
      <c r="G164" s="113">
        <f>SUBTOTAL(9,G161:G163)</f>
        <v>955.59</v>
      </c>
      <c r="J164" s="113">
        <f>SUBTOTAL(9,J161:J163)</f>
        <v>955.59</v>
      </c>
      <c r="K164" s="113">
        <f>SUBTOTAL(9,K161:K163)</f>
        <v>0</v>
      </c>
    </row>
    <row r="165" spans="1:11" hidden="1" outlineLevel="3">
      <c r="A165" s="111" t="s">
        <v>394</v>
      </c>
      <c r="B165" s="111" t="s">
        <v>551</v>
      </c>
      <c r="C165" s="111" t="s">
        <v>408</v>
      </c>
      <c r="D165" s="111" t="s">
        <v>552</v>
      </c>
      <c r="E165" s="111" t="s">
        <v>553</v>
      </c>
      <c r="F165" s="112">
        <v>45717</v>
      </c>
      <c r="G165" s="113">
        <v>1952.4</v>
      </c>
      <c r="H165" s="113">
        <v>1952.4</v>
      </c>
      <c r="J165" s="113">
        <v>1569.8</v>
      </c>
      <c r="K165" s="113">
        <f>G165-J165</f>
        <v>382.60000000000014</v>
      </c>
    </row>
    <row r="166" spans="1:11" hidden="1" outlineLevel="3">
      <c r="A166" s="111" t="s">
        <v>394</v>
      </c>
      <c r="B166" s="111" t="s">
        <v>551</v>
      </c>
      <c r="C166" s="111" t="s">
        <v>405</v>
      </c>
      <c r="D166" s="111" t="s">
        <v>554</v>
      </c>
      <c r="E166" s="111" t="s">
        <v>555</v>
      </c>
      <c r="F166" s="112">
        <v>45717</v>
      </c>
      <c r="G166" s="113">
        <v>599</v>
      </c>
      <c r="H166" s="113">
        <v>599</v>
      </c>
      <c r="J166" s="113">
        <v>599</v>
      </c>
      <c r="K166" s="113">
        <f>G166-J166</f>
        <v>0</v>
      </c>
    </row>
    <row r="167" spans="1:11" hidden="1" outlineLevel="3">
      <c r="A167" s="111" t="s">
        <v>394</v>
      </c>
      <c r="B167" s="111" t="s">
        <v>551</v>
      </c>
      <c r="C167" s="111" t="s">
        <v>396</v>
      </c>
      <c r="D167" s="111" t="s">
        <v>556</v>
      </c>
      <c r="E167" s="111" t="s">
        <v>555</v>
      </c>
      <c r="F167" s="112">
        <v>45717</v>
      </c>
      <c r="G167" s="113">
        <v>1781</v>
      </c>
      <c r="H167" s="113">
        <v>1781</v>
      </c>
      <c r="J167" s="113">
        <v>1684</v>
      </c>
      <c r="K167" s="113">
        <f>G167-J167</f>
        <v>97</v>
      </c>
    </row>
    <row r="168" spans="1:11" hidden="1" outlineLevel="3">
      <c r="A168" s="111" t="s">
        <v>394</v>
      </c>
      <c r="B168" s="111" t="s">
        <v>551</v>
      </c>
      <c r="C168" s="111" t="s">
        <v>400</v>
      </c>
      <c r="D168" s="111" t="s">
        <v>557</v>
      </c>
      <c r="E168" s="111" t="s">
        <v>555</v>
      </c>
      <c r="F168" s="112">
        <v>45717</v>
      </c>
      <c r="G168" s="113">
        <v>2774</v>
      </c>
      <c r="H168" s="113">
        <v>2774</v>
      </c>
      <c r="J168" s="113">
        <v>2774</v>
      </c>
      <c r="K168" s="113">
        <f>G168-J168</f>
        <v>0</v>
      </c>
    </row>
    <row r="169" spans="1:11" outlineLevel="2" collapsed="1">
      <c r="B169" s="114" t="s">
        <v>558</v>
      </c>
      <c r="F169" s="112"/>
      <c r="G169" s="113">
        <f>SUBTOTAL(9,G165:G168)</f>
        <v>7106.4</v>
      </c>
      <c r="J169" s="113">
        <f>SUBTOTAL(9,J165:J168)</f>
        <v>6626.8</v>
      </c>
      <c r="K169" s="113">
        <f>SUBTOTAL(9,K165:K168)</f>
        <v>479.60000000000014</v>
      </c>
    </row>
    <row r="170" spans="1:11" hidden="1" outlineLevel="3">
      <c r="A170" s="111" t="s">
        <v>394</v>
      </c>
      <c r="B170" s="111" t="s">
        <v>559</v>
      </c>
      <c r="C170" s="111" t="s">
        <v>408</v>
      </c>
      <c r="D170" s="111" t="s">
        <v>560</v>
      </c>
      <c r="E170" s="111" t="s">
        <v>561</v>
      </c>
      <c r="F170" s="112">
        <v>45717</v>
      </c>
      <c r="G170" s="113">
        <v>928</v>
      </c>
      <c r="H170" s="113">
        <v>928</v>
      </c>
      <c r="J170" s="113">
        <v>928</v>
      </c>
      <c r="K170" s="113">
        <f>G170-J170</f>
        <v>0</v>
      </c>
    </row>
    <row r="171" spans="1:11" hidden="1" outlineLevel="3">
      <c r="A171" s="111" t="s">
        <v>394</v>
      </c>
      <c r="B171" s="111" t="s">
        <v>559</v>
      </c>
      <c r="C171" s="111" t="s">
        <v>405</v>
      </c>
      <c r="D171" s="111" t="s">
        <v>405</v>
      </c>
      <c r="E171" s="111" t="s">
        <v>561</v>
      </c>
      <c r="F171" s="112">
        <v>45717</v>
      </c>
      <c r="G171" s="113">
        <v>393.5</v>
      </c>
      <c r="H171" s="113">
        <v>393.5</v>
      </c>
      <c r="J171" s="113">
        <v>393.5</v>
      </c>
      <c r="K171" s="113">
        <f>G171-J171</f>
        <v>0</v>
      </c>
    </row>
    <row r="172" spans="1:11" hidden="1" outlineLevel="3">
      <c r="A172" s="111" t="s">
        <v>394</v>
      </c>
      <c r="B172" s="111" t="s">
        <v>559</v>
      </c>
      <c r="C172" s="111" t="s">
        <v>396</v>
      </c>
      <c r="D172" s="111" t="s">
        <v>396</v>
      </c>
      <c r="E172" s="111" t="s">
        <v>561</v>
      </c>
      <c r="F172" s="112">
        <v>45717</v>
      </c>
      <c r="G172" s="113">
        <v>304.3</v>
      </c>
      <c r="H172" s="113">
        <v>304.3</v>
      </c>
      <c r="J172" s="113">
        <v>301.39999999999998</v>
      </c>
      <c r="K172" s="113">
        <f>G172-J172</f>
        <v>2.9000000000000341</v>
      </c>
    </row>
    <row r="173" spans="1:11" hidden="1" outlineLevel="3">
      <c r="A173" s="111" t="s">
        <v>394</v>
      </c>
      <c r="B173" s="111" t="s">
        <v>559</v>
      </c>
      <c r="C173" s="111" t="s">
        <v>400</v>
      </c>
      <c r="D173" s="111" t="s">
        <v>562</v>
      </c>
      <c r="E173" s="111" t="s">
        <v>561</v>
      </c>
      <c r="F173" s="112">
        <v>45717</v>
      </c>
      <c r="G173" s="113">
        <v>4754.25</v>
      </c>
      <c r="H173" s="113">
        <v>4754.25</v>
      </c>
      <c r="J173" s="113">
        <v>4754.25</v>
      </c>
      <c r="K173" s="113">
        <f>G173-J173</f>
        <v>0</v>
      </c>
    </row>
    <row r="174" spans="1:11" hidden="1" outlineLevel="3">
      <c r="A174" s="111" t="s">
        <v>394</v>
      </c>
      <c r="B174" s="111" t="s">
        <v>559</v>
      </c>
      <c r="C174" s="111" t="s">
        <v>468</v>
      </c>
      <c r="D174" s="111" t="s">
        <v>563</v>
      </c>
      <c r="E174" s="111" t="s">
        <v>561</v>
      </c>
      <c r="F174" s="112">
        <v>45717</v>
      </c>
      <c r="G174" s="113">
        <v>3.19</v>
      </c>
      <c r="H174" s="113">
        <v>3.19</v>
      </c>
      <c r="J174" s="113">
        <v>3.19</v>
      </c>
      <c r="K174" s="113">
        <f>G174-J174</f>
        <v>0</v>
      </c>
    </row>
    <row r="175" spans="1:11" outlineLevel="2" collapsed="1">
      <c r="B175" s="114" t="s">
        <v>564</v>
      </c>
      <c r="F175" s="112"/>
      <c r="G175" s="113">
        <f>SUBTOTAL(9,G170:G174)</f>
        <v>6383.24</v>
      </c>
      <c r="J175" s="113">
        <f>SUBTOTAL(9,J170:J174)</f>
        <v>6380.3399999999992</v>
      </c>
      <c r="K175" s="113">
        <f>SUBTOTAL(9,K170:K174)</f>
        <v>2.9000000000000341</v>
      </c>
    </row>
    <row r="176" spans="1:11" outlineLevel="3">
      <c r="A176" s="111" t="s">
        <v>394</v>
      </c>
      <c r="B176" s="111" t="s">
        <v>565</v>
      </c>
      <c r="C176" s="111" t="s">
        <v>403</v>
      </c>
      <c r="D176" s="111" t="s">
        <v>403</v>
      </c>
      <c r="E176" s="111" t="s">
        <v>566</v>
      </c>
      <c r="F176" s="112">
        <v>45717</v>
      </c>
      <c r="G176" s="113">
        <v>600</v>
      </c>
      <c r="H176" s="113">
        <v>600</v>
      </c>
      <c r="J176" s="113">
        <v>600</v>
      </c>
      <c r="K176" s="113">
        <f>G176-J176</f>
        <v>0</v>
      </c>
    </row>
    <row r="177" spans="1:13" outlineLevel="3">
      <c r="A177" s="115" t="s">
        <v>394</v>
      </c>
      <c r="B177" s="115" t="s">
        <v>565</v>
      </c>
      <c r="C177" s="115" t="s">
        <v>408</v>
      </c>
      <c r="D177" s="115" t="s">
        <v>408</v>
      </c>
      <c r="E177" s="115" t="s">
        <v>566</v>
      </c>
      <c r="F177" s="116">
        <v>45717</v>
      </c>
      <c r="G177" s="117">
        <v>1308</v>
      </c>
      <c r="H177" s="117">
        <v>1308</v>
      </c>
      <c r="I177" s="117"/>
      <c r="J177" s="117">
        <v>0</v>
      </c>
      <c r="K177" s="117">
        <f>G177-J177</f>
        <v>1308</v>
      </c>
      <c r="L177" s="115" t="s">
        <v>567</v>
      </c>
      <c r="M177" s="115"/>
    </row>
    <row r="178" spans="1:13" outlineLevel="3">
      <c r="A178" s="111" t="s">
        <v>394</v>
      </c>
      <c r="B178" s="111" t="s">
        <v>565</v>
      </c>
      <c r="C178" s="111" t="s">
        <v>405</v>
      </c>
      <c r="D178" s="111" t="s">
        <v>405</v>
      </c>
      <c r="E178" s="111" t="s">
        <v>566</v>
      </c>
      <c r="F178" s="112">
        <v>45717</v>
      </c>
      <c r="G178" s="113">
        <v>222.26349999999999</v>
      </c>
      <c r="H178" s="113">
        <v>222.26349999999999</v>
      </c>
      <c r="J178" s="113">
        <v>221.80779999999999</v>
      </c>
      <c r="K178" s="113">
        <f>G178-J178</f>
        <v>0.45570000000000732</v>
      </c>
    </row>
    <row r="179" spans="1:13" outlineLevel="3">
      <c r="A179" s="111" t="s">
        <v>394</v>
      </c>
      <c r="B179" s="111" t="s">
        <v>565</v>
      </c>
      <c r="C179" s="111" t="s">
        <v>396</v>
      </c>
      <c r="D179" s="111" t="s">
        <v>396</v>
      </c>
      <c r="E179" s="111" t="s">
        <v>566</v>
      </c>
      <c r="F179" s="112">
        <v>45717</v>
      </c>
      <c r="G179" s="113">
        <v>1444</v>
      </c>
      <c r="H179" s="113">
        <v>1444</v>
      </c>
      <c r="J179" s="113">
        <v>1427</v>
      </c>
      <c r="K179" s="113">
        <f>G179-J179</f>
        <v>17</v>
      </c>
    </row>
    <row r="180" spans="1:13" outlineLevel="3">
      <c r="A180" s="111" t="s">
        <v>394</v>
      </c>
      <c r="B180" s="111" t="s">
        <v>565</v>
      </c>
      <c r="C180" s="111" t="s">
        <v>400</v>
      </c>
      <c r="D180" s="111" t="s">
        <v>400</v>
      </c>
      <c r="E180" s="111" t="s">
        <v>566</v>
      </c>
      <c r="F180" s="112">
        <v>45717</v>
      </c>
      <c r="G180" s="113">
        <v>3304</v>
      </c>
      <c r="H180" s="113">
        <v>3304</v>
      </c>
      <c r="J180" s="113">
        <v>3304.0021999999999</v>
      </c>
      <c r="K180" s="113">
        <f>G180-J180</f>
        <v>-2.1999999999025022E-3</v>
      </c>
    </row>
    <row r="181" spans="1:13" outlineLevel="2">
      <c r="A181" s="115"/>
      <c r="B181" s="118" t="s">
        <v>568</v>
      </c>
      <c r="C181" s="115"/>
      <c r="D181" s="115"/>
      <c r="E181" s="115"/>
      <c r="F181" s="116"/>
      <c r="G181" s="117">
        <f>SUBTOTAL(9,G176:G180)</f>
        <v>6878.2635</v>
      </c>
      <c r="H181" s="117"/>
      <c r="I181" s="117"/>
      <c r="J181" s="117">
        <f>SUBTOTAL(9,J176:J180)</f>
        <v>5552.8099999999995</v>
      </c>
      <c r="K181" s="117">
        <f>SUBTOTAL(9,K176:K180)</f>
        <v>1325.4535000000001</v>
      </c>
      <c r="L181" s="115" t="s">
        <v>567</v>
      </c>
    </row>
    <row r="182" spans="1:13" hidden="1" outlineLevel="3">
      <c r="A182" s="111" t="s">
        <v>394</v>
      </c>
      <c r="B182" s="111" t="s">
        <v>569</v>
      </c>
      <c r="C182" s="111" t="s">
        <v>408</v>
      </c>
      <c r="D182" s="111" t="s">
        <v>408</v>
      </c>
      <c r="E182" s="111" t="s">
        <v>570</v>
      </c>
      <c r="F182" s="112">
        <v>45717</v>
      </c>
      <c r="G182" s="113">
        <v>1731.6</v>
      </c>
      <c r="H182" s="113">
        <v>1731.6</v>
      </c>
      <c r="J182" s="113">
        <v>1721.6</v>
      </c>
      <c r="K182" s="113">
        <f>G182-J182</f>
        <v>10</v>
      </c>
    </row>
    <row r="183" spans="1:13" hidden="1" outlineLevel="3">
      <c r="A183" s="111" t="s">
        <v>394</v>
      </c>
      <c r="B183" s="111" t="s">
        <v>569</v>
      </c>
      <c r="C183" s="111" t="s">
        <v>405</v>
      </c>
      <c r="D183" s="111" t="s">
        <v>405</v>
      </c>
      <c r="E183" s="111" t="s">
        <v>570</v>
      </c>
      <c r="F183" s="112">
        <v>45717</v>
      </c>
      <c r="G183" s="113">
        <v>332</v>
      </c>
      <c r="H183" s="113">
        <v>332</v>
      </c>
      <c r="J183" s="113">
        <v>332</v>
      </c>
      <c r="K183" s="113">
        <f>G183-J183</f>
        <v>0</v>
      </c>
    </row>
    <row r="184" spans="1:13" hidden="1" outlineLevel="3">
      <c r="A184" s="111" t="s">
        <v>394</v>
      </c>
      <c r="B184" s="111" t="s">
        <v>569</v>
      </c>
      <c r="C184" s="111" t="s">
        <v>396</v>
      </c>
      <c r="D184" s="111" t="s">
        <v>396</v>
      </c>
      <c r="E184" s="111" t="s">
        <v>570</v>
      </c>
      <c r="F184" s="112">
        <v>45717</v>
      </c>
      <c r="G184" s="113">
        <v>485</v>
      </c>
      <c r="H184" s="113">
        <v>485</v>
      </c>
      <c r="J184" s="113">
        <v>465</v>
      </c>
      <c r="K184" s="113">
        <f>G184-J184</f>
        <v>20</v>
      </c>
    </row>
    <row r="185" spans="1:13" hidden="1" outlineLevel="3">
      <c r="A185" s="111" t="s">
        <v>394</v>
      </c>
      <c r="B185" s="111" t="s">
        <v>569</v>
      </c>
      <c r="C185" s="111" t="s">
        <v>400</v>
      </c>
      <c r="D185" s="111" t="s">
        <v>400</v>
      </c>
      <c r="E185" s="111" t="s">
        <v>570</v>
      </c>
      <c r="F185" s="112">
        <v>45717</v>
      </c>
      <c r="G185" s="113">
        <v>4080</v>
      </c>
      <c r="H185" s="113">
        <v>4080</v>
      </c>
      <c r="J185" s="113">
        <v>4070</v>
      </c>
      <c r="K185" s="113">
        <f>G185-J185</f>
        <v>10</v>
      </c>
    </row>
    <row r="186" spans="1:13" outlineLevel="2" collapsed="1">
      <c r="B186" s="114" t="s">
        <v>571</v>
      </c>
      <c r="F186" s="112"/>
      <c r="G186" s="113">
        <f>SUBTOTAL(9,G182:G185)</f>
        <v>6628.6</v>
      </c>
      <c r="J186" s="113">
        <f>SUBTOTAL(9,J182:J185)</f>
        <v>6588.6</v>
      </c>
      <c r="K186" s="113">
        <f>SUBTOTAL(9,K182:K185)</f>
        <v>40</v>
      </c>
    </row>
    <row r="187" spans="1:13" hidden="1" outlineLevel="3">
      <c r="A187" s="111" t="s">
        <v>394</v>
      </c>
      <c r="B187" s="111" t="s">
        <v>572</v>
      </c>
      <c r="C187" s="111" t="s">
        <v>408</v>
      </c>
      <c r="D187" s="111" t="s">
        <v>573</v>
      </c>
      <c r="E187" s="111" t="s">
        <v>574</v>
      </c>
      <c r="F187" s="112">
        <v>45717</v>
      </c>
      <c r="G187" s="113">
        <v>585.9</v>
      </c>
      <c r="H187" s="113">
        <v>585.9</v>
      </c>
      <c r="J187" s="113">
        <v>585.9</v>
      </c>
      <c r="K187" s="113">
        <f>G187-J187</f>
        <v>0</v>
      </c>
    </row>
    <row r="188" spans="1:13" hidden="1" outlineLevel="3">
      <c r="A188" s="111" t="s">
        <v>394</v>
      </c>
      <c r="B188" s="111" t="s">
        <v>572</v>
      </c>
      <c r="C188" s="111" t="s">
        <v>405</v>
      </c>
      <c r="D188" s="111" t="s">
        <v>405</v>
      </c>
      <c r="E188" s="111" t="s">
        <v>574</v>
      </c>
      <c r="F188" s="112">
        <v>45717</v>
      </c>
      <c r="G188" s="113">
        <v>186</v>
      </c>
      <c r="H188" s="113">
        <v>186</v>
      </c>
      <c r="J188" s="113">
        <v>186</v>
      </c>
      <c r="K188" s="113">
        <f>G188-J188</f>
        <v>0</v>
      </c>
    </row>
    <row r="189" spans="1:13" hidden="1" outlineLevel="3">
      <c r="A189" s="111" t="s">
        <v>394</v>
      </c>
      <c r="B189" s="111" t="s">
        <v>572</v>
      </c>
      <c r="C189" s="111" t="s">
        <v>396</v>
      </c>
      <c r="D189" s="111" t="s">
        <v>396</v>
      </c>
      <c r="E189" s="111" t="s">
        <v>574</v>
      </c>
      <c r="F189" s="112">
        <v>45717</v>
      </c>
      <c r="G189" s="113">
        <v>525</v>
      </c>
      <c r="H189" s="113">
        <v>525</v>
      </c>
      <c r="J189" s="113">
        <v>525</v>
      </c>
      <c r="K189" s="113">
        <f>G189-J189</f>
        <v>0</v>
      </c>
    </row>
    <row r="190" spans="1:13" hidden="1" outlineLevel="3">
      <c r="A190" s="111" t="s">
        <v>394</v>
      </c>
      <c r="B190" s="111" t="s">
        <v>572</v>
      </c>
      <c r="C190" s="111" t="s">
        <v>400</v>
      </c>
      <c r="D190" s="111" t="s">
        <v>400</v>
      </c>
      <c r="E190" s="111" t="s">
        <v>574</v>
      </c>
      <c r="F190" s="112">
        <v>45717</v>
      </c>
      <c r="G190" s="113">
        <v>6917</v>
      </c>
      <c r="H190" s="113">
        <v>6917</v>
      </c>
      <c r="J190" s="113">
        <v>6917</v>
      </c>
      <c r="K190" s="113">
        <f>G190-J190</f>
        <v>0</v>
      </c>
    </row>
    <row r="191" spans="1:13" hidden="1" outlineLevel="3">
      <c r="A191" s="111" t="s">
        <v>394</v>
      </c>
      <c r="B191" s="111" t="s">
        <v>572</v>
      </c>
      <c r="C191" s="111" t="s">
        <v>468</v>
      </c>
      <c r="D191" s="111" t="s">
        <v>468</v>
      </c>
      <c r="E191" s="111" t="s">
        <v>574</v>
      </c>
      <c r="F191" s="112">
        <v>45717</v>
      </c>
      <c r="G191" s="113">
        <v>2635.5</v>
      </c>
      <c r="H191" s="113">
        <v>2635.5</v>
      </c>
      <c r="J191" s="113">
        <v>2635.5</v>
      </c>
      <c r="K191" s="113">
        <f>G191-J191</f>
        <v>0</v>
      </c>
    </row>
    <row r="192" spans="1:13" outlineLevel="2" collapsed="1">
      <c r="B192" s="114" t="s">
        <v>575</v>
      </c>
      <c r="F192" s="112"/>
      <c r="G192" s="113">
        <f>SUBTOTAL(9,G187:G191)</f>
        <v>10849.4</v>
      </c>
      <c r="J192" s="113">
        <f>SUBTOTAL(9,J187:J191)</f>
        <v>10849.4</v>
      </c>
      <c r="K192" s="113">
        <f>SUBTOTAL(9,K187:K191)</f>
        <v>0</v>
      </c>
    </row>
    <row r="193" spans="1:11" hidden="1" outlineLevel="3">
      <c r="A193" s="111" t="s">
        <v>394</v>
      </c>
      <c r="B193" s="111" t="s">
        <v>576</v>
      </c>
      <c r="C193" s="111" t="s">
        <v>408</v>
      </c>
      <c r="D193" s="111" t="s">
        <v>408</v>
      </c>
      <c r="E193" s="111" t="s">
        <v>577</v>
      </c>
      <c r="F193" s="112">
        <v>45717</v>
      </c>
      <c r="G193" s="113">
        <v>565.20000000000005</v>
      </c>
      <c r="H193" s="113">
        <v>565.20000000000005</v>
      </c>
      <c r="J193" s="113">
        <v>565.20000000000005</v>
      </c>
      <c r="K193" s="113">
        <f>G193-J193</f>
        <v>0</v>
      </c>
    </row>
    <row r="194" spans="1:11" hidden="1" outlineLevel="3">
      <c r="A194" s="111" t="s">
        <v>394</v>
      </c>
      <c r="B194" s="111" t="s">
        <v>576</v>
      </c>
      <c r="C194" s="111" t="s">
        <v>405</v>
      </c>
      <c r="D194" s="111" t="s">
        <v>405</v>
      </c>
      <c r="E194" s="111" t="s">
        <v>577</v>
      </c>
      <c r="F194" s="112">
        <v>45717</v>
      </c>
      <c r="G194" s="113">
        <v>84</v>
      </c>
      <c r="H194" s="113">
        <v>84</v>
      </c>
      <c r="J194" s="113">
        <v>40</v>
      </c>
      <c r="K194" s="113">
        <f>G194-J194</f>
        <v>44</v>
      </c>
    </row>
    <row r="195" spans="1:11" hidden="1" outlineLevel="3">
      <c r="A195" s="111" t="s">
        <v>394</v>
      </c>
      <c r="B195" s="111" t="s">
        <v>576</v>
      </c>
      <c r="C195" s="111" t="s">
        <v>396</v>
      </c>
      <c r="D195" s="111" t="s">
        <v>396</v>
      </c>
      <c r="E195" s="111" t="s">
        <v>577</v>
      </c>
      <c r="F195" s="112">
        <v>45717</v>
      </c>
      <c r="G195" s="113">
        <v>479</v>
      </c>
      <c r="H195" s="113">
        <v>479</v>
      </c>
      <c r="J195" s="113">
        <v>468.5</v>
      </c>
      <c r="K195" s="113">
        <f>G195-J195</f>
        <v>10.5</v>
      </c>
    </row>
    <row r="196" spans="1:11" hidden="1" outlineLevel="3">
      <c r="A196" s="111" t="s">
        <v>394</v>
      </c>
      <c r="B196" s="111" t="s">
        <v>576</v>
      </c>
      <c r="C196" s="111" t="s">
        <v>400</v>
      </c>
      <c r="D196" s="111" t="s">
        <v>400</v>
      </c>
      <c r="E196" s="111" t="s">
        <v>577</v>
      </c>
      <c r="F196" s="112">
        <v>45717</v>
      </c>
      <c r="G196" s="113">
        <v>1152</v>
      </c>
      <c r="H196" s="113">
        <v>1152</v>
      </c>
      <c r="J196" s="113">
        <v>1152</v>
      </c>
      <c r="K196" s="113">
        <f>G196-J196</f>
        <v>0</v>
      </c>
    </row>
    <row r="197" spans="1:11" outlineLevel="2" collapsed="1">
      <c r="B197" s="114" t="s">
        <v>578</v>
      </c>
      <c r="F197" s="112"/>
      <c r="G197" s="113">
        <f>SUBTOTAL(9,G193:G196)</f>
        <v>2280.1999999999998</v>
      </c>
      <c r="J197" s="113">
        <f>SUBTOTAL(9,J193:J196)</f>
        <v>2225.6999999999998</v>
      </c>
      <c r="K197" s="113">
        <f>SUBTOTAL(9,K193:K196)</f>
        <v>54.5</v>
      </c>
    </row>
    <row r="198" spans="1:11" hidden="1" outlineLevel="3">
      <c r="A198" s="111" t="s">
        <v>394</v>
      </c>
      <c r="B198" s="111" t="s">
        <v>579</v>
      </c>
      <c r="C198" s="111" t="s">
        <v>408</v>
      </c>
      <c r="D198" s="111" t="s">
        <v>580</v>
      </c>
      <c r="E198" s="111" t="s">
        <v>581</v>
      </c>
      <c r="F198" s="112">
        <v>45717</v>
      </c>
      <c r="G198" s="113">
        <v>1544</v>
      </c>
      <c r="H198" s="113">
        <v>1544</v>
      </c>
      <c r="J198" s="113">
        <v>1544</v>
      </c>
      <c r="K198" s="113">
        <f>G198-J198</f>
        <v>0</v>
      </c>
    </row>
    <row r="199" spans="1:11" hidden="1" outlineLevel="3">
      <c r="A199" s="111" t="s">
        <v>394</v>
      </c>
      <c r="B199" s="111" t="s">
        <v>579</v>
      </c>
      <c r="C199" s="111" t="s">
        <v>405</v>
      </c>
      <c r="D199" s="111" t="s">
        <v>405</v>
      </c>
      <c r="E199" s="111" t="s">
        <v>581</v>
      </c>
      <c r="F199" s="112">
        <v>45717</v>
      </c>
      <c r="G199" s="113">
        <v>829.82</v>
      </c>
      <c r="H199" s="113">
        <v>829.82</v>
      </c>
      <c r="J199" s="113">
        <v>829.82</v>
      </c>
      <c r="K199" s="113">
        <f>G199-J199</f>
        <v>0</v>
      </c>
    </row>
    <row r="200" spans="1:11" hidden="1" outlineLevel="3">
      <c r="A200" s="111" t="s">
        <v>394</v>
      </c>
      <c r="B200" s="111" t="s">
        <v>579</v>
      </c>
      <c r="C200" s="111" t="s">
        <v>396</v>
      </c>
      <c r="D200" s="111" t="s">
        <v>396</v>
      </c>
      <c r="E200" s="111" t="s">
        <v>581</v>
      </c>
      <c r="F200" s="112">
        <v>45717</v>
      </c>
      <c r="G200" s="113">
        <v>403</v>
      </c>
      <c r="H200" s="113">
        <v>403</v>
      </c>
      <c r="J200" s="113">
        <v>409.5</v>
      </c>
      <c r="K200" s="113">
        <f>G200-J200</f>
        <v>-6.5</v>
      </c>
    </row>
    <row r="201" spans="1:11" hidden="1" outlineLevel="3">
      <c r="A201" s="111" t="s">
        <v>394</v>
      </c>
      <c r="B201" s="111" t="s">
        <v>579</v>
      </c>
      <c r="C201" s="111" t="s">
        <v>400</v>
      </c>
      <c r="D201" s="111" t="s">
        <v>579</v>
      </c>
      <c r="E201" s="111" t="s">
        <v>581</v>
      </c>
      <c r="F201" s="112">
        <v>45717</v>
      </c>
      <c r="G201" s="113">
        <v>2896.26</v>
      </c>
      <c r="H201" s="113">
        <v>2896.26</v>
      </c>
      <c r="J201" s="113">
        <v>2896.26</v>
      </c>
      <c r="K201" s="113">
        <f>G201-J201</f>
        <v>0</v>
      </c>
    </row>
    <row r="202" spans="1:11" outlineLevel="2" collapsed="1">
      <c r="B202" s="114" t="s">
        <v>582</v>
      </c>
      <c r="F202" s="112"/>
      <c r="G202" s="113">
        <f>SUBTOTAL(9,G198:G201)</f>
        <v>5673.08</v>
      </c>
      <c r="J202" s="113">
        <f>SUBTOTAL(9,J198:J201)</f>
        <v>5679.58</v>
      </c>
      <c r="K202" s="113">
        <f>SUBTOTAL(9,K198:K201)</f>
        <v>-6.5</v>
      </c>
    </row>
    <row r="203" spans="1:11" hidden="1" outlineLevel="3">
      <c r="A203" s="111" t="s">
        <v>394</v>
      </c>
      <c r="B203" s="111" t="s">
        <v>583</v>
      </c>
      <c r="C203" s="111" t="s">
        <v>408</v>
      </c>
      <c r="D203" s="111" t="s">
        <v>584</v>
      </c>
      <c r="E203" s="111" t="s">
        <v>585</v>
      </c>
      <c r="F203" s="112">
        <v>45717</v>
      </c>
      <c r="G203" s="113">
        <v>954</v>
      </c>
      <c r="H203" s="113">
        <v>954</v>
      </c>
      <c r="J203" s="113">
        <v>1020</v>
      </c>
      <c r="K203" s="113">
        <f>G203-J203</f>
        <v>-66</v>
      </c>
    </row>
    <row r="204" spans="1:11" hidden="1" outlineLevel="3">
      <c r="A204" s="111" t="s">
        <v>394</v>
      </c>
      <c r="B204" s="111" t="s">
        <v>583</v>
      </c>
      <c r="C204" s="111" t="s">
        <v>405</v>
      </c>
      <c r="D204" s="111" t="s">
        <v>405</v>
      </c>
      <c r="E204" s="111" t="s">
        <v>585</v>
      </c>
      <c r="F204" s="112">
        <v>45717</v>
      </c>
      <c r="G204" s="113">
        <v>260</v>
      </c>
      <c r="H204" s="113">
        <v>260</v>
      </c>
      <c r="J204" s="113">
        <v>260</v>
      </c>
      <c r="K204" s="113">
        <f>G204-J204</f>
        <v>0</v>
      </c>
    </row>
    <row r="205" spans="1:11" hidden="1" outlineLevel="3">
      <c r="A205" s="111" t="s">
        <v>394</v>
      </c>
      <c r="B205" s="111" t="s">
        <v>583</v>
      </c>
      <c r="C205" s="111" t="s">
        <v>396</v>
      </c>
      <c r="D205" s="111" t="s">
        <v>396</v>
      </c>
      <c r="E205" s="111" t="s">
        <v>585</v>
      </c>
      <c r="F205" s="112">
        <v>45717</v>
      </c>
      <c r="G205" s="113">
        <v>502</v>
      </c>
      <c r="H205" s="113">
        <v>502</v>
      </c>
      <c r="J205" s="113">
        <v>502</v>
      </c>
      <c r="K205" s="113">
        <f>G205-J205</f>
        <v>0</v>
      </c>
    </row>
    <row r="206" spans="1:11" hidden="1" outlineLevel="3">
      <c r="A206" s="111" t="s">
        <v>394</v>
      </c>
      <c r="B206" s="111" t="s">
        <v>583</v>
      </c>
      <c r="C206" s="111" t="s">
        <v>400</v>
      </c>
      <c r="D206" s="111" t="s">
        <v>583</v>
      </c>
      <c r="E206" s="111" t="s">
        <v>585</v>
      </c>
      <c r="F206" s="112">
        <v>45717</v>
      </c>
      <c r="G206" s="113">
        <v>1622.25</v>
      </c>
      <c r="H206" s="113">
        <v>1622.25</v>
      </c>
      <c r="J206" s="113">
        <v>1622.25</v>
      </c>
      <c r="K206" s="113">
        <f>G206-J206</f>
        <v>0</v>
      </c>
    </row>
    <row r="207" spans="1:11" outlineLevel="2" collapsed="1">
      <c r="B207" s="114" t="s">
        <v>586</v>
      </c>
      <c r="F207" s="112"/>
      <c r="G207" s="113">
        <f>SUBTOTAL(9,G203:G206)</f>
        <v>3338.25</v>
      </c>
      <c r="J207" s="113">
        <f>SUBTOTAL(9,J203:J206)</f>
        <v>3404.25</v>
      </c>
      <c r="K207" s="113">
        <f>SUBTOTAL(9,K203:K206)</f>
        <v>-66</v>
      </c>
    </row>
    <row r="208" spans="1:11" hidden="1" outlineLevel="3">
      <c r="A208" s="111" t="s">
        <v>394</v>
      </c>
      <c r="B208" s="111" t="s">
        <v>587</v>
      </c>
      <c r="C208" s="111" t="s">
        <v>408</v>
      </c>
      <c r="D208" s="111" t="s">
        <v>408</v>
      </c>
      <c r="E208" s="111" t="s">
        <v>588</v>
      </c>
      <c r="F208" s="112">
        <v>45717</v>
      </c>
      <c r="G208" s="113">
        <v>363</v>
      </c>
      <c r="H208" s="113">
        <v>363</v>
      </c>
      <c r="J208" s="113">
        <v>363</v>
      </c>
      <c r="K208" s="113">
        <f>G208-J208</f>
        <v>0</v>
      </c>
    </row>
    <row r="209" spans="1:11" hidden="1" outlineLevel="3">
      <c r="A209" s="111" t="s">
        <v>394</v>
      </c>
      <c r="B209" s="111" t="s">
        <v>587</v>
      </c>
      <c r="C209" s="111" t="s">
        <v>405</v>
      </c>
      <c r="D209" s="111" t="s">
        <v>405</v>
      </c>
      <c r="E209" s="111" t="s">
        <v>588</v>
      </c>
      <c r="F209" s="112">
        <v>45717</v>
      </c>
      <c r="G209" s="113">
        <v>332.75</v>
      </c>
      <c r="H209" s="113">
        <v>332.75</v>
      </c>
      <c r="J209" s="113">
        <v>332.75</v>
      </c>
      <c r="K209" s="113">
        <f>G209-J209</f>
        <v>0</v>
      </c>
    </row>
    <row r="210" spans="1:11" hidden="1" outlineLevel="3">
      <c r="A210" s="111" t="s">
        <v>394</v>
      </c>
      <c r="B210" s="111" t="s">
        <v>587</v>
      </c>
      <c r="C210" s="111" t="s">
        <v>396</v>
      </c>
      <c r="D210" s="111" t="s">
        <v>396</v>
      </c>
      <c r="E210" s="111" t="s">
        <v>588</v>
      </c>
      <c r="F210" s="112">
        <v>45717</v>
      </c>
      <c r="G210" s="113">
        <v>287</v>
      </c>
      <c r="H210" s="113">
        <v>287</v>
      </c>
      <c r="J210" s="113">
        <v>287</v>
      </c>
      <c r="K210" s="113">
        <f>G210-J210</f>
        <v>0</v>
      </c>
    </row>
    <row r="211" spans="1:11" hidden="1" outlineLevel="3">
      <c r="A211" s="111" t="s">
        <v>394</v>
      </c>
      <c r="B211" s="111" t="s">
        <v>587</v>
      </c>
      <c r="C211" s="111" t="s">
        <v>400</v>
      </c>
      <c r="D211" s="111" t="s">
        <v>400</v>
      </c>
      <c r="E211" s="111" t="s">
        <v>588</v>
      </c>
      <c r="F211" s="112">
        <v>45717</v>
      </c>
      <c r="G211" s="113">
        <v>2965</v>
      </c>
      <c r="H211" s="113">
        <v>2965</v>
      </c>
      <c r="J211" s="113">
        <v>2965</v>
      </c>
      <c r="K211" s="113">
        <f>G211-J211</f>
        <v>0</v>
      </c>
    </row>
    <row r="212" spans="1:11" outlineLevel="2" collapsed="1">
      <c r="B212" s="114" t="s">
        <v>589</v>
      </c>
      <c r="F212" s="112"/>
      <c r="G212" s="113">
        <f>SUBTOTAL(9,G208:G211)</f>
        <v>3947.75</v>
      </c>
      <c r="J212" s="113">
        <f>SUBTOTAL(9,J208:J211)</f>
        <v>3947.75</v>
      </c>
      <c r="K212" s="113">
        <f>SUBTOTAL(9,K208:K211)</f>
        <v>0</v>
      </c>
    </row>
    <row r="213" spans="1:11" hidden="1" outlineLevel="3">
      <c r="A213" s="111" t="s">
        <v>394</v>
      </c>
      <c r="B213" s="111" t="s">
        <v>590</v>
      </c>
      <c r="C213" s="111" t="s">
        <v>405</v>
      </c>
      <c r="D213" s="111" t="s">
        <v>591</v>
      </c>
      <c r="E213" s="111" t="s">
        <v>592</v>
      </c>
      <c r="F213" s="112">
        <v>45717</v>
      </c>
      <c r="G213" s="113">
        <v>250</v>
      </c>
      <c r="H213" s="113">
        <v>250</v>
      </c>
      <c r="J213" s="113">
        <v>250</v>
      </c>
      <c r="K213" s="113">
        <f>G213-J213</f>
        <v>0</v>
      </c>
    </row>
    <row r="214" spans="1:11" hidden="1" outlineLevel="3">
      <c r="A214" s="111" t="s">
        <v>394</v>
      </c>
      <c r="B214" s="111" t="s">
        <v>590</v>
      </c>
      <c r="C214" s="111" t="s">
        <v>405</v>
      </c>
      <c r="D214" s="111" t="s">
        <v>405</v>
      </c>
      <c r="E214" s="111" t="s">
        <v>593</v>
      </c>
      <c r="F214" s="112">
        <v>45717</v>
      </c>
      <c r="G214" s="113">
        <v>20</v>
      </c>
      <c r="H214" s="113">
        <v>20</v>
      </c>
      <c r="J214" s="113">
        <v>20</v>
      </c>
      <c r="K214" s="113">
        <f>G214-J214</f>
        <v>0</v>
      </c>
    </row>
    <row r="215" spans="1:11" hidden="1" outlineLevel="3">
      <c r="A215" s="111" t="s">
        <v>394</v>
      </c>
      <c r="B215" s="111" t="s">
        <v>590</v>
      </c>
      <c r="C215" s="111" t="s">
        <v>396</v>
      </c>
      <c r="D215" s="111" t="s">
        <v>396</v>
      </c>
      <c r="E215" s="111" t="s">
        <v>594</v>
      </c>
      <c r="F215" s="112">
        <v>45717</v>
      </c>
      <c r="G215" s="113">
        <v>2911.25</v>
      </c>
      <c r="H215" s="113">
        <v>2911.25</v>
      </c>
      <c r="J215" s="113">
        <v>2758.25</v>
      </c>
      <c r="K215" s="113">
        <f>G215-J215</f>
        <v>153</v>
      </c>
    </row>
    <row r="216" spans="1:11" hidden="1" outlineLevel="3">
      <c r="A216" s="111" t="s">
        <v>394</v>
      </c>
      <c r="B216" s="111" t="s">
        <v>590</v>
      </c>
      <c r="C216" s="111" t="s">
        <v>400</v>
      </c>
      <c r="D216" s="111" t="s">
        <v>400</v>
      </c>
      <c r="E216" s="111" t="s">
        <v>593</v>
      </c>
      <c r="F216" s="112">
        <v>45717</v>
      </c>
      <c r="G216" s="113">
        <v>5274.05</v>
      </c>
      <c r="H216" s="113">
        <v>5274.05</v>
      </c>
      <c r="J216" s="113">
        <v>5274.05</v>
      </c>
      <c r="K216" s="113">
        <f>G216-J216</f>
        <v>0</v>
      </c>
    </row>
    <row r="217" spans="1:11" outlineLevel="2" collapsed="1">
      <c r="B217" s="114" t="s">
        <v>595</v>
      </c>
      <c r="F217" s="112"/>
      <c r="G217" s="113">
        <f>SUBTOTAL(9,G213:G216)</f>
        <v>8455.2999999999993</v>
      </c>
      <c r="J217" s="113">
        <f>SUBTOTAL(9,J213:J216)</f>
        <v>8302.2999999999993</v>
      </c>
      <c r="K217" s="113">
        <f>SUBTOTAL(9,K213:K216)</f>
        <v>153</v>
      </c>
    </row>
    <row r="218" spans="1:11" hidden="1" outlineLevel="3">
      <c r="A218" s="111" t="s">
        <v>394</v>
      </c>
      <c r="B218" s="111" t="s">
        <v>596</v>
      </c>
      <c r="C218" s="111" t="s">
        <v>403</v>
      </c>
      <c r="D218" s="111" t="s">
        <v>597</v>
      </c>
      <c r="E218" s="111" t="s">
        <v>598</v>
      </c>
      <c r="F218" s="112">
        <v>45717</v>
      </c>
      <c r="G218" s="113">
        <v>2483.7600000000002</v>
      </c>
      <c r="H218" s="113">
        <v>2483.7600000000002</v>
      </c>
      <c r="J218" s="113">
        <v>2483.7600000000002</v>
      </c>
      <c r="K218" s="113">
        <f>G218-J218</f>
        <v>0</v>
      </c>
    </row>
    <row r="219" spans="1:11" hidden="1" outlineLevel="3">
      <c r="A219" s="111" t="s">
        <v>394</v>
      </c>
      <c r="B219" s="111" t="s">
        <v>596</v>
      </c>
      <c r="C219" s="111" t="s">
        <v>408</v>
      </c>
      <c r="D219" s="111" t="s">
        <v>524</v>
      </c>
      <c r="E219" s="111" t="s">
        <v>599</v>
      </c>
      <c r="F219" s="112">
        <v>45717</v>
      </c>
      <c r="G219" s="113">
        <v>1496</v>
      </c>
      <c r="H219" s="113">
        <v>1496</v>
      </c>
      <c r="J219" s="113">
        <v>1496</v>
      </c>
      <c r="K219" s="113">
        <f>G219-J219</f>
        <v>0</v>
      </c>
    </row>
    <row r="220" spans="1:11" hidden="1" outlineLevel="3">
      <c r="A220" s="111" t="s">
        <v>394</v>
      </c>
      <c r="B220" s="111" t="s">
        <v>596</v>
      </c>
      <c r="C220" s="111" t="s">
        <v>405</v>
      </c>
      <c r="D220" s="111" t="s">
        <v>600</v>
      </c>
      <c r="E220" s="111" t="s">
        <v>598</v>
      </c>
      <c r="F220" s="112">
        <v>45717</v>
      </c>
      <c r="G220" s="113">
        <v>518.91999999999996</v>
      </c>
      <c r="H220" s="113">
        <v>518.91999999999996</v>
      </c>
      <c r="J220" s="113">
        <v>518.91999999999996</v>
      </c>
      <c r="K220" s="113">
        <f>G220-J220</f>
        <v>0</v>
      </c>
    </row>
    <row r="221" spans="1:11" hidden="1" outlineLevel="3">
      <c r="A221" s="111" t="s">
        <v>394</v>
      </c>
      <c r="B221" s="111" t="s">
        <v>596</v>
      </c>
      <c r="C221" s="111" t="s">
        <v>396</v>
      </c>
      <c r="D221" s="111" t="s">
        <v>601</v>
      </c>
      <c r="E221" s="111" t="s">
        <v>598</v>
      </c>
      <c r="F221" s="112">
        <v>45717</v>
      </c>
      <c r="G221" s="113">
        <v>2839.09</v>
      </c>
      <c r="H221" s="113">
        <v>2839.09</v>
      </c>
      <c r="J221" s="113">
        <v>2839.09</v>
      </c>
      <c r="K221" s="113">
        <f>G221-J221</f>
        <v>0</v>
      </c>
    </row>
    <row r="222" spans="1:11" hidden="1" outlineLevel="3">
      <c r="A222" s="111" t="s">
        <v>394</v>
      </c>
      <c r="B222" s="111" t="s">
        <v>596</v>
      </c>
      <c r="C222" s="111" t="s">
        <v>400</v>
      </c>
      <c r="D222" s="111" t="s">
        <v>602</v>
      </c>
      <c r="E222" s="111" t="s">
        <v>598</v>
      </c>
      <c r="F222" s="112">
        <v>45717</v>
      </c>
      <c r="G222" s="113">
        <v>2494.75</v>
      </c>
      <c r="H222" s="113">
        <v>2494.75</v>
      </c>
      <c r="J222" s="113">
        <v>2494.75</v>
      </c>
      <c r="K222" s="113">
        <f>G222-J222</f>
        <v>0</v>
      </c>
    </row>
    <row r="223" spans="1:11" outlineLevel="2" collapsed="1">
      <c r="B223" s="114" t="s">
        <v>603</v>
      </c>
      <c r="F223" s="112"/>
      <c r="G223" s="113">
        <f>SUBTOTAL(9,G218:G222)</f>
        <v>9832.52</v>
      </c>
      <c r="J223" s="113">
        <f>SUBTOTAL(9,J218:J222)</f>
        <v>9832.52</v>
      </c>
      <c r="K223" s="113">
        <f>SUBTOTAL(9,K218:K222)</f>
        <v>0</v>
      </c>
    </row>
    <row r="224" spans="1:11" hidden="1" outlineLevel="3">
      <c r="A224" s="111" t="s">
        <v>394</v>
      </c>
      <c r="B224" s="111" t="s">
        <v>604</v>
      </c>
      <c r="C224" s="111" t="s">
        <v>405</v>
      </c>
      <c r="D224" s="111" t="s">
        <v>405</v>
      </c>
      <c r="E224" s="111" t="s">
        <v>605</v>
      </c>
      <c r="F224" s="112">
        <v>45717</v>
      </c>
      <c r="G224" s="113">
        <v>0</v>
      </c>
      <c r="H224" s="113">
        <v>0</v>
      </c>
      <c r="J224" s="113">
        <v>0</v>
      </c>
      <c r="K224" s="113">
        <f>G224-J224</f>
        <v>0</v>
      </c>
    </row>
    <row r="225" spans="1:11" hidden="1" outlineLevel="3">
      <c r="A225" s="111" t="s">
        <v>394</v>
      </c>
      <c r="B225" s="111" t="s">
        <v>604</v>
      </c>
      <c r="C225" s="111" t="s">
        <v>396</v>
      </c>
      <c r="D225" s="111" t="s">
        <v>396</v>
      </c>
      <c r="E225" s="111" t="s">
        <v>605</v>
      </c>
      <c r="F225" s="112">
        <v>45717</v>
      </c>
      <c r="G225" s="113">
        <v>154</v>
      </c>
      <c r="H225" s="113">
        <v>154</v>
      </c>
      <c r="J225" s="113">
        <v>161</v>
      </c>
      <c r="K225" s="113">
        <f>G225-J225</f>
        <v>-7</v>
      </c>
    </row>
    <row r="226" spans="1:11" hidden="1" outlineLevel="3">
      <c r="A226" s="111" t="s">
        <v>394</v>
      </c>
      <c r="B226" s="111" t="s">
        <v>604</v>
      </c>
      <c r="C226" s="111" t="s">
        <v>400</v>
      </c>
      <c r="D226" s="111" t="s">
        <v>400</v>
      </c>
      <c r="E226" s="111" t="s">
        <v>605</v>
      </c>
      <c r="F226" s="112">
        <v>45717</v>
      </c>
      <c r="G226" s="113">
        <v>1030.4100000000001</v>
      </c>
      <c r="H226" s="113">
        <v>1030.4100000000001</v>
      </c>
      <c r="J226" s="113">
        <v>1030.4100000000001</v>
      </c>
      <c r="K226" s="113">
        <f>G226-J226</f>
        <v>0</v>
      </c>
    </row>
    <row r="227" spans="1:11" outlineLevel="2" collapsed="1">
      <c r="B227" s="114" t="s">
        <v>606</v>
      </c>
      <c r="F227" s="112"/>
      <c r="G227" s="113">
        <f>SUBTOTAL(9,G224:G226)</f>
        <v>1184.4100000000001</v>
      </c>
      <c r="J227" s="113">
        <f>SUBTOTAL(9,J224:J226)</f>
        <v>1191.4100000000001</v>
      </c>
      <c r="K227" s="113">
        <f>SUBTOTAL(9,K224:K226)</f>
        <v>-7</v>
      </c>
    </row>
    <row r="228" spans="1:11" hidden="1" outlineLevel="3" collapsed="1">
      <c r="A228" s="111" t="s">
        <v>394</v>
      </c>
      <c r="B228" s="111" t="s">
        <v>607</v>
      </c>
      <c r="C228" s="111" t="s">
        <v>405</v>
      </c>
      <c r="D228" s="111" t="s">
        <v>405</v>
      </c>
      <c r="E228" s="111" t="s">
        <v>608</v>
      </c>
      <c r="F228" s="112">
        <v>45717</v>
      </c>
      <c r="G228" s="113">
        <v>95</v>
      </c>
      <c r="H228" s="113">
        <v>95</v>
      </c>
      <c r="J228" s="113">
        <v>95</v>
      </c>
      <c r="K228" s="113">
        <f>G228-J228</f>
        <v>0</v>
      </c>
    </row>
    <row r="229" spans="1:11" hidden="1" outlineLevel="3">
      <c r="A229" s="111" t="s">
        <v>394</v>
      </c>
      <c r="B229" s="111" t="s">
        <v>607</v>
      </c>
      <c r="C229" s="111" t="s">
        <v>396</v>
      </c>
      <c r="D229" s="111" t="s">
        <v>396</v>
      </c>
      <c r="E229" s="111" t="s">
        <v>608</v>
      </c>
      <c r="F229" s="112">
        <v>45717</v>
      </c>
      <c r="G229" s="113">
        <v>629</v>
      </c>
      <c r="H229" s="113">
        <v>629</v>
      </c>
      <c r="J229" s="113">
        <v>629</v>
      </c>
      <c r="K229" s="113">
        <f>G229-J229</f>
        <v>0</v>
      </c>
    </row>
    <row r="230" spans="1:11" hidden="1" outlineLevel="3">
      <c r="A230" s="111" t="s">
        <v>394</v>
      </c>
      <c r="B230" s="111" t="s">
        <v>607</v>
      </c>
      <c r="C230" s="111" t="s">
        <v>400</v>
      </c>
      <c r="D230" s="111" t="s">
        <v>504</v>
      </c>
      <c r="E230" s="111" t="s">
        <v>608</v>
      </c>
      <c r="F230" s="112">
        <v>45717</v>
      </c>
      <c r="G230" s="113">
        <v>1520</v>
      </c>
      <c r="H230" s="113">
        <v>1520</v>
      </c>
      <c r="J230" s="113">
        <v>1520</v>
      </c>
      <c r="K230" s="113">
        <f>G230-J230</f>
        <v>0</v>
      </c>
    </row>
    <row r="231" spans="1:11" outlineLevel="2" collapsed="1">
      <c r="B231" s="114" t="s">
        <v>609</v>
      </c>
      <c r="F231" s="112"/>
      <c r="G231" s="113">
        <f>SUBTOTAL(9,G228:G230)</f>
        <v>2244</v>
      </c>
      <c r="J231" s="113">
        <f>SUBTOTAL(9,J228:J230)</f>
        <v>2244</v>
      </c>
      <c r="K231" s="113">
        <f>SUBTOTAL(9,K228:K230)</f>
        <v>0</v>
      </c>
    </row>
    <row r="232" spans="1:11" hidden="1" outlineLevel="3">
      <c r="A232" s="111" t="s">
        <v>394</v>
      </c>
      <c r="B232" s="111" t="s">
        <v>610</v>
      </c>
      <c r="C232" s="111" t="s">
        <v>408</v>
      </c>
      <c r="D232" s="111" t="s">
        <v>611</v>
      </c>
      <c r="E232" s="111" t="s">
        <v>612</v>
      </c>
      <c r="F232" s="112">
        <v>45717</v>
      </c>
      <c r="G232" s="113">
        <v>387.5</v>
      </c>
      <c r="H232" s="113">
        <v>387.5</v>
      </c>
      <c r="J232" s="113">
        <v>400</v>
      </c>
      <c r="K232" s="113">
        <f>G232-J232</f>
        <v>-12.5</v>
      </c>
    </row>
    <row r="233" spans="1:11" hidden="1" outlineLevel="3">
      <c r="A233" s="111" t="s">
        <v>394</v>
      </c>
      <c r="B233" s="111" t="s">
        <v>610</v>
      </c>
      <c r="C233" s="111" t="s">
        <v>405</v>
      </c>
      <c r="D233" s="111" t="s">
        <v>405</v>
      </c>
      <c r="E233" s="111" t="s">
        <v>612</v>
      </c>
      <c r="F233" s="112">
        <v>45717</v>
      </c>
      <c r="G233" s="113">
        <v>180</v>
      </c>
      <c r="H233" s="113">
        <v>180</v>
      </c>
      <c r="J233" s="113">
        <v>180</v>
      </c>
      <c r="K233" s="113">
        <f>G233-J233</f>
        <v>0</v>
      </c>
    </row>
    <row r="234" spans="1:11" hidden="1" outlineLevel="3">
      <c r="A234" s="111" t="s">
        <v>394</v>
      </c>
      <c r="B234" s="111" t="s">
        <v>610</v>
      </c>
      <c r="C234" s="111" t="s">
        <v>396</v>
      </c>
      <c r="D234" s="111" t="s">
        <v>396</v>
      </c>
      <c r="E234" s="111" t="s">
        <v>612</v>
      </c>
      <c r="F234" s="112">
        <v>45717</v>
      </c>
      <c r="G234" s="113">
        <v>952.5</v>
      </c>
      <c r="H234" s="113">
        <v>952.5</v>
      </c>
      <c r="J234" s="113">
        <v>952.5</v>
      </c>
      <c r="K234" s="113">
        <f>G234-J234</f>
        <v>0</v>
      </c>
    </row>
    <row r="235" spans="1:11" hidden="1" outlineLevel="3">
      <c r="A235" s="111" t="s">
        <v>394</v>
      </c>
      <c r="B235" s="111" t="s">
        <v>610</v>
      </c>
      <c r="C235" s="111" t="s">
        <v>400</v>
      </c>
      <c r="D235" s="111" t="s">
        <v>613</v>
      </c>
      <c r="E235" s="111" t="s">
        <v>612</v>
      </c>
      <c r="F235" s="112">
        <v>45717</v>
      </c>
      <c r="G235" s="113">
        <v>3150</v>
      </c>
      <c r="H235" s="113">
        <v>3150</v>
      </c>
      <c r="J235" s="113">
        <v>3150</v>
      </c>
      <c r="K235" s="113">
        <f>G235-J235</f>
        <v>0</v>
      </c>
    </row>
    <row r="236" spans="1:11" hidden="1" outlineLevel="3">
      <c r="A236" s="111" t="s">
        <v>394</v>
      </c>
      <c r="B236" s="111" t="s">
        <v>610</v>
      </c>
      <c r="C236" s="111" t="s">
        <v>468</v>
      </c>
      <c r="D236" s="111" t="s">
        <v>468</v>
      </c>
      <c r="E236" s="111" t="s">
        <v>612</v>
      </c>
      <c r="F236" s="112">
        <v>45717</v>
      </c>
      <c r="G236" s="113">
        <v>106.5</v>
      </c>
      <c r="H236" s="113">
        <v>106.5</v>
      </c>
      <c r="J236" s="113">
        <v>106.5</v>
      </c>
      <c r="K236" s="113">
        <f>G236-J236</f>
        <v>0</v>
      </c>
    </row>
    <row r="237" spans="1:11" outlineLevel="2" collapsed="1">
      <c r="B237" s="114" t="s">
        <v>614</v>
      </c>
      <c r="F237" s="112"/>
      <c r="G237" s="113">
        <f>SUBTOTAL(9,G232:G236)</f>
        <v>4776.5</v>
      </c>
      <c r="J237" s="113">
        <f>SUBTOTAL(9,J232:J236)</f>
        <v>4789</v>
      </c>
      <c r="K237" s="113">
        <f>SUBTOTAL(9,K232:K236)</f>
        <v>-12.5</v>
      </c>
    </row>
    <row r="238" spans="1:11" hidden="1" outlineLevel="3">
      <c r="A238" s="111" t="s">
        <v>394</v>
      </c>
      <c r="B238" s="111" t="s">
        <v>615</v>
      </c>
      <c r="C238" s="111" t="s">
        <v>403</v>
      </c>
      <c r="D238" s="111" t="s">
        <v>403</v>
      </c>
      <c r="E238" s="111" t="s">
        <v>616</v>
      </c>
      <c r="F238" s="112">
        <v>45717</v>
      </c>
      <c r="G238" s="113">
        <v>150</v>
      </c>
      <c r="H238" s="113">
        <v>150</v>
      </c>
      <c r="J238" s="113">
        <v>150</v>
      </c>
      <c r="K238" s="113">
        <f>G238-J238</f>
        <v>0</v>
      </c>
    </row>
    <row r="239" spans="1:11" hidden="1" outlineLevel="3">
      <c r="A239" s="111" t="s">
        <v>394</v>
      </c>
      <c r="B239" s="111" t="s">
        <v>615</v>
      </c>
      <c r="C239" s="111" t="s">
        <v>408</v>
      </c>
      <c r="D239" s="111" t="s">
        <v>408</v>
      </c>
      <c r="E239" s="111" t="s">
        <v>616</v>
      </c>
      <c r="F239" s="112">
        <v>45717</v>
      </c>
      <c r="G239" s="113">
        <v>272.5</v>
      </c>
      <c r="H239" s="113">
        <v>272.5</v>
      </c>
      <c r="J239" s="113">
        <v>272.5</v>
      </c>
      <c r="K239" s="113">
        <f>G239-J239</f>
        <v>0</v>
      </c>
    </row>
    <row r="240" spans="1:11" hidden="1" outlineLevel="3">
      <c r="A240" s="111" t="s">
        <v>394</v>
      </c>
      <c r="B240" s="111" t="s">
        <v>615</v>
      </c>
      <c r="C240" s="111" t="s">
        <v>405</v>
      </c>
      <c r="D240" s="111" t="s">
        <v>405</v>
      </c>
      <c r="E240" s="111" t="s">
        <v>616</v>
      </c>
      <c r="F240" s="112">
        <v>45717</v>
      </c>
      <c r="G240" s="113">
        <v>0</v>
      </c>
      <c r="H240" s="113">
        <v>0</v>
      </c>
      <c r="J240" s="113">
        <v>0</v>
      </c>
      <c r="K240" s="113">
        <f>G240-J240</f>
        <v>0</v>
      </c>
    </row>
    <row r="241" spans="1:11" hidden="1" outlineLevel="3">
      <c r="A241" s="111" t="s">
        <v>394</v>
      </c>
      <c r="B241" s="111" t="s">
        <v>615</v>
      </c>
      <c r="C241" s="111" t="s">
        <v>396</v>
      </c>
      <c r="D241" s="111" t="s">
        <v>396</v>
      </c>
      <c r="E241" s="111" t="s">
        <v>616</v>
      </c>
      <c r="F241" s="112">
        <v>45717</v>
      </c>
      <c r="G241" s="113">
        <v>412.05</v>
      </c>
      <c r="H241" s="113">
        <v>412.05</v>
      </c>
      <c r="J241" s="113">
        <v>412.05</v>
      </c>
      <c r="K241" s="113">
        <f>G241-J241</f>
        <v>0</v>
      </c>
    </row>
    <row r="242" spans="1:11" hidden="1" outlineLevel="3">
      <c r="A242" s="111" t="s">
        <v>394</v>
      </c>
      <c r="B242" s="111" t="s">
        <v>615</v>
      </c>
      <c r="C242" s="111" t="s">
        <v>400</v>
      </c>
      <c r="D242" s="111" t="s">
        <v>400</v>
      </c>
      <c r="E242" s="111" t="s">
        <v>616</v>
      </c>
      <c r="F242" s="112">
        <v>45717</v>
      </c>
      <c r="G242" s="113">
        <v>1563.3</v>
      </c>
      <c r="H242" s="113">
        <v>1563.3</v>
      </c>
      <c r="J242" s="113">
        <v>1563.3</v>
      </c>
      <c r="K242" s="113">
        <f>G242-J242</f>
        <v>0</v>
      </c>
    </row>
    <row r="243" spans="1:11" outlineLevel="2" collapsed="1">
      <c r="B243" s="114" t="s">
        <v>617</v>
      </c>
      <c r="F243" s="112"/>
      <c r="G243" s="113">
        <f>SUBTOTAL(9,G238:G242)</f>
        <v>2397.85</v>
      </c>
      <c r="J243" s="113">
        <f>SUBTOTAL(9,J238:J242)</f>
        <v>2397.85</v>
      </c>
      <c r="K243" s="113">
        <f>SUBTOTAL(9,K238:K242)</f>
        <v>0</v>
      </c>
    </row>
    <row r="244" spans="1:11" hidden="1" outlineLevel="3">
      <c r="A244" s="111" t="s">
        <v>394</v>
      </c>
      <c r="B244" s="111" t="s">
        <v>618</v>
      </c>
      <c r="C244" s="111" t="s">
        <v>403</v>
      </c>
      <c r="D244" s="111" t="s">
        <v>403</v>
      </c>
      <c r="E244" s="111" t="s">
        <v>619</v>
      </c>
      <c r="F244" s="112">
        <v>45731</v>
      </c>
      <c r="G244" s="113">
        <v>200</v>
      </c>
      <c r="H244" s="113">
        <v>200</v>
      </c>
      <c r="J244" s="113">
        <v>200</v>
      </c>
      <c r="K244" s="113">
        <f>G244-J244</f>
        <v>0</v>
      </c>
    </row>
    <row r="245" spans="1:11" hidden="1" outlineLevel="3">
      <c r="A245" s="111" t="s">
        <v>394</v>
      </c>
      <c r="B245" s="111" t="s">
        <v>618</v>
      </c>
      <c r="C245" s="111" t="s">
        <v>408</v>
      </c>
      <c r="D245" s="111" t="s">
        <v>524</v>
      </c>
      <c r="E245" s="111" t="s">
        <v>619</v>
      </c>
      <c r="F245" s="112">
        <v>45731</v>
      </c>
      <c r="G245" s="113">
        <v>1636</v>
      </c>
      <c r="H245" s="113">
        <v>1636</v>
      </c>
      <c r="J245" s="113">
        <v>1636</v>
      </c>
      <c r="K245" s="113">
        <f>G245-J245</f>
        <v>0</v>
      </c>
    </row>
    <row r="246" spans="1:11" hidden="1" outlineLevel="3">
      <c r="A246" s="111" t="s">
        <v>394</v>
      </c>
      <c r="B246" s="111" t="s">
        <v>618</v>
      </c>
      <c r="C246" s="111" t="s">
        <v>405</v>
      </c>
      <c r="D246" s="111" t="s">
        <v>405</v>
      </c>
      <c r="E246" s="111" t="s">
        <v>619</v>
      </c>
      <c r="F246" s="112">
        <v>45731</v>
      </c>
      <c r="G246" s="113">
        <v>350.5</v>
      </c>
      <c r="H246" s="113">
        <v>350.5</v>
      </c>
      <c r="J246" s="113">
        <v>350.5</v>
      </c>
      <c r="K246" s="113">
        <f>G246-J246</f>
        <v>0</v>
      </c>
    </row>
    <row r="247" spans="1:11" hidden="1" outlineLevel="3">
      <c r="A247" s="111" t="s">
        <v>394</v>
      </c>
      <c r="B247" s="111" t="s">
        <v>618</v>
      </c>
      <c r="C247" s="111" t="s">
        <v>396</v>
      </c>
      <c r="D247" s="111" t="s">
        <v>396</v>
      </c>
      <c r="E247" s="111" t="s">
        <v>619</v>
      </c>
      <c r="F247" s="112">
        <v>45731</v>
      </c>
      <c r="G247" s="113">
        <v>737.45</v>
      </c>
      <c r="H247" s="113">
        <v>737.45</v>
      </c>
      <c r="J247" s="113">
        <v>737.45</v>
      </c>
      <c r="K247" s="113">
        <f>G247-J247</f>
        <v>0</v>
      </c>
    </row>
    <row r="248" spans="1:11" hidden="1" outlineLevel="3">
      <c r="A248" s="111" t="s">
        <v>394</v>
      </c>
      <c r="B248" s="111" t="s">
        <v>618</v>
      </c>
      <c r="C248" s="111" t="s">
        <v>400</v>
      </c>
      <c r="D248" s="111" t="s">
        <v>400</v>
      </c>
      <c r="E248" s="111" t="s">
        <v>619</v>
      </c>
      <c r="F248" s="112">
        <v>45731</v>
      </c>
      <c r="G248" s="113">
        <v>2850.6</v>
      </c>
      <c r="H248" s="113">
        <v>2850.6</v>
      </c>
      <c r="J248" s="113">
        <v>2850.6</v>
      </c>
      <c r="K248" s="113">
        <f>G248-J248</f>
        <v>0</v>
      </c>
    </row>
    <row r="249" spans="1:11" outlineLevel="2" collapsed="1">
      <c r="B249" s="114" t="s">
        <v>620</v>
      </c>
      <c r="F249" s="112"/>
      <c r="G249" s="113">
        <f>SUBTOTAL(9,G244:G248)</f>
        <v>5774.5499999999993</v>
      </c>
      <c r="J249" s="113">
        <f>SUBTOTAL(9,J244:J248)</f>
        <v>5774.5499999999993</v>
      </c>
      <c r="K249" s="113">
        <f>SUBTOTAL(9,K244:K248)</f>
        <v>0</v>
      </c>
    </row>
    <row r="250" spans="1:11" hidden="1" outlineLevel="3">
      <c r="A250" s="111" t="s">
        <v>394</v>
      </c>
      <c r="B250" s="111" t="s">
        <v>621</v>
      </c>
      <c r="C250" s="111" t="s">
        <v>405</v>
      </c>
      <c r="D250" s="111" t="s">
        <v>405</v>
      </c>
      <c r="E250" s="111" t="s">
        <v>622</v>
      </c>
      <c r="F250" s="112">
        <v>45717</v>
      </c>
      <c r="G250" s="113">
        <v>262.5</v>
      </c>
      <c r="H250" s="113">
        <v>262.5</v>
      </c>
      <c r="J250" s="113">
        <v>262.5</v>
      </c>
      <c r="K250" s="113">
        <f>G250-J250</f>
        <v>0</v>
      </c>
    </row>
    <row r="251" spans="1:11" hidden="1" outlineLevel="3">
      <c r="A251" s="111" t="s">
        <v>394</v>
      </c>
      <c r="B251" s="111" t="s">
        <v>621</v>
      </c>
      <c r="C251" s="111" t="s">
        <v>396</v>
      </c>
      <c r="D251" s="111" t="s">
        <v>396</v>
      </c>
      <c r="E251" s="111" t="s">
        <v>622</v>
      </c>
      <c r="F251" s="112">
        <v>45717</v>
      </c>
      <c r="G251" s="113">
        <v>541</v>
      </c>
      <c r="H251" s="113">
        <v>541</v>
      </c>
      <c r="J251" s="113">
        <v>541</v>
      </c>
      <c r="K251" s="113">
        <f>G251-J251</f>
        <v>0</v>
      </c>
    </row>
    <row r="252" spans="1:11" hidden="1" outlineLevel="3">
      <c r="A252" s="111" t="s">
        <v>394</v>
      </c>
      <c r="B252" s="111" t="s">
        <v>621</v>
      </c>
      <c r="C252" s="111" t="s">
        <v>400</v>
      </c>
      <c r="D252" s="111" t="s">
        <v>400</v>
      </c>
      <c r="E252" s="111" t="s">
        <v>622</v>
      </c>
      <c r="F252" s="112">
        <v>45717</v>
      </c>
      <c r="G252" s="113">
        <v>910.33339999999998</v>
      </c>
      <c r="H252" s="113">
        <v>910.33339999999998</v>
      </c>
      <c r="J252" s="113">
        <v>910.59379999999999</v>
      </c>
      <c r="K252" s="113">
        <f>G252-J252</f>
        <v>-0.26040000000000418</v>
      </c>
    </row>
    <row r="253" spans="1:11" outlineLevel="2" collapsed="1">
      <c r="B253" s="114" t="s">
        <v>623</v>
      </c>
      <c r="F253" s="112"/>
      <c r="G253" s="113">
        <f>SUBTOTAL(9,G250:G252)</f>
        <v>1713.8334</v>
      </c>
      <c r="J253" s="113">
        <f>SUBTOTAL(9,J250:J252)</f>
        <v>1714.0938000000001</v>
      </c>
      <c r="K253" s="113">
        <f>SUBTOTAL(9,K250:K252)</f>
        <v>-0.26040000000000418</v>
      </c>
    </row>
    <row r="254" spans="1:11" hidden="1" outlineLevel="3">
      <c r="A254" s="111" t="s">
        <v>394</v>
      </c>
      <c r="B254" s="111" t="s">
        <v>624</v>
      </c>
      <c r="C254" s="111" t="s">
        <v>408</v>
      </c>
      <c r="D254" s="111" t="s">
        <v>625</v>
      </c>
      <c r="E254" s="111" t="s">
        <v>626</v>
      </c>
      <c r="F254" s="112">
        <v>45717</v>
      </c>
      <c r="G254" s="113">
        <v>4.8</v>
      </c>
      <c r="H254" s="113">
        <v>4.8</v>
      </c>
      <c r="J254" s="113">
        <v>4.8</v>
      </c>
      <c r="K254" s="113">
        <f t="shared" ref="K254:K292" si="1">G254-J254</f>
        <v>0</v>
      </c>
    </row>
    <row r="255" spans="1:11" hidden="1" outlineLevel="3">
      <c r="A255" s="111" t="s">
        <v>394</v>
      </c>
      <c r="B255" s="111" t="s">
        <v>624</v>
      </c>
      <c r="C255" s="111" t="s">
        <v>408</v>
      </c>
      <c r="D255" s="111" t="s">
        <v>627</v>
      </c>
      <c r="E255" s="111" t="s">
        <v>628</v>
      </c>
      <c r="F255" s="112">
        <v>45717</v>
      </c>
      <c r="G255" s="113">
        <v>62.4</v>
      </c>
      <c r="H255" s="113">
        <v>62.4</v>
      </c>
      <c r="J255" s="113">
        <v>31.2</v>
      </c>
      <c r="K255" s="113">
        <f t="shared" si="1"/>
        <v>31.2</v>
      </c>
    </row>
    <row r="256" spans="1:11" hidden="1" outlineLevel="3">
      <c r="A256" s="111" t="s">
        <v>394</v>
      </c>
      <c r="B256" s="111" t="s">
        <v>624</v>
      </c>
      <c r="C256" s="111" t="s">
        <v>408</v>
      </c>
      <c r="D256" s="111" t="s">
        <v>629</v>
      </c>
      <c r="E256" s="111" t="s">
        <v>630</v>
      </c>
      <c r="F256" s="112">
        <v>45717</v>
      </c>
      <c r="G256" s="113">
        <v>4.8</v>
      </c>
      <c r="H256" s="113">
        <v>4.8</v>
      </c>
      <c r="J256" s="113">
        <v>4.8</v>
      </c>
      <c r="K256" s="113">
        <f t="shared" si="1"/>
        <v>0</v>
      </c>
    </row>
    <row r="257" spans="1:11" hidden="1" outlineLevel="3">
      <c r="A257" s="111" t="s">
        <v>394</v>
      </c>
      <c r="B257" s="111" t="s">
        <v>624</v>
      </c>
      <c r="C257" s="111" t="s">
        <v>408</v>
      </c>
      <c r="D257" s="111" t="s">
        <v>631</v>
      </c>
      <c r="E257" s="111" t="s">
        <v>632</v>
      </c>
      <c r="F257" s="112">
        <v>45717</v>
      </c>
      <c r="G257" s="113">
        <v>9.6</v>
      </c>
      <c r="H257" s="113">
        <v>9.6</v>
      </c>
      <c r="J257" s="113">
        <v>9.6</v>
      </c>
      <c r="K257" s="113">
        <f t="shared" si="1"/>
        <v>0</v>
      </c>
    </row>
    <row r="258" spans="1:11" hidden="1" outlineLevel="3">
      <c r="A258" s="111" t="s">
        <v>394</v>
      </c>
      <c r="B258" s="111" t="s">
        <v>624</v>
      </c>
      <c r="C258" s="111" t="s">
        <v>408</v>
      </c>
      <c r="D258" s="111" t="s">
        <v>633</v>
      </c>
      <c r="E258" s="111" t="s">
        <v>634</v>
      </c>
      <c r="F258" s="112">
        <v>45717</v>
      </c>
      <c r="G258" s="113">
        <v>4.8</v>
      </c>
      <c r="H258" s="113">
        <v>4.8</v>
      </c>
      <c r="J258" s="113">
        <v>4.8</v>
      </c>
      <c r="K258" s="113">
        <f t="shared" si="1"/>
        <v>0</v>
      </c>
    </row>
    <row r="259" spans="1:11" hidden="1" outlineLevel="3">
      <c r="A259" s="111" t="s">
        <v>394</v>
      </c>
      <c r="B259" s="111" t="s">
        <v>624</v>
      </c>
      <c r="C259" s="111" t="s">
        <v>408</v>
      </c>
      <c r="D259" s="111" t="s">
        <v>635</v>
      </c>
      <c r="E259" s="111" t="s">
        <v>636</v>
      </c>
      <c r="F259" s="112">
        <v>45717</v>
      </c>
      <c r="G259" s="113">
        <v>1612.8</v>
      </c>
      <c r="H259" s="113">
        <v>1612.8</v>
      </c>
      <c r="J259" s="113">
        <v>1095.23</v>
      </c>
      <c r="K259" s="113">
        <f t="shared" si="1"/>
        <v>517.56999999999994</v>
      </c>
    </row>
    <row r="260" spans="1:11" hidden="1" outlineLevel="3">
      <c r="A260" s="111" t="s">
        <v>394</v>
      </c>
      <c r="B260" s="111" t="s">
        <v>624</v>
      </c>
      <c r="C260" s="111" t="s">
        <v>408</v>
      </c>
      <c r="D260" s="111" t="s">
        <v>637</v>
      </c>
      <c r="E260" s="111" t="s">
        <v>638</v>
      </c>
      <c r="F260" s="112">
        <v>45717</v>
      </c>
      <c r="G260" s="113">
        <v>62.4</v>
      </c>
      <c r="H260" s="113">
        <v>62.4</v>
      </c>
      <c r="J260" s="113">
        <v>62.4</v>
      </c>
      <c r="K260" s="113">
        <f t="shared" si="1"/>
        <v>0</v>
      </c>
    </row>
    <row r="261" spans="1:11" hidden="1" outlineLevel="3">
      <c r="A261" s="111" t="s">
        <v>394</v>
      </c>
      <c r="B261" s="111" t="s">
        <v>624</v>
      </c>
      <c r="C261" s="111" t="s">
        <v>408</v>
      </c>
      <c r="D261" s="111" t="s">
        <v>639</v>
      </c>
      <c r="E261" s="111" t="s">
        <v>640</v>
      </c>
      <c r="F261" s="112">
        <v>45717</v>
      </c>
      <c r="G261" s="113">
        <v>4.8</v>
      </c>
      <c r="H261" s="113">
        <v>4.8</v>
      </c>
      <c r="J261" s="113">
        <v>4.8</v>
      </c>
      <c r="K261" s="113">
        <f t="shared" si="1"/>
        <v>0</v>
      </c>
    </row>
    <row r="262" spans="1:11" hidden="1" outlineLevel="3">
      <c r="A262" s="111" t="s">
        <v>394</v>
      </c>
      <c r="B262" s="111" t="s">
        <v>624</v>
      </c>
      <c r="C262" s="111" t="s">
        <v>408</v>
      </c>
      <c r="D262" s="111" t="s">
        <v>641</v>
      </c>
      <c r="E262" s="111" t="s">
        <v>642</v>
      </c>
      <c r="F262" s="112">
        <v>45717</v>
      </c>
      <c r="G262" s="113">
        <v>84</v>
      </c>
      <c r="H262" s="113">
        <v>84</v>
      </c>
      <c r="J262" s="113">
        <v>110.4</v>
      </c>
      <c r="K262" s="113">
        <f t="shared" si="1"/>
        <v>-26.400000000000006</v>
      </c>
    </row>
    <row r="263" spans="1:11" hidden="1" outlineLevel="3">
      <c r="A263" s="111" t="s">
        <v>394</v>
      </c>
      <c r="B263" s="111" t="s">
        <v>624</v>
      </c>
      <c r="C263" s="111" t="s">
        <v>408</v>
      </c>
      <c r="D263" s="111" t="s">
        <v>643</v>
      </c>
      <c r="E263" s="111" t="s">
        <v>644</v>
      </c>
      <c r="F263" s="112">
        <v>45717</v>
      </c>
      <c r="G263" s="113">
        <v>57.6</v>
      </c>
      <c r="H263" s="113">
        <v>57.6</v>
      </c>
      <c r="J263" s="113">
        <v>57.6</v>
      </c>
      <c r="K263" s="113">
        <f t="shared" si="1"/>
        <v>0</v>
      </c>
    </row>
    <row r="264" spans="1:11" hidden="1" outlineLevel="3">
      <c r="A264" s="111" t="s">
        <v>394</v>
      </c>
      <c r="B264" s="111" t="s">
        <v>624</v>
      </c>
      <c r="C264" s="111" t="s">
        <v>408</v>
      </c>
      <c r="D264" s="111" t="s">
        <v>645</v>
      </c>
      <c r="E264" s="111" t="s">
        <v>646</v>
      </c>
      <c r="F264" s="112">
        <v>45717</v>
      </c>
      <c r="G264" s="113">
        <v>57.6</v>
      </c>
      <c r="H264" s="113">
        <v>57.6</v>
      </c>
      <c r="J264" s="113">
        <v>57.6</v>
      </c>
      <c r="K264" s="113">
        <f t="shared" si="1"/>
        <v>0</v>
      </c>
    </row>
    <row r="265" spans="1:11" hidden="1" outlineLevel="3">
      <c r="A265" s="111" t="s">
        <v>394</v>
      </c>
      <c r="B265" s="111" t="s">
        <v>624</v>
      </c>
      <c r="C265" s="111" t="s">
        <v>408</v>
      </c>
      <c r="D265" s="111" t="s">
        <v>647</v>
      </c>
      <c r="E265" s="111" t="s">
        <v>648</v>
      </c>
      <c r="F265" s="112">
        <v>45717</v>
      </c>
      <c r="G265" s="113">
        <v>31.2</v>
      </c>
      <c r="H265" s="113">
        <v>31.2</v>
      </c>
      <c r="J265" s="113">
        <v>31.2</v>
      </c>
      <c r="K265" s="113">
        <f t="shared" si="1"/>
        <v>0</v>
      </c>
    </row>
    <row r="266" spans="1:11" hidden="1" outlineLevel="3">
      <c r="A266" s="111" t="s">
        <v>394</v>
      </c>
      <c r="B266" s="111" t="s">
        <v>624</v>
      </c>
      <c r="C266" s="111" t="s">
        <v>405</v>
      </c>
      <c r="D266" s="111" t="s">
        <v>649</v>
      </c>
      <c r="E266" s="111" t="s">
        <v>628</v>
      </c>
      <c r="F266" s="112">
        <v>45717</v>
      </c>
      <c r="G266" s="113">
        <v>54</v>
      </c>
      <c r="H266" s="113">
        <v>54</v>
      </c>
      <c r="J266" s="113">
        <v>58</v>
      </c>
      <c r="K266" s="113">
        <f t="shared" si="1"/>
        <v>-4</v>
      </c>
    </row>
    <row r="267" spans="1:11" hidden="1" outlineLevel="3">
      <c r="A267" s="111" t="s">
        <v>394</v>
      </c>
      <c r="B267" s="111" t="s">
        <v>624</v>
      </c>
      <c r="C267" s="111" t="s">
        <v>405</v>
      </c>
      <c r="D267" s="111" t="s">
        <v>650</v>
      </c>
      <c r="E267" s="111" t="s">
        <v>630</v>
      </c>
      <c r="F267" s="112">
        <v>45717</v>
      </c>
      <c r="G267" s="113">
        <v>4</v>
      </c>
      <c r="H267" s="113">
        <v>4</v>
      </c>
      <c r="J267" s="113">
        <v>4</v>
      </c>
      <c r="K267" s="113">
        <f t="shared" si="1"/>
        <v>0</v>
      </c>
    </row>
    <row r="268" spans="1:11" hidden="1" outlineLevel="3">
      <c r="A268" s="111" t="s">
        <v>394</v>
      </c>
      <c r="B268" s="111" t="s">
        <v>624</v>
      </c>
      <c r="C268" s="111" t="s">
        <v>405</v>
      </c>
      <c r="D268" s="111" t="s">
        <v>651</v>
      </c>
      <c r="E268" s="111" t="s">
        <v>636</v>
      </c>
      <c r="F268" s="112">
        <v>45717</v>
      </c>
      <c r="G268" s="113">
        <v>370</v>
      </c>
      <c r="H268" s="113">
        <v>370</v>
      </c>
      <c r="J268" s="113">
        <v>370</v>
      </c>
      <c r="K268" s="113">
        <f t="shared" si="1"/>
        <v>0</v>
      </c>
    </row>
    <row r="269" spans="1:11" hidden="1" outlineLevel="3">
      <c r="A269" s="111" t="s">
        <v>394</v>
      </c>
      <c r="B269" s="111" t="s">
        <v>624</v>
      </c>
      <c r="C269" s="111" t="s">
        <v>405</v>
      </c>
      <c r="D269" s="111" t="s">
        <v>652</v>
      </c>
      <c r="E269" s="111" t="s">
        <v>648</v>
      </c>
      <c r="F269" s="112">
        <v>45717</v>
      </c>
      <c r="G269" s="113">
        <v>49</v>
      </c>
      <c r="H269" s="113">
        <v>49</v>
      </c>
      <c r="J269" s="113">
        <v>49</v>
      </c>
      <c r="K269" s="113">
        <f t="shared" si="1"/>
        <v>0</v>
      </c>
    </row>
    <row r="270" spans="1:11" hidden="1" outlineLevel="3">
      <c r="A270" s="111" t="s">
        <v>394</v>
      </c>
      <c r="B270" s="111" t="s">
        <v>624</v>
      </c>
      <c r="C270" s="111" t="s">
        <v>405</v>
      </c>
      <c r="D270" s="111" t="s">
        <v>653</v>
      </c>
      <c r="E270" s="111" t="s">
        <v>644</v>
      </c>
      <c r="F270" s="112">
        <v>45717</v>
      </c>
      <c r="G270" s="113">
        <v>62</v>
      </c>
      <c r="H270" s="113">
        <v>62</v>
      </c>
      <c r="J270" s="113">
        <v>50</v>
      </c>
      <c r="K270" s="113">
        <f t="shared" si="1"/>
        <v>12</v>
      </c>
    </row>
    <row r="271" spans="1:11" hidden="1" outlineLevel="3">
      <c r="A271" s="111" t="s">
        <v>394</v>
      </c>
      <c r="B271" s="111" t="s">
        <v>624</v>
      </c>
      <c r="C271" s="111" t="s">
        <v>405</v>
      </c>
      <c r="D271" s="111" t="s">
        <v>654</v>
      </c>
      <c r="E271" s="111" t="s">
        <v>638</v>
      </c>
      <c r="F271" s="112">
        <v>45717</v>
      </c>
      <c r="G271" s="113">
        <v>62</v>
      </c>
      <c r="H271" s="113">
        <v>62</v>
      </c>
      <c r="J271" s="113">
        <v>62</v>
      </c>
      <c r="K271" s="113">
        <f t="shared" si="1"/>
        <v>0</v>
      </c>
    </row>
    <row r="272" spans="1:11" hidden="1" outlineLevel="3">
      <c r="A272" s="111" t="s">
        <v>394</v>
      </c>
      <c r="B272" s="111" t="s">
        <v>624</v>
      </c>
      <c r="C272" s="111" t="s">
        <v>405</v>
      </c>
      <c r="D272" s="111" t="s">
        <v>655</v>
      </c>
      <c r="E272" s="111" t="s">
        <v>642</v>
      </c>
      <c r="F272" s="112">
        <v>45717</v>
      </c>
      <c r="G272" s="113">
        <v>16</v>
      </c>
      <c r="H272" s="113">
        <v>16</v>
      </c>
      <c r="J272" s="113">
        <v>12</v>
      </c>
      <c r="K272" s="113">
        <f t="shared" si="1"/>
        <v>4</v>
      </c>
    </row>
    <row r="273" spans="1:11" hidden="1" outlineLevel="3">
      <c r="A273" s="111" t="s">
        <v>394</v>
      </c>
      <c r="B273" s="111" t="s">
        <v>624</v>
      </c>
      <c r="C273" s="111" t="s">
        <v>405</v>
      </c>
      <c r="D273" s="111" t="s">
        <v>656</v>
      </c>
      <c r="E273" s="111" t="s">
        <v>646</v>
      </c>
      <c r="F273" s="112">
        <v>45717</v>
      </c>
      <c r="G273" s="113">
        <v>28</v>
      </c>
      <c r="H273" s="113">
        <v>28</v>
      </c>
      <c r="J273" s="113">
        <v>8</v>
      </c>
      <c r="K273" s="113">
        <f t="shared" si="1"/>
        <v>20</v>
      </c>
    </row>
    <row r="274" spans="1:11" hidden="1" outlineLevel="3">
      <c r="A274" s="111" t="s">
        <v>394</v>
      </c>
      <c r="B274" s="111" t="s">
        <v>624</v>
      </c>
      <c r="C274" s="111" t="s">
        <v>396</v>
      </c>
      <c r="D274" s="111" t="s">
        <v>657</v>
      </c>
      <c r="E274" s="111" t="s">
        <v>628</v>
      </c>
      <c r="F274" s="112">
        <v>45717</v>
      </c>
      <c r="G274" s="113">
        <v>318.5</v>
      </c>
      <c r="H274" s="113">
        <v>318.5</v>
      </c>
      <c r="J274" s="113">
        <v>337</v>
      </c>
      <c r="K274" s="113">
        <f t="shared" si="1"/>
        <v>-18.5</v>
      </c>
    </row>
    <row r="275" spans="1:11" hidden="1" outlineLevel="3">
      <c r="A275" s="111" t="s">
        <v>394</v>
      </c>
      <c r="B275" s="111" t="s">
        <v>624</v>
      </c>
      <c r="C275" s="111" t="s">
        <v>396</v>
      </c>
      <c r="D275" s="111" t="s">
        <v>658</v>
      </c>
      <c r="E275" s="111" t="s">
        <v>636</v>
      </c>
      <c r="F275" s="112">
        <v>45717</v>
      </c>
      <c r="G275" s="113">
        <v>868</v>
      </c>
      <c r="H275" s="113">
        <v>868</v>
      </c>
      <c r="J275" s="113">
        <v>991.5</v>
      </c>
      <c r="K275" s="113">
        <f t="shared" si="1"/>
        <v>-123.5</v>
      </c>
    </row>
    <row r="276" spans="1:11" hidden="1" outlineLevel="3">
      <c r="A276" s="111" t="s">
        <v>394</v>
      </c>
      <c r="B276" s="111" t="s">
        <v>624</v>
      </c>
      <c r="C276" s="111" t="s">
        <v>396</v>
      </c>
      <c r="D276" s="111" t="s">
        <v>659</v>
      </c>
      <c r="E276" s="111" t="s">
        <v>642</v>
      </c>
      <c r="F276" s="112">
        <v>45717</v>
      </c>
      <c r="G276" s="113">
        <v>374</v>
      </c>
      <c r="H276" s="113">
        <v>374</v>
      </c>
      <c r="J276" s="113">
        <v>362</v>
      </c>
      <c r="K276" s="113">
        <f t="shared" si="1"/>
        <v>12</v>
      </c>
    </row>
    <row r="277" spans="1:11" hidden="1" outlineLevel="3">
      <c r="A277" s="111" t="s">
        <v>394</v>
      </c>
      <c r="B277" s="111" t="s">
        <v>624</v>
      </c>
      <c r="C277" s="111" t="s">
        <v>396</v>
      </c>
      <c r="D277" s="111" t="s">
        <v>660</v>
      </c>
      <c r="E277" s="111" t="s">
        <v>644</v>
      </c>
      <c r="F277" s="112">
        <v>45717</v>
      </c>
      <c r="G277" s="113">
        <v>355.5</v>
      </c>
      <c r="H277" s="113">
        <v>355.5</v>
      </c>
      <c r="J277" s="113">
        <v>319.5</v>
      </c>
      <c r="K277" s="113">
        <f t="shared" si="1"/>
        <v>36</v>
      </c>
    </row>
    <row r="278" spans="1:11" hidden="1" outlineLevel="3">
      <c r="A278" s="111" t="s">
        <v>394</v>
      </c>
      <c r="B278" s="111" t="s">
        <v>624</v>
      </c>
      <c r="C278" s="111" t="s">
        <v>396</v>
      </c>
      <c r="D278" s="111" t="s">
        <v>661</v>
      </c>
      <c r="E278" s="111" t="s">
        <v>646</v>
      </c>
      <c r="F278" s="112">
        <v>45717</v>
      </c>
      <c r="G278" s="113">
        <v>37</v>
      </c>
      <c r="H278" s="113">
        <v>37</v>
      </c>
      <c r="J278" s="113">
        <v>37</v>
      </c>
      <c r="K278" s="113">
        <f t="shared" si="1"/>
        <v>0</v>
      </c>
    </row>
    <row r="279" spans="1:11" hidden="1" outlineLevel="3">
      <c r="A279" s="111" t="s">
        <v>394</v>
      </c>
      <c r="B279" s="111" t="s">
        <v>624</v>
      </c>
      <c r="C279" s="111" t="s">
        <v>396</v>
      </c>
      <c r="D279" s="111" t="s">
        <v>662</v>
      </c>
      <c r="E279" s="111" t="s">
        <v>630</v>
      </c>
      <c r="F279" s="112">
        <v>45717</v>
      </c>
      <c r="G279" s="113">
        <v>18.5</v>
      </c>
      <c r="H279" s="113">
        <v>18.5</v>
      </c>
      <c r="J279" s="113">
        <v>18.5</v>
      </c>
      <c r="K279" s="113">
        <f t="shared" si="1"/>
        <v>0</v>
      </c>
    </row>
    <row r="280" spans="1:11" hidden="1" outlineLevel="3">
      <c r="A280" s="111" t="s">
        <v>394</v>
      </c>
      <c r="B280" s="111" t="s">
        <v>624</v>
      </c>
      <c r="C280" s="111" t="s">
        <v>396</v>
      </c>
      <c r="D280" s="111" t="s">
        <v>663</v>
      </c>
      <c r="E280" s="111" t="s">
        <v>638</v>
      </c>
      <c r="F280" s="112">
        <v>45717</v>
      </c>
      <c r="G280" s="113">
        <v>355.5</v>
      </c>
      <c r="H280" s="113">
        <v>355.5</v>
      </c>
      <c r="J280" s="113">
        <v>355.5</v>
      </c>
      <c r="K280" s="113">
        <f t="shared" si="1"/>
        <v>0</v>
      </c>
    </row>
    <row r="281" spans="1:11" hidden="1" outlineLevel="3">
      <c r="A281" s="111" t="s">
        <v>394</v>
      </c>
      <c r="B281" s="111" t="s">
        <v>624</v>
      </c>
      <c r="C281" s="111" t="s">
        <v>396</v>
      </c>
      <c r="D281" s="111" t="s">
        <v>664</v>
      </c>
      <c r="E281" s="111" t="s">
        <v>648</v>
      </c>
      <c r="F281" s="112">
        <v>45717</v>
      </c>
      <c r="G281" s="113">
        <v>18.5</v>
      </c>
      <c r="H281" s="113">
        <v>18.5</v>
      </c>
      <c r="J281" s="113">
        <v>18.5</v>
      </c>
      <c r="K281" s="113">
        <f t="shared" si="1"/>
        <v>0</v>
      </c>
    </row>
    <row r="282" spans="1:11" hidden="1" outlineLevel="3">
      <c r="A282" s="111" t="s">
        <v>394</v>
      </c>
      <c r="B282" s="111" t="s">
        <v>624</v>
      </c>
      <c r="C282" s="111" t="s">
        <v>400</v>
      </c>
      <c r="D282" s="111" t="s">
        <v>665</v>
      </c>
      <c r="E282" s="111" t="s">
        <v>628</v>
      </c>
      <c r="F282" s="112">
        <v>45717</v>
      </c>
      <c r="G282" s="113">
        <v>325</v>
      </c>
      <c r="H282" s="113">
        <v>325</v>
      </c>
      <c r="J282" s="113">
        <v>430</v>
      </c>
      <c r="K282" s="113">
        <f t="shared" si="1"/>
        <v>-105</v>
      </c>
    </row>
    <row r="283" spans="1:11" hidden="1" outlineLevel="3">
      <c r="A283" s="111" t="s">
        <v>394</v>
      </c>
      <c r="B283" s="111" t="s">
        <v>624</v>
      </c>
      <c r="C283" s="111" t="s">
        <v>400</v>
      </c>
      <c r="D283" s="111" t="s">
        <v>666</v>
      </c>
      <c r="E283" s="111" t="s">
        <v>630</v>
      </c>
      <c r="F283" s="112">
        <v>45717</v>
      </c>
      <c r="G283" s="113">
        <v>347</v>
      </c>
      <c r="H283" s="113">
        <v>347</v>
      </c>
      <c r="J283" s="113">
        <v>347</v>
      </c>
      <c r="K283" s="113">
        <f t="shared" si="1"/>
        <v>0</v>
      </c>
    </row>
    <row r="284" spans="1:11" hidden="1" outlineLevel="3">
      <c r="A284" s="111" t="s">
        <v>394</v>
      </c>
      <c r="B284" s="111" t="s">
        <v>624</v>
      </c>
      <c r="C284" s="111" t="s">
        <v>400</v>
      </c>
      <c r="D284" s="111" t="s">
        <v>667</v>
      </c>
      <c r="E284" s="111" t="s">
        <v>636</v>
      </c>
      <c r="F284" s="112">
        <v>45717</v>
      </c>
      <c r="G284" s="113">
        <v>4209.6000000000004</v>
      </c>
      <c r="H284" s="113">
        <v>4209.6000000000004</v>
      </c>
      <c r="J284" s="113">
        <v>4268</v>
      </c>
      <c r="K284" s="113">
        <f t="shared" si="1"/>
        <v>-58.399999999999636</v>
      </c>
    </row>
    <row r="285" spans="1:11" hidden="1" outlineLevel="3">
      <c r="A285" s="111" t="s">
        <v>394</v>
      </c>
      <c r="B285" s="111" t="s">
        <v>624</v>
      </c>
      <c r="C285" s="111" t="s">
        <v>400</v>
      </c>
      <c r="D285" s="111" t="s">
        <v>668</v>
      </c>
      <c r="E285" s="111" t="s">
        <v>638</v>
      </c>
      <c r="F285" s="112">
        <v>45717</v>
      </c>
      <c r="G285" s="113">
        <v>575</v>
      </c>
      <c r="H285" s="113">
        <v>575</v>
      </c>
      <c r="J285" s="113">
        <v>575</v>
      </c>
      <c r="K285" s="113">
        <f t="shared" si="1"/>
        <v>0</v>
      </c>
    </row>
    <row r="286" spans="1:11" hidden="1" outlineLevel="3">
      <c r="A286" s="111" t="s">
        <v>394</v>
      </c>
      <c r="B286" s="111" t="s">
        <v>624</v>
      </c>
      <c r="C286" s="111" t="s">
        <v>400</v>
      </c>
      <c r="D286" s="111" t="s">
        <v>669</v>
      </c>
      <c r="E286" s="111" t="s">
        <v>648</v>
      </c>
      <c r="F286" s="112">
        <v>45717</v>
      </c>
      <c r="G286" s="113">
        <v>325</v>
      </c>
      <c r="H286" s="113">
        <v>325</v>
      </c>
      <c r="J286" s="113">
        <v>325</v>
      </c>
      <c r="K286" s="113">
        <f t="shared" si="1"/>
        <v>0</v>
      </c>
    </row>
    <row r="287" spans="1:11" hidden="1" outlineLevel="3">
      <c r="A287" s="111" t="s">
        <v>394</v>
      </c>
      <c r="B287" s="111" t="s">
        <v>624</v>
      </c>
      <c r="C287" s="111" t="s">
        <v>400</v>
      </c>
      <c r="D287" s="111" t="s">
        <v>670</v>
      </c>
      <c r="E287" s="111" t="s">
        <v>644</v>
      </c>
      <c r="F287" s="112">
        <v>45717</v>
      </c>
      <c r="G287" s="113">
        <v>575</v>
      </c>
      <c r="H287" s="113">
        <v>575</v>
      </c>
      <c r="J287" s="113">
        <v>260</v>
      </c>
      <c r="K287" s="113">
        <f t="shared" si="1"/>
        <v>315</v>
      </c>
    </row>
    <row r="288" spans="1:11" hidden="1" outlineLevel="3">
      <c r="A288" s="111" t="s">
        <v>394</v>
      </c>
      <c r="B288" s="111" t="s">
        <v>624</v>
      </c>
      <c r="C288" s="111" t="s">
        <v>400</v>
      </c>
      <c r="D288" s="111" t="s">
        <v>671</v>
      </c>
      <c r="E288" s="111" t="s">
        <v>646</v>
      </c>
      <c r="F288" s="112">
        <v>45717</v>
      </c>
      <c r="G288" s="113">
        <v>450</v>
      </c>
      <c r="H288" s="113">
        <v>450</v>
      </c>
      <c r="J288" s="113">
        <v>450</v>
      </c>
      <c r="K288" s="113">
        <f t="shared" si="1"/>
        <v>0</v>
      </c>
    </row>
    <row r="289" spans="1:12" hidden="1" outlineLevel="3">
      <c r="A289" s="111" t="s">
        <v>394</v>
      </c>
      <c r="B289" s="111" t="s">
        <v>624</v>
      </c>
      <c r="C289" s="111" t="s">
        <v>400</v>
      </c>
      <c r="D289" s="111" t="s">
        <v>672</v>
      </c>
      <c r="E289" s="111" t="s">
        <v>642</v>
      </c>
      <c r="F289" s="112">
        <v>45717</v>
      </c>
      <c r="G289" s="113">
        <v>700</v>
      </c>
      <c r="H289" s="113">
        <v>700</v>
      </c>
      <c r="J289" s="113">
        <v>568.6</v>
      </c>
      <c r="K289" s="113">
        <f t="shared" si="1"/>
        <v>131.39999999999998</v>
      </c>
    </row>
    <row r="290" spans="1:12" hidden="1" outlineLevel="3">
      <c r="A290" s="111" t="s">
        <v>394</v>
      </c>
      <c r="B290" s="111" t="s">
        <v>624</v>
      </c>
      <c r="C290" s="111" t="s">
        <v>400</v>
      </c>
      <c r="D290" s="111" t="s">
        <v>673</v>
      </c>
      <c r="F290" s="112"/>
      <c r="J290" s="113">
        <v>-156.5</v>
      </c>
      <c r="K290" s="113">
        <f t="shared" si="1"/>
        <v>156.5</v>
      </c>
    </row>
    <row r="291" spans="1:12" hidden="1" outlineLevel="3">
      <c r="A291" s="111" t="s">
        <v>394</v>
      </c>
      <c r="B291" s="111" t="s">
        <v>624</v>
      </c>
      <c r="C291" s="111" t="s">
        <v>400</v>
      </c>
      <c r="D291" s="111" t="s">
        <v>674</v>
      </c>
      <c r="F291" s="112"/>
      <c r="J291" s="113">
        <v>-96.300000000000011</v>
      </c>
      <c r="K291" s="113">
        <f t="shared" si="1"/>
        <v>96.300000000000011</v>
      </c>
    </row>
    <row r="292" spans="1:12" hidden="1" outlineLevel="3">
      <c r="A292" s="111" t="s">
        <v>394</v>
      </c>
      <c r="B292" s="111" t="s">
        <v>624</v>
      </c>
      <c r="C292" s="111" t="s">
        <v>400</v>
      </c>
      <c r="D292" s="111" t="s">
        <v>675</v>
      </c>
      <c r="F292" s="112"/>
      <c r="J292" s="113">
        <v>-26.4</v>
      </c>
      <c r="K292" s="113">
        <f t="shared" si="1"/>
        <v>26.4</v>
      </c>
    </row>
    <row r="293" spans="1:12" outlineLevel="2" collapsed="1">
      <c r="A293" s="115"/>
      <c r="B293" s="118" t="s">
        <v>676</v>
      </c>
      <c r="C293" s="115"/>
      <c r="D293" s="115"/>
      <c r="E293" s="115"/>
      <c r="F293" s="116"/>
      <c r="G293" s="117">
        <f>SUBTOTAL(9,G254:G292)</f>
        <v>12493.900000000001</v>
      </c>
      <c r="H293" s="117"/>
      <c r="I293" s="117"/>
      <c r="J293" s="117">
        <f>SUBTOTAL(9,J254:J292)</f>
        <v>11471.330000000002</v>
      </c>
      <c r="K293" s="117">
        <f>SUBTOTAL(9,K254:K292)</f>
        <v>1022.5700000000003</v>
      </c>
      <c r="L293" s="115" t="s">
        <v>677</v>
      </c>
    </row>
    <row r="294" spans="1:12" hidden="1" outlineLevel="3">
      <c r="A294" s="111" t="s">
        <v>394</v>
      </c>
      <c r="B294" s="111" t="s">
        <v>678</v>
      </c>
      <c r="C294" s="111" t="s">
        <v>405</v>
      </c>
      <c r="D294" s="111" t="s">
        <v>405</v>
      </c>
      <c r="E294" s="111" t="s">
        <v>679</v>
      </c>
      <c r="F294" s="112">
        <v>45717</v>
      </c>
      <c r="G294" s="113">
        <v>227.33459999999999</v>
      </c>
      <c r="H294" s="113">
        <v>227.33459999999999</v>
      </c>
      <c r="J294" s="113">
        <v>227.11080000000001</v>
      </c>
      <c r="K294" s="113">
        <f>G294-J294</f>
        <v>0.2237999999999829</v>
      </c>
    </row>
    <row r="295" spans="1:12" hidden="1" outlineLevel="3">
      <c r="A295" s="111" t="s">
        <v>394</v>
      </c>
      <c r="B295" s="111" t="s">
        <v>678</v>
      </c>
      <c r="C295" s="111" t="s">
        <v>396</v>
      </c>
      <c r="D295" s="111" t="s">
        <v>396</v>
      </c>
      <c r="E295" s="111" t="s">
        <v>679</v>
      </c>
      <c r="F295" s="112">
        <v>45717</v>
      </c>
      <c r="G295" s="113">
        <v>309</v>
      </c>
      <c r="H295" s="113">
        <v>309</v>
      </c>
      <c r="J295" s="113">
        <v>309</v>
      </c>
      <c r="K295" s="113">
        <f>G295-J295</f>
        <v>0</v>
      </c>
    </row>
    <row r="296" spans="1:12" hidden="1" outlineLevel="3">
      <c r="A296" s="111" t="s">
        <v>394</v>
      </c>
      <c r="B296" s="111" t="s">
        <v>678</v>
      </c>
      <c r="C296" s="111" t="s">
        <v>400</v>
      </c>
      <c r="D296" s="111" t="s">
        <v>680</v>
      </c>
      <c r="E296" s="111" t="s">
        <v>679</v>
      </c>
      <c r="F296" s="112">
        <v>45717</v>
      </c>
      <c r="G296" s="113">
        <v>1252.06</v>
      </c>
      <c r="H296" s="113">
        <v>1252.06</v>
      </c>
      <c r="J296" s="113">
        <v>1252.06</v>
      </c>
      <c r="K296" s="113">
        <f>G296-J296</f>
        <v>0</v>
      </c>
    </row>
    <row r="297" spans="1:12" outlineLevel="2" collapsed="1">
      <c r="B297" s="114" t="s">
        <v>681</v>
      </c>
      <c r="F297" s="112"/>
      <c r="G297" s="113">
        <f>SUBTOTAL(9,G294:G296)</f>
        <v>1788.3946000000001</v>
      </c>
      <c r="J297" s="113">
        <f>SUBTOTAL(9,J294:J296)</f>
        <v>1788.1707999999999</v>
      </c>
      <c r="K297" s="113">
        <f>SUBTOTAL(9,K294:K296)</f>
        <v>0.2237999999999829</v>
      </c>
    </row>
    <row r="298" spans="1:12" hidden="1" outlineLevel="3">
      <c r="A298" s="111" t="s">
        <v>394</v>
      </c>
      <c r="B298" s="111" t="s">
        <v>682</v>
      </c>
      <c r="C298" s="111" t="s">
        <v>403</v>
      </c>
      <c r="D298" s="111" t="s">
        <v>683</v>
      </c>
      <c r="E298" s="111" t="s">
        <v>684</v>
      </c>
      <c r="F298" s="112">
        <v>45717</v>
      </c>
      <c r="G298" s="113">
        <v>2452.5</v>
      </c>
      <c r="H298" s="113">
        <v>2452.5</v>
      </c>
      <c r="J298" s="113">
        <v>2452.5</v>
      </c>
      <c r="K298" s="113">
        <f>G298-J298</f>
        <v>0</v>
      </c>
    </row>
    <row r="299" spans="1:12" hidden="1" outlineLevel="3">
      <c r="A299" s="111" t="s">
        <v>394</v>
      </c>
      <c r="B299" s="111" t="s">
        <v>682</v>
      </c>
      <c r="C299" s="111" t="s">
        <v>405</v>
      </c>
      <c r="D299" s="111" t="s">
        <v>685</v>
      </c>
      <c r="E299" s="111" t="s">
        <v>684</v>
      </c>
      <c r="F299" s="112">
        <v>45717</v>
      </c>
      <c r="G299" s="113">
        <v>604.52440000000001</v>
      </c>
      <c r="H299" s="113">
        <v>604.52440000000001</v>
      </c>
      <c r="J299" s="113">
        <v>572.59320000000002</v>
      </c>
      <c r="K299" s="113">
        <f>G299-J299</f>
        <v>31.93119999999999</v>
      </c>
    </row>
    <row r="300" spans="1:12" hidden="1" outlineLevel="3">
      <c r="A300" s="111" t="s">
        <v>394</v>
      </c>
      <c r="B300" s="111" t="s">
        <v>682</v>
      </c>
      <c r="C300" s="111" t="s">
        <v>396</v>
      </c>
      <c r="D300" s="111" t="s">
        <v>686</v>
      </c>
      <c r="E300" s="111" t="s">
        <v>684</v>
      </c>
      <c r="F300" s="112">
        <v>45717</v>
      </c>
      <c r="G300" s="113">
        <v>2094.5500000000002</v>
      </c>
      <c r="H300" s="113">
        <v>2094.5500000000002</v>
      </c>
      <c r="J300" s="113">
        <v>2022.5</v>
      </c>
      <c r="K300" s="113">
        <f>G300-J300</f>
        <v>72.050000000000182</v>
      </c>
    </row>
    <row r="301" spans="1:12" hidden="1" outlineLevel="3">
      <c r="A301" s="111" t="s">
        <v>394</v>
      </c>
      <c r="B301" s="111" t="s">
        <v>682</v>
      </c>
      <c r="C301" s="111" t="s">
        <v>400</v>
      </c>
      <c r="D301" s="111" t="s">
        <v>687</v>
      </c>
      <c r="E301" s="111" t="s">
        <v>684</v>
      </c>
      <c r="F301" s="112">
        <v>45717</v>
      </c>
      <c r="G301" s="113">
        <v>1310</v>
      </c>
      <c r="H301" s="113">
        <v>1310</v>
      </c>
      <c r="J301" s="113">
        <v>1310</v>
      </c>
      <c r="K301" s="113">
        <f>G301-J301</f>
        <v>0</v>
      </c>
    </row>
    <row r="302" spans="1:12" outlineLevel="2" collapsed="1">
      <c r="B302" s="114" t="s">
        <v>688</v>
      </c>
      <c r="F302" s="112"/>
      <c r="G302" s="113">
        <f>SUBTOTAL(9,G298:G301)</f>
        <v>6461.5744000000004</v>
      </c>
      <c r="J302" s="113">
        <f>SUBTOTAL(9,J298:J301)</f>
        <v>6357.5932000000003</v>
      </c>
      <c r="K302" s="113">
        <f>SUBTOTAL(9,K298:K301)</f>
        <v>103.98120000000017</v>
      </c>
    </row>
    <row r="303" spans="1:12" hidden="1" outlineLevel="3">
      <c r="A303" s="111" t="s">
        <v>394</v>
      </c>
      <c r="B303" s="111" t="s">
        <v>689</v>
      </c>
      <c r="C303" s="111" t="s">
        <v>403</v>
      </c>
      <c r="D303" s="111" t="s">
        <v>690</v>
      </c>
      <c r="E303" s="111" t="s">
        <v>691</v>
      </c>
      <c r="F303" s="112">
        <v>45731</v>
      </c>
      <c r="G303" s="113">
        <v>1966.5</v>
      </c>
      <c r="H303" s="113">
        <v>1966.5</v>
      </c>
      <c r="J303" s="113">
        <v>1966.5</v>
      </c>
      <c r="K303" s="113">
        <f t="shared" ref="K303:K308" si="2">G303-J303</f>
        <v>0</v>
      </c>
    </row>
    <row r="304" spans="1:12" hidden="1" outlineLevel="3">
      <c r="A304" s="111" t="s">
        <v>394</v>
      </c>
      <c r="B304" s="111" t="s">
        <v>689</v>
      </c>
      <c r="C304" s="111" t="s">
        <v>408</v>
      </c>
      <c r="D304" s="111" t="s">
        <v>692</v>
      </c>
      <c r="E304" s="111" t="s">
        <v>691</v>
      </c>
      <c r="F304" s="112">
        <v>45731</v>
      </c>
      <c r="G304" s="113">
        <v>4942</v>
      </c>
      <c r="H304" s="113">
        <v>4942</v>
      </c>
      <c r="J304" s="113">
        <v>4942</v>
      </c>
      <c r="K304" s="113">
        <f t="shared" si="2"/>
        <v>0</v>
      </c>
    </row>
    <row r="305" spans="1:12" hidden="1" outlineLevel="3">
      <c r="A305" s="111" t="s">
        <v>394</v>
      </c>
      <c r="B305" s="111" t="s">
        <v>689</v>
      </c>
      <c r="C305" s="111" t="s">
        <v>405</v>
      </c>
      <c r="D305" s="111" t="s">
        <v>693</v>
      </c>
      <c r="E305" s="111" t="s">
        <v>691</v>
      </c>
      <c r="F305" s="112">
        <v>45731</v>
      </c>
      <c r="G305" s="113">
        <v>50</v>
      </c>
      <c r="H305" s="113">
        <v>50</v>
      </c>
      <c r="J305" s="113">
        <v>50</v>
      </c>
      <c r="K305" s="113">
        <f t="shared" si="2"/>
        <v>0</v>
      </c>
    </row>
    <row r="306" spans="1:12" hidden="1" outlineLevel="3">
      <c r="A306" s="111" t="s">
        <v>394</v>
      </c>
      <c r="B306" s="111" t="s">
        <v>689</v>
      </c>
      <c r="C306" s="111" t="s">
        <v>405</v>
      </c>
      <c r="D306" s="111" t="s">
        <v>405</v>
      </c>
      <c r="E306" s="111" t="s">
        <v>691</v>
      </c>
      <c r="F306" s="112">
        <v>45731</v>
      </c>
      <c r="G306" s="113">
        <v>2224.56</v>
      </c>
      <c r="H306" s="113">
        <v>2224.56</v>
      </c>
      <c r="J306" s="113">
        <v>2224.56</v>
      </c>
      <c r="K306" s="113">
        <f t="shared" si="2"/>
        <v>0</v>
      </c>
    </row>
    <row r="307" spans="1:12" hidden="1" outlineLevel="3">
      <c r="A307" s="111" t="s">
        <v>394</v>
      </c>
      <c r="B307" s="111" t="s">
        <v>689</v>
      </c>
      <c r="C307" s="111" t="s">
        <v>396</v>
      </c>
      <c r="D307" s="111" t="s">
        <v>396</v>
      </c>
      <c r="E307" s="111" t="s">
        <v>691</v>
      </c>
      <c r="F307" s="112">
        <v>45731</v>
      </c>
      <c r="G307" s="113">
        <v>1014</v>
      </c>
      <c r="H307" s="113">
        <v>1014</v>
      </c>
      <c r="J307" s="113">
        <v>1014</v>
      </c>
      <c r="K307" s="113">
        <f t="shared" si="2"/>
        <v>0</v>
      </c>
    </row>
    <row r="308" spans="1:12" hidden="1" outlineLevel="3">
      <c r="A308" s="111" t="s">
        <v>394</v>
      </c>
      <c r="B308" s="111" t="s">
        <v>689</v>
      </c>
      <c r="C308" s="111" t="s">
        <v>400</v>
      </c>
      <c r="D308" s="111" t="s">
        <v>694</v>
      </c>
      <c r="E308" s="111" t="s">
        <v>691</v>
      </c>
      <c r="F308" s="112">
        <v>45731</v>
      </c>
      <c r="G308" s="113">
        <v>12149.4</v>
      </c>
      <c r="H308" s="113">
        <v>12149.4</v>
      </c>
      <c r="J308" s="113">
        <v>12149.4</v>
      </c>
      <c r="K308" s="113">
        <f t="shared" si="2"/>
        <v>0</v>
      </c>
    </row>
    <row r="309" spans="1:12" outlineLevel="2" collapsed="1">
      <c r="B309" s="114" t="s">
        <v>695</v>
      </c>
      <c r="F309" s="112"/>
      <c r="G309" s="113">
        <f>SUBTOTAL(9,G303:G308)</f>
        <v>22346.46</v>
      </c>
      <c r="J309" s="113">
        <f>SUBTOTAL(9,J303:J308)</f>
        <v>22346.46</v>
      </c>
      <c r="K309" s="113">
        <f>SUBTOTAL(9,K303:K308)</f>
        <v>0</v>
      </c>
    </row>
    <row r="310" spans="1:12" outlineLevel="3">
      <c r="A310" s="115" t="s">
        <v>394</v>
      </c>
      <c r="B310" s="115" t="s">
        <v>696</v>
      </c>
      <c r="C310" s="115" t="s">
        <v>408</v>
      </c>
      <c r="D310" s="115" t="s">
        <v>408</v>
      </c>
      <c r="E310" s="115" t="s">
        <v>697</v>
      </c>
      <c r="F310" s="116">
        <v>45717</v>
      </c>
      <c r="G310" s="117">
        <v>1462</v>
      </c>
      <c r="H310" s="117">
        <v>1462</v>
      </c>
      <c r="I310" s="117"/>
      <c r="J310" s="117">
        <v>0</v>
      </c>
      <c r="K310" s="117">
        <f>G310-J310</f>
        <v>1462</v>
      </c>
      <c r="L310" s="115" t="s">
        <v>567</v>
      </c>
    </row>
    <row r="311" spans="1:12" outlineLevel="3">
      <c r="A311" s="111" t="s">
        <v>394</v>
      </c>
      <c r="B311" s="111" t="s">
        <v>696</v>
      </c>
      <c r="C311" s="111" t="s">
        <v>405</v>
      </c>
      <c r="D311" s="111" t="s">
        <v>462</v>
      </c>
      <c r="E311" s="111" t="s">
        <v>697</v>
      </c>
      <c r="F311" s="112">
        <v>45717</v>
      </c>
      <c r="G311" s="113">
        <v>4089.3033999999998</v>
      </c>
      <c r="H311" s="113">
        <v>4089.3033999999998</v>
      </c>
      <c r="J311" s="113">
        <v>3687.6244999999999</v>
      </c>
      <c r="K311" s="113">
        <f>G311-J311</f>
        <v>401.67889999999989</v>
      </c>
    </row>
    <row r="312" spans="1:12" outlineLevel="3">
      <c r="A312" s="111" t="s">
        <v>394</v>
      </c>
      <c r="B312" s="111" t="s">
        <v>696</v>
      </c>
      <c r="C312" s="111" t="s">
        <v>396</v>
      </c>
      <c r="D312" s="111" t="s">
        <v>396</v>
      </c>
      <c r="E312" s="111" t="s">
        <v>697</v>
      </c>
      <c r="F312" s="112">
        <v>45717</v>
      </c>
      <c r="G312" s="113">
        <v>1996</v>
      </c>
      <c r="H312" s="113">
        <v>1996</v>
      </c>
      <c r="J312" s="113">
        <v>1936</v>
      </c>
      <c r="K312" s="113">
        <f>G312-J312</f>
        <v>60</v>
      </c>
    </row>
    <row r="313" spans="1:12" outlineLevel="3">
      <c r="A313" s="111" t="s">
        <v>394</v>
      </c>
      <c r="B313" s="111" t="s">
        <v>696</v>
      </c>
      <c r="C313" s="111" t="s">
        <v>400</v>
      </c>
      <c r="D313" s="111" t="s">
        <v>400</v>
      </c>
      <c r="E313" s="111" t="s">
        <v>697</v>
      </c>
      <c r="F313" s="112">
        <v>45717</v>
      </c>
      <c r="G313" s="113">
        <v>3483</v>
      </c>
      <c r="H313" s="113">
        <v>3483</v>
      </c>
      <c r="J313" s="113">
        <v>3490</v>
      </c>
      <c r="K313" s="113">
        <f>G313-J313</f>
        <v>-7</v>
      </c>
    </row>
    <row r="314" spans="1:12" outlineLevel="2">
      <c r="A314" s="115"/>
      <c r="B314" s="118" t="s">
        <v>698</v>
      </c>
      <c r="C314" s="115"/>
      <c r="D314" s="115"/>
      <c r="E314" s="115"/>
      <c r="F314" s="116"/>
      <c r="G314" s="117">
        <f>SUBTOTAL(9,G310:G313)</f>
        <v>11030.303400000001</v>
      </c>
      <c r="H314" s="117"/>
      <c r="I314" s="117"/>
      <c r="J314" s="117">
        <f>SUBTOTAL(9,J310:J313)</f>
        <v>9113.6244999999999</v>
      </c>
      <c r="K314" s="117">
        <f>SUBTOTAL(9,K310:K313)</f>
        <v>1916.6788999999999</v>
      </c>
      <c r="L314" s="115" t="s">
        <v>567</v>
      </c>
    </row>
    <row r="315" spans="1:12" hidden="1" outlineLevel="3">
      <c r="A315" s="111" t="s">
        <v>394</v>
      </c>
      <c r="B315" s="111" t="s">
        <v>699</v>
      </c>
      <c r="C315" s="111" t="s">
        <v>400</v>
      </c>
      <c r="D315" s="111" t="s">
        <v>700</v>
      </c>
      <c r="E315" s="111" t="s">
        <v>701</v>
      </c>
      <c r="F315" s="112">
        <v>45717</v>
      </c>
      <c r="G315" s="113">
        <v>420</v>
      </c>
      <c r="H315" s="113">
        <v>420</v>
      </c>
      <c r="J315" s="113">
        <v>420</v>
      </c>
      <c r="K315" s="113">
        <f>G315-J315</f>
        <v>0</v>
      </c>
    </row>
    <row r="316" spans="1:12" outlineLevel="2" collapsed="1">
      <c r="B316" s="114" t="s">
        <v>702</v>
      </c>
      <c r="F316" s="112"/>
      <c r="G316" s="113">
        <f>SUBTOTAL(9,G315:G315)</f>
        <v>420</v>
      </c>
      <c r="J316" s="113">
        <f>SUBTOTAL(9,J315:J315)</f>
        <v>420</v>
      </c>
      <c r="K316" s="113">
        <f>SUBTOTAL(9,K315:K315)</f>
        <v>0</v>
      </c>
    </row>
    <row r="317" spans="1:12" hidden="1" outlineLevel="3">
      <c r="A317" s="111" t="s">
        <v>394</v>
      </c>
      <c r="B317" s="111" t="s">
        <v>703</v>
      </c>
      <c r="C317" s="111" t="s">
        <v>408</v>
      </c>
      <c r="D317" s="111" t="s">
        <v>704</v>
      </c>
      <c r="E317" s="111" t="s">
        <v>705</v>
      </c>
      <c r="F317" s="112">
        <v>45717</v>
      </c>
      <c r="G317" s="113">
        <v>70.599999999999994</v>
      </c>
      <c r="H317" s="113">
        <v>70.599999999999994</v>
      </c>
      <c r="J317" s="113">
        <v>70.599999999999994</v>
      </c>
      <c r="K317" s="113">
        <f>G317-J317</f>
        <v>0</v>
      </c>
    </row>
    <row r="318" spans="1:12" hidden="1" outlineLevel="3">
      <c r="A318" s="111" t="s">
        <v>394</v>
      </c>
      <c r="B318" s="111" t="s">
        <v>703</v>
      </c>
      <c r="C318" s="111" t="s">
        <v>405</v>
      </c>
      <c r="D318" s="111" t="s">
        <v>405</v>
      </c>
      <c r="E318" s="111" t="s">
        <v>705</v>
      </c>
      <c r="F318" s="112">
        <v>45717</v>
      </c>
      <c r="G318" s="113">
        <v>1845</v>
      </c>
      <c r="H318" s="113">
        <v>1845</v>
      </c>
      <c r="J318" s="113">
        <v>1835</v>
      </c>
      <c r="K318" s="113">
        <f>G318-J318</f>
        <v>10</v>
      </c>
    </row>
    <row r="319" spans="1:12" hidden="1" outlineLevel="3">
      <c r="A319" s="111" t="s">
        <v>394</v>
      </c>
      <c r="B319" s="111" t="s">
        <v>703</v>
      </c>
      <c r="C319" s="111" t="s">
        <v>396</v>
      </c>
      <c r="D319" s="111" t="s">
        <v>396</v>
      </c>
      <c r="E319" s="111" t="s">
        <v>705</v>
      </c>
      <c r="F319" s="112">
        <v>45717</v>
      </c>
      <c r="G319" s="113">
        <v>2465</v>
      </c>
      <c r="H319" s="113">
        <v>2465</v>
      </c>
      <c r="J319" s="113">
        <v>2470</v>
      </c>
      <c r="K319" s="113">
        <f>G319-J319</f>
        <v>-5</v>
      </c>
    </row>
    <row r="320" spans="1:12" hidden="1" outlineLevel="3">
      <c r="A320" s="111" t="s">
        <v>394</v>
      </c>
      <c r="B320" s="111" t="s">
        <v>703</v>
      </c>
      <c r="C320" s="111" t="s">
        <v>400</v>
      </c>
      <c r="D320" s="111" t="s">
        <v>706</v>
      </c>
      <c r="E320" s="111" t="s">
        <v>705</v>
      </c>
      <c r="F320" s="112">
        <v>45717</v>
      </c>
      <c r="G320" s="113">
        <v>4150</v>
      </c>
      <c r="H320" s="113">
        <v>4150</v>
      </c>
      <c r="J320" s="113">
        <v>4150</v>
      </c>
      <c r="K320" s="113">
        <f>G320-J320</f>
        <v>0</v>
      </c>
    </row>
    <row r="321" spans="1:12" outlineLevel="2" collapsed="1">
      <c r="B321" s="114" t="s">
        <v>707</v>
      </c>
      <c r="F321" s="112"/>
      <c r="G321" s="113">
        <f>SUBTOTAL(9,G317:G320)</f>
        <v>8530.6</v>
      </c>
      <c r="J321" s="113">
        <f>SUBTOTAL(9,J317:J320)</f>
        <v>8525.6</v>
      </c>
      <c r="K321" s="113">
        <f>SUBTOTAL(9,K317:K320)</f>
        <v>5</v>
      </c>
    </row>
    <row r="322" spans="1:12" outlineLevel="3">
      <c r="A322" s="115" t="s">
        <v>394</v>
      </c>
      <c r="B322" s="115" t="s">
        <v>708</v>
      </c>
      <c r="C322" s="115" t="s">
        <v>408</v>
      </c>
      <c r="D322" s="115" t="s">
        <v>408</v>
      </c>
      <c r="E322" s="115" t="s">
        <v>709</v>
      </c>
      <c r="F322" s="116">
        <v>45717</v>
      </c>
      <c r="G322" s="117">
        <v>668.8</v>
      </c>
      <c r="H322" s="117">
        <v>668.8</v>
      </c>
      <c r="I322" s="117"/>
      <c r="J322" s="117">
        <v>0</v>
      </c>
      <c r="K322" s="117">
        <f>G322-J322</f>
        <v>668.8</v>
      </c>
      <c r="L322" s="115" t="s">
        <v>432</v>
      </c>
    </row>
    <row r="323" spans="1:12" outlineLevel="3">
      <c r="A323" s="115" t="s">
        <v>394</v>
      </c>
      <c r="B323" s="115" t="s">
        <v>708</v>
      </c>
      <c r="C323" s="115" t="s">
        <v>396</v>
      </c>
      <c r="D323" s="115" t="s">
        <v>396</v>
      </c>
      <c r="E323" s="115" t="s">
        <v>710</v>
      </c>
      <c r="F323" s="116">
        <v>45717</v>
      </c>
      <c r="G323" s="117">
        <v>393</v>
      </c>
      <c r="H323" s="117">
        <v>393</v>
      </c>
      <c r="I323" s="117"/>
      <c r="J323" s="117">
        <v>0</v>
      </c>
      <c r="K323" s="117">
        <f>G323-J323</f>
        <v>393</v>
      </c>
      <c r="L323" s="115" t="s">
        <v>432</v>
      </c>
    </row>
    <row r="324" spans="1:12" outlineLevel="3">
      <c r="A324" s="115" t="s">
        <v>394</v>
      </c>
      <c r="B324" s="115" t="s">
        <v>708</v>
      </c>
      <c r="C324" s="115" t="s">
        <v>400</v>
      </c>
      <c r="D324" s="115" t="s">
        <v>400</v>
      </c>
      <c r="E324" s="115" t="s">
        <v>710</v>
      </c>
      <c r="F324" s="116">
        <v>45717</v>
      </c>
      <c r="G324" s="117">
        <v>1885</v>
      </c>
      <c r="H324" s="117">
        <v>1885</v>
      </c>
      <c r="I324" s="117"/>
      <c r="J324" s="117">
        <v>0</v>
      </c>
      <c r="K324" s="117">
        <f>G324-J324</f>
        <v>1885</v>
      </c>
      <c r="L324" s="115" t="s">
        <v>432</v>
      </c>
    </row>
    <row r="325" spans="1:12" outlineLevel="2">
      <c r="A325" s="115"/>
      <c r="B325" s="118" t="s">
        <v>711</v>
      </c>
      <c r="C325" s="115"/>
      <c r="D325" s="115"/>
      <c r="E325" s="115"/>
      <c r="F325" s="116"/>
      <c r="G325" s="117">
        <f>SUBTOTAL(9,G322:G324)</f>
        <v>2946.8</v>
      </c>
      <c r="H325" s="117"/>
      <c r="I325" s="117"/>
      <c r="J325" s="117">
        <f>SUBTOTAL(9,J322:J324)</f>
        <v>0</v>
      </c>
      <c r="K325" s="117">
        <f>SUBTOTAL(9,K322:K324)</f>
        <v>2946.8</v>
      </c>
      <c r="L325" s="115" t="s">
        <v>432</v>
      </c>
    </row>
    <row r="326" spans="1:12" hidden="1" outlineLevel="3">
      <c r="A326" s="111" t="s">
        <v>394</v>
      </c>
      <c r="B326" s="111" t="s">
        <v>712</v>
      </c>
      <c r="C326" s="111" t="s">
        <v>400</v>
      </c>
      <c r="D326" s="111" t="s">
        <v>713</v>
      </c>
      <c r="E326" s="111" t="s">
        <v>714</v>
      </c>
      <c r="F326" s="112">
        <v>45717</v>
      </c>
      <c r="G326" s="113">
        <v>1340.39</v>
      </c>
      <c r="H326" s="113">
        <v>1340.39</v>
      </c>
      <c r="J326" s="113">
        <v>1340.39</v>
      </c>
      <c r="K326" s="113">
        <f>G326-J326</f>
        <v>0</v>
      </c>
    </row>
    <row r="327" spans="1:12" outlineLevel="2" collapsed="1">
      <c r="B327" s="114" t="s">
        <v>715</v>
      </c>
      <c r="F327" s="112"/>
      <c r="G327" s="113">
        <f>SUBTOTAL(9,G326:G326)</f>
        <v>1340.39</v>
      </c>
      <c r="J327" s="113">
        <f>SUBTOTAL(9,J326:J326)</f>
        <v>1340.39</v>
      </c>
      <c r="K327" s="113">
        <f>SUBTOTAL(9,K326:K326)</f>
        <v>0</v>
      </c>
    </row>
    <row r="328" spans="1:12" hidden="1" outlineLevel="3">
      <c r="A328" s="111" t="s">
        <v>394</v>
      </c>
      <c r="B328" s="111" t="s">
        <v>716</v>
      </c>
      <c r="C328" s="111" t="s">
        <v>400</v>
      </c>
      <c r="D328" s="111" t="s">
        <v>717</v>
      </c>
      <c r="E328" s="111" t="s">
        <v>718</v>
      </c>
      <c r="F328" s="112">
        <v>45717</v>
      </c>
      <c r="G328" s="113">
        <v>1497.89</v>
      </c>
      <c r="H328" s="113">
        <v>1497.89</v>
      </c>
      <c r="J328" s="113">
        <v>1497.89</v>
      </c>
      <c r="K328" s="113">
        <f>G328-J328</f>
        <v>0</v>
      </c>
    </row>
    <row r="329" spans="1:12" outlineLevel="2" collapsed="1">
      <c r="B329" s="114" t="s">
        <v>719</v>
      </c>
      <c r="F329" s="112"/>
      <c r="G329" s="113">
        <f>SUBTOTAL(9,G328:G328)</f>
        <v>1497.89</v>
      </c>
      <c r="J329" s="113">
        <f>SUBTOTAL(9,J328:J328)</f>
        <v>1497.89</v>
      </c>
      <c r="K329" s="113">
        <f>SUBTOTAL(9,K328:K328)</f>
        <v>0</v>
      </c>
    </row>
    <row r="330" spans="1:12" hidden="1" outlineLevel="3">
      <c r="A330" s="111" t="s">
        <v>394</v>
      </c>
      <c r="B330" s="111" t="s">
        <v>720</v>
      </c>
      <c r="C330" s="111" t="s">
        <v>408</v>
      </c>
      <c r="D330" s="111" t="s">
        <v>524</v>
      </c>
      <c r="E330" s="111" t="s">
        <v>721</v>
      </c>
      <c r="F330" s="112">
        <v>45717</v>
      </c>
      <c r="G330" s="113">
        <v>330.72</v>
      </c>
      <c r="H330" s="113">
        <v>330.72</v>
      </c>
      <c r="J330" s="113">
        <v>330.72</v>
      </c>
      <c r="K330" s="113">
        <f>G330-J330</f>
        <v>0</v>
      </c>
    </row>
    <row r="331" spans="1:12" hidden="1" outlineLevel="3">
      <c r="A331" s="111" t="s">
        <v>394</v>
      </c>
      <c r="B331" s="111" t="s">
        <v>720</v>
      </c>
      <c r="C331" s="111" t="s">
        <v>405</v>
      </c>
      <c r="D331" s="111" t="s">
        <v>405</v>
      </c>
      <c r="E331" s="111" t="s">
        <v>721</v>
      </c>
      <c r="F331" s="112">
        <v>45717</v>
      </c>
      <c r="G331" s="113">
        <v>645.55640000000005</v>
      </c>
      <c r="H331" s="113">
        <v>645.55640000000005</v>
      </c>
      <c r="J331" s="113">
        <v>672.61440000000005</v>
      </c>
      <c r="K331" s="113">
        <f>G331-J331</f>
        <v>-27.057999999999993</v>
      </c>
    </row>
    <row r="332" spans="1:12" hidden="1" outlineLevel="3">
      <c r="A332" s="111" t="s">
        <v>394</v>
      </c>
      <c r="B332" s="111" t="s">
        <v>720</v>
      </c>
      <c r="C332" s="111" t="s">
        <v>396</v>
      </c>
      <c r="D332" s="111" t="s">
        <v>396</v>
      </c>
      <c r="E332" s="111" t="s">
        <v>721</v>
      </c>
      <c r="F332" s="112">
        <v>45717</v>
      </c>
      <c r="G332" s="113">
        <v>1278.9000000000001</v>
      </c>
      <c r="H332" s="113">
        <v>1278.9000000000001</v>
      </c>
      <c r="J332" s="113">
        <v>1278.9000000000001</v>
      </c>
      <c r="K332" s="113">
        <f>G332-J332</f>
        <v>0</v>
      </c>
    </row>
    <row r="333" spans="1:12" hidden="1" outlineLevel="3">
      <c r="A333" s="111" t="s">
        <v>394</v>
      </c>
      <c r="B333" s="111" t="s">
        <v>720</v>
      </c>
      <c r="C333" s="111" t="s">
        <v>400</v>
      </c>
      <c r="D333" s="111" t="s">
        <v>722</v>
      </c>
      <c r="E333" s="111" t="s">
        <v>721</v>
      </c>
      <c r="F333" s="112">
        <v>45717</v>
      </c>
      <c r="G333" s="113">
        <v>1340.3936000000001</v>
      </c>
      <c r="H333" s="113">
        <v>1340.3936000000001</v>
      </c>
      <c r="J333" s="113">
        <v>1340.39</v>
      </c>
      <c r="K333" s="113">
        <f>G333-J333</f>
        <v>3.6000000000058208E-3</v>
      </c>
    </row>
    <row r="334" spans="1:12" outlineLevel="2" collapsed="1">
      <c r="B334" s="114" t="s">
        <v>723</v>
      </c>
      <c r="F334" s="112"/>
      <c r="G334" s="113">
        <f>SUBTOTAL(9,G330:G333)</f>
        <v>3595.5700000000006</v>
      </c>
      <c r="J334" s="113">
        <f>SUBTOTAL(9,J330:J333)</f>
        <v>3622.6244000000006</v>
      </c>
      <c r="K334" s="113">
        <f>SUBTOTAL(9,K330:K333)</f>
        <v>-27.054399999999987</v>
      </c>
    </row>
    <row r="335" spans="1:12" hidden="1" outlineLevel="3">
      <c r="A335" s="111" t="s">
        <v>394</v>
      </c>
      <c r="B335" s="111" t="s">
        <v>724</v>
      </c>
      <c r="C335" s="111" t="s">
        <v>400</v>
      </c>
      <c r="D335" s="111" t="s">
        <v>725</v>
      </c>
      <c r="E335" s="111" t="s">
        <v>726</v>
      </c>
      <c r="F335" s="112">
        <v>45717</v>
      </c>
      <c r="G335" s="113">
        <v>1340.39</v>
      </c>
      <c r="H335" s="113">
        <v>1340.39</v>
      </c>
      <c r="J335" s="113">
        <v>1340.39</v>
      </c>
      <c r="K335" s="113">
        <f>G335-J335</f>
        <v>0</v>
      </c>
    </row>
    <row r="336" spans="1:12" outlineLevel="2" collapsed="1">
      <c r="B336" s="114" t="s">
        <v>727</v>
      </c>
      <c r="F336" s="112"/>
      <c r="G336" s="113">
        <f>SUBTOTAL(9,G335:G335)</f>
        <v>1340.39</v>
      </c>
      <c r="J336" s="113">
        <f>SUBTOTAL(9,J335:J335)</f>
        <v>1340.39</v>
      </c>
      <c r="K336" s="113">
        <f>SUBTOTAL(9,K335:K335)</f>
        <v>0</v>
      </c>
    </row>
    <row r="337" spans="1:11" hidden="1" outlineLevel="3">
      <c r="A337" s="111" t="s">
        <v>394</v>
      </c>
      <c r="B337" s="111" t="s">
        <v>728</v>
      </c>
      <c r="F337" s="112">
        <v>45731</v>
      </c>
      <c r="H337" s="113">
        <v>0</v>
      </c>
      <c r="J337" s="113">
        <v>145.13</v>
      </c>
      <c r="K337" s="113">
        <f>G337-J337</f>
        <v>-145.13</v>
      </c>
    </row>
    <row r="338" spans="1:11" outlineLevel="2" collapsed="1">
      <c r="B338" s="114" t="s">
        <v>729</v>
      </c>
      <c r="F338" s="112"/>
      <c r="G338" s="113">
        <f>SUBTOTAL(9,G337:G337)</f>
        <v>0</v>
      </c>
      <c r="J338" s="113">
        <f>SUBTOTAL(9,J337:J337)</f>
        <v>145.13</v>
      </c>
      <c r="K338" s="113">
        <f>SUBTOTAL(9,K337:K337)</f>
        <v>-145.13</v>
      </c>
    </row>
    <row r="339" spans="1:11" hidden="1" outlineLevel="3">
      <c r="A339" s="111" t="s">
        <v>394</v>
      </c>
      <c r="B339" s="111" t="s">
        <v>730</v>
      </c>
      <c r="C339" s="111" t="s">
        <v>408</v>
      </c>
      <c r="D339" s="111" t="s">
        <v>731</v>
      </c>
      <c r="E339" s="111" t="s">
        <v>732</v>
      </c>
      <c r="F339" s="112">
        <v>45717</v>
      </c>
      <c r="G339" s="113">
        <v>3191.2</v>
      </c>
      <c r="H339" s="113">
        <v>3191.2</v>
      </c>
      <c r="J339" s="113">
        <v>3191.2</v>
      </c>
      <c r="K339" s="113">
        <f>G339-J339</f>
        <v>0</v>
      </c>
    </row>
    <row r="340" spans="1:11" hidden="1" outlineLevel="3">
      <c r="A340" s="111" t="s">
        <v>394</v>
      </c>
      <c r="B340" s="111" t="s">
        <v>730</v>
      </c>
      <c r="C340" s="111" t="s">
        <v>405</v>
      </c>
      <c r="D340" s="111" t="s">
        <v>405</v>
      </c>
      <c r="E340" s="111" t="s">
        <v>732</v>
      </c>
      <c r="F340" s="112">
        <v>45717</v>
      </c>
      <c r="G340" s="113">
        <v>809.27760000000001</v>
      </c>
      <c r="H340" s="113">
        <v>809.27760000000001</v>
      </c>
      <c r="J340" s="113">
        <v>807.95399999999995</v>
      </c>
      <c r="K340" s="113">
        <f>G340-J340</f>
        <v>1.3236000000000558</v>
      </c>
    </row>
    <row r="341" spans="1:11" hidden="1" outlineLevel="3">
      <c r="A341" s="111" t="s">
        <v>394</v>
      </c>
      <c r="B341" s="111" t="s">
        <v>730</v>
      </c>
      <c r="C341" s="111" t="s">
        <v>396</v>
      </c>
      <c r="D341" s="111" t="s">
        <v>396</v>
      </c>
      <c r="E341" s="111" t="s">
        <v>732</v>
      </c>
      <c r="F341" s="112">
        <v>45717</v>
      </c>
      <c r="G341" s="113">
        <v>591.41</v>
      </c>
      <c r="H341" s="113">
        <v>591.41</v>
      </c>
      <c r="J341" s="113">
        <v>591.41</v>
      </c>
      <c r="K341" s="113">
        <f>G341-J341</f>
        <v>0</v>
      </c>
    </row>
    <row r="342" spans="1:11" hidden="1" outlineLevel="3">
      <c r="A342" s="111" t="s">
        <v>394</v>
      </c>
      <c r="B342" s="111" t="s">
        <v>730</v>
      </c>
      <c r="C342" s="111" t="s">
        <v>400</v>
      </c>
      <c r="D342" s="111" t="s">
        <v>733</v>
      </c>
      <c r="E342" s="111" t="s">
        <v>732</v>
      </c>
      <c r="F342" s="112">
        <v>45717</v>
      </c>
      <c r="G342" s="113">
        <v>2792.0924</v>
      </c>
      <c r="H342" s="113">
        <v>2792.0924</v>
      </c>
      <c r="J342" s="113">
        <v>2792.09</v>
      </c>
      <c r="K342" s="113">
        <f>G342-J342</f>
        <v>2.3999999998522981E-3</v>
      </c>
    </row>
    <row r="343" spans="1:11" outlineLevel="2" collapsed="1">
      <c r="B343" s="114" t="s">
        <v>734</v>
      </c>
      <c r="F343" s="112"/>
      <c r="G343" s="113">
        <f>SUBTOTAL(9,G339:G342)</f>
        <v>7383.98</v>
      </c>
      <c r="J343" s="113">
        <f>SUBTOTAL(9,J339:J342)</f>
        <v>7382.6539999999995</v>
      </c>
      <c r="K343" s="113">
        <f>SUBTOTAL(9,K339:K342)</f>
        <v>1.3259999999999081</v>
      </c>
    </row>
    <row r="344" spans="1:11" hidden="1" outlineLevel="3">
      <c r="A344" s="111" t="s">
        <v>394</v>
      </c>
      <c r="B344" s="111" t="s">
        <v>735</v>
      </c>
      <c r="C344" s="111" t="s">
        <v>403</v>
      </c>
      <c r="D344" s="111" t="s">
        <v>403</v>
      </c>
      <c r="E344" s="111" t="s">
        <v>736</v>
      </c>
      <c r="F344" s="112">
        <v>45717</v>
      </c>
      <c r="G344" s="113">
        <v>700</v>
      </c>
      <c r="H344" s="113">
        <v>700</v>
      </c>
      <c r="J344" s="113">
        <v>700</v>
      </c>
      <c r="K344" s="113">
        <f>G344-J344</f>
        <v>0</v>
      </c>
    </row>
    <row r="345" spans="1:11" hidden="1" outlineLevel="3">
      <c r="A345" s="111" t="s">
        <v>394</v>
      </c>
      <c r="B345" s="111" t="s">
        <v>735</v>
      </c>
      <c r="C345" s="111" t="s">
        <v>408</v>
      </c>
      <c r="D345" s="111" t="s">
        <v>737</v>
      </c>
      <c r="E345" s="111" t="s">
        <v>736</v>
      </c>
      <c r="F345" s="112">
        <v>45717</v>
      </c>
      <c r="G345" s="113">
        <v>191</v>
      </c>
      <c r="H345" s="113">
        <v>191</v>
      </c>
      <c r="J345" s="113">
        <v>191</v>
      </c>
      <c r="K345" s="113">
        <f>G345-J345</f>
        <v>0</v>
      </c>
    </row>
    <row r="346" spans="1:11" hidden="1" outlineLevel="3">
      <c r="A346" s="111" t="s">
        <v>394</v>
      </c>
      <c r="B346" s="111" t="s">
        <v>735</v>
      </c>
      <c r="C346" s="111" t="s">
        <v>405</v>
      </c>
      <c r="D346" s="111" t="s">
        <v>405</v>
      </c>
      <c r="E346" s="111" t="s">
        <v>736</v>
      </c>
      <c r="F346" s="112">
        <v>45717</v>
      </c>
      <c r="G346" s="113">
        <v>10</v>
      </c>
      <c r="H346" s="113">
        <v>10</v>
      </c>
      <c r="J346" s="113">
        <v>10</v>
      </c>
      <c r="K346" s="113">
        <f>G346-J346</f>
        <v>0</v>
      </c>
    </row>
    <row r="347" spans="1:11" hidden="1" outlineLevel="3">
      <c r="A347" s="111" t="s">
        <v>394</v>
      </c>
      <c r="B347" s="111" t="s">
        <v>735</v>
      </c>
      <c r="C347" s="111" t="s">
        <v>396</v>
      </c>
      <c r="D347" s="111" t="s">
        <v>396</v>
      </c>
      <c r="E347" s="111" t="s">
        <v>736</v>
      </c>
      <c r="F347" s="112">
        <v>45717</v>
      </c>
      <c r="G347" s="113">
        <v>292</v>
      </c>
      <c r="H347" s="113">
        <v>292</v>
      </c>
      <c r="J347" s="113">
        <v>292</v>
      </c>
      <c r="K347" s="113">
        <f>G347-J347</f>
        <v>0</v>
      </c>
    </row>
    <row r="348" spans="1:11" hidden="1" outlineLevel="3">
      <c r="A348" s="111" t="s">
        <v>394</v>
      </c>
      <c r="B348" s="111" t="s">
        <v>735</v>
      </c>
      <c r="C348" s="111" t="s">
        <v>400</v>
      </c>
      <c r="D348" s="111" t="s">
        <v>400</v>
      </c>
      <c r="E348" s="111" t="s">
        <v>736</v>
      </c>
      <c r="F348" s="112">
        <v>45717</v>
      </c>
      <c r="G348" s="113">
        <v>2249.38</v>
      </c>
      <c r="H348" s="113">
        <v>2249.38</v>
      </c>
      <c r="J348" s="113">
        <v>2249.38</v>
      </c>
      <c r="K348" s="113">
        <f>G348-J348</f>
        <v>0</v>
      </c>
    </row>
    <row r="349" spans="1:11" outlineLevel="2" collapsed="1">
      <c r="B349" s="114" t="s">
        <v>738</v>
      </c>
      <c r="F349" s="112"/>
      <c r="G349" s="113">
        <f>SUBTOTAL(9,G344:G348)</f>
        <v>3442.38</v>
      </c>
      <c r="J349" s="113">
        <f>SUBTOTAL(9,J344:J348)</f>
        <v>3442.38</v>
      </c>
      <c r="K349" s="113">
        <f>SUBTOTAL(9,K344:K348)</f>
        <v>0</v>
      </c>
    </row>
    <row r="350" spans="1:11" hidden="1" outlineLevel="3">
      <c r="A350" s="111" t="s">
        <v>394</v>
      </c>
      <c r="B350" s="111" t="s">
        <v>739</v>
      </c>
      <c r="C350" s="111" t="s">
        <v>403</v>
      </c>
      <c r="D350" s="111" t="s">
        <v>403</v>
      </c>
      <c r="E350" s="111" t="s">
        <v>740</v>
      </c>
      <c r="F350" s="112">
        <v>45731</v>
      </c>
      <c r="G350" s="113">
        <v>350</v>
      </c>
      <c r="H350" s="113">
        <v>350</v>
      </c>
      <c r="J350" s="113">
        <v>350</v>
      </c>
      <c r="K350" s="113">
        <f>G350-J350</f>
        <v>0</v>
      </c>
    </row>
    <row r="351" spans="1:11" hidden="1" outlineLevel="3">
      <c r="A351" s="111" t="s">
        <v>394</v>
      </c>
      <c r="B351" s="111" t="s">
        <v>739</v>
      </c>
      <c r="C351" s="111" t="s">
        <v>405</v>
      </c>
      <c r="D351" s="111" t="s">
        <v>405</v>
      </c>
      <c r="E351" s="111" t="s">
        <v>740</v>
      </c>
      <c r="F351" s="112">
        <v>45731</v>
      </c>
      <c r="G351" s="113">
        <v>738.25</v>
      </c>
      <c r="H351" s="113">
        <v>738.25</v>
      </c>
      <c r="J351" s="113">
        <v>738.25</v>
      </c>
      <c r="K351" s="113">
        <f>G351-J351</f>
        <v>0</v>
      </c>
    </row>
    <row r="352" spans="1:11" hidden="1" outlineLevel="3">
      <c r="A352" s="111" t="s">
        <v>394</v>
      </c>
      <c r="B352" s="111" t="s">
        <v>739</v>
      </c>
      <c r="C352" s="111" t="s">
        <v>396</v>
      </c>
      <c r="D352" s="111" t="s">
        <v>396</v>
      </c>
      <c r="E352" s="111" t="s">
        <v>740</v>
      </c>
      <c r="F352" s="112">
        <v>45731</v>
      </c>
      <c r="G352" s="113">
        <v>359.1</v>
      </c>
      <c r="H352" s="113">
        <v>359.1</v>
      </c>
      <c r="J352" s="113">
        <v>359.1</v>
      </c>
      <c r="K352" s="113">
        <f>G352-J352</f>
        <v>0</v>
      </c>
    </row>
    <row r="353" spans="1:11" outlineLevel="2" collapsed="1">
      <c r="B353" s="114" t="s">
        <v>741</v>
      </c>
      <c r="F353" s="112"/>
      <c r="G353" s="113">
        <f>SUBTOTAL(9,G350:G352)</f>
        <v>1447.35</v>
      </c>
      <c r="J353" s="113">
        <f>SUBTOTAL(9,J350:J352)</f>
        <v>1447.35</v>
      </c>
      <c r="K353" s="113">
        <f>SUBTOTAL(9,K350:K352)</f>
        <v>0</v>
      </c>
    </row>
    <row r="354" spans="1:11" hidden="1" outlineLevel="3">
      <c r="A354" s="111" t="s">
        <v>394</v>
      </c>
      <c r="B354" s="111" t="s">
        <v>742</v>
      </c>
      <c r="C354" s="111" t="s">
        <v>408</v>
      </c>
      <c r="D354" s="111" t="s">
        <v>743</v>
      </c>
      <c r="E354" s="111" t="s">
        <v>744</v>
      </c>
      <c r="F354" s="112">
        <v>45717</v>
      </c>
      <c r="G354" s="113">
        <v>388.8</v>
      </c>
      <c r="H354" s="113">
        <v>388.8</v>
      </c>
      <c r="J354" s="113">
        <v>379.2</v>
      </c>
      <c r="K354" s="113">
        <f>G354-J354</f>
        <v>9.6000000000000227</v>
      </c>
    </row>
    <row r="355" spans="1:11" hidden="1" outlineLevel="3">
      <c r="A355" s="111" t="s">
        <v>394</v>
      </c>
      <c r="B355" s="111" t="s">
        <v>742</v>
      </c>
      <c r="C355" s="111" t="s">
        <v>405</v>
      </c>
      <c r="D355" s="111" t="s">
        <v>405</v>
      </c>
      <c r="E355" s="111" t="s">
        <v>745</v>
      </c>
      <c r="F355" s="112">
        <v>45717</v>
      </c>
      <c r="G355" s="113">
        <v>209.4974</v>
      </c>
      <c r="H355" s="113">
        <v>209.4974</v>
      </c>
      <c r="J355" s="113">
        <v>207.97880000000001</v>
      </c>
      <c r="K355" s="113">
        <f>G355-J355</f>
        <v>1.5185999999999922</v>
      </c>
    </row>
    <row r="356" spans="1:11" hidden="1" outlineLevel="3">
      <c r="A356" s="111" t="s">
        <v>394</v>
      </c>
      <c r="B356" s="111" t="s">
        <v>742</v>
      </c>
      <c r="C356" s="111" t="s">
        <v>396</v>
      </c>
      <c r="D356" s="111" t="s">
        <v>396</v>
      </c>
      <c r="E356" s="111" t="s">
        <v>745</v>
      </c>
      <c r="F356" s="112">
        <v>45717</v>
      </c>
      <c r="G356" s="113">
        <v>407</v>
      </c>
      <c r="H356" s="113">
        <v>407</v>
      </c>
      <c r="J356" s="113">
        <v>395</v>
      </c>
      <c r="K356" s="113">
        <f>G356-J356</f>
        <v>12</v>
      </c>
    </row>
    <row r="357" spans="1:11" hidden="1" outlineLevel="3">
      <c r="A357" s="111" t="s">
        <v>394</v>
      </c>
      <c r="B357" s="111" t="s">
        <v>742</v>
      </c>
      <c r="C357" s="111" t="s">
        <v>400</v>
      </c>
      <c r="D357" s="111" t="s">
        <v>400</v>
      </c>
      <c r="E357" s="111" t="s">
        <v>745</v>
      </c>
      <c r="F357" s="112">
        <v>45717</v>
      </c>
      <c r="G357" s="113">
        <v>2885.0025999999998</v>
      </c>
      <c r="H357" s="113">
        <v>2885.0025999999998</v>
      </c>
      <c r="J357" s="113">
        <v>2878.0012000000002</v>
      </c>
      <c r="K357" s="113">
        <f>G357-J357</f>
        <v>7.0013999999996486</v>
      </c>
    </row>
    <row r="358" spans="1:11" outlineLevel="2" collapsed="1">
      <c r="B358" s="114" t="s">
        <v>746</v>
      </c>
      <c r="F358" s="112"/>
      <c r="G358" s="113">
        <f>SUBTOTAL(9,G354:G357)</f>
        <v>3890.2999999999997</v>
      </c>
      <c r="J358" s="113">
        <f>SUBTOTAL(9,J354:J357)</f>
        <v>3860.1800000000003</v>
      </c>
      <c r="K358" s="113">
        <f>SUBTOTAL(9,K354:K357)</f>
        <v>30.119999999999663</v>
      </c>
    </row>
    <row r="359" spans="1:11" hidden="1" outlineLevel="3">
      <c r="A359" s="111" t="s">
        <v>394</v>
      </c>
      <c r="B359" s="111" t="s">
        <v>747</v>
      </c>
      <c r="C359" s="111" t="s">
        <v>405</v>
      </c>
      <c r="D359" s="111" t="s">
        <v>405</v>
      </c>
      <c r="E359" s="111" t="s">
        <v>748</v>
      </c>
      <c r="F359" s="112">
        <v>45717</v>
      </c>
      <c r="G359" s="113">
        <v>1185</v>
      </c>
      <c r="H359" s="113">
        <v>1185</v>
      </c>
      <c r="J359" s="113">
        <v>1185</v>
      </c>
      <c r="K359" s="113">
        <f>G359-J359</f>
        <v>0</v>
      </c>
    </row>
    <row r="360" spans="1:11" hidden="1" outlineLevel="3">
      <c r="A360" s="111" t="s">
        <v>394</v>
      </c>
      <c r="B360" s="111" t="s">
        <v>747</v>
      </c>
      <c r="C360" s="111" t="s">
        <v>400</v>
      </c>
      <c r="D360" s="111" t="s">
        <v>749</v>
      </c>
      <c r="E360" s="111" t="s">
        <v>750</v>
      </c>
      <c r="F360" s="112">
        <v>45717</v>
      </c>
      <c r="G360" s="113">
        <v>12812</v>
      </c>
      <c r="H360" s="113">
        <v>12812</v>
      </c>
      <c r="J360" s="113">
        <v>12812</v>
      </c>
      <c r="K360" s="113">
        <f>G360-J360</f>
        <v>0</v>
      </c>
    </row>
    <row r="361" spans="1:11" outlineLevel="2" collapsed="1">
      <c r="B361" s="114" t="s">
        <v>751</v>
      </c>
      <c r="F361" s="112"/>
      <c r="G361" s="113">
        <f>SUBTOTAL(9,G359:G360)</f>
        <v>13997</v>
      </c>
      <c r="J361" s="113">
        <f>SUBTOTAL(9,J359:J360)</f>
        <v>13997</v>
      </c>
      <c r="K361" s="113">
        <f>SUBTOTAL(9,K359:K360)</f>
        <v>0</v>
      </c>
    </row>
    <row r="362" spans="1:11" hidden="1" outlineLevel="3">
      <c r="A362" s="111" t="s">
        <v>394</v>
      </c>
      <c r="B362" s="111" t="s">
        <v>752</v>
      </c>
      <c r="C362" s="111" t="s">
        <v>403</v>
      </c>
      <c r="D362" s="111" t="s">
        <v>753</v>
      </c>
      <c r="E362" s="111" t="s">
        <v>754</v>
      </c>
      <c r="F362" s="112">
        <v>45731</v>
      </c>
      <c r="G362" s="113">
        <v>177.125</v>
      </c>
      <c r="H362" s="113">
        <v>177.125</v>
      </c>
      <c r="J362" s="113">
        <v>177.125</v>
      </c>
      <c r="K362" s="113">
        <f>G362-J362</f>
        <v>0</v>
      </c>
    </row>
    <row r="363" spans="1:11" hidden="1" outlineLevel="3">
      <c r="A363" s="111" t="s">
        <v>394</v>
      </c>
      <c r="B363" s="111" t="s">
        <v>752</v>
      </c>
      <c r="C363" s="111" t="s">
        <v>408</v>
      </c>
      <c r="D363" s="111" t="s">
        <v>755</v>
      </c>
      <c r="E363" s="111" t="s">
        <v>754</v>
      </c>
      <c r="F363" s="112">
        <v>45731</v>
      </c>
      <c r="G363" s="113">
        <v>3322</v>
      </c>
      <c r="H363" s="113">
        <v>3322</v>
      </c>
      <c r="J363" s="113">
        <v>3322</v>
      </c>
      <c r="K363" s="113">
        <f>G363-J363</f>
        <v>0</v>
      </c>
    </row>
    <row r="364" spans="1:11" hidden="1" outlineLevel="3">
      <c r="A364" s="111" t="s">
        <v>394</v>
      </c>
      <c r="B364" s="111" t="s">
        <v>752</v>
      </c>
      <c r="C364" s="111" t="s">
        <v>405</v>
      </c>
      <c r="D364" s="111" t="s">
        <v>405</v>
      </c>
      <c r="E364" s="111" t="s">
        <v>754</v>
      </c>
      <c r="F364" s="112">
        <v>45731</v>
      </c>
      <c r="G364" s="113">
        <v>771</v>
      </c>
      <c r="H364" s="113">
        <v>771</v>
      </c>
      <c r="J364" s="113">
        <v>771</v>
      </c>
      <c r="K364" s="113">
        <f>G364-J364</f>
        <v>0</v>
      </c>
    </row>
    <row r="365" spans="1:11" hidden="1" outlineLevel="3">
      <c r="A365" s="111" t="s">
        <v>394</v>
      </c>
      <c r="B365" s="111" t="s">
        <v>752</v>
      </c>
      <c r="C365" s="111" t="s">
        <v>396</v>
      </c>
      <c r="D365" s="111" t="s">
        <v>396</v>
      </c>
      <c r="E365" s="111" t="s">
        <v>754</v>
      </c>
      <c r="F365" s="112">
        <v>45731</v>
      </c>
      <c r="G365" s="113">
        <v>624</v>
      </c>
      <c r="H365" s="113">
        <v>624</v>
      </c>
      <c r="J365" s="113">
        <v>624</v>
      </c>
      <c r="K365" s="113">
        <f>G365-J365</f>
        <v>0</v>
      </c>
    </row>
    <row r="366" spans="1:11" hidden="1" outlineLevel="3">
      <c r="A366" s="111" t="s">
        <v>394</v>
      </c>
      <c r="B366" s="111" t="s">
        <v>752</v>
      </c>
      <c r="C366" s="111" t="s">
        <v>400</v>
      </c>
      <c r="D366" s="111" t="s">
        <v>400</v>
      </c>
      <c r="E366" s="111" t="s">
        <v>754</v>
      </c>
      <c r="F366" s="112">
        <v>45731</v>
      </c>
      <c r="G366" s="113">
        <v>7951.5050000000001</v>
      </c>
      <c r="H366" s="113">
        <v>7951.5050000000001</v>
      </c>
      <c r="J366" s="113">
        <v>7951.5050000000001</v>
      </c>
      <c r="K366" s="113">
        <f>G366-J366</f>
        <v>0</v>
      </c>
    </row>
    <row r="367" spans="1:11" outlineLevel="2" collapsed="1">
      <c r="B367" s="114" t="s">
        <v>756</v>
      </c>
      <c r="F367" s="112"/>
      <c r="G367" s="113">
        <f>SUBTOTAL(9,G362:G366)</f>
        <v>12845.630000000001</v>
      </c>
      <c r="J367" s="113">
        <f>SUBTOTAL(9,J362:J366)</f>
        <v>12845.630000000001</v>
      </c>
      <c r="K367" s="113">
        <f>SUBTOTAL(9,K362:K366)</f>
        <v>0</v>
      </c>
    </row>
    <row r="368" spans="1:11" hidden="1" outlineLevel="3">
      <c r="A368" s="111" t="s">
        <v>394</v>
      </c>
      <c r="B368" s="111" t="s">
        <v>757</v>
      </c>
      <c r="C368" s="111" t="s">
        <v>408</v>
      </c>
      <c r="D368" s="111" t="s">
        <v>758</v>
      </c>
      <c r="E368" s="111" t="s">
        <v>759</v>
      </c>
      <c r="F368" s="112">
        <v>45717</v>
      </c>
      <c r="G368" s="113">
        <v>1478.4</v>
      </c>
      <c r="H368" s="113">
        <v>1478.4</v>
      </c>
      <c r="J368" s="113">
        <v>1478.4</v>
      </c>
      <c r="K368" s="113">
        <f>G368-J368</f>
        <v>0</v>
      </c>
    </row>
    <row r="369" spans="1:11" hidden="1" outlineLevel="3">
      <c r="A369" s="111" t="s">
        <v>394</v>
      </c>
      <c r="B369" s="111" t="s">
        <v>757</v>
      </c>
      <c r="C369" s="111" t="s">
        <v>405</v>
      </c>
      <c r="D369" s="111" t="s">
        <v>421</v>
      </c>
      <c r="E369" s="111" t="s">
        <v>760</v>
      </c>
      <c r="F369" s="112">
        <v>45717</v>
      </c>
      <c r="G369" s="113">
        <v>180</v>
      </c>
      <c r="H369" s="113">
        <v>180</v>
      </c>
      <c r="J369" s="113">
        <v>180</v>
      </c>
      <c r="K369" s="113">
        <f>G369-J369</f>
        <v>0</v>
      </c>
    </row>
    <row r="370" spans="1:11" hidden="1" outlineLevel="3">
      <c r="A370" s="111" t="s">
        <v>394</v>
      </c>
      <c r="B370" s="111" t="s">
        <v>757</v>
      </c>
      <c r="C370" s="111" t="s">
        <v>396</v>
      </c>
      <c r="D370" s="111" t="s">
        <v>422</v>
      </c>
      <c r="E370" s="111" t="s">
        <v>760</v>
      </c>
      <c r="F370" s="112">
        <v>45717</v>
      </c>
      <c r="G370" s="113">
        <v>1176</v>
      </c>
      <c r="H370" s="113">
        <v>1176</v>
      </c>
      <c r="J370" s="113">
        <v>1146</v>
      </c>
      <c r="K370" s="113">
        <f>G370-J370</f>
        <v>30</v>
      </c>
    </row>
    <row r="371" spans="1:11" hidden="1" outlineLevel="3">
      <c r="A371" s="111" t="s">
        <v>394</v>
      </c>
      <c r="B371" s="111" t="s">
        <v>757</v>
      </c>
      <c r="C371" s="111" t="s">
        <v>400</v>
      </c>
      <c r="D371" s="111" t="s">
        <v>413</v>
      </c>
      <c r="E371" s="111" t="s">
        <v>760</v>
      </c>
      <c r="F371" s="112">
        <v>45717</v>
      </c>
      <c r="G371" s="113">
        <v>3005</v>
      </c>
      <c r="H371" s="113">
        <v>3005</v>
      </c>
      <c r="J371" s="113">
        <v>3005</v>
      </c>
      <c r="K371" s="113">
        <f>G371-J371</f>
        <v>0</v>
      </c>
    </row>
    <row r="372" spans="1:11" outlineLevel="2" collapsed="1">
      <c r="B372" s="114" t="s">
        <v>761</v>
      </c>
      <c r="F372" s="112"/>
      <c r="G372" s="113">
        <f>SUBTOTAL(9,G368:G371)</f>
        <v>5839.4</v>
      </c>
      <c r="J372" s="113">
        <f>SUBTOTAL(9,J368:J371)</f>
        <v>5809.4</v>
      </c>
      <c r="K372" s="113">
        <f>SUBTOTAL(9,K368:K371)</f>
        <v>30</v>
      </c>
    </row>
    <row r="373" spans="1:11" hidden="1" outlineLevel="3">
      <c r="A373" s="111" t="s">
        <v>394</v>
      </c>
      <c r="B373" s="111" t="s">
        <v>762</v>
      </c>
      <c r="C373" s="111" t="s">
        <v>408</v>
      </c>
      <c r="D373" s="111" t="s">
        <v>743</v>
      </c>
      <c r="E373" s="111" t="s">
        <v>763</v>
      </c>
      <c r="F373" s="112">
        <v>45717</v>
      </c>
      <c r="G373" s="113">
        <v>290.39999999999998</v>
      </c>
      <c r="H373" s="113">
        <v>290.39999999999998</v>
      </c>
      <c r="J373" s="113">
        <v>290.39999999999998</v>
      </c>
      <c r="K373" s="113">
        <f>G373-J373</f>
        <v>0</v>
      </c>
    </row>
    <row r="374" spans="1:11" outlineLevel="2" collapsed="1">
      <c r="B374" s="114" t="s">
        <v>764</v>
      </c>
      <c r="F374" s="112"/>
      <c r="G374" s="113">
        <f>SUBTOTAL(9,G373:G373)</f>
        <v>290.39999999999998</v>
      </c>
      <c r="J374" s="113">
        <f>SUBTOTAL(9,J373:J373)</f>
        <v>290.39999999999998</v>
      </c>
      <c r="K374" s="113">
        <f>SUBTOTAL(9,K373:K373)</f>
        <v>0</v>
      </c>
    </row>
    <row r="375" spans="1:11" hidden="1" outlineLevel="3">
      <c r="A375" s="111" t="s">
        <v>394</v>
      </c>
      <c r="B375" s="111" t="s">
        <v>765</v>
      </c>
      <c r="C375" s="111" t="s">
        <v>405</v>
      </c>
      <c r="D375" s="111" t="s">
        <v>405</v>
      </c>
      <c r="E375" s="111" t="s">
        <v>766</v>
      </c>
      <c r="F375" s="112">
        <v>45731</v>
      </c>
      <c r="G375" s="113">
        <v>0</v>
      </c>
      <c r="H375" s="113">
        <v>0</v>
      </c>
      <c r="J375" s="113">
        <v>0</v>
      </c>
      <c r="K375" s="113">
        <f>G375-J375</f>
        <v>0</v>
      </c>
    </row>
    <row r="376" spans="1:11" hidden="1" outlineLevel="3">
      <c r="A376" s="111" t="s">
        <v>394</v>
      </c>
      <c r="B376" s="111" t="s">
        <v>765</v>
      </c>
      <c r="C376" s="111" t="s">
        <v>396</v>
      </c>
      <c r="D376" s="111" t="s">
        <v>396</v>
      </c>
      <c r="E376" s="111" t="s">
        <v>766</v>
      </c>
      <c r="F376" s="112">
        <v>45731</v>
      </c>
      <c r="G376" s="113">
        <v>91</v>
      </c>
      <c r="H376" s="113">
        <v>91</v>
      </c>
      <c r="J376" s="113">
        <v>91</v>
      </c>
      <c r="K376" s="113">
        <f>G376-J376</f>
        <v>0</v>
      </c>
    </row>
    <row r="377" spans="1:11" hidden="1" outlineLevel="3">
      <c r="A377" s="111" t="s">
        <v>394</v>
      </c>
      <c r="B377" s="111" t="s">
        <v>765</v>
      </c>
      <c r="C377" s="111" t="s">
        <v>400</v>
      </c>
      <c r="D377" s="111" t="s">
        <v>400</v>
      </c>
      <c r="E377" s="111" t="s">
        <v>766</v>
      </c>
      <c r="F377" s="112">
        <v>45731</v>
      </c>
      <c r="G377" s="113">
        <v>1338.75</v>
      </c>
      <c r="H377" s="113">
        <v>1338.75</v>
      </c>
      <c r="J377" s="113">
        <v>1338.75</v>
      </c>
      <c r="K377" s="113">
        <f>G377-J377</f>
        <v>0</v>
      </c>
    </row>
    <row r="378" spans="1:11" outlineLevel="2" collapsed="1">
      <c r="B378" s="114" t="s">
        <v>767</v>
      </c>
      <c r="F378" s="112"/>
      <c r="G378" s="113">
        <f>SUBTOTAL(9,G375:G377)</f>
        <v>1429.75</v>
      </c>
      <c r="J378" s="113">
        <f>SUBTOTAL(9,J375:J377)</f>
        <v>1429.75</v>
      </c>
      <c r="K378" s="113">
        <f>SUBTOTAL(9,K375:K377)</f>
        <v>0</v>
      </c>
    </row>
    <row r="379" spans="1:11" hidden="1" outlineLevel="3">
      <c r="A379" s="111" t="s">
        <v>394</v>
      </c>
      <c r="B379" s="111" t="s">
        <v>768</v>
      </c>
      <c r="C379" s="111" t="s">
        <v>396</v>
      </c>
      <c r="D379" s="111" t="s">
        <v>396</v>
      </c>
      <c r="E379" s="111" t="s">
        <v>769</v>
      </c>
      <c r="F379" s="112">
        <v>45717</v>
      </c>
      <c r="G379" s="113">
        <v>5218.6000000000004</v>
      </c>
      <c r="H379" s="113">
        <v>5218.6000000000004</v>
      </c>
      <c r="J379" s="113">
        <v>5253.52</v>
      </c>
      <c r="K379" s="113">
        <f>G379-J379</f>
        <v>-34.920000000000073</v>
      </c>
    </row>
    <row r="380" spans="1:11" hidden="1" outlineLevel="3">
      <c r="A380" s="111" t="s">
        <v>394</v>
      </c>
      <c r="B380" s="111" t="s">
        <v>768</v>
      </c>
      <c r="C380" s="111" t="s">
        <v>400</v>
      </c>
      <c r="D380" s="111" t="s">
        <v>770</v>
      </c>
      <c r="E380" s="111" t="s">
        <v>771</v>
      </c>
      <c r="F380" s="112">
        <v>45717</v>
      </c>
      <c r="G380" s="113">
        <v>3125.14</v>
      </c>
      <c r="H380" s="113">
        <v>3125.14</v>
      </c>
      <c r="J380" s="113">
        <v>3125.14</v>
      </c>
      <c r="K380" s="113">
        <f>G380-J380</f>
        <v>0</v>
      </c>
    </row>
    <row r="381" spans="1:11" outlineLevel="2" collapsed="1">
      <c r="B381" s="114" t="s">
        <v>772</v>
      </c>
      <c r="F381" s="112"/>
      <c r="G381" s="113">
        <f>SUBTOTAL(9,G379:G380)</f>
        <v>8343.74</v>
      </c>
      <c r="J381" s="113">
        <f>SUBTOTAL(9,J379:J380)</f>
        <v>8378.66</v>
      </c>
      <c r="K381" s="113">
        <f>SUBTOTAL(9,K379:K380)</f>
        <v>-34.920000000000073</v>
      </c>
    </row>
    <row r="382" spans="1:11" hidden="1" outlineLevel="3">
      <c r="A382" s="111" t="s">
        <v>394</v>
      </c>
      <c r="B382" s="111" t="s">
        <v>773</v>
      </c>
      <c r="C382" s="111" t="s">
        <v>403</v>
      </c>
      <c r="D382" s="111" t="s">
        <v>403</v>
      </c>
      <c r="E382" s="111" t="s">
        <v>774</v>
      </c>
      <c r="F382" s="112">
        <v>45717</v>
      </c>
      <c r="G382" s="113">
        <v>586</v>
      </c>
      <c r="H382" s="113">
        <v>586</v>
      </c>
      <c r="J382" s="113">
        <v>586</v>
      </c>
      <c r="K382" s="113">
        <f>G382-J382</f>
        <v>0</v>
      </c>
    </row>
    <row r="383" spans="1:11" hidden="1" outlineLevel="3">
      <c r="A383" s="111" t="s">
        <v>394</v>
      </c>
      <c r="B383" s="111" t="s">
        <v>773</v>
      </c>
      <c r="C383" s="111" t="s">
        <v>408</v>
      </c>
      <c r="D383" s="111" t="s">
        <v>775</v>
      </c>
      <c r="E383" s="111" t="s">
        <v>774</v>
      </c>
      <c r="F383" s="112">
        <v>45717</v>
      </c>
      <c r="G383" s="113">
        <v>130.5</v>
      </c>
      <c r="H383" s="113">
        <v>130.5</v>
      </c>
      <c r="J383" s="113">
        <v>130.5</v>
      </c>
      <c r="K383" s="113">
        <f>G383-J383</f>
        <v>0</v>
      </c>
    </row>
    <row r="384" spans="1:11" hidden="1" outlineLevel="3">
      <c r="A384" s="111" t="s">
        <v>394</v>
      </c>
      <c r="B384" s="111" t="s">
        <v>773</v>
      </c>
      <c r="C384" s="111" t="s">
        <v>405</v>
      </c>
      <c r="D384" s="111" t="s">
        <v>405</v>
      </c>
      <c r="E384" s="111" t="s">
        <v>774</v>
      </c>
      <c r="F384" s="112">
        <v>45717</v>
      </c>
      <c r="G384" s="113">
        <v>37.5</v>
      </c>
      <c r="H384" s="113">
        <v>37.5</v>
      </c>
      <c r="J384" s="113">
        <v>37.5</v>
      </c>
      <c r="K384" s="113">
        <f>G384-J384</f>
        <v>0</v>
      </c>
    </row>
    <row r="385" spans="1:11" hidden="1" outlineLevel="3">
      <c r="A385" s="111" t="s">
        <v>394</v>
      </c>
      <c r="B385" s="111" t="s">
        <v>773</v>
      </c>
      <c r="C385" s="111" t="s">
        <v>396</v>
      </c>
      <c r="D385" s="111" t="s">
        <v>396</v>
      </c>
      <c r="E385" s="111" t="s">
        <v>774</v>
      </c>
      <c r="F385" s="112">
        <v>45717</v>
      </c>
      <c r="G385" s="113">
        <v>518.53</v>
      </c>
      <c r="H385" s="113">
        <v>518.53</v>
      </c>
      <c r="J385" s="113">
        <v>518.53</v>
      </c>
      <c r="K385" s="113">
        <f>G385-J385</f>
        <v>0</v>
      </c>
    </row>
    <row r="386" spans="1:11" hidden="1" outlineLevel="3">
      <c r="A386" s="111" t="s">
        <v>394</v>
      </c>
      <c r="B386" s="111" t="s">
        <v>773</v>
      </c>
      <c r="C386" s="111" t="s">
        <v>400</v>
      </c>
      <c r="D386" s="111" t="s">
        <v>776</v>
      </c>
      <c r="E386" s="111" t="s">
        <v>774</v>
      </c>
      <c r="F386" s="112">
        <v>45717</v>
      </c>
      <c r="G386" s="113">
        <v>1579.52</v>
      </c>
      <c r="H386" s="113">
        <v>1579.52</v>
      </c>
      <c r="J386" s="113">
        <v>1579.52</v>
      </c>
      <c r="K386" s="113">
        <f>G386-J386</f>
        <v>0</v>
      </c>
    </row>
    <row r="387" spans="1:11" outlineLevel="2" collapsed="1">
      <c r="B387" s="114" t="s">
        <v>777</v>
      </c>
      <c r="F387" s="112"/>
      <c r="G387" s="113">
        <f>SUBTOTAL(9,G382:G386)</f>
        <v>2852.05</v>
      </c>
      <c r="J387" s="113">
        <f>SUBTOTAL(9,J382:J386)</f>
        <v>2852.05</v>
      </c>
      <c r="K387" s="113">
        <f>SUBTOTAL(9,K382:K386)</f>
        <v>0</v>
      </c>
    </row>
    <row r="388" spans="1:11" hidden="1" outlineLevel="3">
      <c r="A388" s="111" t="s">
        <v>394</v>
      </c>
      <c r="B388" s="111" t="s">
        <v>778</v>
      </c>
      <c r="C388" s="111" t="s">
        <v>408</v>
      </c>
      <c r="D388" s="111" t="s">
        <v>779</v>
      </c>
      <c r="E388" s="111" t="s">
        <v>780</v>
      </c>
      <c r="F388" s="112">
        <v>45717</v>
      </c>
      <c r="G388" s="113">
        <v>770</v>
      </c>
      <c r="H388" s="113">
        <v>770</v>
      </c>
      <c r="J388" s="113">
        <v>770</v>
      </c>
      <c r="K388" s="113">
        <f>G388-J388</f>
        <v>0</v>
      </c>
    </row>
    <row r="389" spans="1:11" hidden="1" outlineLevel="3">
      <c r="A389" s="111" t="s">
        <v>394</v>
      </c>
      <c r="B389" s="111" t="s">
        <v>778</v>
      </c>
      <c r="C389" s="111" t="s">
        <v>405</v>
      </c>
      <c r="D389" s="111" t="s">
        <v>405</v>
      </c>
      <c r="E389" s="111" t="s">
        <v>781</v>
      </c>
      <c r="F389" s="112">
        <v>45717</v>
      </c>
      <c r="G389" s="113">
        <v>334.55220000000003</v>
      </c>
      <c r="H389" s="113">
        <v>334.55220000000003</v>
      </c>
      <c r="J389" s="113">
        <v>334.0104</v>
      </c>
      <c r="K389" s="113">
        <f>G389-J389</f>
        <v>0.54180000000002337</v>
      </c>
    </row>
    <row r="390" spans="1:11" hidden="1" outlineLevel="3">
      <c r="A390" s="111" t="s">
        <v>394</v>
      </c>
      <c r="B390" s="111" t="s">
        <v>778</v>
      </c>
      <c r="C390" s="111" t="s">
        <v>396</v>
      </c>
      <c r="D390" s="111" t="s">
        <v>396</v>
      </c>
      <c r="E390" s="111" t="s">
        <v>781</v>
      </c>
      <c r="F390" s="112">
        <v>45717</v>
      </c>
      <c r="G390" s="113">
        <v>951</v>
      </c>
      <c r="H390" s="113">
        <v>951</v>
      </c>
      <c r="J390" s="113">
        <v>951</v>
      </c>
      <c r="K390" s="113">
        <f>G390-J390</f>
        <v>0</v>
      </c>
    </row>
    <row r="391" spans="1:11" hidden="1" outlineLevel="3">
      <c r="A391" s="111" t="s">
        <v>394</v>
      </c>
      <c r="B391" s="111" t="s">
        <v>778</v>
      </c>
      <c r="C391" s="111" t="s">
        <v>400</v>
      </c>
      <c r="D391" s="111" t="s">
        <v>400</v>
      </c>
      <c r="E391" s="111" t="s">
        <v>781</v>
      </c>
      <c r="F391" s="112">
        <v>45717</v>
      </c>
      <c r="G391" s="113">
        <v>1520</v>
      </c>
      <c r="H391" s="113">
        <v>1520</v>
      </c>
      <c r="J391" s="113">
        <v>1520</v>
      </c>
      <c r="K391" s="113">
        <f>G391-J391</f>
        <v>0</v>
      </c>
    </row>
    <row r="392" spans="1:11" outlineLevel="2" collapsed="1">
      <c r="B392" s="114" t="s">
        <v>782</v>
      </c>
      <c r="F392" s="112"/>
      <c r="G392" s="113">
        <f>SUBTOTAL(9,G388:G391)</f>
        <v>3575.5522000000001</v>
      </c>
      <c r="J392" s="113">
        <f>SUBTOTAL(9,J388:J391)</f>
        <v>3575.0104000000001</v>
      </c>
      <c r="K392" s="113">
        <f>SUBTOTAL(9,K388:K391)</f>
        <v>0.54180000000002337</v>
      </c>
    </row>
    <row r="393" spans="1:11" hidden="1" outlineLevel="3">
      <c r="A393" s="111" t="s">
        <v>394</v>
      </c>
      <c r="B393" s="111" t="s">
        <v>783</v>
      </c>
      <c r="C393" s="111" t="s">
        <v>408</v>
      </c>
      <c r="D393" s="111" t="s">
        <v>524</v>
      </c>
      <c r="E393" s="111" t="s">
        <v>784</v>
      </c>
      <c r="F393" s="112">
        <v>45731</v>
      </c>
      <c r="G393" s="113">
        <v>415.2</v>
      </c>
      <c r="H393" s="113">
        <v>415.2</v>
      </c>
      <c r="J393" s="113">
        <v>415.2</v>
      </c>
      <c r="K393" s="113">
        <f>G393-J393</f>
        <v>0</v>
      </c>
    </row>
    <row r="394" spans="1:11" hidden="1" outlineLevel="3">
      <c r="A394" s="111" t="s">
        <v>394</v>
      </c>
      <c r="B394" s="111" t="s">
        <v>783</v>
      </c>
      <c r="C394" s="111" t="s">
        <v>405</v>
      </c>
      <c r="D394" s="111" t="s">
        <v>405</v>
      </c>
      <c r="E394" s="111" t="s">
        <v>784</v>
      </c>
      <c r="F394" s="112">
        <v>45731</v>
      </c>
      <c r="G394" s="113">
        <v>60</v>
      </c>
      <c r="H394" s="113">
        <v>60</v>
      </c>
      <c r="J394" s="113">
        <v>60</v>
      </c>
      <c r="K394" s="113">
        <f>G394-J394</f>
        <v>0</v>
      </c>
    </row>
    <row r="395" spans="1:11" hidden="1" outlineLevel="3">
      <c r="A395" s="111" t="s">
        <v>394</v>
      </c>
      <c r="B395" s="111" t="s">
        <v>783</v>
      </c>
      <c r="C395" s="111" t="s">
        <v>396</v>
      </c>
      <c r="D395" s="111" t="s">
        <v>396</v>
      </c>
      <c r="E395" s="111" t="s">
        <v>784</v>
      </c>
      <c r="F395" s="112">
        <v>45731</v>
      </c>
      <c r="G395" s="113">
        <v>205</v>
      </c>
      <c r="H395" s="113">
        <v>205</v>
      </c>
      <c r="J395" s="113">
        <v>205</v>
      </c>
      <c r="K395" s="113">
        <f>G395-J395</f>
        <v>0</v>
      </c>
    </row>
    <row r="396" spans="1:11" hidden="1" outlineLevel="3">
      <c r="A396" s="111" t="s">
        <v>394</v>
      </c>
      <c r="B396" s="111" t="s">
        <v>783</v>
      </c>
      <c r="C396" s="111" t="s">
        <v>400</v>
      </c>
      <c r="D396" s="111" t="s">
        <v>785</v>
      </c>
      <c r="E396" s="111" t="s">
        <v>784</v>
      </c>
      <c r="F396" s="112">
        <v>45731</v>
      </c>
      <c r="G396" s="113">
        <v>1064.7</v>
      </c>
      <c r="H396" s="113">
        <v>1064.7</v>
      </c>
      <c r="J396" s="113">
        <v>1064.7</v>
      </c>
      <c r="K396" s="113">
        <f>G396-J396</f>
        <v>0</v>
      </c>
    </row>
    <row r="397" spans="1:11" outlineLevel="2" collapsed="1">
      <c r="B397" s="114" t="s">
        <v>786</v>
      </c>
      <c r="F397" s="112"/>
      <c r="G397" s="113">
        <f>SUBTOTAL(9,G393:G396)</f>
        <v>1744.9</v>
      </c>
      <c r="J397" s="113">
        <f>SUBTOTAL(9,J393:J396)</f>
        <v>1744.9</v>
      </c>
      <c r="K397" s="113">
        <f>SUBTOTAL(9,K393:K396)</f>
        <v>0</v>
      </c>
    </row>
    <row r="398" spans="1:11" hidden="1" outlineLevel="3">
      <c r="A398" s="111" t="s">
        <v>394</v>
      </c>
      <c r="B398" s="111" t="s">
        <v>787</v>
      </c>
      <c r="C398" s="111" t="s">
        <v>403</v>
      </c>
      <c r="D398" s="111" t="s">
        <v>597</v>
      </c>
      <c r="E398" s="111" t="s">
        <v>788</v>
      </c>
      <c r="F398" s="112">
        <v>45717</v>
      </c>
      <c r="G398" s="113">
        <v>600</v>
      </c>
      <c r="H398" s="113">
        <v>600</v>
      </c>
      <c r="J398" s="113">
        <v>600</v>
      </c>
      <c r="K398" s="113">
        <f>G398-J398</f>
        <v>0</v>
      </c>
    </row>
    <row r="399" spans="1:11" hidden="1" outlineLevel="3">
      <c r="A399" s="111" t="s">
        <v>394</v>
      </c>
      <c r="B399" s="111" t="s">
        <v>787</v>
      </c>
      <c r="C399" s="111" t="s">
        <v>408</v>
      </c>
      <c r="D399" s="111" t="s">
        <v>524</v>
      </c>
      <c r="E399" s="111" t="s">
        <v>788</v>
      </c>
      <c r="F399" s="112">
        <v>45717</v>
      </c>
      <c r="G399" s="113">
        <v>24.9</v>
      </c>
      <c r="H399" s="113">
        <v>24.9</v>
      </c>
      <c r="J399" s="113">
        <v>24.9</v>
      </c>
      <c r="K399" s="113">
        <f>G399-J399</f>
        <v>0</v>
      </c>
    </row>
    <row r="400" spans="1:11" hidden="1" outlineLevel="3">
      <c r="A400" s="111" t="s">
        <v>394</v>
      </c>
      <c r="B400" s="111" t="s">
        <v>787</v>
      </c>
      <c r="C400" s="111" t="s">
        <v>405</v>
      </c>
      <c r="D400" s="111" t="s">
        <v>405</v>
      </c>
      <c r="E400" s="111" t="s">
        <v>788</v>
      </c>
      <c r="F400" s="112">
        <v>45717</v>
      </c>
      <c r="G400" s="113">
        <v>50</v>
      </c>
      <c r="H400" s="113">
        <v>50</v>
      </c>
      <c r="J400" s="113">
        <v>50</v>
      </c>
      <c r="K400" s="113">
        <f>G400-J400</f>
        <v>0</v>
      </c>
    </row>
    <row r="401" spans="1:11" hidden="1" outlineLevel="3">
      <c r="A401" s="111" t="s">
        <v>394</v>
      </c>
      <c r="B401" s="111" t="s">
        <v>787</v>
      </c>
      <c r="C401" s="111" t="s">
        <v>396</v>
      </c>
      <c r="D401" s="111" t="s">
        <v>396</v>
      </c>
      <c r="E401" s="111" t="s">
        <v>788</v>
      </c>
      <c r="F401" s="112">
        <v>45717</v>
      </c>
      <c r="G401" s="113">
        <v>1603.86</v>
      </c>
      <c r="H401" s="113">
        <v>1603.86</v>
      </c>
      <c r="J401" s="113">
        <v>1607.53</v>
      </c>
      <c r="K401" s="113">
        <f>G401-J401</f>
        <v>-3.6700000000000728</v>
      </c>
    </row>
    <row r="402" spans="1:11" hidden="1" outlineLevel="3">
      <c r="A402" s="111" t="s">
        <v>394</v>
      </c>
      <c r="B402" s="111" t="s">
        <v>787</v>
      </c>
      <c r="C402" s="111" t="s">
        <v>400</v>
      </c>
      <c r="D402" s="111" t="s">
        <v>400</v>
      </c>
      <c r="E402" s="111" t="s">
        <v>788</v>
      </c>
      <c r="F402" s="112">
        <v>45717</v>
      </c>
      <c r="G402" s="113">
        <v>6778.5</v>
      </c>
      <c r="H402" s="113">
        <v>6778.5</v>
      </c>
      <c r="J402" s="113">
        <v>6778.5</v>
      </c>
      <c r="K402" s="113">
        <f>G402-J402</f>
        <v>0</v>
      </c>
    </row>
    <row r="403" spans="1:11" outlineLevel="2" collapsed="1">
      <c r="B403" s="114" t="s">
        <v>789</v>
      </c>
      <c r="F403" s="112"/>
      <c r="G403" s="113">
        <f>SUBTOTAL(9,G398:G402)</f>
        <v>9057.26</v>
      </c>
      <c r="J403" s="113">
        <f>SUBTOTAL(9,J398:J402)</f>
        <v>9060.93</v>
      </c>
      <c r="K403" s="113">
        <f>SUBTOTAL(9,K398:K402)</f>
        <v>-3.6700000000000728</v>
      </c>
    </row>
    <row r="404" spans="1:11" hidden="1" outlineLevel="3">
      <c r="A404" s="111" t="s">
        <v>394</v>
      </c>
      <c r="B404" s="111" t="s">
        <v>790</v>
      </c>
      <c r="C404" s="111" t="s">
        <v>405</v>
      </c>
      <c r="D404" s="111" t="s">
        <v>405</v>
      </c>
      <c r="E404" s="111" t="s">
        <v>791</v>
      </c>
      <c r="F404" s="112">
        <v>45717</v>
      </c>
      <c r="G404" s="113">
        <v>262.5</v>
      </c>
      <c r="H404" s="113">
        <v>262.5</v>
      </c>
      <c r="J404" s="113">
        <v>262.5</v>
      </c>
      <c r="K404" s="113">
        <f>G404-J404</f>
        <v>0</v>
      </c>
    </row>
    <row r="405" spans="1:11" hidden="1" outlineLevel="3">
      <c r="A405" s="111" t="s">
        <v>394</v>
      </c>
      <c r="B405" s="111" t="s">
        <v>790</v>
      </c>
      <c r="C405" s="111" t="s">
        <v>396</v>
      </c>
      <c r="D405" s="111" t="s">
        <v>396</v>
      </c>
      <c r="E405" s="111" t="s">
        <v>792</v>
      </c>
      <c r="F405" s="112">
        <v>45717</v>
      </c>
      <c r="G405" s="113">
        <v>1703</v>
      </c>
      <c r="H405" s="113">
        <v>1703</v>
      </c>
      <c r="J405" s="113">
        <v>1693.25</v>
      </c>
      <c r="K405" s="113">
        <f>G405-J405</f>
        <v>9.75</v>
      </c>
    </row>
    <row r="406" spans="1:11" hidden="1" outlineLevel="3">
      <c r="A406" s="111" t="s">
        <v>394</v>
      </c>
      <c r="B406" s="111" t="s">
        <v>790</v>
      </c>
      <c r="C406" s="111" t="s">
        <v>400</v>
      </c>
      <c r="D406" s="111" t="s">
        <v>400</v>
      </c>
      <c r="E406" s="111" t="s">
        <v>791</v>
      </c>
      <c r="F406" s="112">
        <v>45717</v>
      </c>
      <c r="G406" s="113">
        <v>10860.92</v>
      </c>
      <c r="H406" s="113">
        <v>10860.92</v>
      </c>
      <c r="J406" s="113">
        <v>10860.92</v>
      </c>
      <c r="K406" s="113">
        <f>G406-J406</f>
        <v>0</v>
      </c>
    </row>
    <row r="407" spans="1:11" outlineLevel="2" collapsed="1">
      <c r="B407" s="114" t="s">
        <v>793</v>
      </c>
      <c r="F407" s="112"/>
      <c r="G407" s="113">
        <f>SUBTOTAL(9,G404:G406)</f>
        <v>12826.42</v>
      </c>
      <c r="J407" s="113">
        <f>SUBTOTAL(9,J404:J406)</f>
        <v>12816.67</v>
      </c>
      <c r="K407" s="113">
        <f>SUBTOTAL(9,K404:K406)</f>
        <v>9.75</v>
      </c>
    </row>
    <row r="408" spans="1:11" hidden="1" outlineLevel="3">
      <c r="A408" s="111" t="s">
        <v>394</v>
      </c>
      <c r="B408" s="111" t="s">
        <v>794</v>
      </c>
      <c r="C408" s="111" t="s">
        <v>405</v>
      </c>
      <c r="D408" s="111" t="s">
        <v>405</v>
      </c>
      <c r="E408" s="111" t="s">
        <v>795</v>
      </c>
      <c r="F408" s="112">
        <v>45731</v>
      </c>
      <c r="G408" s="113">
        <v>309.24</v>
      </c>
      <c r="H408" s="113">
        <v>309.24</v>
      </c>
      <c r="J408" s="113">
        <v>309.24</v>
      </c>
      <c r="K408" s="113">
        <f>G408-J408</f>
        <v>0</v>
      </c>
    </row>
    <row r="409" spans="1:11" outlineLevel="2" collapsed="1">
      <c r="B409" s="114" t="s">
        <v>796</v>
      </c>
      <c r="F409" s="112"/>
      <c r="G409" s="113">
        <f>SUBTOTAL(9,G408:G408)</f>
        <v>309.24</v>
      </c>
      <c r="J409" s="113">
        <f>SUBTOTAL(9,J408:J408)</f>
        <v>309.24</v>
      </c>
      <c r="K409" s="113">
        <f>SUBTOTAL(9,K408:K408)</f>
        <v>0</v>
      </c>
    </row>
    <row r="410" spans="1:11" hidden="1" outlineLevel="3">
      <c r="A410" s="111" t="s">
        <v>394</v>
      </c>
      <c r="B410" s="111" t="s">
        <v>797</v>
      </c>
      <c r="C410" s="111" t="s">
        <v>396</v>
      </c>
      <c r="D410" s="111" t="s">
        <v>396</v>
      </c>
      <c r="E410" s="111" t="s">
        <v>798</v>
      </c>
      <c r="F410" s="112">
        <v>45717</v>
      </c>
      <c r="G410" s="113">
        <v>97.05</v>
      </c>
      <c r="H410" s="113">
        <v>97.05</v>
      </c>
      <c r="J410" s="113">
        <v>97.05</v>
      </c>
      <c r="K410" s="113">
        <f>G410-J410</f>
        <v>0</v>
      </c>
    </row>
    <row r="411" spans="1:11" outlineLevel="2" collapsed="1">
      <c r="B411" s="114" t="s">
        <v>799</v>
      </c>
      <c r="F411" s="112"/>
      <c r="G411" s="113">
        <f>SUBTOTAL(9,G410:G410)</f>
        <v>97.05</v>
      </c>
      <c r="J411" s="113">
        <f>SUBTOTAL(9,J410:J410)</f>
        <v>97.05</v>
      </c>
      <c r="K411" s="113">
        <f>SUBTOTAL(9,K410:K410)</f>
        <v>0</v>
      </c>
    </row>
    <row r="412" spans="1:11" hidden="1" outlineLevel="3">
      <c r="A412" s="111" t="s">
        <v>394</v>
      </c>
      <c r="B412" s="111" t="s">
        <v>800</v>
      </c>
      <c r="C412" s="111" t="s">
        <v>408</v>
      </c>
      <c r="D412" s="111" t="s">
        <v>524</v>
      </c>
      <c r="E412" s="111" t="s">
        <v>801</v>
      </c>
      <c r="F412" s="112">
        <v>45731</v>
      </c>
      <c r="G412" s="113">
        <v>165</v>
      </c>
      <c r="H412" s="113">
        <v>165</v>
      </c>
      <c r="J412" s="113">
        <v>165</v>
      </c>
      <c r="K412" s="113">
        <f>G412-J412</f>
        <v>0</v>
      </c>
    </row>
    <row r="413" spans="1:11" hidden="1" outlineLevel="3">
      <c r="A413" s="111" t="s">
        <v>394</v>
      </c>
      <c r="B413" s="111" t="s">
        <v>800</v>
      </c>
      <c r="C413" s="111" t="s">
        <v>405</v>
      </c>
      <c r="D413" s="111" t="s">
        <v>405</v>
      </c>
      <c r="E413" s="111" t="s">
        <v>801</v>
      </c>
      <c r="F413" s="112">
        <v>45731</v>
      </c>
      <c r="G413" s="113">
        <v>190</v>
      </c>
      <c r="H413" s="113">
        <v>190</v>
      </c>
      <c r="J413" s="113">
        <v>190</v>
      </c>
      <c r="K413" s="113">
        <f>G413-J413</f>
        <v>0</v>
      </c>
    </row>
    <row r="414" spans="1:11" hidden="1" outlineLevel="3">
      <c r="A414" s="111" t="s">
        <v>394</v>
      </c>
      <c r="B414" s="111" t="s">
        <v>800</v>
      </c>
      <c r="C414" s="111" t="s">
        <v>396</v>
      </c>
      <c r="D414" s="111" t="s">
        <v>396</v>
      </c>
      <c r="E414" s="111" t="s">
        <v>801</v>
      </c>
      <c r="F414" s="112">
        <v>45731</v>
      </c>
      <c r="G414" s="113">
        <v>392</v>
      </c>
      <c r="H414" s="113">
        <v>392</v>
      </c>
      <c r="J414" s="113">
        <v>392</v>
      </c>
      <c r="K414" s="113">
        <f>G414-J414</f>
        <v>0</v>
      </c>
    </row>
    <row r="415" spans="1:11" hidden="1" outlineLevel="3">
      <c r="A415" s="111" t="s">
        <v>394</v>
      </c>
      <c r="B415" s="111" t="s">
        <v>800</v>
      </c>
      <c r="C415" s="111" t="s">
        <v>400</v>
      </c>
      <c r="D415" s="111" t="s">
        <v>400</v>
      </c>
      <c r="E415" s="111" t="s">
        <v>801</v>
      </c>
      <c r="F415" s="112">
        <v>45731</v>
      </c>
      <c r="G415" s="113">
        <v>2642</v>
      </c>
      <c r="H415" s="113">
        <v>2642</v>
      </c>
      <c r="J415" s="113">
        <v>2642</v>
      </c>
      <c r="K415" s="113">
        <f>G415-J415</f>
        <v>0</v>
      </c>
    </row>
    <row r="416" spans="1:11" outlineLevel="2" collapsed="1">
      <c r="B416" s="114" t="s">
        <v>802</v>
      </c>
      <c r="F416" s="112"/>
      <c r="G416" s="113">
        <f>SUBTOTAL(9,G412:G415)</f>
        <v>3389</v>
      </c>
      <c r="J416" s="113">
        <f>SUBTOTAL(9,J412:J415)</f>
        <v>3389</v>
      </c>
      <c r="K416" s="113">
        <f>SUBTOTAL(9,K412:K415)</f>
        <v>0</v>
      </c>
    </row>
    <row r="417" spans="1:11" hidden="1" outlineLevel="3">
      <c r="A417" s="111" t="s">
        <v>394</v>
      </c>
      <c r="B417" s="111" t="s">
        <v>803</v>
      </c>
      <c r="C417" s="111" t="s">
        <v>408</v>
      </c>
      <c r="D417" s="111" t="s">
        <v>408</v>
      </c>
      <c r="E417" s="111" t="s">
        <v>804</v>
      </c>
      <c r="F417" s="112">
        <v>45717</v>
      </c>
      <c r="G417" s="113">
        <v>20</v>
      </c>
      <c r="H417" s="113">
        <v>20</v>
      </c>
      <c r="J417" s="113">
        <v>20</v>
      </c>
      <c r="K417" s="113">
        <f>G417-J417</f>
        <v>0</v>
      </c>
    </row>
    <row r="418" spans="1:11" hidden="1" outlineLevel="3">
      <c r="A418" s="111" t="s">
        <v>394</v>
      </c>
      <c r="B418" s="111" t="s">
        <v>803</v>
      </c>
      <c r="C418" s="111" t="s">
        <v>405</v>
      </c>
      <c r="D418" s="111" t="s">
        <v>405</v>
      </c>
      <c r="E418" s="111" t="s">
        <v>804</v>
      </c>
      <c r="F418" s="112">
        <v>45717</v>
      </c>
      <c r="G418" s="113">
        <v>110.5</v>
      </c>
      <c r="H418" s="113">
        <v>110.5</v>
      </c>
      <c r="J418" s="113">
        <v>110.5</v>
      </c>
      <c r="K418" s="113">
        <f>G418-J418</f>
        <v>0</v>
      </c>
    </row>
    <row r="419" spans="1:11" hidden="1" outlineLevel="3">
      <c r="A419" s="111" t="s">
        <v>394</v>
      </c>
      <c r="B419" s="111" t="s">
        <v>803</v>
      </c>
      <c r="C419" s="111" t="s">
        <v>396</v>
      </c>
      <c r="D419" s="111" t="s">
        <v>396</v>
      </c>
      <c r="E419" s="111" t="s">
        <v>804</v>
      </c>
      <c r="F419" s="112">
        <v>45717</v>
      </c>
      <c r="G419" s="113">
        <v>854</v>
      </c>
      <c r="H419" s="113">
        <v>854</v>
      </c>
      <c r="J419" s="113">
        <v>854</v>
      </c>
      <c r="K419" s="113">
        <f>G419-J419</f>
        <v>0</v>
      </c>
    </row>
    <row r="420" spans="1:11" hidden="1" outlineLevel="3">
      <c r="A420" s="111" t="s">
        <v>394</v>
      </c>
      <c r="B420" s="111" t="s">
        <v>803</v>
      </c>
      <c r="C420" s="111" t="s">
        <v>400</v>
      </c>
      <c r="D420" s="111" t="s">
        <v>400</v>
      </c>
      <c r="E420" s="111" t="s">
        <v>804</v>
      </c>
      <c r="F420" s="112">
        <v>45717</v>
      </c>
      <c r="G420" s="113">
        <v>2784.87</v>
      </c>
      <c r="H420" s="113">
        <v>2784.87</v>
      </c>
      <c r="J420" s="113">
        <v>2784.87</v>
      </c>
      <c r="K420" s="113">
        <f>G420-J420</f>
        <v>0</v>
      </c>
    </row>
    <row r="421" spans="1:11" outlineLevel="2" collapsed="1">
      <c r="B421" s="114" t="s">
        <v>805</v>
      </c>
      <c r="F421" s="112"/>
      <c r="G421" s="113">
        <f>SUBTOTAL(9,G417:G420)</f>
        <v>3769.37</v>
      </c>
      <c r="J421" s="113">
        <f>SUBTOTAL(9,J417:J420)</f>
        <v>3769.37</v>
      </c>
      <c r="K421" s="113">
        <f>SUBTOTAL(9,K417:K420)</f>
        <v>0</v>
      </c>
    </row>
    <row r="422" spans="1:11" hidden="1" outlineLevel="3">
      <c r="A422" s="111" t="s">
        <v>394</v>
      </c>
      <c r="B422" s="111" t="s">
        <v>806</v>
      </c>
      <c r="C422" s="111" t="s">
        <v>408</v>
      </c>
      <c r="D422" s="111" t="s">
        <v>408</v>
      </c>
      <c r="E422" s="111" t="s">
        <v>807</v>
      </c>
      <c r="F422" s="112">
        <v>45717</v>
      </c>
      <c r="G422" s="113">
        <v>564.29999999999995</v>
      </c>
      <c r="H422" s="113">
        <v>564.29999999999995</v>
      </c>
      <c r="J422" s="113">
        <v>564.29999999999995</v>
      </c>
      <c r="K422" s="113">
        <f>G422-J422</f>
        <v>0</v>
      </c>
    </row>
    <row r="423" spans="1:11" outlineLevel="2" collapsed="1">
      <c r="B423" s="114" t="s">
        <v>808</v>
      </c>
      <c r="F423" s="112"/>
      <c r="G423" s="113">
        <f>SUBTOTAL(9,G422:G422)</f>
        <v>564.29999999999995</v>
      </c>
      <c r="J423" s="113">
        <f>SUBTOTAL(9,J422:J422)</f>
        <v>564.29999999999995</v>
      </c>
      <c r="K423" s="113">
        <f>SUBTOTAL(9,K422:K422)</f>
        <v>0</v>
      </c>
    </row>
    <row r="424" spans="1:11" hidden="1" outlineLevel="3">
      <c r="A424" s="111" t="s">
        <v>394</v>
      </c>
      <c r="B424" s="111" t="s">
        <v>809</v>
      </c>
      <c r="C424" s="111" t="s">
        <v>403</v>
      </c>
      <c r="D424" s="111" t="s">
        <v>403</v>
      </c>
      <c r="E424" s="111" t="s">
        <v>810</v>
      </c>
      <c r="F424" s="112">
        <v>45731</v>
      </c>
      <c r="G424" s="113">
        <v>1481.44</v>
      </c>
      <c r="H424" s="113">
        <v>1481.44</v>
      </c>
      <c r="J424" s="113">
        <v>1613.8000000000002</v>
      </c>
      <c r="K424" s="113">
        <f>G424-J424</f>
        <v>-132.36000000000013</v>
      </c>
    </row>
    <row r="425" spans="1:11" hidden="1" outlineLevel="3">
      <c r="A425" s="111" t="s">
        <v>394</v>
      </c>
      <c r="B425" s="111" t="s">
        <v>809</v>
      </c>
      <c r="C425" s="111" t="s">
        <v>408</v>
      </c>
      <c r="D425" s="111" t="s">
        <v>408</v>
      </c>
      <c r="E425" s="111" t="s">
        <v>810</v>
      </c>
      <c r="F425" s="112">
        <v>45731</v>
      </c>
      <c r="G425" s="113">
        <v>176</v>
      </c>
      <c r="H425" s="113">
        <v>176</v>
      </c>
      <c r="J425" s="113">
        <v>176</v>
      </c>
      <c r="K425" s="113">
        <f>G425-J425</f>
        <v>0</v>
      </c>
    </row>
    <row r="426" spans="1:11" hidden="1" outlineLevel="3">
      <c r="A426" s="111" t="s">
        <v>394</v>
      </c>
      <c r="B426" s="111" t="s">
        <v>809</v>
      </c>
      <c r="C426" s="111" t="s">
        <v>405</v>
      </c>
      <c r="D426" s="111" t="s">
        <v>405</v>
      </c>
      <c r="E426" s="111" t="s">
        <v>810</v>
      </c>
      <c r="F426" s="112">
        <v>45731</v>
      </c>
      <c r="G426" s="113">
        <v>368.58</v>
      </c>
      <c r="H426" s="113">
        <v>368.58</v>
      </c>
      <c r="J426" s="113">
        <v>368.58</v>
      </c>
      <c r="K426" s="113">
        <f>G426-J426</f>
        <v>0</v>
      </c>
    </row>
    <row r="427" spans="1:11" hidden="1" outlineLevel="3">
      <c r="A427" s="111" t="s">
        <v>394</v>
      </c>
      <c r="B427" s="111" t="s">
        <v>809</v>
      </c>
      <c r="C427" s="111" t="s">
        <v>396</v>
      </c>
      <c r="D427" s="111" t="s">
        <v>396</v>
      </c>
      <c r="E427" s="111" t="s">
        <v>810</v>
      </c>
      <c r="F427" s="112">
        <v>45731</v>
      </c>
      <c r="G427" s="113">
        <v>70</v>
      </c>
      <c r="H427" s="113">
        <v>70</v>
      </c>
      <c r="J427" s="113">
        <v>70</v>
      </c>
      <c r="K427" s="113">
        <f>G427-J427</f>
        <v>0</v>
      </c>
    </row>
    <row r="428" spans="1:11" hidden="1" outlineLevel="3">
      <c r="A428" s="111" t="s">
        <v>394</v>
      </c>
      <c r="B428" s="111" t="s">
        <v>809</v>
      </c>
      <c r="C428" s="111" t="s">
        <v>468</v>
      </c>
      <c r="D428" s="111" t="s">
        <v>468</v>
      </c>
      <c r="E428" s="111" t="s">
        <v>810</v>
      </c>
      <c r="F428" s="112">
        <v>45731</v>
      </c>
      <c r="G428" s="113">
        <v>250</v>
      </c>
      <c r="H428" s="113">
        <v>250</v>
      </c>
      <c r="J428" s="113">
        <v>250</v>
      </c>
      <c r="K428" s="113">
        <f>G428-J428</f>
        <v>0</v>
      </c>
    </row>
    <row r="429" spans="1:11" outlineLevel="2" collapsed="1">
      <c r="B429" s="114" t="s">
        <v>811</v>
      </c>
      <c r="F429" s="112"/>
      <c r="G429" s="113">
        <f>SUBTOTAL(9,G424:G428)</f>
        <v>2346.02</v>
      </c>
      <c r="J429" s="113">
        <f>SUBTOTAL(9,J424:J428)</f>
        <v>2478.38</v>
      </c>
      <c r="K429" s="113">
        <f>SUBTOTAL(9,K424:K428)</f>
        <v>-132.36000000000013</v>
      </c>
    </row>
    <row r="430" spans="1:11" hidden="1" outlineLevel="3">
      <c r="A430" s="111" t="s">
        <v>394</v>
      </c>
      <c r="B430" s="111" t="s">
        <v>812</v>
      </c>
      <c r="C430" s="111" t="s">
        <v>408</v>
      </c>
      <c r="D430" s="111" t="s">
        <v>524</v>
      </c>
      <c r="E430" s="111" t="s">
        <v>813</v>
      </c>
      <c r="F430" s="112">
        <v>45717</v>
      </c>
      <c r="G430" s="113">
        <v>117.62</v>
      </c>
      <c r="H430" s="113">
        <v>117.62</v>
      </c>
      <c r="J430" s="113">
        <v>77.06</v>
      </c>
      <c r="K430" s="113">
        <f>G430-J430</f>
        <v>40.56</v>
      </c>
    </row>
    <row r="431" spans="1:11" hidden="1" outlineLevel="3">
      <c r="A431" s="111" t="s">
        <v>394</v>
      </c>
      <c r="B431" s="111" t="s">
        <v>812</v>
      </c>
      <c r="C431" s="111" t="s">
        <v>405</v>
      </c>
      <c r="D431" s="111" t="s">
        <v>421</v>
      </c>
      <c r="E431" s="111" t="s">
        <v>814</v>
      </c>
      <c r="F431" s="112">
        <v>45717</v>
      </c>
      <c r="G431" s="113">
        <v>128</v>
      </c>
      <c r="H431" s="113">
        <v>128</v>
      </c>
      <c r="J431" s="113">
        <v>120</v>
      </c>
      <c r="K431" s="113">
        <f>G431-J431</f>
        <v>8</v>
      </c>
    </row>
    <row r="432" spans="1:11" hidden="1" outlineLevel="3">
      <c r="A432" s="111" t="s">
        <v>394</v>
      </c>
      <c r="B432" s="111" t="s">
        <v>812</v>
      </c>
      <c r="C432" s="111" t="s">
        <v>396</v>
      </c>
      <c r="D432" s="111" t="s">
        <v>396</v>
      </c>
      <c r="E432" s="111" t="s">
        <v>814</v>
      </c>
      <c r="F432" s="112">
        <v>45717</v>
      </c>
      <c r="G432" s="113">
        <v>301</v>
      </c>
      <c r="H432" s="113">
        <v>301</v>
      </c>
      <c r="J432" s="113">
        <v>287</v>
      </c>
      <c r="K432" s="113">
        <f>G432-J432</f>
        <v>14</v>
      </c>
    </row>
    <row r="433" spans="1:11" hidden="1" outlineLevel="3">
      <c r="A433" s="111" t="s">
        <v>394</v>
      </c>
      <c r="B433" s="111" t="s">
        <v>812</v>
      </c>
      <c r="C433" s="111" t="s">
        <v>400</v>
      </c>
      <c r="D433" s="111" t="s">
        <v>400</v>
      </c>
      <c r="E433" s="111" t="s">
        <v>814</v>
      </c>
      <c r="F433" s="112">
        <v>45717</v>
      </c>
      <c r="G433" s="113">
        <v>2215</v>
      </c>
      <c r="H433" s="113">
        <v>2215</v>
      </c>
      <c r="J433" s="113">
        <v>2105</v>
      </c>
      <c r="K433" s="113">
        <f>G433-J433</f>
        <v>110</v>
      </c>
    </row>
    <row r="434" spans="1:11" outlineLevel="2" collapsed="1">
      <c r="B434" s="114" t="s">
        <v>815</v>
      </c>
      <c r="F434" s="112"/>
      <c r="G434" s="113">
        <f>SUBTOTAL(9,G430:G433)</f>
        <v>2761.62</v>
      </c>
      <c r="J434" s="113">
        <f>SUBTOTAL(9,J430:J433)</f>
        <v>2589.06</v>
      </c>
      <c r="K434" s="113">
        <f>SUBTOTAL(9,K430:K433)</f>
        <v>172.56</v>
      </c>
    </row>
    <row r="435" spans="1:11" hidden="1" outlineLevel="3">
      <c r="A435" s="111" t="s">
        <v>394</v>
      </c>
      <c r="B435" s="111" t="s">
        <v>816</v>
      </c>
      <c r="C435" s="111" t="s">
        <v>405</v>
      </c>
      <c r="D435" s="111" t="s">
        <v>421</v>
      </c>
      <c r="E435" s="111" t="s">
        <v>817</v>
      </c>
      <c r="F435" s="112">
        <v>45717</v>
      </c>
      <c r="G435" s="113">
        <v>136</v>
      </c>
      <c r="H435" s="113">
        <v>136</v>
      </c>
      <c r="J435" s="113">
        <v>136</v>
      </c>
      <c r="K435" s="113">
        <f>G435-J435</f>
        <v>0</v>
      </c>
    </row>
    <row r="436" spans="1:11" hidden="1" outlineLevel="3">
      <c r="A436" s="111" t="s">
        <v>394</v>
      </c>
      <c r="B436" s="111" t="s">
        <v>816</v>
      </c>
      <c r="C436" s="111" t="s">
        <v>396</v>
      </c>
      <c r="D436" s="111" t="s">
        <v>422</v>
      </c>
      <c r="E436" s="111" t="s">
        <v>817</v>
      </c>
      <c r="F436" s="112">
        <v>45717</v>
      </c>
      <c r="G436" s="113">
        <v>992</v>
      </c>
      <c r="H436" s="113">
        <v>992</v>
      </c>
      <c r="J436" s="113">
        <v>974</v>
      </c>
      <c r="K436" s="113">
        <f>G436-J436</f>
        <v>18</v>
      </c>
    </row>
    <row r="437" spans="1:11" hidden="1" outlineLevel="3">
      <c r="A437" s="111" t="s">
        <v>394</v>
      </c>
      <c r="B437" s="111" t="s">
        <v>816</v>
      </c>
      <c r="C437" s="111" t="s">
        <v>400</v>
      </c>
      <c r="D437" s="111" t="s">
        <v>413</v>
      </c>
      <c r="E437" s="111" t="s">
        <v>817</v>
      </c>
      <c r="F437" s="112">
        <v>45717</v>
      </c>
      <c r="G437" s="113">
        <v>2530</v>
      </c>
      <c r="H437" s="113">
        <v>2530</v>
      </c>
      <c r="J437" s="113">
        <v>2488</v>
      </c>
      <c r="K437" s="113">
        <f>G437-J437</f>
        <v>42</v>
      </c>
    </row>
    <row r="438" spans="1:11" outlineLevel="2" collapsed="1">
      <c r="B438" s="114" t="s">
        <v>818</v>
      </c>
      <c r="F438" s="112"/>
      <c r="G438" s="113">
        <f>SUBTOTAL(9,G435:G437)</f>
        <v>3658</v>
      </c>
      <c r="J438" s="113">
        <f>SUBTOTAL(9,J435:J437)</f>
        <v>3598</v>
      </c>
      <c r="K438" s="113">
        <f>SUBTOTAL(9,K435:K437)</f>
        <v>60</v>
      </c>
    </row>
    <row r="439" spans="1:11" hidden="1" outlineLevel="3">
      <c r="A439" s="111" t="s">
        <v>394</v>
      </c>
      <c r="B439" s="111" t="s">
        <v>819</v>
      </c>
      <c r="C439" s="111" t="s">
        <v>403</v>
      </c>
      <c r="D439" s="111" t="s">
        <v>403</v>
      </c>
      <c r="E439" s="111" t="s">
        <v>820</v>
      </c>
      <c r="F439" s="112">
        <v>45731</v>
      </c>
      <c r="G439" s="113">
        <v>450.8</v>
      </c>
      <c r="H439" s="113">
        <v>450.8</v>
      </c>
      <c r="J439" s="113">
        <v>450.8</v>
      </c>
      <c r="K439" s="113">
        <f>G439-J439</f>
        <v>0</v>
      </c>
    </row>
    <row r="440" spans="1:11" hidden="1" outlineLevel="3">
      <c r="A440" s="111" t="s">
        <v>394</v>
      </c>
      <c r="B440" s="111" t="s">
        <v>819</v>
      </c>
      <c r="C440" s="111" t="s">
        <v>405</v>
      </c>
      <c r="D440" s="111" t="s">
        <v>405</v>
      </c>
      <c r="E440" s="111" t="s">
        <v>820</v>
      </c>
      <c r="F440" s="112">
        <v>45731</v>
      </c>
      <c r="G440" s="113">
        <v>1277.06</v>
      </c>
      <c r="H440" s="113">
        <v>1277.06</v>
      </c>
      <c r="J440" s="113">
        <v>1277.06</v>
      </c>
      <c r="K440" s="113">
        <f>G440-J440</f>
        <v>0</v>
      </c>
    </row>
    <row r="441" spans="1:11" hidden="1" outlineLevel="3">
      <c r="A441" s="111" t="s">
        <v>394</v>
      </c>
      <c r="B441" s="111" t="s">
        <v>819</v>
      </c>
      <c r="C441" s="111" t="s">
        <v>396</v>
      </c>
      <c r="D441" s="111" t="s">
        <v>396</v>
      </c>
      <c r="E441" s="111" t="s">
        <v>820</v>
      </c>
      <c r="F441" s="112">
        <v>45731</v>
      </c>
      <c r="G441" s="113">
        <v>91</v>
      </c>
      <c r="H441" s="113">
        <v>91</v>
      </c>
      <c r="J441" s="113">
        <v>91</v>
      </c>
      <c r="K441" s="113">
        <f>G441-J441</f>
        <v>0</v>
      </c>
    </row>
    <row r="442" spans="1:11" outlineLevel="2" collapsed="1">
      <c r="B442" s="114" t="s">
        <v>821</v>
      </c>
      <c r="F442" s="112"/>
      <c r="G442" s="113">
        <f>SUBTOTAL(9,G439:G441)</f>
        <v>1818.86</v>
      </c>
      <c r="J442" s="113">
        <f>SUBTOTAL(9,J439:J441)</f>
        <v>1818.86</v>
      </c>
      <c r="K442" s="113">
        <f>SUBTOTAL(9,K439:K441)</f>
        <v>0</v>
      </c>
    </row>
    <row r="443" spans="1:11" hidden="1" outlineLevel="3">
      <c r="A443" s="111" t="s">
        <v>394</v>
      </c>
      <c r="B443" s="111" t="s">
        <v>822</v>
      </c>
      <c r="C443" s="111" t="s">
        <v>408</v>
      </c>
      <c r="D443" s="111" t="s">
        <v>524</v>
      </c>
      <c r="E443" s="111" t="s">
        <v>823</v>
      </c>
      <c r="F443" s="112">
        <v>45731</v>
      </c>
      <c r="G443" s="113">
        <v>190.5</v>
      </c>
      <c r="H443" s="113">
        <v>190.5</v>
      </c>
      <c r="J443" s="113">
        <v>190.5</v>
      </c>
      <c r="K443" s="113">
        <f>G443-J443</f>
        <v>0</v>
      </c>
    </row>
    <row r="444" spans="1:11" hidden="1" outlineLevel="3">
      <c r="A444" s="111" t="s">
        <v>394</v>
      </c>
      <c r="B444" s="111" t="s">
        <v>822</v>
      </c>
      <c r="C444" s="111" t="s">
        <v>405</v>
      </c>
      <c r="D444" s="111" t="s">
        <v>405</v>
      </c>
      <c r="E444" s="111" t="s">
        <v>824</v>
      </c>
      <c r="F444" s="112">
        <v>45731</v>
      </c>
      <c r="G444" s="113">
        <v>314.51</v>
      </c>
      <c r="H444" s="113">
        <v>314.51</v>
      </c>
      <c r="J444" s="113">
        <v>314.51</v>
      </c>
      <c r="K444" s="113">
        <f>G444-J444</f>
        <v>0</v>
      </c>
    </row>
    <row r="445" spans="1:11" hidden="1" outlineLevel="3">
      <c r="A445" s="111" t="s">
        <v>394</v>
      </c>
      <c r="B445" s="111" t="s">
        <v>822</v>
      </c>
      <c r="C445" s="111" t="s">
        <v>396</v>
      </c>
      <c r="D445" s="111" t="s">
        <v>396</v>
      </c>
      <c r="E445" s="111" t="s">
        <v>824</v>
      </c>
      <c r="F445" s="112">
        <v>45731</v>
      </c>
      <c r="G445" s="113">
        <v>742</v>
      </c>
      <c r="H445" s="113">
        <v>742</v>
      </c>
      <c r="J445" s="113">
        <v>742</v>
      </c>
      <c r="K445" s="113">
        <f>G445-J445</f>
        <v>0</v>
      </c>
    </row>
    <row r="446" spans="1:11" hidden="1" outlineLevel="3">
      <c r="A446" s="111" t="s">
        <v>394</v>
      </c>
      <c r="B446" s="111" t="s">
        <v>822</v>
      </c>
      <c r="C446" s="111" t="s">
        <v>400</v>
      </c>
      <c r="D446" s="111" t="s">
        <v>400</v>
      </c>
      <c r="E446" s="111" t="s">
        <v>824</v>
      </c>
      <c r="F446" s="112">
        <v>45731</v>
      </c>
      <c r="G446" s="113">
        <v>1474</v>
      </c>
      <c r="H446" s="113">
        <v>1474</v>
      </c>
      <c r="J446" s="113">
        <v>1474</v>
      </c>
      <c r="K446" s="113">
        <f>G446-J446</f>
        <v>0</v>
      </c>
    </row>
    <row r="447" spans="1:11" outlineLevel="2" collapsed="1">
      <c r="B447" s="114" t="s">
        <v>825</v>
      </c>
      <c r="F447" s="112"/>
      <c r="G447" s="113">
        <f>SUBTOTAL(9,G443:G446)</f>
        <v>2721.01</v>
      </c>
      <c r="J447" s="113">
        <f>SUBTOTAL(9,J443:J446)</f>
        <v>2721.01</v>
      </c>
      <c r="K447" s="113">
        <f>SUBTOTAL(9,K443:K446)</f>
        <v>0</v>
      </c>
    </row>
    <row r="448" spans="1:11" hidden="1" outlineLevel="3">
      <c r="A448" s="111" t="s">
        <v>394</v>
      </c>
      <c r="B448" s="111" t="s">
        <v>826</v>
      </c>
      <c r="C448" s="111" t="s">
        <v>408</v>
      </c>
      <c r="D448" s="111" t="s">
        <v>524</v>
      </c>
      <c r="E448" s="111" t="s">
        <v>827</v>
      </c>
      <c r="F448" s="112">
        <v>45717</v>
      </c>
      <c r="G448" s="113">
        <v>1815.6</v>
      </c>
      <c r="H448" s="113">
        <v>1815.6</v>
      </c>
      <c r="J448" s="113">
        <v>1815.6</v>
      </c>
      <c r="K448" s="113">
        <f>G448-J448</f>
        <v>0</v>
      </c>
    </row>
    <row r="449" spans="1:11" hidden="1" outlineLevel="3">
      <c r="A449" s="111" t="s">
        <v>394</v>
      </c>
      <c r="B449" s="111" t="s">
        <v>826</v>
      </c>
      <c r="C449" s="111" t="s">
        <v>405</v>
      </c>
      <c r="D449" s="111" t="s">
        <v>405</v>
      </c>
      <c r="E449" s="111" t="s">
        <v>827</v>
      </c>
      <c r="F449" s="112">
        <v>45717</v>
      </c>
      <c r="G449" s="113">
        <v>983</v>
      </c>
      <c r="H449" s="113">
        <v>983</v>
      </c>
      <c r="J449" s="113">
        <v>1003</v>
      </c>
      <c r="K449" s="113">
        <f>G449-J449</f>
        <v>-20</v>
      </c>
    </row>
    <row r="450" spans="1:11" hidden="1" outlineLevel="3">
      <c r="A450" s="111" t="s">
        <v>394</v>
      </c>
      <c r="B450" s="111" t="s">
        <v>826</v>
      </c>
      <c r="C450" s="111" t="s">
        <v>396</v>
      </c>
      <c r="D450" s="111" t="s">
        <v>396</v>
      </c>
      <c r="E450" s="111" t="s">
        <v>827</v>
      </c>
      <c r="F450" s="112">
        <v>45717</v>
      </c>
      <c r="G450" s="113">
        <v>1703.5</v>
      </c>
      <c r="H450" s="113">
        <v>1703.5</v>
      </c>
      <c r="J450" s="113">
        <v>1716.5</v>
      </c>
      <c r="K450" s="113">
        <f>G450-J450</f>
        <v>-13</v>
      </c>
    </row>
    <row r="451" spans="1:11" hidden="1" outlineLevel="3">
      <c r="A451" s="111" t="s">
        <v>394</v>
      </c>
      <c r="B451" s="111" t="s">
        <v>826</v>
      </c>
      <c r="C451" s="111" t="s">
        <v>400</v>
      </c>
      <c r="D451" s="111" t="s">
        <v>400</v>
      </c>
      <c r="E451" s="111" t="s">
        <v>827</v>
      </c>
      <c r="F451" s="112">
        <v>45717</v>
      </c>
      <c r="G451" s="113">
        <v>5263.4</v>
      </c>
      <c r="H451" s="113">
        <v>5263.4</v>
      </c>
      <c r="J451" s="113">
        <v>5263.4</v>
      </c>
      <c r="K451" s="113">
        <f>G451-J451</f>
        <v>0</v>
      </c>
    </row>
    <row r="452" spans="1:11" outlineLevel="2" collapsed="1">
      <c r="B452" s="114" t="s">
        <v>828</v>
      </c>
      <c r="F452" s="112"/>
      <c r="G452" s="113">
        <f>SUBTOTAL(9,G448:G451)</f>
        <v>9765.5</v>
      </c>
      <c r="J452" s="113">
        <f>SUBTOTAL(9,J448:J451)</f>
        <v>9798.5</v>
      </c>
      <c r="K452" s="113">
        <f>SUBTOTAL(9,K448:K451)</f>
        <v>-33</v>
      </c>
    </row>
    <row r="453" spans="1:11" hidden="1" outlineLevel="3">
      <c r="A453" s="111" t="s">
        <v>394</v>
      </c>
      <c r="B453" s="111" t="s">
        <v>829</v>
      </c>
      <c r="C453" s="111" t="s">
        <v>408</v>
      </c>
      <c r="D453" s="111" t="s">
        <v>830</v>
      </c>
      <c r="E453" s="111" t="s">
        <v>831</v>
      </c>
      <c r="F453" s="112">
        <v>45717</v>
      </c>
      <c r="G453" s="113">
        <v>1453.1</v>
      </c>
      <c r="H453" s="113">
        <v>1453.1</v>
      </c>
      <c r="J453" s="113">
        <v>1453.1</v>
      </c>
      <c r="K453" s="113">
        <f>G453-J453</f>
        <v>0</v>
      </c>
    </row>
    <row r="454" spans="1:11" hidden="1" outlineLevel="3">
      <c r="A454" s="111" t="s">
        <v>394</v>
      </c>
      <c r="B454" s="111" t="s">
        <v>829</v>
      </c>
      <c r="C454" s="111" t="s">
        <v>405</v>
      </c>
      <c r="D454" s="111" t="s">
        <v>405</v>
      </c>
      <c r="E454" s="111" t="s">
        <v>831</v>
      </c>
      <c r="F454" s="112">
        <v>45717</v>
      </c>
      <c r="G454" s="113">
        <v>0</v>
      </c>
      <c r="H454" s="113">
        <v>0</v>
      </c>
      <c r="J454" s="113">
        <v>0</v>
      </c>
      <c r="K454" s="113">
        <f>G454-J454</f>
        <v>0</v>
      </c>
    </row>
    <row r="455" spans="1:11" hidden="1" outlineLevel="3">
      <c r="A455" s="111" t="s">
        <v>394</v>
      </c>
      <c r="B455" s="111" t="s">
        <v>829</v>
      </c>
      <c r="C455" s="111" t="s">
        <v>396</v>
      </c>
      <c r="D455" s="111" t="s">
        <v>396</v>
      </c>
      <c r="E455" s="111" t="s">
        <v>831</v>
      </c>
      <c r="F455" s="112">
        <v>45717</v>
      </c>
      <c r="G455" s="113">
        <v>250</v>
      </c>
      <c r="H455" s="113">
        <v>250</v>
      </c>
      <c r="J455" s="113">
        <v>250</v>
      </c>
      <c r="K455" s="113">
        <f>G455-J455</f>
        <v>0</v>
      </c>
    </row>
    <row r="456" spans="1:11" hidden="1" outlineLevel="3">
      <c r="A456" s="111" t="s">
        <v>394</v>
      </c>
      <c r="B456" s="111" t="s">
        <v>829</v>
      </c>
      <c r="C456" s="111" t="s">
        <v>400</v>
      </c>
      <c r="D456" s="111" t="s">
        <v>832</v>
      </c>
      <c r="E456" s="111" t="s">
        <v>831</v>
      </c>
      <c r="F456" s="112">
        <v>45717</v>
      </c>
      <c r="G456" s="113">
        <v>5512.5</v>
      </c>
      <c r="H456" s="113">
        <v>5512.5</v>
      </c>
      <c r="J456" s="113">
        <v>5512.5</v>
      </c>
      <c r="K456" s="113">
        <f>G456-J456</f>
        <v>0</v>
      </c>
    </row>
    <row r="457" spans="1:11" outlineLevel="2" collapsed="1">
      <c r="B457" s="114" t="s">
        <v>833</v>
      </c>
      <c r="F457" s="112"/>
      <c r="G457" s="113">
        <f>SUBTOTAL(9,G453:G456)</f>
        <v>7215.6</v>
      </c>
      <c r="J457" s="113">
        <f>SUBTOTAL(9,J453:J456)</f>
        <v>7215.6</v>
      </c>
      <c r="K457" s="113">
        <f>SUBTOTAL(9,K453:K456)</f>
        <v>0</v>
      </c>
    </row>
    <row r="458" spans="1:11" hidden="1" outlineLevel="3">
      <c r="A458" s="111" t="s">
        <v>394</v>
      </c>
      <c r="B458" s="111" t="s">
        <v>834</v>
      </c>
      <c r="C458" s="111" t="s">
        <v>408</v>
      </c>
      <c r="D458" s="111" t="s">
        <v>408</v>
      </c>
      <c r="E458" s="111" t="s">
        <v>835</v>
      </c>
      <c r="F458" s="112">
        <v>45717</v>
      </c>
      <c r="G458" s="113">
        <v>2751.2</v>
      </c>
      <c r="H458" s="113">
        <v>2751.2</v>
      </c>
      <c r="J458" s="113">
        <v>2751.2</v>
      </c>
      <c r="K458" s="113">
        <f>G458-J458</f>
        <v>0</v>
      </c>
    </row>
    <row r="459" spans="1:11" hidden="1" outlineLevel="3">
      <c r="A459" s="111" t="s">
        <v>394</v>
      </c>
      <c r="B459" s="111" t="s">
        <v>834</v>
      </c>
      <c r="C459" s="111" t="s">
        <v>405</v>
      </c>
      <c r="D459" s="111" t="s">
        <v>405</v>
      </c>
      <c r="E459" s="111" t="s">
        <v>835</v>
      </c>
      <c r="F459" s="112">
        <v>45717</v>
      </c>
      <c r="G459" s="113">
        <v>471</v>
      </c>
      <c r="H459" s="113">
        <v>471</v>
      </c>
      <c r="J459" s="113">
        <v>471</v>
      </c>
      <c r="K459" s="113">
        <f>G459-J459</f>
        <v>0</v>
      </c>
    </row>
    <row r="460" spans="1:11" hidden="1" outlineLevel="3">
      <c r="A460" s="111" t="s">
        <v>394</v>
      </c>
      <c r="B460" s="111" t="s">
        <v>834</v>
      </c>
      <c r="C460" s="111" t="s">
        <v>405</v>
      </c>
      <c r="D460" s="111" t="s">
        <v>836</v>
      </c>
      <c r="E460" s="111" t="s">
        <v>837</v>
      </c>
      <c r="F460" s="112">
        <v>45717</v>
      </c>
      <c r="G460" s="113">
        <v>60</v>
      </c>
      <c r="H460" s="113">
        <v>60</v>
      </c>
      <c r="J460" s="113">
        <v>60</v>
      </c>
      <c r="K460" s="113">
        <f>G460-J460</f>
        <v>0</v>
      </c>
    </row>
    <row r="461" spans="1:11" hidden="1" outlineLevel="3">
      <c r="A461" s="111" t="s">
        <v>394</v>
      </c>
      <c r="B461" s="111" t="s">
        <v>834</v>
      </c>
      <c r="C461" s="111" t="s">
        <v>396</v>
      </c>
      <c r="D461" s="111" t="s">
        <v>396</v>
      </c>
      <c r="E461" s="111" t="s">
        <v>838</v>
      </c>
      <c r="F461" s="112">
        <v>45717</v>
      </c>
      <c r="G461" s="113">
        <v>1195.25</v>
      </c>
      <c r="H461" s="113">
        <v>1195.25</v>
      </c>
      <c r="J461" s="113">
        <v>1185.5</v>
      </c>
      <c r="K461" s="113">
        <f>G461-J461</f>
        <v>9.75</v>
      </c>
    </row>
    <row r="462" spans="1:11" hidden="1" outlineLevel="3">
      <c r="A462" s="111" t="s">
        <v>394</v>
      </c>
      <c r="B462" s="111" t="s">
        <v>834</v>
      </c>
      <c r="C462" s="111" t="s">
        <v>400</v>
      </c>
      <c r="D462" s="111" t="s">
        <v>839</v>
      </c>
      <c r="E462" s="111" t="s">
        <v>835</v>
      </c>
      <c r="F462" s="112">
        <v>45717</v>
      </c>
      <c r="G462" s="113">
        <v>10757.78</v>
      </c>
      <c r="H462" s="113">
        <v>10757.78</v>
      </c>
      <c r="J462" s="113">
        <v>10757.78</v>
      </c>
      <c r="K462" s="113">
        <f>G462-J462</f>
        <v>0</v>
      </c>
    </row>
    <row r="463" spans="1:11" outlineLevel="2" collapsed="1">
      <c r="B463" s="114" t="s">
        <v>840</v>
      </c>
      <c r="F463" s="112"/>
      <c r="G463" s="113">
        <f>SUBTOTAL(9,G458:G462)</f>
        <v>15235.23</v>
      </c>
      <c r="J463" s="113">
        <f>SUBTOTAL(9,J458:J462)</f>
        <v>15225.48</v>
      </c>
      <c r="K463" s="113">
        <f>SUBTOTAL(9,K458:K462)</f>
        <v>9.75</v>
      </c>
    </row>
    <row r="464" spans="1:11" hidden="1" outlineLevel="3">
      <c r="A464" s="111" t="s">
        <v>394</v>
      </c>
      <c r="B464" s="111" t="s">
        <v>841</v>
      </c>
      <c r="C464" s="111" t="s">
        <v>405</v>
      </c>
      <c r="D464" s="111" t="s">
        <v>405</v>
      </c>
      <c r="E464" s="111" t="s">
        <v>842</v>
      </c>
      <c r="F464" s="112">
        <v>45717</v>
      </c>
      <c r="G464" s="113">
        <v>1429.039</v>
      </c>
      <c r="H464" s="113">
        <v>1429.039</v>
      </c>
      <c r="J464" s="113">
        <v>1427.5168000000001</v>
      </c>
      <c r="K464" s="113">
        <f>G464-J464</f>
        <v>1.5221999999998843</v>
      </c>
    </row>
    <row r="465" spans="1:11" hidden="1" outlineLevel="3">
      <c r="A465" s="111" t="s">
        <v>394</v>
      </c>
      <c r="B465" s="111" t="s">
        <v>841</v>
      </c>
      <c r="C465" s="111" t="s">
        <v>396</v>
      </c>
      <c r="D465" s="111" t="s">
        <v>396</v>
      </c>
      <c r="E465" s="111" t="s">
        <v>842</v>
      </c>
      <c r="F465" s="112">
        <v>45717</v>
      </c>
      <c r="G465" s="113">
        <v>331.5</v>
      </c>
      <c r="H465" s="113">
        <v>331.5</v>
      </c>
      <c r="J465" s="113">
        <v>331.5</v>
      </c>
      <c r="K465" s="113">
        <f>G465-J465</f>
        <v>0</v>
      </c>
    </row>
    <row r="466" spans="1:11" hidden="1" outlineLevel="3">
      <c r="A466" s="111" t="s">
        <v>394</v>
      </c>
      <c r="B466" s="111" t="s">
        <v>841</v>
      </c>
      <c r="C466" s="111" t="s">
        <v>400</v>
      </c>
      <c r="D466" s="111" t="s">
        <v>843</v>
      </c>
      <c r="E466" s="111" t="s">
        <v>842</v>
      </c>
      <c r="F466" s="112">
        <v>45717</v>
      </c>
      <c r="G466" s="113">
        <v>1E-3</v>
      </c>
      <c r="H466" s="113">
        <v>1E-3</v>
      </c>
      <c r="J466" s="113">
        <v>3.2000000000000002E-3</v>
      </c>
      <c r="K466" s="113">
        <f>G466-J466</f>
        <v>-2.2000000000000001E-3</v>
      </c>
    </row>
    <row r="467" spans="1:11" outlineLevel="2" collapsed="1">
      <c r="B467" s="114" t="s">
        <v>844</v>
      </c>
      <c r="F467" s="112"/>
      <c r="G467" s="113">
        <f>SUBTOTAL(9,G464:G466)</f>
        <v>1760.54</v>
      </c>
      <c r="J467" s="113">
        <f>SUBTOTAL(9,J464:J466)</f>
        <v>1759.0200000000002</v>
      </c>
      <c r="K467" s="113">
        <f>SUBTOTAL(9,K464:K466)</f>
        <v>1.5199999999998843</v>
      </c>
    </row>
    <row r="468" spans="1:11" hidden="1" outlineLevel="3">
      <c r="A468" s="111" t="s">
        <v>394</v>
      </c>
      <c r="B468" s="111" t="s">
        <v>845</v>
      </c>
      <c r="C468" s="111" t="s">
        <v>408</v>
      </c>
      <c r="D468" s="111" t="s">
        <v>408</v>
      </c>
      <c r="E468" s="111" t="s">
        <v>846</v>
      </c>
      <c r="F468" s="112">
        <v>45717</v>
      </c>
      <c r="G468" s="113">
        <v>1837.5</v>
      </c>
      <c r="H468" s="113">
        <v>1837.5</v>
      </c>
      <c r="J468" s="113">
        <v>1831</v>
      </c>
      <c r="K468" s="113">
        <f>G468-J468</f>
        <v>6.5</v>
      </c>
    </row>
    <row r="469" spans="1:11" hidden="1" outlineLevel="3">
      <c r="A469" s="111" t="s">
        <v>394</v>
      </c>
      <c r="B469" s="111" t="s">
        <v>845</v>
      </c>
      <c r="C469" s="111" t="s">
        <v>405</v>
      </c>
      <c r="D469" s="111" t="s">
        <v>405</v>
      </c>
      <c r="E469" s="111" t="s">
        <v>846</v>
      </c>
      <c r="F469" s="112">
        <v>45717</v>
      </c>
      <c r="G469" s="113">
        <v>10</v>
      </c>
      <c r="H469" s="113">
        <v>10</v>
      </c>
      <c r="J469" s="113">
        <v>10</v>
      </c>
      <c r="K469" s="113">
        <f>G469-J469</f>
        <v>0</v>
      </c>
    </row>
    <row r="470" spans="1:11" hidden="1" outlineLevel="3">
      <c r="A470" s="111" t="s">
        <v>394</v>
      </c>
      <c r="B470" s="111" t="s">
        <v>845</v>
      </c>
      <c r="C470" s="111" t="s">
        <v>396</v>
      </c>
      <c r="D470" s="111" t="s">
        <v>396</v>
      </c>
      <c r="E470" s="111" t="s">
        <v>846</v>
      </c>
      <c r="F470" s="112">
        <v>45717</v>
      </c>
      <c r="G470" s="113">
        <v>1165</v>
      </c>
      <c r="H470" s="113">
        <v>1165</v>
      </c>
      <c r="J470" s="113">
        <v>1165</v>
      </c>
      <c r="K470" s="113">
        <f>G470-J470</f>
        <v>0</v>
      </c>
    </row>
    <row r="471" spans="1:11" hidden="1" outlineLevel="3">
      <c r="A471" s="111" t="s">
        <v>394</v>
      </c>
      <c r="B471" s="111" t="s">
        <v>845</v>
      </c>
      <c r="C471" s="111" t="s">
        <v>400</v>
      </c>
      <c r="D471" s="111" t="s">
        <v>400</v>
      </c>
      <c r="E471" s="111" t="s">
        <v>846</v>
      </c>
      <c r="F471" s="112">
        <v>45717</v>
      </c>
      <c r="G471" s="113">
        <v>4850</v>
      </c>
      <c r="H471" s="113">
        <v>4850</v>
      </c>
      <c r="J471" s="113">
        <v>4850</v>
      </c>
      <c r="K471" s="113">
        <f>G471-J471</f>
        <v>0</v>
      </c>
    </row>
    <row r="472" spans="1:11" hidden="1" outlineLevel="3">
      <c r="A472" s="111" t="s">
        <v>394</v>
      </c>
      <c r="B472" s="111" t="s">
        <v>845</v>
      </c>
      <c r="C472" s="111" t="s">
        <v>468</v>
      </c>
      <c r="D472" s="111" t="s">
        <v>468</v>
      </c>
      <c r="E472" s="111" t="s">
        <v>846</v>
      </c>
      <c r="F472" s="112">
        <v>45717</v>
      </c>
      <c r="G472" s="113">
        <v>750</v>
      </c>
      <c r="H472" s="113">
        <v>750</v>
      </c>
      <c r="J472" s="113">
        <v>750</v>
      </c>
      <c r="K472" s="113">
        <f>G472-J472</f>
        <v>0</v>
      </c>
    </row>
    <row r="473" spans="1:11" outlineLevel="2" collapsed="1">
      <c r="B473" s="114" t="s">
        <v>847</v>
      </c>
      <c r="F473" s="112"/>
      <c r="G473" s="113">
        <f>SUBTOTAL(9,G468:G472)</f>
        <v>8612.5</v>
      </c>
      <c r="J473" s="113">
        <f>SUBTOTAL(9,J468:J472)</f>
        <v>8606</v>
      </c>
      <c r="K473" s="113">
        <f>SUBTOTAL(9,K468:K472)</f>
        <v>6.5</v>
      </c>
    </row>
    <row r="474" spans="1:11" hidden="1" outlineLevel="3">
      <c r="A474" s="111" t="s">
        <v>394</v>
      </c>
      <c r="B474" s="111" t="s">
        <v>848</v>
      </c>
      <c r="C474" s="111" t="s">
        <v>405</v>
      </c>
      <c r="D474" s="111" t="s">
        <v>405</v>
      </c>
      <c r="E474" s="111" t="s">
        <v>849</v>
      </c>
      <c r="F474" s="112">
        <v>45717</v>
      </c>
      <c r="G474" s="113">
        <v>0</v>
      </c>
      <c r="H474" s="113">
        <v>0</v>
      </c>
      <c r="J474" s="113">
        <v>0</v>
      </c>
      <c r="K474" s="113">
        <f>G474-J474</f>
        <v>0</v>
      </c>
    </row>
    <row r="475" spans="1:11" hidden="1" outlineLevel="3">
      <c r="A475" s="111" t="s">
        <v>394</v>
      </c>
      <c r="B475" s="111" t="s">
        <v>848</v>
      </c>
      <c r="C475" s="111" t="s">
        <v>400</v>
      </c>
      <c r="D475" s="111" t="s">
        <v>850</v>
      </c>
      <c r="E475" s="111" t="s">
        <v>849</v>
      </c>
      <c r="F475" s="112">
        <v>45717</v>
      </c>
      <c r="G475" s="113">
        <v>3675</v>
      </c>
      <c r="H475" s="113">
        <v>3675</v>
      </c>
      <c r="J475" s="113">
        <v>3675</v>
      </c>
      <c r="K475" s="113">
        <f>G475-J475</f>
        <v>0</v>
      </c>
    </row>
    <row r="476" spans="1:11" outlineLevel="2" collapsed="1">
      <c r="B476" s="114" t="s">
        <v>851</v>
      </c>
      <c r="F476" s="112"/>
      <c r="G476" s="113">
        <f>SUBTOTAL(9,G474:G475)</f>
        <v>3675</v>
      </c>
      <c r="J476" s="113">
        <f>SUBTOTAL(9,J474:J475)</f>
        <v>3675</v>
      </c>
      <c r="K476" s="113">
        <f>SUBTOTAL(9,K474:K475)</f>
        <v>0</v>
      </c>
    </row>
    <row r="477" spans="1:11" hidden="1" outlineLevel="3">
      <c r="A477" s="111" t="s">
        <v>394</v>
      </c>
      <c r="B477" s="111" t="s">
        <v>852</v>
      </c>
      <c r="C477" s="111" t="s">
        <v>408</v>
      </c>
      <c r="D477" s="111" t="s">
        <v>408</v>
      </c>
      <c r="E477" s="111" t="s">
        <v>853</v>
      </c>
      <c r="F477" s="112">
        <v>45717</v>
      </c>
      <c r="G477" s="113">
        <v>125</v>
      </c>
      <c r="H477" s="113">
        <v>125</v>
      </c>
      <c r="J477" s="113">
        <v>125</v>
      </c>
      <c r="K477" s="113">
        <f>G477-J477</f>
        <v>0</v>
      </c>
    </row>
    <row r="478" spans="1:11" hidden="1" outlineLevel="3">
      <c r="A478" s="111" t="s">
        <v>394</v>
      </c>
      <c r="B478" s="111" t="s">
        <v>852</v>
      </c>
      <c r="C478" s="111" t="s">
        <v>405</v>
      </c>
      <c r="D478" s="111" t="s">
        <v>405</v>
      </c>
      <c r="E478" s="111" t="s">
        <v>853</v>
      </c>
      <c r="F478" s="112">
        <v>45717</v>
      </c>
      <c r="G478" s="113">
        <v>254.75</v>
      </c>
      <c r="H478" s="113">
        <v>254.75</v>
      </c>
      <c r="J478" s="113">
        <v>254.75</v>
      </c>
      <c r="K478" s="113">
        <f>G478-J478</f>
        <v>0</v>
      </c>
    </row>
    <row r="479" spans="1:11" hidden="1" outlineLevel="3">
      <c r="A479" s="111" t="s">
        <v>394</v>
      </c>
      <c r="B479" s="111" t="s">
        <v>852</v>
      </c>
      <c r="C479" s="111" t="s">
        <v>396</v>
      </c>
      <c r="D479" s="111" t="s">
        <v>396</v>
      </c>
      <c r="E479" s="111" t="s">
        <v>853</v>
      </c>
      <c r="F479" s="112">
        <v>45717</v>
      </c>
      <c r="G479" s="113">
        <v>91</v>
      </c>
      <c r="H479" s="113">
        <v>91</v>
      </c>
      <c r="J479" s="113">
        <v>98</v>
      </c>
      <c r="K479" s="113">
        <f>G479-J479</f>
        <v>-7</v>
      </c>
    </row>
    <row r="480" spans="1:11" hidden="1" outlineLevel="3">
      <c r="A480" s="111" t="s">
        <v>394</v>
      </c>
      <c r="B480" s="111" t="s">
        <v>852</v>
      </c>
      <c r="C480" s="111" t="s">
        <v>400</v>
      </c>
      <c r="D480" s="111" t="s">
        <v>854</v>
      </c>
      <c r="E480" s="111" t="s">
        <v>853</v>
      </c>
      <c r="F480" s="112">
        <v>45717</v>
      </c>
      <c r="G480" s="113">
        <v>2060.8000000000002</v>
      </c>
      <c r="H480" s="113">
        <v>2060.8000000000002</v>
      </c>
      <c r="J480" s="113">
        <v>2060.8000000000002</v>
      </c>
      <c r="K480" s="113">
        <f>G480-J480</f>
        <v>0</v>
      </c>
    </row>
    <row r="481" spans="1:11" outlineLevel="2" collapsed="1">
      <c r="B481" s="114" t="s">
        <v>855</v>
      </c>
      <c r="F481" s="112"/>
      <c r="G481" s="113">
        <f>SUBTOTAL(9,G477:G480)</f>
        <v>2531.5500000000002</v>
      </c>
      <c r="J481" s="113">
        <f>SUBTOTAL(9,J477:J480)</f>
        <v>2538.5500000000002</v>
      </c>
      <c r="K481" s="113">
        <f>SUBTOTAL(9,K477:K480)</f>
        <v>-7</v>
      </c>
    </row>
    <row r="482" spans="1:11" hidden="1" outlineLevel="3">
      <c r="A482" s="111" t="s">
        <v>394</v>
      </c>
      <c r="B482" s="111" t="s">
        <v>856</v>
      </c>
      <c r="C482" s="111" t="s">
        <v>403</v>
      </c>
      <c r="D482" s="111" t="s">
        <v>857</v>
      </c>
      <c r="E482" s="111" t="s">
        <v>858</v>
      </c>
      <c r="F482" s="112">
        <v>45717</v>
      </c>
      <c r="G482" s="113">
        <v>586</v>
      </c>
      <c r="H482" s="113">
        <v>586</v>
      </c>
      <c r="J482" s="113">
        <v>586</v>
      </c>
      <c r="K482" s="113">
        <f>G482-J482</f>
        <v>0</v>
      </c>
    </row>
    <row r="483" spans="1:11" hidden="1" outlineLevel="3">
      <c r="A483" s="111" t="s">
        <v>394</v>
      </c>
      <c r="B483" s="111" t="s">
        <v>856</v>
      </c>
      <c r="C483" s="111" t="s">
        <v>405</v>
      </c>
      <c r="D483" s="111" t="s">
        <v>405</v>
      </c>
      <c r="E483" s="111" t="s">
        <v>858</v>
      </c>
      <c r="F483" s="112">
        <v>45717</v>
      </c>
      <c r="G483" s="113">
        <v>168</v>
      </c>
      <c r="H483" s="113">
        <v>168</v>
      </c>
      <c r="J483" s="113">
        <v>168</v>
      </c>
      <c r="K483" s="113">
        <f>G483-J483</f>
        <v>0</v>
      </c>
    </row>
    <row r="484" spans="1:11" hidden="1" outlineLevel="3">
      <c r="A484" s="111" t="s">
        <v>394</v>
      </c>
      <c r="B484" s="111" t="s">
        <v>856</v>
      </c>
      <c r="C484" s="111" t="s">
        <v>396</v>
      </c>
      <c r="D484" s="111" t="s">
        <v>396</v>
      </c>
      <c r="E484" s="111" t="s">
        <v>858</v>
      </c>
      <c r="F484" s="112">
        <v>45717</v>
      </c>
      <c r="G484" s="113">
        <v>140</v>
      </c>
      <c r="H484" s="113">
        <v>140</v>
      </c>
      <c r="J484" s="113">
        <v>140</v>
      </c>
      <c r="K484" s="113">
        <f>G484-J484</f>
        <v>0</v>
      </c>
    </row>
    <row r="485" spans="1:11" hidden="1" outlineLevel="3">
      <c r="A485" s="111" t="s">
        <v>394</v>
      </c>
      <c r="B485" s="111" t="s">
        <v>856</v>
      </c>
      <c r="C485" s="111" t="s">
        <v>400</v>
      </c>
      <c r="D485" s="111" t="s">
        <v>859</v>
      </c>
      <c r="E485" s="111" t="s">
        <v>858</v>
      </c>
      <c r="F485" s="112">
        <v>45717</v>
      </c>
      <c r="G485" s="113">
        <v>2463</v>
      </c>
      <c r="H485" s="113">
        <v>2463</v>
      </c>
      <c r="J485" s="113">
        <v>2463</v>
      </c>
      <c r="K485" s="113">
        <f>G485-J485</f>
        <v>0</v>
      </c>
    </row>
    <row r="486" spans="1:11" outlineLevel="2" collapsed="1">
      <c r="B486" s="114" t="s">
        <v>860</v>
      </c>
      <c r="F486" s="112"/>
      <c r="G486" s="113">
        <f>SUBTOTAL(9,G482:G485)</f>
        <v>3357</v>
      </c>
      <c r="J486" s="113">
        <f>SUBTOTAL(9,J482:J485)</f>
        <v>3357</v>
      </c>
      <c r="K486" s="113">
        <f>SUBTOTAL(9,K482:K485)</f>
        <v>0</v>
      </c>
    </row>
    <row r="487" spans="1:11" hidden="1" outlineLevel="3">
      <c r="A487" s="111" t="s">
        <v>394</v>
      </c>
      <c r="B487" s="111" t="s">
        <v>861</v>
      </c>
      <c r="C487" s="111" t="s">
        <v>405</v>
      </c>
      <c r="D487" s="111" t="s">
        <v>405</v>
      </c>
      <c r="E487" s="111" t="s">
        <v>862</v>
      </c>
      <c r="F487" s="112">
        <v>45717</v>
      </c>
      <c r="G487" s="113">
        <v>309</v>
      </c>
      <c r="H487" s="113">
        <v>309</v>
      </c>
      <c r="J487" s="113">
        <v>309</v>
      </c>
      <c r="K487" s="113">
        <f>G487-J487</f>
        <v>0</v>
      </c>
    </row>
    <row r="488" spans="1:11" hidden="1" outlineLevel="3">
      <c r="A488" s="111" t="s">
        <v>394</v>
      </c>
      <c r="B488" s="111" t="s">
        <v>861</v>
      </c>
      <c r="C488" s="111" t="s">
        <v>396</v>
      </c>
      <c r="D488" s="111" t="s">
        <v>396</v>
      </c>
      <c r="E488" s="111" t="s">
        <v>862</v>
      </c>
      <c r="F488" s="112">
        <v>45717</v>
      </c>
      <c r="G488" s="113">
        <v>1056</v>
      </c>
      <c r="H488" s="113">
        <v>1056</v>
      </c>
      <c r="J488" s="113">
        <v>1100</v>
      </c>
      <c r="K488" s="113">
        <f>G488-J488</f>
        <v>-44</v>
      </c>
    </row>
    <row r="489" spans="1:11" hidden="1" outlineLevel="3">
      <c r="A489" s="111" t="s">
        <v>394</v>
      </c>
      <c r="B489" s="111" t="s">
        <v>861</v>
      </c>
      <c r="C489" s="111" t="s">
        <v>400</v>
      </c>
      <c r="D489" s="111" t="s">
        <v>863</v>
      </c>
      <c r="E489" s="111" t="s">
        <v>862</v>
      </c>
      <c r="F489" s="112">
        <v>45717</v>
      </c>
      <c r="G489" s="113">
        <v>5549.57</v>
      </c>
      <c r="H489" s="113">
        <v>5549.57</v>
      </c>
      <c r="J489" s="113">
        <v>5549.57</v>
      </c>
      <c r="K489" s="113">
        <f>G489-J489</f>
        <v>0</v>
      </c>
    </row>
    <row r="490" spans="1:11" hidden="1" outlineLevel="3">
      <c r="A490" s="111" t="s">
        <v>394</v>
      </c>
      <c r="B490" s="111" t="s">
        <v>861</v>
      </c>
      <c r="C490" s="111" t="s">
        <v>468</v>
      </c>
      <c r="D490" s="111" t="s">
        <v>468</v>
      </c>
      <c r="E490" s="111" t="s">
        <v>862</v>
      </c>
      <c r="F490" s="112">
        <v>45717</v>
      </c>
      <c r="G490" s="113">
        <v>101.51</v>
      </c>
      <c r="H490" s="113">
        <v>101.51</v>
      </c>
      <c r="J490" s="113">
        <v>101.51</v>
      </c>
      <c r="K490" s="113">
        <f>G490-J490</f>
        <v>0</v>
      </c>
    </row>
    <row r="491" spans="1:11" outlineLevel="2" collapsed="1">
      <c r="B491" s="114" t="s">
        <v>864</v>
      </c>
      <c r="F491" s="112"/>
      <c r="G491" s="113">
        <f>SUBTOTAL(9,G487:G490)</f>
        <v>7016.08</v>
      </c>
      <c r="J491" s="113">
        <f>SUBTOTAL(9,J487:J490)</f>
        <v>7060.08</v>
      </c>
      <c r="K491" s="113">
        <f>SUBTOTAL(9,K487:K490)</f>
        <v>-44</v>
      </c>
    </row>
    <row r="492" spans="1:11" hidden="1" outlineLevel="3">
      <c r="A492" s="111" t="s">
        <v>394</v>
      </c>
      <c r="B492" s="111" t="s">
        <v>865</v>
      </c>
      <c r="C492" s="111" t="s">
        <v>405</v>
      </c>
      <c r="D492" s="111" t="s">
        <v>405</v>
      </c>
      <c r="E492" s="111" t="s">
        <v>866</v>
      </c>
      <c r="F492" s="112">
        <v>45717</v>
      </c>
      <c r="G492" s="113">
        <v>130</v>
      </c>
      <c r="H492" s="113">
        <v>130</v>
      </c>
      <c r="J492" s="113">
        <v>130</v>
      </c>
      <c r="K492" s="113">
        <f>G492-J492</f>
        <v>0</v>
      </c>
    </row>
    <row r="493" spans="1:11" hidden="1" outlineLevel="3">
      <c r="A493" s="111" t="s">
        <v>394</v>
      </c>
      <c r="B493" s="111" t="s">
        <v>865</v>
      </c>
      <c r="C493" s="111" t="s">
        <v>396</v>
      </c>
      <c r="D493" s="111" t="s">
        <v>396</v>
      </c>
      <c r="E493" s="111" t="s">
        <v>866</v>
      </c>
      <c r="F493" s="112">
        <v>45717</v>
      </c>
      <c r="G493" s="113">
        <v>443</v>
      </c>
      <c r="H493" s="113">
        <v>443</v>
      </c>
      <c r="J493" s="113">
        <v>443</v>
      </c>
      <c r="K493" s="113">
        <f>G493-J493</f>
        <v>0</v>
      </c>
    </row>
    <row r="494" spans="1:11" hidden="1" outlineLevel="3">
      <c r="A494" s="111" t="s">
        <v>394</v>
      </c>
      <c r="B494" s="111" t="s">
        <v>865</v>
      </c>
      <c r="C494" s="111" t="s">
        <v>400</v>
      </c>
      <c r="D494" s="111" t="s">
        <v>867</v>
      </c>
      <c r="E494" s="111" t="s">
        <v>866</v>
      </c>
      <c r="F494" s="112">
        <v>45717</v>
      </c>
      <c r="G494" s="113">
        <v>1591.35</v>
      </c>
      <c r="H494" s="113">
        <v>1591.35</v>
      </c>
      <c r="J494" s="113">
        <v>1591.35</v>
      </c>
      <c r="K494" s="113">
        <f>G494-J494</f>
        <v>0</v>
      </c>
    </row>
    <row r="495" spans="1:11" outlineLevel="2" collapsed="1">
      <c r="B495" s="114" t="s">
        <v>868</v>
      </c>
      <c r="F495" s="112"/>
      <c r="G495" s="113">
        <f>SUBTOTAL(9,G492:G494)</f>
        <v>2164.35</v>
      </c>
      <c r="J495" s="113">
        <f>SUBTOTAL(9,J492:J494)</f>
        <v>2164.35</v>
      </c>
      <c r="K495" s="113">
        <f>SUBTOTAL(9,K492:K494)</f>
        <v>0</v>
      </c>
    </row>
    <row r="496" spans="1:11" hidden="1" outlineLevel="3">
      <c r="A496" s="111" t="s">
        <v>394</v>
      </c>
      <c r="B496" s="111" t="s">
        <v>869</v>
      </c>
      <c r="C496" s="111" t="s">
        <v>408</v>
      </c>
      <c r="D496" s="111" t="s">
        <v>870</v>
      </c>
      <c r="E496" s="111" t="s">
        <v>871</v>
      </c>
      <c r="F496" s="112">
        <v>45717</v>
      </c>
      <c r="G496" s="113">
        <v>282</v>
      </c>
      <c r="H496" s="113">
        <v>282</v>
      </c>
      <c r="J496" s="113">
        <v>344</v>
      </c>
      <c r="K496" s="113">
        <f>G496-J496</f>
        <v>-62</v>
      </c>
    </row>
    <row r="497" spans="1:11" hidden="1" outlineLevel="3">
      <c r="A497" s="111" t="s">
        <v>394</v>
      </c>
      <c r="B497" s="111" t="s">
        <v>869</v>
      </c>
      <c r="C497" s="111" t="s">
        <v>405</v>
      </c>
      <c r="D497" s="111" t="s">
        <v>405</v>
      </c>
      <c r="E497" s="111" t="s">
        <v>871</v>
      </c>
      <c r="F497" s="112">
        <v>45717</v>
      </c>
      <c r="G497" s="113">
        <v>684.75</v>
      </c>
      <c r="H497" s="113">
        <v>684.75</v>
      </c>
      <c r="J497" s="113">
        <v>684.75</v>
      </c>
      <c r="K497" s="113">
        <f>G497-J497</f>
        <v>0</v>
      </c>
    </row>
    <row r="498" spans="1:11" hidden="1" outlineLevel="3">
      <c r="A498" s="111" t="s">
        <v>394</v>
      </c>
      <c r="B498" s="111" t="s">
        <v>869</v>
      </c>
      <c r="C498" s="111" t="s">
        <v>396</v>
      </c>
      <c r="D498" s="111" t="s">
        <v>396</v>
      </c>
      <c r="E498" s="111" t="s">
        <v>871</v>
      </c>
      <c r="F498" s="112">
        <v>45717</v>
      </c>
      <c r="G498" s="113">
        <v>217</v>
      </c>
      <c r="H498" s="113">
        <v>217</v>
      </c>
      <c r="J498" s="113">
        <v>217</v>
      </c>
      <c r="K498" s="113">
        <f>G498-J498</f>
        <v>0</v>
      </c>
    </row>
    <row r="499" spans="1:11" hidden="1" outlineLevel="3">
      <c r="A499" s="111" t="s">
        <v>394</v>
      </c>
      <c r="B499" s="111" t="s">
        <v>869</v>
      </c>
      <c r="C499" s="111" t="s">
        <v>400</v>
      </c>
      <c r="D499" s="111" t="s">
        <v>872</v>
      </c>
      <c r="E499" s="111" t="s">
        <v>871</v>
      </c>
      <c r="F499" s="112">
        <v>45717</v>
      </c>
      <c r="G499" s="113">
        <v>1670.92</v>
      </c>
      <c r="H499" s="113">
        <v>1670.92</v>
      </c>
      <c r="J499" s="113">
        <v>1670.92</v>
      </c>
      <c r="K499" s="113">
        <f>G499-J499</f>
        <v>0</v>
      </c>
    </row>
    <row r="500" spans="1:11" outlineLevel="2" collapsed="1">
      <c r="B500" s="114" t="s">
        <v>873</v>
      </c>
      <c r="F500" s="112"/>
      <c r="G500" s="113">
        <f>SUBTOTAL(9,G496:G499)</f>
        <v>2854.67</v>
      </c>
      <c r="J500" s="113">
        <f>SUBTOTAL(9,J496:J499)</f>
        <v>2916.67</v>
      </c>
      <c r="K500" s="113">
        <f>SUBTOTAL(9,K496:K499)</f>
        <v>-62</v>
      </c>
    </row>
    <row r="501" spans="1:11" hidden="1" outlineLevel="3">
      <c r="A501" s="111" t="s">
        <v>394</v>
      </c>
      <c r="B501" s="111" t="s">
        <v>874</v>
      </c>
      <c r="C501" s="111" t="s">
        <v>408</v>
      </c>
      <c r="D501" s="111" t="s">
        <v>875</v>
      </c>
      <c r="E501" s="111" t="s">
        <v>876</v>
      </c>
      <c r="F501" s="112">
        <v>45717</v>
      </c>
      <c r="G501" s="113">
        <v>140</v>
      </c>
      <c r="H501" s="113">
        <v>140</v>
      </c>
      <c r="J501" s="113">
        <v>144</v>
      </c>
      <c r="K501" s="113">
        <f>G501-J501</f>
        <v>-4</v>
      </c>
    </row>
    <row r="502" spans="1:11" hidden="1" outlineLevel="3">
      <c r="A502" s="111" t="s">
        <v>394</v>
      </c>
      <c r="B502" s="111" t="s">
        <v>874</v>
      </c>
      <c r="C502" s="111" t="s">
        <v>405</v>
      </c>
      <c r="D502" s="111" t="s">
        <v>405</v>
      </c>
      <c r="E502" s="111" t="s">
        <v>876</v>
      </c>
      <c r="F502" s="112">
        <v>45717</v>
      </c>
      <c r="G502" s="113">
        <v>178.52</v>
      </c>
      <c r="H502" s="113">
        <v>178.52</v>
      </c>
      <c r="J502" s="113">
        <v>178.52</v>
      </c>
      <c r="K502" s="113">
        <f>G502-J502</f>
        <v>0</v>
      </c>
    </row>
    <row r="503" spans="1:11" hidden="1" outlineLevel="3">
      <c r="A503" s="111" t="s">
        <v>394</v>
      </c>
      <c r="B503" s="111" t="s">
        <v>874</v>
      </c>
      <c r="C503" s="111" t="s">
        <v>396</v>
      </c>
      <c r="D503" s="111" t="s">
        <v>396</v>
      </c>
      <c r="E503" s="111" t="s">
        <v>876</v>
      </c>
      <c r="F503" s="112">
        <v>45717</v>
      </c>
      <c r="G503" s="113">
        <v>131.25</v>
      </c>
      <c r="H503" s="113">
        <v>131.25</v>
      </c>
      <c r="J503" s="113">
        <v>131.25</v>
      </c>
      <c r="K503" s="113">
        <f>G503-J503</f>
        <v>0</v>
      </c>
    </row>
    <row r="504" spans="1:11" hidden="1" outlineLevel="3">
      <c r="A504" s="111" t="s">
        <v>394</v>
      </c>
      <c r="B504" s="111" t="s">
        <v>874</v>
      </c>
      <c r="C504" s="111" t="s">
        <v>400</v>
      </c>
      <c r="D504" s="111" t="s">
        <v>877</v>
      </c>
      <c r="E504" s="111" t="s">
        <v>876</v>
      </c>
      <c r="F504" s="112">
        <v>45717</v>
      </c>
      <c r="G504" s="113">
        <v>2639.29</v>
      </c>
      <c r="H504" s="113">
        <v>2639.29</v>
      </c>
      <c r="J504" s="113">
        <v>2639.29</v>
      </c>
      <c r="K504" s="113">
        <f>G504-J504</f>
        <v>0</v>
      </c>
    </row>
    <row r="505" spans="1:11" hidden="1" outlineLevel="3">
      <c r="A505" s="111" t="s">
        <v>394</v>
      </c>
      <c r="B505" s="111" t="s">
        <v>874</v>
      </c>
      <c r="C505" s="111" t="s">
        <v>468</v>
      </c>
      <c r="D505" s="111" t="s">
        <v>878</v>
      </c>
      <c r="E505" s="111" t="s">
        <v>876</v>
      </c>
      <c r="F505" s="112">
        <v>45717</v>
      </c>
      <c r="G505" s="113">
        <v>919.28</v>
      </c>
      <c r="H505" s="113">
        <v>919.28</v>
      </c>
      <c r="J505" s="113">
        <v>919.28</v>
      </c>
      <c r="K505" s="113">
        <f>G505-J505</f>
        <v>0</v>
      </c>
    </row>
    <row r="506" spans="1:11" outlineLevel="2" collapsed="1">
      <c r="B506" s="114" t="s">
        <v>879</v>
      </c>
      <c r="F506" s="112"/>
      <c r="G506" s="113">
        <f>SUBTOTAL(9,G501:G505)</f>
        <v>4008.34</v>
      </c>
      <c r="J506" s="113">
        <f>SUBTOTAL(9,J501:J505)</f>
        <v>4012.34</v>
      </c>
      <c r="K506" s="113">
        <f>SUBTOTAL(9,K501:K505)</f>
        <v>-4</v>
      </c>
    </row>
    <row r="507" spans="1:11" hidden="1" outlineLevel="3">
      <c r="A507" s="111" t="s">
        <v>394</v>
      </c>
      <c r="B507" s="111" t="s">
        <v>880</v>
      </c>
      <c r="C507" s="111" t="s">
        <v>405</v>
      </c>
      <c r="D507" s="111" t="s">
        <v>881</v>
      </c>
      <c r="E507" s="111" t="s">
        <v>882</v>
      </c>
      <c r="F507" s="112">
        <v>45717</v>
      </c>
      <c r="G507" s="113">
        <v>270</v>
      </c>
      <c r="H507" s="113">
        <v>270</v>
      </c>
      <c r="J507" s="113">
        <v>257.5</v>
      </c>
      <c r="K507" s="113">
        <f>G507-J507</f>
        <v>12.5</v>
      </c>
    </row>
    <row r="508" spans="1:11" hidden="1" outlineLevel="3">
      <c r="A508" s="111" t="s">
        <v>394</v>
      </c>
      <c r="B508" s="111" t="s">
        <v>880</v>
      </c>
      <c r="C508" s="111" t="s">
        <v>405</v>
      </c>
      <c r="D508" s="111" t="s">
        <v>883</v>
      </c>
      <c r="E508" s="111" t="s">
        <v>884</v>
      </c>
      <c r="F508" s="112">
        <v>45717</v>
      </c>
      <c r="G508" s="113">
        <v>352</v>
      </c>
      <c r="H508" s="113">
        <v>352</v>
      </c>
      <c r="J508" s="113">
        <v>352</v>
      </c>
      <c r="K508" s="113">
        <f>G508-J508</f>
        <v>0</v>
      </c>
    </row>
    <row r="509" spans="1:11" hidden="1" outlineLevel="3">
      <c r="A509" s="111" t="s">
        <v>394</v>
      </c>
      <c r="B509" s="111" t="s">
        <v>880</v>
      </c>
      <c r="C509" s="111" t="s">
        <v>396</v>
      </c>
      <c r="D509" s="111" t="s">
        <v>396</v>
      </c>
      <c r="E509" s="111" t="s">
        <v>885</v>
      </c>
      <c r="F509" s="112">
        <v>45717</v>
      </c>
      <c r="G509" s="113">
        <v>2122.25</v>
      </c>
      <c r="H509" s="113">
        <v>2122.25</v>
      </c>
      <c r="J509" s="113">
        <v>2167.75</v>
      </c>
      <c r="K509" s="113">
        <f>G509-J509</f>
        <v>-45.5</v>
      </c>
    </row>
    <row r="510" spans="1:11" hidden="1" outlineLevel="3">
      <c r="A510" s="111" t="s">
        <v>394</v>
      </c>
      <c r="B510" s="111" t="s">
        <v>880</v>
      </c>
      <c r="C510" s="111" t="s">
        <v>400</v>
      </c>
      <c r="D510" s="111" t="s">
        <v>886</v>
      </c>
      <c r="E510" s="111" t="s">
        <v>887</v>
      </c>
      <c r="F510" s="112">
        <v>45717</v>
      </c>
      <c r="G510" s="113">
        <v>11139.45</v>
      </c>
      <c r="H510" s="113">
        <v>11139.45</v>
      </c>
      <c r="J510" s="113">
        <v>11139.45</v>
      </c>
      <c r="K510" s="113">
        <f>G510-J510</f>
        <v>0</v>
      </c>
    </row>
    <row r="511" spans="1:11" outlineLevel="2" collapsed="1">
      <c r="B511" s="114" t="s">
        <v>888</v>
      </c>
      <c r="F511" s="112"/>
      <c r="G511" s="113">
        <f>SUBTOTAL(9,G507:G510)</f>
        <v>13883.7</v>
      </c>
      <c r="J511" s="113">
        <f>SUBTOTAL(9,J507:J510)</f>
        <v>13916.7</v>
      </c>
      <c r="K511" s="113">
        <f>SUBTOTAL(9,K507:K510)</f>
        <v>-33</v>
      </c>
    </row>
    <row r="512" spans="1:11" hidden="1" outlineLevel="3">
      <c r="A512" s="111" t="s">
        <v>394</v>
      </c>
      <c r="B512" s="111" t="s">
        <v>889</v>
      </c>
      <c r="C512" s="111" t="s">
        <v>408</v>
      </c>
      <c r="D512" s="111" t="s">
        <v>890</v>
      </c>
      <c r="E512" s="111" t="s">
        <v>891</v>
      </c>
      <c r="F512" s="112">
        <v>45717</v>
      </c>
      <c r="G512" s="113">
        <v>154</v>
      </c>
      <c r="H512" s="113">
        <v>154</v>
      </c>
      <c r="J512" s="113">
        <v>154</v>
      </c>
      <c r="K512" s="113">
        <f>G512-J512</f>
        <v>0</v>
      </c>
    </row>
    <row r="513" spans="1:11" hidden="1" outlineLevel="3">
      <c r="A513" s="111" t="s">
        <v>394</v>
      </c>
      <c r="B513" s="111" t="s">
        <v>889</v>
      </c>
      <c r="C513" s="111" t="s">
        <v>408</v>
      </c>
      <c r="D513" s="111" t="s">
        <v>892</v>
      </c>
      <c r="E513" s="111" t="s">
        <v>891</v>
      </c>
      <c r="F513" s="112">
        <v>45717</v>
      </c>
      <c r="G513" s="113">
        <v>1185.5999999999999</v>
      </c>
      <c r="H513" s="113">
        <v>1185.5999999999999</v>
      </c>
      <c r="J513" s="113">
        <v>1185.5999999999999</v>
      </c>
      <c r="K513" s="113">
        <f>G513-J513</f>
        <v>0</v>
      </c>
    </row>
    <row r="514" spans="1:11" hidden="1" outlineLevel="3">
      <c r="A514" s="111" t="s">
        <v>394</v>
      </c>
      <c r="B514" s="111" t="s">
        <v>889</v>
      </c>
      <c r="C514" s="111" t="s">
        <v>405</v>
      </c>
      <c r="D514" s="111" t="s">
        <v>405</v>
      </c>
      <c r="E514" s="111" t="s">
        <v>891</v>
      </c>
      <c r="F514" s="112">
        <v>45717</v>
      </c>
      <c r="G514" s="113">
        <v>804.25</v>
      </c>
      <c r="H514" s="113">
        <v>804.25</v>
      </c>
      <c r="J514" s="113">
        <v>799.25</v>
      </c>
      <c r="K514" s="113">
        <f>G514-J514</f>
        <v>5</v>
      </c>
    </row>
    <row r="515" spans="1:11" hidden="1" outlineLevel="3">
      <c r="A515" s="111" t="s">
        <v>394</v>
      </c>
      <c r="B515" s="111" t="s">
        <v>889</v>
      </c>
      <c r="C515" s="111" t="s">
        <v>396</v>
      </c>
      <c r="D515" s="111" t="s">
        <v>396</v>
      </c>
      <c r="E515" s="111" t="s">
        <v>891</v>
      </c>
      <c r="F515" s="112">
        <v>45717</v>
      </c>
      <c r="G515" s="113">
        <v>1761.1</v>
      </c>
      <c r="H515" s="113">
        <v>1761.1</v>
      </c>
      <c r="J515" s="113">
        <v>1702.6</v>
      </c>
      <c r="K515" s="113">
        <f>G515-J515</f>
        <v>58.5</v>
      </c>
    </row>
    <row r="516" spans="1:11" hidden="1" outlineLevel="3">
      <c r="A516" s="111" t="s">
        <v>394</v>
      </c>
      <c r="B516" s="111" t="s">
        <v>889</v>
      </c>
      <c r="C516" s="111" t="s">
        <v>400</v>
      </c>
      <c r="D516" s="111" t="s">
        <v>400</v>
      </c>
      <c r="E516" s="111" t="s">
        <v>891</v>
      </c>
      <c r="F516" s="112">
        <v>45717</v>
      </c>
      <c r="G516" s="113">
        <v>4245.04</v>
      </c>
      <c r="H516" s="113">
        <v>4245.04</v>
      </c>
      <c r="J516" s="113">
        <v>4245.04</v>
      </c>
      <c r="K516" s="113">
        <f>G516-J516</f>
        <v>0</v>
      </c>
    </row>
    <row r="517" spans="1:11" outlineLevel="2" collapsed="1">
      <c r="B517" s="114" t="s">
        <v>893</v>
      </c>
      <c r="F517" s="112"/>
      <c r="G517" s="113">
        <f>SUBTOTAL(9,G512:G516)</f>
        <v>8149.99</v>
      </c>
      <c r="J517" s="113">
        <f>SUBTOTAL(9,J512:J516)</f>
        <v>8086.49</v>
      </c>
      <c r="K517" s="113">
        <f>SUBTOTAL(9,K512:K516)</f>
        <v>63.5</v>
      </c>
    </row>
    <row r="518" spans="1:11" hidden="1" outlineLevel="3">
      <c r="A518" s="111" t="s">
        <v>394</v>
      </c>
      <c r="B518" s="111" t="s">
        <v>894</v>
      </c>
      <c r="C518" s="111" t="s">
        <v>408</v>
      </c>
      <c r="D518" s="111" t="s">
        <v>408</v>
      </c>
      <c r="E518" s="111" t="s">
        <v>895</v>
      </c>
      <c r="F518" s="112">
        <v>45717</v>
      </c>
      <c r="G518" s="113">
        <v>282</v>
      </c>
      <c r="H518" s="113">
        <v>282</v>
      </c>
      <c r="J518" s="113">
        <v>286</v>
      </c>
      <c r="K518" s="113">
        <f>G518-J518</f>
        <v>-4</v>
      </c>
    </row>
    <row r="519" spans="1:11" hidden="1" outlineLevel="3">
      <c r="A519" s="111" t="s">
        <v>394</v>
      </c>
      <c r="B519" s="111" t="s">
        <v>894</v>
      </c>
      <c r="C519" s="111" t="s">
        <v>405</v>
      </c>
      <c r="D519" s="111" t="s">
        <v>405</v>
      </c>
      <c r="E519" s="111" t="s">
        <v>895</v>
      </c>
      <c r="F519" s="112">
        <v>45717</v>
      </c>
      <c r="G519" s="113">
        <v>618.87400000000002</v>
      </c>
      <c r="H519" s="113">
        <v>618.87400000000002</v>
      </c>
      <c r="J519" s="113">
        <v>618.92160000000001</v>
      </c>
      <c r="K519" s="113">
        <f>G519-J519</f>
        <v>-4.759999999998854E-2</v>
      </c>
    </row>
    <row r="520" spans="1:11" hidden="1" outlineLevel="3">
      <c r="A520" s="111" t="s">
        <v>394</v>
      </c>
      <c r="B520" s="111" t="s">
        <v>894</v>
      </c>
      <c r="C520" s="111" t="s">
        <v>396</v>
      </c>
      <c r="D520" s="111" t="s">
        <v>396</v>
      </c>
      <c r="E520" s="111" t="s">
        <v>895</v>
      </c>
      <c r="F520" s="112">
        <v>45717</v>
      </c>
      <c r="G520" s="113">
        <v>189</v>
      </c>
      <c r="H520" s="113">
        <v>189</v>
      </c>
      <c r="J520" s="113">
        <v>189</v>
      </c>
      <c r="K520" s="113">
        <f>G520-J520</f>
        <v>0</v>
      </c>
    </row>
    <row r="521" spans="1:11" hidden="1" outlineLevel="3">
      <c r="A521" s="111" t="s">
        <v>394</v>
      </c>
      <c r="B521" s="111" t="s">
        <v>894</v>
      </c>
      <c r="C521" s="111" t="s">
        <v>400</v>
      </c>
      <c r="D521" s="111" t="s">
        <v>400</v>
      </c>
      <c r="E521" s="111" t="s">
        <v>895</v>
      </c>
      <c r="F521" s="112">
        <v>45717</v>
      </c>
      <c r="G521" s="113">
        <v>1680</v>
      </c>
      <c r="H521" s="113">
        <v>1680</v>
      </c>
      <c r="J521" s="113">
        <v>1680</v>
      </c>
      <c r="K521" s="113">
        <f>G521-J521</f>
        <v>0</v>
      </c>
    </row>
    <row r="522" spans="1:11" outlineLevel="2" collapsed="1">
      <c r="B522" s="114" t="s">
        <v>896</v>
      </c>
      <c r="F522" s="112"/>
      <c r="G522" s="113">
        <f>SUBTOTAL(9,G518:G521)</f>
        <v>2769.8739999999998</v>
      </c>
      <c r="J522" s="113">
        <f>SUBTOTAL(9,J518:J521)</f>
        <v>2773.9216000000001</v>
      </c>
      <c r="K522" s="113">
        <f>SUBTOTAL(9,K518:K521)</f>
        <v>-4.0475999999999885</v>
      </c>
    </row>
    <row r="523" spans="1:11" hidden="1" outlineLevel="3">
      <c r="A523" s="111" t="s">
        <v>394</v>
      </c>
      <c r="B523" s="111" t="s">
        <v>897</v>
      </c>
      <c r="C523" s="111" t="s">
        <v>405</v>
      </c>
      <c r="D523" s="111" t="s">
        <v>493</v>
      </c>
      <c r="E523" s="111" t="s">
        <v>898</v>
      </c>
      <c r="F523" s="112">
        <v>45717</v>
      </c>
      <c r="G523" s="113">
        <v>1131</v>
      </c>
      <c r="H523" s="113">
        <v>1131</v>
      </c>
      <c r="J523" s="113">
        <v>1131</v>
      </c>
      <c r="K523" s="113">
        <f>G523-J523</f>
        <v>0</v>
      </c>
    </row>
    <row r="524" spans="1:11" hidden="1" outlineLevel="3">
      <c r="A524" s="111" t="s">
        <v>394</v>
      </c>
      <c r="B524" s="111" t="s">
        <v>897</v>
      </c>
      <c r="C524" s="111" t="s">
        <v>396</v>
      </c>
      <c r="D524" s="111" t="s">
        <v>396</v>
      </c>
      <c r="E524" s="111" t="s">
        <v>899</v>
      </c>
      <c r="F524" s="112">
        <v>45717</v>
      </c>
      <c r="G524" s="113">
        <v>4392</v>
      </c>
      <c r="H524" s="113">
        <v>4392</v>
      </c>
      <c r="J524" s="113">
        <v>4414.75</v>
      </c>
      <c r="K524" s="113">
        <f>G524-J524</f>
        <v>-22.75</v>
      </c>
    </row>
    <row r="525" spans="1:11" hidden="1" outlineLevel="3">
      <c r="A525" s="111" t="s">
        <v>394</v>
      </c>
      <c r="B525" s="111" t="s">
        <v>897</v>
      </c>
      <c r="C525" s="111" t="s">
        <v>400</v>
      </c>
      <c r="D525" s="111" t="s">
        <v>900</v>
      </c>
      <c r="E525" s="111" t="s">
        <v>901</v>
      </c>
      <c r="F525" s="112">
        <v>45717</v>
      </c>
      <c r="G525" s="113">
        <v>618</v>
      </c>
      <c r="H525" s="113">
        <v>618</v>
      </c>
      <c r="J525" s="113">
        <v>618</v>
      </c>
      <c r="K525" s="113">
        <f>G525-J525</f>
        <v>0</v>
      </c>
    </row>
    <row r="526" spans="1:11" hidden="1" outlineLevel="3">
      <c r="A526" s="111" t="s">
        <v>394</v>
      </c>
      <c r="B526" s="111" t="s">
        <v>897</v>
      </c>
      <c r="C526" s="111" t="s">
        <v>400</v>
      </c>
      <c r="D526" s="111" t="s">
        <v>413</v>
      </c>
      <c r="E526" s="111" t="s">
        <v>899</v>
      </c>
      <c r="F526" s="112">
        <v>45717</v>
      </c>
      <c r="G526" s="113">
        <v>11028.25</v>
      </c>
      <c r="H526" s="113">
        <v>11028.25</v>
      </c>
      <c r="J526" s="113">
        <v>11028.25</v>
      </c>
      <c r="K526" s="113">
        <f>G526-J526</f>
        <v>0</v>
      </c>
    </row>
    <row r="527" spans="1:11" hidden="1" outlineLevel="3">
      <c r="A527" s="111" t="s">
        <v>394</v>
      </c>
      <c r="B527" s="111" t="s">
        <v>897</v>
      </c>
      <c r="C527" s="111" t="s">
        <v>468</v>
      </c>
      <c r="D527" s="111" t="s">
        <v>902</v>
      </c>
      <c r="E527" s="111" t="s">
        <v>899</v>
      </c>
      <c r="F527" s="112">
        <v>45717</v>
      </c>
      <c r="G527" s="113">
        <v>3650</v>
      </c>
      <c r="H527" s="113">
        <v>3650</v>
      </c>
      <c r="J527" s="113">
        <v>3650</v>
      </c>
      <c r="K527" s="113">
        <f>G527-J527</f>
        <v>0</v>
      </c>
    </row>
    <row r="528" spans="1:11" outlineLevel="2" collapsed="1">
      <c r="B528" s="114" t="s">
        <v>903</v>
      </c>
      <c r="F528" s="112"/>
      <c r="G528" s="113">
        <f>SUBTOTAL(9,G523:G527)</f>
        <v>20819.25</v>
      </c>
      <c r="J528" s="113">
        <f>SUBTOTAL(9,J523:J527)</f>
        <v>20842</v>
      </c>
      <c r="K528" s="113">
        <f>SUBTOTAL(9,K523:K527)</f>
        <v>-22.75</v>
      </c>
    </row>
    <row r="529" spans="1:12" hidden="1" outlineLevel="3">
      <c r="A529" s="111" t="s">
        <v>394</v>
      </c>
      <c r="B529" s="111" t="s">
        <v>395</v>
      </c>
      <c r="C529" s="111" t="s">
        <v>408</v>
      </c>
      <c r="D529" s="111" t="s">
        <v>408</v>
      </c>
      <c r="E529" s="111" t="s">
        <v>904</v>
      </c>
      <c r="F529" s="112">
        <v>45717</v>
      </c>
      <c r="G529" s="113">
        <v>1883.4</v>
      </c>
      <c r="H529" s="113">
        <v>1883.4</v>
      </c>
      <c r="J529" s="113">
        <v>1849.8</v>
      </c>
      <c r="K529" s="113">
        <f>G529-J529</f>
        <v>33.600000000000136</v>
      </c>
    </row>
    <row r="530" spans="1:12" hidden="1" outlineLevel="3">
      <c r="A530" s="111" t="s">
        <v>394</v>
      </c>
      <c r="B530" s="111" t="s">
        <v>395</v>
      </c>
      <c r="C530" s="111" t="s">
        <v>405</v>
      </c>
      <c r="D530" s="111" t="s">
        <v>405</v>
      </c>
      <c r="E530" s="111" t="s">
        <v>397</v>
      </c>
      <c r="F530" s="112">
        <v>45717</v>
      </c>
      <c r="G530" s="113">
        <v>170</v>
      </c>
      <c r="H530" s="113">
        <v>170</v>
      </c>
      <c r="J530" s="113">
        <v>170</v>
      </c>
      <c r="K530" s="113">
        <f>G530-J530</f>
        <v>0</v>
      </c>
    </row>
    <row r="531" spans="1:12" outlineLevel="2" collapsed="1">
      <c r="A531" s="110"/>
      <c r="B531" s="106" t="s">
        <v>905</v>
      </c>
      <c r="C531" s="110"/>
      <c r="D531" s="110"/>
      <c r="E531" s="110"/>
      <c r="F531" s="119"/>
      <c r="G531" s="120">
        <f>SUBTOTAL(9,G530:G530)</f>
        <v>170</v>
      </c>
      <c r="H531" s="121"/>
      <c r="I531" s="121"/>
      <c r="J531" s="120">
        <f>SUBTOTAL(9,J530:J530)</f>
        <v>170</v>
      </c>
      <c r="K531" s="121">
        <f>SUBTOTAL(9,K530:K530)</f>
        <v>0</v>
      </c>
      <c r="L531" s="110"/>
    </row>
    <row r="532" spans="1:12" hidden="1" outlineLevel="3">
      <c r="A532" s="111" t="s">
        <v>394</v>
      </c>
      <c r="B532" s="111" t="s">
        <v>395</v>
      </c>
      <c r="C532" s="111" t="s">
        <v>400</v>
      </c>
      <c r="D532" s="111" t="s">
        <v>400</v>
      </c>
      <c r="E532" s="111" t="s">
        <v>397</v>
      </c>
      <c r="F532" s="112">
        <v>45717</v>
      </c>
      <c r="G532" s="113">
        <v>3560</v>
      </c>
      <c r="H532" s="113">
        <v>3560</v>
      </c>
      <c r="J532" s="113">
        <v>3560</v>
      </c>
      <c r="K532" s="113">
        <f>G532-J532</f>
        <v>0</v>
      </c>
    </row>
    <row r="533" spans="1:12" outlineLevel="2" collapsed="1">
      <c r="B533" s="114" t="s">
        <v>906</v>
      </c>
      <c r="F533" s="112"/>
      <c r="G533" s="113">
        <f>SUBTOTAL(9,G529:G532)</f>
        <v>5613.4</v>
      </c>
      <c r="J533" s="113">
        <f>SUBTOTAL(9,J529:J532)</f>
        <v>5579.8</v>
      </c>
      <c r="K533" s="113">
        <f>SUBTOTAL(9,K529:K532)</f>
        <v>33.600000000000136</v>
      </c>
    </row>
    <row r="534" spans="1:12" hidden="1" outlineLevel="3">
      <c r="A534" s="111" t="s">
        <v>394</v>
      </c>
      <c r="B534" s="111" t="s">
        <v>907</v>
      </c>
      <c r="C534" s="111" t="s">
        <v>400</v>
      </c>
      <c r="D534" s="111" t="s">
        <v>400</v>
      </c>
      <c r="E534" s="111" t="s">
        <v>908</v>
      </c>
      <c r="F534" s="112">
        <v>45717</v>
      </c>
      <c r="G534" s="113">
        <v>7190</v>
      </c>
      <c r="H534" s="113">
        <v>7190</v>
      </c>
      <c r="J534" s="113">
        <v>7000</v>
      </c>
      <c r="K534" s="113">
        <f>G534-J534</f>
        <v>190</v>
      </c>
    </row>
    <row r="535" spans="1:12" outlineLevel="2" collapsed="1">
      <c r="B535" s="114" t="s">
        <v>909</v>
      </c>
      <c r="F535" s="112"/>
      <c r="G535" s="113">
        <f>SUBTOTAL(9,G534:G534)</f>
        <v>7190</v>
      </c>
      <c r="J535" s="113">
        <f>SUBTOTAL(9,J534:J534)</f>
        <v>7000</v>
      </c>
      <c r="K535" s="113">
        <f>SUBTOTAL(9,K534:K534)</f>
        <v>190</v>
      </c>
    </row>
    <row r="536" spans="1:12" hidden="1" outlineLevel="3">
      <c r="A536" s="111" t="s">
        <v>394</v>
      </c>
      <c r="B536" s="111" t="s">
        <v>910</v>
      </c>
      <c r="C536" s="111" t="s">
        <v>408</v>
      </c>
      <c r="D536" s="111" t="s">
        <v>408</v>
      </c>
      <c r="E536" s="111" t="s">
        <v>911</v>
      </c>
      <c r="F536" s="112">
        <v>45717</v>
      </c>
      <c r="G536" s="113">
        <v>506</v>
      </c>
      <c r="H536" s="113">
        <v>506</v>
      </c>
      <c r="J536" s="113">
        <v>506</v>
      </c>
      <c r="K536" s="113">
        <f>G536-J536</f>
        <v>0</v>
      </c>
    </row>
    <row r="537" spans="1:12" hidden="1" outlineLevel="3">
      <c r="A537" s="111" t="s">
        <v>394</v>
      </c>
      <c r="B537" s="111" t="s">
        <v>910</v>
      </c>
      <c r="C537" s="111" t="s">
        <v>405</v>
      </c>
      <c r="D537" s="111" t="s">
        <v>405</v>
      </c>
      <c r="E537" s="111" t="s">
        <v>911</v>
      </c>
      <c r="F537" s="112">
        <v>45717</v>
      </c>
      <c r="G537" s="113">
        <v>180.23</v>
      </c>
      <c r="H537" s="113">
        <v>180.23</v>
      </c>
      <c r="J537" s="113">
        <v>180.23</v>
      </c>
      <c r="K537" s="113">
        <f>G537-J537</f>
        <v>0</v>
      </c>
    </row>
    <row r="538" spans="1:12" hidden="1" outlineLevel="3">
      <c r="A538" s="111" t="s">
        <v>394</v>
      </c>
      <c r="B538" s="111" t="s">
        <v>910</v>
      </c>
      <c r="C538" s="111" t="s">
        <v>396</v>
      </c>
      <c r="D538" s="111" t="s">
        <v>396</v>
      </c>
      <c r="E538" s="111" t="s">
        <v>911</v>
      </c>
      <c r="F538" s="112">
        <v>45717</v>
      </c>
      <c r="G538" s="113">
        <v>1092.0999999999999</v>
      </c>
      <c r="H538" s="113">
        <v>1092.0999999999999</v>
      </c>
      <c r="J538" s="113">
        <v>1099.0999999999999</v>
      </c>
      <c r="K538" s="113">
        <f>G538-J538</f>
        <v>-7</v>
      </c>
    </row>
    <row r="539" spans="1:12" hidden="1" outlineLevel="3">
      <c r="A539" s="111" t="s">
        <v>394</v>
      </c>
      <c r="B539" s="111" t="s">
        <v>910</v>
      </c>
      <c r="C539" s="111" t="s">
        <v>400</v>
      </c>
      <c r="D539" s="111" t="s">
        <v>400</v>
      </c>
      <c r="E539" s="111" t="s">
        <v>911</v>
      </c>
      <c r="F539" s="112">
        <v>45717</v>
      </c>
      <c r="G539" s="113">
        <v>1801</v>
      </c>
      <c r="H539" s="113">
        <v>1801</v>
      </c>
      <c r="J539" s="113">
        <v>1801</v>
      </c>
      <c r="K539" s="113">
        <f>G539-J539</f>
        <v>0</v>
      </c>
    </row>
    <row r="540" spans="1:12" hidden="1" outlineLevel="3">
      <c r="A540" s="111" t="s">
        <v>394</v>
      </c>
      <c r="B540" s="111" t="s">
        <v>910</v>
      </c>
      <c r="C540" s="111" t="s">
        <v>468</v>
      </c>
      <c r="D540" s="111" t="s">
        <v>468</v>
      </c>
      <c r="E540" s="111" t="s">
        <v>911</v>
      </c>
      <c r="F540" s="112">
        <v>45717</v>
      </c>
      <c r="G540" s="113">
        <v>92</v>
      </c>
      <c r="H540" s="113">
        <v>92</v>
      </c>
      <c r="J540" s="113">
        <v>92</v>
      </c>
      <c r="K540" s="113">
        <f>G540-J540</f>
        <v>0</v>
      </c>
    </row>
    <row r="541" spans="1:12" outlineLevel="2" collapsed="1">
      <c r="B541" s="114" t="s">
        <v>912</v>
      </c>
      <c r="F541" s="112"/>
      <c r="G541" s="113">
        <f>SUBTOTAL(9,G536:G540)</f>
        <v>3671.33</v>
      </c>
      <c r="J541" s="113">
        <f>SUBTOTAL(9,J536:J540)</f>
        <v>3678.33</v>
      </c>
      <c r="K541" s="113">
        <f>SUBTOTAL(9,K536:K540)</f>
        <v>-7</v>
      </c>
    </row>
    <row r="542" spans="1:12" hidden="1" outlineLevel="3">
      <c r="A542" s="122" t="s">
        <v>394</v>
      </c>
      <c r="B542" s="122" t="s">
        <v>913</v>
      </c>
      <c r="C542" s="122"/>
      <c r="D542" s="122"/>
      <c r="E542" s="122">
        <v>176169</v>
      </c>
      <c r="F542" s="123">
        <v>45717</v>
      </c>
      <c r="G542" s="124"/>
      <c r="H542" s="124"/>
      <c r="I542" s="124"/>
      <c r="J542" s="124">
        <v>0</v>
      </c>
      <c r="K542" s="124">
        <f>G542-J542</f>
        <v>0</v>
      </c>
      <c r="L542" s="122" t="s">
        <v>914</v>
      </c>
    </row>
    <row r="543" spans="1:12" hidden="1" outlineLevel="3">
      <c r="A543" s="122" t="s">
        <v>394</v>
      </c>
      <c r="B543" s="122" t="s">
        <v>913</v>
      </c>
      <c r="C543" s="122" t="s">
        <v>405</v>
      </c>
      <c r="D543" s="122" t="s">
        <v>405</v>
      </c>
      <c r="E543" s="122"/>
      <c r="F543" s="123"/>
      <c r="G543" s="124">
        <v>171</v>
      </c>
      <c r="H543" s="124">
        <v>171</v>
      </c>
      <c r="I543" s="124"/>
      <c r="J543" s="124">
        <v>171</v>
      </c>
      <c r="K543" s="124">
        <f>G543-J543</f>
        <v>0</v>
      </c>
      <c r="L543" s="122" t="s">
        <v>915</v>
      </c>
    </row>
    <row r="544" spans="1:12" hidden="1" outlineLevel="3">
      <c r="A544" s="122" t="s">
        <v>394</v>
      </c>
      <c r="B544" s="122" t="s">
        <v>913</v>
      </c>
      <c r="C544" s="122" t="s">
        <v>396</v>
      </c>
      <c r="D544" s="122" t="s">
        <v>396</v>
      </c>
      <c r="E544" s="122"/>
      <c r="F544" s="123"/>
      <c r="G544" s="124">
        <v>284.64999999999998</v>
      </c>
      <c r="H544" s="124">
        <v>284.64999999999998</v>
      </c>
      <c r="I544" s="124"/>
      <c r="J544" s="124">
        <v>284.55</v>
      </c>
      <c r="K544" s="124">
        <f>G544-J544</f>
        <v>9.9999999999965894E-2</v>
      </c>
      <c r="L544" s="122" t="s">
        <v>915</v>
      </c>
    </row>
    <row r="545" spans="1:12" hidden="1" outlineLevel="3">
      <c r="A545" s="122" t="s">
        <v>394</v>
      </c>
      <c r="B545" s="122" t="s">
        <v>913</v>
      </c>
      <c r="C545" s="122" t="s">
        <v>400</v>
      </c>
      <c r="D545" s="122" t="s">
        <v>400</v>
      </c>
      <c r="E545" s="122"/>
      <c r="F545" s="123"/>
      <c r="G545" s="124">
        <v>2711.9</v>
      </c>
      <c r="H545" s="124">
        <v>2711.9</v>
      </c>
      <c r="I545" s="124"/>
      <c r="J545" s="124">
        <v>2711.9</v>
      </c>
      <c r="K545" s="124">
        <f>G545-J545</f>
        <v>0</v>
      </c>
      <c r="L545" s="122" t="s">
        <v>915</v>
      </c>
    </row>
    <row r="546" spans="1:12" outlineLevel="2" collapsed="1">
      <c r="A546" s="122"/>
      <c r="B546" s="125" t="s">
        <v>916</v>
      </c>
      <c r="C546" s="122"/>
      <c r="D546" s="122"/>
      <c r="E546" s="122"/>
      <c r="F546" s="123"/>
      <c r="G546" s="124">
        <f>SUBTOTAL(9,G542:G545)</f>
        <v>3167.55</v>
      </c>
      <c r="H546" s="124"/>
      <c r="I546" s="124"/>
      <c r="J546" s="124">
        <f>SUBTOTAL(9,J542:J545)</f>
        <v>3167.4500000000003</v>
      </c>
      <c r="K546" s="124">
        <f>SUBTOTAL(9,K542:K545)</f>
        <v>9.9999999999965894E-2</v>
      </c>
      <c r="L546" s="122" t="s">
        <v>914</v>
      </c>
    </row>
    <row r="547" spans="1:12" hidden="1" outlineLevel="3">
      <c r="A547" s="111" t="s">
        <v>394</v>
      </c>
      <c r="B547" s="111" t="s">
        <v>917</v>
      </c>
      <c r="C547" s="111" t="s">
        <v>403</v>
      </c>
      <c r="D547" s="111" t="s">
        <v>918</v>
      </c>
      <c r="E547" s="111" t="s">
        <v>919</v>
      </c>
      <c r="F547" s="112">
        <v>45731</v>
      </c>
      <c r="G547" s="113">
        <v>329.4</v>
      </c>
      <c r="H547" s="113">
        <v>329.4</v>
      </c>
      <c r="J547" s="113">
        <v>329.4</v>
      </c>
      <c r="K547" s="113">
        <f>G547-J547</f>
        <v>0</v>
      </c>
    </row>
    <row r="548" spans="1:12" hidden="1" outlineLevel="3">
      <c r="A548" s="111" t="s">
        <v>394</v>
      </c>
      <c r="B548" s="111" t="s">
        <v>917</v>
      </c>
      <c r="C548" s="111" t="s">
        <v>408</v>
      </c>
      <c r="D548" s="111" t="s">
        <v>920</v>
      </c>
      <c r="E548" s="111" t="s">
        <v>919</v>
      </c>
      <c r="F548" s="112">
        <v>45731</v>
      </c>
      <c r="G548" s="113">
        <v>12340</v>
      </c>
      <c r="H548" s="113">
        <v>12340</v>
      </c>
      <c r="J548" s="113">
        <v>12340</v>
      </c>
      <c r="K548" s="113">
        <f>G548-J548</f>
        <v>0</v>
      </c>
    </row>
    <row r="549" spans="1:12" hidden="1" outlineLevel="3">
      <c r="A549" s="111" t="s">
        <v>394</v>
      </c>
      <c r="B549" s="111" t="s">
        <v>917</v>
      </c>
      <c r="C549" s="111" t="s">
        <v>396</v>
      </c>
      <c r="D549" s="111" t="s">
        <v>396</v>
      </c>
      <c r="E549" s="111" t="s">
        <v>919</v>
      </c>
      <c r="F549" s="112">
        <v>45731</v>
      </c>
      <c r="G549" s="113">
        <v>1530</v>
      </c>
      <c r="H549" s="113">
        <v>1530</v>
      </c>
      <c r="J549" s="113">
        <v>1530</v>
      </c>
      <c r="K549" s="113">
        <f>G549-J549</f>
        <v>0</v>
      </c>
    </row>
    <row r="550" spans="1:12" hidden="1" outlineLevel="3">
      <c r="A550" s="111" t="s">
        <v>394</v>
      </c>
      <c r="B550" s="111" t="s">
        <v>917</v>
      </c>
      <c r="C550" s="111" t="s">
        <v>400</v>
      </c>
      <c r="D550" s="111" t="s">
        <v>400</v>
      </c>
      <c r="E550" s="111" t="s">
        <v>919</v>
      </c>
      <c r="F550" s="112">
        <v>45731</v>
      </c>
      <c r="G550" s="113">
        <v>15</v>
      </c>
      <c r="H550" s="113">
        <v>15</v>
      </c>
      <c r="J550" s="113">
        <v>15</v>
      </c>
      <c r="K550" s="113">
        <f>G550-J550</f>
        <v>0</v>
      </c>
    </row>
    <row r="551" spans="1:12" outlineLevel="2" collapsed="1">
      <c r="B551" s="114" t="s">
        <v>921</v>
      </c>
      <c r="F551" s="112"/>
      <c r="G551" s="113">
        <f>SUBTOTAL(9,G547:G550)</f>
        <v>14214.4</v>
      </c>
      <c r="J551" s="113">
        <f>SUBTOTAL(9,J547:J550)</f>
        <v>14214.4</v>
      </c>
      <c r="K551" s="113">
        <f>SUBTOTAL(9,K547:K550)</f>
        <v>0</v>
      </c>
    </row>
    <row r="552" spans="1:12" hidden="1" outlineLevel="3">
      <c r="A552" s="111" t="s">
        <v>394</v>
      </c>
      <c r="B552" s="111" t="s">
        <v>922</v>
      </c>
      <c r="C552" s="111" t="s">
        <v>408</v>
      </c>
      <c r="D552" s="111" t="s">
        <v>408</v>
      </c>
      <c r="E552" s="111" t="s">
        <v>923</v>
      </c>
      <c r="F552" s="112">
        <v>45717</v>
      </c>
      <c r="G552" s="113">
        <v>16.5</v>
      </c>
      <c r="H552" s="113">
        <v>16.5</v>
      </c>
      <c r="J552" s="113">
        <v>16.5</v>
      </c>
      <c r="K552" s="113">
        <f>G552-J552</f>
        <v>0</v>
      </c>
    </row>
    <row r="553" spans="1:12" hidden="1" outlineLevel="3">
      <c r="A553" s="111" t="s">
        <v>394</v>
      </c>
      <c r="B553" s="111" t="s">
        <v>922</v>
      </c>
      <c r="C553" s="111" t="s">
        <v>405</v>
      </c>
      <c r="D553" s="111" t="s">
        <v>405</v>
      </c>
      <c r="E553" s="111" t="s">
        <v>923</v>
      </c>
      <c r="F553" s="112">
        <v>45717</v>
      </c>
      <c r="G553" s="113">
        <v>114.97</v>
      </c>
      <c r="H553" s="113">
        <v>114.97</v>
      </c>
      <c r="J553" s="113">
        <v>104.97</v>
      </c>
      <c r="K553" s="113">
        <f>G553-J553</f>
        <v>10</v>
      </c>
    </row>
    <row r="554" spans="1:12" hidden="1" outlineLevel="3">
      <c r="A554" s="111" t="s">
        <v>394</v>
      </c>
      <c r="B554" s="111" t="s">
        <v>922</v>
      </c>
      <c r="C554" s="111" t="s">
        <v>396</v>
      </c>
      <c r="D554" s="111" t="s">
        <v>396</v>
      </c>
      <c r="E554" s="111" t="s">
        <v>923</v>
      </c>
      <c r="F554" s="112">
        <v>45717</v>
      </c>
      <c r="G554" s="113">
        <v>449.98</v>
      </c>
      <c r="H554" s="113">
        <v>449.98</v>
      </c>
      <c r="J554" s="113">
        <v>449.98</v>
      </c>
      <c r="K554" s="113">
        <f>G554-J554</f>
        <v>0</v>
      </c>
    </row>
    <row r="555" spans="1:12" hidden="1" outlineLevel="3">
      <c r="A555" s="111" t="s">
        <v>394</v>
      </c>
      <c r="B555" s="111" t="s">
        <v>922</v>
      </c>
      <c r="C555" s="111" t="s">
        <v>400</v>
      </c>
      <c r="D555" s="111" t="s">
        <v>400</v>
      </c>
      <c r="E555" s="111" t="s">
        <v>923</v>
      </c>
      <c r="F555" s="112">
        <v>45717</v>
      </c>
      <c r="G555" s="113">
        <v>1207.5</v>
      </c>
      <c r="H555" s="113">
        <v>1207.5</v>
      </c>
      <c r="J555" s="113">
        <v>1207.5</v>
      </c>
      <c r="K555" s="113">
        <f>G555-J555</f>
        <v>0</v>
      </c>
    </row>
    <row r="556" spans="1:12" outlineLevel="2" collapsed="1">
      <c r="B556" s="114" t="s">
        <v>924</v>
      </c>
      <c r="F556" s="112"/>
      <c r="G556" s="113">
        <f>SUBTOTAL(9,G552:G555)</f>
        <v>1788.95</v>
      </c>
      <c r="J556" s="113">
        <f>SUBTOTAL(9,J552:J555)</f>
        <v>1778.95</v>
      </c>
      <c r="K556" s="113">
        <f>SUBTOTAL(9,K552:K555)</f>
        <v>10</v>
      </c>
    </row>
    <row r="557" spans="1:12" hidden="1" outlineLevel="3">
      <c r="A557" s="111" t="s">
        <v>394</v>
      </c>
      <c r="B557" s="111" t="s">
        <v>925</v>
      </c>
      <c r="C557" s="111" t="s">
        <v>408</v>
      </c>
      <c r="D557" s="111" t="s">
        <v>926</v>
      </c>
      <c r="E557" s="111" t="s">
        <v>927</v>
      </c>
      <c r="F557" s="112">
        <v>45717</v>
      </c>
      <c r="G557" s="113">
        <v>1780</v>
      </c>
      <c r="H557" s="113">
        <v>1780</v>
      </c>
      <c r="J557" s="113">
        <v>1824</v>
      </c>
      <c r="K557" s="113">
        <f>G557-J557</f>
        <v>-44</v>
      </c>
    </row>
    <row r="558" spans="1:12" hidden="1" outlineLevel="3">
      <c r="A558" s="111" t="s">
        <v>394</v>
      </c>
      <c r="B558" s="111" t="s">
        <v>925</v>
      </c>
      <c r="C558" s="111" t="s">
        <v>405</v>
      </c>
      <c r="D558" s="111" t="s">
        <v>928</v>
      </c>
      <c r="E558" s="111" t="s">
        <v>927</v>
      </c>
      <c r="F558" s="112">
        <v>45717</v>
      </c>
      <c r="G558" s="113">
        <v>1804.3</v>
      </c>
      <c r="H558" s="113">
        <v>1804.3</v>
      </c>
      <c r="J558" s="113">
        <v>986.5</v>
      </c>
      <c r="K558" s="113">
        <f>G558-J558</f>
        <v>817.8</v>
      </c>
    </row>
    <row r="559" spans="1:12" hidden="1" outlineLevel="3">
      <c r="A559" s="111" t="s">
        <v>394</v>
      </c>
      <c r="B559" s="111" t="s">
        <v>925</v>
      </c>
      <c r="C559" s="111" t="s">
        <v>396</v>
      </c>
      <c r="D559" s="111" t="s">
        <v>929</v>
      </c>
      <c r="E559" s="111" t="s">
        <v>927</v>
      </c>
      <c r="F559" s="112">
        <v>45717</v>
      </c>
      <c r="G559" s="113">
        <v>2370</v>
      </c>
      <c r="H559" s="113">
        <v>2370</v>
      </c>
      <c r="J559" s="113">
        <v>1134</v>
      </c>
      <c r="K559" s="113">
        <f>G559-J559</f>
        <v>1236</v>
      </c>
    </row>
    <row r="560" spans="1:12" hidden="1" outlineLevel="3">
      <c r="A560" s="111" t="s">
        <v>394</v>
      </c>
      <c r="B560" s="111" t="s">
        <v>925</v>
      </c>
      <c r="C560" s="111" t="s">
        <v>400</v>
      </c>
      <c r="D560" s="111" t="s">
        <v>930</v>
      </c>
      <c r="E560" s="111" t="s">
        <v>927</v>
      </c>
      <c r="F560" s="112">
        <v>45717</v>
      </c>
      <c r="G560" s="113">
        <v>6038.85</v>
      </c>
      <c r="H560" s="113">
        <v>6038.85</v>
      </c>
      <c r="J560" s="113">
        <v>7375</v>
      </c>
      <c r="K560" s="113">
        <f>G560-J560</f>
        <v>-1336.1499999999996</v>
      </c>
    </row>
    <row r="561" spans="1:11" outlineLevel="2" collapsed="1">
      <c r="B561" s="114" t="s">
        <v>931</v>
      </c>
      <c r="F561" s="112"/>
      <c r="G561" s="113">
        <f>SUBTOTAL(9,G557:G560)</f>
        <v>11993.150000000001</v>
      </c>
      <c r="J561" s="113">
        <f>SUBTOTAL(9,J557:J560)</f>
        <v>11319.5</v>
      </c>
      <c r="K561" s="113">
        <f>SUBTOTAL(9,K557:K560)</f>
        <v>673.65000000000032</v>
      </c>
    </row>
    <row r="562" spans="1:11" hidden="1" outlineLevel="3">
      <c r="A562" s="111" t="s">
        <v>394</v>
      </c>
      <c r="B562" s="111" t="s">
        <v>932</v>
      </c>
      <c r="C562" s="111" t="s">
        <v>405</v>
      </c>
      <c r="D562" s="111" t="s">
        <v>405</v>
      </c>
      <c r="E562" s="111" t="s">
        <v>933</v>
      </c>
      <c r="F562" s="112">
        <v>45717</v>
      </c>
      <c r="G562" s="113">
        <v>342.35239999999999</v>
      </c>
      <c r="H562" s="113">
        <v>342.35239999999999</v>
      </c>
      <c r="J562" s="113">
        <v>339.12799999999999</v>
      </c>
      <c r="K562" s="113">
        <f>G562-J562</f>
        <v>3.2244000000000028</v>
      </c>
    </row>
    <row r="563" spans="1:11" hidden="1" outlineLevel="3">
      <c r="A563" s="111" t="s">
        <v>394</v>
      </c>
      <c r="B563" s="111" t="s">
        <v>932</v>
      </c>
      <c r="C563" s="111" t="s">
        <v>396</v>
      </c>
      <c r="D563" s="111" t="s">
        <v>396</v>
      </c>
      <c r="E563" s="111" t="s">
        <v>933</v>
      </c>
      <c r="F563" s="112">
        <v>45717</v>
      </c>
      <c r="G563" s="113">
        <v>481</v>
      </c>
      <c r="H563" s="113">
        <v>481</v>
      </c>
      <c r="J563" s="113">
        <v>481</v>
      </c>
      <c r="K563" s="113">
        <f>G563-J563</f>
        <v>0</v>
      </c>
    </row>
    <row r="564" spans="1:11" hidden="1" outlineLevel="3">
      <c r="A564" s="111" t="s">
        <v>394</v>
      </c>
      <c r="B564" s="111" t="s">
        <v>932</v>
      </c>
      <c r="C564" s="111" t="s">
        <v>400</v>
      </c>
      <c r="D564" s="111" t="s">
        <v>934</v>
      </c>
      <c r="E564" s="111" t="s">
        <v>933</v>
      </c>
      <c r="F564" s="112">
        <v>45717</v>
      </c>
      <c r="G564" s="113">
        <v>2118.94</v>
      </c>
      <c r="H564" s="113">
        <v>2118.94</v>
      </c>
      <c r="J564" s="113">
        <v>2118.942</v>
      </c>
      <c r="K564" s="113">
        <f>G564-J564</f>
        <v>-1.9999999999527063E-3</v>
      </c>
    </row>
    <row r="565" spans="1:11" outlineLevel="2" collapsed="1">
      <c r="B565" s="114" t="s">
        <v>935</v>
      </c>
      <c r="F565" s="112"/>
      <c r="G565" s="113">
        <f>SUBTOTAL(9,G562:G564)</f>
        <v>2942.2924000000003</v>
      </c>
      <c r="J565" s="113">
        <f>SUBTOTAL(9,J562:J564)</f>
        <v>2939.0699999999997</v>
      </c>
      <c r="K565" s="113">
        <f>SUBTOTAL(9,K562:K564)</f>
        <v>3.2224000000000501</v>
      </c>
    </row>
    <row r="566" spans="1:11" hidden="1" outlineLevel="3">
      <c r="A566" s="111" t="s">
        <v>394</v>
      </c>
      <c r="B566" s="111" t="s">
        <v>936</v>
      </c>
      <c r="C566" s="111" t="s">
        <v>408</v>
      </c>
      <c r="D566" s="111" t="s">
        <v>408</v>
      </c>
      <c r="E566" s="111" t="s">
        <v>937</v>
      </c>
      <c r="F566" s="112">
        <v>45717</v>
      </c>
      <c r="G566" s="113">
        <v>1020</v>
      </c>
      <c r="H566" s="113">
        <v>1020</v>
      </c>
      <c r="J566" s="113">
        <v>1012</v>
      </c>
      <c r="K566" s="113">
        <f>G566-J566</f>
        <v>8</v>
      </c>
    </row>
    <row r="567" spans="1:11" hidden="1" outlineLevel="3">
      <c r="A567" s="111" t="s">
        <v>394</v>
      </c>
      <c r="B567" s="111" t="s">
        <v>936</v>
      </c>
      <c r="C567" s="111" t="s">
        <v>405</v>
      </c>
      <c r="D567" s="111" t="s">
        <v>405</v>
      </c>
      <c r="E567" s="111" t="s">
        <v>937</v>
      </c>
      <c r="F567" s="112">
        <v>45717</v>
      </c>
      <c r="G567" s="113">
        <v>645.12019999999995</v>
      </c>
      <c r="H567" s="113">
        <v>645.12019999999995</v>
      </c>
      <c r="J567" s="113">
        <v>645.77300000000002</v>
      </c>
      <c r="K567" s="113">
        <f>G567-J567</f>
        <v>-0.65280000000007021</v>
      </c>
    </row>
    <row r="568" spans="1:11" hidden="1" outlineLevel="3">
      <c r="A568" s="111" t="s">
        <v>394</v>
      </c>
      <c r="B568" s="111" t="s">
        <v>936</v>
      </c>
      <c r="C568" s="111" t="s">
        <v>396</v>
      </c>
      <c r="D568" s="111" t="s">
        <v>396</v>
      </c>
      <c r="E568" s="111" t="s">
        <v>937</v>
      </c>
      <c r="F568" s="112">
        <v>45717</v>
      </c>
      <c r="G568" s="113">
        <v>1022</v>
      </c>
      <c r="H568" s="113">
        <v>1022</v>
      </c>
      <c r="J568" s="113">
        <v>1015</v>
      </c>
      <c r="K568" s="113">
        <f>G568-J568</f>
        <v>7</v>
      </c>
    </row>
    <row r="569" spans="1:11" hidden="1" outlineLevel="3">
      <c r="A569" s="111" t="s">
        <v>394</v>
      </c>
      <c r="B569" s="111" t="s">
        <v>936</v>
      </c>
      <c r="C569" s="111" t="s">
        <v>400</v>
      </c>
      <c r="D569" s="111" t="s">
        <v>400</v>
      </c>
      <c r="E569" s="111" t="s">
        <v>937</v>
      </c>
      <c r="F569" s="112">
        <v>45717</v>
      </c>
      <c r="G569" s="113">
        <v>5315.63</v>
      </c>
      <c r="H569" s="113">
        <v>5315.63</v>
      </c>
      <c r="J569" s="113">
        <v>5315.63</v>
      </c>
      <c r="K569" s="113">
        <f>G569-J569</f>
        <v>0</v>
      </c>
    </row>
    <row r="570" spans="1:11" outlineLevel="2" collapsed="1">
      <c r="B570" s="114" t="s">
        <v>938</v>
      </c>
      <c r="F570" s="112"/>
      <c r="G570" s="113">
        <f>SUBTOTAL(9,G566:G569)</f>
        <v>8002.7502000000004</v>
      </c>
      <c r="J570" s="113">
        <f>SUBTOTAL(9,J566:J569)</f>
        <v>7988.4030000000002</v>
      </c>
      <c r="K570" s="113">
        <f>SUBTOTAL(9,K566:K569)</f>
        <v>14.34719999999993</v>
      </c>
    </row>
    <row r="571" spans="1:11" hidden="1" outlineLevel="3">
      <c r="A571" s="111" t="s">
        <v>394</v>
      </c>
      <c r="B571" s="111" t="s">
        <v>939</v>
      </c>
      <c r="C571" s="111" t="s">
        <v>405</v>
      </c>
      <c r="D571" s="111" t="s">
        <v>462</v>
      </c>
      <c r="E571" s="111" t="s">
        <v>940</v>
      </c>
      <c r="F571" s="112">
        <v>45717</v>
      </c>
      <c r="G571" s="113">
        <v>188</v>
      </c>
      <c r="H571" s="113">
        <v>188</v>
      </c>
      <c r="J571" s="113">
        <v>188</v>
      </c>
      <c r="K571" s="113">
        <f>G571-J571</f>
        <v>0</v>
      </c>
    </row>
    <row r="572" spans="1:11" hidden="1" outlineLevel="3">
      <c r="A572" s="111" t="s">
        <v>394</v>
      </c>
      <c r="B572" s="111" t="s">
        <v>939</v>
      </c>
      <c r="C572" s="111" t="s">
        <v>396</v>
      </c>
      <c r="D572" s="111" t="s">
        <v>464</v>
      </c>
      <c r="E572" s="111" t="s">
        <v>940</v>
      </c>
      <c r="F572" s="112">
        <v>45717</v>
      </c>
      <c r="G572" s="113">
        <v>1065</v>
      </c>
      <c r="H572" s="113">
        <v>1065</v>
      </c>
      <c r="J572" s="113">
        <v>688</v>
      </c>
      <c r="K572" s="113">
        <f>G572-J572</f>
        <v>377</v>
      </c>
    </row>
    <row r="573" spans="1:11" hidden="1" outlineLevel="3">
      <c r="A573" s="111" t="s">
        <v>394</v>
      </c>
      <c r="B573" s="111" t="s">
        <v>939</v>
      </c>
      <c r="C573" s="111" t="s">
        <v>400</v>
      </c>
      <c r="D573" s="111" t="s">
        <v>449</v>
      </c>
      <c r="E573" s="111" t="s">
        <v>940</v>
      </c>
      <c r="F573" s="112">
        <v>45717</v>
      </c>
      <c r="G573" s="113">
        <v>3181</v>
      </c>
      <c r="H573" s="113">
        <v>3181</v>
      </c>
      <c r="J573" s="113">
        <v>3097</v>
      </c>
      <c r="K573" s="113">
        <f>G573-J573</f>
        <v>84</v>
      </c>
    </row>
    <row r="574" spans="1:11" outlineLevel="2" collapsed="1">
      <c r="B574" s="114" t="s">
        <v>941</v>
      </c>
      <c r="F574" s="112"/>
      <c r="G574" s="113">
        <f>SUBTOTAL(9,G571:G573)</f>
        <v>4434</v>
      </c>
      <c r="J574" s="113">
        <f>SUBTOTAL(9,J571:J573)</f>
        <v>3973</v>
      </c>
      <c r="K574" s="113">
        <f>SUBTOTAL(9,K571:K573)</f>
        <v>461</v>
      </c>
    </row>
    <row r="575" spans="1:11" hidden="1" outlineLevel="3">
      <c r="A575" s="111" t="s">
        <v>394</v>
      </c>
      <c r="B575" s="111" t="s">
        <v>942</v>
      </c>
      <c r="C575" s="111" t="s">
        <v>408</v>
      </c>
      <c r="D575" s="111" t="s">
        <v>408</v>
      </c>
      <c r="E575" s="111" t="s">
        <v>943</v>
      </c>
      <c r="F575" s="112">
        <v>45717</v>
      </c>
      <c r="G575" s="113">
        <v>528</v>
      </c>
      <c r="H575" s="113">
        <v>528</v>
      </c>
      <c r="J575" s="113">
        <v>528</v>
      </c>
      <c r="K575" s="113">
        <f>G575-J575</f>
        <v>0</v>
      </c>
    </row>
    <row r="576" spans="1:11" hidden="1" outlineLevel="3">
      <c r="A576" s="111" t="s">
        <v>394</v>
      </c>
      <c r="B576" s="111" t="s">
        <v>942</v>
      </c>
      <c r="C576" s="111" t="s">
        <v>405</v>
      </c>
      <c r="D576" s="111" t="s">
        <v>405</v>
      </c>
      <c r="E576" s="111" t="s">
        <v>943</v>
      </c>
      <c r="F576" s="112">
        <v>45717</v>
      </c>
      <c r="G576" s="113">
        <v>335.5</v>
      </c>
      <c r="H576" s="113">
        <v>335.5</v>
      </c>
      <c r="J576" s="113">
        <v>335.5</v>
      </c>
      <c r="K576" s="113">
        <f>G576-J576</f>
        <v>0</v>
      </c>
    </row>
    <row r="577" spans="1:11" hidden="1" outlineLevel="3">
      <c r="A577" s="111" t="s">
        <v>394</v>
      </c>
      <c r="B577" s="111" t="s">
        <v>942</v>
      </c>
      <c r="C577" s="111" t="s">
        <v>396</v>
      </c>
      <c r="D577" s="111" t="s">
        <v>396</v>
      </c>
      <c r="E577" s="111" t="s">
        <v>943</v>
      </c>
      <c r="F577" s="112">
        <v>45717</v>
      </c>
      <c r="G577" s="113">
        <v>1028</v>
      </c>
      <c r="H577" s="113">
        <v>1028</v>
      </c>
      <c r="J577" s="113">
        <v>1028</v>
      </c>
      <c r="K577" s="113">
        <f>G577-J577</f>
        <v>0</v>
      </c>
    </row>
    <row r="578" spans="1:11" hidden="1" outlineLevel="3">
      <c r="A578" s="111" t="s">
        <v>394</v>
      </c>
      <c r="B578" s="111" t="s">
        <v>942</v>
      </c>
      <c r="C578" s="111" t="s">
        <v>400</v>
      </c>
      <c r="D578" s="111" t="s">
        <v>400</v>
      </c>
      <c r="E578" s="111" t="s">
        <v>943</v>
      </c>
      <c r="F578" s="112">
        <v>45717</v>
      </c>
      <c r="G578" s="113">
        <v>1975</v>
      </c>
      <c r="H578" s="113">
        <v>1975</v>
      </c>
      <c r="J578" s="113">
        <v>1975</v>
      </c>
      <c r="K578" s="113">
        <f>G578-J578</f>
        <v>0</v>
      </c>
    </row>
    <row r="579" spans="1:11" outlineLevel="2" collapsed="1">
      <c r="B579" s="114" t="s">
        <v>944</v>
      </c>
      <c r="F579" s="112"/>
      <c r="G579" s="113">
        <f>SUBTOTAL(9,G575:G578)</f>
        <v>3866.5</v>
      </c>
      <c r="J579" s="113">
        <f>SUBTOTAL(9,J575:J578)</f>
        <v>3866.5</v>
      </c>
      <c r="K579" s="113">
        <f>SUBTOTAL(9,K575:K578)</f>
        <v>0</v>
      </c>
    </row>
    <row r="580" spans="1:11" hidden="1" outlineLevel="3">
      <c r="A580" s="111" t="s">
        <v>394</v>
      </c>
      <c r="B580" s="111" t="s">
        <v>945</v>
      </c>
      <c r="C580" s="111" t="s">
        <v>408</v>
      </c>
      <c r="D580" s="111" t="s">
        <v>946</v>
      </c>
      <c r="E580" s="111" t="s">
        <v>947</v>
      </c>
      <c r="F580" s="112">
        <v>45717</v>
      </c>
      <c r="G580" s="113">
        <v>420</v>
      </c>
      <c r="H580" s="113">
        <v>420</v>
      </c>
      <c r="J580" s="113">
        <v>420</v>
      </c>
      <c r="K580" s="113">
        <f>G580-J580</f>
        <v>0</v>
      </c>
    </row>
    <row r="581" spans="1:11" hidden="1" outlineLevel="3">
      <c r="A581" s="111" t="s">
        <v>394</v>
      </c>
      <c r="B581" s="111" t="s">
        <v>945</v>
      </c>
      <c r="C581" s="111" t="s">
        <v>405</v>
      </c>
      <c r="D581" s="111" t="s">
        <v>405</v>
      </c>
      <c r="E581" s="111" t="s">
        <v>947</v>
      </c>
      <c r="F581" s="112">
        <v>45717</v>
      </c>
      <c r="G581" s="113">
        <v>85</v>
      </c>
      <c r="H581" s="113">
        <v>85</v>
      </c>
      <c r="J581" s="113">
        <v>85</v>
      </c>
      <c r="K581" s="113">
        <f>G581-J581</f>
        <v>0</v>
      </c>
    </row>
    <row r="582" spans="1:11" hidden="1" outlineLevel="3">
      <c r="A582" s="111" t="s">
        <v>394</v>
      </c>
      <c r="B582" s="111" t="s">
        <v>945</v>
      </c>
      <c r="C582" s="111" t="s">
        <v>396</v>
      </c>
      <c r="D582" s="111" t="s">
        <v>396</v>
      </c>
      <c r="E582" s="111" t="s">
        <v>947</v>
      </c>
      <c r="F582" s="112">
        <v>45717</v>
      </c>
      <c r="G582" s="113">
        <v>147</v>
      </c>
      <c r="H582" s="113">
        <v>147</v>
      </c>
      <c r="J582" s="113">
        <v>147</v>
      </c>
      <c r="K582" s="113">
        <f>G582-J582</f>
        <v>0</v>
      </c>
    </row>
    <row r="583" spans="1:11" hidden="1" outlineLevel="3">
      <c r="A583" s="111" t="s">
        <v>394</v>
      </c>
      <c r="B583" s="111" t="s">
        <v>945</v>
      </c>
      <c r="C583" s="111" t="s">
        <v>400</v>
      </c>
      <c r="D583" s="111" t="s">
        <v>948</v>
      </c>
      <c r="E583" s="111" t="s">
        <v>947</v>
      </c>
      <c r="F583" s="112">
        <v>45717</v>
      </c>
      <c r="G583" s="113">
        <v>1473.22</v>
      </c>
      <c r="H583" s="113">
        <v>1473.22</v>
      </c>
      <c r="J583" s="113">
        <v>1473.22</v>
      </c>
      <c r="K583" s="113">
        <f>G583-J583</f>
        <v>0</v>
      </c>
    </row>
    <row r="584" spans="1:11" outlineLevel="2" collapsed="1">
      <c r="B584" s="114" t="s">
        <v>949</v>
      </c>
      <c r="F584" s="112"/>
      <c r="G584" s="113">
        <f>SUBTOTAL(9,G580:G583)</f>
        <v>2125.2200000000003</v>
      </c>
      <c r="J584" s="113">
        <f>SUBTOTAL(9,J580:J583)</f>
        <v>2125.2200000000003</v>
      </c>
      <c r="K584" s="113">
        <f>SUBTOTAL(9,K580:K583)</f>
        <v>0</v>
      </c>
    </row>
    <row r="585" spans="1:11" hidden="1" outlineLevel="3">
      <c r="A585" s="111" t="s">
        <v>394</v>
      </c>
      <c r="B585" s="111" t="s">
        <v>950</v>
      </c>
      <c r="C585" s="111" t="s">
        <v>408</v>
      </c>
      <c r="D585" s="111" t="s">
        <v>951</v>
      </c>
      <c r="E585" s="111" t="s">
        <v>952</v>
      </c>
      <c r="F585" s="112">
        <v>45717</v>
      </c>
      <c r="G585" s="113">
        <v>99.6</v>
      </c>
      <c r="H585" s="113">
        <v>99.6</v>
      </c>
      <c r="J585" s="113">
        <v>99.6</v>
      </c>
      <c r="K585" s="113">
        <f>G585-J585</f>
        <v>0</v>
      </c>
    </row>
    <row r="586" spans="1:11" hidden="1" outlineLevel="3">
      <c r="A586" s="111" t="s">
        <v>394</v>
      </c>
      <c r="B586" s="111" t="s">
        <v>950</v>
      </c>
      <c r="C586" s="111" t="s">
        <v>405</v>
      </c>
      <c r="D586" s="111" t="s">
        <v>405</v>
      </c>
      <c r="E586" s="111" t="s">
        <v>952</v>
      </c>
      <c r="F586" s="112">
        <v>45717</v>
      </c>
      <c r="G586" s="113">
        <v>785.75</v>
      </c>
      <c r="H586" s="113">
        <v>785.75</v>
      </c>
      <c r="J586" s="113">
        <v>785.75</v>
      </c>
      <c r="K586" s="113">
        <f>G586-J586</f>
        <v>0</v>
      </c>
    </row>
    <row r="587" spans="1:11" hidden="1" outlineLevel="3">
      <c r="A587" s="111" t="s">
        <v>394</v>
      </c>
      <c r="B587" s="111" t="s">
        <v>950</v>
      </c>
      <c r="C587" s="111" t="s">
        <v>396</v>
      </c>
      <c r="D587" s="111" t="s">
        <v>953</v>
      </c>
      <c r="E587" s="111" t="s">
        <v>952</v>
      </c>
      <c r="F587" s="112">
        <v>45717</v>
      </c>
      <c r="G587" s="113">
        <v>357</v>
      </c>
      <c r="H587" s="113">
        <v>357</v>
      </c>
      <c r="J587" s="113">
        <v>357</v>
      </c>
      <c r="K587" s="113">
        <f>G587-J587</f>
        <v>0</v>
      </c>
    </row>
    <row r="588" spans="1:11" hidden="1" outlineLevel="3">
      <c r="A588" s="111" t="s">
        <v>394</v>
      </c>
      <c r="B588" s="111" t="s">
        <v>950</v>
      </c>
      <c r="C588" s="111" t="s">
        <v>400</v>
      </c>
      <c r="D588" s="111" t="s">
        <v>954</v>
      </c>
      <c r="E588" s="111" t="s">
        <v>952</v>
      </c>
      <c r="F588" s="112">
        <v>45717</v>
      </c>
      <c r="G588" s="113">
        <v>1752.61</v>
      </c>
      <c r="H588" s="113">
        <v>1752.61</v>
      </c>
      <c r="J588" s="113">
        <v>1752.61</v>
      </c>
      <c r="K588" s="113">
        <f>G588-J588</f>
        <v>0</v>
      </c>
    </row>
    <row r="589" spans="1:11" outlineLevel="2" collapsed="1">
      <c r="B589" s="114" t="s">
        <v>955</v>
      </c>
      <c r="F589" s="112"/>
      <c r="G589" s="113">
        <f>SUBTOTAL(9,G585:G588)</f>
        <v>2994.96</v>
      </c>
      <c r="J589" s="113">
        <f>SUBTOTAL(9,J585:J588)</f>
        <v>2994.96</v>
      </c>
      <c r="K589" s="113">
        <f>SUBTOTAL(9,K585:K588)</f>
        <v>0</v>
      </c>
    </row>
    <row r="590" spans="1:11" hidden="1" outlineLevel="3">
      <c r="A590" s="111" t="s">
        <v>394</v>
      </c>
      <c r="B590" s="111" t="s">
        <v>956</v>
      </c>
      <c r="C590" s="111" t="s">
        <v>403</v>
      </c>
      <c r="D590" s="111" t="s">
        <v>403</v>
      </c>
      <c r="E590" s="111" t="s">
        <v>957</v>
      </c>
      <c r="F590" s="112">
        <v>45717</v>
      </c>
      <c r="G590" s="113">
        <v>465</v>
      </c>
      <c r="H590" s="113">
        <v>465</v>
      </c>
      <c r="J590" s="113">
        <v>465</v>
      </c>
      <c r="K590" s="113">
        <f>G590-J590</f>
        <v>0</v>
      </c>
    </row>
    <row r="591" spans="1:11" hidden="1" outlineLevel="3">
      <c r="A591" s="111" t="s">
        <v>394</v>
      </c>
      <c r="B591" s="111" t="s">
        <v>956</v>
      </c>
      <c r="C591" s="111" t="s">
        <v>405</v>
      </c>
      <c r="D591" s="111" t="s">
        <v>405</v>
      </c>
      <c r="E591" s="111" t="s">
        <v>957</v>
      </c>
      <c r="F591" s="112">
        <v>45717</v>
      </c>
      <c r="G591" s="113">
        <v>92</v>
      </c>
      <c r="H591" s="113">
        <v>92</v>
      </c>
      <c r="J591" s="113">
        <v>92</v>
      </c>
      <c r="K591" s="113">
        <f>G591-J591</f>
        <v>0</v>
      </c>
    </row>
    <row r="592" spans="1:11" hidden="1" outlineLevel="3">
      <c r="A592" s="111" t="s">
        <v>394</v>
      </c>
      <c r="B592" s="111" t="s">
        <v>956</v>
      </c>
      <c r="C592" s="111" t="s">
        <v>396</v>
      </c>
      <c r="D592" s="111" t="s">
        <v>396</v>
      </c>
      <c r="E592" s="111" t="s">
        <v>957</v>
      </c>
      <c r="F592" s="112">
        <v>45717</v>
      </c>
      <c r="G592" s="113">
        <v>1813</v>
      </c>
      <c r="H592" s="113">
        <v>1813</v>
      </c>
      <c r="J592" s="113">
        <v>1820</v>
      </c>
      <c r="K592" s="113">
        <f>G592-J592</f>
        <v>-7</v>
      </c>
    </row>
    <row r="593" spans="1:11" hidden="1" outlineLevel="3">
      <c r="A593" s="111" t="s">
        <v>394</v>
      </c>
      <c r="B593" s="111" t="s">
        <v>956</v>
      </c>
      <c r="C593" s="111" t="s">
        <v>400</v>
      </c>
      <c r="D593" s="111" t="s">
        <v>400</v>
      </c>
      <c r="E593" s="111" t="s">
        <v>957</v>
      </c>
      <c r="F593" s="112">
        <v>45717</v>
      </c>
      <c r="G593" s="113">
        <v>3264</v>
      </c>
      <c r="H593" s="113">
        <v>3264</v>
      </c>
      <c r="J593" s="113">
        <v>3264</v>
      </c>
      <c r="K593" s="113">
        <f>G593-J593</f>
        <v>0</v>
      </c>
    </row>
    <row r="594" spans="1:11" outlineLevel="2" collapsed="1">
      <c r="B594" s="114" t="s">
        <v>958</v>
      </c>
      <c r="F594" s="112"/>
      <c r="G594" s="113">
        <f>SUBTOTAL(9,G590:G593)</f>
        <v>5634</v>
      </c>
      <c r="J594" s="113">
        <f>SUBTOTAL(9,J590:J593)</f>
        <v>5641</v>
      </c>
      <c r="K594" s="113">
        <f>SUBTOTAL(9,K590:K593)</f>
        <v>-7</v>
      </c>
    </row>
    <row r="595" spans="1:11" hidden="1" outlineLevel="3">
      <c r="A595" s="111" t="s">
        <v>394</v>
      </c>
      <c r="B595" s="111" t="s">
        <v>959</v>
      </c>
      <c r="C595" s="111" t="s">
        <v>403</v>
      </c>
      <c r="D595" s="111" t="s">
        <v>960</v>
      </c>
      <c r="E595" s="111" t="s">
        <v>961</v>
      </c>
      <c r="F595" s="112">
        <v>45717</v>
      </c>
      <c r="G595" s="113">
        <v>1950</v>
      </c>
      <c r="H595" s="113">
        <v>1950</v>
      </c>
      <c r="J595" s="113">
        <v>1950</v>
      </c>
      <c r="K595" s="113">
        <f>G595-J595</f>
        <v>0</v>
      </c>
    </row>
    <row r="596" spans="1:11" hidden="1" outlineLevel="3">
      <c r="A596" s="111" t="s">
        <v>394</v>
      </c>
      <c r="B596" s="111" t="s">
        <v>959</v>
      </c>
      <c r="C596" s="111" t="s">
        <v>405</v>
      </c>
      <c r="D596" s="111" t="s">
        <v>405</v>
      </c>
      <c r="E596" s="111" t="s">
        <v>961</v>
      </c>
      <c r="F596" s="112">
        <v>45717</v>
      </c>
      <c r="G596" s="113">
        <v>490.5</v>
      </c>
      <c r="H596" s="113">
        <v>490.5</v>
      </c>
      <c r="J596" s="113">
        <v>490.5</v>
      </c>
      <c r="K596" s="113">
        <f>G596-J596</f>
        <v>0</v>
      </c>
    </row>
    <row r="597" spans="1:11" hidden="1" outlineLevel="3">
      <c r="A597" s="111" t="s">
        <v>394</v>
      </c>
      <c r="B597" s="111" t="s">
        <v>959</v>
      </c>
      <c r="C597" s="111" t="s">
        <v>396</v>
      </c>
      <c r="D597" s="111" t="s">
        <v>396</v>
      </c>
      <c r="E597" s="111" t="s">
        <v>961</v>
      </c>
      <c r="F597" s="112">
        <v>45717</v>
      </c>
      <c r="G597" s="113">
        <v>2636</v>
      </c>
      <c r="H597" s="113">
        <v>2636</v>
      </c>
      <c r="J597" s="113">
        <v>2636</v>
      </c>
      <c r="K597" s="113">
        <f>G597-J597</f>
        <v>0</v>
      </c>
    </row>
    <row r="598" spans="1:11" hidden="1" outlineLevel="3">
      <c r="A598" s="111" t="s">
        <v>394</v>
      </c>
      <c r="B598" s="111" t="s">
        <v>959</v>
      </c>
      <c r="C598" s="111" t="s">
        <v>400</v>
      </c>
      <c r="D598" s="111" t="s">
        <v>962</v>
      </c>
      <c r="E598" s="111" t="s">
        <v>961</v>
      </c>
      <c r="F598" s="112">
        <v>45717</v>
      </c>
      <c r="G598" s="113">
        <v>5095</v>
      </c>
      <c r="H598" s="113">
        <v>5095</v>
      </c>
      <c r="J598" s="113">
        <v>5095</v>
      </c>
      <c r="K598" s="113">
        <f>G598-J598</f>
        <v>0</v>
      </c>
    </row>
    <row r="599" spans="1:11" outlineLevel="2" collapsed="1">
      <c r="B599" s="114" t="s">
        <v>963</v>
      </c>
      <c r="F599" s="112"/>
      <c r="G599" s="113">
        <f>SUBTOTAL(9,G595:G598)</f>
        <v>10171.5</v>
      </c>
      <c r="J599" s="113">
        <f>SUBTOTAL(9,J595:J598)</f>
        <v>10171.5</v>
      </c>
      <c r="K599" s="113">
        <f>SUBTOTAL(9,K595:K598)</f>
        <v>0</v>
      </c>
    </row>
    <row r="600" spans="1:11" hidden="1" outlineLevel="3">
      <c r="A600" s="111" t="s">
        <v>394</v>
      </c>
      <c r="B600" s="111" t="s">
        <v>964</v>
      </c>
      <c r="C600" s="111" t="s">
        <v>408</v>
      </c>
      <c r="D600" s="111" t="s">
        <v>408</v>
      </c>
      <c r="E600" s="111" t="s">
        <v>965</v>
      </c>
      <c r="F600" s="112">
        <v>45717</v>
      </c>
      <c r="G600" s="113">
        <v>2560</v>
      </c>
      <c r="H600" s="113">
        <v>2560</v>
      </c>
      <c r="J600" s="113">
        <v>2626</v>
      </c>
      <c r="K600" s="113">
        <f>G600-J600</f>
        <v>-66</v>
      </c>
    </row>
    <row r="601" spans="1:11" hidden="1" outlineLevel="3">
      <c r="A601" s="111" t="s">
        <v>394</v>
      </c>
      <c r="B601" s="111" t="s">
        <v>964</v>
      </c>
      <c r="C601" s="111" t="s">
        <v>396</v>
      </c>
      <c r="D601" s="111" t="s">
        <v>396</v>
      </c>
      <c r="E601" s="111" t="s">
        <v>965</v>
      </c>
      <c r="F601" s="112">
        <v>45717</v>
      </c>
      <c r="G601" s="113">
        <v>1970</v>
      </c>
      <c r="H601" s="113">
        <v>1970</v>
      </c>
      <c r="J601" s="113">
        <v>1964</v>
      </c>
      <c r="K601" s="113">
        <f>G601-J601</f>
        <v>6</v>
      </c>
    </row>
    <row r="602" spans="1:11" hidden="1" outlineLevel="3">
      <c r="A602" s="111" t="s">
        <v>394</v>
      </c>
      <c r="B602" s="111" t="s">
        <v>964</v>
      </c>
      <c r="C602" s="111" t="s">
        <v>400</v>
      </c>
      <c r="D602" s="111" t="s">
        <v>400</v>
      </c>
      <c r="E602" s="111" t="s">
        <v>965</v>
      </c>
      <c r="F602" s="112">
        <v>45717</v>
      </c>
      <c r="G602" s="113">
        <v>5992</v>
      </c>
      <c r="H602" s="113">
        <v>5992</v>
      </c>
      <c r="J602" s="113">
        <v>5992</v>
      </c>
      <c r="K602" s="113">
        <f>G602-J602</f>
        <v>0</v>
      </c>
    </row>
    <row r="603" spans="1:11" outlineLevel="2" collapsed="1">
      <c r="B603" s="114" t="s">
        <v>966</v>
      </c>
      <c r="F603" s="112"/>
      <c r="G603" s="113">
        <f>SUBTOTAL(9,G600:G602)</f>
        <v>10522</v>
      </c>
      <c r="J603" s="113">
        <f>SUBTOTAL(9,J600:J602)</f>
        <v>10582</v>
      </c>
      <c r="K603" s="113">
        <f>SUBTOTAL(9,K600:K602)</f>
        <v>-60</v>
      </c>
    </row>
    <row r="604" spans="1:11" hidden="1" outlineLevel="3">
      <c r="A604" s="111" t="s">
        <v>394</v>
      </c>
      <c r="B604" s="111" t="s">
        <v>967</v>
      </c>
      <c r="C604" s="111" t="s">
        <v>403</v>
      </c>
      <c r="D604" s="111" t="s">
        <v>403</v>
      </c>
      <c r="E604" s="111" t="s">
        <v>968</v>
      </c>
      <c r="F604" s="112">
        <v>45731</v>
      </c>
      <c r="G604" s="113">
        <v>33.6</v>
      </c>
      <c r="H604" s="113">
        <v>33.6</v>
      </c>
      <c r="J604" s="113">
        <v>33.6</v>
      </c>
      <c r="K604" s="113">
        <f>G604-J604</f>
        <v>0</v>
      </c>
    </row>
    <row r="605" spans="1:11" hidden="1" outlineLevel="3">
      <c r="A605" s="111" t="s">
        <v>394</v>
      </c>
      <c r="B605" s="111" t="s">
        <v>967</v>
      </c>
      <c r="C605" s="111" t="s">
        <v>405</v>
      </c>
      <c r="D605" s="111" t="s">
        <v>405</v>
      </c>
      <c r="E605" s="111" t="s">
        <v>968</v>
      </c>
      <c r="F605" s="112">
        <v>45731</v>
      </c>
      <c r="G605" s="113">
        <v>178.96</v>
      </c>
      <c r="H605" s="113">
        <v>178.96</v>
      </c>
      <c r="J605" s="113">
        <v>178.96</v>
      </c>
      <c r="K605" s="113">
        <f>G605-J605</f>
        <v>0</v>
      </c>
    </row>
    <row r="606" spans="1:11" hidden="1" outlineLevel="3">
      <c r="A606" s="111" t="s">
        <v>394</v>
      </c>
      <c r="B606" s="111" t="s">
        <v>967</v>
      </c>
      <c r="C606" s="111" t="s">
        <v>396</v>
      </c>
      <c r="D606" s="111" t="s">
        <v>396</v>
      </c>
      <c r="E606" s="111" t="s">
        <v>968</v>
      </c>
      <c r="F606" s="112">
        <v>45731</v>
      </c>
      <c r="G606" s="113">
        <v>35</v>
      </c>
      <c r="H606" s="113">
        <v>35</v>
      </c>
      <c r="J606" s="113">
        <v>35</v>
      </c>
      <c r="K606" s="113">
        <f>G606-J606</f>
        <v>0</v>
      </c>
    </row>
    <row r="607" spans="1:11" hidden="1" outlineLevel="3">
      <c r="A607" s="111" t="s">
        <v>394</v>
      </c>
      <c r="B607" s="111" t="s">
        <v>967</v>
      </c>
      <c r="C607" s="111" t="s">
        <v>400</v>
      </c>
      <c r="D607" s="111" t="s">
        <v>400</v>
      </c>
      <c r="E607" s="111" t="s">
        <v>968</v>
      </c>
      <c r="F607" s="112">
        <v>45731</v>
      </c>
      <c r="G607" s="113">
        <v>446.25</v>
      </c>
      <c r="H607" s="113">
        <v>446.25</v>
      </c>
      <c r="J607" s="113">
        <v>446.25</v>
      </c>
      <c r="K607" s="113">
        <f>G607-J607</f>
        <v>0</v>
      </c>
    </row>
    <row r="608" spans="1:11" outlineLevel="2" collapsed="1">
      <c r="B608" s="114" t="s">
        <v>969</v>
      </c>
      <c r="F608" s="112"/>
      <c r="G608" s="113">
        <f>SUBTOTAL(9,G604:G607)</f>
        <v>693.81</v>
      </c>
      <c r="J608" s="113">
        <f>SUBTOTAL(9,J604:J607)</f>
        <v>693.81</v>
      </c>
      <c r="K608" s="113">
        <f>SUBTOTAL(9,K604:K607)</f>
        <v>0</v>
      </c>
    </row>
    <row r="609" spans="1:12" outlineLevel="1">
      <c r="A609" s="114" t="s">
        <v>970</v>
      </c>
      <c r="F609" s="112"/>
      <c r="G609" s="113">
        <f>SUBTOTAL(9,G2:G607)</f>
        <v>699507.91454999964</v>
      </c>
      <c r="J609" s="113">
        <f>SUBTOTAL(9,J2:J607)</f>
        <v>673357.08710000012</v>
      </c>
      <c r="K609" s="113">
        <f>SUBTOTAL(9,K2:K607)</f>
        <v>26150.827449999986</v>
      </c>
    </row>
    <row r="610" spans="1:12" hidden="1" outlineLevel="3">
      <c r="A610" s="110" t="s">
        <v>971</v>
      </c>
      <c r="B610" s="110" t="s">
        <v>972</v>
      </c>
      <c r="C610" s="110" t="s">
        <v>400</v>
      </c>
      <c r="D610" s="110" t="s">
        <v>400</v>
      </c>
      <c r="E610" s="110" t="s">
        <v>973</v>
      </c>
      <c r="F610" s="119">
        <v>45717</v>
      </c>
      <c r="G610" s="120">
        <v>2958.75</v>
      </c>
      <c r="H610" s="121">
        <f>G610</f>
        <v>2958.75</v>
      </c>
      <c r="I610" s="121"/>
      <c r="J610" s="120">
        <v>3183.75</v>
      </c>
      <c r="K610" s="121">
        <f>G610-J610</f>
        <v>-225</v>
      </c>
      <c r="L610" s="110" t="s">
        <v>974</v>
      </c>
    </row>
    <row r="611" spans="1:12" hidden="1" outlineLevel="3">
      <c r="A611" s="110" t="s">
        <v>971</v>
      </c>
      <c r="B611" s="110" t="s">
        <v>975</v>
      </c>
      <c r="C611" s="110" t="s">
        <v>976</v>
      </c>
      <c r="D611" s="110" t="s">
        <v>977</v>
      </c>
      <c r="E611" s="110" t="s">
        <v>978</v>
      </c>
      <c r="F611" s="119">
        <v>45718</v>
      </c>
      <c r="G611" s="120">
        <v>446</v>
      </c>
      <c r="H611" s="121">
        <f>G611</f>
        <v>446</v>
      </c>
      <c r="I611" s="121"/>
      <c r="J611" s="120">
        <v>446</v>
      </c>
      <c r="K611" s="121">
        <f>G611-J611</f>
        <v>0</v>
      </c>
      <c r="L611" s="110"/>
    </row>
    <row r="612" spans="1:12" hidden="1" outlineLevel="3">
      <c r="A612" s="110" t="s">
        <v>971</v>
      </c>
      <c r="B612" s="110" t="s">
        <v>979</v>
      </c>
      <c r="C612" s="110" t="s">
        <v>980</v>
      </c>
      <c r="D612" s="110" t="s">
        <v>981</v>
      </c>
      <c r="E612" s="110" t="s">
        <v>982</v>
      </c>
      <c r="F612" s="119">
        <v>45717</v>
      </c>
      <c r="G612" s="120">
        <v>1256.25</v>
      </c>
      <c r="H612" s="121">
        <f>G612</f>
        <v>1256.25</v>
      </c>
      <c r="I612" s="121"/>
      <c r="J612" s="120">
        <v>1256.25</v>
      </c>
      <c r="K612" s="121">
        <f>G612-J612</f>
        <v>0</v>
      </c>
      <c r="L612" s="110"/>
    </row>
    <row r="613" spans="1:12" outlineLevel="2" collapsed="1">
      <c r="A613" s="110"/>
      <c r="B613" s="106" t="s">
        <v>983</v>
      </c>
      <c r="C613" s="110"/>
      <c r="D613" s="110"/>
      <c r="E613" s="110"/>
      <c r="F613" s="119"/>
      <c r="G613" s="120">
        <f>SUBTOTAL(9,G612:G612)</f>
        <v>1256.25</v>
      </c>
      <c r="H613" s="121"/>
      <c r="I613" s="121"/>
      <c r="J613" s="120">
        <f>SUBTOTAL(9,J612:J612)</f>
        <v>1256.25</v>
      </c>
      <c r="K613" s="121">
        <f>SUBTOTAL(9,K612:K612)</f>
        <v>0</v>
      </c>
      <c r="L613" s="110"/>
    </row>
    <row r="614" spans="1:12" hidden="1" outlineLevel="3">
      <c r="A614" s="110" t="s">
        <v>971</v>
      </c>
      <c r="B614" s="110" t="s">
        <v>984</v>
      </c>
      <c r="C614" s="110" t="s">
        <v>400</v>
      </c>
      <c r="D614" s="110" t="s">
        <v>985</v>
      </c>
      <c r="E614" s="110" t="s">
        <v>986</v>
      </c>
      <c r="F614" s="119">
        <v>45717</v>
      </c>
      <c r="G614" s="120">
        <v>950</v>
      </c>
      <c r="H614" s="121">
        <f>G614</f>
        <v>950</v>
      </c>
      <c r="I614" s="121"/>
      <c r="J614" s="120">
        <v>950</v>
      </c>
      <c r="K614" s="121">
        <f>G614-J614</f>
        <v>0</v>
      </c>
      <c r="L614" s="110"/>
    </row>
    <row r="615" spans="1:12" outlineLevel="2" collapsed="1">
      <c r="A615" s="110"/>
      <c r="B615" s="106" t="s">
        <v>987</v>
      </c>
      <c r="C615" s="110"/>
      <c r="D615" s="110"/>
      <c r="E615" s="110"/>
      <c r="F615" s="119"/>
      <c r="G615" s="120">
        <f>SUBTOTAL(9,G614:G614)</f>
        <v>950</v>
      </c>
      <c r="H615" s="121"/>
      <c r="I615" s="121"/>
      <c r="J615" s="120">
        <f>SUBTOTAL(9,J614:J614)</f>
        <v>950</v>
      </c>
      <c r="K615" s="121">
        <f>SUBTOTAL(9,K614:K614)</f>
        <v>0</v>
      </c>
      <c r="L615" s="110"/>
    </row>
    <row r="616" spans="1:12" hidden="1" outlineLevel="3">
      <c r="A616" s="110" t="s">
        <v>971</v>
      </c>
      <c r="B616" s="110" t="s">
        <v>975</v>
      </c>
      <c r="C616" s="110" t="s">
        <v>980</v>
      </c>
      <c r="D616" s="110" t="s">
        <v>988</v>
      </c>
      <c r="E616" s="110" t="s">
        <v>989</v>
      </c>
      <c r="F616" s="119">
        <v>45717</v>
      </c>
      <c r="G616" s="120">
        <v>111.5</v>
      </c>
      <c r="H616" s="121">
        <f>G616</f>
        <v>111.5</v>
      </c>
      <c r="I616" s="121"/>
      <c r="J616" s="120">
        <v>111.5</v>
      </c>
      <c r="K616" s="121">
        <f>G616-J616</f>
        <v>0</v>
      </c>
      <c r="L616" s="110"/>
    </row>
    <row r="617" spans="1:12" hidden="1" outlineLevel="3">
      <c r="A617" s="110" t="s">
        <v>971</v>
      </c>
      <c r="B617" s="110" t="s">
        <v>975</v>
      </c>
      <c r="C617" s="110" t="s">
        <v>405</v>
      </c>
      <c r="D617" s="110" t="s">
        <v>990</v>
      </c>
      <c r="E617" s="110" t="s">
        <v>991</v>
      </c>
      <c r="F617" s="119">
        <v>45717</v>
      </c>
      <c r="G617" s="120">
        <v>205</v>
      </c>
      <c r="H617" s="121">
        <f>G617</f>
        <v>205</v>
      </c>
      <c r="I617" s="121"/>
      <c r="J617" s="120">
        <v>205</v>
      </c>
      <c r="K617" s="121">
        <f>G617-J617</f>
        <v>0</v>
      </c>
      <c r="L617" s="110"/>
    </row>
    <row r="618" spans="1:12" hidden="1" outlineLevel="3">
      <c r="A618" s="110" t="s">
        <v>971</v>
      </c>
      <c r="B618" s="110" t="s">
        <v>975</v>
      </c>
      <c r="C618" s="110" t="s">
        <v>396</v>
      </c>
      <c r="D618" s="110" t="s">
        <v>992</v>
      </c>
      <c r="E618" s="110" t="s">
        <v>991</v>
      </c>
      <c r="F618" s="119">
        <v>45717</v>
      </c>
      <c r="G618" s="120">
        <v>35</v>
      </c>
      <c r="H618" s="121">
        <f>G618</f>
        <v>35</v>
      </c>
      <c r="I618" s="121"/>
      <c r="J618" s="120">
        <v>35</v>
      </c>
      <c r="K618" s="121">
        <f>G618-J618</f>
        <v>0</v>
      </c>
      <c r="L618" s="110"/>
    </row>
    <row r="619" spans="1:12" hidden="1" outlineLevel="3">
      <c r="A619" s="110" t="s">
        <v>971</v>
      </c>
      <c r="B619" s="110" t="s">
        <v>993</v>
      </c>
      <c r="C619" s="110" t="s">
        <v>980</v>
      </c>
      <c r="D619" s="110" t="s">
        <v>988</v>
      </c>
      <c r="E619" s="110" t="s">
        <v>994</v>
      </c>
      <c r="F619" s="119">
        <v>45717</v>
      </c>
      <c r="G619" s="120">
        <v>61.35</v>
      </c>
      <c r="H619" s="121">
        <f>G619</f>
        <v>61.35</v>
      </c>
      <c r="I619" s="121"/>
      <c r="J619" s="120">
        <v>61.35</v>
      </c>
      <c r="K619" s="121">
        <f>G619-J619</f>
        <v>0</v>
      </c>
      <c r="L619" s="110"/>
    </row>
    <row r="620" spans="1:12" hidden="1" outlineLevel="3">
      <c r="A620" s="110" t="s">
        <v>971</v>
      </c>
      <c r="B620" s="110" t="s">
        <v>975</v>
      </c>
      <c r="C620" s="110" t="s">
        <v>400</v>
      </c>
      <c r="D620" s="110" t="s">
        <v>995</v>
      </c>
      <c r="E620" s="110" t="s">
        <v>991</v>
      </c>
      <c r="F620" s="119">
        <v>45717</v>
      </c>
      <c r="G620" s="120">
        <v>2845.5</v>
      </c>
      <c r="H620" s="121">
        <f>G620</f>
        <v>2845.5</v>
      </c>
      <c r="I620" s="121"/>
      <c r="J620" s="120">
        <v>2845.5</v>
      </c>
      <c r="K620" s="121">
        <f>G620-J620</f>
        <v>0</v>
      </c>
      <c r="L620" s="110"/>
    </row>
    <row r="621" spans="1:12" outlineLevel="2" collapsed="1">
      <c r="A621" s="110"/>
      <c r="B621" s="106" t="s">
        <v>996</v>
      </c>
      <c r="C621" s="110"/>
      <c r="D621" s="110"/>
      <c r="E621" s="110"/>
      <c r="F621" s="119"/>
      <c r="G621" s="120">
        <f>SUBTOTAL(9,G616:G620)</f>
        <v>3258.35</v>
      </c>
      <c r="H621" s="121"/>
      <c r="I621" s="121"/>
      <c r="J621" s="120">
        <f>SUBTOTAL(9,J616:J620)</f>
        <v>3258.35</v>
      </c>
      <c r="K621" s="121">
        <f>SUBTOTAL(9,K616:K620)</f>
        <v>0</v>
      </c>
      <c r="L621" s="110"/>
    </row>
    <row r="622" spans="1:12" hidden="1" outlineLevel="3">
      <c r="A622" s="110" t="s">
        <v>971</v>
      </c>
      <c r="B622" s="110" t="s">
        <v>997</v>
      </c>
      <c r="C622" s="110" t="s">
        <v>980</v>
      </c>
      <c r="D622" s="110" t="s">
        <v>988</v>
      </c>
      <c r="E622" s="110" t="s">
        <v>998</v>
      </c>
      <c r="F622" s="119">
        <v>45717</v>
      </c>
      <c r="G622" s="120">
        <v>143.19999999999999</v>
      </c>
      <c r="H622" s="121">
        <f>G622</f>
        <v>143.19999999999999</v>
      </c>
      <c r="I622" s="121"/>
      <c r="J622" s="120">
        <v>143.19999999999999</v>
      </c>
      <c r="K622" s="121">
        <f>G622-J622</f>
        <v>0</v>
      </c>
      <c r="L622" s="110"/>
    </row>
    <row r="623" spans="1:12" hidden="1" outlineLevel="3">
      <c r="A623" s="110" t="s">
        <v>971</v>
      </c>
      <c r="B623" s="110" t="s">
        <v>997</v>
      </c>
      <c r="C623" s="110" t="s">
        <v>976</v>
      </c>
      <c r="D623" s="110" t="s">
        <v>999</v>
      </c>
      <c r="E623" s="110" t="s">
        <v>1000</v>
      </c>
      <c r="F623" s="119">
        <v>45718</v>
      </c>
      <c r="G623" s="120">
        <v>572.79999999999995</v>
      </c>
      <c r="H623" s="121">
        <f>G623</f>
        <v>572.79999999999995</v>
      </c>
      <c r="I623" s="121"/>
      <c r="J623" s="120">
        <v>572.79999999999995</v>
      </c>
      <c r="K623" s="121">
        <f>G623-J623</f>
        <v>0</v>
      </c>
      <c r="L623" s="110"/>
    </row>
    <row r="624" spans="1:12" hidden="1" outlineLevel="3">
      <c r="A624" s="110" t="s">
        <v>971</v>
      </c>
      <c r="B624" s="110" t="s">
        <v>997</v>
      </c>
      <c r="C624" s="110" t="s">
        <v>400</v>
      </c>
      <c r="D624" s="110" t="s">
        <v>1001</v>
      </c>
      <c r="E624" s="110" t="s">
        <v>1002</v>
      </c>
      <c r="F624" s="119">
        <v>45717</v>
      </c>
      <c r="G624" s="120">
        <v>1058</v>
      </c>
      <c r="H624" s="121">
        <f>G624</f>
        <v>1058</v>
      </c>
      <c r="I624" s="121"/>
      <c r="J624" s="120">
        <v>1058</v>
      </c>
      <c r="K624" s="121">
        <f>G624-J624</f>
        <v>0</v>
      </c>
      <c r="L624" s="110"/>
    </row>
    <row r="625" spans="1:12" hidden="1" outlineLevel="3">
      <c r="A625" s="110" t="s">
        <v>971</v>
      </c>
      <c r="B625" s="110" t="s">
        <v>997</v>
      </c>
      <c r="C625" s="110" t="s">
        <v>400</v>
      </c>
      <c r="D625" s="110" t="s">
        <v>1003</v>
      </c>
      <c r="E625" s="110" t="s">
        <v>1004</v>
      </c>
      <c r="F625" s="119">
        <v>45717</v>
      </c>
      <c r="G625" s="120">
        <v>530</v>
      </c>
      <c r="H625" s="121">
        <f>G625</f>
        <v>530</v>
      </c>
      <c r="I625" s="121"/>
      <c r="J625" s="120">
        <v>530</v>
      </c>
      <c r="K625" s="121">
        <f>G625-J625</f>
        <v>0</v>
      </c>
      <c r="L625" s="110"/>
    </row>
    <row r="626" spans="1:12" outlineLevel="2" collapsed="1">
      <c r="A626" s="110"/>
      <c r="B626" s="106" t="s">
        <v>1005</v>
      </c>
      <c r="C626" s="110"/>
      <c r="D626" s="110"/>
      <c r="E626" s="110"/>
      <c r="F626" s="119"/>
      <c r="G626" s="120">
        <f>SUBTOTAL(9,G622:G625)</f>
        <v>2304</v>
      </c>
      <c r="H626" s="121"/>
      <c r="I626" s="121"/>
      <c r="J626" s="120">
        <f>SUBTOTAL(9,J622:J625)</f>
        <v>2304</v>
      </c>
      <c r="K626" s="121">
        <f>SUBTOTAL(9,K622:K625)</f>
        <v>0</v>
      </c>
      <c r="L626" s="110"/>
    </row>
    <row r="627" spans="1:12" hidden="1" outlineLevel="3">
      <c r="A627" s="110" t="s">
        <v>971</v>
      </c>
      <c r="B627" s="110" t="s">
        <v>1006</v>
      </c>
      <c r="C627" s="110" t="s">
        <v>976</v>
      </c>
      <c r="D627" s="110" t="s">
        <v>976</v>
      </c>
      <c r="E627" s="110" t="s">
        <v>1007</v>
      </c>
      <c r="F627" s="119">
        <v>45718</v>
      </c>
      <c r="G627" s="120">
        <v>208</v>
      </c>
      <c r="H627" s="121">
        <f>G627</f>
        <v>208</v>
      </c>
      <c r="I627" s="121"/>
      <c r="J627" s="120">
        <v>208</v>
      </c>
      <c r="K627" s="121">
        <f>G627-J627</f>
        <v>0</v>
      </c>
      <c r="L627" s="110"/>
    </row>
    <row r="628" spans="1:12" hidden="1" outlineLevel="3">
      <c r="A628" s="110" t="s">
        <v>971</v>
      </c>
      <c r="B628" s="110" t="s">
        <v>993</v>
      </c>
      <c r="C628" s="110" t="s">
        <v>405</v>
      </c>
      <c r="D628" s="110" t="s">
        <v>421</v>
      </c>
      <c r="E628" s="110" t="s">
        <v>1008</v>
      </c>
      <c r="F628" s="119">
        <v>45717</v>
      </c>
      <c r="G628" s="120">
        <v>207.48</v>
      </c>
      <c r="H628" s="121">
        <f>G628</f>
        <v>207.48</v>
      </c>
      <c r="I628" s="121"/>
      <c r="J628" s="120">
        <v>207.48</v>
      </c>
      <c r="K628" s="121">
        <f>G628-J628</f>
        <v>0</v>
      </c>
      <c r="L628" s="110"/>
    </row>
    <row r="629" spans="1:12" hidden="1" outlineLevel="3">
      <c r="A629" s="110" t="s">
        <v>971</v>
      </c>
      <c r="B629" s="110" t="s">
        <v>993</v>
      </c>
      <c r="C629" s="110" t="s">
        <v>396</v>
      </c>
      <c r="D629" s="110" t="s">
        <v>422</v>
      </c>
      <c r="E629" s="110" t="s">
        <v>1008</v>
      </c>
      <c r="F629" s="119">
        <v>45717</v>
      </c>
      <c r="G629" s="120">
        <v>224</v>
      </c>
      <c r="H629" s="121">
        <f>G629</f>
        <v>224</v>
      </c>
      <c r="I629" s="121"/>
      <c r="J629" s="120">
        <v>217</v>
      </c>
      <c r="K629" s="121">
        <f>G629-J629</f>
        <v>7</v>
      </c>
      <c r="L629" s="110"/>
    </row>
    <row r="630" spans="1:12" hidden="1" outlineLevel="3">
      <c r="A630" s="110" t="s">
        <v>971</v>
      </c>
      <c r="B630" s="110" t="s">
        <v>993</v>
      </c>
      <c r="C630" s="110" t="s">
        <v>976</v>
      </c>
      <c r="D630" s="110" t="s">
        <v>999</v>
      </c>
      <c r="E630" s="110" t="s">
        <v>1009</v>
      </c>
      <c r="F630" s="119">
        <v>45718</v>
      </c>
      <c r="G630" s="120">
        <v>347.65</v>
      </c>
      <c r="H630" s="121">
        <f>G630</f>
        <v>347.65</v>
      </c>
      <c r="I630" s="121"/>
      <c r="J630" s="120">
        <v>347.65</v>
      </c>
      <c r="K630" s="121">
        <f>G630-J630</f>
        <v>0</v>
      </c>
      <c r="L630" s="110"/>
    </row>
    <row r="631" spans="1:12" hidden="1" outlineLevel="3">
      <c r="A631" s="110" t="s">
        <v>971</v>
      </c>
      <c r="B631" s="110" t="s">
        <v>993</v>
      </c>
      <c r="C631" s="110" t="s">
        <v>400</v>
      </c>
      <c r="D631" s="110" t="s">
        <v>1010</v>
      </c>
      <c r="E631" s="110" t="s">
        <v>1008</v>
      </c>
      <c r="F631" s="119">
        <v>45717</v>
      </c>
      <c r="G631" s="120">
        <v>2174</v>
      </c>
      <c r="H631" s="121">
        <f>G631</f>
        <v>2174</v>
      </c>
      <c r="I631" s="121"/>
      <c r="J631" s="120">
        <v>2174</v>
      </c>
      <c r="K631" s="121">
        <f>G631-J631</f>
        <v>0</v>
      </c>
      <c r="L631" s="110"/>
    </row>
    <row r="632" spans="1:12" outlineLevel="2" collapsed="1">
      <c r="A632" s="110"/>
      <c r="B632" s="106" t="s">
        <v>1011</v>
      </c>
      <c r="C632" s="110"/>
      <c r="D632" s="110"/>
      <c r="E632" s="110"/>
      <c r="F632" s="119"/>
      <c r="G632" s="120">
        <f>SUBTOTAL(9,G627:G631)</f>
        <v>3161.13</v>
      </c>
      <c r="H632" s="121"/>
      <c r="I632" s="121"/>
      <c r="J632" s="120">
        <f>SUBTOTAL(9,J627:J631)</f>
        <v>3154.13</v>
      </c>
      <c r="K632" s="121">
        <f>SUBTOTAL(9,K627:K631)</f>
        <v>7</v>
      </c>
      <c r="L632" s="110"/>
    </row>
    <row r="633" spans="1:12" hidden="1" outlineLevel="3">
      <c r="A633" s="110" t="s">
        <v>971</v>
      </c>
      <c r="B633" s="110" t="s">
        <v>1006</v>
      </c>
      <c r="C633" s="110" t="s">
        <v>980</v>
      </c>
      <c r="D633" s="110" t="s">
        <v>1012</v>
      </c>
      <c r="E633" s="110" t="s">
        <v>1013</v>
      </c>
      <c r="F633" s="119">
        <v>45717</v>
      </c>
      <c r="G633" s="120">
        <v>208</v>
      </c>
      <c r="H633" s="121">
        <f>G633</f>
        <v>208</v>
      </c>
      <c r="I633" s="121"/>
      <c r="J633" s="120">
        <v>208</v>
      </c>
      <c r="K633" s="121">
        <f>G633-J633</f>
        <v>0</v>
      </c>
      <c r="L633" s="110"/>
    </row>
    <row r="634" spans="1:12" hidden="1" outlineLevel="3">
      <c r="A634" s="110" t="s">
        <v>971</v>
      </c>
      <c r="B634" s="110" t="s">
        <v>1006</v>
      </c>
      <c r="C634" s="110" t="s">
        <v>408</v>
      </c>
      <c r="D634" s="110" t="s">
        <v>524</v>
      </c>
      <c r="E634" s="110" t="s">
        <v>1014</v>
      </c>
      <c r="F634" s="119">
        <v>45717</v>
      </c>
      <c r="G634" s="120">
        <v>67.099999999999994</v>
      </c>
      <c r="H634" s="121">
        <f>G634</f>
        <v>67.099999999999994</v>
      </c>
      <c r="I634" s="121"/>
      <c r="J634" s="120">
        <v>67.099999999999994</v>
      </c>
      <c r="K634" s="121">
        <f>G634-J634</f>
        <v>0</v>
      </c>
      <c r="L634" s="110"/>
    </row>
    <row r="635" spans="1:12" hidden="1" outlineLevel="3">
      <c r="A635" s="110" t="s">
        <v>971</v>
      </c>
      <c r="B635" s="110" t="s">
        <v>1015</v>
      </c>
      <c r="C635" s="110" t="s">
        <v>400</v>
      </c>
      <c r="D635" s="110" t="s">
        <v>1016</v>
      </c>
      <c r="E635" s="110" t="s">
        <v>1017</v>
      </c>
      <c r="F635" s="119">
        <v>45717</v>
      </c>
      <c r="G635" s="120">
        <v>4718.5</v>
      </c>
      <c r="H635" s="121">
        <f>G635</f>
        <v>4718.5</v>
      </c>
      <c r="I635" s="121"/>
      <c r="J635" s="120">
        <v>4718.5</v>
      </c>
      <c r="K635" s="121">
        <f>G635-J635</f>
        <v>0</v>
      </c>
      <c r="L635" s="110"/>
    </row>
    <row r="636" spans="1:12" outlineLevel="2" collapsed="1">
      <c r="A636" s="110"/>
      <c r="B636" s="106" t="s">
        <v>1018</v>
      </c>
      <c r="C636" s="110"/>
      <c r="D636" s="110"/>
      <c r="E636" s="110"/>
      <c r="F636" s="119"/>
      <c r="G636" s="120">
        <f>SUBTOTAL(9,G633:G635)</f>
        <v>4993.6000000000004</v>
      </c>
      <c r="H636" s="121"/>
      <c r="I636" s="121"/>
      <c r="J636" s="120">
        <f>SUBTOTAL(9,J633:J635)</f>
        <v>4993.6000000000004</v>
      </c>
      <c r="K636" s="121">
        <f>SUBTOTAL(9,K633:K635)</f>
        <v>0</v>
      </c>
      <c r="L636" s="110"/>
    </row>
    <row r="637" spans="1:12" hidden="1" outlineLevel="3">
      <c r="A637" s="110" t="s">
        <v>971</v>
      </c>
      <c r="B637" s="110" t="s">
        <v>1015</v>
      </c>
      <c r="C637" s="110" t="s">
        <v>1019</v>
      </c>
      <c r="D637" s="110" t="s">
        <v>1020</v>
      </c>
      <c r="E637" s="110" t="s">
        <v>1021</v>
      </c>
      <c r="F637" s="119">
        <v>45717</v>
      </c>
      <c r="G637" s="120">
        <v>4250</v>
      </c>
      <c r="H637" s="121">
        <f t="shared" ref="H637:H643" si="3">G637</f>
        <v>4250</v>
      </c>
      <c r="I637" s="121"/>
      <c r="J637" s="120">
        <v>4250</v>
      </c>
      <c r="K637" s="121">
        <f t="shared" ref="K637:K643" si="4">G637-J637</f>
        <v>0</v>
      </c>
      <c r="L637" s="110"/>
    </row>
    <row r="638" spans="1:12" hidden="1" outlineLevel="3">
      <c r="A638" s="110" t="s">
        <v>971</v>
      </c>
      <c r="B638" s="110" t="s">
        <v>1015</v>
      </c>
      <c r="C638" s="110" t="s">
        <v>980</v>
      </c>
      <c r="D638" s="110" t="s">
        <v>988</v>
      </c>
      <c r="E638" s="110" t="s">
        <v>1022</v>
      </c>
      <c r="F638" s="119">
        <v>45717</v>
      </c>
      <c r="G638" s="120">
        <v>46.8</v>
      </c>
      <c r="H638" s="121">
        <f t="shared" si="3"/>
        <v>46.8</v>
      </c>
      <c r="I638" s="121"/>
      <c r="J638" s="120">
        <v>46.8</v>
      </c>
      <c r="K638" s="121">
        <f t="shared" si="4"/>
        <v>0</v>
      </c>
      <c r="L638" s="110"/>
    </row>
    <row r="639" spans="1:12" hidden="1" outlineLevel="3">
      <c r="A639" s="110" t="s">
        <v>971</v>
      </c>
      <c r="B639" s="110" t="s">
        <v>1015</v>
      </c>
      <c r="C639" s="110" t="s">
        <v>405</v>
      </c>
      <c r="D639" s="110" t="s">
        <v>493</v>
      </c>
      <c r="E639" s="110" t="s">
        <v>1017</v>
      </c>
      <c r="F639" s="119">
        <v>45717</v>
      </c>
      <c r="G639" s="120">
        <v>455</v>
      </c>
      <c r="H639" s="121">
        <f t="shared" si="3"/>
        <v>455</v>
      </c>
      <c r="I639" s="121"/>
      <c r="J639" s="120">
        <v>455</v>
      </c>
      <c r="K639" s="121">
        <f t="shared" si="4"/>
        <v>0</v>
      </c>
      <c r="L639" s="110"/>
    </row>
    <row r="640" spans="1:12" hidden="1" outlineLevel="3">
      <c r="A640" s="110" t="s">
        <v>971</v>
      </c>
      <c r="B640" s="110" t="s">
        <v>1015</v>
      </c>
      <c r="C640" s="110" t="s">
        <v>396</v>
      </c>
      <c r="D640" s="110" t="s">
        <v>495</v>
      </c>
      <c r="E640" s="110" t="s">
        <v>1017</v>
      </c>
      <c r="F640" s="119">
        <v>45717</v>
      </c>
      <c r="G640" s="120">
        <v>760.5</v>
      </c>
      <c r="H640" s="121">
        <f t="shared" si="3"/>
        <v>760.5</v>
      </c>
      <c r="I640" s="121"/>
      <c r="J640" s="120">
        <v>752.5</v>
      </c>
      <c r="K640" s="121">
        <f t="shared" si="4"/>
        <v>8</v>
      </c>
      <c r="L640" s="110"/>
    </row>
    <row r="641" spans="1:12" hidden="1" outlineLevel="3">
      <c r="A641" s="110" t="s">
        <v>971</v>
      </c>
      <c r="B641" s="110" t="s">
        <v>1015</v>
      </c>
      <c r="C641" s="110" t="s">
        <v>976</v>
      </c>
      <c r="D641" s="110" t="s">
        <v>999</v>
      </c>
      <c r="E641" s="110" t="s">
        <v>1023</v>
      </c>
      <c r="F641" s="119">
        <v>45718</v>
      </c>
      <c r="G641" s="120">
        <v>265.2</v>
      </c>
      <c r="H641" s="121">
        <f t="shared" si="3"/>
        <v>265.2</v>
      </c>
      <c r="I641" s="121"/>
      <c r="J641" s="120">
        <v>265.2</v>
      </c>
      <c r="K641" s="121">
        <f t="shared" si="4"/>
        <v>0</v>
      </c>
      <c r="L641" s="110"/>
    </row>
    <row r="642" spans="1:12" hidden="1" outlineLevel="3">
      <c r="A642" s="110" t="s">
        <v>971</v>
      </c>
      <c r="B642" s="110" t="s">
        <v>1015</v>
      </c>
      <c r="C642" s="110" t="s">
        <v>400</v>
      </c>
      <c r="D642" s="110" t="s">
        <v>1024</v>
      </c>
      <c r="E642" s="110" t="s">
        <v>1025</v>
      </c>
      <c r="F642" s="119">
        <v>45717</v>
      </c>
      <c r="G642" s="120">
        <v>379.5</v>
      </c>
      <c r="H642" s="121">
        <f t="shared" si="3"/>
        <v>379.5</v>
      </c>
      <c r="I642" s="121"/>
      <c r="J642" s="120">
        <v>379.5</v>
      </c>
      <c r="K642" s="121">
        <f t="shared" si="4"/>
        <v>0</v>
      </c>
      <c r="L642" s="110"/>
    </row>
    <row r="643" spans="1:12" hidden="1" outlineLevel="3">
      <c r="A643" s="110" t="s">
        <v>971</v>
      </c>
      <c r="B643" s="110" t="s">
        <v>1026</v>
      </c>
      <c r="C643" s="110" t="s">
        <v>405</v>
      </c>
      <c r="D643" s="110" t="s">
        <v>417</v>
      </c>
      <c r="E643" s="110" t="s">
        <v>1027</v>
      </c>
      <c r="F643" s="119">
        <v>45717</v>
      </c>
      <c r="G643" s="120">
        <v>183.5</v>
      </c>
      <c r="H643" s="121">
        <f t="shared" si="3"/>
        <v>183.5</v>
      </c>
      <c r="I643" s="121"/>
      <c r="J643" s="120">
        <v>168.5</v>
      </c>
      <c r="K643" s="121">
        <f t="shared" si="4"/>
        <v>15</v>
      </c>
      <c r="L643" s="110"/>
    </row>
    <row r="644" spans="1:12" outlineLevel="2" collapsed="1">
      <c r="A644" s="110"/>
      <c r="B644" s="106" t="s">
        <v>1028</v>
      </c>
      <c r="C644" s="110"/>
      <c r="D644" s="110"/>
      <c r="E644" s="110"/>
      <c r="F644" s="119"/>
      <c r="G644" s="120">
        <f>SUBTOTAL(9,G637:G643)</f>
        <v>6340.5</v>
      </c>
      <c r="H644" s="121"/>
      <c r="I644" s="121"/>
      <c r="J644" s="120">
        <f>SUBTOTAL(9,J637:J643)</f>
        <v>6317.5</v>
      </c>
      <c r="K644" s="121">
        <f>SUBTOTAL(9,K637:K643)</f>
        <v>23</v>
      </c>
      <c r="L644" s="110"/>
    </row>
    <row r="645" spans="1:12" hidden="1" outlineLevel="3">
      <c r="A645" s="110" t="s">
        <v>971</v>
      </c>
      <c r="B645" s="110" t="s">
        <v>1029</v>
      </c>
      <c r="C645" s="110" t="s">
        <v>396</v>
      </c>
      <c r="D645" s="110" t="s">
        <v>495</v>
      </c>
      <c r="E645" s="110" t="s">
        <v>1030</v>
      </c>
      <c r="F645" s="119">
        <v>45717</v>
      </c>
      <c r="G645" s="120">
        <v>84</v>
      </c>
      <c r="H645" s="121">
        <f>G645</f>
        <v>84</v>
      </c>
      <c r="I645" s="121"/>
      <c r="J645" s="120">
        <v>91</v>
      </c>
      <c r="K645" s="121">
        <f>G645-J645</f>
        <v>-7</v>
      </c>
      <c r="L645" s="110"/>
    </row>
    <row r="646" spans="1:12" hidden="1" outlineLevel="3">
      <c r="A646" s="110" t="s">
        <v>971</v>
      </c>
      <c r="B646" s="110" t="s">
        <v>1029</v>
      </c>
      <c r="C646" s="110" t="s">
        <v>400</v>
      </c>
      <c r="D646" s="110" t="s">
        <v>1016</v>
      </c>
      <c r="E646" s="110" t="s">
        <v>1030</v>
      </c>
      <c r="F646" s="119">
        <v>45717</v>
      </c>
      <c r="G646" s="120">
        <v>1580</v>
      </c>
      <c r="H646" s="121">
        <f>G646</f>
        <v>1580</v>
      </c>
      <c r="I646" s="121"/>
      <c r="J646" s="120">
        <v>1580</v>
      </c>
      <c r="K646" s="121">
        <f>G646-J646</f>
        <v>0</v>
      </c>
      <c r="L646" s="110"/>
    </row>
    <row r="647" spans="1:12" outlineLevel="2" collapsed="1">
      <c r="A647" s="110"/>
      <c r="B647" s="106" t="s">
        <v>1031</v>
      </c>
      <c r="C647" s="110"/>
      <c r="D647" s="110"/>
      <c r="E647" s="110"/>
      <c r="F647" s="119"/>
      <c r="G647" s="120">
        <f>SUBTOTAL(9,G645:G646)</f>
        <v>1664</v>
      </c>
      <c r="H647" s="121"/>
      <c r="I647" s="121"/>
      <c r="J647" s="120">
        <f>SUBTOTAL(9,J645:J646)</f>
        <v>1671</v>
      </c>
      <c r="K647" s="121">
        <f>SUBTOTAL(9,K645:K646)</f>
        <v>-7</v>
      </c>
      <c r="L647" s="110"/>
    </row>
    <row r="648" spans="1:12" hidden="1" outlineLevel="3">
      <c r="A648" s="110" t="s">
        <v>971</v>
      </c>
      <c r="B648" s="110" t="s">
        <v>1032</v>
      </c>
      <c r="C648" s="110" t="s">
        <v>405</v>
      </c>
      <c r="D648" s="110" t="s">
        <v>405</v>
      </c>
      <c r="E648" s="110" t="s">
        <v>1033</v>
      </c>
      <c r="F648" s="119">
        <v>45717</v>
      </c>
      <c r="G648" s="120">
        <v>50</v>
      </c>
      <c r="H648" s="121">
        <f>G648</f>
        <v>50</v>
      </c>
      <c r="I648" s="121"/>
      <c r="J648" s="120">
        <v>50</v>
      </c>
      <c r="K648" s="121">
        <f>G648-J648</f>
        <v>0</v>
      </c>
      <c r="L648" s="110"/>
    </row>
    <row r="649" spans="1:12" hidden="1" outlineLevel="3">
      <c r="A649" s="110" t="s">
        <v>971</v>
      </c>
      <c r="B649" s="110" t="s">
        <v>1032</v>
      </c>
      <c r="C649" s="110" t="s">
        <v>400</v>
      </c>
      <c r="D649" s="110" t="s">
        <v>400</v>
      </c>
      <c r="E649" s="110" t="s">
        <v>1033</v>
      </c>
      <c r="F649" s="119">
        <v>45717</v>
      </c>
      <c r="G649" s="120">
        <v>310.41000000000003</v>
      </c>
      <c r="H649" s="121">
        <f>G649</f>
        <v>310.41000000000003</v>
      </c>
      <c r="I649" s="121"/>
      <c r="J649" s="120">
        <v>310.41000000000003</v>
      </c>
      <c r="K649" s="121">
        <f>G649-J649</f>
        <v>0</v>
      </c>
      <c r="L649" s="110"/>
    </row>
    <row r="650" spans="1:12" outlineLevel="2" collapsed="1">
      <c r="A650" s="110"/>
      <c r="B650" s="106" t="s">
        <v>1034</v>
      </c>
      <c r="C650" s="110"/>
      <c r="D650" s="110"/>
      <c r="E650" s="110"/>
      <c r="F650" s="119"/>
      <c r="G650" s="120">
        <f>SUBTOTAL(9,G648:G649)</f>
        <v>360.41</v>
      </c>
      <c r="H650" s="121"/>
      <c r="I650" s="121"/>
      <c r="J650" s="120">
        <f>SUBTOTAL(9,J648:J649)</f>
        <v>360.41</v>
      </c>
      <c r="K650" s="121">
        <f>SUBTOTAL(9,K648:K649)</f>
        <v>0</v>
      </c>
      <c r="L650" s="110"/>
    </row>
    <row r="651" spans="1:12" hidden="1" outlineLevel="3">
      <c r="A651" s="110" t="s">
        <v>971</v>
      </c>
      <c r="B651" s="110" t="s">
        <v>1035</v>
      </c>
      <c r="C651" s="110" t="s">
        <v>400</v>
      </c>
      <c r="D651" s="110" t="s">
        <v>1036</v>
      </c>
      <c r="E651" s="110" t="s">
        <v>1037</v>
      </c>
      <c r="F651" s="119">
        <v>45717</v>
      </c>
      <c r="G651" s="120">
        <v>352</v>
      </c>
      <c r="H651" s="121">
        <f>G651</f>
        <v>352</v>
      </c>
      <c r="I651" s="121"/>
      <c r="J651" s="120">
        <v>352</v>
      </c>
      <c r="K651" s="121">
        <f>G651-J651</f>
        <v>0</v>
      </c>
      <c r="L651" s="110"/>
    </row>
    <row r="652" spans="1:12" hidden="1" outlineLevel="3">
      <c r="A652" s="110" t="s">
        <v>971</v>
      </c>
      <c r="B652" s="110" t="s">
        <v>1026</v>
      </c>
      <c r="C652" s="110" t="s">
        <v>400</v>
      </c>
      <c r="D652" s="110" t="s">
        <v>400</v>
      </c>
      <c r="E652" s="110" t="s">
        <v>1038</v>
      </c>
      <c r="F652" s="119">
        <v>45717</v>
      </c>
      <c r="G652" s="120">
        <v>1260</v>
      </c>
      <c r="H652" s="121">
        <f>G652</f>
        <v>1260</v>
      </c>
      <c r="I652" s="121"/>
      <c r="J652" s="120">
        <v>1260</v>
      </c>
      <c r="K652" s="121">
        <f>G652-J652</f>
        <v>0</v>
      </c>
      <c r="L652" s="110"/>
    </row>
    <row r="653" spans="1:12" outlineLevel="2" collapsed="1">
      <c r="A653" s="110"/>
      <c r="B653" s="106" t="s">
        <v>1039</v>
      </c>
      <c r="C653" s="110"/>
      <c r="D653" s="110"/>
      <c r="E653" s="110"/>
      <c r="F653" s="119"/>
      <c r="G653" s="120">
        <f>SUBTOTAL(9,G651:G652)</f>
        <v>1612</v>
      </c>
      <c r="H653" s="121"/>
      <c r="I653" s="121"/>
      <c r="J653" s="120">
        <f>SUBTOTAL(9,J651:J652)</f>
        <v>1612</v>
      </c>
      <c r="K653" s="121">
        <f>SUBTOTAL(9,K651:K652)</f>
        <v>0</v>
      </c>
      <c r="L653" s="110"/>
    </row>
    <row r="654" spans="1:12" hidden="1" outlineLevel="3">
      <c r="A654" s="110" t="s">
        <v>971</v>
      </c>
      <c r="B654" s="110" t="s">
        <v>1040</v>
      </c>
      <c r="C654" s="110" t="s">
        <v>396</v>
      </c>
      <c r="D654" s="110" t="s">
        <v>396</v>
      </c>
      <c r="E654" s="110" t="s">
        <v>1041</v>
      </c>
      <c r="F654" s="119">
        <v>45717</v>
      </c>
      <c r="G654" s="120">
        <v>35</v>
      </c>
      <c r="H654" s="121">
        <f>G654</f>
        <v>35</v>
      </c>
      <c r="I654" s="121"/>
      <c r="J654" s="120">
        <v>35</v>
      </c>
      <c r="K654" s="121">
        <f>G654-J654</f>
        <v>0</v>
      </c>
      <c r="L654" s="110"/>
    </row>
    <row r="655" spans="1:12" hidden="1" outlineLevel="3">
      <c r="A655" s="110" t="s">
        <v>971</v>
      </c>
      <c r="B655" s="110" t="s">
        <v>1040</v>
      </c>
      <c r="C655" s="110" t="s">
        <v>400</v>
      </c>
      <c r="D655" s="110" t="s">
        <v>1042</v>
      </c>
      <c r="E655" s="110" t="s">
        <v>1041</v>
      </c>
      <c r="F655" s="119">
        <v>45717</v>
      </c>
      <c r="G655" s="120">
        <v>225</v>
      </c>
      <c r="H655" s="121">
        <f>G655</f>
        <v>225</v>
      </c>
      <c r="I655" s="121"/>
      <c r="J655" s="120">
        <v>225</v>
      </c>
      <c r="K655" s="121">
        <f>G655-J655</f>
        <v>0</v>
      </c>
      <c r="L655" s="110"/>
    </row>
    <row r="656" spans="1:12" outlineLevel="2" collapsed="1">
      <c r="A656" s="110"/>
      <c r="B656" s="106" t="s">
        <v>1043</v>
      </c>
      <c r="C656" s="110"/>
      <c r="D656" s="110"/>
      <c r="E656" s="110"/>
      <c r="F656" s="119"/>
      <c r="G656" s="120">
        <f>SUBTOTAL(9,G654:G655)</f>
        <v>260</v>
      </c>
      <c r="H656" s="121"/>
      <c r="I656" s="121"/>
      <c r="J656" s="120">
        <f>SUBTOTAL(9,J654:J655)</f>
        <v>260</v>
      </c>
      <c r="K656" s="121">
        <f>SUBTOTAL(9,K654:K655)</f>
        <v>0</v>
      </c>
      <c r="L656" s="110"/>
    </row>
    <row r="657" spans="1:12" hidden="1" outlineLevel="3">
      <c r="A657" s="110" t="s">
        <v>971</v>
      </c>
      <c r="B657" s="110" t="s">
        <v>1035</v>
      </c>
      <c r="C657" s="110" t="s">
        <v>980</v>
      </c>
      <c r="D657" s="110" t="s">
        <v>988</v>
      </c>
      <c r="E657" s="110" t="s">
        <v>1044</v>
      </c>
      <c r="F657" s="119">
        <v>45717</v>
      </c>
      <c r="G657" s="120">
        <v>90.15</v>
      </c>
      <c r="H657" s="121">
        <f>G657</f>
        <v>90.15</v>
      </c>
      <c r="I657" s="121"/>
      <c r="J657" s="120">
        <v>90.15</v>
      </c>
      <c r="K657" s="121">
        <f>G657-J657</f>
        <v>0</v>
      </c>
      <c r="L657" s="110"/>
    </row>
    <row r="658" spans="1:12" hidden="1" outlineLevel="3">
      <c r="A658" s="110" t="s">
        <v>971</v>
      </c>
      <c r="B658" s="110" t="s">
        <v>1035</v>
      </c>
      <c r="C658" s="110" t="s">
        <v>976</v>
      </c>
      <c r="D658" s="110" t="s">
        <v>999</v>
      </c>
      <c r="E658" s="110" t="s">
        <v>1045</v>
      </c>
      <c r="F658" s="119">
        <v>45718</v>
      </c>
      <c r="G658" s="120">
        <v>510.85</v>
      </c>
      <c r="H658" s="121">
        <f>G658</f>
        <v>510.85</v>
      </c>
      <c r="I658" s="121"/>
      <c r="J658" s="120">
        <v>510.85</v>
      </c>
      <c r="K658" s="121">
        <f>G658-J658</f>
        <v>0</v>
      </c>
      <c r="L658" s="110"/>
    </row>
    <row r="659" spans="1:12" outlineLevel="2" collapsed="1">
      <c r="A659" s="110"/>
      <c r="B659" s="106" t="s">
        <v>1046</v>
      </c>
      <c r="C659" s="110"/>
      <c r="D659" s="110"/>
      <c r="E659" s="110"/>
      <c r="F659" s="119"/>
      <c r="G659" s="120">
        <f>SUBTOTAL(9,G657:G658)</f>
        <v>601</v>
      </c>
      <c r="H659" s="121"/>
      <c r="I659" s="121"/>
      <c r="J659" s="120">
        <f>SUBTOTAL(9,J657:J658)</f>
        <v>601</v>
      </c>
      <c r="K659" s="121">
        <f>SUBTOTAL(9,K657:K658)</f>
        <v>0</v>
      </c>
      <c r="L659" s="110"/>
    </row>
    <row r="660" spans="1:12" outlineLevel="2">
      <c r="A660" s="110"/>
      <c r="B660" s="106" t="s">
        <v>1047</v>
      </c>
      <c r="C660" s="110"/>
      <c r="D660" s="110"/>
      <c r="E660" s="110"/>
      <c r="F660" s="119"/>
      <c r="G660" s="120">
        <f>SUBTOTAL(9,G657:G659)</f>
        <v>601</v>
      </c>
      <c r="H660" s="121"/>
      <c r="I660" s="121"/>
      <c r="J660" s="120">
        <f>SUBTOTAL(9,J657:J659)</f>
        <v>601</v>
      </c>
      <c r="K660" s="121">
        <f>SUBTOTAL(9,K657:K659)</f>
        <v>0</v>
      </c>
      <c r="L660" s="110"/>
    </row>
    <row r="661" spans="1:12" hidden="1" outlineLevel="3">
      <c r="A661" s="110" t="s">
        <v>971</v>
      </c>
      <c r="B661" s="110" t="s">
        <v>1048</v>
      </c>
      <c r="C661" s="110" t="s">
        <v>405</v>
      </c>
      <c r="D661" s="110" t="s">
        <v>600</v>
      </c>
      <c r="E661" s="110" t="s">
        <v>1049</v>
      </c>
      <c r="F661" s="119">
        <v>45717</v>
      </c>
      <c r="G661" s="120">
        <v>813.12</v>
      </c>
      <c r="H661" s="121">
        <f>G661</f>
        <v>813.12</v>
      </c>
      <c r="I661" s="121"/>
      <c r="J661" s="120">
        <v>813.12</v>
      </c>
      <c r="K661" s="121">
        <f>G661-J661</f>
        <v>0</v>
      </c>
      <c r="L661" s="110"/>
    </row>
    <row r="662" spans="1:12" hidden="1" outlineLevel="3">
      <c r="A662" s="110" t="s">
        <v>971</v>
      </c>
      <c r="B662" s="110" t="s">
        <v>1048</v>
      </c>
      <c r="C662" s="110" t="s">
        <v>396</v>
      </c>
      <c r="D662" s="110" t="s">
        <v>601</v>
      </c>
      <c r="E662" s="110" t="s">
        <v>1049</v>
      </c>
      <c r="F662" s="119">
        <v>45717</v>
      </c>
      <c r="G662" s="120">
        <v>526.5</v>
      </c>
      <c r="H662" s="121">
        <f>G662</f>
        <v>526.5</v>
      </c>
      <c r="I662" s="121"/>
      <c r="J662" s="120">
        <v>526.5</v>
      </c>
      <c r="K662" s="121">
        <f>G662-J662</f>
        <v>0</v>
      </c>
      <c r="L662" s="110"/>
    </row>
    <row r="663" spans="1:12" hidden="1" outlineLevel="3">
      <c r="A663" s="110" t="s">
        <v>971</v>
      </c>
      <c r="B663" s="110" t="s">
        <v>1048</v>
      </c>
      <c r="C663" s="110" t="s">
        <v>400</v>
      </c>
      <c r="D663" s="110" t="s">
        <v>602</v>
      </c>
      <c r="E663" s="110" t="s">
        <v>1049</v>
      </c>
      <c r="F663" s="119">
        <v>45717</v>
      </c>
      <c r="G663" s="120">
        <v>3415</v>
      </c>
      <c r="H663" s="121">
        <f>G663</f>
        <v>3415</v>
      </c>
      <c r="I663" s="121"/>
      <c r="J663" s="120">
        <v>3415</v>
      </c>
      <c r="K663" s="121">
        <f>G663-J663</f>
        <v>0</v>
      </c>
      <c r="L663" s="110"/>
    </row>
    <row r="664" spans="1:12" outlineLevel="2" collapsed="1">
      <c r="A664" s="110"/>
      <c r="B664" s="106" t="s">
        <v>1050</v>
      </c>
      <c r="C664" s="110"/>
      <c r="D664" s="110"/>
      <c r="E664" s="110"/>
      <c r="F664" s="119"/>
      <c r="G664" s="120">
        <f>SUBTOTAL(9,G661:G663)</f>
        <v>4754.62</v>
      </c>
      <c r="H664" s="121"/>
      <c r="I664" s="121"/>
      <c r="J664" s="120">
        <f>SUBTOTAL(9,J661:J663)</f>
        <v>4754.62</v>
      </c>
      <c r="K664" s="121">
        <f>SUBTOTAL(9,K661:K663)</f>
        <v>0</v>
      </c>
      <c r="L664" s="110"/>
    </row>
    <row r="665" spans="1:12" hidden="1" outlineLevel="3">
      <c r="A665" s="110" t="s">
        <v>971</v>
      </c>
      <c r="B665" s="110" t="s">
        <v>1051</v>
      </c>
      <c r="C665" s="110" t="s">
        <v>980</v>
      </c>
      <c r="D665" s="110" t="s">
        <v>1052</v>
      </c>
      <c r="E665" s="110" t="s">
        <v>1053</v>
      </c>
      <c r="F665" s="119">
        <v>45717</v>
      </c>
      <c r="G665" s="120">
        <v>17.03</v>
      </c>
      <c r="H665" s="121">
        <f t="shared" ref="H665:H670" si="5">G665</f>
        <v>17.03</v>
      </c>
      <c r="I665" s="121"/>
      <c r="J665" s="120">
        <v>17.03</v>
      </c>
      <c r="K665" s="121">
        <f t="shared" ref="K665:K670" si="6">G665-J665</f>
        <v>0</v>
      </c>
      <c r="L665" s="110"/>
    </row>
    <row r="666" spans="1:12" hidden="1" outlineLevel="3">
      <c r="A666" s="110" t="s">
        <v>971</v>
      </c>
      <c r="B666" s="110" t="s">
        <v>1051</v>
      </c>
      <c r="C666" s="110" t="s">
        <v>976</v>
      </c>
      <c r="D666" s="110" t="s">
        <v>1054</v>
      </c>
      <c r="E666" s="110" t="s">
        <v>1055</v>
      </c>
      <c r="F666" s="119">
        <v>45718</v>
      </c>
      <c r="G666" s="120">
        <v>96.48</v>
      </c>
      <c r="H666" s="121">
        <f t="shared" si="5"/>
        <v>96.48</v>
      </c>
      <c r="I666" s="121"/>
      <c r="J666" s="120">
        <v>96.48</v>
      </c>
      <c r="K666" s="121">
        <f t="shared" si="6"/>
        <v>0</v>
      </c>
      <c r="L666" s="110"/>
    </row>
    <row r="667" spans="1:12" hidden="1" outlineLevel="3">
      <c r="A667" s="110" t="s">
        <v>971</v>
      </c>
      <c r="B667" s="110" t="s">
        <v>1056</v>
      </c>
      <c r="C667" s="110" t="s">
        <v>396</v>
      </c>
      <c r="D667" s="110" t="s">
        <v>396</v>
      </c>
      <c r="E667" s="110" t="s">
        <v>1057</v>
      </c>
      <c r="F667" s="119">
        <v>45717</v>
      </c>
      <c r="G667" s="120">
        <v>280</v>
      </c>
      <c r="H667" s="121">
        <f t="shared" si="5"/>
        <v>280</v>
      </c>
      <c r="I667" s="121"/>
      <c r="J667" s="120">
        <v>280</v>
      </c>
      <c r="K667" s="121">
        <f t="shared" si="6"/>
        <v>0</v>
      </c>
      <c r="L667" s="110"/>
    </row>
    <row r="668" spans="1:12" hidden="1" outlineLevel="3">
      <c r="A668" s="110" t="s">
        <v>971</v>
      </c>
      <c r="B668" s="110" t="s">
        <v>1058</v>
      </c>
      <c r="C668" s="110" t="s">
        <v>405</v>
      </c>
      <c r="D668" s="110" t="s">
        <v>1059</v>
      </c>
      <c r="E668" s="110" t="s">
        <v>1060</v>
      </c>
      <c r="F668" s="119">
        <v>45717</v>
      </c>
      <c r="G668" s="120">
        <v>44.504199999999997</v>
      </c>
      <c r="H668" s="121">
        <f t="shared" si="5"/>
        <v>44.504199999999997</v>
      </c>
      <c r="I668" s="121"/>
      <c r="J668" s="120">
        <v>44.427999999999997</v>
      </c>
      <c r="K668" s="121">
        <f t="shared" si="6"/>
        <v>7.6200000000000045E-2</v>
      </c>
      <c r="L668" s="110"/>
    </row>
    <row r="669" spans="1:12" hidden="1" outlineLevel="3">
      <c r="A669" s="110" t="s">
        <v>971</v>
      </c>
      <c r="B669" s="110" t="s">
        <v>1058</v>
      </c>
      <c r="C669" s="110" t="s">
        <v>396</v>
      </c>
      <c r="D669" s="110" t="s">
        <v>1061</v>
      </c>
      <c r="E669" s="110" t="s">
        <v>1060</v>
      </c>
      <c r="F669" s="119">
        <v>45717</v>
      </c>
      <c r="G669" s="120">
        <v>112</v>
      </c>
      <c r="H669" s="121">
        <f t="shared" si="5"/>
        <v>112</v>
      </c>
      <c r="I669" s="121"/>
      <c r="J669" s="120">
        <v>119</v>
      </c>
      <c r="K669" s="121">
        <f t="shared" si="6"/>
        <v>-7</v>
      </c>
      <c r="L669" s="110"/>
    </row>
    <row r="670" spans="1:12" hidden="1" outlineLevel="3">
      <c r="A670" s="110" t="s">
        <v>971</v>
      </c>
      <c r="B670" s="110" t="s">
        <v>1058</v>
      </c>
      <c r="C670" s="110" t="s">
        <v>400</v>
      </c>
      <c r="D670" s="110" t="s">
        <v>1062</v>
      </c>
      <c r="E670" s="110" t="s">
        <v>1060</v>
      </c>
      <c r="F670" s="119">
        <v>45717</v>
      </c>
      <c r="G670" s="120">
        <v>543</v>
      </c>
      <c r="H670" s="121">
        <f t="shared" si="5"/>
        <v>543</v>
      </c>
      <c r="I670" s="121"/>
      <c r="J670" s="120">
        <v>543.00199999999995</v>
      </c>
      <c r="K670" s="121">
        <f t="shared" si="6"/>
        <v>-1.9999999999527063E-3</v>
      </c>
      <c r="L670" s="110"/>
    </row>
    <row r="671" spans="1:12" outlineLevel="2" collapsed="1">
      <c r="A671" s="110"/>
      <c r="B671" s="106" t="s">
        <v>1063</v>
      </c>
      <c r="C671" s="110"/>
      <c r="D671" s="110"/>
      <c r="E671" s="110"/>
      <c r="F671" s="119"/>
      <c r="G671" s="120">
        <f>SUBTOTAL(9,G668:G670)</f>
        <v>699.50419999999997</v>
      </c>
      <c r="H671" s="121"/>
      <c r="I671" s="121"/>
      <c r="J671" s="120">
        <f>SUBTOTAL(9,J668:J670)</f>
        <v>706.43</v>
      </c>
      <c r="K671" s="121">
        <f>SUBTOTAL(9,K668:K670)</f>
        <v>-6.9257999999999527</v>
      </c>
      <c r="L671" s="110"/>
    </row>
    <row r="672" spans="1:12" hidden="1" outlineLevel="3">
      <c r="A672" s="110" t="s">
        <v>971</v>
      </c>
      <c r="B672" s="110" t="s">
        <v>1056</v>
      </c>
      <c r="C672" s="110" t="s">
        <v>980</v>
      </c>
      <c r="D672" s="110" t="s">
        <v>988</v>
      </c>
      <c r="E672" s="110" t="s">
        <v>1064</v>
      </c>
      <c r="F672" s="119">
        <v>45717</v>
      </c>
      <c r="G672" s="120">
        <v>72.650000000000006</v>
      </c>
      <c r="H672" s="121">
        <f t="shared" ref="H672:H677" si="7">G672</f>
        <v>72.650000000000006</v>
      </c>
      <c r="I672" s="121"/>
      <c r="J672" s="120">
        <v>72.650000000000006</v>
      </c>
      <c r="K672" s="121">
        <f t="shared" ref="K672:K677" si="8">G672-J672</f>
        <v>0</v>
      </c>
      <c r="L672" s="110"/>
    </row>
    <row r="673" spans="1:12" hidden="1" outlineLevel="3">
      <c r="A673" s="110" t="s">
        <v>971</v>
      </c>
      <c r="B673" s="110" t="s">
        <v>1056</v>
      </c>
      <c r="C673" s="110" t="s">
        <v>408</v>
      </c>
      <c r="D673" s="110" t="s">
        <v>524</v>
      </c>
      <c r="E673" s="110" t="s">
        <v>1057</v>
      </c>
      <c r="F673" s="119">
        <v>45717</v>
      </c>
      <c r="G673" s="120">
        <v>13.8</v>
      </c>
      <c r="H673" s="121">
        <f t="shared" si="7"/>
        <v>13.8</v>
      </c>
      <c r="I673" s="121"/>
      <c r="J673" s="120">
        <v>13.8</v>
      </c>
      <c r="K673" s="121">
        <f t="shared" si="8"/>
        <v>0</v>
      </c>
      <c r="L673" s="110"/>
    </row>
    <row r="674" spans="1:12" hidden="1" outlineLevel="3">
      <c r="A674" s="110" t="s">
        <v>971</v>
      </c>
      <c r="B674" s="110" t="s">
        <v>1056</v>
      </c>
      <c r="C674" s="110" t="s">
        <v>405</v>
      </c>
      <c r="D674" s="110" t="s">
        <v>405</v>
      </c>
      <c r="E674" s="110" t="s">
        <v>1057</v>
      </c>
      <c r="F674" s="119">
        <v>45717</v>
      </c>
      <c r="G674" s="120">
        <v>231.97479999999999</v>
      </c>
      <c r="H674" s="121">
        <f t="shared" si="7"/>
        <v>231.97479999999999</v>
      </c>
      <c r="I674" s="121"/>
      <c r="J674" s="120">
        <v>231.38079999999999</v>
      </c>
      <c r="K674" s="121">
        <f t="shared" si="8"/>
        <v>0.59399999999999409</v>
      </c>
      <c r="L674" s="110"/>
    </row>
    <row r="675" spans="1:12" hidden="1" outlineLevel="3">
      <c r="A675" s="110" t="s">
        <v>971</v>
      </c>
      <c r="B675" s="110" t="s">
        <v>1065</v>
      </c>
      <c r="C675" s="110" t="s">
        <v>400</v>
      </c>
      <c r="D675" s="110" t="s">
        <v>1066</v>
      </c>
      <c r="E675" s="110" t="s">
        <v>1067</v>
      </c>
      <c r="F675" s="119">
        <v>45717</v>
      </c>
      <c r="G675" s="120">
        <v>230</v>
      </c>
      <c r="H675" s="121">
        <f t="shared" si="7"/>
        <v>230</v>
      </c>
      <c r="I675" s="121"/>
      <c r="J675" s="120">
        <v>230</v>
      </c>
      <c r="K675" s="121">
        <f t="shared" si="8"/>
        <v>0</v>
      </c>
      <c r="L675" s="110"/>
    </row>
    <row r="676" spans="1:12" hidden="1" outlineLevel="3">
      <c r="A676" s="110" t="s">
        <v>971</v>
      </c>
      <c r="B676" s="110" t="s">
        <v>1056</v>
      </c>
      <c r="C676" s="110" t="s">
        <v>976</v>
      </c>
      <c r="D676" s="110" t="s">
        <v>999</v>
      </c>
      <c r="E676" s="110" t="s">
        <v>1068</v>
      </c>
      <c r="F676" s="119">
        <v>45718</v>
      </c>
      <c r="G676" s="120">
        <v>290.60000000000002</v>
      </c>
      <c r="H676" s="121">
        <f t="shared" si="7"/>
        <v>290.60000000000002</v>
      </c>
      <c r="I676" s="121"/>
      <c r="J676" s="120">
        <v>290.60000000000002</v>
      </c>
      <c r="K676" s="121">
        <f t="shared" si="8"/>
        <v>0</v>
      </c>
      <c r="L676" s="110"/>
    </row>
    <row r="677" spans="1:12" hidden="1" outlineLevel="3">
      <c r="A677" s="110" t="s">
        <v>971</v>
      </c>
      <c r="B677" s="110" t="s">
        <v>1056</v>
      </c>
      <c r="C677" s="110" t="s">
        <v>400</v>
      </c>
      <c r="D677" s="110" t="s">
        <v>1069</v>
      </c>
      <c r="E677" s="110" t="s">
        <v>1057</v>
      </c>
      <c r="F677" s="119">
        <v>45717</v>
      </c>
      <c r="G677" s="120">
        <v>2328.12</v>
      </c>
      <c r="H677" s="121">
        <f t="shared" si="7"/>
        <v>2328.12</v>
      </c>
      <c r="I677" s="121"/>
      <c r="J677" s="120">
        <v>2328.12</v>
      </c>
      <c r="K677" s="121">
        <f t="shared" si="8"/>
        <v>0</v>
      </c>
      <c r="L677" s="110"/>
    </row>
    <row r="678" spans="1:12" outlineLevel="2" collapsed="1">
      <c r="A678" s="110"/>
      <c r="B678" s="106" t="s">
        <v>1070</v>
      </c>
      <c r="C678" s="110"/>
      <c r="D678" s="110"/>
      <c r="E678" s="110"/>
      <c r="F678" s="119"/>
      <c r="G678" s="120">
        <f>SUBTOTAL(9,G672:G677)</f>
        <v>3167.1448</v>
      </c>
      <c r="H678" s="121"/>
      <c r="I678" s="121"/>
      <c r="J678" s="120">
        <f>SUBTOTAL(9,J672:J677)</f>
        <v>3166.5508</v>
      </c>
      <c r="K678" s="121">
        <f>SUBTOTAL(9,K672:K677)</f>
        <v>0.59399999999999409</v>
      </c>
      <c r="L678" s="110"/>
    </row>
    <row r="679" spans="1:12" hidden="1" outlineLevel="3">
      <c r="A679" s="110" t="s">
        <v>971</v>
      </c>
      <c r="B679" s="110" t="s">
        <v>1065</v>
      </c>
      <c r="C679" s="110" t="s">
        <v>400</v>
      </c>
      <c r="D679" s="110" t="s">
        <v>1071</v>
      </c>
      <c r="E679" s="110" t="s">
        <v>1072</v>
      </c>
      <c r="F679" s="119">
        <v>45717</v>
      </c>
      <c r="G679" s="120">
        <v>225</v>
      </c>
      <c r="H679" s="121">
        <f>G679</f>
        <v>225</v>
      </c>
      <c r="I679" s="121"/>
      <c r="J679" s="120">
        <v>225</v>
      </c>
      <c r="K679" s="121">
        <f t="shared" ref="K679:K684" si="9">G679-J679</f>
        <v>0</v>
      </c>
      <c r="L679" s="110"/>
    </row>
    <row r="680" spans="1:12" hidden="1" outlineLevel="3">
      <c r="A680" s="110" t="s">
        <v>971</v>
      </c>
      <c r="B680" s="110" t="s">
        <v>1065</v>
      </c>
      <c r="C680" s="110" t="s">
        <v>400</v>
      </c>
      <c r="D680" s="110" t="s">
        <v>1073</v>
      </c>
      <c r="E680" s="110" t="s">
        <v>1074</v>
      </c>
      <c r="F680" s="119">
        <v>45717</v>
      </c>
      <c r="G680" s="120">
        <v>222.5</v>
      </c>
      <c r="H680" s="121">
        <f>G680</f>
        <v>222.5</v>
      </c>
      <c r="I680" s="121"/>
      <c r="J680" s="120">
        <v>222.5</v>
      </c>
      <c r="K680" s="121">
        <f t="shared" si="9"/>
        <v>0</v>
      </c>
      <c r="L680" s="110"/>
    </row>
    <row r="681" spans="1:12" hidden="1" outlineLevel="3">
      <c r="A681" s="110" t="s">
        <v>971</v>
      </c>
      <c r="B681" s="110" t="s">
        <v>1065</v>
      </c>
      <c r="C681" s="110" t="s">
        <v>400</v>
      </c>
      <c r="D681" s="110" t="s">
        <v>1075</v>
      </c>
      <c r="E681" s="110" t="s">
        <v>1076</v>
      </c>
      <c r="F681" s="119">
        <v>45717</v>
      </c>
      <c r="G681" s="120">
        <v>20</v>
      </c>
      <c r="H681" s="121">
        <f>G681</f>
        <v>20</v>
      </c>
      <c r="I681" s="121"/>
      <c r="J681" s="120">
        <v>20</v>
      </c>
      <c r="K681" s="121">
        <f t="shared" si="9"/>
        <v>0</v>
      </c>
      <c r="L681" s="110"/>
    </row>
    <row r="682" spans="1:12" hidden="1" outlineLevel="3">
      <c r="A682" s="110" t="s">
        <v>971</v>
      </c>
      <c r="B682" s="110" t="s">
        <v>1065</v>
      </c>
      <c r="C682" s="110" t="s">
        <v>400</v>
      </c>
      <c r="D682" s="110" t="s">
        <v>1077</v>
      </c>
      <c r="E682" s="110" t="s">
        <v>1078</v>
      </c>
      <c r="F682" s="119">
        <v>45717</v>
      </c>
      <c r="G682" s="120">
        <v>227.5</v>
      </c>
      <c r="H682" s="121">
        <f>G682</f>
        <v>227.5</v>
      </c>
      <c r="I682" s="121"/>
      <c r="J682" s="120">
        <v>227.5</v>
      </c>
      <c r="K682" s="121">
        <f t="shared" si="9"/>
        <v>0</v>
      </c>
      <c r="L682" s="110"/>
    </row>
    <row r="683" spans="1:12" hidden="1" outlineLevel="3">
      <c r="A683" s="111" t="s">
        <v>394</v>
      </c>
      <c r="B683" s="111" t="s">
        <v>398</v>
      </c>
      <c r="C683" s="111" t="s">
        <v>405</v>
      </c>
      <c r="D683" s="111" t="s">
        <v>421</v>
      </c>
      <c r="E683" s="111" t="s">
        <v>399</v>
      </c>
      <c r="F683" s="112">
        <v>45717</v>
      </c>
      <c r="G683" s="113">
        <v>1109.4734000000001</v>
      </c>
      <c r="H683" s="113">
        <v>1109.4734000000001</v>
      </c>
      <c r="J683" s="113">
        <v>1154.1414</v>
      </c>
      <c r="K683" s="113">
        <f t="shared" si="9"/>
        <v>-44.667999999999893</v>
      </c>
    </row>
    <row r="684" spans="1:12" hidden="1" outlineLevel="3">
      <c r="A684" s="110" t="s">
        <v>971</v>
      </c>
      <c r="B684" s="110" t="s">
        <v>1065</v>
      </c>
      <c r="C684" s="110" t="s">
        <v>400</v>
      </c>
      <c r="D684" s="110" t="s">
        <v>1079</v>
      </c>
      <c r="E684" s="110" t="s">
        <v>1080</v>
      </c>
      <c r="F684" s="119">
        <v>45717</v>
      </c>
      <c r="G684" s="120">
        <v>190</v>
      </c>
      <c r="H684" s="121">
        <f>G684</f>
        <v>190</v>
      </c>
      <c r="I684" s="121"/>
      <c r="J684" s="120">
        <v>190</v>
      </c>
      <c r="K684" s="121">
        <f t="shared" si="9"/>
        <v>0</v>
      </c>
      <c r="L684" s="110"/>
    </row>
    <row r="685" spans="1:12" outlineLevel="2" collapsed="1">
      <c r="A685" s="110"/>
      <c r="B685" s="106" t="s">
        <v>1081</v>
      </c>
      <c r="C685" s="110"/>
      <c r="D685" s="110"/>
      <c r="E685" s="110"/>
      <c r="F685" s="119"/>
      <c r="G685" s="120">
        <f>SUBTOTAL(9,G679:G684)</f>
        <v>1994.4734000000001</v>
      </c>
      <c r="H685" s="121"/>
      <c r="I685" s="121"/>
      <c r="J685" s="120">
        <f>SUBTOTAL(9,J679:J684)</f>
        <v>2039.1414</v>
      </c>
      <c r="K685" s="121">
        <f>SUBTOTAL(9,K679:K684)</f>
        <v>-44.667999999999893</v>
      </c>
      <c r="L685" s="110"/>
    </row>
    <row r="686" spans="1:12" hidden="1" outlineLevel="3">
      <c r="A686" s="110" t="s">
        <v>971</v>
      </c>
      <c r="B686" s="110" t="s">
        <v>1082</v>
      </c>
      <c r="C686" s="110" t="s">
        <v>980</v>
      </c>
      <c r="D686" s="110" t="s">
        <v>988</v>
      </c>
      <c r="E686" s="110" t="s">
        <v>1083</v>
      </c>
      <c r="F686" s="119">
        <v>45717</v>
      </c>
      <c r="G686" s="120">
        <v>24.6</v>
      </c>
      <c r="H686" s="121">
        <f>G686</f>
        <v>24.6</v>
      </c>
      <c r="I686" s="121"/>
      <c r="J686" s="120">
        <v>24.6</v>
      </c>
      <c r="K686" s="121">
        <f>G686-J686</f>
        <v>0</v>
      </c>
      <c r="L686" s="110"/>
    </row>
    <row r="687" spans="1:12" hidden="1" outlineLevel="3">
      <c r="A687" s="110" t="s">
        <v>971</v>
      </c>
      <c r="B687" s="110" t="s">
        <v>1082</v>
      </c>
      <c r="C687" s="110" t="s">
        <v>976</v>
      </c>
      <c r="D687" s="110" t="s">
        <v>999</v>
      </c>
      <c r="E687" s="110" t="s">
        <v>1084</v>
      </c>
      <c r="F687" s="119">
        <v>45718</v>
      </c>
      <c r="G687" s="120">
        <v>139.4</v>
      </c>
      <c r="H687" s="121">
        <f>G687</f>
        <v>139.4</v>
      </c>
      <c r="I687" s="121"/>
      <c r="J687" s="120">
        <v>139.4</v>
      </c>
      <c r="K687" s="121">
        <f>G687-J687</f>
        <v>0</v>
      </c>
      <c r="L687" s="110"/>
    </row>
    <row r="688" spans="1:12" outlineLevel="2" collapsed="1">
      <c r="A688" s="110"/>
      <c r="B688" s="106" t="s">
        <v>1085</v>
      </c>
      <c r="C688" s="110"/>
      <c r="D688" s="110"/>
      <c r="E688" s="110"/>
      <c r="F688" s="119"/>
      <c r="G688" s="120">
        <f>SUBTOTAL(9,G686:G687)</f>
        <v>164</v>
      </c>
      <c r="H688" s="121"/>
      <c r="I688" s="121"/>
      <c r="J688" s="120">
        <f>SUBTOTAL(9,J686:J687)</f>
        <v>164</v>
      </c>
      <c r="K688" s="121">
        <f>SUBTOTAL(9,K686:K687)</f>
        <v>0</v>
      </c>
      <c r="L688" s="110"/>
    </row>
    <row r="689" spans="1:12" hidden="1" outlineLevel="3">
      <c r="A689" s="110" t="s">
        <v>971</v>
      </c>
      <c r="B689" s="110" t="s">
        <v>1086</v>
      </c>
      <c r="C689" s="110" t="s">
        <v>980</v>
      </c>
      <c r="D689" s="110" t="s">
        <v>1052</v>
      </c>
      <c r="E689" s="110" t="s">
        <v>1087</v>
      </c>
      <c r="F689" s="119">
        <v>45717</v>
      </c>
      <c r="G689" s="120">
        <v>49.62</v>
      </c>
      <c r="H689" s="121">
        <f>G689</f>
        <v>49.62</v>
      </c>
      <c r="I689" s="121"/>
      <c r="J689" s="120">
        <v>49.62</v>
      </c>
      <c r="K689" s="121">
        <f>G689-J689</f>
        <v>0</v>
      </c>
      <c r="L689" s="110"/>
    </row>
    <row r="690" spans="1:12" hidden="1" outlineLevel="3">
      <c r="A690" s="110" t="s">
        <v>971</v>
      </c>
      <c r="B690" s="110" t="s">
        <v>1086</v>
      </c>
      <c r="C690" s="110" t="s">
        <v>396</v>
      </c>
      <c r="D690" s="110" t="s">
        <v>495</v>
      </c>
      <c r="E690" s="110" t="s">
        <v>1088</v>
      </c>
      <c r="F690" s="119">
        <v>45717</v>
      </c>
      <c r="G690" s="120">
        <v>224</v>
      </c>
      <c r="H690" s="121">
        <f>G690</f>
        <v>224</v>
      </c>
      <c r="I690" s="121"/>
      <c r="J690" s="120">
        <v>217</v>
      </c>
      <c r="K690" s="121">
        <f>G690-J690</f>
        <v>7</v>
      </c>
      <c r="L690" s="110"/>
    </row>
    <row r="691" spans="1:12" hidden="1" outlineLevel="3">
      <c r="A691" s="110" t="s">
        <v>971</v>
      </c>
      <c r="B691" s="110" t="s">
        <v>1086</v>
      </c>
      <c r="C691" s="110" t="s">
        <v>976</v>
      </c>
      <c r="D691" s="110" t="s">
        <v>999</v>
      </c>
      <c r="E691" s="110" t="s">
        <v>1089</v>
      </c>
      <c r="F691" s="119">
        <v>45718</v>
      </c>
      <c r="G691" s="120">
        <v>281.13</v>
      </c>
      <c r="H691" s="121">
        <f>G691</f>
        <v>281.13</v>
      </c>
      <c r="I691" s="121"/>
      <c r="J691" s="120">
        <v>281.13</v>
      </c>
      <c r="K691" s="121">
        <f>G691-J691</f>
        <v>0</v>
      </c>
      <c r="L691" s="110"/>
    </row>
    <row r="692" spans="1:12" hidden="1" outlineLevel="3">
      <c r="A692" s="110" t="s">
        <v>971</v>
      </c>
      <c r="B692" s="110" t="s">
        <v>1086</v>
      </c>
      <c r="C692" s="110" t="s">
        <v>400</v>
      </c>
      <c r="D692" s="110" t="s">
        <v>1090</v>
      </c>
      <c r="E692" s="110" t="s">
        <v>1088</v>
      </c>
      <c r="F692" s="119">
        <v>45717</v>
      </c>
      <c r="G692" s="120">
        <v>2294</v>
      </c>
      <c r="H692" s="121">
        <f>G692</f>
        <v>2294</v>
      </c>
      <c r="I692" s="121"/>
      <c r="J692" s="120">
        <v>2294</v>
      </c>
      <c r="K692" s="121">
        <f>G692-J692</f>
        <v>0</v>
      </c>
      <c r="L692" s="110"/>
    </row>
    <row r="693" spans="1:12" outlineLevel="2" collapsed="1">
      <c r="A693" s="110"/>
      <c r="B693" s="106" t="s">
        <v>1091</v>
      </c>
      <c r="C693" s="110"/>
      <c r="D693" s="110"/>
      <c r="E693" s="110"/>
      <c r="F693" s="119"/>
      <c r="G693" s="120">
        <f>SUBTOTAL(9,G689:G692)</f>
        <v>2848.75</v>
      </c>
      <c r="H693" s="121"/>
      <c r="I693" s="121"/>
      <c r="J693" s="120">
        <f>SUBTOTAL(9,J689:J692)</f>
        <v>2841.75</v>
      </c>
      <c r="K693" s="121">
        <f>SUBTOTAL(9,K689:K692)</f>
        <v>7</v>
      </c>
      <c r="L693" s="110"/>
    </row>
    <row r="694" spans="1:12" hidden="1" outlineLevel="3">
      <c r="A694" s="110" t="s">
        <v>971</v>
      </c>
      <c r="B694" s="110" t="s">
        <v>1092</v>
      </c>
      <c r="C694" s="110" t="s">
        <v>980</v>
      </c>
      <c r="D694" s="110" t="s">
        <v>988</v>
      </c>
      <c r="E694" s="110" t="s">
        <v>1093</v>
      </c>
      <c r="F694" s="119">
        <v>45717</v>
      </c>
      <c r="G694" s="120">
        <v>59.85</v>
      </c>
      <c r="H694" s="121">
        <f>G694</f>
        <v>59.85</v>
      </c>
      <c r="I694" s="121"/>
      <c r="J694" s="120">
        <v>59.85</v>
      </c>
      <c r="K694" s="121">
        <f>G694-J694</f>
        <v>0</v>
      </c>
      <c r="L694" s="110"/>
    </row>
    <row r="695" spans="1:12" hidden="1" outlineLevel="3">
      <c r="A695" s="110" t="s">
        <v>971</v>
      </c>
      <c r="B695" s="110" t="s">
        <v>1092</v>
      </c>
      <c r="C695" s="110" t="s">
        <v>405</v>
      </c>
      <c r="D695" s="110" t="s">
        <v>836</v>
      </c>
      <c r="E695" s="110" t="s">
        <v>1094</v>
      </c>
      <c r="F695" s="119">
        <v>45717</v>
      </c>
      <c r="G695" s="120">
        <v>249.8</v>
      </c>
      <c r="H695" s="121">
        <f>G695</f>
        <v>249.8</v>
      </c>
      <c r="I695" s="121"/>
      <c r="J695" s="120">
        <v>249.8</v>
      </c>
      <c r="K695" s="121">
        <f>G695-J695</f>
        <v>0</v>
      </c>
      <c r="L695" s="110"/>
    </row>
    <row r="696" spans="1:12" hidden="1" outlineLevel="3">
      <c r="A696" s="110" t="s">
        <v>971</v>
      </c>
      <c r="B696" s="110" t="s">
        <v>1092</v>
      </c>
      <c r="C696" s="110" t="s">
        <v>396</v>
      </c>
      <c r="D696" s="110" t="s">
        <v>1095</v>
      </c>
      <c r="E696" s="110" t="s">
        <v>1094</v>
      </c>
      <c r="F696" s="119">
        <v>45717</v>
      </c>
      <c r="G696" s="120">
        <v>245</v>
      </c>
      <c r="H696" s="121">
        <f>G696</f>
        <v>245</v>
      </c>
      <c r="I696" s="121"/>
      <c r="J696" s="120">
        <v>252</v>
      </c>
      <c r="K696" s="121">
        <f>G696-J696</f>
        <v>-7</v>
      </c>
      <c r="L696" s="110"/>
    </row>
    <row r="697" spans="1:12" hidden="1" outlineLevel="3">
      <c r="A697" s="110" t="s">
        <v>971</v>
      </c>
      <c r="B697" s="110" t="s">
        <v>1092</v>
      </c>
      <c r="C697" s="110" t="s">
        <v>976</v>
      </c>
      <c r="D697" s="110" t="s">
        <v>999</v>
      </c>
      <c r="E697" s="110" t="s">
        <v>1096</v>
      </c>
      <c r="F697" s="119">
        <v>45718</v>
      </c>
      <c r="G697" s="120">
        <v>339.15</v>
      </c>
      <c r="H697" s="121">
        <f>G697</f>
        <v>339.15</v>
      </c>
      <c r="I697" s="121"/>
      <c r="J697" s="120">
        <v>339.15</v>
      </c>
      <c r="K697" s="121">
        <f>G697-J697</f>
        <v>0</v>
      </c>
      <c r="L697" s="110"/>
    </row>
    <row r="698" spans="1:12" hidden="1" outlineLevel="3">
      <c r="A698" s="110" t="s">
        <v>971</v>
      </c>
      <c r="B698" s="110" t="s">
        <v>1092</v>
      </c>
      <c r="C698" s="110" t="s">
        <v>400</v>
      </c>
      <c r="D698" s="110" t="s">
        <v>1097</v>
      </c>
      <c r="E698" s="110" t="s">
        <v>1094</v>
      </c>
      <c r="F698" s="119">
        <v>45717</v>
      </c>
      <c r="G698" s="120">
        <v>2255</v>
      </c>
      <c r="H698" s="121">
        <f>G698</f>
        <v>2255</v>
      </c>
      <c r="I698" s="121"/>
      <c r="J698" s="120">
        <v>2255</v>
      </c>
      <c r="K698" s="121">
        <f>G698-J698</f>
        <v>0</v>
      </c>
      <c r="L698" s="110"/>
    </row>
    <row r="699" spans="1:12" outlineLevel="2" collapsed="1">
      <c r="A699" s="110"/>
      <c r="B699" s="106" t="s">
        <v>1098</v>
      </c>
      <c r="C699" s="110"/>
      <c r="D699" s="110"/>
      <c r="E699" s="110"/>
      <c r="F699" s="119"/>
      <c r="G699" s="120">
        <f>SUBTOTAL(9,G694:G698)</f>
        <v>3148.8</v>
      </c>
      <c r="H699" s="121"/>
      <c r="I699" s="121"/>
      <c r="J699" s="120">
        <f>SUBTOTAL(9,J694:J698)</f>
        <v>3155.8</v>
      </c>
      <c r="K699" s="121">
        <f>SUBTOTAL(9,K694:K698)</f>
        <v>-7</v>
      </c>
      <c r="L699" s="110"/>
    </row>
    <row r="700" spans="1:12" hidden="1" outlineLevel="3">
      <c r="A700" s="110" t="s">
        <v>971</v>
      </c>
      <c r="B700" s="110" t="s">
        <v>1099</v>
      </c>
      <c r="C700" s="110" t="s">
        <v>405</v>
      </c>
      <c r="D700" s="110" t="s">
        <v>405</v>
      </c>
      <c r="E700" s="110" t="s">
        <v>1100</v>
      </c>
      <c r="F700" s="119">
        <v>45717</v>
      </c>
      <c r="G700" s="120">
        <v>517.70360000000005</v>
      </c>
      <c r="H700" s="121">
        <f>G700</f>
        <v>517.70360000000005</v>
      </c>
      <c r="I700" s="121"/>
      <c r="J700" s="120">
        <v>514.16480000000001</v>
      </c>
      <c r="K700" s="121">
        <f>G700-J700</f>
        <v>3.5388000000000375</v>
      </c>
      <c r="L700" s="110"/>
    </row>
    <row r="701" spans="1:12" hidden="1" outlineLevel="3">
      <c r="A701" s="110" t="s">
        <v>971</v>
      </c>
      <c r="B701" s="110" t="s">
        <v>1099</v>
      </c>
      <c r="C701" s="110" t="s">
        <v>396</v>
      </c>
      <c r="D701" s="110" t="s">
        <v>1101</v>
      </c>
      <c r="E701" s="110" t="s">
        <v>1100</v>
      </c>
      <c r="F701" s="119">
        <v>45717</v>
      </c>
      <c r="G701" s="120">
        <v>630.5</v>
      </c>
      <c r="H701" s="121">
        <f>G701</f>
        <v>630.5</v>
      </c>
      <c r="I701" s="121"/>
      <c r="J701" s="120">
        <v>585</v>
      </c>
      <c r="K701" s="121">
        <f>G701-J701</f>
        <v>45.5</v>
      </c>
      <c r="L701" s="110"/>
    </row>
    <row r="702" spans="1:12" hidden="1" outlineLevel="3">
      <c r="A702" s="110" t="s">
        <v>971</v>
      </c>
      <c r="B702" s="110" t="s">
        <v>1099</v>
      </c>
      <c r="C702" s="110" t="s">
        <v>400</v>
      </c>
      <c r="D702" s="110" t="s">
        <v>1102</v>
      </c>
      <c r="E702" s="110" t="s">
        <v>1100</v>
      </c>
      <c r="F702" s="119">
        <v>45717</v>
      </c>
      <c r="G702" s="120">
        <v>6204.11</v>
      </c>
      <c r="H702" s="121">
        <f>G702</f>
        <v>6204.11</v>
      </c>
      <c r="I702" s="121"/>
      <c r="J702" s="120">
        <v>6204.11</v>
      </c>
      <c r="K702" s="121">
        <f>G702-J702</f>
        <v>0</v>
      </c>
      <c r="L702" s="110"/>
    </row>
    <row r="703" spans="1:12" outlineLevel="2" collapsed="1">
      <c r="A703" s="110"/>
      <c r="B703" s="106" t="s">
        <v>1103</v>
      </c>
      <c r="C703" s="110"/>
      <c r="D703" s="110"/>
      <c r="E703" s="110"/>
      <c r="F703" s="119"/>
      <c r="G703" s="120">
        <f>SUBTOTAL(9,G700:G702)</f>
        <v>7352.3135999999995</v>
      </c>
      <c r="H703" s="121"/>
      <c r="I703" s="121"/>
      <c r="J703" s="120">
        <f>SUBTOTAL(9,J700:J702)</f>
        <v>7303.2747999999992</v>
      </c>
      <c r="K703" s="121">
        <f>SUBTOTAL(9,K700:K702)</f>
        <v>49.038800000000037</v>
      </c>
      <c r="L703" s="110"/>
    </row>
    <row r="704" spans="1:12" hidden="1" outlineLevel="3">
      <c r="A704" s="110" t="s">
        <v>971</v>
      </c>
      <c r="B704" s="110" t="s">
        <v>1104</v>
      </c>
      <c r="C704" s="110" t="s">
        <v>980</v>
      </c>
      <c r="D704" s="110" t="s">
        <v>988</v>
      </c>
      <c r="E704" s="110" t="s">
        <v>1105</v>
      </c>
      <c r="F704" s="119">
        <v>45717</v>
      </c>
      <c r="G704" s="120">
        <v>111.6</v>
      </c>
      <c r="H704" s="121">
        <f>G704</f>
        <v>111.6</v>
      </c>
      <c r="I704" s="121"/>
      <c r="J704" s="120">
        <v>111.6</v>
      </c>
      <c r="K704" s="121">
        <f>G704-J704</f>
        <v>0</v>
      </c>
      <c r="L704" s="110"/>
    </row>
    <row r="705" spans="1:12" hidden="1" outlineLevel="3">
      <c r="A705" s="110" t="s">
        <v>971</v>
      </c>
      <c r="B705" s="110" t="s">
        <v>1104</v>
      </c>
      <c r="C705" s="110" t="s">
        <v>396</v>
      </c>
      <c r="D705" s="110" t="s">
        <v>396</v>
      </c>
      <c r="E705" s="110" t="s">
        <v>1106</v>
      </c>
      <c r="F705" s="119">
        <v>45717</v>
      </c>
      <c r="G705" s="120">
        <v>981.5</v>
      </c>
      <c r="H705" s="121">
        <f>G705</f>
        <v>981.5</v>
      </c>
      <c r="I705" s="121"/>
      <c r="J705" s="120">
        <v>1007.5</v>
      </c>
      <c r="K705" s="121">
        <f>G705-J705</f>
        <v>-26</v>
      </c>
      <c r="L705" s="110"/>
    </row>
    <row r="706" spans="1:12" hidden="1" outlineLevel="3">
      <c r="A706" s="110" t="s">
        <v>971</v>
      </c>
      <c r="B706" s="110" t="s">
        <v>1104</v>
      </c>
      <c r="C706" s="110" t="s">
        <v>976</v>
      </c>
      <c r="D706" s="110" t="s">
        <v>999</v>
      </c>
      <c r="E706" s="110" t="s">
        <v>1107</v>
      </c>
      <c r="F706" s="119">
        <v>45718</v>
      </c>
      <c r="G706" s="120">
        <v>632.4</v>
      </c>
      <c r="H706" s="121">
        <f>G706</f>
        <v>632.4</v>
      </c>
      <c r="I706" s="121"/>
      <c r="J706" s="120">
        <v>632.4</v>
      </c>
      <c r="K706" s="121">
        <f>G706-J706</f>
        <v>0</v>
      </c>
      <c r="L706" s="110"/>
    </row>
    <row r="707" spans="1:12" hidden="1" outlineLevel="3">
      <c r="A707" s="110" t="s">
        <v>971</v>
      </c>
      <c r="B707" s="110" t="s">
        <v>1104</v>
      </c>
      <c r="C707" s="110" t="s">
        <v>400</v>
      </c>
      <c r="D707" s="110" t="s">
        <v>1102</v>
      </c>
      <c r="E707" s="110" t="s">
        <v>1106</v>
      </c>
      <c r="F707" s="119">
        <v>45717</v>
      </c>
      <c r="G707" s="120">
        <v>6274.03</v>
      </c>
      <c r="H707" s="121">
        <f>G707</f>
        <v>6274.03</v>
      </c>
      <c r="I707" s="121"/>
      <c r="J707" s="120">
        <v>6274.03</v>
      </c>
      <c r="K707" s="121">
        <f>G707-J707</f>
        <v>0</v>
      </c>
      <c r="L707" s="110"/>
    </row>
    <row r="708" spans="1:12" outlineLevel="2" collapsed="1">
      <c r="A708" s="110"/>
      <c r="B708" s="106" t="s">
        <v>1108</v>
      </c>
      <c r="C708" s="110"/>
      <c r="D708" s="110"/>
      <c r="E708" s="110"/>
      <c r="F708" s="119"/>
      <c r="G708" s="120">
        <f>SUBTOTAL(9,G704:G707)</f>
        <v>7999.53</v>
      </c>
      <c r="H708" s="121"/>
      <c r="I708" s="121"/>
      <c r="J708" s="120">
        <f>SUBTOTAL(9,J704:J707)</f>
        <v>8025.53</v>
      </c>
      <c r="K708" s="121">
        <f>SUBTOTAL(9,K704:K707)</f>
        <v>-26</v>
      </c>
      <c r="L708" s="110"/>
    </row>
    <row r="709" spans="1:12" hidden="1" outlineLevel="3">
      <c r="A709" s="110" t="s">
        <v>971</v>
      </c>
      <c r="B709" s="110" t="s">
        <v>1109</v>
      </c>
      <c r="C709" s="110" t="s">
        <v>980</v>
      </c>
      <c r="D709" s="110" t="s">
        <v>988</v>
      </c>
      <c r="E709" s="110" t="s">
        <v>1110</v>
      </c>
      <c r="F709" s="119">
        <v>45717</v>
      </c>
      <c r="G709" s="120">
        <v>74.59</v>
      </c>
      <c r="H709" s="121">
        <f>G709</f>
        <v>74.59</v>
      </c>
      <c r="I709" s="121"/>
      <c r="J709" s="120">
        <v>74.59</v>
      </c>
      <c r="K709" s="121">
        <f>G709-J709</f>
        <v>0</v>
      </c>
      <c r="L709" s="110"/>
    </row>
    <row r="710" spans="1:12" hidden="1" outlineLevel="3">
      <c r="A710" s="110" t="s">
        <v>971</v>
      </c>
      <c r="B710" s="110" t="s">
        <v>1109</v>
      </c>
      <c r="C710" s="110" t="s">
        <v>405</v>
      </c>
      <c r="D710" s="110" t="s">
        <v>493</v>
      </c>
      <c r="E710" s="110" t="s">
        <v>1111</v>
      </c>
      <c r="F710" s="119">
        <v>45717</v>
      </c>
      <c r="G710" s="120">
        <v>475.79219999999998</v>
      </c>
      <c r="H710" s="121">
        <f>G710</f>
        <v>475.79219999999998</v>
      </c>
      <c r="I710" s="121"/>
      <c r="J710" s="120">
        <v>475.79219999999998</v>
      </c>
      <c r="K710" s="121">
        <f>G710-J710</f>
        <v>0</v>
      </c>
      <c r="L710" s="110"/>
    </row>
    <row r="711" spans="1:12" hidden="1" outlineLevel="3">
      <c r="A711" s="110" t="s">
        <v>971</v>
      </c>
      <c r="B711" s="110" t="s">
        <v>1109</v>
      </c>
      <c r="C711" s="110" t="s">
        <v>396</v>
      </c>
      <c r="D711" s="110" t="s">
        <v>495</v>
      </c>
      <c r="E711" s="110" t="s">
        <v>1111</v>
      </c>
      <c r="F711" s="119">
        <v>45717</v>
      </c>
      <c r="G711" s="120">
        <v>350</v>
      </c>
      <c r="H711" s="121">
        <f>G711</f>
        <v>350</v>
      </c>
      <c r="I711" s="121"/>
      <c r="J711" s="120">
        <v>338</v>
      </c>
      <c r="K711" s="121">
        <f>G711-J711</f>
        <v>12</v>
      </c>
      <c r="L711" s="110"/>
    </row>
    <row r="712" spans="1:12" hidden="1" outlineLevel="3">
      <c r="A712" s="110" t="s">
        <v>971</v>
      </c>
      <c r="B712" s="110" t="s">
        <v>1109</v>
      </c>
      <c r="C712" s="110" t="s">
        <v>976</v>
      </c>
      <c r="D712" s="110" t="s">
        <v>999</v>
      </c>
      <c r="E712" s="110" t="s">
        <v>1112</v>
      </c>
      <c r="F712" s="119">
        <v>45718</v>
      </c>
      <c r="G712" s="120">
        <v>422.66</v>
      </c>
      <c r="H712" s="121">
        <f>G712</f>
        <v>422.66</v>
      </c>
      <c r="I712" s="121"/>
      <c r="J712" s="120">
        <v>422.66</v>
      </c>
      <c r="K712" s="121">
        <f>G712-J712</f>
        <v>0</v>
      </c>
      <c r="L712" s="110"/>
    </row>
    <row r="713" spans="1:12" hidden="1" outlineLevel="3">
      <c r="A713" s="110" t="s">
        <v>971</v>
      </c>
      <c r="B713" s="110" t="s">
        <v>1109</v>
      </c>
      <c r="C713" s="110" t="s">
        <v>400</v>
      </c>
      <c r="D713" s="110" t="s">
        <v>1016</v>
      </c>
      <c r="E713" s="110" t="s">
        <v>1111</v>
      </c>
      <c r="F713" s="119">
        <v>45717</v>
      </c>
      <c r="G713" s="120">
        <v>3825.75</v>
      </c>
      <c r="H713" s="121">
        <f>G713</f>
        <v>3825.75</v>
      </c>
      <c r="I713" s="121"/>
      <c r="J713" s="120">
        <v>3825.75</v>
      </c>
      <c r="K713" s="121">
        <f>G713-J713</f>
        <v>0</v>
      </c>
      <c r="L713" s="110"/>
    </row>
    <row r="714" spans="1:12" outlineLevel="2" collapsed="1">
      <c r="A714" s="110"/>
      <c r="B714" s="106" t="s">
        <v>1113</v>
      </c>
      <c r="C714" s="110"/>
      <c r="D714" s="110"/>
      <c r="E714" s="110"/>
      <c r="F714" s="119"/>
      <c r="G714" s="120">
        <f>SUBTOTAL(9,G709:G713)</f>
        <v>5148.7921999999999</v>
      </c>
      <c r="H714" s="121"/>
      <c r="I714" s="121"/>
      <c r="J714" s="120">
        <f>SUBTOTAL(9,J709:J713)</f>
        <v>5136.7921999999999</v>
      </c>
      <c r="K714" s="121">
        <f>SUBTOTAL(9,K709:K713)</f>
        <v>12</v>
      </c>
      <c r="L714" s="110"/>
    </row>
    <row r="715" spans="1:12" hidden="1" outlineLevel="3">
      <c r="A715" s="110" t="s">
        <v>971</v>
      </c>
      <c r="B715" s="110" t="s">
        <v>1114</v>
      </c>
      <c r="C715" s="110" t="s">
        <v>980</v>
      </c>
      <c r="D715" s="110" t="s">
        <v>988</v>
      </c>
      <c r="E715" s="110" t="s">
        <v>1115</v>
      </c>
      <c r="F715" s="119">
        <v>45717</v>
      </c>
      <c r="G715" s="120">
        <v>46.65</v>
      </c>
      <c r="H715" s="121">
        <f>G715</f>
        <v>46.65</v>
      </c>
      <c r="I715" s="121"/>
      <c r="J715" s="120">
        <v>46.65</v>
      </c>
      <c r="K715" s="121">
        <f>G715-J715</f>
        <v>0</v>
      </c>
      <c r="L715" s="110"/>
    </row>
    <row r="716" spans="1:12" hidden="1" outlineLevel="3">
      <c r="A716" s="110" t="s">
        <v>971</v>
      </c>
      <c r="B716" s="110" t="s">
        <v>1114</v>
      </c>
      <c r="C716" s="110" t="s">
        <v>405</v>
      </c>
      <c r="D716" s="110" t="s">
        <v>1059</v>
      </c>
      <c r="E716" s="110" t="s">
        <v>1116</v>
      </c>
      <c r="F716" s="119">
        <v>45717</v>
      </c>
      <c r="G716" s="120">
        <v>107.6</v>
      </c>
      <c r="H716" s="121">
        <f>G716</f>
        <v>107.6</v>
      </c>
      <c r="I716" s="121"/>
      <c r="J716" s="120">
        <v>107.6</v>
      </c>
      <c r="K716" s="121">
        <f>G716-J716</f>
        <v>0</v>
      </c>
      <c r="L716" s="110"/>
    </row>
    <row r="717" spans="1:12" hidden="1" outlineLevel="3">
      <c r="A717" s="110" t="s">
        <v>971</v>
      </c>
      <c r="B717" s="110" t="s">
        <v>1114</v>
      </c>
      <c r="C717" s="110" t="s">
        <v>396</v>
      </c>
      <c r="D717" s="110" t="s">
        <v>1061</v>
      </c>
      <c r="E717" s="110" t="s">
        <v>1116</v>
      </c>
      <c r="F717" s="119">
        <v>45717</v>
      </c>
      <c r="G717" s="120">
        <v>154</v>
      </c>
      <c r="H717" s="121">
        <f>G717</f>
        <v>154</v>
      </c>
      <c r="I717" s="121"/>
      <c r="J717" s="120">
        <v>154</v>
      </c>
      <c r="K717" s="121">
        <f>G717-J717</f>
        <v>0</v>
      </c>
      <c r="L717" s="110"/>
    </row>
    <row r="718" spans="1:12" hidden="1" outlineLevel="3">
      <c r="A718" s="110" t="s">
        <v>971</v>
      </c>
      <c r="B718" s="110" t="s">
        <v>1114</v>
      </c>
      <c r="C718" s="110" t="s">
        <v>976</v>
      </c>
      <c r="D718" s="110" t="s">
        <v>999</v>
      </c>
      <c r="E718" s="110" t="s">
        <v>1117</v>
      </c>
      <c r="F718" s="119">
        <v>45718</v>
      </c>
      <c r="G718" s="120">
        <v>264.35000000000002</v>
      </c>
      <c r="H718" s="121">
        <f>G718</f>
        <v>264.35000000000002</v>
      </c>
      <c r="I718" s="121"/>
      <c r="J718" s="120">
        <v>264.35000000000002</v>
      </c>
      <c r="K718" s="121">
        <f>G718-J718</f>
        <v>0</v>
      </c>
      <c r="L718" s="110"/>
    </row>
    <row r="719" spans="1:12" hidden="1" outlineLevel="3">
      <c r="A719" s="110" t="s">
        <v>971</v>
      </c>
      <c r="B719" s="110" t="s">
        <v>1114</v>
      </c>
      <c r="C719" s="110" t="s">
        <v>400</v>
      </c>
      <c r="D719" s="110" t="s">
        <v>1062</v>
      </c>
      <c r="E719" s="110" t="s">
        <v>1116</v>
      </c>
      <c r="F719" s="119">
        <v>45717</v>
      </c>
      <c r="G719" s="120">
        <v>2081</v>
      </c>
      <c r="H719" s="121">
        <f>G719</f>
        <v>2081</v>
      </c>
      <c r="I719" s="121"/>
      <c r="J719" s="120">
        <v>2081</v>
      </c>
      <c r="K719" s="121">
        <f>G719-J719</f>
        <v>0</v>
      </c>
      <c r="L719" s="110"/>
    </row>
    <row r="720" spans="1:12" outlineLevel="2" collapsed="1">
      <c r="A720" s="110"/>
      <c r="B720" s="106" t="s">
        <v>1118</v>
      </c>
      <c r="C720" s="110"/>
      <c r="D720" s="110"/>
      <c r="E720" s="110"/>
      <c r="F720" s="119"/>
      <c r="G720" s="120">
        <f>SUBTOTAL(9,G715:G719)</f>
        <v>2653.6</v>
      </c>
      <c r="H720" s="121"/>
      <c r="I720" s="121"/>
      <c r="J720" s="120">
        <f>SUBTOTAL(9,J715:J719)</f>
        <v>2653.6</v>
      </c>
      <c r="K720" s="121">
        <f>SUBTOTAL(9,K715:K719)</f>
        <v>0</v>
      </c>
      <c r="L720" s="110"/>
    </row>
    <row r="721" spans="1:12" hidden="1" outlineLevel="3">
      <c r="A721" s="110" t="s">
        <v>971</v>
      </c>
      <c r="B721" s="110" t="s">
        <v>1119</v>
      </c>
      <c r="C721" s="110" t="s">
        <v>980</v>
      </c>
      <c r="D721" s="110" t="s">
        <v>1120</v>
      </c>
      <c r="E721" s="110" t="s">
        <v>1121</v>
      </c>
      <c r="F721" s="119">
        <v>45717</v>
      </c>
      <c r="G721" s="120">
        <v>103.35</v>
      </c>
      <c r="H721" s="121">
        <f>G721</f>
        <v>103.35</v>
      </c>
      <c r="I721" s="121"/>
      <c r="J721" s="120">
        <v>103.35</v>
      </c>
      <c r="K721" s="121">
        <f>G721-J721</f>
        <v>0</v>
      </c>
      <c r="L721" s="110"/>
    </row>
    <row r="722" spans="1:12" hidden="1" outlineLevel="3">
      <c r="A722" s="110" t="s">
        <v>971</v>
      </c>
      <c r="B722" s="110" t="s">
        <v>1119</v>
      </c>
      <c r="C722" s="110" t="s">
        <v>396</v>
      </c>
      <c r="D722" s="110" t="s">
        <v>1061</v>
      </c>
      <c r="E722" s="110" t="s">
        <v>1122</v>
      </c>
      <c r="F722" s="119">
        <v>45717</v>
      </c>
      <c r="G722" s="120">
        <v>643.5</v>
      </c>
      <c r="H722" s="121">
        <f>G722</f>
        <v>643.5</v>
      </c>
      <c r="I722" s="121"/>
      <c r="J722" s="120">
        <v>606</v>
      </c>
      <c r="K722" s="121">
        <f>G722-J722</f>
        <v>37.5</v>
      </c>
      <c r="L722" s="110"/>
    </row>
    <row r="723" spans="1:12" hidden="1" outlineLevel="3">
      <c r="A723" s="110" t="s">
        <v>971</v>
      </c>
      <c r="B723" s="110" t="s">
        <v>1119</v>
      </c>
      <c r="C723" s="110" t="s">
        <v>976</v>
      </c>
      <c r="D723" s="110" t="s">
        <v>1123</v>
      </c>
      <c r="E723" s="110" t="s">
        <v>1124</v>
      </c>
      <c r="F723" s="119">
        <v>45718</v>
      </c>
      <c r="G723" s="120">
        <v>585.65</v>
      </c>
      <c r="H723" s="121">
        <f>G723</f>
        <v>585.65</v>
      </c>
      <c r="I723" s="121"/>
      <c r="J723" s="120">
        <v>585.65</v>
      </c>
      <c r="K723" s="121">
        <f>G723-J723</f>
        <v>0</v>
      </c>
      <c r="L723" s="110"/>
    </row>
    <row r="724" spans="1:12" hidden="1" outlineLevel="3">
      <c r="A724" s="110" t="s">
        <v>971</v>
      </c>
      <c r="B724" s="110" t="s">
        <v>1119</v>
      </c>
      <c r="C724" s="110" t="s">
        <v>400</v>
      </c>
      <c r="D724" s="110" t="s">
        <v>1062</v>
      </c>
      <c r="E724" s="110" t="s">
        <v>1122</v>
      </c>
      <c r="F724" s="119">
        <v>45717</v>
      </c>
      <c r="G724" s="120">
        <v>4486</v>
      </c>
      <c r="H724" s="121">
        <f>G724</f>
        <v>4486</v>
      </c>
      <c r="I724" s="121"/>
      <c r="J724" s="120">
        <v>4486</v>
      </c>
      <c r="K724" s="121">
        <f>G724-J724</f>
        <v>0</v>
      </c>
      <c r="L724" s="110"/>
    </row>
    <row r="725" spans="1:12" outlineLevel="2" collapsed="1">
      <c r="A725" s="110"/>
      <c r="B725" s="106" t="s">
        <v>1125</v>
      </c>
      <c r="C725" s="110"/>
      <c r="D725" s="110"/>
      <c r="E725" s="110"/>
      <c r="F725" s="119"/>
      <c r="G725" s="120">
        <f>SUBTOTAL(9,G721:G724)</f>
        <v>5818.5</v>
      </c>
      <c r="H725" s="121"/>
      <c r="I725" s="121"/>
      <c r="J725" s="120">
        <f>SUBTOTAL(9,J721:J724)</f>
        <v>5781</v>
      </c>
      <c r="K725" s="121">
        <f>SUBTOTAL(9,K721:K724)</f>
        <v>37.5</v>
      </c>
      <c r="L725" s="110"/>
    </row>
    <row r="726" spans="1:12" hidden="1" outlineLevel="3">
      <c r="A726" s="110" t="s">
        <v>971</v>
      </c>
      <c r="B726" s="110" t="s">
        <v>1126</v>
      </c>
      <c r="C726" s="110" t="s">
        <v>980</v>
      </c>
      <c r="D726" s="110" t="s">
        <v>988</v>
      </c>
      <c r="E726" s="110" t="s">
        <v>1127</v>
      </c>
      <c r="F726" s="119">
        <v>45717</v>
      </c>
      <c r="G726" s="120">
        <v>57.67</v>
      </c>
      <c r="H726" s="121">
        <f>G726</f>
        <v>57.67</v>
      </c>
      <c r="I726" s="121"/>
      <c r="J726" s="120">
        <v>57.67</v>
      </c>
      <c r="K726" s="121">
        <f>G726-J726</f>
        <v>0</v>
      </c>
      <c r="L726" s="110"/>
    </row>
    <row r="727" spans="1:12" hidden="1" outlineLevel="3">
      <c r="A727" s="110" t="s">
        <v>971</v>
      </c>
      <c r="B727" s="110" t="s">
        <v>1126</v>
      </c>
      <c r="C727" s="110" t="s">
        <v>405</v>
      </c>
      <c r="D727" s="110" t="s">
        <v>493</v>
      </c>
      <c r="E727" s="110" t="s">
        <v>1128</v>
      </c>
      <c r="F727" s="119">
        <v>45717</v>
      </c>
      <c r="G727" s="120">
        <v>160.56</v>
      </c>
      <c r="H727" s="121">
        <f>G727</f>
        <v>160.56</v>
      </c>
      <c r="I727" s="121"/>
      <c r="J727" s="120">
        <v>160.56</v>
      </c>
      <c r="K727" s="121">
        <f>G727-J727</f>
        <v>0</v>
      </c>
      <c r="L727" s="110"/>
    </row>
    <row r="728" spans="1:12" hidden="1" outlineLevel="3">
      <c r="A728" s="110" t="s">
        <v>971</v>
      </c>
      <c r="B728" s="110" t="s">
        <v>1126</v>
      </c>
      <c r="C728" s="110" t="s">
        <v>396</v>
      </c>
      <c r="D728" s="110" t="s">
        <v>495</v>
      </c>
      <c r="E728" s="110" t="s">
        <v>1128</v>
      </c>
      <c r="F728" s="119">
        <v>45717</v>
      </c>
      <c r="G728" s="120">
        <v>344.5</v>
      </c>
      <c r="H728" s="121">
        <f>G728</f>
        <v>344.5</v>
      </c>
      <c r="I728" s="121"/>
      <c r="J728" s="120">
        <v>357.5</v>
      </c>
      <c r="K728" s="121">
        <f>G728-J728</f>
        <v>-13</v>
      </c>
      <c r="L728" s="110"/>
    </row>
    <row r="729" spans="1:12" hidden="1" outlineLevel="3">
      <c r="A729" s="110" t="s">
        <v>971</v>
      </c>
      <c r="B729" s="110" t="s">
        <v>1126</v>
      </c>
      <c r="C729" s="110" t="s">
        <v>976</v>
      </c>
      <c r="D729" s="110" t="s">
        <v>999</v>
      </c>
      <c r="E729" s="110" t="s">
        <v>1129</v>
      </c>
      <c r="F729" s="119">
        <v>45718</v>
      </c>
      <c r="G729" s="120">
        <v>326.83</v>
      </c>
      <c r="H729" s="121">
        <f>G729</f>
        <v>326.83</v>
      </c>
      <c r="I729" s="121"/>
      <c r="J729" s="120">
        <v>326.83</v>
      </c>
      <c r="K729" s="121">
        <f>G729-J729</f>
        <v>0</v>
      </c>
      <c r="L729" s="110"/>
    </row>
    <row r="730" spans="1:12" hidden="1" outlineLevel="3">
      <c r="A730" s="110" t="s">
        <v>971</v>
      </c>
      <c r="B730" s="110" t="s">
        <v>1126</v>
      </c>
      <c r="C730" s="110" t="s">
        <v>400</v>
      </c>
      <c r="D730" s="110" t="s">
        <v>1016</v>
      </c>
      <c r="E730" s="110" t="s">
        <v>1128</v>
      </c>
      <c r="F730" s="119">
        <v>45717</v>
      </c>
      <c r="G730" s="120">
        <v>2714.5</v>
      </c>
      <c r="H730" s="121">
        <f>G730</f>
        <v>2714.5</v>
      </c>
      <c r="I730" s="121"/>
      <c r="J730" s="120">
        <v>2714.5</v>
      </c>
      <c r="K730" s="121">
        <f>G730-J730</f>
        <v>0</v>
      </c>
      <c r="L730" s="110"/>
    </row>
    <row r="731" spans="1:12" outlineLevel="2" collapsed="1">
      <c r="A731" s="110"/>
      <c r="B731" s="106" t="s">
        <v>1130</v>
      </c>
      <c r="C731" s="110"/>
      <c r="D731" s="110"/>
      <c r="E731" s="110"/>
      <c r="F731" s="119"/>
      <c r="G731" s="120">
        <f>SUBTOTAL(9,G726:G730)</f>
        <v>3604.06</v>
      </c>
      <c r="H731" s="121"/>
      <c r="I731" s="121"/>
      <c r="J731" s="120">
        <f>SUBTOTAL(9,J726:J730)</f>
        <v>3617.06</v>
      </c>
      <c r="K731" s="121">
        <f>SUBTOTAL(9,K726:K730)</f>
        <v>-13</v>
      </c>
      <c r="L731" s="110"/>
    </row>
    <row r="732" spans="1:12" hidden="1" outlineLevel="3">
      <c r="A732" s="110" t="s">
        <v>971</v>
      </c>
      <c r="B732" s="110" t="s">
        <v>1131</v>
      </c>
      <c r="C732" s="110" t="s">
        <v>980</v>
      </c>
      <c r="D732" s="110" t="s">
        <v>988</v>
      </c>
      <c r="E732" s="110" t="s">
        <v>1132</v>
      </c>
      <c r="F732" s="119">
        <v>45717</v>
      </c>
      <c r="G732" s="120">
        <v>156</v>
      </c>
      <c r="H732" s="121">
        <f t="shared" ref="H732:H737" si="10">G732</f>
        <v>156</v>
      </c>
      <c r="I732" s="121"/>
      <c r="J732" s="120">
        <v>156</v>
      </c>
      <c r="K732" s="121">
        <f t="shared" ref="K732:K737" si="11">G732-J732</f>
        <v>0</v>
      </c>
      <c r="L732" s="110"/>
    </row>
    <row r="733" spans="1:12" hidden="1" outlineLevel="3">
      <c r="A733" s="110" t="s">
        <v>971</v>
      </c>
      <c r="B733" s="110" t="s">
        <v>1131</v>
      </c>
      <c r="C733" s="110" t="s">
        <v>405</v>
      </c>
      <c r="D733" s="110" t="s">
        <v>600</v>
      </c>
      <c r="E733" s="110" t="s">
        <v>1133</v>
      </c>
      <c r="F733" s="119">
        <v>45717</v>
      </c>
      <c r="G733" s="120">
        <v>240</v>
      </c>
      <c r="H733" s="121">
        <f t="shared" si="10"/>
        <v>240</v>
      </c>
      <c r="I733" s="121"/>
      <c r="J733" s="120">
        <v>240</v>
      </c>
      <c r="K733" s="121">
        <f t="shared" si="11"/>
        <v>0</v>
      </c>
      <c r="L733" s="110"/>
    </row>
    <row r="734" spans="1:12" hidden="1" outlineLevel="3">
      <c r="A734" s="110" t="s">
        <v>971</v>
      </c>
      <c r="B734" s="110" t="s">
        <v>1131</v>
      </c>
      <c r="C734" s="110" t="s">
        <v>396</v>
      </c>
      <c r="D734" s="110" t="s">
        <v>601</v>
      </c>
      <c r="E734" s="110" t="s">
        <v>1133</v>
      </c>
      <c r="F734" s="119">
        <v>45717</v>
      </c>
      <c r="G734" s="120">
        <v>370.5</v>
      </c>
      <c r="H734" s="121">
        <f t="shared" si="10"/>
        <v>370.5</v>
      </c>
      <c r="I734" s="121"/>
      <c r="J734" s="120">
        <v>377</v>
      </c>
      <c r="K734" s="121">
        <f t="shared" si="11"/>
        <v>-6.5</v>
      </c>
      <c r="L734" s="110"/>
    </row>
    <row r="735" spans="1:12" hidden="1" outlineLevel="3">
      <c r="A735" s="110" t="s">
        <v>971</v>
      </c>
      <c r="B735" s="110" t="s">
        <v>1131</v>
      </c>
      <c r="C735" s="110" t="s">
        <v>976</v>
      </c>
      <c r="D735" s="110" t="s">
        <v>1134</v>
      </c>
      <c r="E735" s="110" t="s">
        <v>1135</v>
      </c>
      <c r="F735" s="119">
        <v>45718</v>
      </c>
      <c r="G735" s="120">
        <v>884</v>
      </c>
      <c r="H735" s="121">
        <f t="shared" si="10"/>
        <v>884</v>
      </c>
      <c r="I735" s="121"/>
      <c r="J735" s="120">
        <v>884</v>
      </c>
      <c r="K735" s="121">
        <f t="shared" si="11"/>
        <v>0</v>
      </c>
      <c r="L735" s="110"/>
    </row>
    <row r="736" spans="1:12" hidden="1" outlineLevel="3">
      <c r="A736" s="110" t="s">
        <v>971</v>
      </c>
      <c r="B736" s="110" t="s">
        <v>1131</v>
      </c>
      <c r="C736" s="110" t="s">
        <v>400</v>
      </c>
      <c r="D736" s="110" t="s">
        <v>1136</v>
      </c>
      <c r="E736" s="110" t="s">
        <v>1133</v>
      </c>
      <c r="F736" s="119">
        <v>45717</v>
      </c>
      <c r="G736" s="120">
        <v>1255</v>
      </c>
      <c r="H736" s="121">
        <f t="shared" si="10"/>
        <v>1255</v>
      </c>
      <c r="I736" s="121"/>
      <c r="J736" s="120">
        <v>1255</v>
      </c>
      <c r="K736" s="121">
        <f t="shared" si="11"/>
        <v>0</v>
      </c>
      <c r="L736" s="110"/>
    </row>
    <row r="737" spans="1:12" hidden="1" outlineLevel="3">
      <c r="A737" s="110" t="s">
        <v>971</v>
      </c>
      <c r="B737" s="110" t="s">
        <v>1131</v>
      </c>
      <c r="C737" s="110" t="s">
        <v>400</v>
      </c>
      <c r="D737" s="110" t="s">
        <v>602</v>
      </c>
      <c r="E737" s="110" t="s">
        <v>1133</v>
      </c>
      <c r="F737" s="119">
        <v>45717</v>
      </c>
      <c r="G737" s="120">
        <v>2405</v>
      </c>
      <c r="H737" s="121">
        <f t="shared" si="10"/>
        <v>2405</v>
      </c>
      <c r="I737" s="121"/>
      <c r="J737" s="120">
        <v>2405</v>
      </c>
      <c r="K737" s="121">
        <f t="shared" si="11"/>
        <v>0</v>
      </c>
      <c r="L737" s="110"/>
    </row>
    <row r="738" spans="1:12" outlineLevel="2" collapsed="1">
      <c r="A738" s="110"/>
      <c r="B738" s="106" t="s">
        <v>1137</v>
      </c>
      <c r="C738" s="110"/>
      <c r="D738" s="110"/>
      <c r="E738" s="110"/>
      <c r="F738" s="119"/>
      <c r="G738" s="120">
        <f>SUBTOTAL(9,G732:G737)</f>
        <v>5310.5</v>
      </c>
      <c r="H738" s="121"/>
      <c r="I738" s="121"/>
      <c r="J738" s="120">
        <f>SUBTOTAL(9,J732:J737)</f>
        <v>5317</v>
      </c>
      <c r="K738" s="121">
        <f>SUBTOTAL(9,K732:K737)</f>
        <v>-6.5</v>
      </c>
      <c r="L738" s="110"/>
    </row>
    <row r="739" spans="1:12" hidden="1" outlineLevel="3">
      <c r="A739" s="110" t="s">
        <v>971</v>
      </c>
      <c r="B739" s="110" t="s">
        <v>1138</v>
      </c>
      <c r="C739" s="110" t="s">
        <v>1019</v>
      </c>
      <c r="D739" s="110" t="s">
        <v>1139</v>
      </c>
      <c r="E739" s="110" t="s">
        <v>1140</v>
      </c>
      <c r="F739" s="119">
        <v>45717</v>
      </c>
      <c r="G739" s="120">
        <v>562.5</v>
      </c>
      <c r="H739" s="121">
        <f>G739</f>
        <v>562.5</v>
      </c>
      <c r="I739" s="121"/>
      <c r="J739" s="120">
        <v>562.5</v>
      </c>
      <c r="K739" s="121">
        <f>G739-J739</f>
        <v>0</v>
      </c>
      <c r="L739" s="110"/>
    </row>
    <row r="740" spans="1:12" hidden="1" outlineLevel="3">
      <c r="A740" s="110" t="s">
        <v>971</v>
      </c>
      <c r="B740" s="110" t="s">
        <v>1138</v>
      </c>
      <c r="C740" s="110" t="s">
        <v>405</v>
      </c>
      <c r="D740" s="110" t="s">
        <v>462</v>
      </c>
      <c r="E740" s="110" t="s">
        <v>1140</v>
      </c>
      <c r="F740" s="119">
        <v>45717</v>
      </c>
      <c r="G740" s="120">
        <v>258</v>
      </c>
      <c r="H740" s="121">
        <f>G740</f>
        <v>258</v>
      </c>
      <c r="I740" s="121"/>
      <c r="J740" s="120">
        <v>258</v>
      </c>
      <c r="K740" s="121">
        <f>G740-J740</f>
        <v>0</v>
      </c>
      <c r="L740" s="110"/>
    </row>
    <row r="741" spans="1:12" hidden="1" outlineLevel="3">
      <c r="A741" s="110" t="s">
        <v>971</v>
      </c>
      <c r="B741" s="110" t="s">
        <v>1138</v>
      </c>
      <c r="C741" s="110" t="s">
        <v>396</v>
      </c>
      <c r="D741" s="110" t="s">
        <v>464</v>
      </c>
      <c r="E741" s="110" t="s">
        <v>1140</v>
      </c>
      <c r="F741" s="119">
        <v>45717</v>
      </c>
      <c r="G741" s="120">
        <v>409.5</v>
      </c>
      <c r="H741" s="121">
        <f>G741</f>
        <v>409.5</v>
      </c>
      <c r="I741" s="121"/>
      <c r="J741" s="120">
        <v>351</v>
      </c>
      <c r="K741" s="121">
        <f>G741-J741</f>
        <v>58.5</v>
      </c>
      <c r="L741" s="110"/>
    </row>
    <row r="742" spans="1:12" hidden="1" outlineLevel="3">
      <c r="A742" s="110" t="s">
        <v>971</v>
      </c>
      <c r="B742" s="110" t="s">
        <v>1138</v>
      </c>
      <c r="C742" s="110" t="s">
        <v>400</v>
      </c>
      <c r="D742" s="110" t="s">
        <v>1141</v>
      </c>
      <c r="E742" s="110" t="s">
        <v>1140</v>
      </c>
      <c r="F742" s="119">
        <v>45717</v>
      </c>
      <c r="G742" s="120">
        <v>2438.9</v>
      </c>
      <c r="H742" s="121">
        <f>G742</f>
        <v>2438.9</v>
      </c>
      <c r="I742" s="121"/>
      <c r="J742" s="120">
        <v>2438.9</v>
      </c>
      <c r="K742" s="121">
        <f>G742-J742</f>
        <v>0</v>
      </c>
      <c r="L742" s="110"/>
    </row>
    <row r="743" spans="1:12" outlineLevel="2" collapsed="1">
      <c r="A743" s="110"/>
      <c r="B743" s="106" t="s">
        <v>1142</v>
      </c>
      <c r="C743" s="110"/>
      <c r="D743" s="110"/>
      <c r="E743" s="110"/>
      <c r="F743" s="119"/>
      <c r="G743" s="120">
        <f>SUBTOTAL(9,G739:G742)</f>
        <v>3668.9</v>
      </c>
      <c r="H743" s="121"/>
      <c r="I743" s="121"/>
      <c r="J743" s="120">
        <f>SUBTOTAL(9,J739:J742)</f>
        <v>3610.4</v>
      </c>
      <c r="K743" s="121">
        <f>SUBTOTAL(9,K739:K742)</f>
        <v>58.5</v>
      </c>
      <c r="L743" s="110"/>
    </row>
    <row r="744" spans="1:12" hidden="1" outlineLevel="3">
      <c r="A744" s="110" t="s">
        <v>971</v>
      </c>
      <c r="B744" s="110" t="s">
        <v>1143</v>
      </c>
      <c r="C744" s="110" t="s">
        <v>405</v>
      </c>
      <c r="D744" s="110" t="s">
        <v>1059</v>
      </c>
      <c r="E744" s="110" t="s">
        <v>1144</v>
      </c>
      <c r="F744" s="119">
        <v>45717</v>
      </c>
      <c r="G744" s="120">
        <v>80</v>
      </c>
      <c r="H744" s="121">
        <f>G744</f>
        <v>80</v>
      </c>
      <c r="I744" s="121"/>
      <c r="J744" s="120">
        <v>80</v>
      </c>
      <c r="K744" s="121">
        <f>G744-J744</f>
        <v>0</v>
      </c>
      <c r="L744" s="110"/>
    </row>
    <row r="745" spans="1:12" hidden="1" outlineLevel="3">
      <c r="A745" s="110" t="s">
        <v>971</v>
      </c>
      <c r="B745" s="110" t="s">
        <v>1143</v>
      </c>
      <c r="C745" s="110" t="s">
        <v>396</v>
      </c>
      <c r="D745" s="110" t="s">
        <v>1061</v>
      </c>
      <c r="E745" s="110" t="s">
        <v>1144</v>
      </c>
      <c r="F745" s="119">
        <v>45717</v>
      </c>
      <c r="G745" s="120">
        <v>196</v>
      </c>
      <c r="H745" s="121">
        <f>G745</f>
        <v>196</v>
      </c>
      <c r="I745" s="121"/>
      <c r="J745" s="120">
        <v>203</v>
      </c>
      <c r="K745" s="121">
        <f>G745-J745</f>
        <v>-7</v>
      </c>
      <c r="L745" s="110"/>
    </row>
    <row r="746" spans="1:12" hidden="1" outlineLevel="3">
      <c r="A746" s="110" t="s">
        <v>971</v>
      </c>
      <c r="B746" s="110" t="s">
        <v>1143</v>
      </c>
      <c r="C746" s="110" t="s">
        <v>400</v>
      </c>
      <c r="D746" s="110" t="s">
        <v>1062</v>
      </c>
      <c r="E746" s="110" t="s">
        <v>1144</v>
      </c>
      <c r="F746" s="119">
        <v>45717</v>
      </c>
      <c r="G746" s="120">
        <v>1760.67</v>
      </c>
      <c r="H746" s="121">
        <f>G746</f>
        <v>1760.67</v>
      </c>
      <c r="I746" s="121"/>
      <c r="J746" s="120">
        <v>1760.67</v>
      </c>
      <c r="K746" s="121">
        <f>G746-J746</f>
        <v>0</v>
      </c>
      <c r="L746" s="110"/>
    </row>
    <row r="747" spans="1:12" outlineLevel="2" collapsed="1">
      <c r="A747" s="110"/>
      <c r="B747" s="106" t="s">
        <v>1145</v>
      </c>
      <c r="C747" s="110"/>
      <c r="D747" s="110"/>
      <c r="E747" s="110"/>
      <c r="F747" s="119"/>
      <c r="G747" s="120">
        <f>SUBTOTAL(9,G744:G746)</f>
        <v>2036.67</v>
      </c>
      <c r="H747" s="121"/>
      <c r="I747" s="121"/>
      <c r="J747" s="120">
        <f>SUBTOTAL(9,J744:J746)</f>
        <v>2043.67</v>
      </c>
      <c r="K747" s="121">
        <f>SUBTOTAL(9,K744:K746)</f>
        <v>-7</v>
      </c>
      <c r="L747" s="110"/>
    </row>
    <row r="748" spans="1:12" hidden="1" outlineLevel="3">
      <c r="A748" s="110" t="s">
        <v>971</v>
      </c>
      <c r="B748" s="110" t="s">
        <v>1146</v>
      </c>
      <c r="C748" s="110" t="s">
        <v>405</v>
      </c>
      <c r="D748" s="110" t="s">
        <v>1147</v>
      </c>
      <c r="E748" s="110" t="s">
        <v>1148</v>
      </c>
      <c r="F748" s="119">
        <v>45717</v>
      </c>
      <c r="G748" s="120">
        <v>262</v>
      </c>
      <c r="H748" s="121">
        <f>G748</f>
        <v>262</v>
      </c>
      <c r="I748" s="121"/>
      <c r="J748" s="120">
        <v>-648</v>
      </c>
      <c r="K748" s="121">
        <f>G748-J748</f>
        <v>910</v>
      </c>
      <c r="L748" s="110" t="s">
        <v>1149</v>
      </c>
    </row>
    <row r="749" spans="1:12" outlineLevel="2" collapsed="1">
      <c r="A749" s="110"/>
      <c r="B749" s="106" t="s">
        <v>1150</v>
      </c>
      <c r="C749" s="110"/>
      <c r="D749" s="110"/>
      <c r="E749" s="110"/>
      <c r="F749" s="119"/>
      <c r="G749" s="120">
        <f>SUBTOTAL(9,G748:G748)</f>
        <v>262</v>
      </c>
      <c r="H749" s="121"/>
      <c r="I749" s="121"/>
      <c r="J749" s="120">
        <f>SUBTOTAL(9,J748:J748)</f>
        <v>-648</v>
      </c>
      <c r="K749" s="121">
        <f>SUBTOTAL(9,K748:K748)</f>
        <v>910</v>
      </c>
      <c r="L749" s="110" t="s">
        <v>1149</v>
      </c>
    </row>
    <row r="750" spans="1:12" hidden="1" outlineLevel="3">
      <c r="A750" s="110" t="s">
        <v>971</v>
      </c>
      <c r="B750" s="110" t="s">
        <v>1151</v>
      </c>
      <c r="C750" s="110" t="s">
        <v>980</v>
      </c>
      <c r="D750" s="110" t="s">
        <v>988</v>
      </c>
      <c r="E750" s="110" t="s">
        <v>1152</v>
      </c>
      <c r="F750" s="119">
        <v>45717</v>
      </c>
      <c r="G750" s="120">
        <v>167</v>
      </c>
      <c r="H750" s="121">
        <f>G750</f>
        <v>167</v>
      </c>
      <c r="I750" s="121"/>
      <c r="J750" s="120">
        <v>167</v>
      </c>
      <c r="K750" s="121">
        <f>G750-J750</f>
        <v>0</v>
      </c>
      <c r="L750" s="110"/>
    </row>
    <row r="751" spans="1:12" hidden="1" outlineLevel="3">
      <c r="A751" s="110" t="s">
        <v>971</v>
      </c>
      <c r="B751" s="110" t="s">
        <v>1151</v>
      </c>
      <c r="C751" s="110" t="s">
        <v>976</v>
      </c>
      <c r="D751" s="110" t="s">
        <v>999</v>
      </c>
      <c r="E751" s="110" t="s">
        <v>1153</v>
      </c>
      <c r="F751" s="119">
        <v>45718</v>
      </c>
      <c r="G751" s="120">
        <v>389.67</v>
      </c>
      <c r="H751" s="121">
        <f>G751</f>
        <v>389.67</v>
      </c>
      <c r="I751" s="121"/>
      <c r="J751" s="120">
        <v>389.67</v>
      </c>
      <c r="K751" s="121">
        <f>G751-J751</f>
        <v>0</v>
      </c>
      <c r="L751" s="110"/>
    </row>
    <row r="752" spans="1:12" outlineLevel="2" collapsed="1">
      <c r="A752" s="110"/>
      <c r="B752" s="106" t="s">
        <v>1154</v>
      </c>
      <c r="C752" s="110"/>
      <c r="D752" s="110"/>
      <c r="E752" s="110"/>
      <c r="F752" s="119"/>
      <c r="G752" s="120">
        <f>SUBTOTAL(9,G750:G751)</f>
        <v>556.67000000000007</v>
      </c>
      <c r="H752" s="121"/>
      <c r="I752" s="121"/>
      <c r="J752" s="120">
        <f>SUBTOTAL(9,J750:J751)</f>
        <v>556.67000000000007</v>
      </c>
      <c r="K752" s="121">
        <f>SUBTOTAL(9,K750:K751)</f>
        <v>0</v>
      </c>
      <c r="L752" s="110"/>
    </row>
    <row r="753" spans="1:12" hidden="1" outlineLevel="3">
      <c r="A753" s="110" t="s">
        <v>971</v>
      </c>
      <c r="B753" s="110" t="s">
        <v>1155</v>
      </c>
      <c r="C753" s="110" t="s">
        <v>980</v>
      </c>
      <c r="D753" s="110" t="s">
        <v>1156</v>
      </c>
      <c r="E753" s="110" t="s">
        <v>1157</v>
      </c>
      <c r="F753" s="119">
        <v>45717</v>
      </c>
      <c r="G753" s="120">
        <v>85.15</v>
      </c>
      <c r="H753" s="121">
        <f>G753</f>
        <v>85.15</v>
      </c>
      <c r="I753" s="121"/>
      <c r="J753" s="120">
        <v>85.15</v>
      </c>
      <c r="K753" s="121">
        <f>G753-J753</f>
        <v>0</v>
      </c>
      <c r="L753" s="110"/>
    </row>
    <row r="754" spans="1:12" hidden="1" outlineLevel="3">
      <c r="A754" s="110" t="s">
        <v>971</v>
      </c>
      <c r="B754" s="110" t="s">
        <v>1155</v>
      </c>
      <c r="C754" s="110" t="s">
        <v>976</v>
      </c>
      <c r="D754" s="110" t="s">
        <v>999</v>
      </c>
      <c r="E754" s="110" t="s">
        <v>1158</v>
      </c>
      <c r="F754" s="119">
        <v>45718</v>
      </c>
      <c r="G754" s="120">
        <v>340.6</v>
      </c>
      <c r="H754" s="121">
        <f>G754</f>
        <v>340.6</v>
      </c>
      <c r="I754" s="121"/>
      <c r="J754" s="120">
        <v>340.6</v>
      </c>
      <c r="K754" s="121">
        <f>G754-J754</f>
        <v>0</v>
      </c>
      <c r="L754" s="110"/>
    </row>
    <row r="755" spans="1:12" outlineLevel="2" collapsed="1">
      <c r="A755" s="110"/>
      <c r="B755" s="106" t="s">
        <v>1159</v>
      </c>
      <c r="C755" s="110"/>
      <c r="D755" s="110"/>
      <c r="E755" s="110"/>
      <c r="F755" s="119"/>
      <c r="G755" s="120">
        <f>SUBTOTAL(9,G753:G754)</f>
        <v>425.75</v>
      </c>
      <c r="H755" s="121"/>
      <c r="I755" s="121"/>
      <c r="J755" s="120">
        <f>SUBTOTAL(9,J753:J754)</f>
        <v>425.75</v>
      </c>
      <c r="K755" s="121">
        <f>SUBTOTAL(9,K753:K754)</f>
        <v>0</v>
      </c>
      <c r="L755" s="110"/>
    </row>
    <row r="756" spans="1:12" hidden="1" outlineLevel="3">
      <c r="A756" s="110" t="s">
        <v>971</v>
      </c>
      <c r="B756" s="110" t="s">
        <v>1160</v>
      </c>
      <c r="C756" s="110" t="s">
        <v>980</v>
      </c>
      <c r="D756" s="110" t="s">
        <v>988</v>
      </c>
      <c r="E756" s="110" t="s">
        <v>1161</v>
      </c>
      <c r="F756" s="119">
        <v>45717</v>
      </c>
      <c r="G756" s="120">
        <v>201.87</v>
      </c>
      <c r="H756" s="121">
        <f>G756</f>
        <v>201.87</v>
      </c>
      <c r="I756" s="121"/>
      <c r="J756" s="120">
        <v>201.87</v>
      </c>
      <c r="K756" s="121">
        <f>G756-J756</f>
        <v>0</v>
      </c>
      <c r="L756" s="110"/>
    </row>
    <row r="757" spans="1:12" hidden="1" outlineLevel="3">
      <c r="A757" s="110" t="s">
        <v>971</v>
      </c>
      <c r="B757" s="110" t="s">
        <v>1160</v>
      </c>
      <c r="C757" s="110" t="s">
        <v>976</v>
      </c>
      <c r="D757" s="110" t="s">
        <v>999</v>
      </c>
      <c r="E757" s="110" t="s">
        <v>1162</v>
      </c>
      <c r="F757" s="119">
        <v>45718</v>
      </c>
      <c r="G757" s="120">
        <v>201.88</v>
      </c>
      <c r="H757" s="121">
        <f>G757</f>
        <v>201.88</v>
      </c>
      <c r="I757" s="121"/>
      <c r="J757" s="120">
        <v>201.88</v>
      </c>
      <c r="K757" s="121">
        <f>G757-J757</f>
        <v>0</v>
      </c>
      <c r="L757" s="110"/>
    </row>
    <row r="758" spans="1:12" outlineLevel="2" collapsed="1">
      <c r="A758" s="110"/>
      <c r="B758" s="106" t="s">
        <v>1163</v>
      </c>
      <c r="C758" s="110"/>
      <c r="D758" s="110"/>
      <c r="E758" s="110"/>
      <c r="F758" s="119"/>
      <c r="G758" s="120">
        <f>SUBTOTAL(9,G756:G757)</f>
        <v>403.75</v>
      </c>
      <c r="H758" s="121"/>
      <c r="I758" s="121"/>
      <c r="J758" s="120">
        <f>SUBTOTAL(9,J756:J757)</f>
        <v>403.75</v>
      </c>
      <c r="K758" s="121">
        <f>SUBTOTAL(9,K756:K757)</f>
        <v>0</v>
      </c>
      <c r="L758" s="110"/>
    </row>
    <row r="759" spans="1:12" hidden="1" outlineLevel="3">
      <c r="A759" s="110" t="s">
        <v>971</v>
      </c>
      <c r="B759" s="110" t="s">
        <v>1164</v>
      </c>
      <c r="C759" s="110" t="s">
        <v>980</v>
      </c>
      <c r="D759" s="110" t="s">
        <v>988</v>
      </c>
      <c r="E759" s="110" t="s">
        <v>1165</v>
      </c>
      <c r="F759" s="119">
        <v>45717</v>
      </c>
      <c r="G759" s="120">
        <v>365.7</v>
      </c>
      <c r="H759" s="121">
        <f>G759</f>
        <v>365.7</v>
      </c>
      <c r="I759" s="121"/>
      <c r="J759" s="120">
        <v>365.7</v>
      </c>
      <c r="K759" s="121">
        <f>G759-J759</f>
        <v>0</v>
      </c>
      <c r="L759" s="110"/>
    </row>
    <row r="760" spans="1:12" hidden="1" outlineLevel="3">
      <c r="A760" s="110" t="s">
        <v>971</v>
      </c>
      <c r="B760" s="110" t="s">
        <v>1164</v>
      </c>
      <c r="C760" s="110" t="s">
        <v>976</v>
      </c>
      <c r="D760" s="110" t="s">
        <v>999</v>
      </c>
      <c r="E760" s="110" t="s">
        <v>1166</v>
      </c>
      <c r="F760" s="119">
        <v>45718</v>
      </c>
      <c r="G760" s="120">
        <v>365.7</v>
      </c>
      <c r="H760" s="121">
        <f>G760</f>
        <v>365.7</v>
      </c>
      <c r="I760" s="121"/>
      <c r="J760" s="120">
        <v>365.7</v>
      </c>
      <c r="K760" s="121">
        <f>G760-J760</f>
        <v>0</v>
      </c>
      <c r="L760" s="110"/>
    </row>
    <row r="761" spans="1:12" outlineLevel="2" collapsed="1">
      <c r="A761" s="110"/>
      <c r="B761" s="106" t="s">
        <v>1167</v>
      </c>
      <c r="C761" s="110"/>
      <c r="D761" s="110"/>
      <c r="E761" s="110"/>
      <c r="F761" s="119"/>
      <c r="G761" s="120">
        <f>SUBTOTAL(9,G759:G760)</f>
        <v>731.4</v>
      </c>
      <c r="H761" s="121"/>
      <c r="I761" s="121"/>
      <c r="J761" s="120">
        <f>SUBTOTAL(9,J759:J760)</f>
        <v>731.4</v>
      </c>
      <c r="K761" s="121">
        <f>SUBTOTAL(9,K759:K760)</f>
        <v>0</v>
      </c>
      <c r="L761" s="110"/>
    </row>
    <row r="762" spans="1:12" hidden="1" outlineLevel="3">
      <c r="A762" s="110" t="s">
        <v>971</v>
      </c>
      <c r="B762" s="110" t="s">
        <v>1168</v>
      </c>
      <c r="C762" s="110" t="s">
        <v>405</v>
      </c>
      <c r="D762" s="110" t="s">
        <v>405</v>
      </c>
      <c r="E762" s="110" t="s">
        <v>1169</v>
      </c>
      <c r="F762" s="119">
        <v>45717</v>
      </c>
      <c r="G762" s="120">
        <v>251.14060000000001</v>
      </c>
      <c r="H762" s="121">
        <f>G762</f>
        <v>251.14060000000001</v>
      </c>
      <c r="I762" s="121"/>
      <c r="J762" s="120">
        <v>251.464</v>
      </c>
      <c r="K762" s="121">
        <f>G762-J762</f>
        <v>-0.32339999999999236</v>
      </c>
      <c r="L762" s="110"/>
    </row>
    <row r="763" spans="1:12" hidden="1" outlineLevel="3">
      <c r="A763" s="110" t="s">
        <v>971</v>
      </c>
      <c r="B763" s="110" t="s">
        <v>1168</v>
      </c>
      <c r="C763" s="110" t="s">
        <v>396</v>
      </c>
      <c r="D763" s="110" t="s">
        <v>1170</v>
      </c>
      <c r="E763" s="110" t="s">
        <v>1171</v>
      </c>
      <c r="F763" s="119">
        <v>45717</v>
      </c>
      <c r="G763" s="120">
        <v>954.5</v>
      </c>
      <c r="H763" s="121">
        <f>G763</f>
        <v>954.5</v>
      </c>
      <c r="I763" s="121"/>
      <c r="J763" s="120">
        <v>961</v>
      </c>
      <c r="K763" s="121">
        <f>G763-J763</f>
        <v>-6.5</v>
      </c>
      <c r="L763" s="110"/>
    </row>
    <row r="764" spans="1:12" hidden="1" outlineLevel="3">
      <c r="A764" s="110" t="s">
        <v>971</v>
      </c>
      <c r="B764" s="110" t="s">
        <v>1168</v>
      </c>
      <c r="C764" s="110" t="s">
        <v>400</v>
      </c>
      <c r="D764" s="110" t="s">
        <v>1172</v>
      </c>
      <c r="E764" s="110" t="s">
        <v>1173</v>
      </c>
      <c r="F764" s="119">
        <v>45717</v>
      </c>
      <c r="G764" s="120">
        <v>5424.97</v>
      </c>
      <c r="H764" s="121">
        <f>G764</f>
        <v>5424.97</v>
      </c>
      <c r="I764" s="121"/>
      <c r="J764" s="120">
        <v>5424.97</v>
      </c>
      <c r="K764" s="121">
        <f>G764-J764</f>
        <v>0</v>
      </c>
      <c r="L764" s="110"/>
    </row>
    <row r="765" spans="1:12" outlineLevel="2" collapsed="1">
      <c r="A765" s="110"/>
      <c r="B765" s="106" t="s">
        <v>1174</v>
      </c>
      <c r="C765" s="110"/>
      <c r="D765" s="110"/>
      <c r="E765" s="110"/>
      <c r="F765" s="119"/>
      <c r="G765" s="120">
        <f>SUBTOTAL(9,G762:G764)</f>
        <v>6630.6106</v>
      </c>
      <c r="H765" s="121"/>
      <c r="I765" s="121"/>
      <c r="J765" s="120">
        <f>SUBTOTAL(9,J762:J764)</f>
        <v>6637.4340000000002</v>
      </c>
      <c r="K765" s="121">
        <f>SUBTOTAL(9,K762:K764)</f>
        <v>-6.8233999999999924</v>
      </c>
      <c r="L765" s="110"/>
    </row>
    <row r="766" spans="1:12" hidden="1" outlineLevel="3">
      <c r="A766" s="110" t="s">
        <v>971</v>
      </c>
      <c r="B766" s="110" t="s">
        <v>1175</v>
      </c>
      <c r="C766" s="110" t="s">
        <v>980</v>
      </c>
      <c r="D766" s="110" t="s">
        <v>988</v>
      </c>
      <c r="E766" s="110" t="s">
        <v>1176</v>
      </c>
      <c r="F766" s="119">
        <v>45717</v>
      </c>
      <c r="G766" s="120">
        <v>37.18</v>
      </c>
      <c r="H766" s="121">
        <f>G766</f>
        <v>37.18</v>
      </c>
      <c r="I766" s="121"/>
      <c r="J766" s="120">
        <v>37.18</v>
      </c>
      <c r="K766" s="121">
        <f>G766-J766</f>
        <v>0</v>
      </c>
      <c r="L766" s="110"/>
    </row>
    <row r="767" spans="1:12" hidden="1" outlineLevel="3">
      <c r="A767" s="110" t="s">
        <v>971</v>
      </c>
      <c r="B767" s="110" t="s">
        <v>1175</v>
      </c>
      <c r="C767" s="110" t="s">
        <v>405</v>
      </c>
      <c r="D767" s="110" t="s">
        <v>462</v>
      </c>
      <c r="E767" s="110" t="s">
        <v>1177</v>
      </c>
      <c r="F767" s="119">
        <v>45717</v>
      </c>
      <c r="G767" s="120">
        <v>2.6088</v>
      </c>
      <c r="H767" s="121">
        <f>G767</f>
        <v>2.6088</v>
      </c>
      <c r="I767" s="121"/>
      <c r="J767" s="120">
        <v>2.6088</v>
      </c>
      <c r="K767" s="121">
        <f>G767-J767</f>
        <v>0</v>
      </c>
      <c r="L767" s="110"/>
    </row>
    <row r="768" spans="1:12" hidden="1" outlineLevel="3">
      <c r="A768" s="110" t="s">
        <v>971</v>
      </c>
      <c r="B768" s="110" t="s">
        <v>1175</v>
      </c>
      <c r="C768" s="110" t="s">
        <v>396</v>
      </c>
      <c r="D768" s="110" t="s">
        <v>464</v>
      </c>
      <c r="E768" s="110" t="s">
        <v>1177</v>
      </c>
      <c r="F768" s="119">
        <v>45717</v>
      </c>
      <c r="G768" s="120">
        <v>245</v>
      </c>
      <c r="H768" s="121">
        <f>G768</f>
        <v>245</v>
      </c>
      <c r="I768" s="121"/>
      <c r="J768" s="120">
        <v>238</v>
      </c>
      <c r="K768" s="121">
        <f>G768-J768</f>
        <v>7</v>
      </c>
      <c r="L768" s="110"/>
    </row>
    <row r="769" spans="1:12" hidden="1" outlineLevel="3">
      <c r="A769" s="110" t="s">
        <v>971</v>
      </c>
      <c r="B769" s="110" t="s">
        <v>1175</v>
      </c>
      <c r="C769" s="110" t="s">
        <v>976</v>
      </c>
      <c r="D769" s="110" t="s">
        <v>999</v>
      </c>
      <c r="E769" s="110" t="s">
        <v>1178</v>
      </c>
      <c r="F769" s="119">
        <v>45718</v>
      </c>
      <c r="G769" s="120">
        <v>210.71</v>
      </c>
      <c r="H769" s="121">
        <f>G769</f>
        <v>210.71</v>
      </c>
      <c r="I769" s="121"/>
      <c r="J769" s="120">
        <v>210.71</v>
      </c>
      <c r="K769" s="121">
        <f>G769-J769</f>
        <v>0</v>
      </c>
      <c r="L769" s="110"/>
    </row>
    <row r="770" spans="1:12" hidden="1" outlineLevel="3">
      <c r="A770" s="110" t="s">
        <v>971</v>
      </c>
      <c r="B770" s="110" t="s">
        <v>1175</v>
      </c>
      <c r="C770" s="110" t="s">
        <v>400</v>
      </c>
      <c r="D770" s="110" t="s">
        <v>1141</v>
      </c>
      <c r="E770" s="110" t="s">
        <v>1177</v>
      </c>
      <c r="F770" s="119">
        <v>45717</v>
      </c>
      <c r="G770" s="120">
        <v>3145.0012000000002</v>
      </c>
      <c r="H770" s="121">
        <f>G770</f>
        <v>3145.0012000000002</v>
      </c>
      <c r="I770" s="121"/>
      <c r="J770" s="120">
        <v>3145.0012000000002</v>
      </c>
      <c r="K770" s="121">
        <f>G770-J770</f>
        <v>0</v>
      </c>
      <c r="L770" s="110"/>
    </row>
    <row r="771" spans="1:12" outlineLevel="2" collapsed="1">
      <c r="A771" s="110"/>
      <c r="B771" s="106" t="s">
        <v>1179</v>
      </c>
      <c r="C771" s="110"/>
      <c r="D771" s="110"/>
      <c r="E771" s="110"/>
      <c r="F771" s="119"/>
      <c r="G771" s="120">
        <f>SUBTOTAL(9,G766:G770)</f>
        <v>3640.5</v>
      </c>
      <c r="H771" s="121"/>
      <c r="I771" s="121"/>
      <c r="J771" s="120">
        <f>SUBTOTAL(9,J766:J770)</f>
        <v>3633.5</v>
      </c>
      <c r="K771" s="121">
        <f>SUBTOTAL(9,K766:K770)</f>
        <v>7</v>
      </c>
      <c r="L771" s="110"/>
    </row>
    <row r="772" spans="1:12" hidden="1" outlineLevel="3">
      <c r="A772" s="110" t="s">
        <v>971</v>
      </c>
      <c r="B772" s="110" t="s">
        <v>1180</v>
      </c>
      <c r="C772" s="110" t="s">
        <v>405</v>
      </c>
      <c r="D772" s="110" t="s">
        <v>1181</v>
      </c>
      <c r="E772" s="110" t="s">
        <v>1182</v>
      </c>
      <c r="F772" s="119">
        <v>45717</v>
      </c>
      <c r="G772" s="120">
        <v>1.7927999999999999</v>
      </c>
      <c r="H772" s="121">
        <f>G772</f>
        <v>1.7927999999999999</v>
      </c>
      <c r="I772" s="121"/>
      <c r="J772" s="120">
        <v>1.7927999999999999</v>
      </c>
      <c r="K772" s="121">
        <f>G772-J772</f>
        <v>0</v>
      </c>
      <c r="L772" s="110"/>
    </row>
    <row r="773" spans="1:12" hidden="1" outlineLevel="3">
      <c r="A773" s="110" t="s">
        <v>971</v>
      </c>
      <c r="B773" s="110" t="s">
        <v>1180</v>
      </c>
      <c r="C773" s="110" t="s">
        <v>396</v>
      </c>
      <c r="D773" s="110" t="s">
        <v>396</v>
      </c>
      <c r="E773" s="110" t="s">
        <v>1182</v>
      </c>
      <c r="F773" s="119">
        <v>45717</v>
      </c>
      <c r="G773" s="120">
        <v>562</v>
      </c>
      <c r="H773" s="121">
        <f>G773</f>
        <v>562</v>
      </c>
      <c r="I773" s="121"/>
      <c r="J773" s="120">
        <v>562</v>
      </c>
      <c r="K773" s="121">
        <f>G773-J773</f>
        <v>0</v>
      </c>
      <c r="L773" s="110"/>
    </row>
    <row r="774" spans="1:12" hidden="1" outlineLevel="3">
      <c r="A774" s="110" t="s">
        <v>971</v>
      </c>
      <c r="B774" s="110" t="s">
        <v>1180</v>
      </c>
      <c r="C774" s="110" t="s">
        <v>400</v>
      </c>
      <c r="D774" s="110" t="s">
        <v>400</v>
      </c>
      <c r="E774" s="110" t="s">
        <v>1182</v>
      </c>
      <c r="F774" s="119">
        <v>45717</v>
      </c>
      <c r="G774" s="120">
        <v>1916.5</v>
      </c>
      <c r="H774" s="121">
        <f>G774</f>
        <v>1916.5</v>
      </c>
      <c r="I774" s="121"/>
      <c r="J774" s="120">
        <v>1916.5</v>
      </c>
      <c r="K774" s="121">
        <f>G774-J774</f>
        <v>0</v>
      </c>
      <c r="L774" s="110"/>
    </row>
    <row r="775" spans="1:12" outlineLevel="2" collapsed="1">
      <c r="A775" s="110"/>
      <c r="B775" s="106" t="s">
        <v>1183</v>
      </c>
      <c r="C775" s="110"/>
      <c r="D775" s="110"/>
      <c r="E775" s="110"/>
      <c r="F775" s="119"/>
      <c r="G775" s="120">
        <f>SUBTOTAL(9,G772:G774)</f>
        <v>2480.2928000000002</v>
      </c>
      <c r="H775" s="121"/>
      <c r="I775" s="121"/>
      <c r="J775" s="120">
        <f>SUBTOTAL(9,J772:J774)</f>
        <v>2480.2928000000002</v>
      </c>
      <c r="K775" s="121">
        <f>SUBTOTAL(9,K772:K774)</f>
        <v>0</v>
      </c>
      <c r="L775" s="110"/>
    </row>
    <row r="776" spans="1:12" hidden="1" outlineLevel="3">
      <c r="A776" s="110" t="s">
        <v>971</v>
      </c>
      <c r="B776" s="110" t="s">
        <v>1184</v>
      </c>
      <c r="C776" s="110" t="s">
        <v>980</v>
      </c>
      <c r="D776" s="110" t="s">
        <v>1185</v>
      </c>
      <c r="E776" s="110" t="s">
        <v>1186</v>
      </c>
      <c r="F776" s="119">
        <v>45717</v>
      </c>
      <c r="G776" s="120">
        <v>298.37</v>
      </c>
      <c r="H776" s="121">
        <f>G776</f>
        <v>298.37</v>
      </c>
      <c r="I776" s="121"/>
      <c r="J776" s="120">
        <v>298.37</v>
      </c>
      <c r="K776" s="121">
        <f>G776-J776</f>
        <v>0</v>
      </c>
      <c r="L776" s="110"/>
    </row>
    <row r="777" spans="1:12" hidden="1" outlineLevel="3">
      <c r="A777" s="110" t="s">
        <v>971</v>
      </c>
      <c r="B777" s="110" t="s">
        <v>1184</v>
      </c>
      <c r="C777" s="110" t="s">
        <v>976</v>
      </c>
      <c r="D777" s="110" t="s">
        <v>1187</v>
      </c>
      <c r="E777" s="110" t="s">
        <v>1188</v>
      </c>
      <c r="F777" s="119">
        <v>45718</v>
      </c>
      <c r="G777" s="120">
        <v>1265</v>
      </c>
      <c r="H777" s="121">
        <f>G777</f>
        <v>1265</v>
      </c>
      <c r="I777" s="121"/>
      <c r="J777" s="120">
        <v>1265</v>
      </c>
      <c r="K777" s="121">
        <f>G777-J777</f>
        <v>0</v>
      </c>
      <c r="L777" s="110"/>
    </row>
    <row r="778" spans="1:12" outlineLevel="2" collapsed="1">
      <c r="A778" s="110"/>
      <c r="B778" s="106" t="s">
        <v>1189</v>
      </c>
      <c r="C778" s="110"/>
      <c r="D778" s="110"/>
      <c r="E778" s="110"/>
      <c r="F778" s="119"/>
      <c r="G778" s="120">
        <f>SUBTOTAL(9,G776:G777)</f>
        <v>1563.37</v>
      </c>
      <c r="H778" s="121"/>
      <c r="I778" s="121"/>
      <c r="J778" s="120">
        <f>SUBTOTAL(9,J776:J777)</f>
        <v>1563.37</v>
      </c>
      <c r="K778" s="121">
        <f>SUBTOTAL(9,K776:K777)</f>
        <v>0</v>
      </c>
      <c r="L778" s="110"/>
    </row>
    <row r="779" spans="1:12" hidden="1" outlineLevel="3">
      <c r="A779" s="110" t="s">
        <v>971</v>
      </c>
      <c r="B779" s="110" t="s">
        <v>1190</v>
      </c>
      <c r="C779" s="110" t="s">
        <v>980</v>
      </c>
      <c r="D779" s="110" t="s">
        <v>988</v>
      </c>
      <c r="E779" s="110" t="s">
        <v>1191</v>
      </c>
      <c r="F779" s="119">
        <v>45717</v>
      </c>
      <c r="G779" s="120">
        <v>81.89</v>
      </c>
      <c r="H779" s="121">
        <f>G779</f>
        <v>81.89</v>
      </c>
      <c r="I779" s="121"/>
      <c r="J779" s="120">
        <v>81.89</v>
      </c>
      <c r="K779" s="121">
        <f>G779-J779</f>
        <v>0</v>
      </c>
      <c r="L779" s="110"/>
    </row>
    <row r="780" spans="1:12" hidden="1" outlineLevel="3">
      <c r="A780" s="110" t="s">
        <v>971</v>
      </c>
      <c r="B780" s="110" t="s">
        <v>1190</v>
      </c>
      <c r="C780" s="110" t="s">
        <v>405</v>
      </c>
      <c r="D780" s="110" t="s">
        <v>600</v>
      </c>
      <c r="E780" s="110" t="s">
        <v>1192</v>
      </c>
      <c r="F780" s="119">
        <v>45717</v>
      </c>
      <c r="G780" s="120">
        <v>62</v>
      </c>
      <c r="H780" s="121">
        <f>G780</f>
        <v>62</v>
      </c>
      <c r="I780" s="121"/>
      <c r="J780" s="120">
        <v>62</v>
      </c>
      <c r="K780" s="121">
        <f>G780-J780</f>
        <v>0</v>
      </c>
      <c r="L780" s="110"/>
    </row>
    <row r="781" spans="1:12" hidden="1" outlineLevel="3">
      <c r="A781" s="110" t="s">
        <v>971</v>
      </c>
      <c r="B781" s="110" t="s">
        <v>1190</v>
      </c>
      <c r="C781" s="110" t="s">
        <v>396</v>
      </c>
      <c r="D781" s="110" t="s">
        <v>601</v>
      </c>
      <c r="E781" s="110" t="s">
        <v>1192</v>
      </c>
      <c r="F781" s="119">
        <v>45717</v>
      </c>
      <c r="G781" s="120">
        <v>161</v>
      </c>
      <c r="H781" s="121">
        <f>G781</f>
        <v>161</v>
      </c>
      <c r="I781" s="121"/>
      <c r="J781" s="120">
        <v>217</v>
      </c>
      <c r="K781" s="121">
        <f>G781-J781</f>
        <v>-56</v>
      </c>
      <c r="L781" s="110"/>
    </row>
    <row r="782" spans="1:12" hidden="1" outlineLevel="3">
      <c r="A782" s="110" t="s">
        <v>971</v>
      </c>
      <c r="B782" s="110" t="s">
        <v>1190</v>
      </c>
      <c r="C782" s="110" t="s">
        <v>976</v>
      </c>
      <c r="D782" s="110" t="s">
        <v>999</v>
      </c>
      <c r="E782" s="110" t="s">
        <v>1193</v>
      </c>
      <c r="F782" s="119">
        <v>45718</v>
      </c>
      <c r="G782" s="120">
        <v>464.07</v>
      </c>
      <c r="H782" s="121">
        <f>G782</f>
        <v>464.07</v>
      </c>
      <c r="I782" s="121"/>
      <c r="J782" s="120">
        <v>464.07</v>
      </c>
      <c r="K782" s="121">
        <f>G782-J782</f>
        <v>0</v>
      </c>
      <c r="L782" s="110"/>
    </row>
    <row r="783" spans="1:12" hidden="1" outlineLevel="3">
      <c r="A783" s="110" t="s">
        <v>971</v>
      </c>
      <c r="B783" s="110" t="s">
        <v>1190</v>
      </c>
      <c r="C783" s="110" t="s">
        <v>400</v>
      </c>
      <c r="D783" s="110" t="s">
        <v>602</v>
      </c>
      <c r="E783" s="110" t="s">
        <v>1192</v>
      </c>
      <c r="F783" s="119">
        <v>45717</v>
      </c>
      <c r="G783" s="120">
        <v>1974.5</v>
      </c>
      <c r="H783" s="121">
        <f>G783</f>
        <v>1974.5</v>
      </c>
      <c r="I783" s="121"/>
      <c r="J783" s="120">
        <v>1974.5</v>
      </c>
      <c r="K783" s="121">
        <f>G783-J783</f>
        <v>0</v>
      </c>
      <c r="L783" s="110"/>
    </row>
    <row r="784" spans="1:12" outlineLevel="2" collapsed="1">
      <c r="A784" s="110"/>
      <c r="B784" s="106" t="s">
        <v>1194</v>
      </c>
      <c r="C784" s="110"/>
      <c r="D784" s="110"/>
      <c r="E784" s="110"/>
      <c r="F784" s="119"/>
      <c r="G784" s="120">
        <f>SUBTOTAL(9,G779:G783)</f>
        <v>2743.46</v>
      </c>
      <c r="H784" s="121"/>
      <c r="I784" s="121"/>
      <c r="J784" s="120">
        <f>SUBTOTAL(9,J779:J783)</f>
        <v>2799.46</v>
      </c>
      <c r="K784" s="121">
        <f>SUBTOTAL(9,K779:K783)</f>
        <v>-56</v>
      </c>
      <c r="L784" s="110"/>
    </row>
    <row r="785" spans="1:12" hidden="1" outlineLevel="3">
      <c r="A785" s="110" t="s">
        <v>971</v>
      </c>
      <c r="B785" s="110" t="s">
        <v>1195</v>
      </c>
      <c r="C785" s="110" t="s">
        <v>405</v>
      </c>
      <c r="D785" s="110" t="s">
        <v>1196</v>
      </c>
      <c r="E785" s="110" t="s">
        <v>1197</v>
      </c>
      <c r="F785" s="119">
        <v>45717</v>
      </c>
      <c r="G785" s="120">
        <v>2348.1</v>
      </c>
      <c r="H785" s="121">
        <f>G785</f>
        <v>2348.1</v>
      </c>
      <c r="I785" s="121"/>
      <c r="J785" s="120">
        <v>2348.1</v>
      </c>
      <c r="K785" s="121">
        <f>G785-J785</f>
        <v>0</v>
      </c>
      <c r="L785" s="110"/>
    </row>
    <row r="786" spans="1:12" outlineLevel="2" collapsed="1">
      <c r="A786" s="110"/>
      <c r="B786" s="106" t="s">
        <v>1198</v>
      </c>
      <c r="C786" s="110"/>
      <c r="D786" s="110"/>
      <c r="E786" s="110"/>
      <c r="F786" s="119"/>
      <c r="G786" s="120">
        <f>SUBTOTAL(9,G785:G785)</f>
        <v>2348.1</v>
      </c>
      <c r="H786" s="121"/>
      <c r="I786" s="121"/>
      <c r="J786" s="120">
        <f>SUBTOTAL(9,J785:J785)</f>
        <v>2348.1</v>
      </c>
      <c r="K786" s="121">
        <f>SUBTOTAL(9,K785:K785)</f>
        <v>0</v>
      </c>
      <c r="L786" s="110"/>
    </row>
    <row r="787" spans="1:12" hidden="1" outlineLevel="3">
      <c r="A787" s="110" t="s">
        <v>971</v>
      </c>
      <c r="B787" s="110" t="s">
        <v>1199</v>
      </c>
      <c r="C787" s="110" t="s">
        <v>405</v>
      </c>
      <c r="D787" s="110" t="s">
        <v>836</v>
      </c>
      <c r="E787" s="110" t="s">
        <v>1200</v>
      </c>
      <c r="F787" s="119">
        <v>45717</v>
      </c>
      <c r="G787" s="120">
        <v>133.5556</v>
      </c>
      <c r="H787" s="121">
        <f>G787</f>
        <v>133.5556</v>
      </c>
      <c r="I787" s="121"/>
      <c r="J787" s="120">
        <v>133.68700000000001</v>
      </c>
      <c r="K787" s="121">
        <f>G787-J787</f>
        <v>-0.13140000000001351</v>
      </c>
      <c r="L787" s="110"/>
    </row>
    <row r="788" spans="1:12" hidden="1" outlineLevel="3">
      <c r="A788" s="110" t="s">
        <v>971</v>
      </c>
      <c r="B788" s="110" t="s">
        <v>1199</v>
      </c>
      <c r="C788" s="110" t="s">
        <v>396</v>
      </c>
      <c r="D788" s="110" t="s">
        <v>1095</v>
      </c>
      <c r="E788" s="110" t="s">
        <v>1200</v>
      </c>
      <c r="F788" s="119">
        <v>45717</v>
      </c>
      <c r="G788" s="120">
        <v>105</v>
      </c>
      <c r="H788" s="121">
        <f>G788</f>
        <v>105</v>
      </c>
      <c r="I788" s="121"/>
      <c r="J788" s="120">
        <v>105</v>
      </c>
      <c r="K788" s="121">
        <f>G788-J788</f>
        <v>0</v>
      </c>
      <c r="L788" s="110"/>
    </row>
    <row r="789" spans="1:12" hidden="1" outlineLevel="3">
      <c r="A789" s="110" t="s">
        <v>971</v>
      </c>
      <c r="B789" s="110" t="s">
        <v>1199</v>
      </c>
      <c r="C789" s="110" t="s">
        <v>400</v>
      </c>
      <c r="D789" s="110" t="s">
        <v>1097</v>
      </c>
      <c r="E789" s="110" t="s">
        <v>1200</v>
      </c>
      <c r="F789" s="119">
        <v>45717</v>
      </c>
      <c r="G789" s="120">
        <v>1430.0044</v>
      </c>
      <c r="H789" s="121">
        <f>G789</f>
        <v>1430.0044</v>
      </c>
      <c r="I789" s="121"/>
      <c r="J789" s="120">
        <v>1430.0029999999999</v>
      </c>
      <c r="K789" s="121">
        <f>G789-J789</f>
        <v>1.4000000001033186E-3</v>
      </c>
      <c r="L789" s="110"/>
    </row>
    <row r="790" spans="1:12" outlineLevel="2" collapsed="1">
      <c r="A790" s="110"/>
      <c r="B790" s="106" t="s">
        <v>1201</v>
      </c>
      <c r="C790" s="110"/>
      <c r="D790" s="110"/>
      <c r="E790" s="110"/>
      <c r="F790" s="119"/>
      <c r="G790" s="120">
        <f>SUBTOTAL(9,G787:G789)</f>
        <v>1668.56</v>
      </c>
      <c r="H790" s="121"/>
      <c r="I790" s="121"/>
      <c r="J790" s="120">
        <f>SUBTOTAL(9,J787:J789)</f>
        <v>1668.69</v>
      </c>
      <c r="K790" s="121">
        <f>SUBTOTAL(9,K787:K789)</f>
        <v>-0.12999999999991019</v>
      </c>
      <c r="L790" s="110"/>
    </row>
    <row r="791" spans="1:12" hidden="1" outlineLevel="3">
      <c r="A791" s="110" t="s">
        <v>971</v>
      </c>
      <c r="B791" s="110" t="s">
        <v>1202</v>
      </c>
      <c r="C791" s="110" t="s">
        <v>400</v>
      </c>
      <c r="D791" s="110" t="s">
        <v>1203</v>
      </c>
      <c r="E791" s="110" t="s">
        <v>1204</v>
      </c>
      <c r="F791" s="119">
        <v>45717</v>
      </c>
      <c r="G791" s="120">
        <v>1764</v>
      </c>
      <c r="H791" s="121">
        <f>G791</f>
        <v>1764</v>
      </c>
      <c r="I791" s="121"/>
      <c r="J791" s="120">
        <v>1764</v>
      </c>
      <c r="K791" s="121">
        <f>G791-J791</f>
        <v>0</v>
      </c>
      <c r="L791" s="110"/>
    </row>
    <row r="792" spans="1:12" hidden="1" outlineLevel="3">
      <c r="A792" s="110" t="s">
        <v>971</v>
      </c>
      <c r="B792" s="110" t="s">
        <v>1202</v>
      </c>
      <c r="C792" s="110" t="s">
        <v>405</v>
      </c>
      <c r="D792" s="110" t="s">
        <v>836</v>
      </c>
      <c r="E792" s="106"/>
      <c r="F792" s="126"/>
      <c r="G792" s="127"/>
      <c r="H792" s="128">
        <f>G792</f>
        <v>0</v>
      </c>
      <c r="I792" s="128"/>
      <c r="J792" s="129">
        <v>50</v>
      </c>
      <c r="K792" s="128">
        <f>G792-J792</f>
        <v>-50</v>
      </c>
      <c r="L792" s="110" t="s">
        <v>1205</v>
      </c>
    </row>
    <row r="793" spans="1:12" hidden="1" outlineLevel="3">
      <c r="A793" s="110" t="s">
        <v>971</v>
      </c>
      <c r="B793" s="110" t="s">
        <v>1202</v>
      </c>
      <c r="C793" s="110" t="s">
        <v>396</v>
      </c>
      <c r="D793" s="110" t="s">
        <v>1095</v>
      </c>
      <c r="E793" s="110"/>
      <c r="F793" s="119"/>
      <c r="G793" s="129"/>
      <c r="H793" s="128">
        <f>G793</f>
        <v>0</v>
      </c>
      <c r="I793" s="128"/>
      <c r="J793" s="129">
        <v>409.5</v>
      </c>
      <c r="K793" s="128">
        <f>G793-J793</f>
        <v>-409.5</v>
      </c>
      <c r="L793" s="110"/>
    </row>
    <row r="794" spans="1:12" outlineLevel="2" collapsed="1">
      <c r="A794" s="110"/>
      <c r="B794" s="106" t="s">
        <v>1206</v>
      </c>
      <c r="C794" s="110"/>
      <c r="D794" s="110"/>
      <c r="E794" s="110"/>
      <c r="F794" s="119"/>
      <c r="G794" s="129">
        <f>SUBTOTAL(9,G791:G793)</f>
        <v>1764</v>
      </c>
      <c r="H794" s="128"/>
      <c r="I794" s="128"/>
      <c r="J794" s="129">
        <f>SUBTOTAL(9,J791:J793)</f>
        <v>2223.5</v>
      </c>
      <c r="K794" s="128">
        <f>SUBTOTAL(9,K791:K793)</f>
        <v>-459.5</v>
      </c>
      <c r="L794" s="110" t="s">
        <v>1205</v>
      </c>
    </row>
    <row r="795" spans="1:12" hidden="1" outlineLevel="3">
      <c r="A795" s="110" t="s">
        <v>971</v>
      </c>
      <c r="B795" s="110" t="s">
        <v>1207</v>
      </c>
      <c r="C795" s="110" t="s">
        <v>980</v>
      </c>
      <c r="D795" s="110" t="s">
        <v>988</v>
      </c>
      <c r="E795" s="110" t="s">
        <v>1208</v>
      </c>
      <c r="F795" s="119">
        <v>45717</v>
      </c>
      <c r="G795" s="120">
        <v>100.5</v>
      </c>
      <c r="H795" s="121">
        <f>G795</f>
        <v>100.5</v>
      </c>
      <c r="I795" s="121"/>
      <c r="J795" s="120">
        <v>100.5</v>
      </c>
      <c r="K795" s="121">
        <f>G795-J795</f>
        <v>0</v>
      </c>
      <c r="L795" s="110"/>
    </row>
    <row r="796" spans="1:12" hidden="1" outlineLevel="3">
      <c r="A796" s="110" t="s">
        <v>971</v>
      </c>
      <c r="B796" s="110" t="s">
        <v>1207</v>
      </c>
      <c r="C796" s="110" t="s">
        <v>405</v>
      </c>
      <c r="D796" s="110" t="s">
        <v>1209</v>
      </c>
      <c r="E796" s="110" t="s">
        <v>1210</v>
      </c>
      <c r="F796" s="119">
        <v>45717</v>
      </c>
      <c r="G796" s="120">
        <v>115.761</v>
      </c>
      <c r="H796" s="121">
        <f>G796</f>
        <v>115.761</v>
      </c>
      <c r="I796" s="121"/>
      <c r="J796" s="120">
        <v>264.07339999999999</v>
      </c>
      <c r="K796" s="121">
        <f>G796-J796</f>
        <v>-148.3124</v>
      </c>
      <c r="L796" s="110" t="s">
        <v>1211</v>
      </c>
    </row>
    <row r="797" spans="1:12" hidden="1" outlineLevel="3">
      <c r="A797" s="110" t="s">
        <v>971</v>
      </c>
      <c r="B797" s="110" t="s">
        <v>1207</v>
      </c>
      <c r="C797" s="110" t="s">
        <v>976</v>
      </c>
      <c r="D797" s="110" t="s">
        <v>999</v>
      </c>
      <c r="E797" s="110" t="s">
        <v>1212</v>
      </c>
      <c r="F797" s="119">
        <v>45718</v>
      </c>
      <c r="G797" s="120">
        <v>569.5</v>
      </c>
      <c r="H797" s="121">
        <f>G797</f>
        <v>569.5</v>
      </c>
      <c r="I797" s="121"/>
      <c r="J797" s="120">
        <v>569.5</v>
      </c>
      <c r="K797" s="121">
        <f>G797-J797</f>
        <v>0</v>
      </c>
      <c r="L797" s="110"/>
    </row>
    <row r="798" spans="1:12" hidden="1" outlineLevel="3">
      <c r="A798" s="110" t="s">
        <v>971</v>
      </c>
      <c r="B798" s="110" t="s">
        <v>1207</v>
      </c>
      <c r="C798" s="110" t="s">
        <v>400</v>
      </c>
      <c r="D798" s="110" t="s">
        <v>400</v>
      </c>
      <c r="E798" s="110" t="s">
        <v>1210</v>
      </c>
      <c r="F798" s="119">
        <v>45717</v>
      </c>
      <c r="G798" s="120">
        <v>149</v>
      </c>
      <c r="H798" s="121">
        <f>G798</f>
        <v>149</v>
      </c>
      <c r="I798" s="121"/>
      <c r="J798" s="120">
        <v>0</v>
      </c>
      <c r="K798" s="121">
        <f>G798-J798</f>
        <v>149</v>
      </c>
      <c r="L798" s="110" t="s">
        <v>1213</v>
      </c>
    </row>
    <row r="799" spans="1:12" outlineLevel="2" collapsed="1">
      <c r="A799" s="110"/>
      <c r="B799" s="106" t="s">
        <v>1214</v>
      </c>
      <c r="C799" s="110"/>
      <c r="D799" s="110"/>
      <c r="E799" s="110"/>
      <c r="F799" s="119"/>
      <c r="G799" s="120">
        <f>SUBTOTAL(9,G795:G798)</f>
        <v>934.76099999999997</v>
      </c>
      <c r="H799" s="121"/>
      <c r="I799" s="121"/>
      <c r="J799" s="120">
        <f>SUBTOTAL(9,J795:J798)</f>
        <v>934.07339999999999</v>
      </c>
      <c r="K799" s="121">
        <f>SUBTOTAL(9,K795:K798)</f>
        <v>0.68760000000000332</v>
      </c>
      <c r="L799" s="110"/>
    </row>
    <row r="800" spans="1:12" hidden="1" outlineLevel="3">
      <c r="A800" s="110" t="s">
        <v>971</v>
      </c>
      <c r="B800" s="110" t="s">
        <v>1215</v>
      </c>
      <c r="C800" s="110" t="s">
        <v>408</v>
      </c>
      <c r="D800" s="110" t="s">
        <v>1216</v>
      </c>
      <c r="E800" s="110"/>
      <c r="F800" s="110"/>
      <c r="G800" s="129"/>
      <c r="H800" s="128">
        <f>G800</f>
        <v>0</v>
      </c>
      <c r="I800" s="128"/>
      <c r="J800" s="129">
        <v>99</v>
      </c>
      <c r="K800" s="128">
        <f>G800-J800</f>
        <v>-99</v>
      </c>
      <c r="L800" s="110"/>
    </row>
    <row r="801" spans="1:12" outlineLevel="2" collapsed="1">
      <c r="A801" s="110"/>
      <c r="B801" s="106" t="s">
        <v>1217</v>
      </c>
      <c r="C801" s="110"/>
      <c r="D801" s="110"/>
      <c r="E801" s="110"/>
      <c r="F801" s="110"/>
      <c r="G801" s="129">
        <f>SUBTOTAL(9,G800:G800)</f>
        <v>0</v>
      </c>
      <c r="H801" s="128"/>
      <c r="I801" s="128"/>
      <c r="J801" s="129">
        <f>SUBTOTAL(9,J800:J800)</f>
        <v>99</v>
      </c>
      <c r="K801" s="128">
        <f>SUBTOTAL(9,K800:K800)</f>
        <v>-99</v>
      </c>
      <c r="L801" s="110"/>
    </row>
    <row r="802" spans="1:12" hidden="1" outlineLevel="3">
      <c r="A802" s="110" t="s">
        <v>971</v>
      </c>
      <c r="B802" s="110" t="s">
        <v>1218</v>
      </c>
      <c r="C802" s="110" t="s">
        <v>400</v>
      </c>
      <c r="D802" s="110" t="s">
        <v>1219</v>
      </c>
      <c r="E802" s="110" t="s">
        <v>1220</v>
      </c>
      <c r="F802" s="119">
        <v>45717</v>
      </c>
      <c r="G802" s="120">
        <v>544</v>
      </c>
      <c r="H802" s="121">
        <f>G802</f>
        <v>544</v>
      </c>
      <c r="I802" s="121"/>
      <c r="J802" s="120">
        <v>544</v>
      </c>
      <c r="K802" s="121">
        <f>G802-J802</f>
        <v>0</v>
      </c>
      <c r="L802" s="110"/>
    </row>
    <row r="803" spans="1:12" outlineLevel="2" collapsed="1">
      <c r="A803" s="110"/>
      <c r="B803" s="106" t="s">
        <v>1221</v>
      </c>
      <c r="C803" s="110"/>
      <c r="D803" s="110"/>
      <c r="E803" s="110"/>
      <c r="F803" s="119"/>
      <c r="G803" s="120">
        <f>SUBTOTAL(9,G802:G802)</f>
        <v>544</v>
      </c>
      <c r="H803" s="121"/>
      <c r="I803" s="121"/>
      <c r="J803" s="120">
        <f>SUBTOTAL(9,J802:J802)</f>
        <v>544</v>
      </c>
      <c r="K803" s="121">
        <f>SUBTOTAL(9,K802:K802)</f>
        <v>0</v>
      </c>
      <c r="L803" s="110"/>
    </row>
    <row r="804" spans="1:12" hidden="1" outlineLevel="3">
      <c r="A804" s="110" t="s">
        <v>971</v>
      </c>
      <c r="B804" s="110" t="s">
        <v>1222</v>
      </c>
      <c r="C804" s="110" t="s">
        <v>405</v>
      </c>
      <c r="D804" s="110" t="s">
        <v>1223</v>
      </c>
      <c r="E804" s="110" t="s">
        <v>1224</v>
      </c>
      <c r="F804" s="119">
        <v>45717</v>
      </c>
      <c r="G804" s="120">
        <v>255</v>
      </c>
      <c r="H804" s="121">
        <f>G804</f>
        <v>255</v>
      </c>
      <c r="I804" s="121"/>
      <c r="J804" s="120">
        <v>255</v>
      </c>
      <c r="K804" s="121">
        <f>G804-J804</f>
        <v>0</v>
      </c>
      <c r="L804" s="110"/>
    </row>
    <row r="805" spans="1:12" hidden="1" outlineLevel="3">
      <c r="A805" s="110" t="s">
        <v>971</v>
      </c>
      <c r="B805" s="110" t="s">
        <v>1222</v>
      </c>
      <c r="C805" s="110" t="s">
        <v>400</v>
      </c>
      <c r="D805" s="110" t="s">
        <v>400</v>
      </c>
      <c r="E805" s="110" t="s">
        <v>1225</v>
      </c>
      <c r="F805" s="119">
        <v>45717</v>
      </c>
      <c r="G805" s="120">
        <v>2490</v>
      </c>
      <c r="H805" s="121">
        <f>G805</f>
        <v>2490</v>
      </c>
      <c r="I805" s="121"/>
      <c r="J805" s="120">
        <v>2490</v>
      </c>
      <c r="K805" s="121">
        <f>G805-J805</f>
        <v>0</v>
      </c>
      <c r="L805" s="110"/>
    </row>
    <row r="806" spans="1:12" outlineLevel="2" collapsed="1">
      <c r="A806" s="110"/>
      <c r="B806" s="106" t="s">
        <v>1226</v>
      </c>
      <c r="C806" s="110"/>
      <c r="D806" s="110"/>
      <c r="E806" s="110"/>
      <c r="F806" s="119"/>
      <c r="G806" s="120">
        <f>SUBTOTAL(9,G804:G805)</f>
        <v>2745</v>
      </c>
      <c r="H806" s="121"/>
      <c r="I806" s="121"/>
      <c r="J806" s="120">
        <f>SUBTOTAL(9,J804:J805)</f>
        <v>2745</v>
      </c>
      <c r="K806" s="121">
        <f>SUBTOTAL(9,K804:K805)</f>
        <v>0</v>
      </c>
      <c r="L806" s="110"/>
    </row>
    <row r="807" spans="1:12" hidden="1" outlineLevel="3">
      <c r="A807" s="110" t="s">
        <v>971</v>
      </c>
      <c r="B807" s="110" t="s">
        <v>1227</v>
      </c>
      <c r="C807" s="110" t="s">
        <v>980</v>
      </c>
      <c r="D807" s="110" t="s">
        <v>988</v>
      </c>
      <c r="E807" s="110" t="s">
        <v>1228</v>
      </c>
      <c r="F807" s="119">
        <v>45717</v>
      </c>
      <c r="G807" s="120">
        <v>73.31</v>
      </c>
      <c r="H807" s="121">
        <f t="shared" ref="H807:H812" si="12">G807</f>
        <v>73.31</v>
      </c>
      <c r="I807" s="121"/>
      <c r="J807" s="120">
        <v>73.31</v>
      </c>
      <c r="K807" s="121">
        <f t="shared" ref="K807:K812" si="13">G807-J807</f>
        <v>0</v>
      </c>
      <c r="L807" s="110"/>
    </row>
    <row r="808" spans="1:12" hidden="1" outlineLevel="3">
      <c r="A808" s="110" t="s">
        <v>971</v>
      </c>
      <c r="B808" s="110" t="s">
        <v>1227</v>
      </c>
      <c r="C808" s="110" t="s">
        <v>408</v>
      </c>
      <c r="D808" s="110" t="s">
        <v>743</v>
      </c>
      <c r="E808" s="110" t="s">
        <v>1229</v>
      </c>
      <c r="F808" s="119">
        <v>45717</v>
      </c>
      <c r="G808" s="120">
        <v>261</v>
      </c>
      <c r="H808" s="121">
        <f t="shared" si="12"/>
        <v>261</v>
      </c>
      <c r="I808" s="121"/>
      <c r="J808" s="120">
        <v>261</v>
      </c>
      <c r="K808" s="121">
        <f t="shared" si="13"/>
        <v>0</v>
      </c>
      <c r="L808" s="110"/>
    </row>
    <row r="809" spans="1:12" hidden="1" outlineLevel="3">
      <c r="A809" s="110" t="s">
        <v>971</v>
      </c>
      <c r="B809" s="110" t="s">
        <v>1227</v>
      </c>
      <c r="C809" s="110" t="s">
        <v>405</v>
      </c>
      <c r="D809" s="110" t="s">
        <v>1230</v>
      </c>
      <c r="E809" s="110" t="s">
        <v>1229</v>
      </c>
      <c r="F809" s="119">
        <v>45717</v>
      </c>
      <c r="G809" s="120">
        <v>117.5224</v>
      </c>
      <c r="H809" s="121">
        <f t="shared" si="12"/>
        <v>117.5224</v>
      </c>
      <c r="I809" s="121"/>
      <c r="J809" s="120">
        <v>116.6944</v>
      </c>
      <c r="K809" s="121">
        <f t="shared" si="13"/>
        <v>0.82800000000000296</v>
      </c>
      <c r="L809" s="110"/>
    </row>
    <row r="810" spans="1:12" hidden="1" outlineLevel="3">
      <c r="A810" s="110" t="s">
        <v>971</v>
      </c>
      <c r="B810" s="110" t="s">
        <v>1227</v>
      </c>
      <c r="C810" s="110" t="s">
        <v>396</v>
      </c>
      <c r="D810" s="110" t="s">
        <v>1231</v>
      </c>
      <c r="E810" s="110" t="s">
        <v>1229</v>
      </c>
      <c r="F810" s="119">
        <v>45717</v>
      </c>
      <c r="G810" s="120">
        <v>338</v>
      </c>
      <c r="H810" s="121">
        <f t="shared" si="12"/>
        <v>338</v>
      </c>
      <c r="I810" s="121"/>
      <c r="J810" s="120">
        <v>338</v>
      </c>
      <c r="K810" s="121">
        <f t="shared" si="13"/>
        <v>0</v>
      </c>
      <c r="L810" s="110"/>
    </row>
    <row r="811" spans="1:12" hidden="1" outlineLevel="3">
      <c r="A811" s="110" t="s">
        <v>971</v>
      </c>
      <c r="B811" s="110" t="s">
        <v>1227</v>
      </c>
      <c r="C811" s="110" t="s">
        <v>976</v>
      </c>
      <c r="D811" s="110" t="s">
        <v>999</v>
      </c>
      <c r="E811" s="110" t="s">
        <v>1232</v>
      </c>
      <c r="F811" s="119">
        <v>45718</v>
      </c>
      <c r="G811" s="120">
        <v>415.44</v>
      </c>
      <c r="H811" s="121">
        <f t="shared" si="12"/>
        <v>415.44</v>
      </c>
      <c r="I811" s="121"/>
      <c r="J811" s="120">
        <v>415.44</v>
      </c>
      <c r="K811" s="121">
        <f t="shared" si="13"/>
        <v>0</v>
      </c>
      <c r="L811" s="110"/>
    </row>
    <row r="812" spans="1:12" hidden="1" outlineLevel="3">
      <c r="A812" s="110" t="s">
        <v>971</v>
      </c>
      <c r="B812" s="110" t="s">
        <v>1227</v>
      </c>
      <c r="C812" s="110" t="s">
        <v>400</v>
      </c>
      <c r="D812" s="110" t="s">
        <v>1233</v>
      </c>
      <c r="E812" s="110" t="s">
        <v>1229</v>
      </c>
      <c r="F812" s="119">
        <v>45717</v>
      </c>
      <c r="G812" s="120">
        <v>2906</v>
      </c>
      <c r="H812" s="121">
        <f t="shared" si="12"/>
        <v>2906</v>
      </c>
      <c r="I812" s="121"/>
      <c r="J812" s="120">
        <v>2906</v>
      </c>
      <c r="K812" s="121">
        <f t="shared" si="13"/>
        <v>0</v>
      </c>
      <c r="L812" s="110"/>
    </row>
    <row r="813" spans="1:12" outlineLevel="2" collapsed="1">
      <c r="A813" s="110"/>
      <c r="B813" s="106" t="s">
        <v>1234</v>
      </c>
      <c r="C813" s="110"/>
      <c r="D813" s="110"/>
      <c r="E813" s="110"/>
      <c r="F813" s="119"/>
      <c r="G813" s="120">
        <f>SUBTOTAL(9,G807:G812)</f>
        <v>4111.2723999999998</v>
      </c>
      <c r="H813" s="121"/>
      <c r="I813" s="121"/>
      <c r="J813" s="120">
        <f>SUBTOTAL(9,J807:J812)</f>
        <v>4110.4444000000003</v>
      </c>
      <c r="K813" s="121">
        <f>SUBTOTAL(9,K807:K812)</f>
        <v>0.82800000000000296</v>
      </c>
      <c r="L813" s="110"/>
    </row>
    <row r="814" spans="1:12" hidden="1" outlineLevel="3">
      <c r="A814" s="110" t="s">
        <v>971</v>
      </c>
      <c r="B814" s="110" t="s">
        <v>1235</v>
      </c>
      <c r="C814" s="110" t="s">
        <v>396</v>
      </c>
      <c r="D814" s="110" t="s">
        <v>396</v>
      </c>
      <c r="E814" s="110" t="s">
        <v>1236</v>
      </c>
      <c r="F814" s="119">
        <v>45717</v>
      </c>
      <c r="G814" s="120">
        <v>126</v>
      </c>
      <c r="H814" s="121">
        <f>G814</f>
        <v>126</v>
      </c>
      <c r="I814" s="121"/>
      <c r="J814" s="120">
        <v>126</v>
      </c>
      <c r="K814" s="121">
        <f>G814-J814</f>
        <v>0</v>
      </c>
      <c r="L814" s="110"/>
    </row>
    <row r="815" spans="1:12" hidden="1" outlineLevel="3">
      <c r="A815" s="110" t="s">
        <v>971</v>
      </c>
      <c r="B815" s="110" t="s">
        <v>1235</v>
      </c>
      <c r="C815" s="110" t="s">
        <v>400</v>
      </c>
      <c r="D815" s="110" t="s">
        <v>400</v>
      </c>
      <c r="E815" s="110" t="s">
        <v>1236</v>
      </c>
      <c r="F815" s="119">
        <v>45717</v>
      </c>
      <c r="G815" s="120">
        <v>1012.25</v>
      </c>
      <c r="H815" s="121">
        <f>G815</f>
        <v>1012.25</v>
      </c>
      <c r="I815" s="121"/>
      <c r="J815" s="120">
        <v>1012.25</v>
      </c>
      <c r="K815" s="121">
        <f>G815-J815</f>
        <v>0</v>
      </c>
      <c r="L815" s="110"/>
    </row>
    <row r="816" spans="1:12" outlineLevel="2" collapsed="1">
      <c r="A816" s="110"/>
      <c r="B816" s="106" t="s">
        <v>1237</v>
      </c>
      <c r="C816" s="110"/>
      <c r="D816" s="110"/>
      <c r="E816" s="110"/>
      <c r="F816" s="119"/>
      <c r="G816" s="120">
        <f>SUBTOTAL(9,G814:G815)</f>
        <v>1138.25</v>
      </c>
      <c r="H816" s="121"/>
      <c r="I816" s="121"/>
      <c r="J816" s="120">
        <f>SUBTOTAL(9,J814:J815)</f>
        <v>1138.25</v>
      </c>
      <c r="K816" s="121">
        <f>SUBTOTAL(9,K814:K815)</f>
        <v>0</v>
      </c>
      <c r="L816" s="110"/>
    </row>
    <row r="817" spans="1:12" hidden="1" outlineLevel="3">
      <c r="A817" s="110" t="s">
        <v>971</v>
      </c>
      <c r="B817" s="110" t="s">
        <v>1238</v>
      </c>
      <c r="C817" s="110" t="s">
        <v>405</v>
      </c>
      <c r="D817" s="110" t="s">
        <v>405</v>
      </c>
      <c r="E817" s="110" t="s">
        <v>1239</v>
      </c>
      <c r="F817" s="119">
        <v>45717</v>
      </c>
      <c r="G817" s="120">
        <v>457.8</v>
      </c>
      <c r="H817" s="121">
        <f>G817</f>
        <v>457.8</v>
      </c>
      <c r="I817" s="121"/>
      <c r="J817" s="120">
        <v>457.8</v>
      </c>
      <c r="K817" s="121">
        <f>G817-J817</f>
        <v>0</v>
      </c>
      <c r="L817" s="110"/>
    </row>
    <row r="818" spans="1:12" outlineLevel="2" collapsed="1">
      <c r="A818" s="110"/>
      <c r="B818" s="106" t="s">
        <v>1240</v>
      </c>
      <c r="C818" s="110"/>
      <c r="D818" s="110"/>
      <c r="E818" s="110"/>
      <c r="F818" s="119"/>
      <c r="G818" s="120">
        <f>SUBTOTAL(9,G817:G817)</f>
        <v>457.8</v>
      </c>
      <c r="H818" s="121"/>
      <c r="I818" s="121"/>
      <c r="J818" s="120">
        <f>SUBTOTAL(9,J817:J817)</f>
        <v>457.8</v>
      </c>
      <c r="K818" s="121">
        <f>SUBTOTAL(9,K817:K817)</f>
        <v>0</v>
      </c>
      <c r="L818" s="110"/>
    </row>
    <row r="819" spans="1:12" hidden="1" outlineLevel="3">
      <c r="A819" s="110" t="s">
        <v>971</v>
      </c>
      <c r="B819" s="110" t="s">
        <v>1241</v>
      </c>
      <c r="C819" s="110" t="s">
        <v>980</v>
      </c>
      <c r="D819" s="110" t="s">
        <v>1242</v>
      </c>
      <c r="E819" s="110" t="s">
        <v>1243</v>
      </c>
      <c r="F819" s="119">
        <v>45717</v>
      </c>
      <c r="G819" s="120">
        <v>108.2</v>
      </c>
      <c r="H819" s="121">
        <f>G819</f>
        <v>108.2</v>
      </c>
      <c r="I819" s="121"/>
      <c r="J819" s="120">
        <v>108.2</v>
      </c>
      <c r="K819" s="121">
        <f>G819-J819</f>
        <v>0</v>
      </c>
      <c r="L819" s="110"/>
    </row>
    <row r="820" spans="1:12" hidden="1" outlineLevel="3">
      <c r="A820" s="110" t="s">
        <v>971</v>
      </c>
      <c r="B820" s="110" t="s">
        <v>1241</v>
      </c>
      <c r="C820" s="110" t="s">
        <v>976</v>
      </c>
      <c r="D820" s="110" t="s">
        <v>1244</v>
      </c>
      <c r="E820" s="110" t="s">
        <v>1245</v>
      </c>
      <c r="F820" s="119">
        <v>45718</v>
      </c>
      <c r="G820" s="120">
        <v>162.30000000000001</v>
      </c>
      <c r="H820" s="121">
        <f>G820</f>
        <v>162.30000000000001</v>
      </c>
      <c r="I820" s="121"/>
      <c r="J820" s="120">
        <v>162.30000000000001</v>
      </c>
      <c r="K820" s="121">
        <f>G820-J820</f>
        <v>0</v>
      </c>
      <c r="L820" s="110"/>
    </row>
    <row r="821" spans="1:12" outlineLevel="2" collapsed="1">
      <c r="A821" s="110"/>
      <c r="B821" s="106" t="s">
        <v>1246</v>
      </c>
      <c r="C821" s="110"/>
      <c r="D821" s="110"/>
      <c r="E821" s="110"/>
      <c r="F821" s="119"/>
      <c r="G821" s="120">
        <f>SUBTOTAL(9,G819:G820)</f>
        <v>270.5</v>
      </c>
      <c r="H821" s="121"/>
      <c r="I821" s="121"/>
      <c r="J821" s="120">
        <f>SUBTOTAL(9,J819:J820)</f>
        <v>270.5</v>
      </c>
      <c r="K821" s="121">
        <f>SUBTOTAL(9,K819:K820)</f>
        <v>0</v>
      </c>
      <c r="L821" s="110"/>
    </row>
    <row r="822" spans="1:12" hidden="1" outlineLevel="3">
      <c r="A822" s="110" t="s">
        <v>971</v>
      </c>
      <c r="B822" s="110" t="s">
        <v>1247</v>
      </c>
      <c r="C822" s="110" t="s">
        <v>396</v>
      </c>
      <c r="D822" s="110" t="s">
        <v>1248</v>
      </c>
      <c r="E822" s="110" t="s">
        <v>1249</v>
      </c>
      <c r="F822" s="119">
        <v>45717</v>
      </c>
      <c r="G822" s="120">
        <v>494</v>
      </c>
      <c r="H822" s="121">
        <f>G822</f>
        <v>494</v>
      </c>
      <c r="I822" s="121"/>
      <c r="J822" s="120">
        <v>1294.02</v>
      </c>
      <c r="K822" s="121">
        <f>G822-J822</f>
        <v>-800.02</v>
      </c>
      <c r="L822" s="110" t="s">
        <v>1250</v>
      </c>
    </row>
    <row r="823" spans="1:12" hidden="1" outlineLevel="3">
      <c r="A823" s="110" t="s">
        <v>971</v>
      </c>
      <c r="B823" s="110" t="s">
        <v>1247</v>
      </c>
      <c r="C823" s="110" t="s">
        <v>400</v>
      </c>
      <c r="D823" s="110" t="s">
        <v>400</v>
      </c>
      <c r="E823" s="110" t="s">
        <v>1249</v>
      </c>
      <c r="F823" s="119">
        <v>45717</v>
      </c>
      <c r="G823" s="120">
        <v>4132.5200000000004</v>
      </c>
      <c r="H823" s="121">
        <f>G823</f>
        <v>4132.5200000000004</v>
      </c>
      <c r="I823" s="121"/>
      <c r="J823" s="120">
        <v>3313</v>
      </c>
      <c r="K823" s="121">
        <f>G823-J823</f>
        <v>819.52000000000044</v>
      </c>
      <c r="L823" s="110" t="s">
        <v>1251</v>
      </c>
    </row>
    <row r="824" spans="1:12" outlineLevel="2" collapsed="1">
      <c r="A824" s="110"/>
      <c r="B824" s="106" t="s">
        <v>1252</v>
      </c>
      <c r="C824" s="110"/>
      <c r="D824" s="110"/>
      <c r="E824" s="110"/>
      <c r="F824" s="119"/>
      <c r="G824" s="120">
        <f>SUBTOTAL(9,G822:G823)</f>
        <v>4626.5200000000004</v>
      </c>
      <c r="H824" s="121"/>
      <c r="I824" s="121"/>
      <c r="J824" s="120">
        <f>SUBTOTAL(9,J822:J823)</f>
        <v>4607.0200000000004</v>
      </c>
      <c r="K824" s="121">
        <f>SUBTOTAL(9,K822:K823)</f>
        <v>19.500000000000455</v>
      </c>
      <c r="L824" s="110"/>
    </row>
    <row r="825" spans="1:12" hidden="1" outlineLevel="3">
      <c r="A825" s="110" t="s">
        <v>971</v>
      </c>
      <c r="B825" s="110" t="s">
        <v>1253</v>
      </c>
      <c r="C825" s="110" t="s">
        <v>980</v>
      </c>
      <c r="D825" s="110" t="s">
        <v>988</v>
      </c>
      <c r="E825" s="110" t="s">
        <v>1254</v>
      </c>
      <c r="F825" s="119">
        <v>45717</v>
      </c>
      <c r="G825" s="120">
        <v>508.8</v>
      </c>
      <c r="H825" s="121">
        <f>G825</f>
        <v>508.8</v>
      </c>
      <c r="I825" s="121"/>
      <c r="J825" s="120">
        <v>508.8</v>
      </c>
      <c r="K825" s="121">
        <f>G825-J825</f>
        <v>0</v>
      </c>
      <c r="L825" s="110"/>
    </row>
    <row r="826" spans="1:12" hidden="1" outlineLevel="3">
      <c r="A826" s="110" t="s">
        <v>971</v>
      </c>
      <c r="B826" s="110" t="s">
        <v>1253</v>
      </c>
      <c r="C826" s="110" t="s">
        <v>405</v>
      </c>
      <c r="D826" s="110" t="s">
        <v>1255</v>
      </c>
      <c r="E826" s="110" t="s">
        <v>1256</v>
      </c>
      <c r="F826" s="119">
        <v>45717</v>
      </c>
      <c r="G826" s="120">
        <v>707.04849999999999</v>
      </c>
      <c r="H826" s="121">
        <f>G826</f>
        <v>707.04849999999999</v>
      </c>
      <c r="I826" s="121"/>
      <c r="J826" s="120">
        <v>556.75450000000001</v>
      </c>
      <c r="K826" s="121">
        <f>G826-J826</f>
        <v>150.29399999999998</v>
      </c>
      <c r="L826" s="110"/>
    </row>
    <row r="827" spans="1:12" hidden="1" outlineLevel="3">
      <c r="A827" s="110" t="s">
        <v>971</v>
      </c>
      <c r="B827" s="110" t="s">
        <v>1253</v>
      </c>
      <c r="C827" s="110" t="s">
        <v>396</v>
      </c>
      <c r="D827" s="110" t="s">
        <v>1095</v>
      </c>
      <c r="E827" s="110" t="s">
        <v>1256</v>
      </c>
      <c r="F827" s="119">
        <v>45717</v>
      </c>
      <c r="G827" s="120">
        <v>1302</v>
      </c>
      <c r="H827" s="121">
        <f>G827</f>
        <v>1302</v>
      </c>
      <c r="I827" s="121"/>
      <c r="J827" s="120">
        <v>1290</v>
      </c>
      <c r="K827" s="121">
        <f>G827-J827</f>
        <v>12</v>
      </c>
      <c r="L827" s="110"/>
    </row>
    <row r="828" spans="1:12" hidden="1" outlineLevel="3">
      <c r="A828" s="110" t="s">
        <v>971</v>
      </c>
      <c r="B828" s="110" t="s">
        <v>1253</v>
      </c>
      <c r="C828" s="110" t="s">
        <v>976</v>
      </c>
      <c r="D828" s="110" t="s">
        <v>999</v>
      </c>
      <c r="E828" s="110" t="s">
        <v>1257</v>
      </c>
      <c r="F828" s="119">
        <v>45718</v>
      </c>
      <c r="G828" s="120">
        <v>339.2</v>
      </c>
      <c r="H828" s="121">
        <f>G828</f>
        <v>339.2</v>
      </c>
      <c r="I828" s="121"/>
      <c r="J828" s="120">
        <v>339.2</v>
      </c>
      <c r="K828" s="121">
        <f>G828-J828</f>
        <v>0</v>
      </c>
      <c r="L828" s="110"/>
    </row>
    <row r="829" spans="1:12" hidden="1" outlineLevel="3">
      <c r="A829" s="110" t="s">
        <v>971</v>
      </c>
      <c r="B829" s="110" t="s">
        <v>1253</v>
      </c>
      <c r="C829" s="110" t="s">
        <v>400</v>
      </c>
      <c r="D829" s="110" t="s">
        <v>1258</v>
      </c>
      <c r="E829" s="110" t="s">
        <v>1256</v>
      </c>
      <c r="F829" s="119">
        <v>45717</v>
      </c>
      <c r="G829" s="120">
        <v>2166.7514999999999</v>
      </c>
      <c r="H829" s="121">
        <f>G829</f>
        <v>2166.7514999999999</v>
      </c>
      <c r="I829" s="121"/>
      <c r="J829" s="120">
        <v>2166.75</v>
      </c>
      <c r="K829" s="121">
        <f>G829-J829</f>
        <v>1.4999999998508429E-3</v>
      </c>
      <c r="L829" s="110"/>
    </row>
    <row r="830" spans="1:12" outlineLevel="2" collapsed="1">
      <c r="A830" s="110"/>
      <c r="B830" s="106" t="s">
        <v>1259</v>
      </c>
      <c r="C830" s="110"/>
      <c r="D830" s="110"/>
      <c r="E830" s="110"/>
      <c r="F830" s="119"/>
      <c r="G830" s="120">
        <f>SUBTOTAL(9,G825:G829)</f>
        <v>5023.7999999999993</v>
      </c>
      <c r="H830" s="121"/>
      <c r="I830" s="121"/>
      <c r="J830" s="120">
        <f>SUBTOTAL(9,J825:J829)</f>
        <v>4861.5045</v>
      </c>
      <c r="K830" s="121">
        <f>SUBTOTAL(9,K825:K829)</f>
        <v>162.29549999999983</v>
      </c>
      <c r="L830" s="110"/>
    </row>
    <row r="831" spans="1:12" hidden="1" outlineLevel="3">
      <c r="A831" s="110" t="s">
        <v>971</v>
      </c>
      <c r="B831" s="110" t="s">
        <v>1260</v>
      </c>
      <c r="C831" s="110" t="s">
        <v>405</v>
      </c>
      <c r="D831" s="110" t="s">
        <v>1261</v>
      </c>
      <c r="E831" s="110" t="s">
        <v>1262</v>
      </c>
      <c r="F831" s="119">
        <v>45717</v>
      </c>
      <c r="G831" s="120">
        <v>216.3</v>
      </c>
      <c r="H831" s="121">
        <f>G831</f>
        <v>216.3</v>
      </c>
      <c r="I831" s="121"/>
      <c r="J831" s="120">
        <v>216.3</v>
      </c>
      <c r="K831" s="121">
        <f>G831-J831</f>
        <v>0</v>
      </c>
      <c r="L831" s="110"/>
    </row>
    <row r="832" spans="1:12" hidden="1" outlineLevel="3">
      <c r="A832" s="110" t="s">
        <v>971</v>
      </c>
      <c r="B832" s="110" t="s">
        <v>1260</v>
      </c>
      <c r="C832" s="110" t="s">
        <v>396</v>
      </c>
      <c r="D832" s="110" t="s">
        <v>1263</v>
      </c>
      <c r="E832" s="110" t="s">
        <v>1262</v>
      </c>
      <c r="F832" s="119">
        <v>45717</v>
      </c>
      <c r="G832" s="120">
        <v>308</v>
      </c>
      <c r="H832" s="121">
        <f>G832</f>
        <v>308</v>
      </c>
      <c r="I832" s="121"/>
      <c r="J832" s="120">
        <v>344.5</v>
      </c>
      <c r="K832" s="121">
        <f>G832-J832</f>
        <v>-36.5</v>
      </c>
      <c r="L832" s="110"/>
    </row>
    <row r="833" spans="1:12" hidden="1" outlineLevel="3">
      <c r="A833" s="110" t="s">
        <v>971</v>
      </c>
      <c r="B833" s="110" t="s">
        <v>1260</v>
      </c>
      <c r="C833" s="110" t="s">
        <v>400</v>
      </c>
      <c r="D833" s="110" t="s">
        <v>1264</v>
      </c>
      <c r="E833" s="110" t="s">
        <v>1262</v>
      </c>
      <c r="F833" s="119">
        <v>45717</v>
      </c>
      <c r="G833" s="120">
        <v>2050</v>
      </c>
      <c r="H833" s="121">
        <f>G833</f>
        <v>2050</v>
      </c>
      <c r="I833" s="121"/>
      <c r="J833" s="120">
        <v>2050</v>
      </c>
      <c r="K833" s="121">
        <f>G833-J833</f>
        <v>0</v>
      </c>
      <c r="L833" s="110"/>
    </row>
    <row r="834" spans="1:12" hidden="1" outlineLevel="3">
      <c r="A834" s="110" t="s">
        <v>971</v>
      </c>
      <c r="B834" s="110" t="s">
        <v>1260</v>
      </c>
      <c r="C834" s="110" t="s">
        <v>400</v>
      </c>
      <c r="D834" s="110" t="s">
        <v>1265</v>
      </c>
      <c r="E834" s="110" t="s">
        <v>1262</v>
      </c>
      <c r="F834" s="119">
        <v>45717</v>
      </c>
      <c r="G834" s="120">
        <v>611.5</v>
      </c>
      <c r="H834" s="121">
        <f>G834</f>
        <v>611.5</v>
      </c>
      <c r="I834" s="121"/>
      <c r="J834" s="120">
        <v>611.5</v>
      </c>
      <c r="K834" s="121">
        <f>G834-J834</f>
        <v>0</v>
      </c>
      <c r="L834" s="110"/>
    </row>
    <row r="835" spans="1:12" outlineLevel="2" collapsed="1">
      <c r="A835" s="110"/>
      <c r="B835" s="106" t="s">
        <v>1266</v>
      </c>
      <c r="C835" s="110"/>
      <c r="D835" s="110"/>
      <c r="E835" s="110"/>
      <c r="F835" s="119"/>
      <c r="G835" s="120">
        <f>SUBTOTAL(9,G831:G834)</f>
        <v>3185.8</v>
      </c>
      <c r="H835" s="121"/>
      <c r="I835" s="121"/>
      <c r="J835" s="120">
        <f>SUBTOTAL(9,J831:J834)</f>
        <v>3222.3</v>
      </c>
      <c r="K835" s="121">
        <f>SUBTOTAL(9,K831:K834)</f>
        <v>-36.5</v>
      </c>
      <c r="L835" s="110"/>
    </row>
    <row r="836" spans="1:12" outlineLevel="1">
      <c r="A836" s="106" t="s">
        <v>1267</v>
      </c>
      <c r="B836" s="110"/>
      <c r="C836" s="110"/>
      <c r="D836" s="110"/>
      <c r="E836" s="110"/>
      <c r="F836" s="119"/>
      <c r="G836" s="120">
        <f>SUBTOTAL(9,G610:G834)</f>
        <v>139185.82500000004</v>
      </c>
      <c r="H836" s="121"/>
      <c r="I836" s="121"/>
      <c r="J836" s="120">
        <f>SUBTOTAL(9,J610:J834)</f>
        <v>138891.9283</v>
      </c>
      <c r="K836" s="121">
        <f>SUBTOTAL(9,K610:K834)</f>
        <v>293.89670000000058</v>
      </c>
      <c r="L836" s="110"/>
    </row>
    <row r="837" spans="1:12">
      <c r="A837" s="106" t="s">
        <v>1268</v>
      </c>
      <c r="B837" s="110"/>
      <c r="C837" s="110"/>
      <c r="D837" s="110"/>
      <c r="E837" s="110"/>
      <c r="F837" s="119"/>
      <c r="G837" s="120">
        <f>SUBTOTAL(9,G2:G834)</f>
        <v>838693.73955000006</v>
      </c>
      <c r="H837" s="121"/>
      <c r="I837" s="121"/>
      <c r="J837" s="120">
        <f>SUBTOTAL(9,J2:J834)</f>
        <v>812249.01540000062</v>
      </c>
      <c r="K837" s="121">
        <f>SUBTOTAL(9,K2:K834)</f>
        <v>26444.724149999987</v>
      </c>
      <c r="L837" s="110"/>
    </row>
    <row r="840" spans="1:12">
      <c r="E840" s="114" t="s">
        <v>1269</v>
      </c>
    </row>
    <row r="841" spans="1:12">
      <c r="F841" s="130" t="s">
        <v>25</v>
      </c>
      <c r="G841" s="113">
        <v>431911</v>
      </c>
      <c r="J841" s="113">
        <v>422702.79</v>
      </c>
    </row>
    <row r="842" spans="1:12">
      <c r="F842" s="130" t="s">
        <v>27</v>
      </c>
      <c r="G842" s="113">
        <v>22726</v>
      </c>
      <c r="J842" s="113">
        <v>22726</v>
      </c>
    </row>
    <row r="843" spans="1:12">
      <c r="F843" s="130" t="s">
        <v>28</v>
      </c>
      <c r="G843" s="113">
        <v>245980</v>
      </c>
      <c r="J843" s="113">
        <v>229082.38</v>
      </c>
    </row>
    <row r="844" spans="1:12">
      <c r="F844" s="130"/>
    </row>
    <row r="845" spans="1:12">
      <c r="F845" s="130" t="s">
        <v>1270</v>
      </c>
      <c r="G845" s="113">
        <f>G841+G842+G843</f>
        <v>700617</v>
      </c>
      <c r="J845" s="113">
        <f>J841+J842+J843</f>
        <v>674511.16999999993</v>
      </c>
    </row>
    <row r="847" spans="1:12">
      <c r="E847" s="114" t="s">
        <v>971</v>
      </c>
    </row>
    <row r="848" spans="1:12">
      <c r="F848" s="130" t="s">
        <v>25</v>
      </c>
      <c r="G848" s="113">
        <v>118738</v>
      </c>
      <c r="J848" s="113">
        <v>119259.58</v>
      </c>
    </row>
    <row r="849" spans="6:10">
      <c r="F849" s="130" t="s">
        <v>27</v>
      </c>
    </row>
    <row r="850" spans="6:10">
      <c r="F850" s="130" t="s">
        <v>28</v>
      </c>
      <c r="G850" s="113">
        <v>19338</v>
      </c>
      <c r="J850" s="113">
        <v>18478.18</v>
      </c>
    </row>
    <row r="851" spans="6:10">
      <c r="F851" s="130"/>
    </row>
    <row r="852" spans="6:10">
      <c r="F852" s="130" t="s">
        <v>1271</v>
      </c>
      <c r="G852" s="113">
        <f>G848+G850</f>
        <v>138076</v>
      </c>
      <c r="J852" s="113">
        <f>J848+J850</f>
        <v>137737.76</v>
      </c>
    </row>
    <row r="855" spans="6:10">
      <c r="F855" s="130" t="s">
        <v>1272</v>
      </c>
      <c r="G855" s="113">
        <f>G852+G845</f>
        <v>838693</v>
      </c>
      <c r="J855" s="113">
        <f>J852+J845</f>
        <v>812248.92999999993</v>
      </c>
    </row>
    <row r="856" spans="6:10">
      <c r="G856" s="113">
        <f>G855-G837</f>
        <v>-0.73955000005662441</v>
      </c>
      <c r="J856" s="113">
        <f>J855-J837</f>
        <v>-8.5400000680238008E-2</v>
      </c>
    </row>
  </sheetData>
  <autoFilter ref="A1:L1" xr:uid="{59B53BE4-B913-464F-9ADA-D0533908A6E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15" ma:contentTypeDescription="Create a new document." ma:contentTypeScope="" ma:versionID="746aade65ca4b0040cf516088ff49224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7e63f1ae85dede17b58ad4fef404785c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b6eeb6-03b1-4186-a525-5274877e6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f764ec-2591-407e-a629-0e8203bbd38d}" ma:internalName="TaxCatchAll" ma:showField="CatchAllData" ma:web="82563692-96a6-488b-9f55-d4b046c45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47a66f-b3ee-4495-bf32-e6370fcf1efb">
      <Terms xmlns="http://schemas.microsoft.com/office/infopath/2007/PartnerControls"/>
    </lcf76f155ced4ddcb4097134ff3c332f>
    <TaxCatchAll xmlns="82563692-96a6-488b-9f55-d4b046c45fc9" xsi:nil="true"/>
    <SharedWithUsers xmlns="82563692-96a6-488b-9f55-d4b046c45fc9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AA39AA-FD06-4095-BDF5-699B7C42B168}"/>
</file>

<file path=customXml/itemProps2.xml><?xml version="1.0" encoding="utf-8"?>
<ds:datastoreItem xmlns:ds="http://schemas.openxmlformats.org/officeDocument/2006/customXml" ds:itemID="{EDEB2EBA-A7CF-4A19-83E0-E630C273A6B3}"/>
</file>

<file path=customXml/itemProps3.xml><?xml version="1.0" encoding="utf-8"?>
<ds:datastoreItem xmlns:ds="http://schemas.openxmlformats.org/officeDocument/2006/customXml" ds:itemID="{AC43D77F-EF7D-4511-8CE5-F5CEA8B70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 Vicencio</dc:creator>
  <cp:keywords/>
  <dc:description/>
  <cp:lastModifiedBy>Scott G</cp:lastModifiedBy>
  <cp:revision/>
  <dcterms:created xsi:type="dcterms:W3CDTF">2025-04-22T20:58:21Z</dcterms:created>
  <dcterms:modified xsi:type="dcterms:W3CDTF">2025-06-11T17:33:13Z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926ae2-a5f5-4eb8-b7a9-2a972f12d6fe_Enabled">
    <vt:lpwstr>true</vt:lpwstr>
  </property>
  <property fmtid="{D5CDD505-2E9C-101B-9397-08002B2CF9AE}" pid="3" name="MSIP_Label_e3926ae2-a5f5-4eb8-b7a9-2a972f12d6fe_SetDate">
    <vt:lpwstr>2025-04-22T20:56:42Z</vt:lpwstr>
  </property>
  <property fmtid="{D5CDD505-2E9C-101B-9397-08002B2CF9AE}" pid="4" name="MSIP_Label_e3926ae2-a5f5-4eb8-b7a9-2a972f12d6fe_Method">
    <vt:lpwstr>Standard</vt:lpwstr>
  </property>
  <property fmtid="{D5CDD505-2E9C-101B-9397-08002B2CF9AE}" pid="5" name="MSIP_Label_e3926ae2-a5f5-4eb8-b7a9-2a972f12d6fe_Name">
    <vt:lpwstr>e3926ae2-a5f5-4eb8-b7a9-2a972f12d6fe</vt:lpwstr>
  </property>
  <property fmtid="{D5CDD505-2E9C-101B-9397-08002B2CF9AE}" pid="6" name="MSIP_Label_e3926ae2-a5f5-4eb8-b7a9-2a972f12d6fe_SiteId">
    <vt:lpwstr>9ef5d077-23c6-453f-94f9-7809c35a837f</vt:lpwstr>
  </property>
  <property fmtid="{D5CDD505-2E9C-101B-9397-08002B2CF9AE}" pid="7" name="MSIP_Label_e3926ae2-a5f5-4eb8-b7a9-2a972f12d6fe_ActionId">
    <vt:lpwstr>d568322c-e6ec-4707-948b-c21199a1c243</vt:lpwstr>
  </property>
  <property fmtid="{D5CDD505-2E9C-101B-9397-08002B2CF9AE}" pid="8" name="MSIP_Label_e3926ae2-a5f5-4eb8-b7a9-2a972f12d6fe_ContentBits">
    <vt:lpwstr>0</vt:lpwstr>
  </property>
  <property fmtid="{D5CDD505-2E9C-101B-9397-08002B2CF9AE}" pid="9" name="MSIP_Label_e3926ae2-a5f5-4eb8-b7a9-2a972f12d6fe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0x0101001A56198B76F4F64085C7A299E3D96786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_activity">
    <vt:lpwstr>{"FileActivityType":"9","FileActivityTimeStamp":"2025-05-01T01:01:13.313Z","FileActivityUsersOnPage":[{"DisplayName":"Dennis Vicencio","Id":"dvicencio@mydatapath.com"},{"DisplayName":"James Bates","Id":"jbates@mydatapath.com"},{"DisplayName":"David Darmstandler","Id":"david@mydatapath.com"},{"DisplayName":"Scott G","Id":"scottg@mydatapath.com"}],"FileActivityNavigationId":null}</vt:lpwstr>
  </property>
  <property fmtid="{D5CDD505-2E9C-101B-9397-08002B2CF9AE}" pid="17" name="TriggerFlowInfo">
    <vt:lpwstr/>
  </property>
</Properties>
</file>