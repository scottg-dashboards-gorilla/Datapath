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ott/Documents/CLevelAdvising/Datapath/financials/P&amp;L/"/>
    </mc:Choice>
  </mc:AlternateContent>
  <xr:revisionPtr revIDLastSave="0" documentId="8_{12D51183-0E00-6F43-B6FF-EEE668217542}" xr6:coauthVersionLast="47" xr6:coauthVersionMax="47" xr10:uidLastSave="{00000000-0000-0000-0000-000000000000}"/>
  <bookViews>
    <workbookView xWindow="0" yWindow="660" windowWidth="34560" windowHeight="21680" activeTab="1" xr2:uid="{F468A229-C1AF-4DCE-BDA4-AEA057158B47}"/>
    <workbookView xWindow="0" yWindow="660" windowWidth="23260" windowHeight="12460" activeTab="1" xr2:uid="{213DF69F-818F-4C24-ADE2-8D19715A63BE}"/>
  </bookViews>
  <sheets>
    <sheet name="2023 to 2025 P&amp;L" sheetId="4" r:id="rId1"/>
    <sheet name="Condensed P&amp;L by Month" sheetId="2" r:id="rId2"/>
    <sheet name="P&amp;L by Month Detail" sheetId="1" r:id="rId3"/>
    <sheet name="Sheet1" sheetId="3" r:id="rId4"/>
  </sheets>
  <definedNames>
    <definedName name="_xlnm._FilterDatabase" localSheetId="3" hidden="1">Sheet1!$A$1:$Z$96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7" i="2" l="1"/>
  <c r="Q31" i="2"/>
  <c r="Q44" i="2"/>
  <c r="Q46" i="2"/>
  <c r="Q45" i="2"/>
  <c r="Q40" i="2"/>
  <c r="Q39" i="2"/>
  <c r="Q38" i="2"/>
  <c r="Q37" i="2"/>
  <c r="Q36" i="2"/>
  <c r="Q35" i="2"/>
  <c r="Q33" i="2"/>
  <c r="Q32" i="2"/>
  <c r="Q30" i="2"/>
  <c r="Q29" i="2"/>
  <c r="Q28" i="2"/>
  <c r="Q27" i="2"/>
  <c r="Q26" i="2"/>
  <c r="Q25" i="2"/>
  <c r="Q24" i="2"/>
  <c r="Q23" i="2"/>
  <c r="Q20" i="2"/>
  <c r="Q19" i="2"/>
  <c r="Q18" i="2"/>
  <c r="Q17" i="2"/>
  <c r="Q16" i="2"/>
  <c r="Q15" i="2"/>
  <c r="Q14" i="2"/>
  <c r="R216" i="1"/>
  <c r="R215" i="1"/>
  <c r="R214" i="1"/>
  <c r="R213" i="1"/>
  <c r="R212" i="1"/>
  <c r="R209" i="1"/>
  <c r="R208" i="1"/>
  <c r="R207" i="1"/>
  <c r="R206" i="1"/>
  <c r="R205" i="1"/>
  <c r="R203" i="1"/>
  <c r="R202" i="1"/>
  <c r="R200" i="1"/>
  <c r="R199" i="1"/>
  <c r="R198" i="1"/>
  <c r="R197" i="1"/>
  <c r="R196" i="1"/>
  <c r="R194" i="1"/>
  <c r="R193" i="1"/>
  <c r="R191" i="1"/>
  <c r="R190" i="1"/>
  <c r="R187" i="1"/>
  <c r="R186" i="1"/>
  <c r="R185" i="1"/>
  <c r="R183" i="1"/>
  <c r="R182" i="1"/>
  <c r="R180" i="1"/>
  <c r="R179" i="1"/>
  <c r="R178" i="1"/>
  <c r="R177" i="1"/>
  <c r="R176" i="1"/>
  <c r="R175" i="1"/>
  <c r="R174" i="1"/>
  <c r="R173" i="1"/>
  <c r="R172" i="1"/>
  <c r="R171" i="1"/>
  <c r="R168" i="1"/>
  <c r="R167" i="1"/>
  <c r="R166" i="1"/>
  <c r="R165" i="1"/>
  <c r="R163" i="1"/>
  <c r="R162" i="1"/>
  <c r="R159" i="1"/>
  <c r="R158" i="1"/>
  <c r="R157" i="1"/>
  <c r="R156" i="1"/>
  <c r="R154" i="1"/>
  <c r="R153" i="1"/>
  <c r="R151" i="1"/>
  <c r="R150" i="1"/>
  <c r="R147" i="1"/>
  <c r="R146" i="1"/>
  <c r="R145" i="1"/>
  <c r="R142" i="1"/>
  <c r="R141" i="1"/>
  <c r="R140" i="1"/>
  <c r="R139" i="1"/>
  <c r="R137" i="1"/>
  <c r="R136" i="1"/>
  <c r="R134" i="1"/>
  <c r="R133" i="1"/>
  <c r="R131" i="1"/>
  <c r="R130" i="1"/>
  <c r="R127" i="1"/>
  <c r="R126" i="1"/>
  <c r="R125" i="1"/>
  <c r="R124" i="1"/>
  <c r="R122" i="1"/>
  <c r="R121" i="1"/>
  <c r="R119" i="1"/>
  <c r="R118" i="1"/>
  <c r="R115" i="1"/>
  <c r="R114" i="1"/>
  <c r="R113" i="1"/>
  <c r="R112" i="1"/>
  <c r="R111" i="1"/>
  <c r="R110" i="1"/>
  <c r="R109" i="1"/>
  <c r="R108" i="1"/>
  <c r="R107" i="1"/>
  <c r="R104" i="1"/>
  <c r="R103" i="1"/>
  <c r="R102" i="1"/>
  <c r="R101" i="1"/>
  <c r="R100" i="1"/>
  <c r="R99" i="1"/>
  <c r="R98" i="1"/>
  <c r="R96" i="1"/>
  <c r="R95" i="1"/>
  <c r="R94" i="1"/>
  <c r="R93" i="1"/>
  <c r="R92" i="1"/>
  <c r="R91" i="1"/>
  <c r="R90" i="1"/>
  <c r="R89" i="1"/>
  <c r="R88" i="1"/>
  <c r="R86" i="1"/>
  <c r="R85" i="1"/>
  <c r="R84" i="1"/>
  <c r="R83" i="1"/>
  <c r="R82" i="1"/>
  <c r="R80" i="1"/>
  <c r="R79" i="1"/>
  <c r="R78" i="1"/>
  <c r="R76" i="1"/>
  <c r="R75" i="1"/>
  <c r="R73" i="1"/>
  <c r="R72" i="1"/>
  <c r="R70" i="1"/>
  <c r="R69" i="1"/>
  <c r="R68" i="1"/>
  <c r="R67" i="1"/>
  <c r="R66" i="1"/>
  <c r="R65" i="1"/>
  <c r="R64" i="1"/>
  <c r="R63" i="1"/>
  <c r="R62" i="1"/>
  <c r="R61" i="1"/>
  <c r="R60" i="1"/>
  <c r="R59" i="1"/>
  <c r="R57" i="1"/>
  <c r="R56" i="1"/>
  <c r="R55" i="1"/>
  <c r="R53" i="1"/>
  <c r="R52" i="1"/>
  <c r="R49" i="1"/>
  <c r="R48" i="1"/>
  <c r="R47" i="1"/>
  <c r="R46" i="1"/>
  <c r="R44" i="1"/>
  <c r="R43" i="1"/>
  <c r="R42" i="1"/>
  <c r="R40" i="1"/>
  <c r="R39" i="1"/>
  <c r="R37" i="1"/>
  <c r="R36" i="1"/>
  <c r="R34" i="1"/>
  <c r="R33" i="1"/>
  <c r="R32" i="1"/>
  <c r="R31" i="1"/>
  <c r="R30" i="1"/>
  <c r="R29" i="1"/>
  <c r="R28" i="1"/>
  <c r="R27" i="1"/>
  <c r="R26" i="1"/>
  <c r="R24" i="1"/>
  <c r="R23" i="1"/>
  <c r="R22" i="1"/>
  <c r="R20" i="1"/>
  <c r="R19" i="1"/>
  <c r="R18" i="1"/>
  <c r="R17" i="1"/>
  <c r="R16" i="1"/>
  <c r="R15" i="1"/>
  <c r="C47" i="2" l="1"/>
  <c r="C45" i="2"/>
  <c r="C44" i="2"/>
  <c r="C46" i="2" s="1"/>
  <c r="C40" i="2"/>
  <c r="C39" i="2"/>
  <c r="C38" i="2"/>
  <c r="C37" i="2"/>
  <c r="C36" i="2"/>
  <c r="C35" i="2"/>
  <c r="C41" i="2" s="1"/>
  <c r="C33" i="2"/>
  <c r="C32" i="2"/>
  <c r="C42" i="2" s="1"/>
  <c r="C30" i="2"/>
  <c r="C29" i="2"/>
  <c r="C28" i="2"/>
  <c r="C27" i="2"/>
  <c r="C26" i="2"/>
  <c r="C25" i="2"/>
  <c r="C24" i="2"/>
  <c r="C23" i="2"/>
  <c r="C31" i="2" s="1"/>
  <c r="C20" i="2"/>
  <c r="C19" i="2"/>
  <c r="C18" i="2"/>
  <c r="C17" i="2"/>
  <c r="C16" i="2"/>
  <c r="C15" i="2"/>
  <c r="C14" i="2"/>
  <c r="C21" i="2" s="1"/>
  <c r="D196" i="1"/>
  <c r="G214" i="1"/>
  <c r="G215" i="1" s="1"/>
  <c r="H214" i="1"/>
  <c r="H215" i="1" s="1"/>
  <c r="I214" i="1"/>
  <c r="I215" i="1" s="1"/>
  <c r="J214" i="1"/>
  <c r="J215" i="1" s="1"/>
  <c r="K214" i="1"/>
  <c r="K215" i="1" s="1"/>
  <c r="L214" i="1"/>
  <c r="L215" i="1" s="1"/>
  <c r="M214" i="1"/>
  <c r="M215" i="1" s="1"/>
  <c r="N214" i="1"/>
  <c r="N215" i="1" s="1"/>
  <c r="O214" i="1"/>
  <c r="O215" i="1" s="1"/>
  <c r="P214" i="1"/>
  <c r="P215" i="1" s="1"/>
  <c r="Q214" i="1"/>
  <c r="Q215" i="1" s="1"/>
  <c r="C214" i="1"/>
  <c r="C215" i="1" s="1"/>
  <c r="C208" i="1"/>
  <c r="D199" i="1"/>
  <c r="E199" i="1" s="1"/>
  <c r="D198" i="1"/>
  <c r="E198" i="1" s="1"/>
  <c r="D197" i="1"/>
  <c r="E196" i="1"/>
  <c r="D193" i="1"/>
  <c r="D194" i="1" s="1"/>
  <c r="D190" i="1"/>
  <c r="E190" i="1" s="1"/>
  <c r="E191" i="1" s="1"/>
  <c r="C207" i="1"/>
  <c r="G203" i="1"/>
  <c r="H203" i="1"/>
  <c r="I203" i="1"/>
  <c r="J203" i="1"/>
  <c r="K203" i="1"/>
  <c r="L203" i="1"/>
  <c r="M203" i="1"/>
  <c r="N203" i="1"/>
  <c r="O203" i="1"/>
  <c r="P203" i="1"/>
  <c r="Q203" i="1"/>
  <c r="C203" i="1"/>
  <c r="G200" i="1"/>
  <c r="H200" i="1"/>
  <c r="H208" i="1" s="1"/>
  <c r="I200" i="1"/>
  <c r="J200" i="1"/>
  <c r="K200" i="1"/>
  <c r="L200" i="1"/>
  <c r="M200" i="1"/>
  <c r="N200" i="1"/>
  <c r="O200" i="1"/>
  <c r="P200" i="1"/>
  <c r="Q200" i="1"/>
  <c r="C200" i="1"/>
  <c r="G194" i="1"/>
  <c r="H194" i="1"/>
  <c r="I194" i="1"/>
  <c r="J194" i="1"/>
  <c r="K194" i="1"/>
  <c r="L194" i="1"/>
  <c r="M194" i="1"/>
  <c r="N194" i="1"/>
  <c r="O194" i="1"/>
  <c r="P194" i="1"/>
  <c r="Q194" i="1"/>
  <c r="C194" i="1"/>
  <c r="G191" i="1"/>
  <c r="H191" i="1"/>
  <c r="I191" i="1"/>
  <c r="J191" i="1"/>
  <c r="K191" i="1"/>
  <c r="L191" i="1"/>
  <c r="L208" i="1" s="1"/>
  <c r="M191" i="1"/>
  <c r="N191" i="1"/>
  <c r="O191" i="1"/>
  <c r="P191" i="1"/>
  <c r="Q191" i="1"/>
  <c r="C191" i="1"/>
  <c r="G186" i="1"/>
  <c r="G187" i="1" s="1"/>
  <c r="H186" i="1"/>
  <c r="H187" i="1" s="1"/>
  <c r="I186" i="1"/>
  <c r="I187" i="1" s="1"/>
  <c r="J186" i="1"/>
  <c r="K186" i="1"/>
  <c r="L186" i="1"/>
  <c r="M186" i="1"/>
  <c r="N186" i="1"/>
  <c r="O186" i="1"/>
  <c r="P186" i="1"/>
  <c r="Q186" i="1"/>
  <c r="C186" i="1"/>
  <c r="G183" i="1"/>
  <c r="H183" i="1"/>
  <c r="I183" i="1"/>
  <c r="J183" i="1"/>
  <c r="K183" i="1"/>
  <c r="L183" i="1"/>
  <c r="M183" i="1"/>
  <c r="N183" i="1"/>
  <c r="O183" i="1"/>
  <c r="P183" i="1"/>
  <c r="Q183" i="1"/>
  <c r="Q187" i="1" s="1"/>
  <c r="G180" i="1"/>
  <c r="H180" i="1"/>
  <c r="I180" i="1"/>
  <c r="J180" i="1"/>
  <c r="K180" i="1"/>
  <c r="L180" i="1"/>
  <c r="M180" i="1"/>
  <c r="M187" i="1" s="1"/>
  <c r="N180" i="1"/>
  <c r="O180" i="1"/>
  <c r="P180" i="1"/>
  <c r="Q180" i="1"/>
  <c r="C183" i="1"/>
  <c r="C180" i="1"/>
  <c r="C173" i="1"/>
  <c r="C172" i="1"/>
  <c r="E166" i="1"/>
  <c r="G166" i="1"/>
  <c r="G167" i="1" s="1"/>
  <c r="H166" i="1"/>
  <c r="I166" i="1"/>
  <c r="J166" i="1"/>
  <c r="K166" i="1"/>
  <c r="K167" i="1" s="1"/>
  <c r="L166" i="1"/>
  <c r="M166" i="1"/>
  <c r="N166" i="1"/>
  <c r="N167" i="1" s="1"/>
  <c r="O166" i="1"/>
  <c r="O167" i="1" s="1"/>
  <c r="P166" i="1"/>
  <c r="P167" i="1" s="1"/>
  <c r="Q166" i="1"/>
  <c r="C166" i="1"/>
  <c r="G163" i="1"/>
  <c r="H163" i="1"/>
  <c r="H167" i="1" s="1"/>
  <c r="I163" i="1"/>
  <c r="I167" i="1" s="1"/>
  <c r="J163" i="1"/>
  <c r="J167" i="1" s="1"/>
  <c r="K163" i="1"/>
  <c r="L163" i="1"/>
  <c r="M163" i="1"/>
  <c r="N163" i="1"/>
  <c r="O163" i="1"/>
  <c r="P163" i="1"/>
  <c r="Q163" i="1"/>
  <c r="C163" i="1"/>
  <c r="G159" i="1"/>
  <c r="H159" i="1"/>
  <c r="I159" i="1"/>
  <c r="J159" i="1"/>
  <c r="K159" i="1"/>
  <c r="L159" i="1"/>
  <c r="M159" i="1"/>
  <c r="N159" i="1"/>
  <c r="O159" i="1"/>
  <c r="P159" i="1"/>
  <c r="Q159" i="1"/>
  <c r="C159" i="1"/>
  <c r="G154" i="1"/>
  <c r="H154" i="1"/>
  <c r="I154" i="1"/>
  <c r="J154" i="1"/>
  <c r="K154" i="1"/>
  <c r="L154" i="1"/>
  <c r="M154" i="1"/>
  <c r="N154" i="1"/>
  <c r="O154" i="1"/>
  <c r="P154" i="1"/>
  <c r="Q154" i="1"/>
  <c r="C154" i="1"/>
  <c r="G151" i="1"/>
  <c r="H151" i="1"/>
  <c r="I151" i="1"/>
  <c r="J151" i="1"/>
  <c r="K151" i="1"/>
  <c r="L151" i="1"/>
  <c r="M151" i="1"/>
  <c r="N151" i="1"/>
  <c r="O151" i="1"/>
  <c r="P151" i="1"/>
  <c r="Q151" i="1"/>
  <c r="C151" i="1"/>
  <c r="D146" i="1"/>
  <c r="D147" i="1" s="1"/>
  <c r="E146" i="1"/>
  <c r="E147" i="1" s="1"/>
  <c r="G146" i="1"/>
  <c r="G147" i="1" s="1"/>
  <c r="H146" i="1"/>
  <c r="H147" i="1" s="1"/>
  <c r="I146" i="1"/>
  <c r="I147" i="1" s="1"/>
  <c r="J146" i="1"/>
  <c r="J147" i="1" s="1"/>
  <c r="K146" i="1"/>
  <c r="K147" i="1" s="1"/>
  <c r="L146" i="1"/>
  <c r="L147" i="1" s="1"/>
  <c r="M146" i="1"/>
  <c r="M147" i="1" s="1"/>
  <c r="N146" i="1"/>
  <c r="N147" i="1" s="1"/>
  <c r="O146" i="1"/>
  <c r="O147" i="1" s="1"/>
  <c r="P146" i="1"/>
  <c r="P147" i="1" s="1"/>
  <c r="Q146" i="1"/>
  <c r="Q147" i="1" s="1"/>
  <c r="C146" i="1"/>
  <c r="C147" i="1" s="1"/>
  <c r="G141" i="1"/>
  <c r="H141" i="1"/>
  <c r="I141" i="1"/>
  <c r="I142" i="1" s="1"/>
  <c r="J141" i="1"/>
  <c r="K141" i="1"/>
  <c r="L141" i="1"/>
  <c r="M141" i="1"/>
  <c r="M142" i="1" s="1"/>
  <c r="N141" i="1"/>
  <c r="O141" i="1"/>
  <c r="P141" i="1"/>
  <c r="Q141" i="1"/>
  <c r="C141" i="1"/>
  <c r="G137" i="1"/>
  <c r="H137" i="1"/>
  <c r="I137" i="1"/>
  <c r="J137" i="1"/>
  <c r="K137" i="1"/>
  <c r="L137" i="1"/>
  <c r="M137" i="1"/>
  <c r="N137" i="1"/>
  <c r="O137" i="1"/>
  <c r="P137" i="1"/>
  <c r="Q137" i="1"/>
  <c r="G134" i="1"/>
  <c r="G142" i="1" s="1"/>
  <c r="H134" i="1"/>
  <c r="H142" i="1" s="1"/>
  <c r="I134" i="1"/>
  <c r="J134" i="1"/>
  <c r="K134" i="1"/>
  <c r="L134" i="1"/>
  <c r="M134" i="1"/>
  <c r="N134" i="1"/>
  <c r="O134" i="1"/>
  <c r="P134" i="1"/>
  <c r="Q134" i="1"/>
  <c r="C137" i="1"/>
  <c r="C134" i="1"/>
  <c r="G131" i="1"/>
  <c r="H131" i="1"/>
  <c r="I131" i="1"/>
  <c r="J131" i="1"/>
  <c r="K131" i="1"/>
  <c r="L131" i="1"/>
  <c r="M131" i="1"/>
  <c r="N131" i="1"/>
  <c r="O131" i="1"/>
  <c r="P131" i="1"/>
  <c r="Q131" i="1"/>
  <c r="C131" i="1"/>
  <c r="Q127" i="1"/>
  <c r="C126" i="1"/>
  <c r="G126" i="1"/>
  <c r="H126" i="1"/>
  <c r="I126" i="1"/>
  <c r="J126" i="1"/>
  <c r="K126" i="1"/>
  <c r="L126" i="1"/>
  <c r="M126" i="1"/>
  <c r="N126" i="1"/>
  <c r="O126" i="1"/>
  <c r="P126" i="1"/>
  <c r="Q126" i="1"/>
  <c r="G122" i="1"/>
  <c r="H122" i="1"/>
  <c r="I122" i="1"/>
  <c r="J122" i="1"/>
  <c r="K122" i="1"/>
  <c r="L122" i="1"/>
  <c r="M122" i="1"/>
  <c r="N122" i="1"/>
  <c r="O122" i="1"/>
  <c r="P122" i="1"/>
  <c r="Q122" i="1"/>
  <c r="C122" i="1"/>
  <c r="G119" i="1"/>
  <c r="G127" i="1" s="1"/>
  <c r="H119" i="1"/>
  <c r="H127" i="1" s="1"/>
  <c r="I119" i="1"/>
  <c r="I127" i="1" s="1"/>
  <c r="J119" i="1"/>
  <c r="J127" i="1" s="1"/>
  <c r="K119" i="1"/>
  <c r="K127" i="1" s="1"/>
  <c r="L119" i="1"/>
  <c r="M119" i="1"/>
  <c r="N119" i="1"/>
  <c r="O119" i="1"/>
  <c r="P119" i="1"/>
  <c r="P127" i="1" s="1"/>
  <c r="Q119" i="1"/>
  <c r="C119" i="1"/>
  <c r="C127" i="1" s="1"/>
  <c r="G115" i="1"/>
  <c r="H115" i="1"/>
  <c r="I115" i="1"/>
  <c r="J115" i="1"/>
  <c r="K115" i="1"/>
  <c r="L115" i="1"/>
  <c r="M115" i="1"/>
  <c r="N115" i="1"/>
  <c r="O115" i="1"/>
  <c r="P115" i="1"/>
  <c r="Q115" i="1"/>
  <c r="C115" i="1"/>
  <c r="G104" i="1"/>
  <c r="H104" i="1"/>
  <c r="I104" i="1"/>
  <c r="J104" i="1"/>
  <c r="K104" i="1"/>
  <c r="L104" i="1"/>
  <c r="M104" i="1"/>
  <c r="N104" i="1"/>
  <c r="O104" i="1"/>
  <c r="P104" i="1"/>
  <c r="Q104" i="1"/>
  <c r="C104" i="1"/>
  <c r="G94" i="1"/>
  <c r="H94" i="1"/>
  <c r="I94" i="1"/>
  <c r="J94" i="1"/>
  <c r="K94" i="1"/>
  <c r="L94" i="1"/>
  <c r="M94" i="1"/>
  <c r="N94" i="1"/>
  <c r="O94" i="1"/>
  <c r="P94" i="1"/>
  <c r="Q94" i="1"/>
  <c r="C94" i="1"/>
  <c r="C95" i="1" s="1"/>
  <c r="G86" i="1"/>
  <c r="H86" i="1"/>
  <c r="I86" i="1"/>
  <c r="J86" i="1"/>
  <c r="K86" i="1"/>
  <c r="L86" i="1"/>
  <c r="M86" i="1"/>
  <c r="N86" i="1"/>
  <c r="O86" i="1"/>
  <c r="P86" i="1"/>
  <c r="Q86" i="1"/>
  <c r="C86" i="1"/>
  <c r="G80" i="1"/>
  <c r="H80" i="1"/>
  <c r="I80" i="1"/>
  <c r="J80" i="1"/>
  <c r="K80" i="1"/>
  <c r="L80" i="1"/>
  <c r="M80" i="1"/>
  <c r="N80" i="1"/>
  <c r="O80" i="1"/>
  <c r="P80" i="1"/>
  <c r="Q80" i="1"/>
  <c r="C80" i="1"/>
  <c r="G76" i="1"/>
  <c r="H76" i="1"/>
  <c r="I76" i="1"/>
  <c r="J76" i="1"/>
  <c r="K76" i="1"/>
  <c r="L76" i="1"/>
  <c r="M76" i="1"/>
  <c r="N76" i="1"/>
  <c r="O76" i="1"/>
  <c r="P76" i="1"/>
  <c r="Q76" i="1"/>
  <c r="C76" i="1"/>
  <c r="G73" i="1"/>
  <c r="H73" i="1"/>
  <c r="I73" i="1"/>
  <c r="J73" i="1"/>
  <c r="K73" i="1"/>
  <c r="L73" i="1"/>
  <c r="M73" i="1"/>
  <c r="N73" i="1"/>
  <c r="N95" i="1" s="1"/>
  <c r="O73" i="1"/>
  <c r="P73" i="1"/>
  <c r="Q73" i="1"/>
  <c r="C73" i="1"/>
  <c r="G70" i="1"/>
  <c r="H70" i="1"/>
  <c r="I70" i="1"/>
  <c r="J70" i="1"/>
  <c r="K70" i="1"/>
  <c r="L70" i="1"/>
  <c r="M70" i="1"/>
  <c r="N70" i="1"/>
  <c r="O70" i="1"/>
  <c r="P70" i="1"/>
  <c r="C70" i="1"/>
  <c r="G57" i="1"/>
  <c r="H57" i="1"/>
  <c r="I57" i="1"/>
  <c r="J57" i="1"/>
  <c r="K57" i="1"/>
  <c r="L57" i="1"/>
  <c r="M57" i="1"/>
  <c r="N57" i="1"/>
  <c r="O57" i="1"/>
  <c r="P57" i="1"/>
  <c r="Q57" i="1"/>
  <c r="C57" i="1"/>
  <c r="G53" i="1"/>
  <c r="H53" i="1"/>
  <c r="I53" i="1"/>
  <c r="J53" i="1"/>
  <c r="K53" i="1"/>
  <c r="L53" i="1"/>
  <c r="M53" i="1"/>
  <c r="N53" i="1"/>
  <c r="O53" i="1"/>
  <c r="P53" i="1"/>
  <c r="Q53" i="1"/>
  <c r="C53" i="1"/>
  <c r="C48" i="1"/>
  <c r="G48" i="1"/>
  <c r="H48" i="1"/>
  <c r="I48" i="1"/>
  <c r="J48" i="1"/>
  <c r="K48" i="1"/>
  <c r="L48" i="1"/>
  <c r="M48" i="1"/>
  <c r="N48" i="1"/>
  <c r="O48" i="1"/>
  <c r="P48" i="1"/>
  <c r="Q48" i="1"/>
  <c r="G44" i="1"/>
  <c r="H44" i="1"/>
  <c r="I44" i="1"/>
  <c r="J44" i="1"/>
  <c r="K44" i="1"/>
  <c r="L44" i="1"/>
  <c r="M44" i="1"/>
  <c r="N44" i="1"/>
  <c r="O44" i="1"/>
  <c r="P44" i="1"/>
  <c r="Q44" i="1"/>
  <c r="C44" i="1"/>
  <c r="G40" i="1"/>
  <c r="H40" i="1"/>
  <c r="I40" i="1"/>
  <c r="J40" i="1"/>
  <c r="K40" i="1"/>
  <c r="L40" i="1"/>
  <c r="M40" i="1"/>
  <c r="N40" i="1"/>
  <c r="O40" i="1"/>
  <c r="P40" i="1"/>
  <c r="Q40" i="1"/>
  <c r="C40" i="1"/>
  <c r="G37" i="1"/>
  <c r="H37" i="1"/>
  <c r="I37" i="1"/>
  <c r="J37" i="1"/>
  <c r="K37" i="1"/>
  <c r="L37" i="1"/>
  <c r="M37" i="1"/>
  <c r="N37" i="1"/>
  <c r="O37" i="1"/>
  <c r="P37" i="1"/>
  <c r="Q37" i="1"/>
  <c r="C37" i="1"/>
  <c r="G34" i="1"/>
  <c r="H34" i="1"/>
  <c r="I34" i="1"/>
  <c r="J34" i="1"/>
  <c r="K34" i="1"/>
  <c r="L34" i="1"/>
  <c r="M34" i="1"/>
  <c r="N34" i="1"/>
  <c r="O34" i="1"/>
  <c r="P34" i="1"/>
  <c r="Q34" i="1"/>
  <c r="C34" i="1"/>
  <c r="D213" i="1"/>
  <c r="E213" i="1" s="1"/>
  <c r="D212" i="1"/>
  <c r="E212" i="1" s="1"/>
  <c r="D207" i="1"/>
  <c r="D206" i="1"/>
  <c r="E206" i="1" s="1"/>
  <c r="D205" i="1"/>
  <c r="E205" i="1" s="1"/>
  <c r="D202" i="1"/>
  <c r="E202" i="1" s="1"/>
  <c r="E203" i="1" s="1"/>
  <c r="E193" i="1"/>
  <c r="E194" i="1" s="1"/>
  <c r="D185" i="1"/>
  <c r="E185" i="1" s="1"/>
  <c r="E186" i="1" s="1"/>
  <c r="D182" i="1"/>
  <c r="E182" i="1" s="1"/>
  <c r="E183" i="1" s="1"/>
  <c r="D179" i="1"/>
  <c r="E179" i="1" s="1"/>
  <c r="E180" i="1" s="1"/>
  <c r="E187" i="1" s="1"/>
  <c r="D173" i="1"/>
  <c r="D172" i="1"/>
  <c r="D171" i="1"/>
  <c r="E171" i="1" s="1"/>
  <c r="D165" i="1"/>
  <c r="E165" i="1" s="1"/>
  <c r="D162" i="1"/>
  <c r="E162" i="1" s="1"/>
  <c r="E163" i="1" s="1"/>
  <c r="D158" i="1"/>
  <c r="E158" i="1" s="1"/>
  <c r="D157" i="1"/>
  <c r="E157" i="1" s="1"/>
  <c r="D156" i="1"/>
  <c r="E156" i="1" s="1"/>
  <c r="D153" i="1"/>
  <c r="E153" i="1" s="1"/>
  <c r="E154" i="1" s="1"/>
  <c r="D150" i="1"/>
  <c r="E150" i="1" s="1"/>
  <c r="E151" i="1" s="1"/>
  <c r="D145" i="1"/>
  <c r="E145" i="1" s="1"/>
  <c r="D140" i="1"/>
  <c r="E140" i="1" s="1"/>
  <c r="D139" i="1"/>
  <c r="E139" i="1" s="1"/>
  <c r="D136" i="1"/>
  <c r="E136" i="1" s="1"/>
  <c r="E137" i="1" s="1"/>
  <c r="D133" i="1"/>
  <c r="E133" i="1" s="1"/>
  <c r="E134" i="1" s="1"/>
  <c r="D130" i="1"/>
  <c r="E130" i="1" s="1"/>
  <c r="E131" i="1" s="1"/>
  <c r="D125" i="1"/>
  <c r="E125" i="1" s="1"/>
  <c r="D124" i="1"/>
  <c r="E124" i="1" s="1"/>
  <c r="E126" i="1" s="1"/>
  <c r="D121" i="1"/>
  <c r="E121" i="1" s="1"/>
  <c r="E122" i="1" s="1"/>
  <c r="D118" i="1"/>
  <c r="E118" i="1" s="1"/>
  <c r="E119" i="1" s="1"/>
  <c r="D114" i="1"/>
  <c r="E114" i="1" s="1"/>
  <c r="D113" i="1"/>
  <c r="E113" i="1" s="1"/>
  <c r="D112" i="1"/>
  <c r="E112" i="1" s="1"/>
  <c r="D111" i="1"/>
  <c r="E111" i="1" s="1"/>
  <c r="D110" i="1"/>
  <c r="E110" i="1" s="1"/>
  <c r="D109" i="1"/>
  <c r="E109" i="1" s="1"/>
  <c r="D108" i="1"/>
  <c r="E108" i="1" s="1"/>
  <c r="D107" i="1"/>
  <c r="E107" i="1" s="1"/>
  <c r="D103" i="1"/>
  <c r="E103" i="1" s="1"/>
  <c r="D102" i="1"/>
  <c r="E102" i="1" s="1"/>
  <c r="D101" i="1"/>
  <c r="E101" i="1" s="1"/>
  <c r="D100" i="1"/>
  <c r="E100" i="1" s="1"/>
  <c r="D99" i="1"/>
  <c r="E99" i="1" s="1"/>
  <c r="D98" i="1"/>
  <c r="E98" i="1" s="1"/>
  <c r="D93" i="1"/>
  <c r="E93" i="1" s="1"/>
  <c r="D92" i="1"/>
  <c r="E92" i="1" s="1"/>
  <c r="D91" i="1"/>
  <c r="E91" i="1" s="1"/>
  <c r="D90" i="1"/>
  <c r="E90" i="1" s="1"/>
  <c r="D89" i="1"/>
  <c r="E89" i="1" s="1"/>
  <c r="D88" i="1"/>
  <c r="E88" i="1" s="1"/>
  <c r="E94" i="1" s="1"/>
  <c r="D85" i="1"/>
  <c r="E85" i="1" s="1"/>
  <c r="D84" i="1"/>
  <c r="E84" i="1" s="1"/>
  <c r="D83" i="1"/>
  <c r="E83" i="1" s="1"/>
  <c r="D82" i="1"/>
  <c r="E82" i="1" s="1"/>
  <c r="D79" i="1"/>
  <c r="E79" i="1" s="1"/>
  <c r="D78" i="1"/>
  <c r="E78" i="1" s="1"/>
  <c r="D75" i="1"/>
  <c r="E75" i="1" s="1"/>
  <c r="E76" i="1" s="1"/>
  <c r="D72" i="1"/>
  <c r="D73" i="1" s="1"/>
  <c r="D69" i="1"/>
  <c r="E69" i="1" s="1"/>
  <c r="D68" i="1"/>
  <c r="E68" i="1" s="1"/>
  <c r="D67" i="1"/>
  <c r="E67" i="1" s="1"/>
  <c r="D66" i="1"/>
  <c r="E66" i="1" s="1"/>
  <c r="D65" i="1"/>
  <c r="E65" i="1" s="1"/>
  <c r="D64" i="1"/>
  <c r="E64" i="1" s="1"/>
  <c r="D63" i="1"/>
  <c r="E63" i="1" s="1"/>
  <c r="D62" i="1"/>
  <c r="E62" i="1" s="1"/>
  <c r="D61" i="1"/>
  <c r="E61" i="1" s="1"/>
  <c r="D60" i="1"/>
  <c r="E60" i="1" s="1"/>
  <c r="D59" i="1"/>
  <c r="E59" i="1" s="1"/>
  <c r="D56" i="1"/>
  <c r="E56" i="1" s="1"/>
  <c r="D55" i="1"/>
  <c r="E55" i="1" s="1"/>
  <c r="D52" i="1"/>
  <c r="E52" i="1" s="1"/>
  <c r="E53" i="1" s="1"/>
  <c r="D47" i="1"/>
  <c r="E47" i="1" s="1"/>
  <c r="D46" i="1"/>
  <c r="E46" i="1" s="1"/>
  <c r="D43" i="1"/>
  <c r="E43" i="1" s="1"/>
  <c r="D42" i="1"/>
  <c r="E42" i="1" s="1"/>
  <c r="D39" i="1"/>
  <c r="E39" i="1" s="1"/>
  <c r="E40" i="1" s="1"/>
  <c r="D36" i="1"/>
  <c r="E36" i="1" s="1"/>
  <c r="E37" i="1" s="1"/>
  <c r="D33" i="1"/>
  <c r="E33" i="1" s="1"/>
  <c r="D32" i="1"/>
  <c r="E32" i="1" s="1"/>
  <c r="D31" i="1"/>
  <c r="E31" i="1" s="1"/>
  <c r="D30" i="1"/>
  <c r="E30" i="1" s="1"/>
  <c r="D29" i="1"/>
  <c r="E29" i="1" s="1"/>
  <c r="D28" i="1"/>
  <c r="E28" i="1" s="1"/>
  <c r="D27" i="1"/>
  <c r="E27" i="1" s="1"/>
  <c r="D26" i="1"/>
  <c r="E26" i="1" s="1"/>
  <c r="D23" i="1"/>
  <c r="E23" i="1" s="1"/>
  <c r="D22" i="1"/>
  <c r="E22" i="1" s="1"/>
  <c r="D19" i="1"/>
  <c r="E19" i="1" s="1"/>
  <c r="D18" i="1"/>
  <c r="E18" i="1" s="1"/>
  <c r="D17" i="1"/>
  <c r="E17" i="1" s="1"/>
  <c r="D16" i="1"/>
  <c r="E16" i="1" s="1"/>
  <c r="D15" i="1"/>
  <c r="E15" i="1" s="1"/>
  <c r="G24" i="1"/>
  <c r="H24" i="1"/>
  <c r="I24" i="1"/>
  <c r="J24" i="1"/>
  <c r="K24" i="1"/>
  <c r="L24" i="1"/>
  <c r="M24" i="1"/>
  <c r="N24" i="1"/>
  <c r="O24" i="1"/>
  <c r="P24" i="1"/>
  <c r="Q24" i="1"/>
  <c r="C24" i="1"/>
  <c r="G20" i="1"/>
  <c r="H20" i="1"/>
  <c r="I20" i="1"/>
  <c r="J20" i="1"/>
  <c r="K20" i="1"/>
  <c r="L20" i="1"/>
  <c r="M20" i="1"/>
  <c r="N20" i="1"/>
  <c r="O20" i="1"/>
  <c r="P20" i="1"/>
  <c r="Q20" i="1"/>
  <c r="C20" i="1"/>
  <c r="C48" i="2" l="1"/>
  <c r="E141" i="1"/>
  <c r="E115" i="1"/>
  <c r="I209" i="1"/>
  <c r="D126" i="1"/>
  <c r="E159" i="1"/>
  <c r="D166" i="1"/>
  <c r="I168" i="1"/>
  <c r="M95" i="1"/>
  <c r="C187" i="1"/>
  <c r="C209" i="1" s="1"/>
  <c r="K208" i="1"/>
  <c r="K209" i="1" s="1"/>
  <c r="O208" i="1"/>
  <c r="N208" i="1"/>
  <c r="Q142" i="1"/>
  <c r="Q174" i="1" s="1"/>
  <c r="D163" i="1"/>
  <c r="D167" i="1" s="1"/>
  <c r="E172" i="1"/>
  <c r="N127" i="1"/>
  <c r="P142" i="1"/>
  <c r="P174" i="1" s="1"/>
  <c r="P175" i="1" s="1"/>
  <c r="P216" i="1" s="1"/>
  <c r="C167" i="1"/>
  <c r="C168" i="1" s="1"/>
  <c r="P187" i="1"/>
  <c r="P209" i="1" s="1"/>
  <c r="P208" i="1"/>
  <c r="H168" i="1"/>
  <c r="L187" i="1"/>
  <c r="L209" i="1" s="1"/>
  <c r="C142" i="1"/>
  <c r="K187" i="1"/>
  <c r="J208" i="1"/>
  <c r="E86" i="1"/>
  <c r="O127" i="1"/>
  <c r="M127" i="1"/>
  <c r="M174" i="1" s="1"/>
  <c r="J142" i="1"/>
  <c r="J174" i="1" s="1"/>
  <c r="J175" i="1" s="1"/>
  <c r="J216" i="1" s="1"/>
  <c r="O142" i="1"/>
  <c r="O187" i="1"/>
  <c r="O209" i="1" s="1"/>
  <c r="G208" i="1"/>
  <c r="G209" i="1" s="1"/>
  <c r="E127" i="1"/>
  <c r="L127" i="1"/>
  <c r="L174" i="1" s="1"/>
  <c r="N142" i="1"/>
  <c r="D151" i="1"/>
  <c r="N187" i="1"/>
  <c r="N209" i="1" s="1"/>
  <c r="M208" i="1"/>
  <c r="P95" i="1"/>
  <c r="H95" i="1"/>
  <c r="D134" i="1"/>
  <c r="M167" i="1"/>
  <c r="M168" i="1" s="1"/>
  <c r="I208" i="1"/>
  <c r="J95" i="1"/>
  <c r="L142" i="1"/>
  <c r="I95" i="1"/>
  <c r="K142" i="1"/>
  <c r="O95" i="1"/>
  <c r="L95" i="1"/>
  <c r="K95" i="1"/>
  <c r="G95" i="1"/>
  <c r="L167" i="1"/>
  <c r="L168" i="1" s="1"/>
  <c r="E104" i="1"/>
  <c r="D94" i="1"/>
  <c r="D191" i="1"/>
  <c r="E214" i="1"/>
  <c r="E215" i="1" s="1"/>
  <c r="D131" i="1"/>
  <c r="D180" i="1"/>
  <c r="J187" i="1"/>
  <c r="J209" i="1" s="1"/>
  <c r="Q208" i="1"/>
  <c r="Q209" i="1" s="1"/>
  <c r="H209" i="1"/>
  <c r="C174" i="1"/>
  <c r="M209" i="1"/>
  <c r="I174" i="1"/>
  <c r="O174" i="1"/>
  <c r="H174" i="1"/>
  <c r="E142" i="1"/>
  <c r="P168" i="1"/>
  <c r="O168" i="1"/>
  <c r="D137" i="1"/>
  <c r="N168" i="1"/>
  <c r="D115" i="1"/>
  <c r="D200" i="1"/>
  <c r="K168" i="1"/>
  <c r="D104" i="1"/>
  <c r="D122" i="1"/>
  <c r="D186" i="1"/>
  <c r="D159" i="1"/>
  <c r="D214" i="1"/>
  <c r="D215" i="1" s="1"/>
  <c r="E173" i="1"/>
  <c r="E167" i="1"/>
  <c r="D86" i="1"/>
  <c r="D141" i="1"/>
  <c r="D183" i="1"/>
  <c r="G168" i="1"/>
  <c r="G174" i="1" s="1"/>
  <c r="G175" i="1" s="1"/>
  <c r="J168" i="1"/>
  <c r="D119" i="1"/>
  <c r="D154" i="1"/>
  <c r="Q167" i="1"/>
  <c r="Q168" i="1" s="1"/>
  <c r="D203" i="1"/>
  <c r="E197" i="1"/>
  <c r="E200" i="1" s="1"/>
  <c r="E207" i="1"/>
  <c r="E48" i="1"/>
  <c r="L49" i="1"/>
  <c r="E57" i="1"/>
  <c r="M49" i="1"/>
  <c r="I49" i="1"/>
  <c r="I96" i="1" s="1"/>
  <c r="E44" i="1"/>
  <c r="E80" i="1"/>
  <c r="D37" i="1"/>
  <c r="E72" i="1"/>
  <c r="E73" i="1" s="1"/>
  <c r="O49" i="1"/>
  <c r="N49" i="1"/>
  <c r="N96" i="1" s="1"/>
  <c r="H49" i="1"/>
  <c r="G49" i="1"/>
  <c r="G96" i="1" s="1"/>
  <c r="D53" i="1"/>
  <c r="P49" i="1"/>
  <c r="P96" i="1" s="1"/>
  <c r="K49" i="1"/>
  <c r="K96" i="1" s="1"/>
  <c r="Q49" i="1"/>
  <c r="E34" i="1"/>
  <c r="E70" i="1"/>
  <c r="J49" i="1"/>
  <c r="J96" i="1" s="1"/>
  <c r="C49" i="1"/>
  <c r="C96" i="1" s="1"/>
  <c r="D34" i="1"/>
  <c r="D70" i="1"/>
  <c r="D57" i="1"/>
  <c r="D40" i="1"/>
  <c r="D48" i="1"/>
  <c r="D44" i="1"/>
  <c r="D76" i="1"/>
  <c r="D80" i="1"/>
  <c r="D20" i="1"/>
  <c r="D24" i="1"/>
  <c r="E24" i="1"/>
  <c r="E20" i="1"/>
  <c r="E168" i="1" l="1"/>
  <c r="E174" i="1" s="1"/>
  <c r="G216" i="1"/>
  <c r="E208" i="1"/>
  <c r="E209" i="1" s="1"/>
  <c r="N174" i="1"/>
  <c r="N175" i="1" s="1"/>
  <c r="N216" i="1" s="1"/>
  <c r="O96" i="1"/>
  <c r="E95" i="1"/>
  <c r="D168" i="1"/>
  <c r="H96" i="1"/>
  <c r="H175" i="1" s="1"/>
  <c r="H216" i="1" s="1"/>
  <c r="M96" i="1"/>
  <c r="M175" i="1" s="1"/>
  <c r="M216" i="1" s="1"/>
  <c r="O175" i="1"/>
  <c r="O216" i="1" s="1"/>
  <c r="D95" i="1"/>
  <c r="L96" i="1"/>
  <c r="L175" i="1" s="1"/>
  <c r="L216" i="1" s="1"/>
  <c r="K174" i="1"/>
  <c r="K175" i="1" s="1"/>
  <c r="K216" i="1" s="1"/>
  <c r="D208" i="1"/>
  <c r="I175" i="1"/>
  <c r="I216" i="1" s="1"/>
  <c r="C175" i="1"/>
  <c r="C216" i="1" s="1"/>
  <c r="D187" i="1"/>
  <c r="D209" i="1" s="1"/>
  <c r="D127" i="1"/>
  <c r="D142" i="1"/>
  <c r="E49" i="1"/>
  <c r="D49" i="1"/>
  <c r="D96" i="1" l="1"/>
  <c r="E96" i="1"/>
  <c r="E175" i="1" s="1"/>
  <c r="E216" i="1"/>
  <c r="D174" i="1"/>
  <c r="D175" i="1" s="1"/>
  <c r="D216" i="1" s="1"/>
  <c r="P47" i="2" l="1"/>
  <c r="P45" i="2"/>
  <c r="P44" i="2"/>
  <c r="P46" i="2" s="1"/>
  <c r="P40" i="2"/>
  <c r="P39" i="2"/>
  <c r="P38" i="2"/>
  <c r="P37" i="2"/>
  <c r="P36" i="2"/>
  <c r="P35" i="2"/>
  <c r="P33" i="2"/>
  <c r="P30" i="2"/>
  <c r="P29" i="2"/>
  <c r="P28" i="2"/>
  <c r="P27" i="2"/>
  <c r="P26" i="2"/>
  <c r="P24" i="2"/>
  <c r="P23" i="2"/>
  <c r="P20" i="2"/>
  <c r="P19" i="2"/>
  <c r="P18" i="2"/>
  <c r="P17" i="2"/>
  <c r="P16" i="2"/>
  <c r="P15" i="2"/>
  <c r="P14" i="2"/>
  <c r="O47" i="2"/>
  <c r="O45" i="2"/>
  <c r="O44" i="2"/>
  <c r="O46" i="2" s="1"/>
  <c r="O40" i="2"/>
  <c r="O39" i="2"/>
  <c r="O38" i="2"/>
  <c r="O37" i="2"/>
  <c r="O36" i="2"/>
  <c r="O35" i="2"/>
  <c r="O41" i="2" s="1"/>
  <c r="O33" i="2"/>
  <c r="O32" i="2"/>
  <c r="O30" i="2"/>
  <c r="O29" i="2"/>
  <c r="O28" i="2"/>
  <c r="O27" i="2"/>
  <c r="O26" i="2"/>
  <c r="O24" i="2"/>
  <c r="O23" i="2"/>
  <c r="O20" i="2"/>
  <c r="O19" i="2"/>
  <c r="O18" i="2"/>
  <c r="O17" i="2"/>
  <c r="O16" i="2"/>
  <c r="O15" i="2"/>
  <c r="O14" i="2"/>
  <c r="N47" i="2"/>
  <c r="N45" i="2"/>
  <c r="N44" i="2"/>
  <c r="N46" i="2" s="1"/>
  <c r="N40" i="2"/>
  <c r="N39" i="2"/>
  <c r="N38" i="2"/>
  <c r="N37" i="2"/>
  <c r="N36" i="2"/>
  <c r="N35" i="2"/>
  <c r="N33" i="2"/>
  <c r="N32" i="2"/>
  <c r="N30" i="2"/>
  <c r="N29" i="2"/>
  <c r="N28" i="2"/>
  <c r="N27" i="2"/>
  <c r="N26" i="2"/>
  <c r="N25" i="2"/>
  <c r="N24" i="2"/>
  <c r="N23" i="2"/>
  <c r="N20" i="2"/>
  <c r="N19" i="2"/>
  <c r="N18" i="2"/>
  <c r="N17" i="2"/>
  <c r="N16" i="2"/>
  <c r="N15" i="2"/>
  <c r="N14" i="2"/>
  <c r="M47" i="2"/>
  <c r="M45" i="2"/>
  <c r="M44" i="2"/>
  <c r="M46" i="2" s="1"/>
  <c r="M40" i="2"/>
  <c r="M39" i="2"/>
  <c r="M38" i="2"/>
  <c r="M37" i="2"/>
  <c r="M36" i="2"/>
  <c r="M35" i="2"/>
  <c r="M41" i="2" s="1"/>
  <c r="M33" i="2"/>
  <c r="M32" i="2"/>
  <c r="M30" i="2"/>
  <c r="M29" i="2"/>
  <c r="M28" i="2"/>
  <c r="M27" i="2"/>
  <c r="M26" i="2"/>
  <c r="M25" i="2"/>
  <c r="M24" i="2"/>
  <c r="M23" i="2"/>
  <c r="M31" i="2" s="1"/>
  <c r="M20" i="2"/>
  <c r="M19" i="2"/>
  <c r="M18" i="2"/>
  <c r="M17" i="2"/>
  <c r="M16" i="2"/>
  <c r="M15" i="2"/>
  <c r="M14" i="2"/>
  <c r="L47" i="2"/>
  <c r="L45" i="2"/>
  <c r="L44" i="2"/>
  <c r="L46" i="2" s="1"/>
  <c r="L40" i="2"/>
  <c r="L39" i="2"/>
  <c r="L38" i="2"/>
  <c r="L37" i="2"/>
  <c r="L36" i="2"/>
  <c r="L35" i="2"/>
  <c r="L33" i="2"/>
  <c r="L32" i="2"/>
  <c r="L30" i="2"/>
  <c r="L29" i="2"/>
  <c r="L28" i="2"/>
  <c r="L27" i="2"/>
  <c r="L26" i="2"/>
  <c r="L25" i="2"/>
  <c r="L24" i="2"/>
  <c r="L23" i="2"/>
  <c r="L20" i="2"/>
  <c r="L19" i="2"/>
  <c r="L18" i="2"/>
  <c r="L17" i="2"/>
  <c r="L16" i="2"/>
  <c r="L15" i="2"/>
  <c r="L14" i="2"/>
  <c r="L21" i="2" s="1"/>
  <c r="K47" i="2"/>
  <c r="K45" i="2"/>
  <c r="K44" i="2"/>
  <c r="K46" i="2" s="1"/>
  <c r="K40" i="2"/>
  <c r="K39" i="2"/>
  <c r="K38" i="2"/>
  <c r="K37" i="2"/>
  <c r="K36" i="2"/>
  <c r="K35" i="2"/>
  <c r="K33" i="2"/>
  <c r="K32" i="2"/>
  <c r="K30" i="2"/>
  <c r="K29" i="2"/>
  <c r="K28" i="2"/>
  <c r="K27" i="2"/>
  <c r="K26" i="2"/>
  <c r="K25" i="2"/>
  <c r="K24" i="2"/>
  <c r="K23" i="2"/>
  <c r="K31" i="2" s="1"/>
  <c r="K20" i="2"/>
  <c r="K19" i="2"/>
  <c r="K18" i="2"/>
  <c r="K17" i="2"/>
  <c r="K16" i="2"/>
  <c r="K15" i="2"/>
  <c r="K14" i="2"/>
  <c r="K21" i="2" s="1"/>
  <c r="J47" i="2"/>
  <c r="J45" i="2"/>
  <c r="J44" i="2"/>
  <c r="J40" i="2"/>
  <c r="J39" i="2"/>
  <c r="J38" i="2"/>
  <c r="J37" i="2"/>
  <c r="J36" i="2"/>
  <c r="J35" i="2"/>
  <c r="J33" i="2"/>
  <c r="J32" i="2"/>
  <c r="J30" i="2"/>
  <c r="J29" i="2"/>
  <c r="J28" i="2"/>
  <c r="J27" i="2"/>
  <c r="J26" i="2"/>
  <c r="J25" i="2"/>
  <c r="J24" i="2"/>
  <c r="J23" i="2"/>
  <c r="J31" i="2" s="1"/>
  <c r="J20" i="2"/>
  <c r="J19" i="2"/>
  <c r="J18" i="2"/>
  <c r="J17" i="2"/>
  <c r="J16" i="2"/>
  <c r="J15" i="2"/>
  <c r="J14" i="2"/>
  <c r="I47" i="2"/>
  <c r="I45" i="2"/>
  <c r="I44" i="2"/>
  <c r="I46" i="2" s="1"/>
  <c r="I40" i="2"/>
  <c r="I39" i="2"/>
  <c r="I38" i="2"/>
  <c r="I37" i="2"/>
  <c r="I36" i="2"/>
  <c r="I35" i="2"/>
  <c r="I41" i="2" s="1"/>
  <c r="I33" i="2"/>
  <c r="I32" i="2"/>
  <c r="I30" i="2"/>
  <c r="I29" i="2"/>
  <c r="I28" i="2"/>
  <c r="I27" i="2"/>
  <c r="I26" i="2"/>
  <c r="I25" i="2"/>
  <c r="I24" i="2"/>
  <c r="I23" i="2"/>
  <c r="I20" i="2"/>
  <c r="I19" i="2"/>
  <c r="I18" i="2"/>
  <c r="I17" i="2"/>
  <c r="I16" i="2"/>
  <c r="I15" i="2"/>
  <c r="I14" i="2"/>
  <c r="I21" i="2" s="1"/>
  <c r="H47" i="2"/>
  <c r="H45" i="2"/>
  <c r="H44" i="2"/>
  <c r="H46" i="2" s="1"/>
  <c r="H40" i="2"/>
  <c r="H39" i="2"/>
  <c r="H38" i="2"/>
  <c r="H37" i="2"/>
  <c r="H36" i="2"/>
  <c r="H35" i="2"/>
  <c r="H41" i="2" s="1"/>
  <c r="H33" i="2"/>
  <c r="H32" i="2"/>
  <c r="H30" i="2"/>
  <c r="H29" i="2"/>
  <c r="H28" i="2"/>
  <c r="H27" i="2"/>
  <c r="H26" i="2"/>
  <c r="H25" i="2"/>
  <c r="H24" i="2"/>
  <c r="H23" i="2"/>
  <c r="H20" i="2"/>
  <c r="H19" i="2"/>
  <c r="H18" i="2"/>
  <c r="H17" i="2"/>
  <c r="H16" i="2"/>
  <c r="H15" i="2"/>
  <c r="H14" i="2"/>
  <c r="H21" i="2" s="1"/>
  <c r="G47" i="2"/>
  <c r="G45" i="2"/>
  <c r="G44" i="2"/>
  <c r="G46" i="2" s="1"/>
  <c r="G40" i="2"/>
  <c r="G39" i="2"/>
  <c r="G38" i="2"/>
  <c r="G37" i="2"/>
  <c r="G36" i="2"/>
  <c r="G35" i="2"/>
  <c r="G33" i="2"/>
  <c r="G32" i="2"/>
  <c r="G30" i="2"/>
  <c r="G29" i="2"/>
  <c r="G28" i="2"/>
  <c r="G27" i="2"/>
  <c r="G26" i="2"/>
  <c r="G25" i="2"/>
  <c r="G24" i="2"/>
  <c r="G23" i="2"/>
  <c r="G31" i="2" s="1"/>
  <c r="G20" i="2"/>
  <c r="G19" i="2"/>
  <c r="G18" i="2"/>
  <c r="G17" i="2"/>
  <c r="G16" i="2"/>
  <c r="G15" i="2"/>
  <c r="G14" i="2"/>
  <c r="F47" i="2"/>
  <c r="F45" i="2"/>
  <c r="F44" i="2"/>
  <c r="F40" i="2"/>
  <c r="F39" i="2"/>
  <c r="F38" i="2"/>
  <c r="F37" i="2"/>
  <c r="F36" i="2"/>
  <c r="F35" i="2"/>
  <c r="F41" i="2" s="1"/>
  <c r="F33" i="2"/>
  <c r="F32" i="2"/>
  <c r="F42" i="2" s="1"/>
  <c r="F30" i="2"/>
  <c r="F29" i="2"/>
  <c r="F28" i="2"/>
  <c r="F27" i="2"/>
  <c r="F26" i="2"/>
  <c r="F25" i="2"/>
  <c r="F24" i="2"/>
  <c r="F23" i="2"/>
  <c r="F20" i="2"/>
  <c r="F19" i="2"/>
  <c r="F18" i="2"/>
  <c r="F17" i="2"/>
  <c r="F16" i="2"/>
  <c r="F15" i="2"/>
  <c r="F14" i="2"/>
  <c r="B23" i="2"/>
  <c r="B24" i="2"/>
  <c r="D24" i="2" s="1"/>
  <c r="B25" i="2"/>
  <c r="D25" i="2" s="1"/>
  <c r="B26" i="2"/>
  <c r="D26" i="2" s="1"/>
  <c r="B27" i="2"/>
  <c r="D27" i="2" s="1"/>
  <c r="B28" i="2"/>
  <c r="D28" i="2" s="1"/>
  <c r="B29" i="2"/>
  <c r="D29" i="2" s="1"/>
  <c r="B30" i="2"/>
  <c r="D30" i="2" s="1"/>
  <c r="B32" i="2"/>
  <c r="B33" i="2"/>
  <c r="D33" i="2" s="1"/>
  <c r="B35" i="2"/>
  <c r="B36" i="2"/>
  <c r="D36" i="2" s="1"/>
  <c r="B37" i="2"/>
  <c r="D37" i="2" s="1"/>
  <c r="B38" i="2"/>
  <c r="D38" i="2" s="1"/>
  <c r="B39" i="2"/>
  <c r="D39" i="2" s="1"/>
  <c r="B40" i="2"/>
  <c r="D40" i="2" s="1"/>
  <c r="B44" i="2"/>
  <c r="B45" i="2"/>
  <c r="D45" i="2" s="1"/>
  <c r="B47" i="2"/>
  <c r="D47" i="2" s="1"/>
  <c r="B15" i="2"/>
  <c r="D15" i="2" s="1"/>
  <c r="B16" i="2"/>
  <c r="D16" i="2" s="1"/>
  <c r="B17" i="2"/>
  <c r="D17" i="2" s="1"/>
  <c r="B18" i="2"/>
  <c r="D18" i="2" s="1"/>
  <c r="B19" i="2"/>
  <c r="D19" i="2" s="1"/>
  <c r="B20" i="2"/>
  <c r="D20" i="2" s="1"/>
  <c r="B14" i="2"/>
  <c r="Q70" i="1"/>
  <c r="N41" i="2" l="1"/>
  <c r="G21" i="2"/>
  <c r="F31" i="2"/>
  <c r="H42" i="2"/>
  <c r="H48" i="2" s="1"/>
  <c r="J46" i="2"/>
  <c r="K41" i="2"/>
  <c r="K42" i="2" s="1"/>
  <c r="K48" i="2" s="1"/>
  <c r="I31" i="2"/>
  <c r="N21" i="2"/>
  <c r="O42" i="2"/>
  <c r="O48" i="2" s="1"/>
  <c r="B41" i="2"/>
  <c r="B42" i="2" s="1"/>
  <c r="B48" i="2" s="1"/>
  <c r="D35" i="2"/>
  <c r="D41" i="2" s="1"/>
  <c r="I42" i="2"/>
  <c r="I48" i="2" s="1"/>
  <c r="L41" i="2"/>
  <c r="L42" i="2" s="1"/>
  <c r="L48" i="2" s="1"/>
  <c r="B21" i="2"/>
  <c r="D14" i="2"/>
  <c r="D21" i="2" s="1"/>
  <c r="O21" i="2"/>
  <c r="P41" i="2"/>
  <c r="N31" i="2"/>
  <c r="M42" i="2"/>
  <c r="M48" i="2" s="1"/>
  <c r="P21" i="2"/>
  <c r="H31" i="2"/>
  <c r="F21" i="2"/>
  <c r="J41" i="2"/>
  <c r="J42" i="2" s="1"/>
  <c r="J48" i="2" s="1"/>
  <c r="O31" i="2"/>
  <c r="M21" i="2"/>
  <c r="D32" i="2"/>
  <c r="B46" i="2"/>
  <c r="D44" i="2"/>
  <c r="D46" i="2" s="1"/>
  <c r="F46" i="2"/>
  <c r="F48" i="2" s="1"/>
  <c r="G41" i="2"/>
  <c r="G42" i="2" s="1"/>
  <c r="G48" i="2" s="1"/>
  <c r="L31" i="2"/>
  <c r="N42" i="2"/>
  <c r="N48" i="2" s="1"/>
  <c r="D23" i="2"/>
  <c r="D31" i="2" s="1"/>
  <c r="B31" i="2"/>
  <c r="J21" i="2"/>
  <c r="O25" i="2"/>
  <c r="Q95" i="1"/>
  <c r="P25" i="2"/>
  <c r="P31" i="2" s="1"/>
  <c r="D42" i="2" l="1"/>
  <c r="D48" i="2" s="1"/>
  <c r="Q21" i="2"/>
  <c r="Q41" i="2"/>
  <c r="Q96" i="1"/>
  <c r="Q175" i="1" l="1"/>
  <c r="P32" i="2"/>
  <c r="P42" i="2" l="1"/>
  <c r="P48" i="2" s="1"/>
  <c r="Q42" i="2"/>
  <c r="Q48" i="2" s="1"/>
  <c r="Q216" i="1"/>
</calcChain>
</file>

<file path=xl/sharedStrings.xml><?xml version="1.0" encoding="utf-8"?>
<sst xmlns="http://schemas.openxmlformats.org/spreadsheetml/2006/main" count="1613" uniqueCount="330">
  <si>
    <t>Datapath</t>
  </si>
  <si>
    <t>P&amp;L MTD with Previous Month Comparison</t>
  </si>
  <si>
    <t>Reporting Book:</t>
  </si>
  <si>
    <t>As of Date:</t>
  </si>
  <si>
    <t xml:space="preserve"> </t>
  </si>
  <si>
    <t xml:space="preserve">  Net Income- With DL above the line</t>
  </si>
  <si>
    <t xml:space="preserve">    Operating Net Income- DL above the line</t>
  </si>
  <si>
    <t xml:space="preserve">      Gross Profit with Direct Labor</t>
  </si>
  <si>
    <t xml:space="preserve">        Revenue</t>
  </si>
  <si>
    <t xml:space="preserve">          Monthly Recurring Services</t>
  </si>
  <si>
    <t xml:space="preserve">            40000 - Managed IT Revenue</t>
  </si>
  <si>
    <t xml:space="preserve">            40100 - Managed Security Revenue</t>
  </si>
  <si>
    <t xml:space="preserve">            40200 - Managed Voice Revenue</t>
  </si>
  <si>
    <t xml:space="preserve">            41320 - Managed Back up Revenue</t>
  </si>
  <si>
    <t xml:space="preserve">            41925 - USAC ERATE BM Revenue</t>
  </si>
  <si>
    <t xml:space="preserve">          Monthly Recurring Private Cloud</t>
  </si>
  <si>
    <t xml:space="preserve">            41360 - Public Cloud Revenue</t>
  </si>
  <si>
    <t xml:space="preserve">            41365 - Private Cloud Revenue</t>
  </si>
  <si>
    <t xml:space="preserve">          Monthly Recurring Resale</t>
  </si>
  <si>
    <t xml:space="preserve">            41200 - HaaS Revenue</t>
  </si>
  <si>
    <t xml:space="preserve">            41250 - Chromebook ADP Revenue</t>
  </si>
  <si>
    <t xml:space="preserve">            41300 - Cloud SAAS Revenue</t>
  </si>
  <si>
    <t xml:space="preserve">            41350 - Managed Spam Filtering Revenue</t>
  </si>
  <si>
    <t xml:space="preserve">            41450 - Microsoft 365 Revenue</t>
  </si>
  <si>
    <t xml:space="preserve">            42100 - Security Resale Revenue</t>
  </si>
  <si>
    <t xml:space="preserve">            42200 - Tool Resale Revenue</t>
  </si>
  <si>
    <t xml:space="preserve">            42300 - Voice Resale Revenue</t>
  </si>
  <si>
    <t xml:space="preserve">          Project Services</t>
  </si>
  <si>
    <t xml:space="preserve">            41500 - Project Service Revenue</t>
  </si>
  <si>
    <t xml:space="preserve">          Revenue - Project Services</t>
  </si>
  <si>
    <t xml:space="preserve">          Subcontracted Services</t>
  </si>
  <si>
    <t xml:space="preserve">            41700 - Subcontracted Service Revenue</t>
  </si>
  <si>
    <t xml:space="preserve">          Product Sales</t>
  </si>
  <si>
    <t xml:space="preserve">            42000 - Product Sales Revenue</t>
  </si>
  <si>
    <t xml:space="preserve">            44000 - Freight and Shipping Revenue</t>
  </si>
  <si>
    <t xml:space="preserve">          Revenue - Product Sales</t>
  </si>
  <si>
    <t xml:space="preserve">          Revenue - Other</t>
  </si>
  <si>
    <t xml:space="preserve">            40800 - Revenue - Other</t>
  </si>
  <si>
    <t xml:space="preserve">            41400 - Commission Revenue</t>
  </si>
  <si>
    <t xml:space="preserve">        Total Revenue</t>
  </si>
  <si>
    <t xml:space="preserve">        Cost of Rev with Direct and IT Project Labor</t>
  </si>
  <si>
    <t xml:space="preserve">          Managed IT Service Costs</t>
  </si>
  <si>
    <t xml:space="preserve">            50000 - Managed IT Costs</t>
  </si>
  <si>
    <t xml:space="preserve">          Cost of Monthly Recurring Cloud</t>
  </si>
  <si>
    <t xml:space="preserve">            50090 - Public Cloud Costs</t>
  </si>
  <si>
    <t xml:space="preserve">            50095 - Private Cloud Costs</t>
  </si>
  <si>
    <t xml:space="preserve">          Cost of Monthly Recurring Resale</t>
  </si>
  <si>
    <t xml:space="preserve">            50050 - Managed Back up Costs</t>
  </si>
  <si>
    <t xml:space="preserve">            50080 - Managed Spam Filtering Costs</t>
  </si>
  <si>
    <t xml:space="preserve">            50100 - Domain Names Costs</t>
  </si>
  <si>
    <t xml:space="preserve">            50150 - Recurring Resale Cost - MSP (Cloud SaaS)</t>
  </si>
  <si>
    <t xml:space="preserve">            50190 - Managed Voice Costs</t>
  </si>
  <si>
    <t xml:space="preserve">            50400 - HaaS Costs</t>
  </si>
  <si>
    <t xml:space="preserve">            51250 - Chromebook ADP Costs</t>
  </si>
  <si>
    <t xml:space="preserve">            51450 - Microsoft 365 Costs</t>
  </si>
  <si>
    <t xml:space="preserve">            52100 - Security Resale Costs</t>
  </si>
  <si>
    <t xml:space="preserve">            52300 - Voice Resale Costs</t>
  </si>
  <si>
    <t xml:space="preserve">            62500 - Managed Security Costs</t>
  </si>
  <si>
    <t xml:space="preserve">          Project Service Costs</t>
  </si>
  <si>
    <t xml:space="preserve">            50200 - Project Service Costs</t>
  </si>
  <si>
    <t xml:space="preserve">          Subcontractor Service Costs</t>
  </si>
  <si>
    <t xml:space="preserve">            50500 - Subcontracted Service Costs</t>
  </si>
  <si>
    <t xml:space="preserve">          Product Sales Cost</t>
  </si>
  <si>
    <t xml:space="preserve">            50300 - Product Sales Costs</t>
  </si>
  <si>
    <t xml:space="preserve">            54000 - Freight Cost</t>
  </si>
  <si>
    <t xml:space="preserve">          IT Project Labor</t>
  </si>
  <si>
    <t xml:space="preserve">            50605 - Project Labor - Wages</t>
  </si>
  <si>
    <t xml:space="preserve">            50705 - Payroll Taxes- Project Labor</t>
  </si>
  <si>
    <t xml:space="preserve">            50805 - Payroll Pension Match- Project Labor</t>
  </si>
  <si>
    <t xml:space="preserve">            60705 - Employee Benefits- Project Labor</t>
  </si>
  <si>
    <t xml:space="preserve">          Direct Labor Costs</t>
  </si>
  <si>
    <t xml:space="preserve">            50610 - Direct Labor Wages</t>
  </si>
  <si>
    <t xml:space="preserve">            50710 - Payroll Taxes- Direct Labor</t>
  </si>
  <si>
    <t xml:space="preserve">            50811 - Payroll Pension Match- Direct Labor</t>
  </si>
  <si>
    <t xml:space="preserve">            60710 - Employee Benefits- Direct Labor</t>
  </si>
  <si>
    <t xml:space="preserve">            50660 - Contractor Wages - Direct Labor</t>
  </si>
  <si>
    <t xml:space="preserve">            50661 - Payroll Expenses - Capitalized</t>
  </si>
  <si>
    <t xml:space="preserve">        Total Cost of Rev with IT Project and Direct Labor</t>
  </si>
  <si>
    <t xml:space="preserve">      Total Gross Profit with Direct Labor</t>
  </si>
  <si>
    <t xml:space="preserve">      Sales Labor Costs</t>
  </si>
  <si>
    <t xml:space="preserve">        50620 - Sales Wages</t>
  </si>
  <si>
    <t xml:space="preserve">        50720 - Payroll Taxes- Sales</t>
  </si>
  <si>
    <t xml:space="preserve">        50821 - Payroll Pension Match- Sales</t>
  </si>
  <si>
    <t xml:space="preserve">        60720 - Employee Benefits- Sales</t>
  </si>
  <si>
    <t xml:space="preserve">        50625 - Sales Wages - Commissions</t>
  </si>
  <si>
    <t xml:space="preserve">        50655 - Contractor Wages - Sales</t>
  </si>
  <si>
    <t xml:space="preserve">      Operating Expense- no Direct or Sales Labor</t>
  </si>
  <si>
    <t xml:space="preserve">        Payroll and Related Expenses no Direct or Sales Labor</t>
  </si>
  <si>
    <t xml:space="preserve">          50600 - Payroll Wages</t>
  </si>
  <si>
    <t xml:space="preserve">          50650 - Contractor Wages - Admin</t>
  </si>
  <si>
    <t xml:space="preserve">          50801 - Payroll Pension Match</t>
  </si>
  <si>
    <t xml:space="preserve">          50850 - Payroll Garnishment</t>
  </si>
  <si>
    <t xml:space="preserve">          60190 - Payroll Bonus</t>
  </si>
  <si>
    <t xml:space="preserve">          61350 - Payroll Officer's Compensation</t>
  </si>
  <si>
    <t xml:space="preserve">          50700 - Payroll Taxes</t>
  </si>
  <si>
    <t xml:space="preserve">          60700 - Employee Benefits</t>
  </si>
  <si>
    <t xml:space="preserve">        Utilities and Facilities</t>
  </si>
  <si>
    <t xml:space="preserve">          Facilities</t>
  </si>
  <si>
    <t xml:space="preserve">            61300 - Office Lease</t>
  </si>
  <si>
    <t xml:space="preserve">          Total Facilities</t>
  </si>
  <si>
    <t xml:space="preserve">          Repairs and Maintenance</t>
  </si>
  <si>
    <t xml:space="preserve">            61800 - Repairs and Maintenance</t>
  </si>
  <si>
    <t xml:space="preserve">          Total Repairs and Maintenance</t>
  </si>
  <si>
    <t xml:space="preserve">          Utilities</t>
  </si>
  <si>
    <t xml:space="preserve">            62200 - Utilities</t>
  </si>
  <si>
    <t xml:space="preserve">            62300 - Telephone</t>
  </si>
  <si>
    <t xml:space="preserve">          Total Utilities</t>
  </si>
  <si>
    <t xml:space="preserve">        Operating and Maintenance Expenses</t>
  </si>
  <si>
    <t xml:space="preserve">          Software and Maintenance</t>
  </si>
  <si>
    <t xml:space="preserve">            61250 - Operating Expenses</t>
  </si>
  <si>
    <t xml:space="preserve">          Total Software and Maintenance</t>
  </si>
  <si>
    <t xml:space="preserve">          Professional Services</t>
  </si>
  <si>
    <t xml:space="preserve">            62100 - Professional Services</t>
  </si>
  <si>
    <t xml:space="preserve">          Total Professional Services</t>
  </si>
  <si>
    <t xml:space="preserve">          Bad Debt Expenses</t>
  </si>
  <si>
    <t xml:space="preserve">            80100 - Bad Debt</t>
  </si>
  <si>
    <t xml:space="preserve">          Total Bad Debt Expenses</t>
  </si>
  <si>
    <t xml:space="preserve">          Automobile Expenses</t>
  </si>
  <si>
    <t xml:space="preserve">            60000 - Automobile Expense</t>
  </si>
  <si>
    <t xml:space="preserve">            60800 - Employee Mileage</t>
  </si>
  <si>
    <t xml:space="preserve">          Total Automobile Expenses</t>
  </si>
  <si>
    <t xml:space="preserve">        Marketing and Advertising Expenses</t>
  </si>
  <si>
    <t xml:space="preserve">          Advertising and Promotion</t>
  </si>
  <si>
    <t xml:space="preserve">            61100 - Marketing</t>
  </si>
  <si>
    <t xml:space="preserve">          Total Advertising and Promotion</t>
  </si>
  <si>
    <t xml:space="preserve">        General and Administrative Expenses</t>
  </si>
  <si>
    <t xml:space="preserve">          Office Supplies</t>
  </si>
  <si>
    <t xml:space="preserve">            61200 - Office Expense</t>
  </si>
  <si>
    <t xml:space="preserve">          Total Office Supplies</t>
  </si>
  <si>
    <t xml:space="preserve">          Education</t>
  </si>
  <si>
    <t xml:space="preserve">            60600 - Education/Staff Development</t>
  </si>
  <si>
    <t xml:space="preserve">          Total Education</t>
  </si>
  <si>
    <t xml:space="preserve">          Finance Charges</t>
  </si>
  <si>
    <t xml:space="preserve">            62000 - Service Charges</t>
  </si>
  <si>
    <t xml:space="preserve">            62050 - Merchant Charges</t>
  </si>
  <si>
    <t xml:space="preserve">            63050 - Bank Fees</t>
  </si>
  <si>
    <t xml:space="preserve">          Total Finance Charges</t>
  </si>
  <si>
    <t xml:space="preserve">          Travel, Meals and Entertainment</t>
  </si>
  <si>
    <t xml:space="preserve">            Travel Expenses</t>
  </si>
  <si>
    <t xml:space="preserve">              60300 - Business EE Travel</t>
  </si>
  <si>
    <t xml:space="preserve">            Total Travel Expenses</t>
  </si>
  <si>
    <t xml:space="preserve">            Meals and Entertainment</t>
  </si>
  <si>
    <t xml:space="preserve">              60200 - Business EE Meals</t>
  </si>
  <si>
    <t xml:space="preserve">            Total Meals and Entertainment</t>
  </si>
  <si>
    <t xml:space="preserve">          Total Travel, Meals and Entertainment</t>
  </si>
  <si>
    <t xml:space="preserve">        Taxes and Insurance</t>
  </si>
  <si>
    <t xml:space="preserve">          Insurance</t>
  </si>
  <si>
    <t xml:space="preserve">            61000 - Insurance</t>
  </si>
  <si>
    <t xml:space="preserve">          Total Insurance</t>
  </si>
  <si>
    <t xml:space="preserve">      Total Operating Expense- no Direct or Sales Labor</t>
  </si>
  <si>
    <t xml:space="preserve">    Total Operating Net Income- DL above the line</t>
  </si>
  <si>
    <t xml:space="preserve">    Other Income (Expense)</t>
  </si>
  <si>
    <t xml:space="preserve">      Other Income</t>
  </si>
  <si>
    <t xml:space="preserve">        Interest Income</t>
  </si>
  <si>
    <t xml:space="preserve">          70100 - Interest Income</t>
  </si>
  <si>
    <t xml:space="preserve">        Total Interest Income</t>
  </si>
  <si>
    <t xml:space="preserve">        Gain / Loss on Sales of Fixed Assets</t>
  </si>
  <si>
    <t xml:space="preserve">          80300 - Gain/Loss on Sale of Asset</t>
  </si>
  <si>
    <t xml:space="preserve">        Total Gain / Loss on Sales of Fixed Assets</t>
  </si>
  <si>
    <t xml:space="preserve">        Other Income</t>
  </si>
  <si>
    <t xml:space="preserve">          70000 - Other Income</t>
  </si>
  <si>
    <t xml:space="preserve">        Total Other Income</t>
  </si>
  <si>
    <t xml:space="preserve">      Other Expense</t>
  </si>
  <si>
    <t xml:space="preserve">        Interest Expenses</t>
  </si>
  <si>
    <t xml:space="preserve">          60900 - Interest Expense</t>
  </si>
  <si>
    <t xml:space="preserve">        Total Interest Expenses</t>
  </si>
  <si>
    <t xml:space="preserve">        Partnership Expenses</t>
  </si>
  <si>
    <t xml:space="preserve">          62600 - Stockholder Expenses</t>
  </si>
  <si>
    <t xml:space="preserve">        Total Partnership Expenses</t>
  </si>
  <si>
    <t xml:space="preserve">        Other Expenses</t>
  </si>
  <si>
    <t xml:space="preserve">          80000 - Other Expense</t>
  </si>
  <si>
    <t xml:space="preserve">          60500 - Depreciation Expense</t>
  </si>
  <si>
    <t xml:space="preserve">          60100 - Amortization Expense</t>
  </si>
  <si>
    <t xml:space="preserve">          60110 - Amortization Exp - Finance Lease</t>
  </si>
  <si>
    <t xml:space="preserve">        Charitable Contributions</t>
  </si>
  <si>
    <t xml:space="preserve">          60400 - Charitable Donation</t>
  </si>
  <si>
    <t xml:space="preserve">        Total Charitable Contributions</t>
  </si>
  <si>
    <t xml:space="preserve">        Taxes</t>
  </si>
  <si>
    <t xml:space="preserve">          61700 - Property Taxes</t>
  </si>
  <si>
    <t xml:space="preserve">          61750 - Other Taxes</t>
  </si>
  <si>
    <t xml:space="preserve">        Total Taxes</t>
  </si>
  <si>
    <t xml:space="preserve">      Total Other Expense</t>
  </si>
  <si>
    <t xml:space="preserve">    Total Other Income (Expense)</t>
  </si>
  <si>
    <t xml:space="preserve">    Income Taxes</t>
  </si>
  <si>
    <t xml:space="preserve">      State and Local Taxes</t>
  </si>
  <si>
    <t xml:space="preserve">        61400 - Local Taxes</t>
  </si>
  <si>
    <t xml:space="preserve">        61600 - State Taxes</t>
  </si>
  <si>
    <t xml:space="preserve">      Total State and Local Taxes</t>
  </si>
  <si>
    <t xml:space="preserve">  Net Income</t>
  </si>
  <si>
    <t>Created on : 03/24/2026 3:23 AM PDT</t>
  </si>
  <si>
    <t>Data Path - All Locations</t>
  </si>
  <si>
    <t>Month Ending</t>
  </si>
  <si>
    <t>12/31/2025</t>
  </si>
  <si>
    <t>11/30/2025</t>
  </si>
  <si>
    <t>Actual</t>
  </si>
  <si>
    <t xml:space="preserve">  </t>
  </si>
  <si>
    <t xml:space="preserve">    </t>
  </si>
  <si>
    <t xml:space="preserve">      </t>
  </si>
  <si>
    <t xml:space="preserve">        </t>
  </si>
  <si>
    <t xml:space="preserve">          </t>
  </si>
  <si>
    <t xml:space="preserve">            </t>
  </si>
  <si>
    <t>10/31/2025</t>
  </si>
  <si>
    <t>09/30/2025</t>
  </si>
  <si>
    <t>08/31/2025</t>
  </si>
  <si>
    <t>07/31/2025</t>
  </si>
  <si>
    <t>06/30/2025</t>
  </si>
  <si>
    <t>05/31/2025</t>
  </si>
  <si>
    <t>04/30/2025</t>
  </si>
  <si>
    <t>03/31/2025</t>
  </si>
  <si>
    <t>02/28/2025</t>
  </si>
  <si>
    <t>01/31/2025</t>
  </si>
  <si>
    <t>Total</t>
  </si>
  <si>
    <t>Created on : 03/24/2026 3:43 AM PDT</t>
  </si>
  <si>
    <t>GL Code</t>
  </si>
  <si>
    <t>Posted dt.</t>
  </si>
  <si>
    <t>Doc dt.</t>
  </si>
  <si>
    <t>Doc</t>
  </si>
  <si>
    <t>Memo/Description</t>
  </si>
  <si>
    <t>Department</t>
  </si>
  <si>
    <t>Location</t>
  </si>
  <si>
    <t>Department name</t>
  </si>
  <si>
    <t>Location name</t>
  </si>
  <si>
    <t>Customer name</t>
  </si>
  <si>
    <t>Customer</t>
  </si>
  <si>
    <t>Vendor name</t>
  </si>
  <si>
    <t>Vendor</t>
  </si>
  <si>
    <t>Item name</t>
  </si>
  <si>
    <t>Item</t>
  </si>
  <si>
    <t>Class name</t>
  </si>
  <si>
    <t>Class</t>
  </si>
  <si>
    <t>Product Type</t>
  </si>
  <si>
    <t>Revenue Type</t>
  </si>
  <si>
    <t>Employee name</t>
  </si>
  <si>
    <t>Employee</t>
  </si>
  <si>
    <t>Txn No</t>
  </si>
  <si>
    <t>JNL</t>
  </si>
  <si>
    <t>Debit</t>
  </si>
  <si>
    <t>Credit</t>
  </si>
  <si>
    <t>Balance</t>
  </si>
  <si>
    <t>HHHC Overbilling correction</t>
  </si>
  <si>
    <t>DP</t>
  </si>
  <si>
    <t>Datapath, Inc.</t>
  </si>
  <si>
    <t>GJ</t>
  </si>
  <si>
    <t>Reverse WIP booking for 2024</t>
  </si>
  <si>
    <t>WIP Accrual 2025</t>
  </si>
  <si>
    <t>OHIO</t>
  </si>
  <si>
    <t>Data Path OHIO LLC</t>
  </si>
  <si>
    <t>To correct payroll and accruals</t>
  </si>
  <si>
    <t>DPF</t>
  </si>
  <si>
    <t>Datapath Fresno, LC</t>
  </si>
  <si>
    <t>D-002</t>
  </si>
  <si>
    <t>Administration</t>
  </si>
  <si>
    <t>To post internal use software.</t>
  </si>
  <si>
    <t>Adjustment for Fright out getting relieved from Inventory when should be hitting P&amp;L.</t>
  </si>
  <si>
    <t>AJE241231-018</t>
  </si>
  <si>
    <t>To book Depreciation and Amortization - Data Path Inc</t>
  </si>
  <si>
    <t>Finance Lease Entries 2025</t>
  </si>
  <si>
    <t>To write off remaining balance on FF loan</t>
  </si>
  <si>
    <t>Reversed - INV-10652</t>
  </si>
  <si>
    <t>Bill - Chrysler Capital: Ohio Van- Chrysler Capital</t>
  </si>
  <si>
    <t>L-020</t>
  </si>
  <si>
    <t>Ohio</t>
  </si>
  <si>
    <t>Chrysler Capital</t>
  </si>
  <si>
    <t>V-10979</t>
  </si>
  <si>
    <t>APJ</t>
  </si>
  <si>
    <t>Reversed - INV-10662</t>
  </si>
  <si>
    <t>Reversed - INV-10672</t>
  </si>
  <si>
    <t>Balance sheet cleanup - prepaid insurance</t>
  </si>
  <si>
    <t>D-009</t>
  </si>
  <si>
    <t>Admin</t>
  </si>
  <si>
    <t>Accrue Haskell Dec development</t>
  </si>
  <si>
    <t>Haskell Macarcig</t>
  </si>
  <si>
    <t>V-11170</t>
  </si>
  <si>
    <t>Balance sheet cleanup - prepaid license</t>
  </si>
  <si>
    <t>Balance sheet cleanup - prepaid tools</t>
  </si>
  <si>
    <t>To expense items posted to fixed assets below threshold</t>
  </si>
  <si>
    <t>Charge Card Transaction - Southwest Visa: Professional Services</t>
  </si>
  <si>
    <t>L-010</t>
  </si>
  <si>
    <t>Modesto</t>
  </si>
  <si>
    <t>Kiln</t>
  </si>
  <si>
    <t>V-10212</t>
  </si>
  <si>
    <t>CDJ</t>
  </si>
  <si>
    <t>Operating Lease Entries 2025-DP Ohio</t>
  </si>
  <si>
    <t>Adj to Avalara Accrual</t>
  </si>
  <si>
    <t>L-009</t>
  </si>
  <si>
    <t>Fresno</t>
  </si>
  <si>
    <t>Property tax bill for fiscal year 2025-2026</t>
  </si>
  <si>
    <t>Accrual for PAGA Class Action Suit, California</t>
  </si>
  <si>
    <t>Move Citrin Cooperman fees to expense</t>
  </si>
  <si>
    <t>Accrue estimated settlement costs for CA Class action lawsuit (inclusive of 25k legal)</t>
  </si>
  <si>
    <t>To post PAGA Class Action Accrual</t>
  </si>
  <si>
    <t>To clean up prepaid Citrin balance</t>
  </si>
  <si>
    <t>Accrue remainder due to MSA for 2022/2023 R&amp;D study</t>
  </si>
  <si>
    <t>MSA Corporate Strategies LLC</t>
  </si>
  <si>
    <t>RMP_84</t>
  </si>
  <si>
    <t>Acct Cleanup-Unknown balance for services paid in advance</t>
  </si>
  <si>
    <t>Reverse DLL Finance Free Flooring</t>
  </si>
  <si>
    <t>To write off remaining balance on Rav4</t>
  </si>
  <si>
    <t>Write off remaining balance on Valley Network</t>
  </si>
  <si>
    <t>Payroll Accrual Correction</t>
  </si>
  <si>
    <t>Acct Cleanup-Unknown amount due from Mobile Tech Service.</t>
  </si>
  <si>
    <t>Adjust Earnout for MTS</t>
  </si>
  <si>
    <t>Post sale of Dodge</t>
  </si>
  <si>
    <t>Write off for Customer Aging Report</t>
  </si>
  <si>
    <t>To write off old AP</t>
  </si>
  <si>
    <t>Write off Luther Memorial</t>
  </si>
  <si>
    <t>To write off Chrysler vehicle loan</t>
  </si>
  <si>
    <t>Unadjusted</t>
  </si>
  <si>
    <t>YE Clean up</t>
  </si>
  <si>
    <t>Reverse WIP accrual from 2024 and post 2025 WIP accrual</t>
  </si>
  <si>
    <t>Adjustment for freight out getting relieved from Inventory when should be hitting P&amp;L.</t>
  </si>
  <si>
    <t>Adjust for accrued expenses</t>
  </si>
  <si>
    <t>To post internal use software adjustment</t>
  </si>
  <si>
    <t>Operating Lease Entries 2025</t>
  </si>
  <si>
    <t>Clean up of prepaid balances when should be on 2025 P&amp;L</t>
  </si>
  <si>
    <t>Expense items posted to fixed assets below threshold</t>
  </si>
  <si>
    <t>Accrue estimated settlement costs for CA Class action lawsuit (inclusive of 25k legal) total of $136,800</t>
  </si>
  <si>
    <t>Write off of any uncollectible amounts</t>
  </si>
  <si>
    <t>Record 2025 depreciation, amortization, and any gain/loss on sale of assets</t>
  </si>
  <si>
    <t>To adjust principal balance of outstanding loans to actual</t>
  </si>
  <si>
    <t>Encompasses any of the above adjustments that need to be pushed through the P&amp;L from balance sheet clean up as of 12/31/25</t>
  </si>
  <si>
    <t>8 &amp; 9</t>
  </si>
  <si>
    <t>8 &amp; 10</t>
  </si>
  <si>
    <t>5 &amp; 6</t>
  </si>
  <si>
    <t>8, 9 &amp; 10</t>
  </si>
  <si>
    <t>7, 12, 13 &amp; 14</t>
  </si>
  <si>
    <t>Year To Date</t>
  </si>
  <si>
    <t>12/31/2024</t>
  </si>
  <si>
    <t xml:space="preserve">        Research and Development</t>
  </si>
  <si>
    <t>12/31/2023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</si>
</sst>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"/>
    <numFmt numFmtId="165" formatCode="#,##0.00;\(#,##0.00\)"/>
  </numFmts>
  <fonts count="6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b/>
      <sz val="10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1" fillId="0" borderId="0" xfId="1"/>
    <xf numFmtId="0" fontId="1" fillId="3" borderId="0" xfId="1" applyFill="1"/>
    <xf numFmtId="14" fontId="1" fillId="3" borderId="0" xfId="1" applyNumberFormat="1" applyFill="1"/>
    <xf numFmtId="0" fontId="2" fillId="2" borderId="0" xfId="0" applyFont="1" applyFill="1" applyAlignment="1">
      <alignment horizontal="left"/>
    </xf>
    <xf numFmtId="0" fontId="3" fillId="2" borderId="0" xfId="0" applyFont="1" applyFill="1"/>
    <xf numFmtId="0" fontId="3" fillId="4" borderId="0" xfId="0" applyFont="1" applyFill="1"/>
    <xf numFmtId="0" fontId="3" fillId="0" borderId="0" xfId="0" applyFont="1"/>
    <xf numFmtId="0" fontId="4" fillId="2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4" borderId="0" xfId="0" applyFont="1" applyFill="1" applyAlignment="1">
      <alignment horizontal="right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right"/>
    </xf>
    <xf numFmtId="0" fontId="4" fillId="4" borderId="0" xfId="0" applyFont="1" applyFill="1"/>
    <xf numFmtId="0" fontId="2" fillId="4" borderId="0" xfId="0" applyFont="1" applyFill="1" applyAlignment="1">
      <alignment horizontal="left"/>
    </xf>
    <xf numFmtId="164" fontId="4" fillId="2" borderId="0" xfId="0" applyNumberFormat="1" applyFont="1" applyFill="1" applyAlignment="1">
      <alignment horizontal="right"/>
    </xf>
    <xf numFmtId="165" fontId="4" fillId="4" borderId="0" xfId="0" applyNumberFormat="1" applyFont="1" applyFill="1" applyAlignment="1">
      <alignment horizontal="right"/>
    </xf>
    <xf numFmtId="164" fontId="4" fillId="2" borderId="2" xfId="0" applyNumberFormat="1" applyFont="1" applyFill="1" applyBorder="1" applyAlignment="1">
      <alignment horizontal="right"/>
    </xf>
    <xf numFmtId="164" fontId="4" fillId="4" borderId="0" xfId="0" applyNumberFormat="1" applyFont="1" applyFill="1" applyAlignment="1">
      <alignment horizontal="right"/>
    </xf>
    <xf numFmtId="0" fontId="5" fillId="5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164" fontId="4" fillId="2" borderId="3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2" fillId="2" borderId="4" xfId="0" applyNumberFormat="1" applyFont="1" applyFill="1" applyBorder="1" applyAlignment="1">
      <alignment horizontal="right"/>
    </xf>
    <xf numFmtId="164" fontId="2" fillId="2" borderId="0" xfId="0" applyNumberFormat="1" applyFont="1" applyFill="1" applyAlignment="1">
      <alignment horizontal="right"/>
    </xf>
    <xf numFmtId="0" fontId="5" fillId="4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164" fontId="4" fillId="4" borderId="1" xfId="0" applyNumberFormat="1" applyFont="1" applyFill="1" applyBorder="1" applyAlignment="1">
      <alignment horizontal="right"/>
    </xf>
    <xf numFmtId="164" fontId="4" fillId="4" borderId="3" xfId="0" applyNumberFormat="1" applyFont="1" applyFill="1" applyBorder="1" applyAlignment="1">
      <alignment horizontal="right"/>
    </xf>
    <xf numFmtId="14" fontId="4" fillId="4" borderId="1" xfId="0" applyNumberFormat="1" applyFont="1" applyFill="1" applyBorder="1" applyAlignment="1">
      <alignment horizontal="right"/>
    </xf>
    <xf numFmtId="0" fontId="4" fillId="4" borderId="1" xfId="0" applyFont="1" applyFill="1" applyBorder="1" applyAlignment="1">
      <alignment horizontal="right"/>
    </xf>
    <xf numFmtId="0" fontId="4" fillId="4" borderId="2" xfId="0" applyFont="1" applyFill="1" applyBorder="1" applyAlignment="1">
      <alignment horizontal="right"/>
    </xf>
    <xf numFmtId="164" fontId="2" fillId="4" borderId="4" xfId="0" applyNumberFormat="1" applyFont="1" applyFill="1" applyBorder="1" applyAlignment="1">
      <alignment horizontal="right"/>
    </xf>
    <xf numFmtId="164" fontId="3" fillId="4" borderId="0" xfId="0" applyNumberFormat="1" applyFont="1" applyFill="1"/>
    <xf numFmtId="164" fontId="4" fillId="2" borderId="1" xfId="0" applyNumberFormat="1" applyFont="1" applyFill="1" applyBorder="1" applyAlignment="1">
      <alignment horizontal="right"/>
    </xf>
    <xf numFmtId="0" fontId="4" fillId="2" borderId="0" xfId="0" applyFont="1" applyFill="1"/>
    <xf numFmtId="165" fontId="4" fillId="2" borderId="0" xfId="0" applyNumberFormat="1" applyFont="1" applyFill="1" applyAlignment="1">
      <alignment horizontal="right"/>
    </xf>
    <xf numFmtId="164" fontId="3" fillId="0" borderId="0" xfId="0" applyNumberFormat="1" applyFont="1"/>
  </cellXfs>
  <cellStyles count="2">
    <cellStyle name="Normal" xfId="0" builtinId="0"/>
    <cellStyle name="Normal 2" xfId="1" xr:uid="{1ABA197B-B56E-45F8-9ACF-57CBF3BA19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693F1-EDB9-45F6-B22C-3BA14BDBE7DA}">
  <dimension ref="A1:E53"/>
  <sheetViews>
    <sheetView workbookViewId="0"/>
    <sheetView topLeftCell="A28" workbookViewId="1">
      <selection activeCell="G9" sqref="G9"/>
    </sheetView>
  </sheetViews>
  <sheetFormatPr baseColWidth="10" defaultColWidth="8.83203125" defaultRowHeight="14" x14ac:dyDescent="0.2"/>
  <cols>
    <col min="1" max="1" width="44.83203125" style="6" customWidth="1"/>
    <col min="2" max="4" width="20" style="6" bestFit="1" customWidth="1"/>
    <col min="5" max="16384" width="8.83203125" style="6"/>
  </cols>
  <sheetData>
    <row r="1" spans="1:5" x14ac:dyDescent="0.2">
      <c r="A1" s="16" t="s">
        <v>0</v>
      </c>
    </row>
    <row r="2" spans="1:5" x14ac:dyDescent="0.2">
      <c r="A2" s="16" t="s">
        <v>1</v>
      </c>
    </row>
    <row r="3" spans="1:5" x14ac:dyDescent="0.2">
      <c r="A3" s="9" t="s">
        <v>2</v>
      </c>
    </row>
    <row r="4" spans="1:5" x14ac:dyDescent="0.2">
      <c r="A4" s="9" t="s">
        <v>3</v>
      </c>
    </row>
    <row r="5" spans="1:5" x14ac:dyDescent="0.2">
      <c r="A5" s="28" t="s">
        <v>4</v>
      </c>
    </row>
    <row r="6" spans="1:5" x14ac:dyDescent="0.2">
      <c r="A6" s="9" t="s">
        <v>4</v>
      </c>
      <c r="B6" s="12" t="s">
        <v>190</v>
      </c>
      <c r="C6" s="12" t="s">
        <v>190</v>
      </c>
      <c r="D6" s="12" t="s">
        <v>190</v>
      </c>
    </row>
    <row r="7" spans="1:5" x14ac:dyDescent="0.2">
      <c r="A7" s="9" t="s">
        <v>4</v>
      </c>
      <c r="B7" s="12" t="s">
        <v>326</v>
      </c>
      <c r="C7" s="12" t="s">
        <v>326</v>
      </c>
      <c r="D7" s="12" t="s">
        <v>326</v>
      </c>
    </row>
    <row r="8" spans="1:5" x14ac:dyDescent="0.2">
      <c r="A8" s="9" t="s">
        <v>4</v>
      </c>
      <c r="B8" s="31">
        <v>46022</v>
      </c>
      <c r="C8" s="32" t="s">
        <v>327</v>
      </c>
      <c r="D8" s="32" t="s">
        <v>329</v>
      </c>
    </row>
    <row r="9" spans="1:5" x14ac:dyDescent="0.2">
      <c r="A9" s="9" t="s">
        <v>4</v>
      </c>
      <c r="B9" s="33" t="s">
        <v>194</v>
      </c>
      <c r="C9" s="33" t="s">
        <v>194</v>
      </c>
      <c r="D9" s="33" t="s">
        <v>194</v>
      </c>
    </row>
    <row r="10" spans="1:5" x14ac:dyDescent="0.2">
      <c r="A10" s="16" t="s">
        <v>5</v>
      </c>
      <c r="B10" s="20"/>
      <c r="C10" s="16" t="s">
        <v>195</v>
      </c>
      <c r="D10" s="16" t="s">
        <v>195</v>
      </c>
    </row>
    <row r="11" spans="1:5" x14ac:dyDescent="0.2">
      <c r="A11" s="9" t="s">
        <v>6</v>
      </c>
      <c r="B11" s="20"/>
      <c r="C11" s="9" t="s">
        <v>196</v>
      </c>
      <c r="D11" s="9" t="s">
        <v>196</v>
      </c>
    </row>
    <row r="12" spans="1:5" x14ac:dyDescent="0.2">
      <c r="A12" s="9" t="s">
        <v>7</v>
      </c>
      <c r="B12" s="20"/>
      <c r="C12" s="9" t="s">
        <v>197</v>
      </c>
      <c r="D12" s="9" t="s">
        <v>197</v>
      </c>
    </row>
    <row r="13" spans="1:5" x14ac:dyDescent="0.2">
      <c r="A13" s="9" t="s">
        <v>8</v>
      </c>
      <c r="B13" s="20"/>
      <c r="C13" s="9" t="s">
        <v>198</v>
      </c>
      <c r="D13" s="9" t="s">
        <v>198</v>
      </c>
    </row>
    <row r="14" spans="1:5" x14ac:dyDescent="0.2">
      <c r="A14" s="9" t="s">
        <v>9</v>
      </c>
      <c r="B14" s="20">
        <v>6854056</v>
      </c>
      <c r="C14" s="20">
        <v>6936443</v>
      </c>
      <c r="D14" s="20">
        <v>8102462</v>
      </c>
      <c r="E14" s="9"/>
    </row>
    <row r="15" spans="1:5" x14ac:dyDescent="0.2">
      <c r="A15" s="9" t="s">
        <v>15</v>
      </c>
      <c r="B15" s="20">
        <v>293246</v>
      </c>
      <c r="C15" s="20">
        <v>249130</v>
      </c>
      <c r="D15" s="20">
        <v>501696</v>
      </c>
      <c r="E15" s="9"/>
    </row>
    <row r="16" spans="1:5" x14ac:dyDescent="0.2">
      <c r="A16" s="9" t="s">
        <v>18</v>
      </c>
      <c r="B16" s="20">
        <v>3552126</v>
      </c>
      <c r="C16" s="20">
        <v>2690685</v>
      </c>
      <c r="D16" s="20">
        <v>3860762</v>
      </c>
      <c r="E16" s="9"/>
    </row>
    <row r="17" spans="1:5" x14ac:dyDescent="0.2">
      <c r="A17" s="9" t="s">
        <v>29</v>
      </c>
      <c r="B17" s="20">
        <v>897286</v>
      </c>
      <c r="C17" s="20">
        <v>1636389</v>
      </c>
      <c r="D17" s="20">
        <v>1243556</v>
      </c>
      <c r="E17" s="9"/>
    </row>
    <row r="18" spans="1:5" x14ac:dyDescent="0.2">
      <c r="A18" s="9" t="s">
        <v>30</v>
      </c>
      <c r="B18" s="20">
        <v>320191</v>
      </c>
      <c r="C18" s="20">
        <v>665693</v>
      </c>
      <c r="D18" s="20">
        <v>578727</v>
      </c>
      <c r="E18" s="9"/>
    </row>
    <row r="19" spans="1:5" x14ac:dyDescent="0.2">
      <c r="A19" s="9" t="s">
        <v>35</v>
      </c>
      <c r="B19" s="20">
        <v>5748162</v>
      </c>
      <c r="C19" s="20">
        <v>9750353</v>
      </c>
      <c r="D19" s="20">
        <v>13238613</v>
      </c>
      <c r="E19" s="9"/>
    </row>
    <row r="20" spans="1:5" x14ac:dyDescent="0.2">
      <c r="A20" s="9" t="s">
        <v>36</v>
      </c>
      <c r="B20" s="29">
        <v>89645</v>
      </c>
      <c r="C20" s="29">
        <v>135672</v>
      </c>
      <c r="D20" s="29">
        <v>215473</v>
      </c>
      <c r="E20" s="9"/>
    </row>
    <row r="21" spans="1:5" x14ac:dyDescent="0.2">
      <c r="A21" s="9"/>
      <c r="B21" s="20">
        <v>0</v>
      </c>
      <c r="C21" s="20">
        <v>0</v>
      </c>
      <c r="D21" s="20">
        <v>69</v>
      </c>
      <c r="E21" s="9"/>
    </row>
    <row r="22" spans="1:5" x14ac:dyDescent="0.2">
      <c r="A22" s="9" t="s">
        <v>39</v>
      </c>
      <c r="B22" s="20">
        <v>17754712</v>
      </c>
      <c r="C22" s="20">
        <v>22064365</v>
      </c>
      <c r="D22" s="20">
        <v>27741220</v>
      </c>
      <c r="E22" s="9"/>
    </row>
    <row r="23" spans="1:5" x14ac:dyDescent="0.2">
      <c r="A23" s="9" t="s">
        <v>40</v>
      </c>
      <c r="B23" s="20"/>
      <c r="C23" s="20" t="s">
        <v>198</v>
      </c>
      <c r="D23" s="20" t="s">
        <v>198</v>
      </c>
      <c r="E23" s="9"/>
    </row>
    <row r="24" spans="1:5" x14ac:dyDescent="0.2">
      <c r="A24" s="9" t="s">
        <v>41</v>
      </c>
      <c r="B24" s="20">
        <v>308646</v>
      </c>
      <c r="C24" s="20">
        <v>244439</v>
      </c>
      <c r="D24" s="20">
        <v>384241</v>
      </c>
      <c r="E24" s="9"/>
    </row>
    <row r="25" spans="1:5" x14ac:dyDescent="0.2">
      <c r="A25" s="9" t="s">
        <v>43</v>
      </c>
      <c r="B25" s="20">
        <v>130837</v>
      </c>
      <c r="C25" s="20">
        <v>111211</v>
      </c>
      <c r="D25" s="20">
        <v>362537</v>
      </c>
      <c r="E25" s="9"/>
    </row>
    <row r="26" spans="1:5" x14ac:dyDescent="0.2">
      <c r="A26" s="9" t="s">
        <v>46</v>
      </c>
      <c r="B26" s="20">
        <v>2209537</v>
      </c>
      <c r="C26" s="20">
        <v>1848460</v>
      </c>
      <c r="D26" s="20">
        <v>2081794</v>
      </c>
      <c r="E26" s="9"/>
    </row>
    <row r="27" spans="1:5" x14ac:dyDescent="0.2">
      <c r="A27" s="9" t="s">
        <v>58</v>
      </c>
      <c r="B27" s="20">
        <v>2899</v>
      </c>
      <c r="C27" s="20">
        <v>28353</v>
      </c>
      <c r="D27" s="20">
        <v>10903</v>
      </c>
      <c r="E27" s="9"/>
    </row>
    <row r="28" spans="1:5" x14ac:dyDescent="0.2">
      <c r="A28" s="9" t="s">
        <v>60</v>
      </c>
      <c r="B28" s="20">
        <v>290943</v>
      </c>
      <c r="C28" s="20">
        <v>556704</v>
      </c>
      <c r="D28" s="20">
        <v>491468</v>
      </c>
      <c r="E28" s="9"/>
    </row>
    <row r="29" spans="1:5" x14ac:dyDescent="0.2">
      <c r="A29" s="9" t="s">
        <v>62</v>
      </c>
      <c r="B29" s="20">
        <v>4849109</v>
      </c>
      <c r="C29" s="20">
        <v>8022086</v>
      </c>
      <c r="D29" s="20">
        <v>11092919</v>
      </c>
      <c r="E29" s="9"/>
    </row>
    <row r="30" spans="1:5" x14ac:dyDescent="0.2">
      <c r="A30" s="9" t="s">
        <v>65</v>
      </c>
      <c r="B30" s="20">
        <v>692147</v>
      </c>
      <c r="C30" s="20">
        <v>0</v>
      </c>
      <c r="D30" s="20">
        <v>0</v>
      </c>
      <c r="E30" s="9"/>
    </row>
    <row r="31" spans="1:5" x14ac:dyDescent="0.2">
      <c r="A31" s="9" t="s">
        <v>70</v>
      </c>
      <c r="B31" s="29">
        <v>2587557</v>
      </c>
      <c r="C31" s="29">
        <v>4111567</v>
      </c>
      <c r="D31" s="29">
        <v>0</v>
      </c>
      <c r="E31" s="9"/>
    </row>
    <row r="32" spans="1:5" x14ac:dyDescent="0.2">
      <c r="A32" s="9" t="s">
        <v>77</v>
      </c>
      <c r="B32" s="20">
        <v>11071675</v>
      </c>
      <c r="C32" s="20">
        <v>14922820</v>
      </c>
      <c r="D32" s="20">
        <v>14423862</v>
      </c>
      <c r="E32" s="9"/>
    </row>
    <row r="33" spans="1:5" x14ac:dyDescent="0.2">
      <c r="A33" s="9" t="s">
        <v>78</v>
      </c>
      <c r="B33" s="20">
        <v>6683037</v>
      </c>
      <c r="C33" s="20">
        <v>7141545</v>
      </c>
      <c r="D33" s="20">
        <v>13317358</v>
      </c>
      <c r="E33" s="9"/>
    </row>
    <row r="34" spans="1:5" x14ac:dyDescent="0.2">
      <c r="A34" s="9" t="s">
        <v>79</v>
      </c>
      <c r="B34" s="20">
        <v>1661111</v>
      </c>
      <c r="C34" s="20">
        <v>1706643</v>
      </c>
      <c r="D34" s="20">
        <v>0</v>
      </c>
      <c r="E34" s="9"/>
    </row>
    <row r="35" spans="1:5" x14ac:dyDescent="0.2">
      <c r="A35" s="9" t="s">
        <v>86</v>
      </c>
      <c r="B35" s="20"/>
      <c r="C35" s="20" t="s">
        <v>197</v>
      </c>
      <c r="D35" s="20"/>
      <c r="E35" s="9"/>
    </row>
    <row r="36" spans="1:5" x14ac:dyDescent="0.2">
      <c r="A36" s="9" t="s">
        <v>87</v>
      </c>
      <c r="B36" s="20">
        <v>960566</v>
      </c>
      <c r="C36" s="20">
        <v>1417800</v>
      </c>
      <c r="D36" s="20">
        <v>7319360</v>
      </c>
      <c r="E36" s="9"/>
    </row>
    <row r="37" spans="1:5" x14ac:dyDescent="0.2">
      <c r="A37" s="9" t="s">
        <v>96</v>
      </c>
      <c r="B37" s="20">
        <v>494644</v>
      </c>
      <c r="C37" s="20">
        <v>485563</v>
      </c>
      <c r="D37" s="20">
        <v>443737</v>
      </c>
      <c r="E37" s="9"/>
    </row>
    <row r="38" spans="1:5" x14ac:dyDescent="0.2">
      <c r="A38" s="9" t="s">
        <v>107</v>
      </c>
      <c r="B38" s="20">
        <v>1453007</v>
      </c>
      <c r="C38" s="20">
        <v>857972</v>
      </c>
      <c r="D38" s="20">
        <v>769383</v>
      </c>
      <c r="E38" s="9"/>
    </row>
    <row r="39" spans="1:5" x14ac:dyDescent="0.2">
      <c r="A39" s="9" t="s">
        <v>121</v>
      </c>
      <c r="B39" s="20">
        <v>118962</v>
      </c>
      <c r="C39" s="20">
        <v>132250</v>
      </c>
      <c r="D39" s="20">
        <v>75785</v>
      </c>
      <c r="E39" s="9"/>
    </row>
    <row r="40" spans="1:5" x14ac:dyDescent="0.2">
      <c r="A40" s="9" t="s">
        <v>125</v>
      </c>
      <c r="B40" s="20">
        <v>269759</v>
      </c>
      <c r="C40" s="20">
        <v>389429</v>
      </c>
      <c r="D40" s="20">
        <v>399339</v>
      </c>
      <c r="E40" s="9"/>
    </row>
    <row r="41" spans="1:5" x14ac:dyDescent="0.2">
      <c r="A41" s="9" t="s">
        <v>145</v>
      </c>
      <c r="B41" s="20">
        <v>228578</v>
      </c>
      <c r="C41" s="20">
        <v>78090</v>
      </c>
      <c r="D41" s="20">
        <v>105668</v>
      </c>
      <c r="E41" s="9"/>
    </row>
    <row r="42" spans="1:5" x14ac:dyDescent="0.2">
      <c r="A42" s="9" t="s">
        <v>328</v>
      </c>
      <c r="B42" s="20"/>
      <c r="C42" s="20">
        <v>665</v>
      </c>
      <c r="D42" s="20">
        <v>447</v>
      </c>
      <c r="E42" s="9"/>
    </row>
    <row r="43" spans="1:5" x14ac:dyDescent="0.2">
      <c r="A43" s="9" t="s">
        <v>149</v>
      </c>
      <c r="B43" s="30">
        <v>3525516</v>
      </c>
      <c r="C43" s="30">
        <v>3361769</v>
      </c>
      <c r="D43" s="30">
        <v>9113719</v>
      </c>
      <c r="E43" s="9"/>
    </row>
    <row r="44" spans="1:5" x14ac:dyDescent="0.2">
      <c r="A44" s="9" t="s">
        <v>150</v>
      </c>
      <c r="B44" s="20">
        <v>1496410</v>
      </c>
      <c r="C44" s="20">
        <v>2073133</v>
      </c>
      <c r="D44" s="20">
        <v>4203639</v>
      </c>
      <c r="E44" s="9"/>
    </row>
    <row r="45" spans="1:5" x14ac:dyDescent="0.2">
      <c r="A45" s="9" t="s">
        <v>151</v>
      </c>
      <c r="B45" s="20"/>
      <c r="C45" s="20" t="s">
        <v>196</v>
      </c>
      <c r="D45" s="20" t="s">
        <v>196</v>
      </c>
      <c r="E45" s="9"/>
    </row>
    <row r="46" spans="1:5" x14ac:dyDescent="0.2">
      <c r="A46" s="9" t="s">
        <v>152</v>
      </c>
      <c r="B46" s="20">
        <v>64546</v>
      </c>
      <c r="C46" s="20">
        <v>444375</v>
      </c>
      <c r="D46" s="20">
        <v>461995</v>
      </c>
      <c r="E46" s="9"/>
    </row>
    <row r="47" spans="1:5" x14ac:dyDescent="0.2">
      <c r="A47" s="9" t="s">
        <v>162</v>
      </c>
      <c r="B47" s="29">
        <v>-264914</v>
      </c>
      <c r="C47" s="29">
        <v>-1328753</v>
      </c>
      <c r="D47" s="29">
        <v>-1221564</v>
      </c>
      <c r="E47" s="9"/>
    </row>
    <row r="48" spans="1:5" x14ac:dyDescent="0.2">
      <c r="A48" s="9" t="s">
        <v>182</v>
      </c>
      <c r="B48" s="29">
        <v>-200368</v>
      </c>
      <c r="C48" s="29">
        <v>-884378</v>
      </c>
      <c r="D48" s="29">
        <v>-759569</v>
      </c>
      <c r="E48" s="9"/>
    </row>
    <row r="49" spans="1:5" x14ac:dyDescent="0.2">
      <c r="A49" s="9" t="s">
        <v>183</v>
      </c>
      <c r="B49" s="20">
        <v>38650</v>
      </c>
      <c r="C49" s="20">
        <v>61005</v>
      </c>
      <c r="D49" s="20">
        <v>40566</v>
      </c>
      <c r="E49" s="9"/>
    </row>
    <row r="50" spans="1:5" ht="15" thickBot="1" x14ac:dyDescent="0.25">
      <c r="A50" s="16" t="s">
        <v>188</v>
      </c>
      <c r="B50" s="34">
        <v>1257392</v>
      </c>
      <c r="C50" s="34">
        <v>1127750</v>
      </c>
      <c r="D50" s="34">
        <v>3403504</v>
      </c>
      <c r="E50" s="16"/>
    </row>
    <row r="51" spans="1:5" ht="15" thickTop="1" x14ac:dyDescent="0.2">
      <c r="A51" s="28" t="s">
        <v>4</v>
      </c>
    </row>
    <row r="52" spans="1:5" x14ac:dyDescent="0.2">
      <c r="A52" s="28" t="s">
        <v>4</v>
      </c>
      <c r="B52" s="35"/>
    </row>
    <row r="53" spans="1:5" x14ac:dyDescent="0.2">
      <c r="A53" s="9" t="s">
        <v>212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C9D56-6ACE-42B3-A8DD-9C23F2928722}">
  <dimension ref="A1:Q315"/>
  <sheetViews>
    <sheetView tabSelected="1" workbookViewId="0">
      <selection activeCell="E44" sqref="E44"/>
    </sheetView>
    <sheetView tabSelected="1" workbookViewId="1">
      <selection activeCell="C50" sqref="C50"/>
    </sheetView>
  </sheetViews>
  <sheetFormatPr baseColWidth="10" defaultColWidth="8.83203125" defaultRowHeight="14" x14ac:dyDescent="0.2"/>
  <cols>
    <col min="1" max="1" width="44.83203125" style="5" customWidth="1"/>
    <col min="2" max="2" width="13.33203125" style="6" customWidth="1"/>
    <col min="3" max="3" width="11.83203125" style="5" customWidth="1"/>
    <col min="4" max="4" width="11.5" style="5" bestFit="1" customWidth="1"/>
    <col min="5" max="5" width="11.83203125" style="5" customWidth="1"/>
    <col min="6" max="6" width="17.1640625" style="6" bestFit="1" customWidth="1"/>
    <col min="7" max="17" width="13.33203125" style="6" customWidth="1"/>
    <col min="18" max="16384" width="8.83203125" style="7"/>
  </cols>
  <sheetData>
    <row r="1" spans="1:17" x14ac:dyDescent="0.2">
      <c r="A1" s="4" t="s">
        <v>0</v>
      </c>
    </row>
    <row r="2" spans="1:17" x14ac:dyDescent="0.2">
      <c r="A2" s="4" t="s">
        <v>1</v>
      </c>
    </row>
    <row r="3" spans="1:17" x14ac:dyDescent="0.2">
      <c r="A3" s="8" t="s">
        <v>2</v>
      </c>
      <c r="C3" s="8"/>
      <c r="D3" s="8"/>
      <c r="E3" s="8"/>
    </row>
    <row r="4" spans="1:17" x14ac:dyDescent="0.2">
      <c r="A4" s="8" t="s">
        <v>3</v>
      </c>
      <c r="C4" s="8"/>
      <c r="D4" s="8"/>
      <c r="E4" s="8"/>
    </row>
    <row r="5" spans="1:17" x14ac:dyDescent="0.2">
      <c r="A5" s="10" t="s">
        <v>4</v>
      </c>
    </row>
    <row r="6" spans="1:17" x14ac:dyDescent="0.2">
      <c r="A6" s="8" t="s">
        <v>4</v>
      </c>
      <c r="B6" s="12" t="s">
        <v>190</v>
      </c>
      <c r="C6" s="11"/>
      <c r="D6" s="11"/>
      <c r="E6" s="11"/>
      <c r="F6" s="12" t="s">
        <v>190</v>
      </c>
      <c r="G6" s="12" t="s">
        <v>190</v>
      </c>
      <c r="H6" s="12" t="s">
        <v>190</v>
      </c>
      <c r="I6" s="12" t="s">
        <v>190</v>
      </c>
      <c r="J6" s="12" t="s">
        <v>190</v>
      </c>
      <c r="K6" s="12" t="s">
        <v>190</v>
      </c>
      <c r="L6" s="12" t="s">
        <v>190</v>
      </c>
      <c r="M6" s="12" t="s">
        <v>190</v>
      </c>
      <c r="N6" s="12" t="s">
        <v>190</v>
      </c>
      <c r="O6" s="12" t="s">
        <v>190</v>
      </c>
      <c r="P6" s="12" t="s">
        <v>190</v>
      </c>
      <c r="Q6" s="12" t="s">
        <v>190</v>
      </c>
    </row>
    <row r="7" spans="1:17" x14ac:dyDescent="0.2">
      <c r="A7" s="8" t="s">
        <v>4</v>
      </c>
      <c r="B7" s="12" t="s">
        <v>191</v>
      </c>
      <c r="C7" s="11"/>
      <c r="D7" s="11" t="s">
        <v>307</v>
      </c>
      <c r="E7" s="11"/>
      <c r="F7" s="12" t="s">
        <v>191</v>
      </c>
      <c r="G7" s="12" t="s">
        <v>191</v>
      </c>
      <c r="H7" s="12" t="s">
        <v>191</v>
      </c>
      <c r="I7" s="12" t="s">
        <v>191</v>
      </c>
      <c r="J7" s="12" t="s">
        <v>191</v>
      </c>
      <c r="K7" s="12" t="s">
        <v>191</v>
      </c>
      <c r="L7" s="12" t="s">
        <v>191</v>
      </c>
      <c r="M7" s="12" t="s">
        <v>191</v>
      </c>
      <c r="N7" s="12" t="s">
        <v>191</v>
      </c>
      <c r="O7" s="12" t="s">
        <v>191</v>
      </c>
      <c r="P7" s="12" t="s">
        <v>191</v>
      </c>
      <c r="Q7" s="12" t="s">
        <v>191</v>
      </c>
    </row>
    <row r="8" spans="1:17" x14ac:dyDescent="0.2">
      <c r="A8" s="8" t="s">
        <v>4</v>
      </c>
      <c r="B8" s="32" t="s">
        <v>192</v>
      </c>
      <c r="C8" s="13" t="s">
        <v>308</v>
      </c>
      <c r="D8" s="13" t="s">
        <v>192</v>
      </c>
      <c r="E8" s="11"/>
      <c r="F8" s="32" t="s">
        <v>193</v>
      </c>
      <c r="G8" s="32" t="s">
        <v>201</v>
      </c>
      <c r="H8" s="32" t="s">
        <v>202</v>
      </c>
      <c r="I8" s="32" t="s">
        <v>203</v>
      </c>
      <c r="J8" s="32" t="s">
        <v>204</v>
      </c>
      <c r="K8" s="32" t="s">
        <v>205</v>
      </c>
      <c r="L8" s="32" t="s">
        <v>206</v>
      </c>
      <c r="M8" s="32" t="s">
        <v>207</v>
      </c>
      <c r="N8" s="32" t="s">
        <v>208</v>
      </c>
      <c r="O8" s="32" t="s">
        <v>209</v>
      </c>
      <c r="P8" s="32" t="s">
        <v>210</v>
      </c>
      <c r="Q8" s="32" t="s">
        <v>211</v>
      </c>
    </row>
    <row r="9" spans="1:17" x14ac:dyDescent="0.2">
      <c r="A9" s="8" t="s">
        <v>4</v>
      </c>
      <c r="B9" s="20"/>
      <c r="C9" s="14"/>
      <c r="D9" s="14"/>
      <c r="E9" s="11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</row>
    <row r="10" spans="1:17" x14ac:dyDescent="0.2">
      <c r="A10" s="4" t="s">
        <v>5</v>
      </c>
      <c r="B10" s="20"/>
      <c r="C10" s="37"/>
      <c r="D10" s="37"/>
      <c r="E10" s="37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</row>
    <row r="11" spans="1:17" x14ac:dyDescent="0.2">
      <c r="A11" s="8" t="s">
        <v>6</v>
      </c>
      <c r="B11" s="20"/>
      <c r="C11" s="37"/>
      <c r="D11" s="37"/>
      <c r="E11" s="37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</row>
    <row r="12" spans="1:17" x14ac:dyDescent="0.2">
      <c r="A12" s="8" t="s">
        <v>7</v>
      </c>
      <c r="B12" s="20"/>
      <c r="C12" s="4"/>
      <c r="D12" s="4"/>
      <c r="E12" s="4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</row>
    <row r="13" spans="1:17" x14ac:dyDescent="0.2">
      <c r="A13" s="8" t="s">
        <v>8</v>
      </c>
      <c r="B13" s="20"/>
      <c r="C13" s="37"/>
      <c r="D13" s="37"/>
      <c r="E13" s="37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</row>
    <row r="14" spans="1:17" x14ac:dyDescent="0.2">
      <c r="A14" s="8" t="s">
        <v>9</v>
      </c>
      <c r="B14" s="20">
        <f>SUMIF('P&amp;L by Month Detail'!$A:$A,'Condensed P&amp;L by Month'!$A14,'P&amp;L by Month Detail'!C:C)</f>
        <v>586949</v>
      </c>
      <c r="C14" s="17">
        <f>SUMIF('P&amp;L by Month Detail'!$A:$A,'Condensed P&amp;L by Month'!$A14,'P&amp;L by Month Detail'!D:D)</f>
        <v>0</v>
      </c>
      <c r="D14" s="17">
        <f>+B14+C14</f>
        <v>586949</v>
      </c>
      <c r="E14" s="8"/>
      <c r="F14" s="20">
        <f>SUMIF('P&amp;L by Month Detail'!$A:$A,'Condensed P&amp;L by Month'!$A14,'P&amp;L by Month Detail'!G:G)</f>
        <v>581869</v>
      </c>
      <c r="G14" s="20">
        <f>SUMIF('P&amp;L by Month Detail'!$A:$A,'Condensed P&amp;L by Month'!$A14,'P&amp;L by Month Detail'!H:H)</f>
        <v>578956</v>
      </c>
      <c r="H14" s="20">
        <f>SUMIF('P&amp;L by Month Detail'!$A:$A,'Condensed P&amp;L by Month'!$A14,'P&amp;L by Month Detail'!I:I)</f>
        <v>547217</v>
      </c>
      <c r="I14" s="20">
        <f>SUMIF('P&amp;L by Month Detail'!$A:$A,'Condensed P&amp;L by Month'!$A14,'P&amp;L by Month Detail'!J:J)</f>
        <v>587835</v>
      </c>
      <c r="J14" s="20">
        <f>SUMIF('P&amp;L by Month Detail'!$A:$A,'Condensed P&amp;L by Month'!$A14,'P&amp;L by Month Detail'!K:K)</f>
        <v>573925</v>
      </c>
      <c r="K14" s="20">
        <f>SUMIF('P&amp;L by Month Detail'!$A:$A,'Condensed P&amp;L by Month'!$A14,'P&amp;L by Month Detail'!L:L)</f>
        <v>595438</v>
      </c>
      <c r="L14" s="20">
        <f>SUMIF('P&amp;L by Month Detail'!$A:$A,'Condensed P&amp;L by Month'!$A14,'P&amp;L by Month Detail'!M:M)</f>
        <v>584502</v>
      </c>
      <c r="M14" s="20">
        <f>SUMIF('P&amp;L by Month Detail'!$A:$A,'Condensed P&amp;L by Month'!$A14,'P&amp;L by Month Detail'!N:N)</f>
        <v>587391</v>
      </c>
      <c r="N14" s="20">
        <f>SUMIF('P&amp;L by Month Detail'!$A:$A,'Condensed P&amp;L by Month'!$A14,'P&amp;L by Month Detail'!O:O)</f>
        <v>550648</v>
      </c>
      <c r="O14" s="20">
        <f>SUMIF('P&amp;L by Month Detail'!$A:$A,'Condensed P&amp;L by Month'!$A14,'P&amp;L by Month Detail'!P:P)</f>
        <v>541962</v>
      </c>
      <c r="P14" s="20">
        <f>SUMIF('P&amp;L by Month Detail'!$A:$A,'Condensed P&amp;L by Month'!$A14,'P&amp;L by Month Detail'!Q:Q)</f>
        <v>537364</v>
      </c>
      <c r="Q14" s="20">
        <f>+SUM(F14:P14)+B14</f>
        <v>6854056</v>
      </c>
    </row>
    <row r="15" spans="1:17" x14ac:dyDescent="0.2">
      <c r="A15" s="8" t="s">
        <v>15</v>
      </c>
      <c r="B15" s="20">
        <f>SUMIF('P&amp;L by Month Detail'!$A:$A,'Condensed P&amp;L by Month'!$A15,'P&amp;L by Month Detail'!C:C)</f>
        <v>27201</v>
      </c>
      <c r="C15" s="17">
        <f>SUMIF('P&amp;L by Month Detail'!$A:$A,'Condensed P&amp;L by Month'!$A15,'P&amp;L by Month Detail'!D:D)</f>
        <v>0</v>
      </c>
      <c r="D15" s="17">
        <f t="shared" ref="D15:D47" si="0">+B15+C15</f>
        <v>27201</v>
      </c>
      <c r="E15" s="38"/>
      <c r="F15" s="20">
        <f>SUMIF('P&amp;L by Month Detail'!$A:$A,'Condensed P&amp;L by Month'!$A15,'P&amp;L by Month Detail'!G:G)</f>
        <v>27015</v>
      </c>
      <c r="G15" s="20">
        <f>SUMIF('P&amp;L by Month Detail'!$A:$A,'Condensed P&amp;L by Month'!$A15,'P&amp;L by Month Detail'!H:H)</f>
        <v>26997</v>
      </c>
      <c r="H15" s="20">
        <f>SUMIF('P&amp;L by Month Detail'!$A:$A,'Condensed P&amp;L by Month'!$A15,'P&amp;L by Month Detail'!I:I)</f>
        <v>21601</v>
      </c>
      <c r="I15" s="20">
        <f>SUMIF('P&amp;L by Month Detail'!$A:$A,'Condensed P&amp;L by Month'!$A15,'P&amp;L by Month Detail'!J:J)</f>
        <v>26424</v>
      </c>
      <c r="J15" s="20">
        <f>SUMIF('P&amp;L by Month Detail'!$A:$A,'Condensed P&amp;L by Month'!$A15,'P&amp;L by Month Detail'!K:K)</f>
        <v>26261</v>
      </c>
      <c r="K15" s="20">
        <f>SUMIF('P&amp;L by Month Detail'!$A:$A,'Condensed P&amp;L by Month'!$A15,'P&amp;L by Month Detail'!L:L)</f>
        <v>24486</v>
      </c>
      <c r="L15" s="20">
        <f>SUMIF('P&amp;L by Month Detail'!$A:$A,'Condensed P&amp;L by Month'!$A15,'P&amp;L by Month Detail'!M:M)</f>
        <v>24468</v>
      </c>
      <c r="M15" s="20">
        <f>SUMIF('P&amp;L by Month Detail'!$A:$A,'Condensed P&amp;L by Month'!$A15,'P&amp;L by Month Detail'!N:N)</f>
        <v>23204</v>
      </c>
      <c r="N15" s="20">
        <f>SUMIF('P&amp;L by Month Detail'!$A:$A,'Condensed P&amp;L by Month'!$A15,'P&amp;L by Month Detail'!O:O)</f>
        <v>22726</v>
      </c>
      <c r="O15" s="20">
        <f>SUMIF('P&amp;L by Month Detail'!$A:$A,'Condensed P&amp;L by Month'!$A15,'P&amp;L by Month Detail'!P:P)</f>
        <v>22726</v>
      </c>
      <c r="P15" s="20">
        <f>SUMIF('P&amp;L by Month Detail'!$A:$A,'Condensed P&amp;L by Month'!$A15,'P&amp;L by Month Detail'!Q:Q)</f>
        <v>20137</v>
      </c>
      <c r="Q15" s="20">
        <f t="shared" ref="Q15:Q20" si="1">+SUM(F15:P15)+B15</f>
        <v>293246</v>
      </c>
    </row>
    <row r="16" spans="1:17" x14ac:dyDescent="0.2">
      <c r="A16" s="8" t="s">
        <v>18</v>
      </c>
      <c r="B16" s="20">
        <f>SUMIF('P&amp;L by Month Detail'!$A:$A,'Condensed P&amp;L by Month'!$A16,'P&amp;L by Month Detail'!C:C)</f>
        <v>293462</v>
      </c>
      <c r="C16" s="17">
        <f>SUMIF('P&amp;L by Month Detail'!$A:$A,'Condensed P&amp;L by Month'!$A16,'P&amp;L by Month Detail'!D:D)</f>
        <v>-60357</v>
      </c>
      <c r="D16" s="17">
        <f t="shared" si="0"/>
        <v>233105</v>
      </c>
      <c r="E16" s="21">
        <v>1</v>
      </c>
      <c r="F16" s="20">
        <f>SUMIF('P&amp;L by Month Detail'!$A:$A,'Condensed P&amp;L by Month'!$A16,'P&amp;L by Month Detail'!G:G)</f>
        <v>352224</v>
      </c>
      <c r="G16" s="20">
        <f>SUMIF('P&amp;L by Month Detail'!$A:$A,'Condensed P&amp;L by Month'!$A16,'P&amp;L by Month Detail'!H:H)</f>
        <v>356786</v>
      </c>
      <c r="H16" s="20">
        <f>SUMIF('P&amp;L by Month Detail'!$A:$A,'Condensed P&amp;L by Month'!$A16,'P&amp;L by Month Detail'!I:I)</f>
        <v>299709</v>
      </c>
      <c r="I16" s="20">
        <f>SUMIF('P&amp;L by Month Detail'!$A:$A,'Condensed P&amp;L by Month'!$A16,'P&amp;L by Month Detail'!J:J)</f>
        <v>308346</v>
      </c>
      <c r="J16" s="20">
        <f>SUMIF('P&amp;L by Month Detail'!$A:$A,'Condensed P&amp;L by Month'!$A16,'P&amp;L by Month Detail'!K:K)</f>
        <v>307801</v>
      </c>
      <c r="K16" s="20">
        <f>SUMIF('P&amp;L by Month Detail'!$A:$A,'Condensed P&amp;L by Month'!$A16,'P&amp;L by Month Detail'!L:L)</f>
        <v>301279</v>
      </c>
      <c r="L16" s="20">
        <f>SUMIF('P&amp;L by Month Detail'!$A:$A,'Condensed P&amp;L by Month'!$A16,'P&amp;L by Month Detail'!M:M)</f>
        <v>309155</v>
      </c>
      <c r="M16" s="20">
        <f>SUMIF('P&amp;L by Month Detail'!$A:$A,'Condensed P&amp;L by Month'!$A16,'P&amp;L by Month Detail'!N:N)</f>
        <v>271511</v>
      </c>
      <c r="N16" s="20">
        <f>SUMIF('P&amp;L by Month Detail'!$A:$A,'Condensed P&amp;L by Month'!$A16,'P&amp;L by Month Detail'!O:O)</f>
        <v>265320</v>
      </c>
      <c r="O16" s="20">
        <f>SUMIF('P&amp;L by Month Detail'!$A:$A,'Condensed P&amp;L by Month'!$A16,'P&amp;L by Month Detail'!P:P)</f>
        <v>247561</v>
      </c>
      <c r="P16" s="20">
        <f>SUMIF('P&amp;L by Month Detail'!$A:$A,'Condensed P&amp;L by Month'!$A16,'P&amp;L by Month Detail'!Q:Q)</f>
        <v>238972</v>
      </c>
      <c r="Q16" s="20">
        <f t="shared" si="1"/>
        <v>3552126</v>
      </c>
    </row>
    <row r="17" spans="1:17" x14ac:dyDescent="0.2">
      <c r="A17" s="8" t="s">
        <v>29</v>
      </c>
      <c r="B17" s="20">
        <f>SUMIF('P&amp;L by Month Detail'!$A:$A,'Condensed P&amp;L by Month'!$A17,'P&amp;L by Month Detail'!C:C)</f>
        <v>61485</v>
      </c>
      <c r="C17" s="17">
        <f>SUMIF('P&amp;L by Month Detail'!$A:$A,'Condensed P&amp;L by Month'!$A17,'P&amp;L by Month Detail'!D:D)</f>
        <v>43058.14</v>
      </c>
      <c r="D17" s="17">
        <f t="shared" si="0"/>
        <v>104543.14</v>
      </c>
      <c r="E17" s="21">
        <v>2</v>
      </c>
      <c r="F17" s="20">
        <f>SUMIF('P&amp;L by Month Detail'!$A:$A,'Condensed P&amp;L by Month'!$A17,'P&amp;L by Month Detail'!G:G)</f>
        <v>47381</v>
      </c>
      <c r="G17" s="20">
        <f>SUMIF('P&amp;L by Month Detail'!$A:$A,'Condensed P&amp;L by Month'!$A17,'P&amp;L by Month Detail'!H:H)</f>
        <v>67554</v>
      </c>
      <c r="H17" s="20">
        <f>SUMIF('P&amp;L by Month Detail'!$A:$A,'Condensed P&amp;L by Month'!$A17,'P&amp;L by Month Detail'!I:I)</f>
        <v>46071</v>
      </c>
      <c r="I17" s="20">
        <f>SUMIF('P&amp;L by Month Detail'!$A:$A,'Condensed P&amp;L by Month'!$A17,'P&amp;L by Month Detail'!J:J)</f>
        <v>104693</v>
      </c>
      <c r="J17" s="20">
        <f>SUMIF('P&amp;L by Month Detail'!$A:$A,'Condensed P&amp;L by Month'!$A17,'P&amp;L by Month Detail'!K:K)</f>
        <v>53462</v>
      </c>
      <c r="K17" s="20">
        <f>SUMIF('P&amp;L by Month Detail'!$A:$A,'Condensed P&amp;L by Month'!$A17,'P&amp;L by Month Detail'!L:L)</f>
        <v>120765</v>
      </c>
      <c r="L17" s="20">
        <f>SUMIF('P&amp;L by Month Detail'!$A:$A,'Condensed P&amp;L by Month'!$A17,'P&amp;L by Month Detail'!M:M)</f>
        <v>47201</v>
      </c>
      <c r="M17" s="20">
        <f>SUMIF('P&amp;L by Month Detail'!$A:$A,'Condensed P&amp;L by Month'!$A17,'P&amp;L by Month Detail'!N:N)</f>
        <v>99226</v>
      </c>
      <c r="N17" s="20">
        <f>SUMIF('P&amp;L by Month Detail'!$A:$A,'Condensed P&amp;L by Month'!$A17,'P&amp;L by Month Detail'!O:O)</f>
        <v>105235</v>
      </c>
      <c r="O17" s="20">
        <f>SUMIF('P&amp;L by Month Detail'!$A:$A,'Condensed P&amp;L by Month'!$A17,'P&amp;L by Month Detail'!P:P)</f>
        <v>92496</v>
      </c>
      <c r="P17" s="20">
        <f>SUMIF('P&amp;L by Month Detail'!$A:$A,'Condensed P&amp;L by Month'!$A17,'P&amp;L by Month Detail'!Q:Q)</f>
        <v>51717</v>
      </c>
      <c r="Q17" s="20">
        <f t="shared" si="1"/>
        <v>897286</v>
      </c>
    </row>
    <row r="18" spans="1:17" x14ac:dyDescent="0.2">
      <c r="A18" s="8" t="s">
        <v>30</v>
      </c>
      <c r="B18" s="20">
        <f>SUMIF('P&amp;L by Month Detail'!$A:$A,'Condensed P&amp;L by Month'!$A18,'P&amp;L by Month Detail'!C:C)</f>
        <v>4614</v>
      </c>
      <c r="C18" s="17">
        <f>SUMIF('P&amp;L by Month Detail'!$A:$A,'Condensed P&amp;L by Month'!$A18,'P&amp;L by Month Detail'!D:D)</f>
        <v>0</v>
      </c>
      <c r="D18" s="17">
        <f t="shared" si="0"/>
        <v>4614</v>
      </c>
      <c r="E18" s="38"/>
      <c r="F18" s="20">
        <f>SUMIF('P&amp;L by Month Detail'!$A:$A,'Condensed P&amp;L by Month'!$A18,'P&amp;L by Month Detail'!G:G)</f>
        <v>13197</v>
      </c>
      <c r="G18" s="20">
        <f>SUMIF('P&amp;L by Month Detail'!$A:$A,'Condensed P&amp;L by Month'!$A18,'P&amp;L by Month Detail'!H:H)</f>
        <v>19989</v>
      </c>
      <c r="H18" s="20">
        <f>SUMIF('P&amp;L by Month Detail'!$A:$A,'Condensed P&amp;L by Month'!$A18,'P&amp;L by Month Detail'!I:I)</f>
        <v>14480</v>
      </c>
      <c r="I18" s="20">
        <f>SUMIF('P&amp;L by Month Detail'!$A:$A,'Condensed P&amp;L by Month'!$A18,'P&amp;L by Month Detail'!J:J)</f>
        <v>36139</v>
      </c>
      <c r="J18" s="20">
        <f>SUMIF('P&amp;L by Month Detail'!$A:$A,'Condensed P&amp;L by Month'!$A18,'P&amp;L by Month Detail'!K:K)</f>
        <v>12686</v>
      </c>
      <c r="K18" s="20">
        <f>SUMIF('P&amp;L by Month Detail'!$A:$A,'Condensed P&amp;L by Month'!$A18,'P&amp;L by Month Detail'!L:L)</f>
        <v>8539</v>
      </c>
      <c r="L18" s="20">
        <f>SUMIF('P&amp;L by Month Detail'!$A:$A,'Condensed P&amp;L by Month'!$A18,'P&amp;L by Month Detail'!M:M)</f>
        <v>16341</v>
      </c>
      <c r="M18" s="20">
        <f>SUMIF('P&amp;L by Month Detail'!$A:$A,'Condensed P&amp;L by Month'!$A18,'P&amp;L by Month Detail'!N:N)</f>
        <v>14387</v>
      </c>
      <c r="N18" s="20">
        <f>SUMIF('P&amp;L by Month Detail'!$A:$A,'Condensed P&amp;L by Month'!$A18,'P&amp;L by Month Detail'!O:O)</f>
        <v>35020</v>
      </c>
      <c r="O18" s="20">
        <f>SUMIF('P&amp;L by Month Detail'!$A:$A,'Condensed P&amp;L by Month'!$A18,'P&amp;L by Month Detail'!P:P)</f>
        <v>58116</v>
      </c>
      <c r="P18" s="20">
        <f>SUMIF('P&amp;L by Month Detail'!$A:$A,'Condensed P&amp;L by Month'!$A18,'P&amp;L by Month Detail'!Q:Q)</f>
        <v>86683</v>
      </c>
      <c r="Q18" s="20">
        <f t="shared" si="1"/>
        <v>320191</v>
      </c>
    </row>
    <row r="19" spans="1:17" x14ac:dyDescent="0.2">
      <c r="A19" s="8" t="s">
        <v>35</v>
      </c>
      <c r="B19" s="20">
        <f>SUMIF('P&amp;L by Month Detail'!$A:$A,'Condensed P&amp;L by Month'!$A19,'P&amp;L by Month Detail'!C:C)</f>
        <v>157725</v>
      </c>
      <c r="C19" s="17">
        <f>SUMIF('P&amp;L by Month Detail'!$A:$A,'Condensed P&amp;L by Month'!$A19,'P&amp;L by Month Detail'!D:D)</f>
        <v>0</v>
      </c>
      <c r="D19" s="17">
        <f t="shared" si="0"/>
        <v>157725</v>
      </c>
      <c r="E19" s="38"/>
      <c r="F19" s="20">
        <f>SUMIF('P&amp;L by Month Detail'!$A:$A,'Condensed P&amp;L by Month'!$A19,'P&amp;L by Month Detail'!G:G)</f>
        <v>286085</v>
      </c>
      <c r="G19" s="20">
        <f>SUMIF('P&amp;L by Month Detail'!$A:$A,'Condensed P&amp;L by Month'!$A19,'P&amp;L by Month Detail'!H:H)</f>
        <v>578813</v>
      </c>
      <c r="H19" s="20">
        <f>SUMIF('P&amp;L by Month Detail'!$A:$A,'Condensed P&amp;L by Month'!$A19,'P&amp;L by Month Detail'!I:I)</f>
        <v>364070</v>
      </c>
      <c r="I19" s="20">
        <f>SUMIF('P&amp;L by Month Detail'!$A:$A,'Condensed P&amp;L by Month'!$A19,'P&amp;L by Month Detail'!J:J)</f>
        <v>667670</v>
      </c>
      <c r="J19" s="20">
        <f>SUMIF('P&amp;L by Month Detail'!$A:$A,'Condensed P&amp;L by Month'!$A19,'P&amp;L by Month Detail'!K:K)</f>
        <v>803455</v>
      </c>
      <c r="K19" s="20">
        <f>SUMIF('P&amp;L by Month Detail'!$A:$A,'Condensed P&amp;L by Month'!$A19,'P&amp;L by Month Detail'!L:L)</f>
        <v>598232</v>
      </c>
      <c r="L19" s="20">
        <f>SUMIF('P&amp;L by Month Detail'!$A:$A,'Condensed P&amp;L by Month'!$A19,'P&amp;L by Month Detail'!M:M)</f>
        <v>500988</v>
      </c>
      <c r="M19" s="20">
        <f>SUMIF('P&amp;L by Month Detail'!$A:$A,'Condensed P&amp;L by Month'!$A19,'P&amp;L by Month Detail'!N:N)</f>
        <v>584904</v>
      </c>
      <c r="N19" s="20">
        <f>SUMIF('P&amp;L by Month Detail'!$A:$A,'Condensed P&amp;L by Month'!$A19,'P&amp;L by Month Detail'!O:O)</f>
        <v>440383</v>
      </c>
      <c r="O19" s="20">
        <f>SUMIF('P&amp;L by Month Detail'!$A:$A,'Condensed P&amp;L by Month'!$A19,'P&amp;L by Month Detail'!P:P)</f>
        <v>554032</v>
      </c>
      <c r="P19" s="20">
        <f>SUMIF('P&amp;L by Month Detail'!$A:$A,'Condensed P&amp;L by Month'!$A19,'P&amp;L by Month Detail'!Q:Q)</f>
        <v>211805</v>
      </c>
      <c r="Q19" s="20">
        <f t="shared" si="1"/>
        <v>5748162</v>
      </c>
    </row>
    <row r="20" spans="1:17" x14ac:dyDescent="0.2">
      <c r="A20" s="8" t="s">
        <v>36</v>
      </c>
      <c r="B20" s="29">
        <f>SUMIF('P&amp;L by Month Detail'!$A:$A,'Condensed P&amp;L by Month'!$A20,'P&amp;L by Month Detail'!C:C)</f>
        <v>4906</v>
      </c>
      <c r="C20" s="36">
        <f>SUMIF('P&amp;L by Month Detail'!$A:$A,'Condensed P&amp;L by Month'!$A20,'P&amp;L by Month Detail'!D:D)</f>
        <v>0</v>
      </c>
      <c r="D20" s="36">
        <f t="shared" si="0"/>
        <v>4906</v>
      </c>
      <c r="E20" s="38"/>
      <c r="F20" s="29">
        <f>SUMIF('P&amp;L by Month Detail'!$A:$A,'Condensed P&amp;L by Month'!$A20,'P&amp;L by Month Detail'!G:G)</f>
        <v>9277</v>
      </c>
      <c r="G20" s="29">
        <f>SUMIF('P&amp;L by Month Detail'!$A:$A,'Condensed P&amp;L by Month'!$A20,'P&amp;L by Month Detail'!H:H)</f>
        <v>9108</v>
      </c>
      <c r="H20" s="29">
        <f>SUMIF('P&amp;L by Month Detail'!$A:$A,'Condensed P&amp;L by Month'!$A20,'P&amp;L by Month Detail'!I:I)</f>
        <v>6305</v>
      </c>
      <c r="I20" s="29">
        <f>SUMIF('P&amp;L by Month Detail'!$A:$A,'Condensed P&amp;L by Month'!$A20,'P&amp;L by Month Detail'!J:J)</f>
        <v>6386</v>
      </c>
      <c r="J20" s="29">
        <f>SUMIF('P&amp;L by Month Detail'!$A:$A,'Condensed P&amp;L by Month'!$A20,'P&amp;L by Month Detail'!K:K)</f>
        <v>7049</v>
      </c>
      <c r="K20" s="29">
        <f>SUMIF('P&amp;L by Month Detail'!$A:$A,'Condensed P&amp;L by Month'!$A20,'P&amp;L by Month Detail'!L:L)</f>
        <v>3891</v>
      </c>
      <c r="L20" s="29">
        <f>SUMIF('P&amp;L by Month Detail'!$A:$A,'Condensed P&amp;L by Month'!$A20,'P&amp;L by Month Detail'!M:M)</f>
        <v>7133</v>
      </c>
      <c r="M20" s="29">
        <f>SUMIF('P&amp;L by Month Detail'!$A:$A,'Condensed P&amp;L by Month'!$A20,'P&amp;L by Month Detail'!N:N)</f>
        <v>11171</v>
      </c>
      <c r="N20" s="29">
        <f>SUMIF('P&amp;L by Month Detail'!$A:$A,'Condensed P&amp;L by Month'!$A20,'P&amp;L by Month Detail'!O:O)</f>
        <v>11139</v>
      </c>
      <c r="O20" s="29">
        <f>SUMIF('P&amp;L by Month Detail'!$A:$A,'Condensed P&amp;L by Month'!$A20,'P&amp;L by Month Detail'!P:P)</f>
        <v>7690</v>
      </c>
      <c r="P20" s="29">
        <f>SUMIF('P&amp;L by Month Detail'!$A:$A,'Condensed P&amp;L by Month'!$A20,'P&amp;L by Month Detail'!Q:Q)</f>
        <v>5590</v>
      </c>
      <c r="Q20" s="29">
        <f t="shared" si="1"/>
        <v>89645</v>
      </c>
    </row>
    <row r="21" spans="1:17" x14ac:dyDescent="0.2">
      <c r="A21" s="8" t="s">
        <v>39</v>
      </c>
      <c r="B21" s="20">
        <f>SUM(B14:B20)</f>
        <v>1136342</v>
      </c>
      <c r="C21" s="17">
        <f t="shared" ref="C21:Q21" si="2">SUM(C14:C20)</f>
        <v>-17298.86</v>
      </c>
      <c r="D21" s="17">
        <f t="shared" si="2"/>
        <v>1119043.1400000001</v>
      </c>
      <c r="E21" s="17"/>
      <c r="F21" s="20">
        <f t="shared" si="2"/>
        <v>1317048</v>
      </c>
      <c r="G21" s="20">
        <f t="shared" si="2"/>
        <v>1638203</v>
      </c>
      <c r="H21" s="20">
        <f t="shared" si="2"/>
        <v>1299453</v>
      </c>
      <c r="I21" s="20">
        <f t="shared" si="2"/>
        <v>1737493</v>
      </c>
      <c r="J21" s="20">
        <f t="shared" si="2"/>
        <v>1784639</v>
      </c>
      <c r="K21" s="20">
        <f t="shared" si="2"/>
        <v>1652630</v>
      </c>
      <c r="L21" s="20">
        <f t="shared" si="2"/>
        <v>1489788</v>
      </c>
      <c r="M21" s="20">
        <f t="shared" si="2"/>
        <v>1591794</v>
      </c>
      <c r="N21" s="20">
        <f t="shared" si="2"/>
        <v>1430471</v>
      </c>
      <c r="O21" s="20">
        <f t="shared" si="2"/>
        <v>1524583</v>
      </c>
      <c r="P21" s="20">
        <f t="shared" si="2"/>
        <v>1152268</v>
      </c>
      <c r="Q21" s="20">
        <f t="shared" si="2"/>
        <v>17754712</v>
      </c>
    </row>
    <row r="22" spans="1:17" x14ac:dyDescent="0.2">
      <c r="A22" s="8" t="s">
        <v>40</v>
      </c>
      <c r="B22" s="20"/>
      <c r="C22" s="17"/>
      <c r="D22" s="17"/>
      <c r="E22" s="8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</row>
    <row r="23" spans="1:17" x14ac:dyDescent="0.2">
      <c r="A23" s="8" t="s">
        <v>41</v>
      </c>
      <c r="B23" s="20">
        <f>SUMIF('P&amp;L by Month Detail'!$A:$A,'Condensed P&amp;L by Month'!$A23,'P&amp;L by Month Detail'!C:C)</f>
        <v>28797</v>
      </c>
      <c r="C23" s="17">
        <f>SUMIF('P&amp;L by Month Detail'!$A:$A,'Condensed P&amp;L by Month'!$A23,'P&amp;L by Month Detail'!D:D)</f>
        <v>0</v>
      </c>
      <c r="D23" s="17">
        <f t="shared" si="0"/>
        <v>28797</v>
      </c>
      <c r="E23" s="38"/>
      <c r="F23" s="20">
        <f>SUMIF('P&amp;L by Month Detail'!$A:$A,'Condensed P&amp;L by Month'!$A23,'P&amp;L by Month Detail'!G:G)</f>
        <v>16754</v>
      </c>
      <c r="G23" s="20">
        <f>SUMIF('P&amp;L by Month Detail'!$A:$A,'Condensed P&amp;L by Month'!$A23,'P&amp;L by Month Detail'!H:H)</f>
        <v>38253</v>
      </c>
      <c r="H23" s="20">
        <f>SUMIF('P&amp;L by Month Detail'!$A:$A,'Condensed P&amp;L by Month'!$A23,'P&amp;L by Month Detail'!I:I)</f>
        <v>29904</v>
      </c>
      <c r="I23" s="20">
        <f>SUMIF('P&amp;L by Month Detail'!$A:$A,'Condensed P&amp;L by Month'!$A23,'P&amp;L by Month Detail'!J:J)</f>
        <v>28443</v>
      </c>
      <c r="J23" s="20">
        <f>SUMIF('P&amp;L by Month Detail'!$A:$A,'Condensed P&amp;L by Month'!$A23,'P&amp;L by Month Detail'!K:K)</f>
        <v>24465</v>
      </c>
      <c r="K23" s="20">
        <f>SUMIF('P&amp;L by Month Detail'!$A:$A,'Condensed P&amp;L by Month'!$A23,'P&amp;L by Month Detail'!L:L)</f>
        <v>22966</v>
      </c>
      <c r="L23" s="20">
        <f>SUMIF('P&amp;L by Month Detail'!$A:$A,'Condensed P&amp;L by Month'!$A23,'P&amp;L by Month Detail'!M:M)</f>
        <v>26243</v>
      </c>
      <c r="M23" s="20">
        <f>SUMIF('P&amp;L by Month Detail'!$A:$A,'Condensed P&amp;L by Month'!$A23,'P&amp;L by Month Detail'!N:N)</f>
        <v>23445</v>
      </c>
      <c r="N23" s="20">
        <f>SUMIF('P&amp;L by Month Detail'!$A:$A,'Condensed P&amp;L by Month'!$A23,'P&amp;L by Month Detail'!O:O)</f>
        <v>22148</v>
      </c>
      <c r="O23" s="20">
        <f>SUMIF('P&amp;L by Month Detail'!$A:$A,'Condensed P&amp;L by Month'!$A23,'P&amp;L by Month Detail'!P:P)</f>
        <v>24343</v>
      </c>
      <c r="P23" s="20">
        <f>SUMIF('P&amp;L by Month Detail'!$A:$A,'Condensed P&amp;L by Month'!$A23,'P&amp;L by Month Detail'!Q:Q)</f>
        <v>22885</v>
      </c>
      <c r="Q23" s="20">
        <f t="shared" ref="Q23:Q30" si="3">+SUM(F23:P23)+B23</f>
        <v>308646</v>
      </c>
    </row>
    <row r="24" spans="1:17" x14ac:dyDescent="0.2">
      <c r="A24" s="8" t="s">
        <v>43</v>
      </c>
      <c r="B24" s="20">
        <f>SUMIF('P&amp;L by Month Detail'!$A:$A,'Condensed P&amp;L by Month'!$A24,'P&amp;L by Month Detail'!C:C)</f>
        <v>11313</v>
      </c>
      <c r="C24" s="17">
        <f>SUMIF('P&amp;L by Month Detail'!$A:$A,'Condensed P&amp;L by Month'!$A24,'P&amp;L by Month Detail'!D:D)</f>
        <v>0</v>
      </c>
      <c r="D24" s="17">
        <f t="shared" si="0"/>
        <v>11313</v>
      </c>
      <c r="E24" s="38"/>
      <c r="F24" s="20">
        <f>SUMIF('P&amp;L by Month Detail'!$A:$A,'Condensed P&amp;L by Month'!$A24,'P&amp;L by Month Detail'!G:G)</f>
        <v>11740</v>
      </c>
      <c r="G24" s="20">
        <f>SUMIF('P&amp;L by Month Detail'!$A:$A,'Condensed P&amp;L by Month'!$A24,'P&amp;L by Month Detail'!H:H)</f>
        <v>11403</v>
      </c>
      <c r="H24" s="20">
        <f>SUMIF('P&amp;L by Month Detail'!$A:$A,'Condensed P&amp;L by Month'!$A24,'P&amp;L by Month Detail'!I:I)</f>
        <v>9013</v>
      </c>
      <c r="I24" s="20">
        <f>SUMIF('P&amp;L by Month Detail'!$A:$A,'Condensed P&amp;L by Month'!$A24,'P&amp;L by Month Detail'!J:J)</f>
        <v>11283</v>
      </c>
      <c r="J24" s="20">
        <f>SUMIF('P&amp;L by Month Detail'!$A:$A,'Condensed P&amp;L by Month'!$A24,'P&amp;L by Month Detail'!K:K)</f>
        <v>11187</v>
      </c>
      <c r="K24" s="20">
        <f>SUMIF('P&amp;L by Month Detail'!$A:$A,'Condensed P&amp;L by Month'!$A24,'P&amp;L by Month Detail'!L:L)</f>
        <v>11665</v>
      </c>
      <c r="L24" s="20">
        <f>SUMIF('P&amp;L by Month Detail'!$A:$A,'Condensed P&amp;L by Month'!$A24,'P&amp;L by Month Detail'!M:M)</f>
        <v>13395</v>
      </c>
      <c r="M24" s="20">
        <f>SUMIF('P&amp;L by Month Detail'!$A:$A,'Condensed P&amp;L by Month'!$A24,'P&amp;L by Month Detail'!N:N)</f>
        <v>10285</v>
      </c>
      <c r="N24" s="20">
        <f>SUMIF('P&amp;L by Month Detail'!$A:$A,'Condensed P&amp;L by Month'!$A24,'P&amp;L by Month Detail'!O:O)</f>
        <v>10286</v>
      </c>
      <c r="O24" s="20">
        <f>SUMIF('P&amp;L by Month Detail'!$A:$A,'Condensed P&amp;L by Month'!$A24,'P&amp;L by Month Detail'!P:P)</f>
        <v>10352</v>
      </c>
      <c r="P24" s="20">
        <f>SUMIF('P&amp;L by Month Detail'!$A:$A,'Condensed P&amp;L by Month'!$A24,'P&amp;L by Month Detail'!Q:Q)</f>
        <v>8915</v>
      </c>
      <c r="Q24" s="20">
        <f t="shared" si="3"/>
        <v>130837</v>
      </c>
    </row>
    <row r="25" spans="1:17" x14ac:dyDescent="0.2">
      <c r="A25" s="8" t="s">
        <v>46</v>
      </c>
      <c r="B25" s="20">
        <f>SUMIF('P&amp;L by Month Detail'!$A:$A,'Condensed P&amp;L by Month'!$A25,'P&amp;L by Month Detail'!C:C)</f>
        <v>221137</v>
      </c>
      <c r="C25" s="17">
        <f>SUMIF('P&amp;L by Month Detail'!$A:$A,'Condensed P&amp;L by Month'!$A25,'P&amp;L by Month Detail'!D:D)</f>
        <v>0</v>
      </c>
      <c r="D25" s="17">
        <f t="shared" si="0"/>
        <v>221137</v>
      </c>
      <c r="E25" s="38"/>
      <c r="F25" s="20">
        <f>SUMIF('P&amp;L by Month Detail'!$A:$A,'Condensed P&amp;L by Month'!$A25,'P&amp;L by Month Detail'!G:G)</f>
        <v>224909</v>
      </c>
      <c r="G25" s="20">
        <f>SUMIF('P&amp;L by Month Detail'!$A:$A,'Condensed P&amp;L by Month'!$A25,'P&amp;L by Month Detail'!H:H)</f>
        <v>229434</v>
      </c>
      <c r="H25" s="20">
        <f>SUMIF('P&amp;L by Month Detail'!$A:$A,'Condensed P&amp;L by Month'!$A25,'P&amp;L by Month Detail'!I:I)</f>
        <v>177322</v>
      </c>
      <c r="I25" s="20">
        <f>SUMIF('P&amp;L by Month Detail'!$A:$A,'Condensed P&amp;L by Month'!$A25,'P&amp;L by Month Detail'!J:J)</f>
        <v>178977</v>
      </c>
      <c r="J25" s="20">
        <f>SUMIF('P&amp;L by Month Detail'!$A:$A,'Condensed P&amp;L by Month'!$A25,'P&amp;L by Month Detail'!K:K)</f>
        <v>177862</v>
      </c>
      <c r="K25" s="20">
        <f>SUMIF('P&amp;L by Month Detail'!$A:$A,'Condensed P&amp;L by Month'!$A25,'P&amp;L by Month Detail'!L:L)</f>
        <v>173126</v>
      </c>
      <c r="L25" s="20">
        <f>SUMIF('P&amp;L by Month Detail'!$A:$A,'Condensed P&amp;L by Month'!$A25,'P&amp;L by Month Detail'!M:M)</f>
        <v>166534</v>
      </c>
      <c r="M25" s="20">
        <f>SUMIF('P&amp;L by Month Detail'!$A:$A,'Condensed P&amp;L by Month'!$A25,'P&amp;L by Month Detail'!N:N)</f>
        <v>172048</v>
      </c>
      <c r="N25" s="20">
        <f>SUMIF('P&amp;L by Month Detail'!$A:$A,'Condensed P&amp;L by Month'!$A25,'P&amp;L by Month Detail'!O:O)</f>
        <v>171015</v>
      </c>
      <c r="O25" s="20">
        <f>SUMIF('P&amp;L by Month Detail'!$A:$A,'Condensed P&amp;L by Month'!$A25,'P&amp;L by Month Detail'!P:P)</f>
        <v>159224</v>
      </c>
      <c r="P25" s="20">
        <f>SUMIF('P&amp;L by Month Detail'!$A:$A,'Condensed P&amp;L by Month'!$A25,'P&amp;L by Month Detail'!Q:Q)</f>
        <v>157949</v>
      </c>
      <c r="Q25" s="20">
        <f t="shared" si="3"/>
        <v>2209537</v>
      </c>
    </row>
    <row r="26" spans="1:17" x14ac:dyDescent="0.2">
      <c r="A26" s="8" t="s">
        <v>58</v>
      </c>
      <c r="B26" s="20">
        <f>SUMIF('P&amp;L by Month Detail'!$A:$A,'Condensed P&amp;L by Month'!$A26,'P&amp;L by Month Detail'!C:C)</f>
        <v>0</v>
      </c>
      <c r="C26" s="17">
        <f>SUMIF('P&amp;L by Month Detail'!$A:$A,'Condensed P&amp;L by Month'!$A26,'P&amp;L by Month Detail'!D:D)</f>
        <v>0</v>
      </c>
      <c r="D26" s="17">
        <f t="shared" si="0"/>
        <v>0</v>
      </c>
      <c r="E26" s="37"/>
      <c r="F26" s="20">
        <f>SUMIF('P&amp;L by Month Detail'!$A:$A,'Condensed P&amp;L by Month'!$A26,'P&amp;L by Month Detail'!G:G)</f>
        <v>0</v>
      </c>
      <c r="G26" s="20">
        <f>SUMIF('P&amp;L by Month Detail'!$A:$A,'Condensed P&amp;L by Month'!$A26,'P&amp;L by Month Detail'!H:H)</f>
        <v>0</v>
      </c>
      <c r="H26" s="20">
        <f>SUMIF('P&amp;L by Month Detail'!$A:$A,'Condensed P&amp;L by Month'!$A26,'P&amp;L by Month Detail'!I:I)</f>
        <v>0</v>
      </c>
      <c r="I26" s="20">
        <f>SUMIF('P&amp;L by Month Detail'!$A:$A,'Condensed P&amp;L by Month'!$A26,'P&amp;L by Month Detail'!J:J)</f>
        <v>0</v>
      </c>
      <c r="J26" s="20">
        <f>SUMIF('P&amp;L by Month Detail'!$A:$A,'Condensed P&amp;L by Month'!$A26,'P&amp;L by Month Detail'!K:K)</f>
        <v>1028</v>
      </c>
      <c r="K26" s="20">
        <f>SUMIF('P&amp;L by Month Detail'!$A:$A,'Condensed P&amp;L by Month'!$A26,'P&amp;L by Month Detail'!L:L)</f>
        <v>1215</v>
      </c>
      <c r="L26" s="20">
        <f>SUMIF('P&amp;L by Month Detail'!$A:$A,'Condensed P&amp;L by Month'!$A26,'P&amp;L by Month Detail'!M:M)</f>
        <v>632</v>
      </c>
      <c r="M26" s="20">
        <f>SUMIF('P&amp;L by Month Detail'!$A:$A,'Condensed P&amp;L by Month'!$A26,'P&amp;L by Month Detail'!N:N)</f>
        <v>0</v>
      </c>
      <c r="N26" s="20">
        <f>SUMIF('P&amp;L by Month Detail'!$A:$A,'Condensed P&amp;L by Month'!$A26,'P&amp;L by Month Detail'!O:O)</f>
        <v>24</v>
      </c>
      <c r="O26" s="20">
        <f>SUMIF('P&amp;L by Month Detail'!$A:$A,'Condensed P&amp;L by Month'!$A26,'P&amp;L by Month Detail'!P:P)</f>
        <v>0</v>
      </c>
      <c r="P26" s="20">
        <f>SUMIF('P&amp;L by Month Detail'!$A:$A,'Condensed P&amp;L by Month'!$A26,'P&amp;L by Month Detail'!Q:Q)</f>
        <v>0</v>
      </c>
      <c r="Q26" s="20">
        <f t="shared" si="3"/>
        <v>2899</v>
      </c>
    </row>
    <row r="27" spans="1:17" x14ac:dyDescent="0.2">
      <c r="A27" s="8" t="s">
        <v>60</v>
      </c>
      <c r="B27" s="20">
        <f>SUMIF('P&amp;L by Month Detail'!$A:$A,'Condensed P&amp;L by Month'!$A27,'P&amp;L by Month Detail'!C:C)</f>
        <v>2305</v>
      </c>
      <c r="C27" s="17">
        <f>SUMIF('P&amp;L by Month Detail'!$A:$A,'Condensed P&amp;L by Month'!$A27,'P&amp;L by Month Detail'!D:D)</f>
        <v>0</v>
      </c>
      <c r="D27" s="17">
        <f t="shared" si="0"/>
        <v>2305</v>
      </c>
      <c r="E27" s="8"/>
      <c r="F27" s="20">
        <f>SUMIF('P&amp;L by Month Detail'!$A:$A,'Condensed P&amp;L by Month'!$A27,'P&amp;L by Month Detail'!G:G)</f>
        <v>23527</v>
      </c>
      <c r="G27" s="20">
        <f>SUMIF('P&amp;L by Month Detail'!$A:$A,'Condensed P&amp;L by Month'!$A27,'P&amp;L by Month Detail'!H:H)</f>
        <v>23040</v>
      </c>
      <c r="H27" s="20">
        <f>SUMIF('P&amp;L by Month Detail'!$A:$A,'Condensed P&amp;L by Month'!$A27,'P&amp;L by Month Detail'!I:I)</f>
        <v>13423</v>
      </c>
      <c r="I27" s="20">
        <f>SUMIF('P&amp;L by Month Detail'!$A:$A,'Condensed P&amp;L by Month'!$A27,'P&amp;L by Month Detail'!J:J)</f>
        <v>31339</v>
      </c>
      <c r="J27" s="20">
        <f>SUMIF('P&amp;L by Month Detail'!$A:$A,'Condensed P&amp;L by Month'!$A27,'P&amp;L by Month Detail'!K:K)</f>
        <v>11923</v>
      </c>
      <c r="K27" s="20">
        <f>SUMIF('P&amp;L by Month Detail'!$A:$A,'Condensed P&amp;L by Month'!$A27,'P&amp;L by Month Detail'!L:L)</f>
        <v>6946</v>
      </c>
      <c r="L27" s="20">
        <f>SUMIF('P&amp;L by Month Detail'!$A:$A,'Condensed P&amp;L by Month'!$A27,'P&amp;L by Month Detail'!M:M)</f>
        <v>13493</v>
      </c>
      <c r="M27" s="20">
        <f>SUMIF('P&amp;L by Month Detail'!$A:$A,'Condensed P&amp;L by Month'!$A27,'P&amp;L by Month Detail'!N:N)</f>
        <v>14836</v>
      </c>
      <c r="N27" s="20">
        <f>SUMIF('P&amp;L by Month Detail'!$A:$A,'Condensed P&amp;L by Month'!$A27,'P&amp;L by Month Detail'!O:O)</f>
        <v>29319</v>
      </c>
      <c r="O27" s="20">
        <f>SUMIF('P&amp;L by Month Detail'!$A:$A,'Condensed P&amp;L by Month'!$A27,'P&amp;L by Month Detail'!P:P)</f>
        <v>48356</v>
      </c>
      <c r="P27" s="20">
        <f>SUMIF('P&amp;L by Month Detail'!$A:$A,'Condensed P&amp;L by Month'!$A27,'P&amp;L by Month Detail'!Q:Q)</f>
        <v>72436</v>
      </c>
      <c r="Q27" s="20">
        <f t="shared" si="3"/>
        <v>290943</v>
      </c>
    </row>
    <row r="28" spans="1:17" x14ac:dyDescent="0.2">
      <c r="A28" s="8" t="s">
        <v>62</v>
      </c>
      <c r="B28" s="20">
        <f>SUMIF('P&amp;L by Month Detail'!$A:$A,'Condensed P&amp;L by Month'!$A28,'P&amp;L by Month Detail'!C:C)</f>
        <v>102255</v>
      </c>
      <c r="C28" s="17">
        <f>SUMIF('P&amp;L by Month Detail'!$A:$A,'Condensed P&amp;L by Month'!$A28,'P&amp;L by Month Detail'!D:D)</f>
        <v>42625.69</v>
      </c>
      <c r="D28" s="17">
        <f t="shared" si="0"/>
        <v>144880.69</v>
      </c>
      <c r="E28" s="21">
        <v>3</v>
      </c>
      <c r="F28" s="20">
        <f>SUMIF('P&amp;L by Month Detail'!$A:$A,'Condensed P&amp;L by Month'!$A28,'P&amp;L by Month Detail'!G:G)</f>
        <v>240342</v>
      </c>
      <c r="G28" s="20">
        <f>SUMIF('P&amp;L by Month Detail'!$A:$A,'Condensed P&amp;L by Month'!$A28,'P&amp;L by Month Detail'!H:H)</f>
        <v>486006</v>
      </c>
      <c r="H28" s="20">
        <f>SUMIF('P&amp;L by Month Detail'!$A:$A,'Condensed P&amp;L by Month'!$A28,'P&amp;L by Month Detail'!I:I)</f>
        <v>321154</v>
      </c>
      <c r="I28" s="20">
        <f>SUMIF('P&amp;L by Month Detail'!$A:$A,'Condensed P&amp;L by Month'!$A28,'P&amp;L by Month Detail'!J:J)</f>
        <v>569431</v>
      </c>
      <c r="J28" s="20">
        <f>SUMIF('P&amp;L by Month Detail'!$A:$A,'Condensed P&amp;L by Month'!$A28,'P&amp;L by Month Detail'!K:K)</f>
        <v>694977</v>
      </c>
      <c r="K28" s="20">
        <f>SUMIF('P&amp;L by Month Detail'!$A:$A,'Condensed P&amp;L by Month'!$A28,'P&amp;L by Month Detail'!L:L)</f>
        <v>506712</v>
      </c>
      <c r="L28" s="20">
        <f>SUMIF('P&amp;L by Month Detail'!$A:$A,'Condensed P&amp;L by Month'!$A28,'P&amp;L by Month Detail'!M:M)</f>
        <v>409890</v>
      </c>
      <c r="M28" s="20">
        <f>SUMIF('P&amp;L by Month Detail'!$A:$A,'Condensed P&amp;L by Month'!$A28,'P&amp;L by Month Detail'!N:N)</f>
        <v>495271</v>
      </c>
      <c r="N28" s="20">
        <f>SUMIF('P&amp;L by Month Detail'!$A:$A,'Condensed P&amp;L by Month'!$A28,'P&amp;L by Month Detail'!O:O)</f>
        <v>370688</v>
      </c>
      <c r="O28" s="20">
        <f>SUMIF('P&amp;L by Month Detail'!$A:$A,'Condensed P&amp;L by Month'!$A28,'P&amp;L by Month Detail'!P:P)</f>
        <v>471991</v>
      </c>
      <c r="P28" s="20">
        <f>SUMIF('P&amp;L by Month Detail'!$A:$A,'Condensed P&amp;L by Month'!$A28,'P&amp;L by Month Detail'!Q:Q)</f>
        <v>180392</v>
      </c>
      <c r="Q28" s="20">
        <f t="shared" si="3"/>
        <v>4849109</v>
      </c>
    </row>
    <row r="29" spans="1:17" x14ac:dyDescent="0.2">
      <c r="A29" s="8" t="s">
        <v>65</v>
      </c>
      <c r="B29" s="20">
        <f>SUMIF('P&amp;L by Month Detail'!$A:$A,'Condensed P&amp;L by Month'!$A29,'P&amp;L by Month Detail'!C:C)</f>
        <v>-2116</v>
      </c>
      <c r="C29" s="17">
        <f>SUMIF('P&amp;L by Month Detail'!$A:$A,'Condensed P&amp;L by Month'!$A29,'P&amp;L by Month Detail'!D:D)</f>
        <v>68871.5</v>
      </c>
      <c r="D29" s="17">
        <f t="shared" si="0"/>
        <v>66755.5</v>
      </c>
      <c r="E29" s="21">
        <v>5</v>
      </c>
      <c r="F29" s="20">
        <f>SUMIF('P&amp;L by Month Detail'!$A:$A,'Condensed P&amp;L by Month'!$A29,'P&amp;L by Month Detail'!G:G)</f>
        <v>51988</v>
      </c>
      <c r="G29" s="20">
        <f>SUMIF('P&amp;L by Month Detail'!$A:$A,'Condensed P&amp;L by Month'!$A29,'P&amp;L by Month Detail'!H:H)</f>
        <v>57904</v>
      </c>
      <c r="H29" s="20">
        <f>SUMIF('P&amp;L by Month Detail'!$A:$A,'Condensed P&amp;L by Month'!$A29,'P&amp;L by Month Detail'!I:I)</f>
        <v>55387</v>
      </c>
      <c r="I29" s="20">
        <f>SUMIF('P&amp;L by Month Detail'!$A:$A,'Condensed P&amp;L by Month'!$A29,'P&amp;L by Month Detail'!J:J)</f>
        <v>64553</v>
      </c>
      <c r="J29" s="20">
        <f>SUMIF('P&amp;L by Month Detail'!$A:$A,'Condensed P&amp;L by Month'!$A29,'P&amp;L by Month Detail'!K:K)</f>
        <v>65070</v>
      </c>
      <c r="K29" s="20">
        <f>SUMIF('P&amp;L by Month Detail'!$A:$A,'Condensed P&amp;L by Month'!$A29,'P&amp;L by Month Detail'!L:L)</f>
        <v>61677</v>
      </c>
      <c r="L29" s="20">
        <f>SUMIF('P&amp;L by Month Detail'!$A:$A,'Condensed P&amp;L by Month'!$A29,'P&amp;L by Month Detail'!M:M)</f>
        <v>64595</v>
      </c>
      <c r="M29" s="20">
        <f>SUMIF('P&amp;L by Month Detail'!$A:$A,'Condensed P&amp;L by Month'!$A29,'P&amp;L by Month Detail'!N:N)</f>
        <v>67481</v>
      </c>
      <c r="N29" s="20">
        <f>SUMIF('P&amp;L by Month Detail'!$A:$A,'Condensed P&amp;L by Month'!$A29,'P&amp;L by Month Detail'!O:O)</f>
        <v>71122</v>
      </c>
      <c r="O29" s="20">
        <f>SUMIF('P&amp;L by Month Detail'!$A:$A,'Condensed P&amp;L by Month'!$A29,'P&amp;L by Month Detail'!P:P)</f>
        <v>64602</v>
      </c>
      <c r="P29" s="20">
        <f>SUMIF('P&amp;L by Month Detail'!$A:$A,'Condensed P&amp;L by Month'!$A29,'P&amp;L by Month Detail'!Q:Q)</f>
        <v>69884</v>
      </c>
      <c r="Q29" s="20">
        <f t="shared" si="3"/>
        <v>692147</v>
      </c>
    </row>
    <row r="30" spans="1:17" x14ac:dyDescent="0.2">
      <c r="A30" s="8" t="s">
        <v>70</v>
      </c>
      <c r="B30" s="29">
        <f>SUMIF('P&amp;L by Month Detail'!$A:$A,'Condensed P&amp;L by Month'!$A30,'P&amp;L by Month Detail'!C:C)</f>
        <v>325620</v>
      </c>
      <c r="C30" s="36">
        <f>SUMIF('P&amp;L by Month Detail'!$A:$A,'Condensed P&amp;L by Month'!$A30,'P&amp;L by Month Detail'!D:D)</f>
        <v>-91087.330000000031</v>
      </c>
      <c r="D30" s="36">
        <f t="shared" si="0"/>
        <v>234532.66999999998</v>
      </c>
      <c r="E30" s="21" t="s">
        <v>323</v>
      </c>
      <c r="F30" s="29">
        <f>SUMIF('P&amp;L by Month Detail'!$A:$A,'Condensed P&amp;L by Month'!$A30,'P&amp;L by Month Detail'!G:G)</f>
        <v>174861</v>
      </c>
      <c r="G30" s="29">
        <f>SUMIF('P&amp;L by Month Detail'!$A:$A,'Condensed P&amp;L by Month'!$A30,'P&amp;L by Month Detail'!H:H)</f>
        <v>206820</v>
      </c>
      <c r="H30" s="29">
        <f>SUMIF('P&amp;L by Month Detail'!$A:$A,'Condensed P&amp;L by Month'!$A30,'P&amp;L by Month Detail'!I:I)</f>
        <v>210696</v>
      </c>
      <c r="I30" s="29">
        <f>SUMIF('P&amp;L by Month Detail'!$A:$A,'Condensed P&amp;L by Month'!$A30,'P&amp;L by Month Detail'!J:J)</f>
        <v>189126</v>
      </c>
      <c r="J30" s="29">
        <f>SUMIF('P&amp;L by Month Detail'!$A:$A,'Condensed P&amp;L by Month'!$A30,'P&amp;L by Month Detail'!K:K)</f>
        <v>218508</v>
      </c>
      <c r="K30" s="29">
        <f>SUMIF('P&amp;L by Month Detail'!$A:$A,'Condensed P&amp;L by Month'!$A30,'P&amp;L by Month Detail'!L:L)</f>
        <v>205476</v>
      </c>
      <c r="L30" s="29">
        <f>SUMIF('P&amp;L by Month Detail'!$A:$A,'Condensed P&amp;L by Month'!$A30,'P&amp;L by Month Detail'!M:M)</f>
        <v>203541</v>
      </c>
      <c r="M30" s="29">
        <f>SUMIF('P&amp;L by Month Detail'!$A:$A,'Condensed P&amp;L by Month'!$A30,'P&amp;L by Month Detail'!N:N)</f>
        <v>194932</v>
      </c>
      <c r="N30" s="29">
        <f>SUMIF('P&amp;L by Month Detail'!$A:$A,'Condensed P&amp;L by Month'!$A30,'P&amp;L by Month Detail'!O:O)</f>
        <v>227117</v>
      </c>
      <c r="O30" s="29">
        <f>SUMIF('P&amp;L by Month Detail'!$A:$A,'Condensed P&amp;L by Month'!$A30,'P&amp;L by Month Detail'!P:P)</f>
        <v>203182</v>
      </c>
      <c r="P30" s="29">
        <f>SUMIF('P&amp;L by Month Detail'!$A:$A,'Condensed P&amp;L by Month'!$A30,'P&amp;L by Month Detail'!Q:Q)</f>
        <v>227678</v>
      </c>
      <c r="Q30" s="29">
        <f t="shared" si="3"/>
        <v>2587557</v>
      </c>
    </row>
    <row r="31" spans="1:17" x14ac:dyDescent="0.2">
      <c r="A31" s="8" t="s">
        <v>77</v>
      </c>
      <c r="B31" s="20">
        <f>SUM(B23:B30)</f>
        <v>689311</v>
      </c>
      <c r="C31" s="17">
        <f t="shared" ref="C31:D31" si="4">SUM(C23:C30)</f>
        <v>20409.859999999971</v>
      </c>
      <c r="D31" s="17">
        <f t="shared" si="4"/>
        <v>709720.86</v>
      </c>
      <c r="E31" s="17"/>
      <c r="F31" s="20">
        <f t="shared" ref="F31" si="5">SUM(F23:F30)</f>
        <v>744121</v>
      </c>
      <c r="G31" s="20">
        <f t="shared" ref="G31:H31" si="6">SUM(G23:G30)</f>
        <v>1052860</v>
      </c>
      <c r="H31" s="20">
        <f t="shared" si="6"/>
        <v>816899</v>
      </c>
      <c r="I31" s="20">
        <f t="shared" ref="I31" si="7">SUM(I23:I30)</f>
        <v>1073152</v>
      </c>
      <c r="J31" s="20">
        <f t="shared" ref="J31:K31" si="8">SUM(J23:J30)</f>
        <v>1205020</v>
      </c>
      <c r="K31" s="20">
        <f t="shared" si="8"/>
        <v>989783</v>
      </c>
      <c r="L31" s="20">
        <f t="shared" ref="L31" si="9">SUM(L23:L30)</f>
        <v>898323</v>
      </c>
      <c r="M31" s="20">
        <f t="shared" ref="M31:N31" si="10">SUM(M23:M30)</f>
        <v>978298</v>
      </c>
      <c r="N31" s="20">
        <f t="shared" si="10"/>
        <v>901719</v>
      </c>
      <c r="O31" s="20">
        <f t="shared" ref="O31" si="11">SUM(O23:O30)</f>
        <v>982050</v>
      </c>
      <c r="P31" s="20">
        <f t="shared" ref="P31" si="12">SUM(P23:P30)</f>
        <v>740139</v>
      </c>
      <c r="Q31" s="20">
        <f>SUM(Q23:Q30)</f>
        <v>11071675</v>
      </c>
    </row>
    <row r="32" spans="1:17" x14ac:dyDescent="0.2">
      <c r="A32" s="8" t="s">
        <v>78</v>
      </c>
      <c r="B32" s="20">
        <f>SUMIF('P&amp;L by Month Detail'!$A:$A,'Condensed P&amp;L by Month'!$A32,'P&amp;L by Month Detail'!C:C)</f>
        <v>447031</v>
      </c>
      <c r="C32" s="17">
        <f>SUMIF('P&amp;L by Month Detail'!$A:$A,'Condensed P&amp;L by Month'!$A32,'P&amp;L by Month Detail'!D:D)</f>
        <v>-37708.719999999972</v>
      </c>
      <c r="D32" s="17">
        <f t="shared" si="0"/>
        <v>409322.28</v>
      </c>
      <c r="E32" s="38"/>
      <c r="F32" s="20">
        <f>SUMIF('P&amp;L by Month Detail'!$A:$A,'Condensed P&amp;L by Month'!$A32,'P&amp;L by Month Detail'!G:G)</f>
        <v>572927</v>
      </c>
      <c r="G32" s="20">
        <f>SUMIF('P&amp;L by Month Detail'!$A:$A,'Condensed P&amp;L by Month'!$A32,'P&amp;L by Month Detail'!H:H)</f>
        <v>585343</v>
      </c>
      <c r="H32" s="20">
        <f>SUMIF('P&amp;L by Month Detail'!$A:$A,'Condensed P&amp;L by Month'!$A32,'P&amp;L by Month Detail'!I:I)</f>
        <v>482554</v>
      </c>
      <c r="I32" s="20">
        <f>SUMIF('P&amp;L by Month Detail'!$A:$A,'Condensed P&amp;L by Month'!$A32,'P&amp;L by Month Detail'!J:J)</f>
        <v>664341</v>
      </c>
      <c r="J32" s="20">
        <f>SUMIF('P&amp;L by Month Detail'!$A:$A,'Condensed P&amp;L by Month'!$A32,'P&amp;L by Month Detail'!K:K)</f>
        <v>579619</v>
      </c>
      <c r="K32" s="20">
        <f>SUMIF('P&amp;L by Month Detail'!$A:$A,'Condensed P&amp;L by Month'!$A32,'P&amp;L by Month Detail'!L:L)</f>
        <v>662847</v>
      </c>
      <c r="L32" s="20">
        <f>SUMIF('P&amp;L by Month Detail'!$A:$A,'Condensed P&amp;L by Month'!$A32,'P&amp;L by Month Detail'!M:M)</f>
        <v>591465</v>
      </c>
      <c r="M32" s="20">
        <f>SUMIF('P&amp;L by Month Detail'!$A:$A,'Condensed P&amp;L by Month'!$A32,'P&amp;L by Month Detail'!N:N)</f>
        <v>613496</v>
      </c>
      <c r="N32" s="20">
        <f>SUMIF('P&amp;L by Month Detail'!$A:$A,'Condensed P&amp;L by Month'!$A32,'P&amp;L by Month Detail'!O:O)</f>
        <v>528752</v>
      </c>
      <c r="O32" s="20">
        <f>SUMIF('P&amp;L by Month Detail'!$A:$A,'Condensed P&amp;L by Month'!$A32,'P&amp;L by Month Detail'!P:P)</f>
        <v>542533</v>
      </c>
      <c r="P32" s="20">
        <f>SUMIF('P&amp;L by Month Detail'!$A:$A,'Condensed P&amp;L by Month'!$A32,'P&amp;L by Month Detail'!Q:Q)</f>
        <v>412129</v>
      </c>
      <c r="Q32" s="20">
        <f t="shared" ref="Q32:Q40" si="13">+SUM(F32:P32)+B32</f>
        <v>6683037</v>
      </c>
    </row>
    <row r="33" spans="1:17" x14ac:dyDescent="0.2">
      <c r="A33" s="8" t="s">
        <v>79</v>
      </c>
      <c r="B33" s="20">
        <f>SUMIF('P&amp;L by Month Detail'!$A:$A,'Condensed P&amp;L by Month'!$A33,'P&amp;L by Month Detail'!C:C)</f>
        <v>31075</v>
      </c>
      <c r="C33" s="17">
        <f>SUMIF('P&amp;L by Month Detail'!$A:$A,'Condensed P&amp;L by Month'!$A33,'P&amp;L by Month Detail'!D:D)</f>
        <v>95959.63</v>
      </c>
      <c r="D33" s="17">
        <f t="shared" si="0"/>
        <v>127034.63</v>
      </c>
      <c r="E33" s="21">
        <v>5</v>
      </c>
      <c r="F33" s="20">
        <f>SUMIF('P&amp;L by Month Detail'!$A:$A,'Condensed P&amp;L by Month'!$A33,'P&amp;L by Month Detail'!G:G)</f>
        <v>111629</v>
      </c>
      <c r="G33" s="20">
        <f>SUMIF('P&amp;L by Month Detail'!$A:$A,'Condensed P&amp;L by Month'!$A33,'P&amp;L by Month Detail'!H:H)</f>
        <v>197590</v>
      </c>
      <c r="H33" s="20">
        <f>SUMIF('P&amp;L by Month Detail'!$A:$A,'Condensed P&amp;L by Month'!$A33,'P&amp;L by Month Detail'!I:I)</f>
        <v>147595</v>
      </c>
      <c r="I33" s="20">
        <f>SUMIF('P&amp;L by Month Detail'!$A:$A,'Condensed P&amp;L by Month'!$A33,'P&amp;L by Month Detail'!J:J)</f>
        <v>145868</v>
      </c>
      <c r="J33" s="20">
        <f>SUMIF('P&amp;L by Month Detail'!$A:$A,'Condensed P&amp;L by Month'!$A33,'P&amp;L by Month Detail'!K:K)</f>
        <v>147139</v>
      </c>
      <c r="K33" s="20">
        <f>SUMIF('P&amp;L by Month Detail'!$A:$A,'Condensed P&amp;L by Month'!$A33,'P&amp;L by Month Detail'!L:L)</f>
        <v>129570</v>
      </c>
      <c r="L33" s="20">
        <f>SUMIF('P&amp;L by Month Detail'!$A:$A,'Condensed P&amp;L by Month'!$A33,'P&amp;L by Month Detail'!M:M)</f>
        <v>136510</v>
      </c>
      <c r="M33" s="20">
        <f>SUMIF('P&amp;L by Month Detail'!$A:$A,'Condensed P&amp;L by Month'!$A33,'P&amp;L by Month Detail'!N:N)</f>
        <v>128044</v>
      </c>
      <c r="N33" s="20">
        <f>SUMIF('P&amp;L by Month Detail'!$A:$A,'Condensed P&amp;L by Month'!$A33,'P&amp;L by Month Detail'!O:O)</f>
        <v>145044</v>
      </c>
      <c r="O33" s="20">
        <f>SUMIF('P&amp;L by Month Detail'!$A:$A,'Condensed P&amp;L by Month'!$A33,'P&amp;L by Month Detail'!P:P)</f>
        <v>166242</v>
      </c>
      <c r="P33" s="20">
        <f>SUMIF('P&amp;L by Month Detail'!$A:$A,'Condensed P&amp;L by Month'!$A33,'P&amp;L by Month Detail'!Q:Q)</f>
        <v>174805</v>
      </c>
      <c r="Q33" s="20">
        <f t="shared" si="13"/>
        <v>1661111</v>
      </c>
    </row>
    <row r="34" spans="1:17" x14ac:dyDescent="0.2">
      <c r="A34" s="8" t="s">
        <v>86</v>
      </c>
      <c r="B34" s="20"/>
      <c r="C34" s="17"/>
      <c r="D34" s="17"/>
      <c r="E34" s="38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</row>
    <row r="35" spans="1:17" x14ac:dyDescent="0.2">
      <c r="A35" s="8" t="s">
        <v>87</v>
      </c>
      <c r="B35" s="20">
        <f>SUMIF('P&amp;L by Month Detail'!$A:$A,'Condensed P&amp;L by Month'!$A35,'P&amp;L by Month Detail'!C:C)</f>
        <v>71324</v>
      </c>
      <c r="C35" s="17">
        <f>SUMIF('P&amp;L by Month Detail'!$A:$A,'Condensed P&amp;L by Month'!$A35,'P&amp;L by Month Detail'!D:D)</f>
        <v>14288.609999999991</v>
      </c>
      <c r="D35" s="17">
        <f t="shared" si="0"/>
        <v>85612.609999999986</v>
      </c>
      <c r="E35" s="21">
        <v>5</v>
      </c>
      <c r="F35" s="20">
        <f>SUMIF('P&amp;L by Month Detail'!$A:$A,'Condensed P&amp;L by Month'!$A35,'P&amp;L by Month Detail'!G:G)</f>
        <v>54724</v>
      </c>
      <c r="G35" s="20">
        <f>SUMIF('P&amp;L by Month Detail'!$A:$A,'Condensed P&amp;L by Month'!$A35,'P&amp;L by Month Detail'!H:H)</f>
        <v>66012</v>
      </c>
      <c r="H35" s="20">
        <f>SUMIF('P&amp;L by Month Detail'!$A:$A,'Condensed P&amp;L by Month'!$A35,'P&amp;L by Month Detail'!I:I)</f>
        <v>75368</v>
      </c>
      <c r="I35" s="20">
        <f>SUMIF('P&amp;L by Month Detail'!$A:$A,'Condensed P&amp;L by Month'!$A35,'P&amp;L by Month Detail'!J:J)</f>
        <v>76247</v>
      </c>
      <c r="J35" s="20">
        <f>SUMIF('P&amp;L by Month Detail'!$A:$A,'Condensed P&amp;L by Month'!$A35,'P&amp;L by Month Detail'!K:K)</f>
        <v>88854</v>
      </c>
      <c r="K35" s="20">
        <f>SUMIF('P&amp;L by Month Detail'!$A:$A,'Condensed P&amp;L by Month'!$A35,'P&amp;L by Month Detail'!L:L)</f>
        <v>83226</v>
      </c>
      <c r="L35" s="20">
        <f>SUMIF('P&amp;L by Month Detail'!$A:$A,'Condensed P&amp;L by Month'!$A35,'P&amp;L by Month Detail'!M:M)</f>
        <v>85672</v>
      </c>
      <c r="M35" s="20">
        <f>SUMIF('P&amp;L by Month Detail'!$A:$A,'Condensed P&amp;L by Month'!$A35,'P&amp;L by Month Detail'!N:N)</f>
        <v>76476</v>
      </c>
      <c r="N35" s="20">
        <f>SUMIF('P&amp;L by Month Detail'!$A:$A,'Condensed P&amp;L by Month'!$A35,'P&amp;L by Month Detail'!O:O)</f>
        <v>86712</v>
      </c>
      <c r="O35" s="20">
        <f>SUMIF('P&amp;L by Month Detail'!$A:$A,'Condensed P&amp;L by Month'!$A35,'P&amp;L by Month Detail'!P:P)</f>
        <v>107567</v>
      </c>
      <c r="P35" s="20">
        <f>SUMIF('P&amp;L by Month Detail'!$A:$A,'Condensed P&amp;L by Month'!$A35,'P&amp;L by Month Detail'!Q:Q)</f>
        <v>88384</v>
      </c>
      <c r="Q35" s="20">
        <f t="shared" si="13"/>
        <v>960566</v>
      </c>
    </row>
    <row r="36" spans="1:17" x14ac:dyDescent="0.2">
      <c r="A36" s="8" t="s">
        <v>96</v>
      </c>
      <c r="B36" s="20">
        <f>SUMIF('P&amp;L by Month Detail'!$A:$A,'Condensed P&amp;L by Month'!$A36,'P&amp;L by Month Detail'!C:C)</f>
        <v>46712</v>
      </c>
      <c r="C36" s="17">
        <f>SUMIF('P&amp;L by Month Detail'!$A:$A,'Condensed P&amp;L by Month'!$A36,'P&amp;L by Month Detail'!D:D)</f>
        <v>2773.88</v>
      </c>
      <c r="D36" s="17">
        <f t="shared" si="0"/>
        <v>49485.88</v>
      </c>
      <c r="E36" s="21">
        <v>7</v>
      </c>
      <c r="F36" s="20">
        <f>SUMIF('P&amp;L by Month Detail'!$A:$A,'Condensed P&amp;L by Month'!$A36,'P&amp;L by Month Detail'!G:G)</f>
        <v>44444</v>
      </c>
      <c r="G36" s="20">
        <f>SUMIF('P&amp;L by Month Detail'!$A:$A,'Condensed P&amp;L by Month'!$A36,'P&amp;L by Month Detail'!H:H)</f>
        <v>32939</v>
      </c>
      <c r="H36" s="20">
        <f>SUMIF('P&amp;L by Month Detail'!$A:$A,'Condensed P&amp;L by Month'!$A36,'P&amp;L by Month Detail'!I:I)</f>
        <v>32562</v>
      </c>
      <c r="I36" s="20">
        <f>SUMIF('P&amp;L by Month Detail'!$A:$A,'Condensed P&amp;L by Month'!$A36,'P&amp;L by Month Detail'!J:J)</f>
        <v>43353</v>
      </c>
      <c r="J36" s="20">
        <f>SUMIF('P&amp;L by Month Detail'!$A:$A,'Condensed P&amp;L by Month'!$A36,'P&amp;L by Month Detail'!K:K)</f>
        <v>39315</v>
      </c>
      <c r="K36" s="20">
        <f>SUMIF('P&amp;L by Month Detail'!$A:$A,'Condensed P&amp;L by Month'!$A36,'P&amp;L by Month Detail'!L:L)</f>
        <v>38662</v>
      </c>
      <c r="L36" s="20">
        <f>SUMIF('P&amp;L by Month Detail'!$A:$A,'Condensed P&amp;L by Month'!$A36,'P&amp;L by Month Detail'!M:M)</f>
        <v>38240</v>
      </c>
      <c r="M36" s="20">
        <f>SUMIF('P&amp;L by Month Detail'!$A:$A,'Condensed P&amp;L by Month'!$A36,'P&amp;L by Month Detail'!N:N)</f>
        <v>39645</v>
      </c>
      <c r="N36" s="20">
        <f>SUMIF('P&amp;L by Month Detail'!$A:$A,'Condensed P&amp;L by Month'!$A36,'P&amp;L by Month Detail'!O:O)</f>
        <v>58379</v>
      </c>
      <c r="O36" s="20">
        <f>SUMIF('P&amp;L by Month Detail'!$A:$A,'Condensed P&amp;L by Month'!$A36,'P&amp;L by Month Detail'!P:P)</f>
        <v>40343</v>
      </c>
      <c r="P36" s="20">
        <f>SUMIF('P&amp;L by Month Detail'!$A:$A,'Condensed P&amp;L by Month'!$A36,'P&amp;L by Month Detail'!Q:Q)</f>
        <v>40050</v>
      </c>
      <c r="Q36" s="20">
        <f t="shared" si="13"/>
        <v>494644</v>
      </c>
    </row>
    <row r="37" spans="1:17" x14ac:dyDescent="0.2">
      <c r="A37" s="8" t="s">
        <v>107</v>
      </c>
      <c r="B37" s="20">
        <f>SUMIF('P&amp;L by Month Detail'!$A:$A,'Condensed P&amp;L by Month'!$A37,'P&amp;L by Month Detail'!C:C)</f>
        <v>301681</v>
      </c>
      <c r="C37" s="17">
        <f>SUMIF('P&amp;L by Month Detail'!$A:$A,'Condensed P&amp;L by Month'!$A37,'P&amp;L by Month Detail'!D:D)</f>
        <v>-245482.78</v>
      </c>
      <c r="D37" s="17">
        <f t="shared" si="0"/>
        <v>56198.22</v>
      </c>
      <c r="E37" s="21" t="s">
        <v>324</v>
      </c>
      <c r="F37" s="20">
        <f>SUMIF('P&amp;L by Month Detail'!$A:$A,'Condensed P&amp;L by Month'!$A37,'P&amp;L by Month Detail'!G:G)</f>
        <v>125361</v>
      </c>
      <c r="G37" s="20">
        <f>SUMIF('P&amp;L by Month Detail'!$A:$A,'Condensed P&amp;L by Month'!$A37,'P&amp;L by Month Detail'!H:H)</f>
        <v>93219</v>
      </c>
      <c r="H37" s="20">
        <f>SUMIF('P&amp;L by Month Detail'!$A:$A,'Condensed P&amp;L by Month'!$A37,'P&amp;L by Month Detail'!I:I)</f>
        <v>124862</v>
      </c>
      <c r="I37" s="20">
        <f>SUMIF('P&amp;L by Month Detail'!$A:$A,'Condensed P&amp;L by Month'!$A37,'P&amp;L by Month Detail'!J:J)</f>
        <v>127923</v>
      </c>
      <c r="J37" s="20">
        <f>SUMIF('P&amp;L by Month Detail'!$A:$A,'Condensed P&amp;L by Month'!$A37,'P&amp;L by Month Detail'!K:K)</f>
        <v>102371</v>
      </c>
      <c r="K37" s="20">
        <f>SUMIF('P&amp;L by Month Detail'!$A:$A,'Condensed P&amp;L by Month'!$A37,'P&amp;L by Month Detail'!L:L)</f>
        <v>97951</v>
      </c>
      <c r="L37" s="20">
        <f>SUMIF('P&amp;L by Month Detail'!$A:$A,'Condensed P&amp;L by Month'!$A37,'P&amp;L by Month Detail'!M:M)</f>
        <v>106192</v>
      </c>
      <c r="M37" s="20">
        <f>SUMIF('P&amp;L by Month Detail'!$A:$A,'Condensed P&amp;L by Month'!$A37,'P&amp;L by Month Detail'!N:N)</f>
        <v>94847</v>
      </c>
      <c r="N37" s="20">
        <f>SUMIF('P&amp;L by Month Detail'!$A:$A,'Condensed P&amp;L by Month'!$A37,'P&amp;L by Month Detail'!O:O)</f>
        <v>79928</v>
      </c>
      <c r="O37" s="20">
        <f>SUMIF('P&amp;L by Month Detail'!$A:$A,'Condensed P&amp;L by Month'!$A37,'P&amp;L by Month Detail'!P:P)</f>
        <v>109242</v>
      </c>
      <c r="P37" s="20">
        <f>SUMIF('P&amp;L by Month Detail'!$A:$A,'Condensed P&amp;L by Month'!$A37,'P&amp;L by Month Detail'!Q:Q)</f>
        <v>89430</v>
      </c>
      <c r="Q37" s="20">
        <f t="shared" si="13"/>
        <v>1453007</v>
      </c>
    </row>
    <row r="38" spans="1:17" x14ac:dyDescent="0.2">
      <c r="A38" s="8" t="s">
        <v>121</v>
      </c>
      <c r="B38" s="20">
        <f>SUMIF('P&amp;L by Month Detail'!$A:$A,'Condensed P&amp;L by Month'!$A38,'P&amp;L by Month Detail'!C:C)</f>
        <v>13014</v>
      </c>
      <c r="C38" s="17">
        <f>SUMIF('P&amp;L by Month Detail'!$A:$A,'Condensed P&amp;L by Month'!$A38,'P&amp;L by Month Detail'!D:D)</f>
        <v>-4000</v>
      </c>
      <c r="D38" s="17">
        <f t="shared" si="0"/>
        <v>9014</v>
      </c>
      <c r="E38" s="21">
        <v>4</v>
      </c>
      <c r="F38" s="20">
        <f>SUMIF('P&amp;L by Month Detail'!$A:$A,'Condensed P&amp;L by Month'!$A38,'P&amp;L by Month Detail'!G:G)</f>
        <v>15176</v>
      </c>
      <c r="G38" s="20">
        <f>SUMIF('P&amp;L by Month Detail'!$A:$A,'Condensed P&amp;L by Month'!$A38,'P&amp;L by Month Detail'!H:H)</f>
        <v>14957</v>
      </c>
      <c r="H38" s="20">
        <f>SUMIF('P&amp;L by Month Detail'!$A:$A,'Condensed P&amp;L by Month'!$A38,'P&amp;L by Month Detail'!I:I)</f>
        <v>14315</v>
      </c>
      <c r="I38" s="20">
        <f>SUMIF('P&amp;L by Month Detail'!$A:$A,'Condensed P&amp;L by Month'!$A38,'P&amp;L by Month Detail'!J:J)</f>
        <v>9048</v>
      </c>
      <c r="J38" s="20">
        <f>SUMIF('P&amp;L by Month Detail'!$A:$A,'Condensed P&amp;L by Month'!$A38,'P&amp;L by Month Detail'!K:K)</f>
        <v>10887</v>
      </c>
      <c r="K38" s="20">
        <f>SUMIF('P&amp;L by Month Detail'!$A:$A,'Condensed P&amp;L by Month'!$A38,'P&amp;L by Month Detail'!L:L)</f>
        <v>10481</v>
      </c>
      <c r="L38" s="20">
        <f>SUMIF('P&amp;L by Month Detail'!$A:$A,'Condensed P&amp;L by Month'!$A38,'P&amp;L by Month Detail'!M:M)</f>
        <v>7303</v>
      </c>
      <c r="M38" s="20">
        <f>SUMIF('P&amp;L by Month Detail'!$A:$A,'Condensed P&amp;L by Month'!$A38,'P&amp;L by Month Detail'!N:N)</f>
        <v>8153</v>
      </c>
      <c r="N38" s="20">
        <f>SUMIF('P&amp;L by Month Detail'!$A:$A,'Condensed P&amp;L by Month'!$A38,'P&amp;L by Month Detail'!O:O)</f>
        <v>7987</v>
      </c>
      <c r="O38" s="20">
        <f>SUMIF('P&amp;L by Month Detail'!$A:$A,'Condensed P&amp;L by Month'!$A38,'P&amp;L by Month Detail'!P:P)</f>
        <v>3121</v>
      </c>
      <c r="P38" s="20">
        <f>SUMIF('P&amp;L by Month Detail'!$A:$A,'Condensed P&amp;L by Month'!$A38,'P&amp;L by Month Detail'!Q:Q)</f>
        <v>4520</v>
      </c>
      <c r="Q38" s="20">
        <f t="shared" si="13"/>
        <v>118962</v>
      </c>
    </row>
    <row r="39" spans="1:17" x14ac:dyDescent="0.2">
      <c r="A39" s="8" t="s">
        <v>125</v>
      </c>
      <c r="B39" s="20">
        <f>SUMIF('P&amp;L by Month Detail'!$A:$A,'Condensed P&amp;L by Month'!$A39,'P&amp;L by Month Detail'!C:C)</f>
        <v>33590</v>
      </c>
      <c r="C39" s="17">
        <f>SUMIF('P&amp;L by Month Detail'!$A:$A,'Condensed P&amp;L by Month'!$A39,'P&amp;L by Month Detail'!D:D)</f>
        <v>0</v>
      </c>
      <c r="D39" s="17">
        <f t="shared" si="0"/>
        <v>33590</v>
      </c>
      <c r="E39" s="22"/>
      <c r="F39" s="20">
        <f>SUMIF('P&amp;L by Month Detail'!$A:$A,'Condensed P&amp;L by Month'!$A39,'P&amp;L by Month Detail'!G:G)</f>
        <v>33809</v>
      </c>
      <c r="G39" s="20">
        <f>SUMIF('P&amp;L by Month Detail'!$A:$A,'Condensed P&amp;L by Month'!$A39,'P&amp;L by Month Detail'!H:H)</f>
        <v>25910</v>
      </c>
      <c r="H39" s="20">
        <f>SUMIF('P&amp;L by Month Detail'!$A:$A,'Condensed P&amp;L by Month'!$A39,'P&amp;L by Month Detail'!I:I)</f>
        <v>22849</v>
      </c>
      <c r="I39" s="20">
        <f>SUMIF('P&amp;L by Month Detail'!$A:$A,'Condensed P&amp;L by Month'!$A39,'P&amp;L by Month Detail'!J:J)</f>
        <v>16742</v>
      </c>
      <c r="J39" s="20">
        <f>SUMIF('P&amp;L by Month Detail'!$A:$A,'Condensed P&amp;L by Month'!$A39,'P&amp;L by Month Detail'!K:K)</f>
        <v>23977</v>
      </c>
      <c r="K39" s="20">
        <f>SUMIF('P&amp;L by Month Detail'!$A:$A,'Condensed P&amp;L by Month'!$A39,'P&amp;L by Month Detail'!L:L)</f>
        <v>17197</v>
      </c>
      <c r="L39" s="20">
        <f>SUMIF('P&amp;L by Month Detail'!$A:$A,'Condensed P&amp;L by Month'!$A39,'P&amp;L by Month Detail'!M:M)</f>
        <v>18050</v>
      </c>
      <c r="M39" s="20">
        <f>SUMIF('P&amp;L by Month Detail'!$A:$A,'Condensed P&amp;L by Month'!$A39,'P&amp;L by Month Detail'!N:N)</f>
        <v>15130</v>
      </c>
      <c r="N39" s="20">
        <f>SUMIF('P&amp;L by Month Detail'!$A:$A,'Condensed P&amp;L by Month'!$A39,'P&amp;L by Month Detail'!O:O)</f>
        <v>18959</v>
      </c>
      <c r="O39" s="20">
        <f>SUMIF('P&amp;L by Month Detail'!$A:$A,'Condensed P&amp;L by Month'!$A39,'P&amp;L by Month Detail'!P:P)</f>
        <v>23341</v>
      </c>
      <c r="P39" s="20">
        <f>SUMIF('P&amp;L by Month Detail'!$A:$A,'Condensed P&amp;L by Month'!$A39,'P&amp;L by Month Detail'!Q:Q)</f>
        <v>20205</v>
      </c>
      <c r="Q39" s="20">
        <f t="shared" si="13"/>
        <v>269759</v>
      </c>
    </row>
    <row r="40" spans="1:17" x14ac:dyDescent="0.2">
      <c r="A40" s="8" t="s">
        <v>145</v>
      </c>
      <c r="B40" s="29">
        <f>SUMIF('P&amp;L by Month Detail'!$A:$A,'Condensed P&amp;L by Month'!$A40,'P&amp;L by Month Detail'!C:C)</f>
        <v>143390</v>
      </c>
      <c r="C40" s="36">
        <f>SUMIF('P&amp;L by Month Detail'!$A:$A,'Condensed P&amp;L by Month'!$A40,'P&amp;L by Month Detail'!D:D)</f>
        <v>0</v>
      </c>
      <c r="D40" s="36">
        <f t="shared" si="0"/>
        <v>143390</v>
      </c>
      <c r="E40" s="38"/>
      <c r="F40" s="29">
        <f>SUMIF('P&amp;L by Month Detail'!$A:$A,'Condensed P&amp;L by Month'!$A40,'P&amp;L by Month Detail'!G:G)</f>
        <v>7787</v>
      </c>
      <c r="G40" s="29">
        <f>SUMIF('P&amp;L by Month Detail'!$A:$A,'Condensed P&amp;L by Month'!$A40,'P&amp;L by Month Detail'!H:H)</f>
        <v>9950</v>
      </c>
      <c r="H40" s="29">
        <f>SUMIF('P&amp;L by Month Detail'!$A:$A,'Condensed P&amp;L by Month'!$A40,'P&amp;L by Month Detail'!I:I)</f>
        <v>14268</v>
      </c>
      <c r="I40" s="29">
        <f>SUMIF('P&amp;L by Month Detail'!$A:$A,'Condensed P&amp;L by Month'!$A40,'P&amp;L by Month Detail'!J:J)</f>
        <v>6091</v>
      </c>
      <c r="J40" s="29">
        <f>SUMIF('P&amp;L by Month Detail'!$A:$A,'Condensed P&amp;L by Month'!$A40,'P&amp;L by Month Detail'!K:K)</f>
        <v>6081</v>
      </c>
      <c r="K40" s="29">
        <f>SUMIF('P&amp;L by Month Detail'!$A:$A,'Condensed P&amp;L by Month'!$A40,'P&amp;L by Month Detail'!L:L)</f>
        <v>6826</v>
      </c>
      <c r="L40" s="29">
        <f>SUMIF('P&amp;L by Month Detail'!$A:$A,'Condensed P&amp;L by Month'!$A40,'P&amp;L by Month Detail'!M:M)</f>
        <v>5501</v>
      </c>
      <c r="M40" s="29">
        <f>SUMIF('P&amp;L by Month Detail'!$A:$A,'Condensed P&amp;L by Month'!$A40,'P&amp;L by Month Detail'!N:N)</f>
        <v>6410</v>
      </c>
      <c r="N40" s="29">
        <f>SUMIF('P&amp;L by Month Detail'!$A:$A,'Condensed P&amp;L by Month'!$A40,'P&amp;L by Month Detail'!O:O)</f>
        <v>7430</v>
      </c>
      <c r="O40" s="29">
        <f>SUMIF('P&amp;L by Month Detail'!$A:$A,'Condensed P&amp;L by Month'!$A40,'P&amp;L by Month Detail'!P:P)</f>
        <v>7419</v>
      </c>
      <c r="P40" s="29">
        <f>SUMIF('P&amp;L by Month Detail'!$A:$A,'Condensed P&amp;L by Month'!$A40,'P&amp;L by Month Detail'!Q:Q)</f>
        <v>7425</v>
      </c>
      <c r="Q40" s="20">
        <f t="shared" si="13"/>
        <v>228578</v>
      </c>
    </row>
    <row r="41" spans="1:17" x14ac:dyDescent="0.2">
      <c r="A41" s="8" t="s">
        <v>149</v>
      </c>
      <c r="B41" s="30">
        <f>SUM(B35:B40)</f>
        <v>609711</v>
      </c>
      <c r="C41" s="23">
        <f t="shared" ref="C41:Q41" si="14">SUM(C35:C40)</f>
        <v>-232420.29</v>
      </c>
      <c r="D41" s="23">
        <f t="shared" si="14"/>
        <v>377290.70999999996</v>
      </c>
      <c r="E41" s="17"/>
      <c r="F41" s="30">
        <f t="shared" si="14"/>
        <v>281301</v>
      </c>
      <c r="G41" s="30">
        <f t="shared" si="14"/>
        <v>242987</v>
      </c>
      <c r="H41" s="30">
        <f t="shared" si="14"/>
        <v>284224</v>
      </c>
      <c r="I41" s="30">
        <f t="shared" si="14"/>
        <v>279404</v>
      </c>
      <c r="J41" s="30">
        <f t="shared" si="14"/>
        <v>271485</v>
      </c>
      <c r="K41" s="30">
        <f t="shared" si="14"/>
        <v>254343</v>
      </c>
      <c r="L41" s="30">
        <f t="shared" si="14"/>
        <v>260958</v>
      </c>
      <c r="M41" s="30">
        <f t="shared" si="14"/>
        <v>240661</v>
      </c>
      <c r="N41" s="30">
        <f t="shared" si="14"/>
        <v>259395</v>
      </c>
      <c r="O41" s="30">
        <f t="shared" si="14"/>
        <v>291033</v>
      </c>
      <c r="P41" s="30">
        <f t="shared" si="14"/>
        <v>250014</v>
      </c>
      <c r="Q41" s="30">
        <f t="shared" si="14"/>
        <v>3525516</v>
      </c>
    </row>
    <row r="42" spans="1:17" x14ac:dyDescent="0.2">
      <c r="A42" s="8" t="s">
        <v>150</v>
      </c>
      <c r="B42" s="20">
        <f>+B32-B33-B41</f>
        <v>-193755</v>
      </c>
      <c r="C42" s="17">
        <f t="shared" ref="C42:Q42" si="15">+C32-C33-C41</f>
        <v>98751.940000000031</v>
      </c>
      <c r="D42" s="17">
        <f t="shared" si="15"/>
        <v>-95003.059999999939</v>
      </c>
      <c r="E42" s="17"/>
      <c r="F42" s="20">
        <f t="shared" si="15"/>
        <v>179997</v>
      </c>
      <c r="G42" s="20">
        <f t="shared" si="15"/>
        <v>144766</v>
      </c>
      <c r="H42" s="20">
        <f t="shared" si="15"/>
        <v>50735</v>
      </c>
      <c r="I42" s="20">
        <f t="shared" si="15"/>
        <v>239069</v>
      </c>
      <c r="J42" s="20">
        <f t="shared" si="15"/>
        <v>160995</v>
      </c>
      <c r="K42" s="20">
        <f t="shared" si="15"/>
        <v>278934</v>
      </c>
      <c r="L42" s="20">
        <f t="shared" si="15"/>
        <v>193997</v>
      </c>
      <c r="M42" s="20">
        <f t="shared" si="15"/>
        <v>244791</v>
      </c>
      <c r="N42" s="20">
        <f t="shared" si="15"/>
        <v>124313</v>
      </c>
      <c r="O42" s="20">
        <f t="shared" si="15"/>
        <v>85258</v>
      </c>
      <c r="P42" s="20">
        <f t="shared" si="15"/>
        <v>-12690</v>
      </c>
      <c r="Q42" s="20">
        <f t="shared" si="15"/>
        <v>1496410</v>
      </c>
    </row>
    <row r="43" spans="1:17" x14ac:dyDescent="0.2">
      <c r="A43" s="8" t="s">
        <v>151</v>
      </c>
      <c r="B43" s="20"/>
      <c r="C43" s="17"/>
      <c r="D43" s="17"/>
      <c r="E43" s="38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</row>
    <row r="44" spans="1:17" x14ac:dyDescent="0.2">
      <c r="A44" s="8" t="s">
        <v>152</v>
      </c>
      <c r="B44" s="20">
        <f>SUMIF('P&amp;L by Month Detail'!$A:$A,'Condensed P&amp;L by Month'!$A44,'P&amp;L by Month Detail'!C:C)</f>
        <v>4203</v>
      </c>
      <c r="C44" s="17">
        <f>SUMIF('P&amp;L by Month Detail'!$A:$A,'Condensed P&amp;L by Month'!$A44,'P&amp;L by Month Detail'!D:D)</f>
        <v>3246.9799999999996</v>
      </c>
      <c r="D44" s="17">
        <f t="shared" si="0"/>
        <v>7449.98</v>
      </c>
      <c r="E44" s="21">
        <v>12</v>
      </c>
      <c r="F44" s="20">
        <f>SUMIF('P&amp;L by Month Detail'!$A:$A,'Condensed P&amp;L by Month'!$A44,'P&amp;L by Month Detail'!G:G)</f>
        <v>13</v>
      </c>
      <c r="G44" s="20">
        <f>SUMIF('P&amp;L by Month Detail'!$A:$A,'Condensed P&amp;L by Month'!$A44,'P&amp;L by Month Detail'!H:H)</f>
        <v>15</v>
      </c>
      <c r="H44" s="20">
        <f>SUMIF('P&amp;L by Month Detail'!$A:$A,'Condensed P&amp;L by Month'!$A44,'P&amp;L by Month Detail'!I:I)</f>
        <v>12009</v>
      </c>
      <c r="I44" s="20">
        <f>SUMIF('P&amp;L by Month Detail'!$A:$A,'Condensed P&amp;L by Month'!$A44,'P&amp;L by Month Detail'!J:J)</f>
        <v>9783</v>
      </c>
      <c r="J44" s="20">
        <f>SUMIF('P&amp;L by Month Detail'!$A:$A,'Condensed P&amp;L by Month'!$A44,'P&amp;L by Month Detail'!K:K)</f>
        <v>5604</v>
      </c>
      <c r="K44" s="20">
        <f>SUMIF('P&amp;L by Month Detail'!$A:$A,'Condensed P&amp;L by Month'!$A44,'P&amp;L by Month Detail'!L:L)</f>
        <v>9359</v>
      </c>
      <c r="L44" s="20">
        <f>SUMIF('P&amp;L by Month Detail'!$A:$A,'Condensed P&amp;L by Month'!$A44,'P&amp;L by Month Detail'!M:M)</f>
        <v>256</v>
      </c>
      <c r="M44" s="20">
        <f>SUMIF('P&amp;L by Month Detail'!$A:$A,'Condensed P&amp;L by Month'!$A44,'P&amp;L by Month Detail'!N:N)</f>
        <v>2809</v>
      </c>
      <c r="N44" s="20">
        <f>SUMIF('P&amp;L by Month Detail'!$A:$A,'Condensed P&amp;L by Month'!$A44,'P&amp;L by Month Detail'!O:O)</f>
        <v>1632</v>
      </c>
      <c r="O44" s="20">
        <f>SUMIF('P&amp;L by Month Detail'!$A:$A,'Condensed P&amp;L by Month'!$A44,'P&amp;L by Month Detail'!P:P)</f>
        <v>1250</v>
      </c>
      <c r="P44" s="20">
        <f>SUMIF('P&amp;L by Month Detail'!$A:$A,'Condensed P&amp;L by Month'!$A44,'P&amp;L by Month Detail'!Q:Q)</f>
        <v>17613</v>
      </c>
      <c r="Q44" s="20">
        <f>+SUM(F44:P44)+B44</f>
        <v>64546</v>
      </c>
    </row>
    <row r="45" spans="1:17" x14ac:dyDescent="0.2">
      <c r="A45" s="8" t="s">
        <v>162</v>
      </c>
      <c r="B45" s="29">
        <f>SUMIF('P&amp;L by Month Detail'!$A:$A,'Condensed P&amp;L by Month'!$A45,'P&amp;L by Month Detail'!C:C)</f>
        <v>189591</v>
      </c>
      <c r="C45" s="36">
        <f>SUMIF('P&amp;L by Month Detail'!$A:$A,'Condensed P&amp;L by Month'!$A45,'P&amp;L by Month Detail'!D:D)</f>
        <v>-287253.95000000007</v>
      </c>
      <c r="D45" s="36">
        <f t="shared" si="0"/>
        <v>-97662.95000000007</v>
      </c>
      <c r="E45" s="21" t="s">
        <v>325</v>
      </c>
      <c r="F45" s="29">
        <f>SUMIF('P&amp;L by Month Detail'!$A:$A,'Condensed P&amp;L by Month'!$A45,'P&amp;L by Month Detail'!G:G)</f>
        <v>-21719</v>
      </c>
      <c r="G45" s="29">
        <f>SUMIF('P&amp;L by Month Detail'!$A:$A,'Condensed P&amp;L by Month'!$A45,'P&amp;L by Month Detail'!H:H)</f>
        <v>-66627</v>
      </c>
      <c r="H45" s="29">
        <f>SUMIF('P&amp;L by Month Detail'!$A:$A,'Condensed P&amp;L by Month'!$A45,'P&amp;L by Month Detail'!I:I)</f>
        <v>-28869</v>
      </c>
      <c r="I45" s="29">
        <f>SUMIF('P&amp;L by Month Detail'!$A:$A,'Condensed P&amp;L by Month'!$A45,'P&amp;L by Month Detail'!J:J)</f>
        <v>-62648</v>
      </c>
      <c r="J45" s="29">
        <f>SUMIF('P&amp;L by Month Detail'!$A:$A,'Condensed P&amp;L by Month'!$A45,'P&amp;L by Month Detail'!K:K)</f>
        <v>-36001</v>
      </c>
      <c r="K45" s="29">
        <f>SUMIF('P&amp;L by Month Detail'!$A:$A,'Condensed P&amp;L by Month'!$A45,'P&amp;L by Month Detail'!L:L)</f>
        <v>-52417</v>
      </c>
      <c r="L45" s="29">
        <f>SUMIF('P&amp;L by Month Detail'!$A:$A,'Condensed P&amp;L by Month'!$A45,'P&amp;L by Month Detail'!M:M)</f>
        <v>-37641</v>
      </c>
      <c r="M45" s="29">
        <f>SUMIF('P&amp;L by Month Detail'!$A:$A,'Condensed P&amp;L by Month'!$A45,'P&amp;L by Month Detail'!N:N)</f>
        <v>-29315</v>
      </c>
      <c r="N45" s="29">
        <f>SUMIF('P&amp;L by Month Detail'!$A:$A,'Condensed P&amp;L by Month'!$A45,'P&amp;L by Month Detail'!O:O)</f>
        <v>-26987</v>
      </c>
      <c r="O45" s="29">
        <f>SUMIF('P&amp;L by Month Detail'!$A:$A,'Condensed P&amp;L by Month'!$A45,'P&amp;L by Month Detail'!P:P)</f>
        <v>-57537</v>
      </c>
      <c r="P45" s="29">
        <f>SUMIF('P&amp;L by Month Detail'!$A:$A,'Condensed P&amp;L by Month'!$A45,'P&amp;L by Month Detail'!Q:Q)</f>
        <v>-34744</v>
      </c>
      <c r="Q45" s="29">
        <f t="shared" ref="Q45" si="16">+SUM(F45:P45)+B45</f>
        <v>-264914</v>
      </c>
    </row>
    <row r="46" spans="1:17" x14ac:dyDescent="0.2">
      <c r="A46" s="8" t="s">
        <v>182</v>
      </c>
      <c r="B46" s="29">
        <f>+B44+B45</f>
        <v>193794</v>
      </c>
      <c r="C46" s="36">
        <f t="shared" ref="C46:P46" si="17">+C44+C45</f>
        <v>-284006.97000000009</v>
      </c>
      <c r="D46" s="36">
        <f t="shared" si="17"/>
        <v>-90212.970000000074</v>
      </c>
      <c r="E46" s="17"/>
      <c r="F46" s="29">
        <f>+F44+F45</f>
        <v>-21706</v>
      </c>
      <c r="G46" s="29">
        <f t="shared" si="17"/>
        <v>-66612</v>
      </c>
      <c r="H46" s="29">
        <f t="shared" si="17"/>
        <v>-16860</v>
      </c>
      <c r="I46" s="29">
        <f t="shared" si="17"/>
        <v>-52865</v>
      </c>
      <c r="J46" s="29">
        <f t="shared" si="17"/>
        <v>-30397</v>
      </c>
      <c r="K46" s="29">
        <f t="shared" si="17"/>
        <v>-43058</v>
      </c>
      <c r="L46" s="29">
        <f t="shared" si="17"/>
        <v>-37385</v>
      </c>
      <c r="M46" s="29">
        <f t="shared" si="17"/>
        <v>-26506</v>
      </c>
      <c r="N46" s="29">
        <f t="shared" si="17"/>
        <v>-25355</v>
      </c>
      <c r="O46" s="29">
        <f t="shared" si="17"/>
        <v>-56287</v>
      </c>
      <c r="P46" s="29">
        <f t="shared" si="17"/>
        <v>-17131</v>
      </c>
      <c r="Q46" s="29">
        <f>+Q44+Q45</f>
        <v>-200368</v>
      </c>
    </row>
    <row r="47" spans="1:17" x14ac:dyDescent="0.2">
      <c r="A47" s="8" t="s">
        <v>183</v>
      </c>
      <c r="B47" s="29">
        <f>SUMIF('P&amp;L by Month Detail'!$A:$A,'Condensed P&amp;L by Month'!$A47,'P&amp;L by Month Detail'!C:C)</f>
        <v>6023</v>
      </c>
      <c r="C47" s="36">
        <f>SUMIF('P&amp;L by Month Detail'!$A:$A,'Condensed P&amp;L by Month'!$A47,'P&amp;L by Month Detail'!D:D)</f>
        <v>-2397.3099999999995</v>
      </c>
      <c r="D47" s="36">
        <f t="shared" si="0"/>
        <v>3625.6900000000005</v>
      </c>
      <c r="E47" s="38"/>
      <c r="F47" s="29">
        <f>SUMIF('P&amp;L by Month Detail'!$A:$A,'Condensed P&amp;L by Month'!$A47,'P&amp;L by Month Detail'!G:G)</f>
        <v>0</v>
      </c>
      <c r="G47" s="29">
        <f>SUMIF('P&amp;L by Month Detail'!$A:$A,'Condensed P&amp;L by Month'!$A47,'P&amp;L by Month Detail'!H:H)</f>
        <v>0</v>
      </c>
      <c r="H47" s="29">
        <f>SUMIF('P&amp;L by Month Detail'!$A:$A,'Condensed P&amp;L by Month'!$A47,'P&amp;L by Month Detail'!I:I)</f>
        <v>5382</v>
      </c>
      <c r="I47" s="29">
        <f>SUMIF('P&amp;L by Month Detail'!$A:$A,'Condensed P&amp;L by Month'!$A47,'P&amp;L by Month Detail'!J:J)</f>
        <v>1470</v>
      </c>
      <c r="J47" s="29">
        <f>SUMIF('P&amp;L by Month Detail'!$A:$A,'Condensed P&amp;L by Month'!$A47,'P&amp;L by Month Detail'!K:K)</f>
        <v>1048</v>
      </c>
      <c r="K47" s="29">
        <f>SUMIF('P&amp;L by Month Detail'!$A:$A,'Condensed P&amp;L by Month'!$A47,'P&amp;L by Month Detail'!L:L)</f>
        <v>2047</v>
      </c>
      <c r="L47" s="29">
        <f>SUMIF('P&amp;L by Month Detail'!$A:$A,'Condensed P&amp;L by Month'!$A47,'P&amp;L by Month Detail'!M:M)</f>
        <v>1202</v>
      </c>
      <c r="M47" s="29">
        <f>SUMIF('P&amp;L by Month Detail'!$A:$A,'Condensed P&amp;L by Month'!$A47,'P&amp;L by Month Detail'!N:N)</f>
        <v>0</v>
      </c>
      <c r="N47" s="29">
        <f>SUMIF('P&amp;L by Month Detail'!$A:$A,'Condensed P&amp;L by Month'!$A47,'P&amp;L by Month Detail'!O:O)</f>
        <v>15867</v>
      </c>
      <c r="O47" s="29">
        <f>SUMIF('P&amp;L by Month Detail'!$A:$A,'Condensed P&amp;L by Month'!$A47,'P&amp;L by Month Detail'!P:P)</f>
        <v>2691</v>
      </c>
      <c r="P47" s="29">
        <f>SUMIF('P&amp;L by Month Detail'!$A:$A,'Condensed P&amp;L by Month'!$A47,'P&amp;L by Month Detail'!Q:Q)</f>
        <v>2920</v>
      </c>
      <c r="Q47" s="20">
        <f>+SUM(F47:P47)+B47</f>
        <v>38650</v>
      </c>
    </row>
    <row r="48" spans="1:17" ht="15" thickBot="1" x14ac:dyDescent="0.25">
      <c r="A48" s="4" t="s">
        <v>188</v>
      </c>
      <c r="B48" s="34">
        <f>+B42+B46-B47</f>
        <v>-5984</v>
      </c>
      <c r="C48" s="25">
        <f t="shared" ref="C48:Q48" si="18">+C42+C46-C47</f>
        <v>-182857.72000000006</v>
      </c>
      <c r="D48" s="25">
        <f t="shared" si="18"/>
        <v>-188841.72000000003</v>
      </c>
      <c r="E48" s="26"/>
      <c r="F48" s="34">
        <f>+F42+F46-F47</f>
        <v>158291</v>
      </c>
      <c r="G48" s="34">
        <f t="shared" si="18"/>
        <v>78154</v>
      </c>
      <c r="H48" s="34">
        <f t="shared" si="18"/>
        <v>28493</v>
      </c>
      <c r="I48" s="34">
        <f t="shared" si="18"/>
        <v>184734</v>
      </c>
      <c r="J48" s="34">
        <f t="shared" si="18"/>
        <v>129550</v>
      </c>
      <c r="K48" s="34">
        <f t="shared" si="18"/>
        <v>233829</v>
      </c>
      <c r="L48" s="34">
        <f t="shared" si="18"/>
        <v>155410</v>
      </c>
      <c r="M48" s="34">
        <f t="shared" si="18"/>
        <v>218285</v>
      </c>
      <c r="N48" s="34">
        <f t="shared" si="18"/>
        <v>83091</v>
      </c>
      <c r="O48" s="34">
        <f t="shared" si="18"/>
        <v>26280</v>
      </c>
      <c r="P48" s="34">
        <f t="shared" si="18"/>
        <v>-32741</v>
      </c>
      <c r="Q48" s="34">
        <f t="shared" si="18"/>
        <v>1257392</v>
      </c>
    </row>
    <row r="49" spans="1:17" ht="15" thickTop="1" x14ac:dyDescent="0.2">
      <c r="A49" s="10" t="s">
        <v>4</v>
      </c>
      <c r="C49" s="7"/>
      <c r="D49" s="7"/>
      <c r="E49" s="7"/>
    </row>
    <row r="50" spans="1:17" x14ac:dyDescent="0.2">
      <c r="A50" s="10" t="s">
        <v>4</v>
      </c>
      <c r="B50" s="35"/>
      <c r="C50" s="39"/>
      <c r="D50" s="39"/>
      <c r="E50" s="39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</row>
    <row r="51" spans="1:17" x14ac:dyDescent="0.2">
      <c r="A51" s="8" t="s">
        <v>212</v>
      </c>
      <c r="C51" s="7"/>
      <c r="D51" s="7"/>
      <c r="E51" s="7"/>
    </row>
    <row r="52" spans="1:17" x14ac:dyDescent="0.2">
      <c r="C52" s="7"/>
      <c r="D52" s="7"/>
      <c r="E52" s="7"/>
    </row>
    <row r="53" spans="1:17" x14ac:dyDescent="0.2">
      <c r="C53" s="7"/>
      <c r="D53" s="7"/>
      <c r="E53" s="7"/>
    </row>
    <row r="54" spans="1:17" x14ac:dyDescent="0.2">
      <c r="C54" s="7"/>
      <c r="D54" s="7"/>
      <c r="E54" s="7"/>
    </row>
    <row r="55" spans="1:17" x14ac:dyDescent="0.2">
      <c r="C55" s="7"/>
      <c r="D55" s="7"/>
      <c r="E55" s="7"/>
    </row>
    <row r="56" spans="1:17" x14ac:dyDescent="0.2">
      <c r="C56" s="7"/>
      <c r="D56" s="7"/>
      <c r="E56" s="7"/>
    </row>
    <row r="57" spans="1:17" x14ac:dyDescent="0.2">
      <c r="C57" s="7"/>
      <c r="D57" s="7"/>
      <c r="E57" s="7"/>
    </row>
    <row r="58" spans="1:17" x14ac:dyDescent="0.2">
      <c r="C58" s="7"/>
      <c r="D58" s="7"/>
      <c r="E58" s="7"/>
    </row>
    <row r="59" spans="1:17" x14ac:dyDescent="0.2">
      <c r="C59" s="7"/>
      <c r="D59" s="7"/>
      <c r="E59" s="7"/>
    </row>
    <row r="60" spans="1:17" x14ac:dyDescent="0.2">
      <c r="C60" s="7"/>
      <c r="D60" s="7"/>
      <c r="E60" s="7"/>
    </row>
    <row r="61" spans="1:17" x14ac:dyDescent="0.2">
      <c r="C61" s="7"/>
      <c r="D61" s="7"/>
      <c r="E61" s="7"/>
    </row>
    <row r="62" spans="1:17" x14ac:dyDescent="0.2">
      <c r="C62" s="7"/>
      <c r="D62" s="7"/>
      <c r="E62" s="7"/>
    </row>
    <row r="63" spans="1:17" x14ac:dyDescent="0.2">
      <c r="C63" s="7"/>
      <c r="D63" s="7"/>
      <c r="E63" s="7"/>
    </row>
    <row r="64" spans="1:17" x14ac:dyDescent="0.2">
      <c r="C64" s="7"/>
      <c r="D64" s="7"/>
      <c r="E64" s="7"/>
    </row>
    <row r="65" spans="3:5" x14ac:dyDescent="0.2">
      <c r="C65" s="7"/>
      <c r="D65" s="7"/>
      <c r="E65" s="7"/>
    </row>
    <row r="66" spans="3:5" x14ac:dyDescent="0.2">
      <c r="C66" s="7"/>
      <c r="D66" s="7"/>
      <c r="E66" s="7"/>
    </row>
    <row r="67" spans="3:5" x14ac:dyDescent="0.2">
      <c r="C67" s="7"/>
      <c r="D67" s="7"/>
      <c r="E67" s="7"/>
    </row>
    <row r="68" spans="3:5" x14ac:dyDescent="0.2">
      <c r="C68" s="7"/>
      <c r="D68" s="7"/>
      <c r="E68" s="7"/>
    </row>
    <row r="69" spans="3:5" x14ac:dyDescent="0.2">
      <c r="C69" s="7"/>
      <c r="D69" s="7"/>
      <c r="E69" s="7"/>
    </row>
    <row r="70" spans="3:5" x14ac:dyDescent="0.2">
      <c r="C70" s="7"/>
      <c r="D70" s="7"/>
      <c r="E70" s="7"/>
    </row>
    <row r="71" spans="3:5" x14ac:dyDescent="0.2">
      <c r="C71" s="7"/>
      <c r="D71" s="7"/>
      <c r="E71" s="7"/>
    </row>
    <row r="72" spans="3:5" x14ac:dyDescent="0.2">
      <c r="C72" s="7"/>
      <c r="D72" s="7"/>
      <c r="E72" s="7"/>
    </row>
    <row r="73" spans="3:5" x14ac:dyDescent="0.2">
      <c r="C73" s="7"/>
      <c r="D73" s="7"/>
      <c r="E73" s="7"/>
    </row>
    <row r="74" spans="3:5" x14ac:dyDescent="0.2">
      <c r="C74" s="7"/>
      <c r="D74" s="7"/>
      <c r="E74" s="7"/>
    </row>
    <row r="75" spans="3:5" x14ac:dyDescent="0.2">
      <c r="C75" s="7"/>
      <c r="D75" s="7"/>
      <c r="E75" s="7"/>
    </row>
    <row r="76" spans="3:5" x14ac:dyDescent="0.2">
      <c r="C76" s="7"/>
      <c r="D76" s="7"/>
      <c r="E76" s="7"/>
    </row>
    <row r="77" spans="3:5" x14ac:dyDescent="0.2">
      <c r="C77" s="7"/>
      <c r="D77" s="7"/>
      <c r="E77" s="7"/>
    </row>
    <row r="78" spans="3:5" x14ac:dyDescent="0.2">
      <c r="C78" s="7"/>
      <c r="D78" s="7"/>
      <c r="E78" s="7"/>
    </row>
    <row r="79" spans="3:5" x14ac:dyDescent="0.2">
      <c r="C79" s="7"/>
      <c r="D79" s="7"/>
      <c r="E79" s="7"/>
    </row>
    <row r="80" spans="3:5" x14ac:dyDescent="0.2">
      <c r="C80" s="7"/>
      <c r="D80" s="7"/>
      <c r="E80" s="7"/>
    </row>
    <row r="81" spans="3:5" x14ac:dyDescent="0.2">
      <c r="C81" s="7"/>
      <c r="D81" s="7"/>
      <c r="E81" s="7"/>
    </row>
    <row r="82" spans="3:5" x14ac:dyDescent="0.2">
      <c r="C82" s="7"/>
      <c r="D82" s="7"/>
      <c r="E82" s="7"/>
    </row>
    <row r="83" spans="3:5" x14ac:dyDescent="0.2">
      <c r="C83" s="7"/>
      <c r="D83" s="7"/>
      <c r="E83" s="7"/>
    </row>
    <row r="84" spans="3:5" x14ac:dyDescent="0.2">
      <c r="C84" s="7"/>
      <c r="D84" s="7"/>
      <c r="E84" s="7"/>
    </row>
    <row r="85" spans="3:5" x14ac:dyDescent="0.2">
      <c r="C85" s="7"/>
      <c r="D85" s="7"/>
      <c r="E85" s="7"/>
    </row>
    <row r="86" spans="3:5" x14ac:dyDescent="0.2">
      <c r="C86" s="7"/>
      <c r="D86" s="7"/>
      <c r="E86" s="7"/>
    </row>
    <row r="87" spans="3:5" x14ac:dyDescent="0.2">
      <c r="C87" s="7"/>
      <c r="D87" s="7"/>
      <c r="E87" s="7"/>
    </row>
    <row r="88" spans="3:5" x14ac:dyDescent="0.2">
      <c r="C88" s="7"/>
      <c r="D88" s="7"/>
      <c r="E88" s="7"/>
    </row>
    <row r="89" spans="3:5" x14ac:dyDescent="0.2">
      <c r="C89" s="7"/>
      <c r="D89" s="7"/>
      <c r="E89" s="7"/>
    </row>
    <row r="90" spans="3:5" x14ac:dyDescent="0.2">
      <c r="C90" s="7"/>
      <c r="D90" s="7"/>
      <c r="E90" s="7"/>
    </row>
    <row r="91" spans="3:5" x14ac:dyDescent="0.2">
      <c r="C91" s="7"/>
      <c r="D91" s="7"/>
      <c r="E91" s="7"/>
    </row>
    <row r="92" spans="3:5" x14ac:dyDescent="0.2">
      <c r="C92" s="7"/>
      <c r="D92" s="7"/>
      <c r="E92" s="7"/>
    </row>
    <row r="93" spans="3:5" x14ac:dyDescent="0.2">
      <c r="C93" s="7"/>
      <c r="D93" s="7"/>
      <c r="E93" s="7"/>
    </row>
    <row r="94" spans="3:5" x14ac:dyDescent="0.2">
      <c r="C94" s="7"/>
      <c r="D94" s="7"/>
      <c r="E94" s="7"/>
    </row>
    <row r="95" spans="3:5" x14ac:dyDescent="0.2">
      <c r="C95" s="7"/>
      <c r="D95" s="7"/>
      <c r="E95" s="7"/>
    </row>
    <row r="96" spans="3:5" x14ac:dyDescent="0.2">
      <c r="C96" s="7"/>
      <c r="D96" s="7"/>
      <c r="E96" s="7"/>
    </row>
    <row r="97" spans="3:5" x14ac:dyDescent="0.2">
      <c r="C97" s="7"/>
      <c r="D97" s="7"/>
      <c r="E97" s="7"/>
    </row>
    <row r="98" spans="3:5" x14ac:dyDescent="0.2">
      <c r="C98" s="7"/>
      <c r="D98" s="7"/>
      <c r="E98" s="7"/>
    </row>
    <row r="99" spans="3:5" x14ac:dyDescent="0.2">
      <c r="C99" s="7"/>
      <c r="D99" s="7"/>
      <c r="E99" s="7"/>
    </row>
    <row r="100" spans="3:5" x14ac:dyDescent="0.2">
      <c r="C100" s="7"/>
      <c r="D100" s="7"/>
      <c r="E100" s="7"/>
    </row>
    <row r="101" spans="3:5" x14ac:dyDescent="0.2">
      <c r="C101" s="7"/>
      <c r="D101" s="7"/>
      <c r="E101" s="7"/>
    </row>
    <row r="102" spans="3:5" x14ac:dyDescent="0.2">
      <c r="C102" s="7"/>
      <c r="D102" s="7"/>
      <c r="E102" s="7"/>
    </row>
    <row r="103" spans="3:5" x14ac:dyDescent="0.2">
      <c r="C103" s="7"/>
      <c r="D103" s="7"/>
      <c r="E103" s="7"/>
    </row>
    <row r="104" spans="3:5" x14ac:dyDescent="0.2">
      <c r="C104" s="7"/>
      <c r="D104" s="7"/>
      <c r="E104" s="7"/>
    </row>
    <row r="105" spans="3:5" x14ac:dyDescent="0.2">
      <c r="C105" s="7"/>
      <c r="D105" s="7"/>
      <c r="E105" s="7"/>
    </row>
    <row r="106" spans="3:5" x14ac:dyDescent="0.2">
      <c r="C106" s="7"/>
      <c r="D106" s="7"/>
      <c r="E106" s="7"/>
    </row>
    <row r="107" spans="3:5" x14ac:dyDescent="0.2">
      <c r="C107" s="7"/>
      <c r="D107" s="7"/>
      <c r="E107" s="7"/>
    </row>
    <row r="108" spans="3:5" x14ac:dyDescent="0.2">
      <c r="C108" s="7"/>
      <c r="D108" s="7"/>
      <c r="E108" s="7"/>
    </row>
    <row r="109" spans="3:5" x14ac:dyDescent="0.2">
      <c r="C109" s="7"/>
      <c r="D109" s="7"/>
      <c r="E109" s="7"/>
    </row>
    <row r="110" spans="3:5" x14ac:dyDescent="0.2">
      <c r="C110" s="7"/>
      <c r="D110" s="7"/>
      <c r="E110" s="7"/>
    </row>
    <row r="111" spans="3:5" x14ac:dyDescent="0.2">
      <c r="C111" s="7"/>
      <c r="D111" s="7"/>
      <c r="E111" s="7"/>
    </row>
    <row r="112" spans="3:5" x14ac:dyDescent="0.2">
      <c r="C112" s="7"/>
      <c r="D112" s="7"/>
      <c r="E112" s="7"/>
    </row>
    <row r="113" spans="3:5" x14ac:dyDescent="0.2">
      <c r="C113" s="7"/>
      <c r="D113" s="7"/>
      <c r="E113" s="7"/>
    </row>
    <row r="114" spans="3:5" x14ac:dyDescent="0.2">
      <c r="C114" s="7"/>
      <c r="D114" s="7"/>
      <c r="E114" s="7"/>
    </row>
    <row r="115" spans="3:5" x14ac:dyDescent="0.2">
      <c r="C115" s="7"/>
      <c r="D115" s="7"/>
      <c r="E115" s="7"/>
    </row>
    <row r="116" spans="3:5" x14ac:dyDescent="0.2">
      <c r="C116" s="7"/>
      <c r="D116" s="7"/>
      <c r="E116" s="7"/>
    </row>
    <row r="117" spans="3:5" x14ac:dyDescent="0.2">
      <c r="C117" s="7"/>
      <c r="D117" s="7"/>
      <c r="E117" s="7"/>
    </row>
    <row r="118" spans="3:5" x14ac:dyDescent="0.2">
      <c r="C118" s="7"/>
      <c r="D118" s="7"/>
      <c r="E118" s="7"/>
    </row>
    <row r="119" spans="3:5" x14ac:dyDescent="0.2">
      <c r="C119" s="7"/>
      <c r="D119" s="7"/>
      <c r="E119" s="7"/>
    </row>
    <row r="120" spans="3:5" x14ac:dyDescent="0.2">
      <c r="C120" s="7"/>
      <c r="D120" s="7"/>
      <c r="E120" s="7"/>
    </row>
    <row r="121" spans="3:5" x14ac:dyDescent="0.2">
      <c r="C121" s="7"/>
      <c r="D121" s="7"/>
      <c r="E121" s="7"/>
    </row>
    <row r="122" spans="3:5" x14ac:dyDescent="0.2">
      <c r="C122" s="7"/>
      <c r="D122" s="7"/>
      <c r="E122" s="7"/>
    </row>
    <row r="123" spans="3:5" x14ac:dyDescent="0.2">
      <c r="C123" s="7"/>
      <c r="D123" s="7"/>
      <c r="E123" s="7"/>
    </row>
    <row r="124" spans="3:5" x14ac:dyDescent="0.2">
      <c r="C124" s="7"/>
      <c r="D124" s="7"/>
      <c r="E124" s="7"/>
    </row>
    <row r="125" spans="3:5" x14ac:dyDescent="0.2">
      <c r="C125" s="7"/>
      <c r="D125" s="7"/>
      <c r="E125" s="7"/>
    </row>
    <row r="126" spans="3:5" x14ac:dyDescent="0.2">
      <c r="C126" s="7"/>
      <c r="D126" s="7"/>
      <c r="E126" s="7"/>
    </row>
    <row r="127" spans="3:5" x14ac:dyDescent="0.2">
      <c r="C127" s="7"/>
      <c r="D127" s="7"/>
      <c r="E127" s="7"/>
    </row>
    <row r="128" spans="3:5" x14ac:dyDescent="0.2">
      <c r="C128" s="7"/>
      <c r="D128" s="7"/>
      <c r="E128" s="7"/>
    </row>
    <row r="129" spans="3:5" x14ac:dyDescent="0.2">
      <c r="C129" s="7"/>
      <c r="D129" s="7"/>
      <c r="E129" s="7"/>
    </row>
    <row r="130" spans="3:5" x14ac:dyDescent="0.2">
      <c r="C130" s="7"/>
      <c r="D130" s="7"/>
      <c r="E130" s="7"/>
    </row>
    <row r="131" spans="3:5" x14ac:dyDescent="0.2">
      <c r="C131" s="7"/>
      <c r="D131" s="7"/>
      <c r="E131" s="7"/>
    </row>
    <row r="132" spans="3:5" x14ac:dyDescent="0.2">
      <c r="C132" s="7"/>
      <c r="D132" s="7"/>
      <c r="E132" s="7"/>
    </row>
    <row r="133" spans="3:5" x14ac:dyDescent="0.2">
      <c r="C133" s="7"/>
      <c r="D133" s="7"/>
      <c r="E133" s="7"/>
    </row>
    <row r="134" spans="3:5" x14ac:dyDescent="0.2">
      <c r="C134" s="7"/>
      <c r="D134" s="7"/>
      <c r="E134" s="7"/>
    </row>
    <row r="135" spans="3:5" x14ac:dyDescent="0.2">
      <c r="C135" s="7"/>
      <c r="D135" s="7"/>
      <c r="E135" s="7"/>
    </row>
    <row r="136" spans="3:5" x14ac:dyDescent="0.2">
      <c r="C136" s="7"/>
      <c r="D136" s="7"/>
      <c r="E136" s="7"/>
    </row>
    <row r="137" spans="3:5" x14ac:dyDescent="0.2">
      <c r="C137" s="7"/>
      <c r="D137" s="7"/>
      <c r="E137" s="7"/>
    </row>
    <row r="138" spans="3:5" x14ac:dyDescent="0.2">
      <c r="C138" s="7"/>
      <c r="D138" s="7"/>
      <c r="E138" s="7"/>
    </row>
    <row r="139" spans="3:5" x14ac:dyDescent="0.2">
      <c r="C139" s="7"/>
      <c r="D139" s="7"/>
      <c r="E139" s="7"/>
    </row>
    <row r="140" spans="3:5" x14ac:dyDescent="0.2">
      <c r="C140" s="7"/>
      <c r="D140" s="7"/>
      <c r="E140" s="7"/>
    </row>
    <row r="141" spans="3:5" x14ac:dyDescent="0.2">
      <c r="C141" s="7"/>
      <c r="D141" s="7"/>
      <c r="E141" s="7"/>
    </row>
    <row r="142" spans="3:5" x14ac:dyDescent="0.2">
      <c r="C142" s="7"/>
      <c r="D142" s="7"/>
      <c r="E142" s="7"/>
    </row>
    <row r="143" spans="3:5" x14ac:dyDescent="0.2">
      <c r="C143" s="7"/>
      <c r="D143" s="7"/>
      <c r="E143" s="7"/>
    </row>
    <row r="144" spans="3:5" x14ac:dyDescent="0.2">
      <c r="C144" s="7"/>
      <c r="D144" s="7"/>
      <c r="E144" s="7"/>
    </row>
    <row r="145" spans="3:5" x14ac:dyDescent="0.2">
      <c r="C145" s="7"/>
      <c r="D145" s="7"/>
      <c r="E145" s="7"/>
    </row>
    <row r="146" spans="3:5" x14ac:dyDescent="0.2">
      <c r="C146" s="7"/>
      <c r="D146" s="7"/>
      <c r="E146" s="7"/>
    </row>
    <row r="147" spans="3:5" x14ac:dyDescent="0.2">
      <c r="C147" s="7"/>
      <c r="D147" s="7"/>
      <c r="E147" s="7"/>
    </row>
    <row r="148" spans="3:5" x14ac:dyDescent="0.2">
      <c r="C148" s="7"/>
      <c r="D148" s="7"/>
      <c r="E148" s="7"/>
    </row>
    <row r="149" spans="3:5" x14ac:dyDescent="0.2">
      <c r="C149" s="7"/>
      <c r="D149" s="7"/>
      <c r="E149" s="7"/>
    </row>
    <row r="150" spans="3:5" x14ac:dyDescent="0.2">
      <c r="C150" s="7"/>
      <c r="D150" s="7"/>
      <c r="E150" s="7"/>
    </row>
    <row r="151" spans="3:5" x14ac:dyDescent="0.2">
      <c r="C151" s="7"/>
      <c r="D151" s="7"/>
      <c r="E151" s="7"/>
    </row>
    <row r="152" spans="3:5" x14ac:dyDescent="0.2">
      <c r="C152" s="7"/>
      <c r="D152" s="7"/>
      <c r="E152" s="7"/>
    </row>
    <row r="153" spans="3:5" x14ac:dyDescent="0.2">
      <c r="C153" s="7"/>
      <c r="D153" s="7"/>
      <c r="E153" s="7"/>
    </row>
    <row r="154" spans="3:5" x14ac:dyDescent="0.2">
      <c r="C154" s="7"/>
      <c r="D154" s="7"/>
      <c r="E154" s="7"/>
    </row>
    <row r="155" spans="3:5" x14ac:dyDescent="0.2">
      <c r="C155" s="7"/>
      <c r="D155" s="7"/>
      <c r="E155" s="7"/>
    </row>
    <row r="156" spans="3:5" x14ac:dyDescent="0.2">
      <c r="C156" s="7"/>
      <c r="D156" s="7"/>
      <c r="E156" s="7"/>
    </row>
    <row r="157" spans="3:5" x14ac:dyDescent="0.2">
      <c r="C157" s="7"/>
      <c r="D157" s="7"/>
      <c r="E157" s="7"/>
    </row>
    <row r="158" spans="3:5" x14ac:dyDescent="0.2">
      <c r="C158" s="7"/>
      <c r="D158" s="7"/>
      <c r="E158" s="7"/>
    </row>
    <row r="159" spans="3:5" x14ac:dyDescent="0.2">
      <c r="C159" s="7"/>
      <c r="D159" s="7"/>
      <c r="E159" s="7"/>
    </row>
    <row r="160" spans="3:5" x14ac:dyDescent="0.2">
      <c r="C160" s="7"/>
      <c r="D160" s="7"/>
      <c r="E160" s="7"/>
    </row>
    <row r="161" spans="3:5" x14ac:dyDescent="0.2">
      <c r="C161" s="7"/>
      <c r="D161" s="7"/>
      <c r="E161" s="7"/>
    </row>
    <row r="162" spans="3:5" x14ac:dyDescent="0.2">
      <c r="C162" s="7"/>
      <c r="D162" s="7"/>
      <c r="E162" s="7"/>
    </row>
    <row r="163" spans="3:5" x14ac:dyDescent="0.2">
      <c r="C163" s="7"/>
      <c r="D163" s="7"/>
      <c r="E163" s="7"/>
    </row>
    <row r="164" spans="3:5" x14ac:dyDescent="0.2">
      <c r="C164" s="7"/>
      <c r="D164" s="7"/>
      <c r="E164" s="7"/>
    </row>
    <row r="165" spans="3:5" x14ac:dyDescent="0.2">
      <c r="C165" s="7"/>
      <c r="D165" s="7"/>
      <c r="E165" s="7"/>
    </row>
    <row r="166" spans="3:5" x14ac:dyDescent="0.2">
      <c r="C166" s="7"/>
      <c r="D166" s="7"/>
      <c r="E166" s="7"/>
    </row>
    <row r="167" spans="3:5" x14ac:dyDescent="0.2">
      <c r="C167" s="7"/>
      <c r="D167" s="7"/>
      <c r="E167" s="7"/>
    </row>
    <row r="168" spans="3:5" x14ac:dyDescent="0.2">
      <c r="C168" s="7"/>
      <c r="D168" s="7"/>
      <c r="E168" s="7"/>
    </row>
    <row r="169" spans="3:5" x14ac:dyDescent="0.2">
      <c r="C169" s="7"/>
      <c r="D169" s="7"/>
      <c r="E169" s="7"/>
    </row>
    <row r="170" spans="3:5" x14ac:dyDescent="0.2">
      <c r="C170" s="7"/>
      <c r="D170" s="7"/>
      <c r="E170" s="7"/>
    </row>
    <row r="171" spans="3:5" x14ac:dyDescent="0.2">
      <c r="C171" s="7"/>
      <c r="D171" s="7"/>
      <c r="E171" s="7"/>
    </row>
    <row r="172" spans="3:5" x14ac:dyDescent="0.2">
      <c r="C172" s="7"/>
      <c r="D172" s="7"/>
      <c r="E172" s="7"/>
    </row>
    <row r="173" spans="3:5" x14ac:dyDescent="0.2">
      <c r="C173" s="7"/>
      <c r="D173" s="7"/>
      <c r="E173" s="7"/>
    </row>
    <row r="174" spans="3:5" x14ac:dyDescent="0.2">
      <c r="C174" s="7"/>
      <c r="D174" s="7"/>
      <c r="E174" s="7"/>
    </row>
    <row r="175" spans="3:5" x14ac:dyDescent="0.2">
      <c r="C175" s="7"/>
      <c r="D175" s="7"/>
      <c r="E175" s="7"/>
    </row>
    <row r="176" spans="3:5" x14ac:dyDescent="0.2">
      <c r="C176" s="7"/>
      <c r="D176" s="7"/>
      <c r="E176" s="7"/>
    </row>
    <row r="177" spans="3:5" x14ac:dyDescent="0.2">
      <c r="C177" s="7"/>
      <c r="D177" s="7"/>
      <c r="E177" s="7"/>
    </row>
    <row r="178" spans="3:5" x14ac:dyDescent="0.2">
      <c r="C178" s="7"/>
      <c r="D178" s="7"/>
      <c r="E178" s="7"/>
    </row>
    <row r="179" spans="3:5" x14ac:dyDescent="0.2">
      <c r="C179" s="7"/>
      <c r="D179" s="7"/>
      <c r="E179" s="7"/>
    </row>
    <row r="180" spans="3:5" x14ac:dyDescent="0.2">
      <c r="C180" s="7"/>
      <c r="D180" s="7"/>
      <c r="E180" s="7"/>
    </row>
    <row r="181" spans="3:5" x14ac:dyDescent="0.2">
      <c r="C181" s="7"/>
      <c r="D181" s="7"/>
      <c r="E181" s="7"/>
    </row>
    <row r="182" spans="3:5" x14ac:dyDescent="0.2">
      <c r="C182" s="7"/>
      <c r="D182" s="7"/>
      <c r="E182" s="7"/>
    </row>
    <row r="183" spans="3:5" x14ac:dyDescent="0.2">
      <c r="C183" s="7"/>
      <c r="D183" s="7"/>
      <c r="E183" s="7"/>
    </row>
    <row r="184" spans="3:5" x14ac:dyDescent="0.2">
      <c r="C184" s="7"/>
      <c r="D184" s="7"/>
      <c r="E184" s="7"/>
    </row>
    <row r="185" spans="3:5" x14ac:dyDescent="0.2">
      <c r="C185" s="7"/>
      <c r="D185" s="7"/>
      <c r="E185" s="7"/>
    </row>
    <row r="186" spans="3:5" x14ac:dyDescent="0.2">
      <c r="C186" s="7"/>
      <c r="D186" s="7"/>
      <c r="E186" s="7"/>
    </row>
    <row r="187" spans="3:5" x14ac:dyDescent="0.2">
      <c r="C187" s="7"/>
      <c r="D187" s="7"/>
      <c r="E187" s="7"/>
    </row>
    <row r="188" spans="3:5" x14ac:dyDescent="0.2">
      <c r="C188" s="7"/>
      <c r="D188" s="7"/>
      <c r="E188" s="7"/>
    </row>
    <row r="189" spans="3:5" x14ac:dyDescent="0.2">
      <c r="C189" s="7"/>
      <c r="D189" s="7"/>
      <c r="E189" s="7"/>
    </row>
    <row r="190" spans="3:5" x14ac:dyDescent="0.2">
      <c r="C190" s="7"/>
      <c r="D190" s="7"/>
      <c r="E190" s="7"/>
    </row>
    <row r="191" spans="3:5" x14ac:dyDescent="0.2">
      <c r="C191" s="7"/>
      <c r="D191" s="7"/>
      <c r="E191" s="7"/>
    </row>
    <row r="192" spans="3:5" x14ac:dyDescent="0.2">
      <c r="C192" s="7"/>
      <c r="D192" s="7"/>
      <c r="E192" s="7"/>
    </row>
    <row r="193" spans="3:5" x14ac:dyDescent="0.2">
      <c r="C193" s="7"/>
      <c r="D193" s="7"/>
      <c r="E193" s="7"/>
    </row>
    <row r="194" spans="3:5" x14ac:dyDescent="0.2">
      <c r="C194" s="7"/>
      <c r="D194" s="7"/>
      <c r="E194" s="7"/>
    </row>
    <row r="195" spans="3:5" x14ac:dyDescent="0.2">
      <c r="C195" s="7"/>
      <c r="D195" s="7"/>
      <c r="E195" s="7"/>
    </row>
    <row r="196" spans="3:5" x14ac:dyDescent="0.2">
      <c r="C196" s="7"/>
      <c r="D196" s="7"/>
      <c r="E196" s="7"/>
    </row>
    <row r="197" spans="3:5" x14ac:dyDescent="0.2">
      <c r="C197" s="7"/>
      <c r="D197" s="7"/>
      <c r="E197" s="7"/>
    </row>
    <row r="198" spans="3:5" x14ac:dyDescent="0.2">
      <c r="C198" s="7"/>
      <c r="D198" s="7"/>
      <c r="E198" s="7"/>
    </row>
    <row r="199" spans="3:5" x14ac:dyDescent="0.2">
      <c r="C199" s="7"/>
      <c r="D199" s="7"/>
      <c r="E199" s="7"/>
    </row>
    <row r="200" spans="3:5" x14ac:dyDescent="0.2">
      <c r="C200" s="7"/>
      <c r="D200" s="7"/>
      <c r="E200" s="7"/>
    </row>
    <row r="201" spans="3:5" x14ac:dyDescent="0.2">
      <c r="C201" s="7"/>
      <c r="D201" s="7"/>
      <c r="E201" s="7"/>
    </row>
    <row r="202" spans="3:5" x14ac:dyDescent="0.2">
      <c r="C202" s="7"/>
      <c r="D202" s="7"/>
      <c r="E202" s="7"/>
    </row>
    <row r="203" spans="3:5" x14ac:dyDescent="0.2">
      <c r="C203" s="7"/>
      <c r="D203" s="7"/>
      <c r="E203" s="7"/>
    </row>
    <row r="204" spans="3:5" x14ac:dyDescent="0.2">
      <c r="C204" s="7"/>
      <c r="D204" s="7"/>
      <c r="E204" s="7"/>
    </row>
    <row r="205" spans="3:5" x14ac:dyDescent="0.2">
      <c r="C205" s="7"/>
      <c r="D205" s="7"/>
      <c r="E205" s="7"/>
    </row>
    <row r="206" spans="3:5" x14ac:dyDescent="0.2">
      <c r="C206" s="7"/>
      <c r="D206" s="7"/>
      <c r="E206" s="7"/>
    </row>
    <row r="207" spans="3:5" x14ac:dyDescent="0.2">
      <c r="C207" s="7"/>
      <c r="D207" s="7"/>
      <c r="E207" s="7"/>
    </row>
    <row r="208" spans="3:5" x14ac:dyDescent="0.2">
      <c r="C208" s="7"/>
      <c r="D208" s="7"/>
      <c r="E208" s="7"/>
    </row>
    <row r="209" spans="3:5" x14ac:dyDescent="0.2">
      <c r="C209" s="7"/>
      <c r="D209" s="7"/>
      <c r="E209" s="7"/>
    </row>
    <row r="210" spans="3:5" x14ac:dyDescent="0.2">
      <c r="C210" s="7"/>
      <c r="D210" s="7"/>
      <c r="E210" s="7"/>
    </row>
    <row r="211" spans="3:5" x14ac:dyDescent="0.2">
      <c r="C211" s="7"/>
      <c r="D211" s="7"/>
      <c r="E211" s="7"/>
    </row>
    <row r="212" spans="3:5" x14ac:dyDescent="0.2">
      <c r="C212" s="7"/>
      <c r="D212" s="7"/>
      <c r="E212" s="7"/>
    </row>
    <row r="213" spans="3:5" x14ac:dyDescent="0.2">
      <c r="C213" s="7"/>
      <c r="D213" s="7"/>
      <c r="E213" s="7"/>
    </row>
    <row r="214" spans="3:5" x14ac:dyDescent="0.2">
      <c r="C214" s="7"/>
      <c r="D214" s="7"/>
      <c r="E214" s="7"/>
    </row>
    <row r="215" spans="3:5" x14ac:dyDescent="0.2">
      <c r="C215" s="7"/>
      <c r="D215" s="7"/>
      <c r="E215" s="7"/>
    </row>
    <row r="216" spans="3:5" x14ac:dyDescent="0.2">
      <c r="C216" s="7"/>
      <c r="D216" s="7"/>
      <c r="E216" s="7"/>
    </row>
    <row r="217" spans="3:5" x14ac:dyDescent="0.2">
      <c r="C217" s="7"/>
      <c r="D217" s="7"/>
      <c r="E217" s="7"/>
    </row>
    <row r="218" spans="3:5" x14ac:dyDescent="0.2">
      <c r="C218" s="7"/>
      <c r="D218" s="7"/>
      <c r="E218" s="7"/>
    </row>
    <row r="219" spans="3:5" x14ac:dyDescent="0.2">
      <c r="C219" s="7"/>
      <c r="D219" s="7"/>
      <c r="E219" s="7"/>
    </row>
    <row r="220" spans="3:5" x14ac:dyDescent="0.2">
      <c r="C220" s="7"/>
      <c r="D220" s="7"/>
      <c r="E220" s="7"/>
    </row>
    <row r="221" spans="3:5" x14ac:dyDescent="0.2">
      <c r="C221" s="7"/>
      <c r="D221" s="7"/>
      <c r="E221" s="7"/>
    </row>
    <row r="222" spans="3:5" x14ac:dyDescent="0.2">
      <c r="C222" s="7"/>
      <c r="D222" s="7"/>
      <c r="E222" s="7"/>
    </row>
    <row r="223" spans="3:5" x14ac:dyDescent="0.2">
      <c r="C223" s="7"/>
      <c r="D223" s="7"/>
      <c r="E223" s="7"/>
    </row>
    <row r="224" spans="3:5" x14ac:dyDescent="0.2">
      <c r="C224" s="7"/>
      <c r="D224" s="7"/>
      <c r="E224" s="7"/>
    </row>
    <row r="225" spans="3:5" x14ac:dyDescent="0.2">
      <c r="C225" s="7"/>
      <c r="D225" s="7"/>
      <c r="E225" s="7"/>
    </row>
    <row r="226" spans="3:5" x14ac:dyDescent="0.2">
      <c r="C226" s="7"/>
      <c r="D226" s="7"/>
      <c r="E226" s="7"/>
    </row>
    <row r="227" spans="3:5" x14ac:dyDescent="0.2">
      <c r="C227" s="7"/>
      <c r="D227" s="7"/>
      <c r="E227" s="7"/>
    </row>
    <row r="228" spans="3:5" x14ac:dyDescent="0.2">
      <c r="C228" s="7"/>
      <c r="D228" s="7"/>
      <c r="E228" s="7"/>
    </row>
    <row r="229" spans="3:5" x14ac:dyDescent="0.2">
      <c r="C229" s="7"/>
      <c r="D229" s="7"/>
      <c r="E229" s="7"/>
    </row>
    <row r="230" spans="3:5" x14ac:dyDescent="0.2">
      <c r="C230" s="7"/>
      <c r="D230" s="7"/>
      <c r="E230" s="7"/>
    </row>
    <row r="231" spans="3:5" x14ac:dyDescent="0.2">
      <c r="C231" s="7"/>
      <c r="D231" s="7"/>
      <c r="E231" s="7"/>
    </row>
    <row r="232" spans="3:5" x14ac:dyDescent="0.2">
      <c r="C232" s="7"/>
      <c r="D232" s="7"/>
      <c r="E232" s="7"/>
    </row>
    <row r="233" spans="3:5" x14ac:dyDescent="0.2">
      <c r="C233" s="7"/>
      <c r="D233" s="7"/>
      <c r="E233" s="7"/>
    </row>
    <row r="234" spans="3:5" x14ac:dyDescent="0.2">
      <c r="C234" s="7"/>
      <c r="D234" s="7"/>
      <c r="E234" s="7"/>
    </row>
    <row r="235" spans="3:5" x14ac:dyDescent="0.2">
      <c r="C235" s="7"/>
      <c r="D235" s="7"/>
      <c r="E235" s="7"/>
    </row>
    <row r="236" spans="3:5" x14ac:dyDescent="0.2">
      <c r="C236" s="7"/>
      <c r="D236" s="7"/>
      <c r="E236" s="7"/>
    </row>
    <row r="237" spans="3:5" x14ac:dyDescent="0.2">
      <c r="C237" s="7"/>
      <c r="D237" s="7"/>
      <c r="E237" s="7"/>
    </row>
    <row r="238" spans="3:5" x14ac:dyDescent="0.2">
      <c r="C238" s="7"/>
      <c r="D238" s="7"/>
      <c r="E238" s="7"/>
    </row>
    <row r="239" spans="3:5" x14ac:dyDescent="0.2">
      <c r="C239" s="7"/>
      <c r="D239" s="7"/>
      <c r="E239" s="7"/>
    </row>
    <row r="240" spans="3:5" x14ac:dyDescent="0.2">
      <c r="C240" s="7"/>
      <c r="D240" s="7"/>
      <c r="E240" s="7"/>
    </row>
    <row r="241" spans="3:5" x14ac:dyDescent="0.2">
      <c r="C241" s="7"/>
      <c r="D241" s="7"/>
      <c r="E241" s="7"/>
    </row>
    <row r="242" spans="3:5" x14ac:dyDescent="0.2">
      <c r="C242" s="7"/>
      <c r="D242" s="7"/>
      <c r="E242" s="7"/>
    </row>
    <row r="243" spans="3:5" x14ac:dyDescent="0.2">
      <c r="C243" s="7"/>
      <c r="D243" s="7"/>
      <c r="E243" s="7"/>
    </row>
    <row r="244" spans="3:5" x14ac:dyDescent="0.2">
      <c r="C244" s="7"/>
      <c r="D244" s="7"/>
      <c r="E244" s="7"/>
    </row>
    <row r="245" spans="3:5" x14ac:dyDescent="0.2">
      <c r="C245" s="7"/>
      <c r="D245" s="7"/>
      <c r="E245" s="7"/>
    </row>
    <row r="246" spans="3:5" x14ac:dyDescent="0.2">
      <c r="C246" s="7"/>
      <c r="D246" s="7"/>
      <c r="E246" s="7"/>
    </row>
    <row r="247" spans="3:5" x14ac:dyDescent="0.2">
      <c r="C247" s="7"/>
      <c r="D247" s="7"/>
      <c r="E247" s="7"/>
    </row>
    <row r="248" spans="3:5" x14ac:dyDescent="0.2">
      <c r="C248" s="7"/>
      <c r="D248" s="7"/>
      <c r="E248" s="7"/>
    </row>
    <row r="249" spans="3:5" x14ac:dyDescent="0.2">
      <c r="C249" s="7"/>
      <c r="D249" s="7"/>
      <c r="E249" s="7"/>
    </row>
    <row r="250" spans="3:5" x14ac:dyDescent="0.2">
      <c r="C250" s="7"/>
      <c r="D250" s="7"/>
      <c r="E250" s="7"/>
    </row>
    <row r="251" spans="3:5" x14ac:dyDescent="0.2">
      <c r="C251" s="7"/>
      <c r="D251" s="7"/>
      <c r="E251" s="7"/>
    </row>
    <row r="252" spans="3:5" x14ac:dyDescent="0.2">
      <c r="C252" s="7"/>
      <c r="D252" s="7"/>
      <c r="E252" s="7"/>
    </row>
    <row r="253" spans="3:5" x14ac:dyDescent="0.2">
      <c r="C253" s="7"/>
      <c r="D253" s="7"/>
      <c r="E253" s="7"/>
    </row>
    <row r="254" spans="3:5" x14ac:dyDescent="0.2">
      <c r="C254" s="7"/>
      <c r="D254" s="7"/>
      <c r="E254" s="7"/>
    </row>
    <row r="255" spans="3:5" x14ac:dyDescent="0.2">
      <c r="C255" s="7"/>
      <c r="D255" s="7"/>
      <c r="E255" s="7"/>
    </row>
    <row r="256" spans="3:5" x14ac:dyDescent="0.2">
      <c r="C256" s="7"/>
      <c r="D256" s="7"/>
      <c r="E256" s="7"/>
    </row>
    <row r="257" spans="3:5" x14ac:dyDescent="0.2">
      <c r="C257" s="7"/>
      <c r="D257" s="7"/>
      <c r="E257" s="7"/>
    </row>
    <row r="258" spans="3:5" x14ac:dyDescent="0.2">
      <c r="C258" s="7"/>
      <c r="D258" s="7"/>
      <c r="E258" s="7"/>
    </row>
    <row r="259" spans="3:5" x14ac:dyDescent="0.2">
      <c r="C259" s="7"/>
      <c r="D259" s="7"/>
      <c r="E259" s="7"/>
    </row>
    <row r="260" spans="3:5" x14ac:dyDescent="0.2">
      <c r="C260" s="7"/>
      <c r="D260" s="7"/>
      <c r="E260" s="7"/>
    </row>
    <row r="261" spans="3:5" x14ac:dyDescent="0.2">
      <c r="C261" s="7"/>
      <c r="D261" s="7"/>
      <c r="E261" s="7"/>
    </row>
    <row r="262" spans="3:5" x14ac:dyDescent="0.2">
      <c r="C262" s="7"/>
      <c r="D262" s="7"/>
      <c r="E262" s="7"/>
    </row>
    <row r="263" spans="3:5" x14ac:dyDescent="0.2">
      <c r="C263" s="7"/>
      <c r="D263" s="7"/>
      <c r="E263" s="7"/>
    </row>
    <row r="264" spans="3:5" x14ac:dyDescent="0.2">
      <c r="C264" s="7"/>
      <c r="D264" s="7"/>
      <c r="E264" s="7"/>
    </row>
    <row r="265" spans="3:5" x14ac:dyDescent="0.2">
      <c r="C265" s="7"/>
      <c r="D265" s="7"/>
      <c r="E265" s="7"/>
    </row>
    <row r="266" spans="3:5" x14ac:dyDescent="0.2">
      <c r="C266" s="7"/>
      <c r="D266" s="7"/>
      <c r="E266" s="7"/>
    </row>
    <row r="267" spans="3:5" x14ac:dyDescent="0.2">
      <c r="C267" s="7"/>
      <c r="D267" s="7"/>
      <c r="E267" s="7"/>
    </row>
    <row r="268" spans="3:5" x14ac:dyDescent="0.2">
      <c r="C268" s="7"/>
      <c r="D268" s="7"/>
      <c r="E268" s="7"/>
    </row>
    <row r="269" spans="3:5" x14ac:dyDescent="0.2">
      <c r="C269" s="7"/>
      <c r="D269" s="7"/>
      <c r="E269" s="7"/>
    </row>
    <row r="270" spans="3:5" x14ac:dyDescent="0.2">
      <c r="C270" s="7"/>
      <c r="D270" s="7"/>
      <c r="E270" s="7"/>
    </row>
    <row r="271" spans="3:5" x14ac:dyDescent="0.2">
      <c r="C271" s="7"/>
      <c r="D271" s="7"/>
      <c r="E271" s="7"/>
    </row>
    <row r="272" spans="3:5" x14ac:dyDescent="0.2">
      <c r="C272" s="7"/>
      <c r="D272" s="7"/>
      <c r="E272" s="7"/>
    </row>
    <row r="273" spans="3:5" x14ac:dyDescent="0.2">
      <c r="C273" s="7"/>
      <c r="D273" s="7"/>
      <c r="E273" s="7"/>
    </row>
    <row r="274" spans="3:5" x14ac:dyDescent="0.2">
      <c r="C274" s="7"/>
      <c r="D274" s="7"/>
      <c r="E274" s="7"/>
    </row>
    <row r="275" spans="3:5" x14ac:dyDescent="0.2">
      <c r="C275" s="7"/>
      <c r="D275" s="7"/>
      <c r="E275" s="7"/>
    </row>
    <row r="276" spans="3:5" x14ac:dyDescent="0.2">
      <c r="C276" s="7"/>
      <c r="D276" s="7"/>
      <c r="E276" s="7"/>
    </row>
    <row r="277" spans="3:5" x14ac:dyDescent="0.2">
      <c r="C277" s="7"/>
      <c r="D277" s="7"/>
      <c r="E277" s="7"/>
    </row>
    <row r="278" spans="3:5" x14ac:dyDescent="0.2">
      <c r="C278" s="7"/>
      <c r="D278" s="7"/>
      <c r="E278" s="7"/>
    </row>
    <row r="279" spans="3:5" x14ac:dyDescent="0.2">
      <c r="C279" s="7"/>
      <c r="D279" s="7"/>
      <c r="E279" s="7"/>
    </row>
    <row r="280" spans="3:5" x14ac:dyDescent="0.2">
      <c r="C280" s="7"/>
      <c r="D280" s="7"/>
      <c r="E280" s="7"/>
    </row>
    <row r="281" spans="3:5" x14ac:dyDescent="0.2">
      <c r="C281" s="7"/>
      <c r="D281" s="7"/>
      <c r="E281" s="7"/>
    </row>
    <row r="282" spans="3:5" x14ac:dyDescent="0.2">
      <c r="C282" s="7"/>
      <c r="D282" s="7"/>
      <c r="E282" s="7"/>
    </row>
    <row r="283" spans="3:5" x14ac:dyDescent="0.2">
      <c r="C283" s="7"/>
      <c r="D283" s="7"/>
      <c r="E283" s="7"/>
    </row>
    <row r="284" spans="3:5" x14ac:dyDescent="0.2">
      <c r="C284" s="7"/>
      <c r="D284" s="7"/>
      <c r="E284" s="7"/>
    </row>
    <row r="285" spans="3:5" x14ac:dyDescent="0.2">
      <c r="C285" s="7"/>
      <c r="D285" s="7"/>
      <c r="E285" s="7"/>
    </row>
    <row r="286" spans="3:5" x14ac:dyDescent="0.2">
      <c r="C286" s="7"/>
      <c r="D286" s="7"/>
      <c r="E286" s="7"/>
    </row>
    <row r="287" spans="3:5" x14ac:dyDescent="0.2">
      <c r="C287" s="7"/>
      <c r="D287" s="7"/>
      <c r="E287" s="7"/>
    </row>
    <row r="288" spans="3:5" x14ac:dyDescent="0.2">
      <c r="C288" s="7"/>
      <c r="D288" s="7"/>
      <c r="E288" s="7"/>
    </row>
    <row r="289" spans="3:5" x14ac:dyDescent="0.2">
      <c r="C289" s="7"/>
      <c r="D289" s="7"/>
      <c r="E289" s="7"/>
    </row>
    <row r="290" spans="3:5" x14ac:dyDescent="0.2">
      <c r="C290" s="7"/>
      <c r="D290" s="7"/>
      <c r="E290" s="7"/>
    </row>
    <row r="291" spans="3:5" x14ac:dyDescent="0.2">
      <c r="C291" s="7"/>
      <c r="D291" s="7"/>
      <c r="E291" s="7"/>
    </row>
    <row r="292" spans="3:5" x14ac:dyDescent="0.2">
      <c r="C292" s="7"/>
      <c r="D292" s="7"/>
      <c r="E292" s="7"/>
    </row>
    <row r="293" spans="3:5" x14ac:dyDescent="0.2">
      <c r="C293" s="7"/>
      <c r="D293" s="7"/>
      <c r="E293" s="7"/>
    </row>
    <row r="294" spans="3:5" x14ac:dyDescent="0.2">
      <c r="C294" s="7"/>
      <c r="D294" s="7"/>
      <c r="E294" s="7"/>
    </row>
    <row r="295" spans="3:5" x14ac:dyDescent="0.2">
      <c r="C295" s="7"/>
      <c r="D295" s="7"/>
      <c r="E295" s="7"/>
    </row>
    <row r="296" spans="3:5" x14ac:dyDescent="0.2">
      <c r="C296" s="7"/>
      <c r="D296" s="7"/>
      <c r="E296" s="7"/>
    </row>
    <row r="297" spans="3:5" x14ac:dyDescent="0.2">
      <c r="C297" s="7"/>
      <c r="D297" s="7"/>
      <c r="E297" s="7"/>
    </row>
    <row r="298" spans="3:5" x14ac:dyDescent="0.2">
      <c r="C298" s="7"/>
      <c r="D298" s="7"/>
      <c r="E298" s="7"/>
    </row>
    <row r="299" spans="3:5" x14ac:dyDescent="0.2">
      <c r="C299" s="7"/>
      <c r="D299" s="7"/>
      <c r="E299" s="7"/>
    </row>
    <row r="300" spans="3:5" x14ac:dyDescent="0.2">
      <c r="C300" s="7"/>
      <c r="D300" s="7"/>
      <c r="E300" s="7"/>
    </row>
    <row r="301" spans="3:5" x14ac:dyDescent="0.2">
      <c r="C301" s="7"/>
      <c r="D301" s="7"/>
      <c r="E301" s="7"/>
    </row>
    <row r="302" spans="3:5" x14ac:dyDescent="0.2">
      <c r="C302" s="7"/>
      <c r="D302" s="7"/>
      <c r="E302" s="7"/>
    </row>
    <row r="303" spans="3:5" x14ac:dyDescent="0.2">
      <c r="C303" s="7"/>
      <c r="D303" s="7"/>
      <c r="E303" s="7"/>
    </row>
    <row r="304" spans="3:5" x14ac:dyDescent="0.2">
      <c r="C304" s="7"/>
      <c r="D304" s="7"/>
      <c r="E304" s="7"/>
    </row>
    <row r="305" spans="3:5" x14ac:dyDescent="0.2">
      <c r="C305" s="7"/>
      <c r="D305" s="7"/>
      <c r="E305" s="7"/>
    </row>
    <row r="306" spans="3:5" x14ac:dyDescent="0.2">
      <c r="C306" s="7"/>
      <c r="D306" s="7"/>
      <c r="E306" s="7"/>
    </row>
    <row r="307" spans="3:5" x14ac:dyDescent="0.2">
      <c r="C307" s="7"/>
      <c r="D307" s="7"/>
      <c r="E307" s="7"/>
    </row>
    <row r="308" spans="3:5" x14ac:dyDescent="0.2">
      <c r="C308" s="7"/>
      <c r="D308" s="7"/>
      <c r="E308" s="7"/>
    </row>
    <row r="309" spans="3:5" x14ac:dyDescent="0.2">
      <c r="C309" s="7"/>
      <c r="D309" s="7"/>
      <c r="E309" s="7"/>
    </row>
    <row r="310" spans="3:5" x14ac:dyDescent="0.2">
      <c r="C310" s="7"/>
      <c r="D310" s="7"/>
      <c r="E310" s="7"/>
    </row>
    <row r="311" spans="3:5" x14ac:dyDescent="0.2">
      <c r="C311" s="7"/>
      <c r="D311" s="7"/>
      <c r="E311" s="7"/>
    </row>
    <row r="312" spans="3:5" x14ac:dyDescent="0.2">
      <c r="C312" s="7"/>
      <c r="D312" s="7"/>
      <c r="E312" s="7"/>
    </row>
    <row r="313" spans="3:5" x14ac:dyDescent="0.2">
      <c r="C313" s="7"/>
      <c r="D313" s="7"/>
      <c r="E313" s="7"/>
    </row>
    <row r="314" spans="3:5" x14ac:dyDescent="0.2">
      <c r="C314" s="7"/>
      <c r="D314" s="7"/>
      <c r="E314" s="7"/>
    </row>
    <row r="315" spans="3:5" x14ac:dyDescent="0.2">
      <c r="C315" s="7"/>
      <c r="D315" s="7"/>
      <c r="E315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0306F-E870-4A30-812D-3D7FB3F8492C}">
  <dimension ref="A1:T248"/>
  <sheetViews>
    <sheetView workbookViewId="0">
      <pane xSplit="1" ySplit="8" topLeftCell="B201" activePane="bottomRight" state="frozen"/>
      <selection pane="topRight" activeCell="B1" sqref="B1"/>
      <selection pane="bottomLeft" activeCell="A9" sqref="A9"/>
      <selection pane="bottomRight" activeCell="E208" sqref="E208"/>
    </sheetView>
    <sheetView workbookViewId="1">
      <selection activeCell="I223" sqref="I223"/>
    </sheetView>
  </sheetViews>
  <sheetFormatPr baseColWidth="10" defaultColWidth="8.83203125" defaultRowHeight="14" x14ac:dyDescent="0.2"/>
  <cols>
    <col min="1" max="1" width="50.83203125" style="5" customWidth="1"/>
    <col min="2" max="2" width="8.6640625" style="10" hidden="1" customWidth="1"/>
    <col min="3" max="5" width="18.1640625" style="5" customWidth="1"/>
    <col min="6" max="6" width="5" style="6" customWidth="1"/>
    <col min="7" max="18" width="18.1640625" style="5" customWidth="1"/>
    <col min="19" max="16384" width="8.83203125" style="7"/>
  </cols>
  <sheetData>
    <row r="1" spans="1:18" x14ac:dyDescent="0.2">
      <c r="A1" s="4" t="s">
        <v>0</v>
      </c>
      <c r="B1" s="4"/>
    </row>
    <row r="2" spans="1:18" x14ac:dyDescent="0.2">
      <c r="A2" s="4" t="s">
        <v>1</v>
      </c>
      <c r="B2" s="4"/>
    </row>
    <row r="3" spans="1:18" x14ac:dyDescent="0.2">
      <c r="A3" s="8" t="s">
        <v>2</v>
      </c>
      <c r="B3" s="8"/>
      <c r="F3" s="9"/>
    </row>
    <row r="4" spans="1:18" x14ac:dyDescent="0.2">
      <c r="A4" s="8" t="s">
        <v>3</v>
      </c>
      <c r="B4" s="8"/>
      <c r="F4" s="9"/>
    </row>
    <row r="5" spans="1:18" x14ac:dyDescent="0.2">
      <c r="A5" s="10" t="s">
        <v>4</v>
      </c>
    </row>
    <row r="6" spans="1:18" x14ac:dyDescent="0.2">
      <c r="A6" s="8" t="s">
        <v>4</v>
      </c>
      <c r="B6" s="8" t="s">
        <v>4</v>
      </c>
      <c r="C6" s="11" t="s">
        <v>190</v>
      </c>
      <c r="D6" s="11"/>
      <c r="E6" s="11"/>
      <c r="F6" s="12"/>
      <c r="G6" s="11" t="s">
        <v>190</v>
      </c>
      <c r="H6" s="11" t="s">
        <v>190</v>
      </c>
      <c r="I6" s="11" t="s">
        <v>190</v>
      </c>
      <c r="J6" s="11" t="s">
        <v>190</v>
      </c>
      <c r="K6" s="11" t="s">
        <v>190</v>
      </c>
      <c r="L6" s="11" t="s">
        <v>190</v>
      </c>
      <c r="M6" s="11" t="s">
        <v>190</v>
      </c>
      <c r="N6" s="11" t="s">
        <v>190</v>
      </c>
      <c r="O6" s="11" t="s">
        <v>190</v>
      </c>
      <c r="P6" s="11" t="s">
        <v>190</v>
      </c>
      <c r="Q6" s="11" t="s">
        <v>190</v>
      </c>
      <c r="R6" s="11" t="s">
        <v>190</v>
      </c>
    </row>
    <row r="7" spans="1:18" x14ac:dyDescent="0.2">
      <c r="A7" s="8" t="s">
        <v>4</v>
      </c>
      <c r="B7" s="8" t="s">
        <v>4</v>
      </c>
      <c r="C7" s="11" t="s">
        <v>191</v>
      </c>
      <c r="D7" s="11"/>
      <c r="E7" s="11" t="s">
        <v>307</v>
      </c>
      <c r="F7" s="12"/>
      <c r="G7" s="11" t="s">
        <v>191</v>
      </c>
      <c r="H7" s="11" t="s">
        <v>191</v>
      </c>
      <c r="I7" s="11" t="s">
        <v>191</v>
      </c>
      <c r="J7" s="11" t="s">
        <v>191</v>
      </c>
      <c r="K7" s="11" t="s">
        <v>191</v>
      </c>
      <c r="L7" s="11" t="s">
        <v>191</v>
      </c>
      <c r="M7" s="11" t="s">
        <v>191</v>
      </c>
      <c r="N7" s="11" t="s">
        <v>191</v>
      </c>
      <c r="O7" s="11" t="s">
        <v>191</v>
      </c>
      <c r="P7" s="11" t="s">
        <v>191</v>
      </c>
      <c r="Q7" s="11" t="s">
        <v>191</v>
      </c>
      <c r="R7" s="11" t="s">
        <v>191</v>
      </c>
    </row>
    <row r="8" spans="1:18" x14ac:dyDescent="0.2">
      <c r="A8" s="8" t="s">
        <v>4</v>
      </c>
      <c r="B8" s="8" t="s">
        <v>4</v>
      </c>
      <c r="C8" s="13" t="s">
        <v>192</v>
      </c>
      <c r="D8" s="13" t="s">
        <v>308</v>
      </c>
      <c r="E8" s="13" t="s">
        <v>192</v>
      </c>
      <c r="F8" s="12"/>
      <c r="G8" s="13" t="s">
        <v>193</v>
      </c>
      <c r="H8" s="13" t="s">
        <v>201</v>
      </c>
      <c r="I8" s="13" t="s">
        <v>202</v>
      </c>
      <c r="J8" s="13" t="s">
        <v>203</v>
      </c>
      <c r="K8" s="13" t="s">
        <v>204</v>
      </c>
      <c r="L8" s="13" t="s">
        <v>205</v>
      </c>
      <c r="M8" s="13" t="s">
        <v>206</v>
      </c>
      <c r="N8" s="13" t="s">
        <v>207</v>
      </c>
      <c r="O8" s="13" t="s">
        <v>208</v>
      </c>
      <c r="P8" s="13" t="s">
        <v>209</v>
      </c>
      <c r="Q8" s="13" t="s">
        <v>210</v>
      </c>
      <c r="R8" s="13" t="s">
        <v>211</v>
      </c>
    </row>
    <row r="9" spans="1:18" x14ac:dyDescent="0.2">
      <c r="A9" s="8" t="s">
        <v>4</v>
      </c>
      <c r="B9" s="8" t="s">
        <v>4</v>
      </c>
      <c r="C9" s="14" t="s">
        <v>194</v>
      </c>
      <c r="D9" s="14"/>
      <c r="E9" s="14"/>
      <c r="F9" s="12"/>
      <c r="G9" s="14" t="s">
        <v>194</v>
      </c>
      <c r="H9" s="14" t="s">
        <v>194</v>
      </c>
      <c r="I9" s="14" t="s">
        <v>194</v>
      </c>
      <c r="J9" s="14" t="s">
        <v>194</v>
      </c>
      <c r="K9" s="14" t="s">
        <v>194</v>
      </c>
      <c r="L9" s="14" t="s">
        <v>194</v>
      </c>
      <c r="M9" s="14" t="s">
        <v>194</v>
      </c>
      <c r="N9" s="14" t="s">
        <v>194</v>
      </c>
      <c r="O9" s="14" t="s">
        <v>194</v>
      </c>
      <c r="P9" s="14" t="s">
        <v>194</v>
      </c>
      <c r="Q9" s="14" t="s">
        <v>194</v>
      </c>
      <c r="R9" s="14" t="s">
        <v>194</v>
      </c>
    </row>
    <row r="10" spans="1:18" x14ac:dyDescent="0.2">
      <c r="A10" s="4" t="s">
        <v>5</v>
      </c>
      <c r="B10" s="8" t="s">
        <v>4</v>
      </c>
      <c r="C10" s="4" t="s">
        <v>195</v>
      </c>
      <c r="D10" s="4"/>
      <c r="E10" s="4"/>
      <c r="F10" s="15"/>
      <c r="G10" s="4" t="s">
        <v>195</v>
      </c>
      <c r="H10" s="4" t="s">
        <v>195</v>
      </c>
      <c r="I10" s="4" t="s">
        <v>195</v>
      </c>
      <c r="J10" s="4" t="s">
        <v>195</v>
      </c>
      <c r="K10" s="4" t="s">
        <v>195</v>
      </c>
      <c r="L10" s="4" t="s">
        <v>195</v>
      </c>
      <c r="M10" s="4" t="s">
        <v>195</v>
      </c>
      <c r="N10" s="4" t="s">
        <v>195</v>
      </c>
      <c r="O10" s="4" t="s">
        <v>195</v>
      </c>
      <c r="P10" s="4" t="s">
        <v>195</v>
      </c>
      <c r="Q10" s="4" t="s">
        <v>195</v>
      </c>
      <c r="R10" s="4" t="s">
        <v>195</v>
      </c>
    </row>
    <row r="11" spans="1:18" x14ac:dyDescent="0.2">
      <c r="A11" s="8" t="s">
        <v>6</v>
      </c>
      <c r="B11" s="8" t="s">
        <v>4</v>
      </c>
      <c r="C11" s="8" t="s">
        <v>196</v>
      </c>
      <c r="D11" s="8"/>
      <c r="E11" s="8"/>
      <c r="F11" s="15"/>
      <c r="G11" s="8" t="s">
        <v>196</v>
      </c>
      <c r="H11" s="8" t="s">
        <v>196</v>
      </c>
      <c r="I11" s="8" t="s">
        <v>196</v>
      </c>
      <c r="J11" s="8" t="s">
        <v>196</v>
      </c>
      <c r="K11" s="8" t="s">
        <v>196</v>
      </c>
      <c r="L11" s="8" t="s">
        <v>196</v>
      </c>
      <c r="M11" s="8" t="s">
        <v>196</v>
      </c>
      <c r="N11" s="8" t="s">
        <v>196</v>
      </c>
      <c r="O11" s="8" t="s">
        <v>196</v>
      </c>
      <c r="P11" s="8" t="s">
        <v>196</v>
      </c>
      <c r="Q11" s="8" t="s">
        <v>196</v>
      </c>
      <c r="R11" s="8" t="s">
        <v>196</v>
      </c>
    </row>
    <row r="12" spans="1:18" x14ac:dyDescent="0.2">
      <c r="A12" s="8" t="s">
        <v>7</v>
      </c>
      <c r="B12" s="4"/>
      <c r="C12" s="8" t="s">
        <v>197</v>
      </c>
      <c r="D12" s="8"/>
      <c r="E12" s="8"/>
      <c r="F12" s="16"/>
      <c r="G12" s="8" t="s">
        <v>197</v>
      </c>
      <c r="H12" s="8" t="s">
        <v>197</v>
      </c>
      <c r="I12" s="8" t="s">
        <v>197</v>
      </c>
      <c r="J12" s="8" t="s">
        <v>197</v>
      </c>
      <c r="K12" s="8" t="s">
        <v>197</v>
      </c>
      <c r="L12" s="8" t="s">
        <v>197</v>
      </c>
      <c r="M12" s="8" t="s">
        <v>197</v>
      </c>
      <c r="N12" s="8" t="s">
        <v>197</v>
      </c>
      <c r="O12" s="8" t="s">
        <v>197</v>
      </c>
      <c r="P12" s="8" t="s">
        <v>197</v>
      </c>
      <c r="Q12" s="8" t="s">
        <v>197</v>
      </c>
      <c r="R12" s="8" t="s">
        <v>197</v>
      </c>
    </row>
    <row r="13" spans="1:18" x14ac:dyDescent="0.2">
      <c r="A13" s="8" t="s">
        <v>8</v>
      </c>
      <c r="B13" s="8" t="s">
        <v>4</v>
      </c>
      <c r="C13" s="8" t="s">
        <v>198</v>
      </c>
      <c r="D13" s="8"/>
      <c r="E13" s="8"/>
      <c r="F13" s="15"/>
      <c r="G13" s="8" t="s">
        <v>198</v>
      </c>
      <c r="H13" s="8" t="s">
        <v>198</v>
      </c>
      <c r="I13" s="8" t="s">
        <v>198</v>
      </c>
      <c r="J13" s="8" t="s">
        <v>198</v>
      </c>
      <c r="K13" s="8" t="s">
        <v>198</v>
      </c>
      <c r="L13" s="8" t="s">
        <v>198</v>
      </c>
      <c r="M13" s="8" t="s">
        <v>198</v>
      </c>
      <c r="N13" s="8" t="s">
        <v>198</v>
      </c>
      <c r="O13" s="8" t="s">
        <v>198</v>
      </c>
      <c r="P13" s="8" t="s">
        <v>198</v>
      </c>
      <c r="Q13" s="8" t="s">
        <v>198</v>
      </c>
      <c r="R13" s="8" t="s">
        <v>198</v>
      </c>
    </row>
    <row r="14" spans="1:18" x14ac:dyDescent="0.2">
      <c r="A14" s="8" t="s">
        <v>9</v>
      </c>
      <c r="B14" s="8"/>
      <c r="C14" s="8" t="s">
        <v>199</v>
      </c>
      <c r="D14" s="8"/>
      <c r="E14" s="8"/>
      <c r="F14" s="9"/>
      <c r="G14" s="8" t="s">
        <v>199</v>
      </c>
      <c r="H14" s="8" t="s">
        <v>199</v>
      </c>
      <c r="I14" s="8" t="s">
        <v>199</v>
      </c>
      <c r="J14" s="8" t="s">
        <v>199</v>
      </c>
      <c r="K14" s="8" t="s">
        <v>199</v>
      </c>
      <c r="L14" s="8" t="s">
        <v>199</v>
      </c>
      <c r="M14" s="8" t="s">
        <v>199</v>
      </c>
      <c r="N14" s="8" t="s">
        <v>199</v>
      </c>
      <c r="O14" s="8" t="s">
        <v>199</v>
      </c>
      <c r="P14" s="8" t="s">
        <v>199</v>
      </c>
      <c r="Q14" s="8" t="s">
        <v>199</v>
      </c>
      <c r="R14" s="8" t="s">
        <v>199</v>
      </c>
    </row>
    <row r="15" spans="1:18" x14ac:dyDescent="0.2">
      <c r="A15" s="8" t="s">
        <v>10</v>
      </c>
      <c r="B15" s="8">
        <v>40000</v>
      </c>
      <c r="C15" s="17">
        <v>558277</v>
      </c>
      <c r="D15" s="17">
        <f>-SUMIF(Sheet1!A:A,B15,Sheet1!Z:Z)</f>
        <v>0</v>
      </c>
      <c r="E15" s="17">
        <f>+C15+D15</f>
        <v>558277</v>
      </c>
      <c r="F15" s="18"/>
      <c r="G15" s="17">
        <v>551140</v>
      </c>
      <c r="H15" s="17">
        <v>548490</v>
      </c>
      <c r="I15" s="17">
        <v>515994</v>
      </c>
      <c r="J15" s="17">
        <v>556309</v>
      </c>
      <c r="K15" s="17">
        <v>540665</v>
      </c>
      <c r="L15" s="17">
        <v>553888</v>
      </c>
      <c r="M15" s="17">
        <v>542770</v>
      </c>
      <c r="N15" s="17">
        <v>546505</v>
      </c>
      <c r="O15" s="17">
        <v>508811</v>
      </c>
      <c r="P15" s="17">
        <v>500073</v>
      </c>
      <c r="Q15" s="17">
        <v>492103</v>
      </c>
      <c r="R15" s="17">
        <f>SUM(G15:Q15)+C15</f>
        <v>6415025</v>
      </c>
    </row>
    <row r="16" spans="1:18" x14ac:dyDescent="0.2">
      <c r="A16" s="8" t="s">
        <v>11</v>
      </c>
      <c r="B16" s="8">
        <v>40100</v>
      </c>
      <c r="C16" s="17">
        <v>5055</v>
      </c>
      <c r="D16" s="17">
        <f>-SUMIF(Sheet1!A:A,B16,Sheet1!Z:Z)</f>
        <v>0</v>
      </c>
      <c r="E16" s="17">
        <f t="shared" ref="E16:E79" si="0">+C16+D16</f>
        <v>5055</v>
      </c>
      <c r="F16" s="18"/>
      <c r="G16" s="17">
        <v>5055</v>
      </c>
      <c r="H16" s="17">
        <v>4729</v>
      </c>
      <c r="I16" s="17">
        <v>5056</v>
      </c>
      <c r="J16" s="17">
        <v>5162</v>
      </c>
      <c r="K16" s="17">
        <v>5162</v>
      </c>
      <c r="L16" s="17">
        <v>7797</v>
      </c>
      <c r="M16" s="17">
        <v>7797</v>
      </c>
      <c r="N16" s="17">
        <v>7797</v>
      </c>
      <c r="O16" s="17">
        <v>7797</v>
      </c>
      <c r="P16" s="17">
        <v>7797</v>
      </c>
      <c r="Q16" s="17">
        <v>9897</v>
      </c>
      <c r="R16" s="17">
        <f t="shared" ref="R16:R79" si="1">SUM(G16:Q16)+C16</f>
        <v>79101</v>
      </c>
    </row>
    <row r="17" spans="1:18" x14ac:dyDescent="0.2">
      <c r="A17" s="8" t="s">
        <v>12</v>
      </c>
      <c r="B17" s="8">
        <v>40200</v>
      </c>
      <c r="C17" s="17">
        <v>8406</v>
      </c>
      <c r="D17" s="17">
        <f>-SUMIF(Sheet1!A:A,B17,Sheet1!Z:Z)</f>
        <v>0</v>
      </c>
      <c r="E17" s="17">
        <f t="shared" si="0"/>
        <v>8406</v>
      </c>
      <c r="F17" s="18"/>
      <c r="G17" s="17">
        <v>8407</v>
      </c>
      <c r="H17" s="17">
        <v>8407</v>
      </c>
      <c r="I17" s="17">
        <v>8532</v>
      </c>
      <c r="J17" s="17">
        <v>8807</v>
      </c>
      <c r="K17" s="17">
        <v>9888</v>
      </c>
      <c r="L17" s="17">
        <v>10629</v>
      </c>
      <c r="M17" s="17">
        <v>10629</v>
      </c>
      <c r="N17" s="17">
        <v>10210</v>
      </c>
      <c r="O17" s="17">
        <v>11050</v>
      </c>
      <c r="P17" s="17">
        <v>11462</v>
      </c>
      <c r="Q17" s="17">
        <v>13253</v>
      </c>
      <c r="R17" s="17">
        <f t="shared" si="1"/>
        <v>119680</v>
      </c>
    </row>
    <row r="18" spans="1:18" x14ac:dyDescent="0.2">
      <c r="A18" s="8" t="s">
        <v>13</v>
      </c>
      <c r="B18" s="8">
        <v>41320</v>
      </c>
      <c r="C18" s="17">
        <v>10531</v>
      </c>
      <c r="D18" s="17">
        <f>-SUMIF(Sheet1!A:A,B18,Sheet1!Z:Z)</f>
        <v>0</v>
      </c>
      <c r="E18" s="17">
        <f t="shared" si="0"/>
        <v>10531</v>
      </c>
      <c r="F18" s="18"/>
      <c r="G18" s="17">
        <v>11493</v>
      </c>
      <c r="H18" s="17">
        <v>11556</v>
      </c>
      <c r="I18" s="17">
        <v>11722</v>
      </c>
      <c r="J18" s="17">
        <v>11417</v>
      </c>
      <c r="K18" s="17">
        <v>12099</v>
      </c>
      <c r="L18" s="17">
        <v>13052</v>
      </c>
      <c r="M18" s="17">
        <v>13234</v>
      </c>
      <c r="N18" s="17">
        <v>12807</v>
      </c>
      <c r="O18" s="17">
        <v>12918</v>
      </c>
      <c r="P18" s="17">
        <v>12558</v>
      </c>
      <c r="Q18" s="17">
        <v>12039</v>
      </c>
      <c r="R18" s="17">
        <f t="shared" si="1"/>
        <v>145426</v>
      </c>
    </row>
    <row r="19" spans="1:18" x14ac:dyDescent="0.2">
      <c r="A19" s="8" t="s">
        <v>14</v>
      </c>
      <c r="B19" s="8">
        <v>41925</v>
      </c>
      <c r="C19" s="17">
        <v>4680</v>
      </c>
      <c r="D19" s="17">
        <f>-SUMIF(Sheet1!A:A,B19,Sheet1!Z:Z)</f>
        <v>0</v>
      </c>
      <c r="E19" s="17">
        <f t="shared" si="0"/>
        <v>4680</v>
      </c>
      <c r="F19" s="18"/>
      <c r="G19" s="17">
        <v>5774</v>
      </c>
      <c r="H19" s="17">
        <v>5774</v>
      </c>
      <c r="I19" s="17">
        <v>5913</v>
      </c>
      <c r="J19" s="17">
        <v>6140</v>
      </c>
      <c r="K19" s="17">
        <v>6111</v>
      </c>
      <c r="L19" s="17">
        <v>10072</v>
      </c>
      <c r="M19" s="17">
        <v>10072</v>
      </c>
      <c r="N19" s="17">
        <v>10072</v>
      </c>
      <c r="O19" s="17">
        <v>10072</v>
      </c>
      <c r="P19" s="17">
        <v>10072</v>
      </c>
      <c r="Q19" s="17">
        <v>10072</v>
      </c>
      <c r="R19" s="17">
        <f t="shared" si="1"/>
        <v>94824</v>
      </c>
    </row>
    <row r="20" spans="1:18" x14ac:dyDescent="0.2">
      <c r="A20" s="8" t="s">
        <v>9</v>
      </c>
      <c r="B20" s="8"/>
      <c r="C20" s="19">
        <f>SUM(C15:C19)</f>
        <v>586949</v>
      </c>
      <c r="D20" s="19">
        <f t="shared" ref="D20:Q20" si="2">SUM(D15:D19)</f>
        <v>0</v>
      </c>
      <c r="E20" s="19">
        <f t="shared" si="2"/>
        <v>586949</v>
      </c>
      <c r="F20" s="20"/>
      <c r="G20" s="19">
        <f t="shared" si="2"/>
        <v>581869</v>
      </c>
      <c r="H20" s="19">
        <f t="shared" si="2"/>
        <v>578956</v>
      </c>
      <c r="I20" s="19">
        <f t="shared" si="2"/>
        <v>547217</v>
      </c>
      <c r="J20" s="19">
        <f t="shared" si="2"/>
        <v>587835</v>
      </c>
      <c r="K20" s="19">
        <f t="shared" si="2"/>
        <v>573925</v>
      </c>
      <c r="L20" s="19">
        <f t="shared" si="2"/>
        <v>595438</v>
      </c>
      <c r="M20" s="19">
        <f t="shared" si="2"/>
        <v>584502</v>
      </c>
      <c r="N20" s="19">
        <f t="shared" si="2"/>
        <v>587391</v>
      </c>
      <c r="O20" s="19">
        <f t="shared" si="2"/>
        <v>550648</v>
      </c>
      <c r="P20" s="19">
        <f t="shared" si="2"/>
        <v>541962</v>
      </c>
      <c r="Q20" s="19">
        <f t="shared" si="2"/>
        <v>537364</v>
      </c>
      <c r="R20" s="19">
        <f t="shared" si="1"/>
        <v>6854056</v>
      </c>
    </row>
    <row r="21" spans="1:18" x14ac:dyDescent="0.2">
      <c r="A21" s="8" t="s">
        <v>15</v>
      </c>
      <c r="B21" s="8"/>
      <c r="C21" s="8" t="s">
        <v>199</v>
      </c>
      <c r="D21" s="8"/>
      <c r="E21" s="8"/>
      <c r="F21" s="15"/>
      <c r="G21" s="8" t="s">
        <v>199</v>
      </c>
      <c r="H21" s="8" t="s">
        <v>199</v>
      </c>
      <c r="I21" s="8" t="s">
        <v>199</v>
      </c>
      <c r="J21" s="8" t="s">
        <v>199</v>
      </c>
      <c r="K21" s="8" t="s">
        <v>199</v>
      </c>
      <c r="L21" s="8" t="s">
        <v>199</v>
      </c>
      <c r="M21" s="8" t="s">
        <v>199</v>
      </c>
      <c r="N21" s="8" t="s">
        <v>199</v>
      </c>
      <c r="O21" s="8" t="s">
        <v>199</v>
      </c>
      <c r="P21" s="8" t="s">
        <v>199</v>
      </c>
      <c r="Q21" s="8" t="s">
        <v>199</v>
      </c>
      <c r="R21" s="8"/>
    </row>
    <row r="22" spans="1:18" x14ac:dyDescent="0.2">
      <c r="A22" s="8" t="s">
        <v>16</v>
      </c>
      <c r="B22" s="8">
        <v>41360</v>
      </c>
      <c r="C22" s="17">
        <v>1144</v>
      </c>
      <c r="D22" s="17">
        <f>-SUMIF(Sheet1!A:A,B22,Sheet1!Z:Z)</f>
        <v>0</v>
      </c>
      <c r="E22" s="17">
        <f t="shared" si="0"/>
        <v>1144</v>
      </c>
      <c r="F22" s="9"/>
      <c r="G22" s="17">
        <v>1144</v>
      </c>
      <c r="H22" s="17">
        <v>1144</v>
      </c>
      <c r="I22" s="17">
        <v>1144</v>
      </c>
      <c r="J22" s="17">
        <v>1144</v>
      </c>
      <c r="K22" s="17">
        <v>1144</v>
      </c>
      <c r="L22" s="17">
        <v>1144</v>
      </c>
      <c r="M22" s="17">
        <v>1144</v>
      </c>
      <c r="N22" s="17">
        <v>1144</v>
      </c>
      <c r="O22" s="17">
        <v>1144</v>
      </c>
      <c r="P22" s="17">
        <v>1144</v>
      </c>
      <c r="Q22" s="17">
        <v>1144</v>
      </c>
      <c r="R22" s="17">
        <f t="shared" si="1"/>
        <v>13728</v>
      </c>
    </row>
    <row r="23" spans="1:18" x14ac:dyDescent="0.2">
      <c r="A23" s="8" t="s">
        <v>17</v>
      </c>
      <c r="B23" s="8">
        <v>41365</v>
      </c>
      <c r="C23" s="17">
        <v>26057</v>
      </c>
      <c r="D23" s="17">
        <f>-SUMIF(Sheet1!A:A,B23,Sheet1!Z:Z)</f>
        <v>0</v>
      </c>
      <c r="E23" s="17">
        <f t="shared" si="0"/>
        <v>26057</v>
      </c>
      <c r="F23" s="18"/>
      <c r="G23" s="17">
        <v>25871</v>
      </c>
      <c r="H23" s="17">
        <v>25853</v>
      </c>
      <c r="I23" s="17">
        <v>20457</v>
      </c>
      <c r="J23" s="17">
        <v>25280</v>
      </c>
      <c r="K23" s="17">
        <v>25117</v>
      </c>
      <c r="L23" s="17">
        <v>23342</v>
      </c>
      <c r="M23" s="17">
        <v>23324</v>
      </c>
      <c r="N23" s="17">
        <v>22060</v>
      </c>
      <c r="O23" s="17">
        <v>21582</v>
      </c>
      <c r="P23" s="17">
        <v>21582</v>
      </c>
      <c r="Q23" s="17">
        <v>18993</v>
      </c>
      <c r="R23" s="17">
        <f t="shared" si="1"/>
        <v>279518</v>
      </c>
    </row>
    <row r="24" spans="1:18" x14ac:dyDescent="0.2">
      <c r="A24" s="8" t="s">
        <v>15</v>
      </c>
      <c r="B24" s="8"/>
      <c r="C24" s="19">
        <f>SUM(C22:C23)</f>
        <v>27201</v>
      </c>
      <c r="D24" s="19">
        <f t="shared" ref="D24:Q24" si="3">SUM(D22:D23)</f>
        <v>0</v>
      </c>
      <c r="E24" s="19">
        <f t="shared" si="3"/>
        <v>27201</v>
      </c>
      <c r="F24" s="20"/>
      <c r="G24" s="19">
        <f t="shared" si="3"/>
        <v>27015</v>
      </c>
      <c r="H24" s="19">
        <f t="shared" si="3"/>
        <v>26997</v>
      </c>
      <c r="I24" s="19">
        <f t="shared" si="3"/>
        <v>21601</v>
      </c>
      <c r="J24" s="19">
        <f t="shared" si="3"/>
        <v>26424</v>
      </c>
      <c r="K24" s="19">
        <f t="shared" si="3"/>
        <v>26261</v>
      </c>
      <c r="L24" s="19">
        <f t="shared" si="3"/>
        <v>24486</v>
      </c>
      <c r="M24" s="19">
        <f t="shared" si="3"/>
        <v>24468</v>
      </c>
      <c r="N24" s="19">
        <f t="shared" si="3"/>
        <v>23204</v>
      </c>
      <c r="O24" s="19">
        <f t="shared" si="3"/>
        <v>22726</v>
      </c>
      <c r="P24" s="19">
        <f t="shared" si="3"/>
        <v>22726</v>
      </c>
      <c r="Q24" s="19">
        <f t="shared" si="3"/>
        <v>20137</v>
      </c>
      <c r="R24" s="19">
        <f t="shared" si="1"/>
        <v>293246</v>
      </c>
    </row>
    <row r="25" spans="1:18" x14ac:dyDescent="0.2">
      <c r="A25" s="8" t="s">
        <v>18</v>
      </c>
      <c r="B25" s="8"/>
      <c r="C25" s="8" t="s">
        <v>199</v>
      </c>
      <c r="D25" s="8"/>
      <c r="E25" s="8"/>
      <c r="F25" s="9"/>
      <c r="G25" s="8" t="s">
        <v>199</v>
      </c>
      <c r="H25" s="8" t="s">
        <v>199</v>
      </c>
      <c r="I25" s="8" t="s">
        <v>199</v>
      </c>
      <c r="J25" s="8" t="s">
        <v>199</v>
      </c>
      <c r="K25" s="8" t="s">
        <v>199</v>
      </c>
      <c r="L25" s="8" t="s">
        <v>199</v>
      </c>
      <c r="M25" s="8" t="s">
        <v>199</v>
      </c>
      <c r="N25" s="8" t="s">
        <v>199</v>
      </c>
      <c r="O25" s="8" t="s">
        <v>199</v>
      </c>
      <c r="P25" s="8" t="s">
        <v>199</v>
      </c>
      <c r="Q25" s="8" t="s">
        <v>199</v>
      </c>
      <c r="R25" s="8"/>
    </row>
    <row r="26" spans="1:18" x14ac:dyDescent="0.2">
      <c r="A26" s="8" t="s">
        <v>19</v>
      </c>
      <c r="B26" s="8">
        <v>41200</v>
      </c>
      <c r="C26" s="17">
        <v>27131</v>
      </c>
      <c r="D26" s="17">
        <f>-SUMIF(Sheet1!A:A,B26,Sheet1!Z:Z)</f>
        <v>0</v>
      </c>
      <c r="E26" s="17">
        <f t="shared" si="0"/>
        <v>27131</v>
      </c>
      <c r="F26" s="18"/>
      <c r="G26" s="17">
        <v>26941</v>
      </c>
      <c r="H26" s="17">
        <v>26390</v>
      </c>
      <c r="I26" s="17">
        <v>20854</v>
      </c>
      <c r="J26" s="17">
        <v>22102</v>
      </c>
      <c r="K26" s="17">
        <v>26229</v>
      </c>
      <c r="L26" s="17">
        <v>26479</v>
      </c>
      <c r="M26" s="17">
        <v>26155</v>
      </c>
      <c r="N26" s="17">
        <v>24655</v>
      </c>
      <c r="O26" s="17">
        <v>24654</v>
      </c>
      <c r="P26" s="17">
        <v>24795</v>
      </c>
      <c r="Q26" s="17">
        <v>25121</v>
      </c>
      <c r="R26" s="17">
        <f t="shared" si="1"/>
        <v>301506</v>
      </c>
    </row>
    <row r="27" spans="1:18" x14ac:dyDescent="0.2">
      <c r="A27" s="8" t="s">
        <v>20</v>
      </c>
      <c r="B27" s="8">
        <v>41250</v>
      </c>
      <c r="C27" s="17">
        <v>562</v>
      </c>
      <c r="D27" s="17">
        <f>-SUMIF(Sheet1!A:A,B27,Sheet1!Z:Z)</f>
        <v>0</v>
      </c>
      <c r="E27" s="17">
        <f t="shared" si="0"/>
        <v>562</v>
      </c>
      <c r="F27" s="18"/>
      <c r="G27" s="17">
        <v>563</v>
      </c>
      <c r="H27" s="17">
        <v>562</v>
      </c>
      <c r="I27" s="17">
        <v>563</v>
      </c>
      <c r="J27" s="17">
        <v>563</v>
      </c>
      <c r="K27" s="17">
        <v>562</v>
      </c>
      <c r="L27" s="17">
        <v>563</v>
      </c>
      <c r="M27" s="17">
        <v>562</v>
      </c>
      <c r="N27" s="17">
        <v>562</v>
      </c>
      <c r="O27" s="17">
        <v>563</v>
      </c>
      <c r="P27" s="17">
        <v>562</v>
      </c>
      <c r="Q27" s="17">
        <v>562</v>
      </c>
      <c r="R27" s="17">
        <f t="shared" si="1"/>
        <v>6749</v>
      </c>
    </row>
    <row r="28" spans="1:18" x14ac:dyDescent="0.2">
      <c r="A28" s="8" t="s">
        <v>21</v>
      </c>
      <c r="B28" s="8">
        <v>41300</v>
      </c>
      <c r="C28" s="17">
        <v>-15338</v>
      </c>
      <c r="D28" s="17">
        <f>-SUMIF(Sheet1!A:A,B28,Sheet1!Z:Z)</f>
        <v>-60357</v>
      </c>
      <c r="E28" s="17">
        <f t="shared" si="0"/>
        <v>-75695</v>
      </c>
      <c r="F28" s="21">
        <v>1</v>
      </c>
      <c r="G28" s="17">
        <v>46534</v>
      </c>
      <c r="H28" s="17">
        <v>51519</v>
      </c>
      <c r="I28" s="17">
        <v>45616</v>
      </c>
      <c r="J28" s="17">
        <v>50092</v>
      </c>
      <c r="K28" s="17">
        <v>50221</v>
      </c>
      <c r="L28" s="17">
        <v>49375</v>
      </c>
      <c r="M28" s="17">
        <v>49594</v>
      </c>
      <c r="N28" s="17">
        <v>39052</v>
      </c>
      <c r="O28" s="17">
        <v>38905</v>
      </c>
      <c r="P28" s="17">
        <v>38181</v>
      </c>
      <c r="Q28" s="17">
        <v>31136</v>
      </c>
      <c r="R28" s="17">
        <f t="shared" si="1"/>
        <v>474887</v>
      </c>
    </row>
    <row r="29" spans="1:18" x14ac:dyDescent="0.2">
      <c r="A29" s="8" t="s">
        <v>22</v>
      </c>
      <c r="B29" s="8">
        <v>41350</v>
      </c>
      <c r="C29" s="17">
        <v>896</v>
      </c>
      <c r="D29" s="17">
        <f>-SUMIF(Sheet1!A:A,B29,Sheet1!Z:Z)</f>
        <v>0</v>
      </c>
      <c r="E29" s="17">
        <f t="shared" si="0"/>
        <v>896</v>
      </c>
      <c r="F29" s="18"/>
      <c r="G29" s="17">
        <v>902</v>
      </c>
      <c r="H29" s="17">
        <v>899</v>
      </c>
      <c r="I29" s="17">
        <v>954</v>
      </c>
      <c r="J29" s="17">
        <v>952</v>
      </c>
      <c r="K29" s="17">
        <v>949</v>
      </c>
      <c r="L29" s="17">
        <v>952</v>
      </c>
      <c r="M29" s="17">
        <v>949</v>
      </c>
      <c r="N29" s="17">
        <v>756</v>
      </c>
      <c r="O29" s="17">
        <v>770</v>
      </c>
      <c r="P29" s="17">
        <v>974</v>
      </c>
      <c r="Q29" s="17">
        <v>974</v>
      </c>
      <c r="R29" s="17">
        <f t="shared" si="1"/>
        <v>10927</v>
      </c>
    </row>
    <row r="30" spans="1:18" x14ac:dyDescent="0.2">
      <c r="A30" s="8" t="s">
        <v>23</v>
      </c>
      <c r="B30" s="8">
        <v>41450</v>
      </c>
      <c r="C30" s="17">
        <v>126918</v>
      </c>
      <c r="D30" s="17">
        <f>-SUMIF(Sheet1!A:A,B30,Sheet1!Z:Z)</f>
        <v>0</v>
      </c>
      <c r="E30" s="17">
        <f t="shared" si="0"/>
        <v>126918</v>
      </c>
      <c r="F30" s="18"/>
      <c r="G30" s="17">
        <v>124569</v>
      </c>
      <c r="H30" s="17">
        <v>122540</v>
      </c>
      <c r="I30" s="17">
        <v>82195</v>
      </c>
      <c r="J30" s="17">
        <v>89934</v>
      </c>
      <c r="K30" s="17">
        <v>87546</v>
      </c>
      <c r="L30" s="17">
        <v>84100</v>
      </c>
      <c r="M30" s="17">
        <v>95660</v>
      </c>
      <c r="N30" s="17">
        <v>93187</v>
      </c>
      <c r="O30" s="17">
        <v>88758</v>
      </c>
      <c r="P30" s="17">
        <v>80232</v>
      </c>
      <c r="Q30" s="17">
        <v>81227</v>
      </c>
      <c r="R30" s="17">
        <f t="shared" si="1"/>
        <v>1156866</v>
      </c>
    </row>
    <row r="31" spans="1:18" x14ac:dyDescent="0.2">
      <c r="A31" s="8" t="s">
        <v>24</v>
      </c>
      <c r="B31" s="8">
        <v>42100</v>
      </c>
      <c r="C31" s="17">
        <v>147131</v>
      </c>
      <c r="D31" s="17">
        <f>-SUMIF(Sheet1!A:A,B31,Sheet1!Z:Z)</f>
        <v>0</v>
      </c>
      <c r="E31" s="17">
        <f t="shared" si="0"/>
        <v>147131</v>
      </c>
      <c r="F31" s="18"/>
      <c r="G31" s="17">
        <v>146553</v>
      </c>
      <c r="H31" s="17">
        <v>148714</v>
      </c>
      <c r="I31" s="17">
        <v>143365</v>
      </c>
      <c r="J31" s="17">
        <v>138622</v>
      </c>
      <c r="K31" s="17">
        <v>136209</v>
      </c>
      <c r="L31" s="17">
        <v>133413</v>
      </c>
      <c r="M31" s="17">
        <v>129838</v>
      </c>
      <c r="N31" s="17">
        <v>106277</v>
      </c>
      <c r="O31" s="17">
        <v>104647</v>
      </c>
      <c r="P31" s="17">
        <v>96967</v>
      </c>
      <c r="Q31" s="17">
        <v>94782</v>
      </c>
      <c r="R31" s="17">
        <f t="shared" si="1"/>
        <v>1526518</v>
      </c>
    </row>
    <row r="32" spans="1:18" x14ac:dyDescent="0.2">
      <c r="A32" s="8" t="s">
        <v>25</v>
      </c>
      <c r="B32" s="8">
        <v>42200</v>
      </c>
      <c r="C32" s="17">
        <v>3617</v>
      </c>
      <c r="D32" s="17">
        <f>-SUMIF(Sheet1!A:A,B32,Sheet1!Z:Z)</f>
        <v>0</v>
      </c>
      <c r="E32" s="17">
        <f t="shared" si="0"/>
        <v>3617</v>
      </c>
      <c r="F32" s="18"/>
      <c r="G32" s="17">
        <v>3616</v>
      </c>
      <c r="H32" s="17">
        <v>3616</v>
      </c>
      <c r="I32" s="17">
        <v>3616</v>
      </c>
      <c r="J32" s="17">
        <v>3647</v>
      </c>
      <c r="K32" s="17">
        <v>3652</v>
      </c>
      <c r="L32" s="17">
        <v>3963</v>
      </c>
      <c r="M32" s="17">
        <v>3963</v>
      </c>
      <c r="N32" s="17">
        <v>4589</v>
      </c>
      <c r="O32" s="17">
        <v>4589</v>
      </c>
      <c r="P32" s="17">
        <v>4589</v>
      </c>
      <c r="Q32" s="17">
        <v>4529</v>
      </c>
      <c r="R32" s="17">
        <f t="shared" si="1"/>
        <v>47986</v>
      </c>
    </row>
    <row r="33" spans="1:18" x14ac:dyDescent="0.2">
      <c r="A33" s="8" t="s">
        <v>26</v>
      </c>
      <c r="B33" s="8">
        <v>42300</v>
      </c>
      <c r="C33" s="17">
        <v>2545</v>
      </c>
      <c r="D33" s="17">
        <f>-SUMIF(Sheet1!A:A,B33,Sheet1!Z:Z)</f>
        <v>0</v>
      </c>
      <c r="E33" s="17">
        <f t="shared" si="0"/>
        <v>2545</v>
      </c>
      <c r="F33" s="18"/>
      <c r="G33" s="17">
        <v>2546</v>
      </c>
      <c r="H33" s="17">
        <v>2546</v>
      </c>
      <c r="I33" s="17">
        <v>2546</v>
      </c>
      <c r="J33" s="17">
        <v>2434</v>
      </c>
      <c r="K33" s="17">
        <v>2433</v>
      </c>
      <c r="L33" s="17">
        <v>2434</v>
      </c>
      <c r="M33" s="17">
        <v>2434</v>
      </c>
      <c r="N33" s="17">
        <v>2433</v>
      </c>
      <c r="O33" s="17">
        <v>2434</v>
      </c>
      <c r="P33" s="17">
        <v>1261</v>
      </c>
      <c r="Q33" s="17">
        <v>641</v>
      </c>
      <c r="R33" s="17">
        <f t="shared" si="1"/>
        <v>26687</v>
      </c>
    </row>
    <row r="34" spans="1:18" x14ac:dyDescent="0.2">
      <c r="A34" s="8" t="s">
        <v>18</v>
      </c>
      <c r="B34" s="8"/>
      <c r="C34" s="19">
        <f>SUM(C26:C33)</f>
        <v>293462</v>
      </c>
      <c r="D34" s="19">
        <f t="shared" ref="D34:Q34" si="4">SUM(D26:D33)</f>
        <v>-60357</v>
      </c>
      <c r="E34" s="19">
        <f t="shared" si="4"/>
        <v>233105</v>
      </c>
      <c r="F34" s="20"/>
      <c r="G34" s="19">
        <f t="shared" si="4"/>
        <v>352224</v>
      </c>
      <c r="H34" s="19">
        <f t="shared" si="4"/>
        <v>356786</v>
      </c>
      <c r="I34" s="19">
        <f t="shared" si="4"/>
        <v>299709</v>
      </c>
      <c r="J34" s="19">
        <f t="shared" si="4"/>
        <v>308346</v>
      </c>
      <c r="K34" s="19">
        <f t="shared" si="4"/>
        <v>307801</v>
      </c>
      <c r="L34" s="19">
        <f t="shared" si="4"/>
        <v>301279</v>
      </c>
      <c r="M34" s="19">
        <f t="shared" si="4"/>
        <v>309155</v>
      </c>
      <c r="N34" s="19">
        <f t="shared" si="4"/>
        <v>271511</v>
      </c>
      <c r="O34" s="19">
        <f t="shared" si="4"/>
        <v>265320</v>
      </c>
      <c r="P34" s="19">
        <f t="shared" si="4"/>
        <v>247561</v>
      </c>
      <c r="Q34" s="19">
        <f t="shared" si="4"/>
        <v>238972</v>
      </c>
      <c r="R34" s="19">
        <f t="shared" si="1"/>
        <v>3552126</v>
      </c>
    </row>
    <row r="35" spans="1:18" x14ac:dyDescent="0.2">
      <c r="A35" s="8" t="s">
        <v>27</v>
      </c>
      <c r="B35" s="8"/>
      <c r="C35" s="8" t="s">
        <v>199</v>
      </c>
      <c r="D35" s="8"/>
      <c r="E35" s="8"/>
      <c r="F35" s="18"/>
      <c r="G35" s="8" t="s">
        <v>199</v>
      </c>
      <c r="H35" s="8" t="s">
        <v>199</v>
      </c>
      <c r="I35" s="8" t="s">
        <v>199</v>
      </c>
      <c r="J35" s="8" t="s">
        <v>199</v>
      </c>
      <c r="K35" s="8" t="s">
        <v>199</v>
      </c>
      <c r="L35" s="8" t="s">
        <v>199</v>
      </c>
      <c r="M35" s="8" t="s">
        <v>199</v>
      </c>
      <c r="N35" s="8" t="s">
        <v>199</v>
      </c>
      <c r="O35" s="8" t="s">
        <v>199</v>
      </c>
      <c r="P35" s="8" t="s">
        <v>199</v>
      </c>
      <c r="Q35" s="8" t="s">
        <v>199</v>
      </c>
      <c r="R35" s="8"/>
    </row>
    <row r="36" spans="1:18" x14ac:dyDescent="0.2">
      <c r="A36" s="8" t="s">
        <v>28</v>
      </c>
      <c r="B36" s="8">
        <v>41500</v>
      </c>
      <c r="C36" s="17">
        <v>61485</v>
      </c>
      <c r="D36" s="17">
        <f>-SUMIF(Sheet1!A:A,B36,Sheet1!Z:Z)</f>
        <v>43058.14</v>
      </c>
      <c r="E36" s="17">
        <f t="shared" si="0"/>
        <v>104543.14</v>
      </c>
      <c r="F36" s="21">
        <v>2</v>
      </c>
      <c r="G36" s="17">
        <v>47381</v>
      </c>
      <c r="H36" s="17">
        <v>67554</v>
      </c>
      <c r="I36" s="17">
        <v>46071</v>
      </c>
      <c r="J36" s="17">
        <v>104693</v>
      </c>
      <c r="K36" s="17">
        <v>53462</v>
      </c>
      <c r="L36" s="17">
        <v>120765</v>
      </c>
      <c r="M36" s="17">
        <v>47201</v>
      </c>
      <c r="N36" s="17">
        <v>99226</v>
      </c>
      <c r="O36" s="17">
        <v>105235</v>
      </c>
      <c r="P36" s="17">
        <v>92496</v>
      </c>
      <c r="Q36" s="17">
        <v>51717</v>
      </c>
      <c r="R36" s="17">
        <f t="shared" si="1"/>
        <v>897286</v>
      </c>
    </row>
    <row r="37" spans="1:18" x14ac:dyDescent="0.2">
      <c r="A37" s="8" t="s">
        <v>29</v>
      </c>
      <c r="B37" s="8"/>
      <c r="C37" s="19">
        <f>+C36</f>
        <v>61485</v>
      </c>
      <c r="D37" s="19">
        <f t="shared" ref="D37:Q37" si="5">+D36</f>
        <v>43058.14</v>
      </c>
      <c r="E37" s="19">
        <f t="shared" si="5"/>
        <v>104543.14</v>
      </c>
      <c r="F37" s="20"/>
      <c r="G37" s="19">
        <f t="shared" si="5"/>
        <v>47381</v>
      </c>
      <c r="H37" s="19">
        <f t="shared" si="5"/>
        <v>67554</v>
      </c>
      <c r="I37" s="19">
        <f t="shared" si="5"/>
        <v>46071</v>
      </c>
      <c r="J37" s="19">
        <f t="shared" si="5"/>
        <v>104693</v>
      </c>
      <c r="K37" s="19">
        <f t="shared" si="5"/>
        <v>53462</v>
      </c>
      <c r="L37" s="19">
        <f t="shared" si="5"/>
        <v>120765</v>
      </c>
      <c r="M37" s="19">
        <f t="shared" si="5"/>
        <v>47201</v>
      </c>
      <c r="N37" s="19">
        <f t="shared" si="5"/>
        <v>99226</v>
      </c>
      <c r="O37" s="19">
        <f t="shared" si="5"/>
        <v>105235</v>
      </c>
      <c r="P37" s="19">
        <f t="shared" si="5"/>
        <v>92496</v>
      </c>
      <c r="Q37" s="19">
        <f t="shared" si="5"/>
        <v>51717</v>
      </c>
      <c r="R37" s="19">
        <f t="shared" si="1"/>
        <v>897286</v>
      </c>
    </row>
    <row r="38" spans="1:18" x14ac:dyDescent="0.2">
      <c r="A38" s="8" t="s">
        <v>30</v>
      </c>
      <c r="B38" s="8"/>
      <c r="C38" s="8" t="s">
        <v>199</v>
      </c>
      <c r="D38" s="8"/>
      <c r="E38" s="8"/>
      <c r="G38" s="8" t="s">
        <v>199</v>
      </c>
      <c r="H38" s="8" t="s">
        <v>199</v>
      </c>
      <c r="I38" s="8" t="s">
        <v>199</v>
      </c>
      <c r="J38" s="8" t="s">
        <v>199</v>
      </c>
      <c r="K38" s="8" t="s">
        <v>199</v>
      </c>
      <c r="L38" s="8" t="s">
        <v>199</v>
      </c>
      <c r="M38" s="8" t="s">
        <v>199</v>
      </c>
      <c r="N38" s="8" t="s">
        <v>199</v>
      </c>
      <c r="O38" s="8" t="s">
        <v>199</v>
      </c>
      <c r="P38" s="8" t="s">
        <v>199</v>
      </c>
      <c r="Q38" s="8" t="s">
        <v>199</v>
      </c>
      <c r="R38" s="8"/>
    </row>
    <row r="39" spans="1:18" x14ac:dyDescent="0.2">
      <c r="A39" s="8" t="s">
        <v>31</v>
      </c>
      <c r="B39" s="8">
        <v>41700</v>
      </c>
      <c r="C39" s="17">
        <v>4614</v>
      </c>
      <c r="D39" s="17">
        <f>-SUMIF(Sheet1!A:A,B39,Sheet1!Z:Z)</f>
        <v>0</v>
      </c>
      <c r="E39" s="17">
        <f t="shared" si="0"/>
        <v>4614</v>
      </c>
      <c r="F39" s="18"/>
      <c r="G39" s="17">
        <v>13197</v>
      </c>
      <c r="H39" s="17">
        <v>19989</v>
      </c>
      <c r="I39" s="17">
        <v>14480</v>
      </c>
      <c r="J39" s="17">
        <v>36139</v>
      </c>
      <c r="K39" s="17">
        <v>12686</v>
      </c>
      <c r="L39" s="17">
        <v>8539</v>
      </c>
      <c r="M39" s="17">
        <v>16341</v>
      </c>
      <c r="N39" s="17">
        <v>14387</v>
      </c>
      <c r="O39" s="17">
        <v>35020</v>
      </c>
      <c r="P39" s="17">
        <v>58116</v>
      </c>
      <c r="Q39" s="17">
        <v>86683</v>
      </c>
      <c r="R39" s="17">
        <f t="shared" si="1"/>
        <v>320191</v>
      </c>
    </row>
    <row r="40" spans="1:18" x14ac:dyDescent="0.2">
      <c r="A40" s="8" t="s">
        <v>30</v>
      </c>
      <c r="B40" s="8"/>
      <c r="C40" s="19">
        <f>+C39</f>
        <v>4614</v>
      </c>
      <c r="D40" s="19">
        <f t="shared" ref="D40:Q40" si="6">+D39</f>
        <v>0</v>
      </c>
      <c r="E40" s="19">
        <f t="shared" si="6"/>
        <v>4614</v>
      </c>
      <c r="F40" s="20"/>
      <c r="G40" s="19">
        <f t="shared" si="6"/>
        <v>13197</v>
      </c>
      <c r="H40" s="19">
        <f t="shared" si="6"/>
        <v>19989</v>
      </c>
      <c r="I40" s="19">
        <f t="shared" si="6"/>
        <v>14480</v>
      </c>
      <c r="J40" s="19">
        <f t="shared" si="6"/>
        <v>36139</v>
      </c>
      <c r="K40" s="19">
        <f t="shared" si="6"/>
        <v>12686</v>
      </c>
      <c r="L40" s="19">
        <f t="shared" si="6"/>
        <v>8539</v>
      </c>
      <c r="M40" s="19">
        <f t="shared" si="6"/>
        <v>16341</v>
      </c>
      <c r="N40" s="19">
        <f t="shared" si="6"/>
        <v>14387</v>
      </c>
      <c r="O40" s="19">
        <f t="shared" si="6"/>
        <v>35020</v>
      </c>
      <c r="P40" s="19">
        <f t="shared" si="6"/>
        <v>58116</v>
      </c>
      <c r="Q40" s="19">
        <f t="shared" si="6"/>
        <v>86683</v>
      </c>
      <c r="R40" s="19">
        <f t="shared" si="1"/>
        <v>320191</v>
      </c>
    </row>
    <row r="41" spans="1:18" x14ac:dyDescent="0.2">
      <c r="A41" s="8" t="s">
        <v>32</v>
      </c>
      <c r="B41" s="8"/>
      <c r="C41" s="8" t="s">
        <v>199</v>
      </c>
      <c r="D41" s="8"/>
      <c r="E41" s="8"/>
      <c r="F41" s="9"/>
      <c r="G41" s="8" t="s">
        <v>199</v>
      </c>
      <c r="H41" s="8" t="s">
        <v>199</v>
      </c>
      <c r="I41" s="8" t="s">
        <v>199</v>
      </c>
      <c r="J41" s="8" t="s">
        <v>199</v>
      </c>
      <c r="K41" s="8" t="s">
        <v>199</v>
      </c>
      <c r="L41" s="8" t="s">
        <v>199</v>
      </c>
      <c r="M41" s="8" t="s">
        <v>199</v>
      </c>
      <c r="N41" s="8" t="s">
        <v>199</v>
      </c>
      <c r="O41" s="8" t="s">
        <v>199</v>
      </c>
      <c r="P41" s="8" t="s">
        <v>199</v>
      </c>
      <c r="Q41" s="8" t="s">
        <v>199</v>
      </c>
      <c r="R41" s="8"/>
    </row>
    <row r="42" spans="1:18" x14ac:dyDescent="0.2">
      <c r="A42" s="8" t="s">
        <v>33</v>
      </c>
      <c r="B42" s="8">
        <v>42000</v>
      </c>
      <c r="C42" s="17">
        <v>151701</v>
      </c>
      <c r="D42" s="17">
        <f>-SUMIF(Sheet1!A:A,B42,Sheet1!Z:Z)</f>
        <v>0</v>
      </c>
      <c r="E42" s="17">
        <f t="shared" si="0"/>
        <v>151701</v>
      </c>
      <c r="F42" s="18"/>
      <c r="G42" s="17">
        <v>277939</v>
      </c>
      <c r="H42" s="17">
        <v>566965</v>
      </c>
      <c r="I42" s="17">
        <v>356300</v>
      </c>
      <c r="J42" s="17">
        <v>649034</v>
      </c>
      <c r="K42" s="17">
        <v>796750</v>
      </c>
      <c r="L42" s="17">
        <v>589564</v>
      </c>
      <c r="M42" s="17">
        <v>493958</v>
      </c>
      <c r="N42" s="17">
        <v>571435</v>
      </c>
      <c r="O42" s="17">
        <v>428136</v>
      </c>
      <c r="P42" s="17">
        <v>544906</v>
      </c>
      <c r="Q42" s="17">
        <v>203096</v>
      </c>
      <c r="R42" s="17">
        <f t="shared" si="1"/>
        <v>5629784</v>
      </c>
    </row>
    <row r="43" spans="1:18" x14ac:dyDescent="0.2">
      <c r="A43" s="8" t="s">
        <v>34</v>
      </c>
      <c r="B43" s="8">
        <v>44000</v>
      </c>
      <c r="C43" s="17">
        <v>6024</v>
      </c>
      <c r="D43" s="17">
        <f>-SUMIF(Sheet1!A:A,B43,Sheet1!Z:Z)</f>
        <v>0</v>
      </c>
      <c r="E43" s="17">
        <f t="shared" si="0"/>
        <v>6024</v>
      </c>
      <c r="F43" s="18"/>
      <c r="G43" s="17">
        <v>8146</v>
      </c>
      <c r="H43" s="17">
        <v>11848</v>
      </c>
      <c r="I43" s="17">
        <v>7770</v>
      </c>
      <c r="J43" s="17">
        <v>18636</v>
      </c>
      <c r="K43" s="17">
        <v>6705</v>
      </c>
      <c r="L43" s="17">
        <v>8668</v>
      </c>
      <c r="M43" s="17">
        <v>7030</v>
      </c>
      <c r="N43" s="17">
        <v>13469</v>
      </c>
      <c r="O43" s="17">
        <v>12247</v>
      </c>
      <c r="P43" s="17">
        <v>9126</v>
      </c>
      <c r="Q43" s="17">
        <v>8709</v>
      </c>
      <c r="R43" s="17">
        <f t="shared" si="1"/>
        <v>118378</v>
      </c>
    </row>
    <row r="44" spans="1:18" x14ac:dyDescent="0.2">
      <c r="A44" s="8" t="s">
        <v>35</v>
      </c>
      <c r="B44" s="8"/>
      <c r="C44" s="19">
        <f>+C42+C43</f>
        <v>157725</v>
      </c>
      <c r="D44" s="19">
        <f t="shared" ref="D44:Q44" si="7">+D42+D43</f>
        <v>0</v>
      </c>
      <c r="E44" s="19">
        <f t="shared" si="7"/>
        <v>157725</v>
      </c>
      <c r="F44" s="20"/>
      <c r="G44" s="19">
        <f t="shared" si="7"/>
        <v>286085</v>
      </c>
      <c r="H44" s="19">
        <f t="shared" si="7"/>
        <v>578813</v>
      </c>
      <c r="I44" s="19">
        <f t="shared" si="7"/>
        <v>364070</v>
      </c>
      <c r="J44" s="19">
        <f t="shared" si="7"/>
        <v>667670</v>
      </c>
      <c r="K44" s="19">
        <f t="shared" si="7"/>
        <v>803455</v>
      </c>
      <c r="L44" s="19">
        <f t="shared" si="7"/>
        <v>598232</v>
      </c>
      <c r="M44" s="19">
        <f t="shared" si="7"/>
        <v>500988</v>
      </c>
      <c r="N44" s="19">
        <f t="shared" si="7"/>
        <v>584904</v>
      </c>
      <c r="O44" s="19">
        <f t="shared" si="7"/>
        <v>440383</v>
      </c>
      <c r="P44" s="19">
        <f t="shared" si="7"/>
        <v>554032</v>
      </c>
      <c r="Q44" s="19">
        <f t="shared" si="7"/>
        <v>211805</v>
      </c>
      <c r="R44" s="19">
        <f t="shared" si="1"/>
        <v>5748162</v>
      </c>
    </row>
    <row r="45" spans="1:18" x14ac:dyDescent="0.2">
      <c r="A45" s="8" t="s">
        <v>36</v>
      </c>
      <c r="B45" s="8"/>
      <c r="C45" s="8" t="s">
        <v>199</v>
      </c>
      <c r="D45" s="8"/>
      <c r="E45" s="8"/>
      <c r="F45" s="9"/>
      <c r="G45" s="8" t="s">
        <v>199</v>
      </c>
      <c r="H45" s="8" t="s">
        <v>199</v>
      </c>
      <c r="I45" s="8" t="s">
        <v>199</v>
      </c>
      <c r="J45" s="8" t="s">
        <v>199</v>
      </c>
      <c r="K45" s="8" t="s">
        <v>199</v>
      </c>
      <c r="L45" s="8" t="s">
        <v>199</v>
      </c>
      <c r="M45" s="8" t="s">
        <v>199</v>
      </c>
      <c r="N45" s="8" t="s">
        <v>199</v>
      </c>
      <c r="O45" s="8" t="s">
        <v>199</v>
      </c>
      <c r="P45" s="8" t="s">
        <v>199</v>
      </c>
      <c r="Q45" s="8" t="s">
        <v>199</v>
      </c>
      <c r="R45" s="8"/>
    </row>
    <row r="46" spans="1:18" x14ac:dyDescent="0.2">
      <c r="A46" s="8" t="s">
        <v>37</v>
      </c>
      <c r="B46" s="8">
        <v>40800</v>
      </c>
      <c r="C46" s="17">
        <v>0</v>
      </c>
      <c r="D46" s="17">
        <f>-SUMIF(Sheet1!A:A,B46,Sheet1!Z:Z)</f>
        <v>0</v>
      </c>
      <c r="E46" s="17">
        <f t="shared" si="0"/>
        <v>0</v>
      </c>
      <c r="F46" s="18"/>
      <c r="G46" s="17">
        <v>0</v>
      </c>
      <c r="H46" s="17">
        <v>0</v>
      </c>
      <c r="I46" s="17">
        <v>0</v>
      </c>
      <c r="J46" s="17">
        <v>-59</v>
      </c>
      <c r="K46" s="17">
        <v>0</v>
      </c>
      <c r="L46" s="17"/>
      <c r="M46" s="17"/>
      <c r="N46" s="17"/>
      <c r="O46" s="17"/>
      <c r="P46" s="17"/>
      <c r="Q46" s="17"/>
      <c r="R46" s="17">
        <f t="shared" si="1"/>
        <v>-59</v>
      </c>
    </row>
    <row r="47" spans="1:18" x14ac:dyDescent="0.2">
      <c r="A47" s="8" t="s">
        <v>38</v>
      </c>
      <c r="B47" s="8">
        <v>41400</v>
      </c>
      <c r="C47" s="17">
        <v>4906</v>
      </c>
      <c r="D47" s="17">
        <f>-SUMIF(Sheet1!A:A,B47,Sheet1!Z:Z)</f>
        <v>0</v>
      </c>
      <c r="E47" s="17">
        <f t="shared" si="0"/>
        <v>4906</v>
      </c>
      <c r="F47" s="18"/>
      <c r="G47" s="17">
        <v>9277</v>
      </c>
      <c r="H47" s="17">
        <v>9108</v>
      </c>
      <c r="I47" s="17">
        <v>6305</v>
      </c>
      <c r="J47" s="17">
        <v>6445</v>
      </c>
      <c r="K47" s="17">
        <v>7049</v>
      </c>
      <c r="L47" s="17">
        <v>3891</v>
      </c>
      <c r="M47" s="17">
        <v>7133</v>
      </c>
      <c r="N47" s="17">
        <v>11171</v>
      </c>
      <c r="O47" s="17">
        <v>11139</v>
      </c>
      <c r="P47" s="17">
        <v>7690</v>
      </c>
      <c r="Q47" s="17">
        <v>5590</v>
      </c>
      <c r="R47" s="17">
        <f t="shared" si="1"/>
        <v>89704</v>
      </c>
    </row>
    <row r="48" spans="1:18" x14ac:dyDescent="0.2">
      <c r="A48" s="8" t="s">
        <v>36</v>
      </c>
      <c r="B48" s="8"/>
      <c r="C48" s="19">
        <f>+C46+C47</f>
        <v>4906</v>
      </c>
      <c r="D48" s="19">
        <f t="shared" ref="D48:Q48" si="8">+D46+D47</f>
        <v>0</v>
      </c>
      <c r="E48" s="19">
        <f t="shared" si="8"/>
        <v>4906</v>
      </c>
      <c r="F48" s="20"/>
      <c r="G48" s="19">
        <f t="shared" si="8"/>
        <v>9277</v>
      </c>
      <c r="H48" s="19">
        <f t="shared" si="8"/>
        <v>9108</v>
      </c>
      <c r="I48" s="19">
        <f t="shared" si="8"/>
        <v>6305</v>
      </c>
      <c r="J48" s="19">
        <f t="shared" si="8"/>
        <v>6386</v>
      </c>
      <c r="K48" s="19">
        <f t="shared" si="8"/>
        <v>7049</v>
      </c>
      <c r="L48" s="19">
        <f t="shared" si="8"/>
        <v>3891</v>
      </c>
      <c r="M48" s="19">
        <f t="shared" si="8"/>
        <v>7133</v>
      </c>
      <c r="N48" s="19">
        <f t="shared" si="8"/>
        <v>11171</v>
      </c>
      <c r="O48" s="19">
        <f t="shared" si="8"/>
        <v>11139</v>
      </c>
      <c r="P48" s="19">
        <f t="shared" si="8"/>
        <v>7690</v>
      </c>
      <c r="Q48" s="19">
        <f t="shared" si="8"/>
        <v>5590</v>
      </c>
      <c r="R48" s="19">
        <f t="shared" si="1"/>
        <v>89645</v>
      </c>
    </row>
    <row r="49" spans="1:18" x14ac:dyDescent="0.2">
      <c r="A49" s="8" t="s">
        <v>39</v>
      </c>
      <c r="B49" s="8"/>
      <c r="C49" s="19">
        <f>+C48+C44+C40+C37+C34+C24+C20</f>
        <v>1136342</v>
      </c>
      <c r="D49" s="19">
        <f t="shared" ref="D49:E49" si="9">+D48+D44+D40+D37+D34+D24+D20</f>
        <v>-17298.86</v>
      </c>
      <c r="E49" s="19">
        <f t="shared" si="9"/>
        <v>1119043.1400000001</v>
      </c>
      <c r="F49" s="20"/>
      <c r="G49" s="19">
        <f t="shared" ref="G49" si="10">+G48+G44+G40+G37+G34+G24+G20</f>
        <v>1317048</v>
      </c>
      <c r="H49" s="19">
        <f t="shared" ref="H49:I49" si="11">+H48+H44+H40+H37+H34+H24+H20</f>
        <v>1638203</v>
      </c>
      <c r="I49" s="19">
        <f t="shared" si="11"/>
        <v>1299453</v>
      </c>
      <c r="J49" s="19">
        <f t="shared" ref="J49" si="12">+J48+J44+J40+J37+J34+J24+J20</f>
        <v>1737493</v>
      </c>
      <c r="K49" s="19">
        <f t="shared" ref="K49:L49" si="13">+K48+K44+K40+K37+K34+K24+K20</f>
        <v>1784639</v>
      </c>
      <c r="L49" s="19">
        <f t="shared" si="13"/>
        <v>1652630</v>
      </c>
      <c r="M49" s="19">
        <f t="shared" ref="M49" si="14">+M48+M44+M40+M37+M34+M24+M20</f>
        <v>1489788</v>
      </c>
      <c r="N49" s="19">
        <f t="shared" ref="N49:O49" si="15">+N48+N44+N40+N37+N34+N24+N20</f>
        <v>1591794</v>
      </c>
      <c r="O49" s="19">
        <f t="shared" si="15"/>
        <v>1430471</v>
      </c>
      <c r="P49" s="19">
        <f t="shared" ref="P49" si="16">+P48+P44+P40+P37+P34+P24+P20</f>
        <v>1524583</v>
      </c>
      <c r="Q49" s="19">
        <f t="shared" ref="Q49" si="17">+Q48+Q44+Q40+Q37+Q34+Q24+Q20</f>
        <v>1152268</v>
      </c>
      <c r="R49" s="19">
        <f t="shared" si="1"/>
        <v>17754712</v>
      </c>
    </row>
    <row r="50" spans="1:18" x14ac:dyDescent="0.2">
      <c r="A50" s="8" t="s">
        <v>40</v>
      </c>
      <c r="B50" s="8"/>
      <c r="C50" s="8"/>
      <c r="D50" s="8"/>
      <c r="E50" s="8"/>
      <c r="F50" s="9"/>
      <c r="G50" s="8"/>
      <c r="H50" s="8" t="s">
        <v>198</v>
      </c>
      <c r="I50" s="8" t="s">
        <v>198</v>
      </c>
      <c r="J50" s="8" t="s">
        <v>198</v>
      </c>
      <c r="K50" s="8" t="s">
        <v>198</v>
      </c>
      <c r="L50" s="8" t="s">
        <v>198</v>
      </c>
      <c r="M50" s="8" t="s">
        <v>198</v>
      </c>
      <c r="N50" s="8" t="s">
        <v>198</v>
      </c>
      <c r="O50" s="8" t="s">
        <v>198</v>
      </c>
      <c r="P50" s="8" t="s">
        <v>198</v>
      </c>
      <c r="Q50" s="8" t="s">
        <v>198</v>
      </c>
      <c r="R50" s="8"/>
    </row>
    <row r="51" spans="1:18" x14ac:dyDescent="0.2">
      <c r="A51" s="8" t="s">
        <v>41</v>
      </c>
      <c r="B51" s="8"/>
      <c r="C51" s="8"/>
      <c r="D51" s="8"/>
      <c r="E51" s="8"/>
      <c r="F51" s="18"/>
      <c r="G51" s="8"/>
      <c r="H51" s="8" t="s">
        <v>199</v>
      </c>
      <c r="I51" s="8" t="s">
        <v>199</v>
      </c>
      <c r="J51" s="8" t="s">
        <v>199</v>
      </c>
      <c r="K51" s="8" t="s">
        <v>199</v>
      </c>
      <c r="L51" s="8" t="s">
        <v>199</v>
      </c>
      <c r="M51" s="8" t="s">
        <v>199</v>
      </c>
      <c r="N51" s="8" t="s">
        <v>199</v>
      </c>
      <c r="O51" s="8" t="s">
        <v>199</v>
      </c>
      <c r="P51" s="8" t="s">
        <v>199</v>
      </c>
      <c r="Q51" s="8" t="s">
        <v>199</v>
      </c>
      <c r="R51" s="8"/>
    </row>
    <row r="52" spans="1:18" x14ac:dyDescent="0.2">
      <c r="A52" s="8" t="s">
        <v>42</v>
      </c>
      <c r="B52" s="8">
        <v>50000</v>
      </c>
      <c r="C52" s="17">
        <v>28797</v>
      </c>
      <c r="D52" s="17">
        <f>-SUMIF(Sheet1!A:A,B52,Sheet1!Z:Z)</f>
        <v>0</v>
      </c>
      <c r="E52" s="17">
        <f t="shared" si="0"/>
        <v>28797</v>
      </c>
      <c r="F52" s="18"/>
      <c r="G52" s="17">
        <v>16754</v>
      </c>
      <c r="H52" s="17">
        <v>38253</v>
      </c>
      <c r="I52" s="17">
        <v>29904</v>
      </c>
      <c r="J52" s="17">
        <v>28443</v>
      </c>
      <c r="K52" s="17">
        <v>24465</v>
      </c>
      <c r="L52" s="17">
        <v>22966</v>
      </c>
      <c r="M52" s="17">
        <v>26243</v>
      </c>
      <c r="N52" s="17">
        <v>23445</v>
      </c>
      <c r="O52" s="17">
        <v>22148</v>
      </c>
      <c r="P52" s="17">
        <v>24343</v>
      </c>
      <c r="Q52" s="17">
        <v>22885</v>
      </c>
      <c r="R52" s="17">
        <f t="shared" si="1"/>
        <v>308646</v>
      </c>
    </row>
    <row r="53" spans="1:18" x14ac:dyDescent="0.2">
      <c r="A53" s="8" t="s">
        <v>41</v>
      </c>
      <c r="B53" s="4"/>
      <c r="C53" s="19">
        <f>+C52</f>
        <v>28797</v>
      </c>
      <c r="D53" s="19">
        <f t="shared" ref="D53:Q53" si="18">+D52</f>
        <v>0</v>
      </c>
      <c r="E53" s="19">
        <f t="shared" si="18"/>
        <v>28797</v>
      </c>
      <c r="F53" s="20"/>
      <c r="G53" s="19">
        <f t="shared" si="18"/>
        <v>16754</v>
      </c>
      <c r="H53" s="19">
        <f t="shared" si="18"/>
        <v>38253</v>
      </c>
      <c r="I53" s="19">
        <f t="shared" si="18"/>
        <v>29904</v>
      </c>
      <c r="J53" s="19">
        <f t="shared" si="18"/>
        <v>28443</v>
      </c>
      <c r="K53" s="19">
        <f t="shared" si="18"/>
        <v>24465</v>
      </c>
      <c r="L53" s="19">
        <f t="shared" si="18"/>
        <v>22966</v>
      </c>
      <c r="M53" s="19">
        <f t="shared" si="18"/>
        <v>26243</v>
      </c>
      <c r="N53" s="19">
        <f t="shared" si="18"/>
        <v>23445</v>
      </c>
      <c r="O53" s="19">
        <f t="shared" si="18"/>
        <v>22148</v>
      </c>
      <c r="P53" s="19">
        <f t="shared" si="18"/>
        <v>24343</v>
      </c>
      <c r="Q53" s="19">
        <f t="shared" si="18"/>
        <v>22885</v>
      </c>
      <c r="R53" s="19">
        <f t="shared" si="1"/>
        <v>308646</v>
      </c>
    </row>
    <row r="54" spans="1:18" x14ac:dyDescent="0.2">
      <c r="A54" s="8" t="s">
        <v>43</v>
      </c>
      <c r="B54" s="8"/>
      <c r="C54" s="8" t="s">
        <v>199</v>
      </c>
      <c r="D54" s="8"/>
      <c r="E54" s="8"/>
      <c r="F54" s="18"/>
      <c r="G54" s="8" t="s">
        <v>199</v>
      </c>
      <c r="H54" s="8" t="s">
        <v>199</v>
      </c>
      <c r="I54" s="8" t="s">
        <v>199</v>
      </c>
      <c r="J54" s="8" t="s">
        <v>199</v>
      </c>
      <c r="K54" s="8" t="s">
        <v>199</v>
      </c>
      <c r="L54" s="8" t="s">
        <v>199</v>
      </c>
      <c r="M54" s="8" t="s">
        <v>199</v>
      </c>
      <c r="N54" s="8" t="s">
        <v>199</v>
      </c>
      <c r="O54" s="8" t="s">
        <v>199</v>
      </c>
      <c r="P54" s="8" t="s">
        <v>199</v>
      </c>
      <c r="Q54" s="8" t="s">
        <v>199</v>
      </c>
      <c r="R54" s="8"/>
    </row>
    <row r="55" spans="1:18" x14ac:dyDescent="0.2">
      <c r="A55" s="8" t="s">
        <v>44</v>
      </c>
      <c r="B55" s="8">
        <v>50090</v>
      </c>
      <c r="C55" s="17">
        <v>401</v>
      </c>
      <c r="D55" s="17">
        <f>-SUMIF(Sheet1!A:A,B55,Sheet1!Z:Z)</f>
        <v>0</v>
      </c>
      <c r="E55" s="17">
        <f t="shared" si="0"/>
        <v>401</v>
      </c>
      <c r="F55" s="15"/>
      <c r="G55" s="17">
        <v>400</v>
      </c>
      <c r="H55" s="17">
        <v>401</v>
      </c>
      <c r="I55" s="17">
        <v>401</v>
      </c>
      <c r="J55" s="17">
        <v>401</v>
      </c>
      <c r="K55" s="17">
        <v>401</v>
      </c>
      <c r="L55" s="17">
        <v>401</v>
      </c>
      <c r="M55" s="17">
        <v>401</v>
      </c>
      <c r="N55" s="17">
        <v>401</v>
      </c>
      <c r="O55" s="17">
        <v>401</v>
      </c>
      <c r="P55" s="17">
        <v>401</v>
      </c>
      <c r="Q55" s="17">
        <v>401</v>
      </c>
      <c r="R55" s="17">
        <f t="shared" si="1"/>
        <v>4811</v>
      </c>
    </row>
    <row r="56" spans="1:18" x14ac:dyDescent="0.2">
      <c r="A56" s="8" t="s">
        <v>45</v>
      </c>
      <c r="B56" s="8">
        <v>50095</v>
      </c>
      <c r="C56" s="17">
        <v>10912</v>
      </c>
      <c r="D56" s="17">
        <f>-SUMIF(Sheet1!A:A,B56,Sheet1!Z:Z)</f>
        <v>0</v>
      </c>
      <c r="E56" s="17">
        <f t="shared" si="0"/>
        <v>10912</v>
      </c>
      <c r="F56" s="18"/>
      <c r="G56" s="17">
        <v>11340</v>
      </c>
      <c r="H56" s="17">
        <v>11002</v>
      </c>
      <c r="I56" s="17">
        <v>8612</v>
      </c>
      <c r="J56" s="17">
        <v>10882</v>
      </c>
      <c r="K56" s="17">
        <v>10786</v>
      </c>
      <c r="L56" s="17">
        <v>11264</v>
      </c>
      <c r="M56" s="17">
        <v>12994</v>
      </c>
      <c r="N56" s="17">
        <v>9884</v>
      </c>
      <c r="O56" s="17">
        <v>9885</v>
      </c>
      <c r="P56" s="17">
        <v>9951</v>
      </c>
      <c r="Q56" s="17">
        <v>8514</v>
      </c>
      <c r="R56" s="17">
        <f t="shared" si="1"/>
        <v>126026</v>
      </c>
    </row>
    <row r="57" spans="1:18" x14ac:dyDescent="0.2">
      <c r="A57" s="8" t="s">
        <v>43</v>
      </c>
      <c r="B57" s="8"/>
      <c r="C57" s="19">
        <f>+C55+C56</f>
        <v>11313</v>
      </c>
      <c r="D57" s="19">
        <f t="shared" ref="D57:Q57" si="19">+D55+D56</f>
        <v>0</v>
      </c>
      <c r="E57" s="19">
        <f t="shared" si="19"/>
        <v>11313</v>
      </c>
      <c r="F57" s="20"/>
      <c r="G57" s="19">
        <f t="shared" si="19"/>
        <v>11740</v>
      </c>
      <c r="H57" s="19">
        <f t="shared" si="19"/>
        <v>11403</v>
      </c>
      <c r="I57" s="19">
        <f t="shared" si="19"/>
        <v>9013</v>
      </c>
      <c r="J57" s="19">
        <f t="shared" si="19"/>
        <v>11283</v>
      </c>
      <c r="K57" s="19">
        <f t="shared" si="19"/>
        <v>11187</v>
      </c>
      <c r="L57" s="19">
        <f t="shared" si="19"/>
        <v>11665</v>
      </c>
      <c r="M57" s="19">
        <f t="shared" si="19"/>
        <v>13395</v>
      </c>
      <c r="N57" s="19">
        <f t="shared" si="19"/>
        <v>10285</v>
      </c>
      <c r="O57" s="19">
        <f t="shared" si="19"/>
        <v>10286</v>
      </c>
      <c r="P57" s="19">
        <f t="shared" si="19"/>
        <v>10352</v>
      </c>
      <c r="Q57" s="19">
        <f t="shared" si="19"/>
        <v>8915</v>
      </c>
      <c r="R57" s="19">
        <f t="shared" si="1"/>
        <v>130837</v>
      </c>
    </row>
    <row r="58" spans="1:18" x14ac:dyDescent="0.2">
      <c r="A58" s="8" t="s">
        <v>46</v>
      </c>
      <c r="B58" s="8"/>
      <c r="C58" s="8" t="s">
        <v>199</v>
      </c>
      <c r="D58" s="8"/>
      <c r="E58" s="8"/>
      <c r="F58" s="16"/>
      <c r="G58" s="8" t="s">
        <v>199</v>
      </c>
      <c r="H58" s="8" t="s">
        <v>199</v>
      </c>
      <c r="I58" s="8" t="s">
        <v>199</v>
      </c>
      <c r="J58" s="8" t="s">
        <v>199</v>
      </c>
      <c r="K58" s="8" t="s">
        <v>199</v>
      </c>
      <c r="L58" s="8" t="s">
        <v>199</v>
      </c>
      <c r="M58" s="8" t="s">
        <v>199</v>
      </c>
      <c r="N58" s="8" t="s">
        <v>199</v>
      </c>
      <c r="O58" s="8" t="s">
        <v>199</v>
      </c>
      <c r="P58" s="8" t="s">
        <v>199</v>
      </c>
      <c r="Q58" s="8" t="s">
        <v>199</v>
      </c>
      <c r="R58" s="8"/>
    </row>
    <row r="59" spans="1:18" x14ac:dyDescent="0.2">
      <c r="A59" s="8" t="s">
        <v>47</v>
      </c>
      <c r="B59" s="8">
        <v>50050</v>
      </c>
      <c r="C59" s="17">
        <v>4940</v>
      </c>
      <c r="D59" s="17">
        <f>-SUMIF(Sheet1!A:A,B59,Sheet1!Z:Z)</f>
        <v>0</v>
      </c>
      <c r="E59" s="17">
        <f t="shared" si="0"/>
        <v>4940</v>
      </c>
      <c r="F59" s="15"/>
      <c r="G59" s="17">
        <v>5454</v>
      </c>
      <c r="H59" s="17">
        <v>5436</v>
      </c>
      <c r="I59" s="17">
        <v>4228</v>
      </c>
      <c r="J59" s="17">
        <v>5608</v>
      </c>
      <c r="K59" s="17">
        <v>5772</v>
      </c>
      <c r="L59" s="17">
        <v>9489</v>
      </c>
      <c r="M59" s="17">
        <v>9771</v>
      </c>
      <c r="N59" s="17">
        <v>9840</v>
      </c>
      <c r="O59" s="17">
        <v>6097</v>
      </c>
      <c r="P59" s="17">
        <v>6016</v>
      </c>
      <c r="Q59" s="17">
        <v>5823</v>
      </c>
      <c r="R59" s="17">
        <f t="shared" si="1"/>
        <v>78474</v>
      </c>
    </row>
    <row r="60" spans="1:18" x14ac:dyDescent="0.2">
      <c r="A60" s="8" t="s">
        <v>48</v>
      </c>
      <c r="B60" s="8">
        <v>50080</v>
      </c>
      <c r="C60" s="17">
        <v>373</v>
      </c>
      <c r="D60" s="17">
        <f>-SUMIF(Sheet1!A:A,B60,Sheet1!Z:Z)</f>
        <v>0</v>
      </c>
      <c r="E60" s="17">
        <f t="shared" si="0"/>
        <v>373</v>
      </c>
      <c r="F60" s="9"/>
      <c r="G60" s="17">
        <v>375</v>
      </c>
      <c r="H60" s="17">
        <v>373</v>
      </c>
      <c r="I60" s="17">
        <v>391</v>
      </c>
      <c r="J60" s="17">
        <v>390</v>
      </c>
      <c r="K60" s="17">
        <v>389</v>
      </c>
      <c r="L60" s="17">
        <v>421</v>
      </c>
      <c r="M60" s="17">
        <v>391</v>
      </c>
      <c r="N60" s="17">
        <v>311</v>
      </c>
      <c r="O60" s="17">
        <v>379</v>
      </c>
      <c r="P60" s="17">
        <v>381</v>
      </c>
      <c r="Q60" s="17">
        <v>381</v>
      </c>
      <c r="R60" s="17">
        <f t="shared" si="1"/>
        <v>4555</v>
      </c>
    </row>
    <row r="61" spans="1:18" x14ac:dyDescent="0.2">
      <c r="A61" s="8" t="s">
        <v>49</v>
      </c>
      <c r="B61" s="8">
        <v>50100</v>
      </c>
      <c r="C61" s="17">
        <v>238</v>
      </c>
      <c r="D61" s="17">
        <f>-SUMIF(Sheet1!A:A,B61,Sheet1!Z:Z)</f>
        <v>0</v>
      </c>
      <c r="E61" s="17">
        <f t="shared" si="0"/>
        <v>238</v>
      </c>
      <c r="F61" s="18"/>
      <c r="G61" s="17">
        <v>375</v>
      </c>
      <c r="H61" s="17">
        <v>527</v>
      </c>
      <c r="I61" s="17">
        <v>606</v>
      </c>
      <c r="J61" s="17">
        <v>0</v>
      </c>
      <c r="K61" s="17">
        <v>142</v>
      </c>
      <c r="L61" s="17">
        <v>166</v>
      </c>
      <c r="M61" s="17">
        <v>72</v>
      </c>
      <c r="N61" s="17">
        <v>229</v>
      </c>
      <c r="O61" s="17">
        <v>182</v>
      </c>
      <c r="P61" s="17">
        <v>110</v>
      </c>
      <c r="Q61" s="17">
        <v>401</v>
      </c>
      <c r="R61" s="17">
        <f t="shared" si="1"/>
        <v>3048</v>
      </c>
    </row>
    <row r="62" spans="1:18" x14ac:dyDescent="0.2">
      <c r="A62" s="8" t="s">
        <v>50</v>
      </c>
      <c r="B62" s="8">
        <v>50150</v>
      </c>
      <c r="C62" s="17">
        <v>29470</v>
      </c>
      <c r="D62" s="17">
        <f>-SUMIF(Sheet1!A:A,B62,Sheet1!Z:Z)</f>
        <v>0</v>
      </c>
      <c r="E62" s="17">
        <f t="shared" si="0"/>
        <v>29470</v>
      </c>
      <c r="F62" s="18"/>
      <c r="G62" s="17">
        <v>35438</v>
      </c>
      <c r="H62" s="17">
        <v>33753</v>
      </c>
      <c r="I62" s="17">
        <v>22968</v>
      </c>
      <c r="J62" s="17">
        <v>30137</v>
      </c>
      <c r="K62" s="17">
        <v>28969</v>
      </c>
      <c r="L62" s="17">
        <v>30612</v>
      </c>
      <c r="M62" s="17">
        <v>29174</v>
      </c>
      <c r="N62" s="17">
        <v>24171</v>
      </c>
      <c r="O62" s="17">
        <v>24046</v>
      </c>
      <c r="P62" s="17">
        <v>23728</v>
      </c>
      <c r="Q62" s="17">
        <v>21596</v>
      </c>
      <c r="R62" s="17">
        <f t="shared" si="1"/>
        <v>334062</v>
      </c>
    </row>
    <row r="63" spans="1:18" x14ac:dyDescent="0.2">
      <c r="A63" s="8" t="s">
        <v>51</v>
      </c>
      <c r="B63" s="8">
        <v>50190</v>
      </c>
      <c r="C63" s="17">
        <v>1160</v>
      </c>
      <c r="D63" s="17">
        <f>-SUMIF(Sheet1!A:A,B63,Sheet1!Z:Z)</f>
        <v>0</v>
      </c>
      <c r="E63" s="17">
        <f t="shared" si="0"/>
        <v>1160</v>
      </c>
      <c r="F63" s="15"/>
      <c r="G63" s="17">
        <v>1116</v>
      </c>
      <c r="H63" s="17">
        <v>2876</v>
      </c>
      <c r="I63" s="17">
        <v>0</v>
      </c>
      <c r="J63" s="17">
        <v>0</v>
      </c>
      <c r="K63" s="17">
        <v>0</v>
      </c>
      <c r="L63" s="17">
        <v>190</v>
      </c>
      <c r="M63" s="17">
        <v>0</v>
      </c>
      <c r="N63" s="17">
        <v>0</v>
      </c>
      <c r="O63" s="17">
        <v>195</v>
      </c>
      <c r="P63" s="17"/>
      <c r="Q63" s="17"/>
      <c r="R63" s="17">
        <f t="shared" si="1"/>
        <v>5537</v>
      </c>
    </row>
    <row r="64" spans="1:18" x14ac:dyDescent="0.2">
      <c r="A64" s="8" t="s">
        <v>52</v>
      </c>
      <c r="B64" s="8">
        <v>50400</v>
      </c>
      <c r="C64" s="17">
        <v>8507</v>
      </c>
      <c r="D64" s="17">
        <f>-SUMIF(Sheet1!A:A,B64,Sheet1!Z:Z)</f>
        <v>0</v>
      </c>
      <c r="E64" s="17">
        <f t="shared" si="0"/>
        <v>8507</v>
      </c>
      <c r="F64" s="9"/>
      <c r="G64" s="17">
        <v>8773</v>
      </c>
      <c r="H64" s="17">
        <v>8760</v>
      </c>
      <c r="I64" s="17">
        <v>7309</v>
      </c>
      <c r="J64" s="17">
        <v>7540</v>
      </c>
      <c r="K64" s="17">
        <v>9140</v>
      </c>
      <c r="L64" s="17">
        <v>9544</v>
      </c>
      <c r="M64" s="17">
        <v>9633</v>
      </c>
      <c r="N64" s="17">
        <v>9758</v>
      </c>
      <c r="O64" s="17">
        <v>9633</v>
      </c>
      <c r="P64" s="17">
        <v>9437</v>
      </c>
      <c r="Q64" s="17">
        <v>9379</v>
      </c>
      <c r="R64" s="17">
        <f t="shared" si="1"/>
        <v>107413</v>
      </c>
    </row>
    <row r="65" spans="1:18" x14ac:dyDescent="0.2">
      <c r="A65" s="8" t="s">
        <v>53</v>
      </c>
      <c r="B65" s="8">
        <v>51250</v>
      </c>
      <c r="C65" s="17">
        <v>3336</v>
      </c>
      <c r="D65" s="17">
        <f>-SUMIF(Sheet1!A:A,B65,Sheet1!Z:Z)</f>
        <v>0</v>
      </c>
      <c r="E65" s="17">
        <f t="shared" si="0"/>
        <v>3336</v>
      </c>
      <c r="F65" s="18"/>
      <c r="G65" s="17">
        <v>0</v>
      </c>
      <c r="H65" s="17">
        <v>6364</v>
      </c>
      <c r="I65" s="17">
        <v>5842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1450</v>
      </c>
      <c r="R65" s="17">
        <f t="shared" si="1"/>
        <v>16992</v>
      </c>
    </row>
    <row r="66" spans="1:18" x14ac:dyDescent="0.2">
      <c r="A66" s="8" t="s">
        <v>54</v>
      </c>
      <c r="B66" s="8">
        <v>51450</v>
      </c>
      <c r="C66" s="17">
        <v>101283</v>
      </c>
      <c r="D66" s="17">
        <f>-SUMIF(Sheet1!A:A,B66,Sheet1!Z:Z)</f>
        <v>0</v>
      </c>
      <c r="E66" s="17">
        <f t="shared" si="0"/>
        <v>101283</v>
      </c>
      <c r="F66" s="18"/>
      <c r="G66" s="17">
        <v>101870</v>
      </c>
      <c r="H66" s="17">
        <v>100116</v>
      </c>
      <c r="I66" s="17">
        <v>66500</v>
      </c>
      <c r="J66" s="17">
        <v>72819</v>
      </c>
      <c r="K66" s="17">
        <v>71087</v>
      </c>
      <c r="L66" s="17">
        <v>68586</v>
      </c>
      <c r="M66" s="17">
        <v>69373</v>
      </c>
      <c r="N66" s="17">
        <v>77062</v>
      </c>
      <c r="O66" s="17">
        <v>72524</v>
      </c>
      <c r="P66" s="17">
        <v>65422</v>
      </c>
      <c r="Q66" s="17">
        <v>66621</v>
      </c>
      <c r="R66" s="17">
        <f t="shared" si="1"/>
        <v>933263</v>
      </c>
    </row>
    <row r="67" spans="1:18" x14ac:dyDescent="0.2">
      <c r="A67" s="8" t="s">
        <v>55</v>
      </c>
      <c r="B67" s="8">
        <v>52100</v>
      </c>
      <c r="C67" s="17">
        <v>64890</v>
      </c>
      <c r="D67" s="17">
        <f>-SUMIF(Sheet1!A:A,B67,Sheet1!Z:Z)</f>
        <v>0</v>
      </c>
      <c r="E67" s="17">
        <f t="shared" si="0"/>
        <v>64890</v>
      </c>
      <c r="F67" s="18"/>
      <c r="G67" s="17">
        <v>64616</v>
      </c>
      <c r="H67" s="17">
        <v>64375</v>
      </c>
      <c r="I67" s="17">
        <v>62646</v>
      </c>
      <c r="J67" s="17">
        <v>58554</v>
      </c>
      <c r="K67" s="17">
        <v>57719</v>
      </c>
      <c r="L67" s="17">
        <v>47974</v>
      </c>
      <c r="M67" s="17">
        <v>42039</v>
      </c>
      <c r="N67" s="17">
        <v>44660</v>
      </c>
      <c r="O67" s="17">
        <v>51889</v>
      </c>
      <c r="P67" s="17">
        <v>48873</v>
      </c>
      <c r="Q67" s="17">
        <v>47532</v>
      </c>
      <c r="R67" s="17">
        <f t="shared" si="1"/>
        <v>655767</v>
      </c>
    </row>
    <row r="68" spans="1:18" x14ac:dyDescent="0.2">
      <c r="A68" s="8" t="s">
        <v>56</v>
      </c>
      <c r="B68" s="8">
        <v>52300</v>
      </c>
      <c r="C68" s="17">
        <v>5043</v>
      </c>
      <c r="D68" s="17">
        <f>-SUMIF(Sheet1!A:A,B68,Sheet1!Z:Z)</f>
        <v>0</v>
      </c>
      <c r="E68" s="17">
        <f t="shared" si="0"/>
        <v>5043</v>
      </c>
      <c r="F68" s="15"/>
      <c r="G68" s="17">
        <v>5019</v>
      </c>
      <c r="H68" s="17">
        <v>5011</v>
      </c>
      <c r="I68" s="17">
        <v>5005</v>
      </c>
      <c r="J68" s="17">
        <v>3152</v>
      </c>
      <c r="K68" s="17">
        <v>3153</v>
      </c>
      <c r="L68" s="17">
        <v>3222</v>
      </c>
      <c r="M68" s="17">
        <v>3162</v>
      </c>
      <c r="N68" s="17">
        <v>3162</v>
      </c>
      <c r="O68" s="17">
        <v>3162</v>
      </c>
      <c r="P68" s="17">
        <v>2306</v>
      </c>
      <c r="Q68" s="17">
        <v>1661</v>
      </c>
      <c r="R68" s="17">
        <f t="shared" si="1"/>
        <v>43058</v>
      </c>
    </row>
    <row r="69" spans="1:18" x14ac:dyDescent="0.2">
      <c r="A69" s="8" t="s">
        <v>57</v>
      </c>
      <c r="B69" s="8">
        <v>62500</v>
      </c>
      <c r="C69" s="17">
        <v>1897</v>
      </c>
      <c r="D69" s="17">
        <f>-SUMIF(Sheet1!A:A,B69,Sheet1!Z:Z)</f>
        <v>0</v>
      </c>
      <c r="E69" s="17">
        <f t="shared" si="0"/>
        <v>1897</v>
      </c>
      <c r="F69" s="9"/>
      <c r="G69" s="17">
        <v>1873</v>
      </c>
      <c r="H69" s="17">
        <v>1843</v>
      </c>
      <c r="I69" s="17">
        <v>1827</v>
      </c>
      <c r="J69" s="17">
        <v>777</v>
      </c>
      <c r="K69" s="17">
        <v>1491</v>
      </c>
      <c r="L69" s="17">
        <v>2922</v>
      </c>
      <c r="M69" s="17">
        <v>2919</v>
      </c>
      <c r="N69" s="17">
        <v>2855</v>
      </c>
      <c r="O69" s="17">
        <v>2908</v>
      </c>
      <c r="P69" s="17">
        <v>2951</v>
      </c>
      <c r="Q69" s="17">
        <v>3105</v>
      </c>
      <c r="R69" s="17">
        <f t="shared" si="1"/>
        <v>27368</v>
      </c>
    </row>
    <row r="70" spans="1:18" x14ac:dyDescent="0.2">
      <c r="A70" s="8" t="s">
        <v>46</v>
      </c>
      <c r="B70" s="8"/>
      <c r="C70" s="19">
        <f>SUM(C59:C69)</f>
        <v>221137</v>
      </c>
      <c r="D70" s="19">
        <f t="shared" ref="D70:E70" si="20">SUM(D59:D69)</f>
        <v>0</v>
      </c>
      <c r="E70" s="19">
        <f t="shared" si="20"/>
        <v>221137</v>
      </c>
      <c r="F70" s="18"/>
      <c r="G70" s="19">
        <f t="shared" ref="G70:Q70" si="21">SUM(G59:G69)</f>
        <v>224909</v>
      </c>
      <c r="H70" s="19">
        <f t="shared" si="21"/>
        <v>229434</v>
      </c>
      <c r="I70" s="19">
        <f t="shared" si="21"/>
        <v>177322</v>
      </c>
      <c r="J70" s="19">
        <f t="shared" si="21"/>
        <v>178977</v>
      </c>
      <c r="K70" s="19">
        <f t="shared" si="21"/>
        <v>177862</v>
      </c>
      <c r="L70" s="19">
        <f t="shared" si="21"/>
        <v>173126</v>
      </c>
      <c r="M70" s="19">
        <f t="shared" si="21"/>
        <v>166534</v>
      </c>
      <c r="N70" s="19">
        <f t="shared" si="21"/>
        <v>172048</v>
      </c>
      <c r="O70" s="19">
        <f t="shared" si="21"/>
        <v>171015</v>
      </c>
      <c r="P70" s="19">
        <f t="shared" si="21"/>
        <v>159224</v>
      </c>
      <c r="Q70" s="19">
        <f t="shared" si="21"/>
        <v>157949</v>
      </c>
      <c r="R70" s="19">
        <f t="shared" si="1"/>
        <v>2209537</v>
      </c>
    </row>
    <row r="71" spans="1:18" x14ac:dyDescent="0.2">
      <c r="A71" s="8" t="s">
        <v>58</v>
      </c>
      <c r="B71" s="8"/>
      <c r="C71" s="8" t="s">
        <v>199</v>
      </c>
      <c r="D71" s="8"/>
      <c r="E71" s="8"/>
      <c r="F71" s="18"/>
      <c r="G71" s="8" t="s">
        <v>199</v>
      </c>
      <c r="H71" s="8" t="s">
        <v>199</v>
      </c>
      <c r="I71" s="8" t="s">
        <v>199</v>
      </c>
      <c r="J71" s="8" t="s">
        <v>199</v>
      </c>
      <c r="K71" s="8" t="s">
        <v>199</v>
      </c>
      <c r="L71" s="8" t="s">
        <v>199</v>
      </c>
      <c r="M71" s="8" t="s">
        <v>199</v>
      </c>
      <c r="N71" s="8" t="s">
        <v>199</v>
      </c>
      <c r="O71" s="8" t="s">
        <v>199</v>
      </c>
      <c r="P71" s="8" t="s">
        <v>199</v>
      </c>
      <c r="Q71" s="8" t="s">
        <v>199</v>
      </c>
      <c r="R71" s="8"/>
    </row>
    <row r="72" spans="1:18" x14ac:dyDescent="0.2">
      <c r="A72" s="8" t="s">
        <v>59</v>
      </c>
      <c r="B72" s="8">
        <v>50200</v>
      </c>
      <c r="C72" s="17">
        <v>0</v>
      </c>
      <c r="D72" s="17">
        <f>-SUMIF(Sheet1!A:A,B72,Sheet1!Z:Z)</f>
        <v>0</v>
      </c>
      <c r="E72" s="17">
        <f t="shared" si="0"/>
        <v>0</v>
      </c>
      <c r="F72" s="15"/>
      <c r="G72" s="17">
        <v>0</v>
      </c>
      <c r="H72" s="17">
        <v>0</v>
      </c>
      <c r="I72" s="17">
        <v>0</v>
      </c>
      <c r="J72" s="17">
        <v>0</v>
      </c>
      <c r="K72" s="17">
        <v>1028</v>
      </c>
      <c r="L72" s="17">
        <v>1215</v>
      </c>
      <c r="M72" s="17">
        <v>632</v>
      </c>
      <c r="N72" s="17">
        <v>0</v>
      </c>
      <c r="O72" s="17">
        <v>24</v>
      </c>
      <c r="P72" s="17"/>
      <c r="Q72" s="17"/>
      <c r="R72" s="17">
        <f t="shared" si="1"/>
        <v>2899</v>
      </c>
    </row>
    <row r="73" spans="1:18" x14ac:dyDescent="0.2">
      <c r="A73" s="8" t="s">
        <v>58</v>
      </c>
      <c r="B73" s="8"/>
      <c r="C73" s="19">
        <f>+C72</f>
        <v>0</v>
      </c>
      <c r="D73" s="19">
        <f t="shared" ref="D73:E73" si="22">+D72</f>
        <v>0</v>
      </c>
      <c r="E73" s="19">
        <f t="shared" si="22"/>
        <v>0</v>
      </c>
      <c r="F73" s="9"/>
      <c r="G73" s="19">
        <f t="shared" ref="G73:Q73" si="23">+G72</f>
        <v>0</v>
      </c>
      <c r="H73" s="19">
        <f t="shared" si="23"/>
        <v>0</v>
      </c>
      <c r="I73" s="19">
        <f t="shared" si="23"/>
        <v>0</v>
      </c>
      <c r="J73" s="19">
        <f t="shared" si="23"/>
        <v>0</v>
      </c>
      <c r="K73" s="19">
        <f t="shared" si="23"/>
        <v>1028</v>
      </c>
      <c r="L73" s="19">
        <f t="shared" si="23"/>
        <v>1215</v>
      </c>
      <c r="M73" s="19">
        <f t="shared" si="23"/>
        <v>632</v>
      </c>
      <c r="N73" s="19">
        <f t="shared" si="23"/>
        <v>0</v>
      </c>
      <c r="O73" s="19">
        <f t="shared" si="23"/>
        <v>24</v>
      </c>
      <c r="P73" s="19">
        <f t="shared" si="23"/>
        <v>0</v>
      </c>
      <c r="Q73" s="19">
        <f t="shared" si="23"/>
        <v>0</v>
      </c>
      <c r="R73" s="19">
        <f t="shared" si="1"/>
        <v>2899</v>
      </c>
    </row>
    <row r="74" spans="1:18" x14ac:dyDescent="0.2">
      <c r="A74" s="8" t="s">
        <v>60</v>
      </c>
      <c r="B74" s="8"/>
      <c r="C74" s="8" t="s">
        <v>199</v>
      </c>
      <c r="D74" s="8"/>
      <c r="E74" s="8"/>
      <c r="F74" s="18"/>
      <c r="G74" s="8" t="s">
        <v>199</v>
      </c>
      <c r="H74" s="8" t="s">
        <v>199</v>
      </c>
      <c r="I74" s="8" t="s">
        <v>199</v>
      </c>
      <c r="J74" s="8" t="s">
        <v>199</v>
      </c>
      <c r="K74" s="8" t="s">
        <v>199</v>
      </c>
      <c r="L74" s="8" t="s">
        <v>199</v>
      </c>
      <c r="M74" s="8" t="s">
        <v>199</v>
      </c>
      <c r="N74" s="8" t="s">
        <v>199</v>
      </c>
      <c r="O74" s="8" t="s">
        <v>199</v>
      </c>
      <c r="P74" s="8"/>
      <c r="Q74" s="8"/>
      <c r="R74" s="8"/>
    </row>
    <row r="75" spans="1:18" x14ac:dyDescent="0.2">
      <c r="A75" s="8" t="s">
        <v>61</v>
      </c>
      <c r="B75" s="8">
        <v>50500</v>
      </c>
      <c r="C75" s="17">
        <v>2305</v>
      </c>
      <c r="D75" s="17">
        <f>-SUMIF(Sheet1!A:A,B75,Sheet1!Z:Z)</f>
        <v>0</v>
      </c>
      <c r="E75" s="17">
        <f t="shared" si="0"/>
        <v>2305</v>
      </c>
      <c r="F75" s="18"/>
      <c r="G75" s="17">
        <v>23527</v>
      </c>
      <c r="H75" s="17">
        <v>23040</v>
      </c>
      <c r="I75" s="17">
        <v>13423</v>
      </c>
      <c r="J75" s="17">
        <v>31339</v>
      </c>
      <c r="K75" s="17">
        <v>11923</v>
      </c>
      <c r="L75" s="17">
        <v>6946</v>
      </c>
      <c r="M75" s="17">
        <v>13493</v>
      </c>
      <c r="N75" s="17">
        <v>14836</v>
      </c>
      <c r="O75" s="17">
        <v>29319</v>
      </c>
      <c r="P75" s="17">
        <v>48356</v>
      </c>
      <c r="Q75" s="17">
        <v>72436</v>
      </c>
      <c r="R75" s="17">
        <f t="shared" si="1"/>
        <v>290943</v>
      </c>
    </row>
    <row r="76" spans="1:18" x14ac:dyDescent="0.2">
      <c r="A76" s="8" t="s">
        <v>60</v>
      </c>
      <c r="B76" s="8"/>
      <c r="C76" s="19">
        <f>+C75</f>
        <v>2305</v>
      </c>
      <c r="D76" s="19">
        <f t="shared" ref="D76:Q76" si="24">+D75</f>
        <v>0</v>
      </c>
      <c r="E76" s="19">
        <f t="shared" si="24"/>
        <v>2305</v>
      </c>
      <c r="F76" s="15"/>
      <c r="G76" s="19">
        <f t="shared" si="24"/>
        <v>23527</v>
      </c>
      <c r="H76" s="19">
        <f t="shared" si="24"/>
        <v>23040</v>
      </c>
      <c r="I76" s="19">
        <f t="shared" si="24"/>
        <v>13423</v>
      </c>
      <c r="J76" s="19">
        <f t="shared" si="24"/>
        <v>31339</v>
      </c>
      <c r="K76" s="19">
        <f t="shared" si="24"/>
        <v>11923</v>
      </c>
      <c r="L76" s="19">
        <f t="shared" si="24"/>
        <v>6946</v>
      </c>
      <c r="M76" s="19">
        <f t="shared" si="24"/>
        <v>13493</v>
      </c>
      <c r="N76" s="19">
        <f t="shared" si="24"/>
        <v>14836</v>
      </c>
      <c r="O76" s="19">
        <f t="shared" si="24"/>
        <v>29319</v>
      </c>
      <c r="P76" s="19">
        <f t="shared" si="24"/>
        <v>48356</v>
      </c>
      <c r="Q76" s="19">
        <f t="shared" si="24"/>
        <v>72436</v>
      </c>
      <c r="R76" s="19">
        <f t="shared" si="1"/>
        <v>290943</v>
      </c>
    </row>
    <row r="77" spans="1:18" x14ac:dyDescent="0.2">
      <c r="A77" s="8" t="s">
        <v>62</v>
      </c>
      <c r="B77" s="8"/>
      <c r="C77" s="8" t="s">
        <v>199</v>
      </c>
      <c r="D77" s="8"/>
      <c r="E77" s="8"/>
      <c r="F77" s="9"/>
      <c r="G77" s="8" t="s">
        <v>199</v>
      </c>
      <c r="H77" s="8" t="s">
        <v>199</v>
      </c>
      <c r="I77" s="8" t="s">
        <v>199</v>
      </c>
      <c r="J77" s="8" t="s">
        <v>199</v>
      </c>
      <c r="K77" s="8" t="s">
        <v>199</v>
      </c>
      <c r="L77" s="8" t="s">
        <v>199</v>
      </c>
      <c r="M77" s="8" t="s">
        <v>199</v>
      </c>
      <c r="N77" s="8" t="s">
        <v>199</v>
      </c>
      <c r="O77" s="8" t="s">
        <v>199</v>
      </c>
      <c r="P77" s="8" t="s">
        <v>199</v>
      </c>
      <c r="Q77" s="8" t="s">
        <v>199</v>
      </c>
      <c r="R77" s="8"/>
    </row>
    <row r="78" spans="1:18" x14ac:dyDescent="0.2">
      <c r="A78" s="8" t="s">
        <v>63</v>
      </c>
      <c r="B78" s="8">
        <v>50300</v>
      </c>
      <c r="C78" s="17">
        <v>135295</v>
      </c>
      <c r="D78" s="17">
        <f>-SUMIF(Sheet1!A:A,B78,Sheet1!Z:Z)</f>
        <v>0</v>
      </c>
      <c r="E78" s="17">
        <f t="shared" si="0"/>
        <v>135295</v>
      </c>
      <c r="F78" s="18"/>
      <c r="G78" s="17">
        <v>224835</v>
      </c>
      <c r="H78" s="17">
        <v>465063</v>
      </c>
      <c r="I78" s="17">
        <v>304045</v>
      </c>
      <c r="J78" s="17">
        <v>543762</v>
      </c>
      <c r="K78" s="17">
        <v>687967</v>
      </c>
      <c r="L78" s="17">
        <v>495522</v>
      </c>
      <c r="M78" s="17">
        <v>402630</v>
      </c>
      <c r="N78" s="17">
        <v>483514</v>
      </c>
      <c r="O78" s="17">
        <v>360592</v>
      </c>
      <c r="P78" s="17">
        <v>463290</v>
      </c>
      <c r="Q78" s="17">
        <v>171753</v>
      </c>
      <c r="R78" s="17">
        <f t="shared" si="1"/>
        <v>4738268</v>
      </c>
    </row>
    <row r="79" spans="1:18" x14ac:dyDescent="0.2">
      <c r="A79" s="8" t="s">
        <v>64</v>
      </c>
      <c r="B79" s="8">
        <v>54000</v>
      </c>
      <c r="C79" s="17">
        <v>-33040</v>
      </c>
      <c r="D79" s="17">
        <f>-SUMIF(Sheet1!A:A,B79,Sheet1!Z:Z)</f>
        <v>42625.69</v>
      </c>
      <c r="E79" s="17">
        <f t="shared" si="0"/>
        <v>9585.6900000000023</v>
      </c>
      <c r="F79" s="21">
        <v>3</v>
      </c>
      <c r="G79" s="17">
        <v>15507</v>
      </c>
      <c r="H79" s="17">
        <v>20943</v>
      </c>
      <c r="I79" s="17">
        <v>17109</v>
      </c>
      <c r="J79" s="17">
        <v>25669</v>
      </c>
      <c r="K79" s="17">
        <v>7010</v>
      </c>
      <c r="L79" s="17">
        <v>11190</v>
      </c>
      <c r="M79" s="17">
        <v>7260</v>
      </c>
      <c r="N79" s="17">
        <v>11757</v>
      </c>
      <c r="O79" s="17">
        <v>10096</v>
      </c>
      <c r="P79" s="17">
        <v>8701</v>
      </c>
      <c r="Q79" s="17">
        <v>8639</v>
      </c>
      <c r="R79" s="17">
        <f t="shared" si="1"/>
        <v>110841</v>
      </c>
    </row>
    <row r="80" spans="1:18" x14ac:dyDescent="0.2">
      <c r="A80" s="8" t="s">
        <v>62</v>
      </c>
      <c r="B80" s="8"/>
      <c r="C80" s="19">
        <f>+C78+C79</f>
        <v>102255</v>
      </c>
      <c r="D80" s="19">
        <f t="shared" ref="D80:Q80" si="25">+D78+D79</f>
        <v>42625.69</v>
      </c>
      <c r="E80" s="19">
        <f t="shared" si="25"/>
        <v>144880.69</v>
      </c>
      <c r="F80" s="18"/>
      <c r="G80" s="19">
        <f t="shared" si="25"/>
        <v>240342</v>
      </c>
      <c r="H80" s="19">
        <f t="shared" si="25"/>
        <v>486006</v>
      </c>
      <c r="I80" s="19">
        <f t="shared" si="25"/>
        <v>321154</v>
      </c>
      <c r="J80" s="19">
        <f t="shared" si="25"/>
        <v>569431</v>
      </c>
      <c r="K80" s="19">
        <f t="shared" si="25"/>
        <v>694977</v>
      </c>
      <c r="L80" s="19">
        <f t="shared" si="25"/>
        <v>506712</v>
      </c>
      <c r="M80" s="19">
        <f t="shared" si="25"/>
        <v>409890</v>
      </c>
      <c r="N80" s="19">
        <f t="shared" si="25"/>
        <v>495271</v>
      </c>
      <c r="O80" s="19">
        <f t="shared" si="25"/>
        <v>370688</v>
      </c>
      <c r="P80" s="19">
        <f t="shared" si="25"/>
        <v>471991</v>
      </c>
      <c r="Q80" s="19">
        <f t="shared" si="25"/>
        <v>180392</v>
      </c>
      <c r="R80" s="19">
        <f t="shared" ref="R80:R142" si="26">SUM(G80:Q80)+C80</f>
        <v>4849109</v>
      </c>
    </row>
    <row r="81" spans="1:18" x14ac:dyDescent="0.2">
      <c r="A81" s="8" t="s">
        <v>65</v>
      </c>
      <c r="B81" s="8"/>
      <c r="C81" s="8" t="s">
        <v>199</v>
      </c>
      <c r="D81" s="8"/>
      <c r="E81" s="8"/>
      <c r="F81" s="15"/>
      <c r="G81" s="8" t="s">
        <v>199</v>
      </c>
      <c r="H81" s="8" t="s">
        <v>199</v>
      </c>
      <c r="I81" s="8" t="s">
        <v>199</v>
      </c>
      <c r="J81" s="8" t="s">
        <v>199</v>
      </c>
      <c r="K81" s="8" t="s">
        <v>199</v>
      </c>
      <c r="L81" s="8" t="s">
        <v>199</v>
      </c>
      <c r="M81" s="8" t="s">
        <v>199</v>
      </c>
      <c r="N81" s="8" t="s">
        <v>199</v>
      </c>
      <c r="O81" s="8" t="s">
        <v>199</v>
      </c>
      <c r="P81" s="8" t="s">
        <v>199</v>
      </c>
      <c r="Q81" s="8" t="s">
        <v>199</v>
      </c>
      <c r="R81" s="8"/>
    </row>
    <row r="82" spans="1:18" x14ac:dyDescent="0.2">
      <c r="A82" s="8" t="s">
        <v>66</v>
      </c>
      <c r="B82" s="8">
        <v>50605</v>
      </c>
      <c r="C82" s="17">
        <v>-15249</v>
      </c>
      <c r="D82" s="17">
        <f>-SUMIF(Sheet1!A:A,B82,Sheet1!Z:Z)</f>
        <v>64345.440000000002</v>
      </c>
      <c r="E82" s="17">
        <f t="shared" ref="E82:E140" si="27">+C82+D82</f>
        <v>49096.44</v>
      </c>
      <c r="F82" s="21">
        <v>5</v>
      </c>
      <c r="G82" s="17">
        <v>43185</v>
      </c>
      <c r="H82" s="17">
        <v>47961</v>
      </c>
      <c r="I82" s="17">
        <v>45877</v>
      </c>
      <c r="J82" s="17">
        <v>54236</v>
      </c>
      <c r="K82" s="17">
        <v>55059</v>
      </c>
      <c r="L82" s="17">
        <v>50284</v>
      </c>
      <c r="M82" s="17">
        <v>52671</v>
      </c>
      <c r="N82" s="17">
        <v>56279</v>
      </c>
      <c r="O82" s="17">
        <v>59815</v>
      </c>
      <c r="P82" s="17">
        <v>53539</v>
      </c>
      <c r="Q82" s="17">
        <v>57233</v>
      </c>
      <c r="R82" s="17">
        <f t="shared" si="26"/>
        <v>560890</v>
      </c>
    </row>
    <row r="83" spans="1:18" x14ac:dyDescent="0.2">
      <c r="A83" s="8" t="s">
        <v>67</v>
      </c>
      <c r="B83" s="8">
        <v>50705</v>
      </c>
      <c r="C83" s="17">
        <v>932</v>
      </c>
      <c r="D83" s="17">
        <f>-SUMIF(Sheet1!A:A,B83,Sheet1!Z:Z)</f>
        <v>2591.1899999999996</v>
      </c>
      <c r="E83" s="17">
        <f t="shared" si="27"/>
        <v>3523.1899999999996</v>
      </c>
      <c r="F83" s="21">
        <v>5</v>
      </c>
      <c r="G83" s="17">
        <v>3102</v>
      </c>
      <c r="H83" s="17">
        <v>3437</v>
      </c>
      <c r="I83" s="17">
        <v>3287</v>
      </c>
      <c r="J83" s="17">
        <v>3935</v>
      </c>
      <c r="K83" s="17">
        <v>3447</v>
      </c>
      <c r="L83" s="17">
        <v>4160</v>
      </c>
      <c r="M83" s="17">
        <v>4358</v>
      </c>
      <c r="N83" s="17">
        <v>4315</v>
      </c>
      <c r="O83" s="17">
        <v>4463</v>
      </c>
      <c r="P83" s="17">
        <v>4095</v>
      </c>
      <c r="Q83" s="17">
        <v>5579</v>
      </c>
      <c r="R83" s="17">
        <f t="shared" si="26"/>
        <v>45110</v>
      </c>
    </row>
    <row r="84" spans="1:18" x14ac:dyDescent="0.2">
      <c r="A84" s="8" t="s">
        <v>68</v>
      </c>
      <c r="B84" s="8">
        <v>50805</v>
      </c>
      <c r="C84" s="17">
        <v>-462</v>
      </c>
      <c r="D84" s="17">
        <f>-SUMIF(Sheet1!A:A,B84,Sheet1!Z:Z)</f>
        <v>1934.87</v>
      </c>
      <c r="E84" s="17">
        <f t="shared" si="27"/>
        <v>1472.87</v>
      </c>
      <c r="F84" s="21">
        <v>5</v>
      </c>
      <c r="G84" s="17">
        <v>1296</v>
      </c>
      <c r="H84" s="17">
        <v>1439</v>
      </c>
      <c r="I84" s="17">
        <v>1377</v>
      </c>
      <c r="J84" s="17">
        <v>1627</v>
      </c>
      <c r="K84" s="17">
        <v>1532</v>
      </c>
      <c r="L84" s="17">
        <v>1629</v>
      </c>
      <c r="M84" s="17">
        <v>1706</v>
      </c>
      <c r="N84" s="17">
        <v>1696</v>
      </c>
      <c r="O84" s="17">
        <v>1661</v>
      </c>
      <c r="P84" s="17">
        <v>1608</v>
      </c>
      <c r="Q84" s="17">
        <v>1716</v>
      </c>
      <c r="R84" s="17">
        <f t="shared" si="26"/>
        <v>16825</v>
      </c>
    </row>
    <row r="85" spans="1:18" x14ac:dyDescent="0.2">
      <c r="A85" s="8" t="s">
        <v>69</v>
      </c>
      <c r="B85" s="8">
        <v>60705</v>
      </c>
      <c r="C85" s="17">
        <v>12663</v>
      </c>
      <c r="D85" s="17">
        <f>-SUMIF(Sheet1!A:A,B85,Sheet1!Z:Z)</f>
        <v>0</v>
      </c>
      <c r="E85" s="17">
        <f t="shared" si="27"/>
        <v>12663</v>
      </c>
      <c r="F85" s="22"/>
      <c r="G85" s="17">
        <v>4405</v>
      </c>
      <c r="H85" s="17">
        <v>5067</v>
      </c>
      <c r="I85" s="17">
        <v>4846</v>
      </c>
      <c r="J85" s="17">
        <v>4755</v>
      </c>
      <c r="K85" s="17">
        <v>5032</v>
      </c>
      <c r="L85" s="17">
        <v>5604</v>
      </c>
      <c r="M85" s="17">
        <v>5860</v>
      </c>
      <c r="N85" s="17">
        <v>5191</v>
      </c>
      <c r="O85" s="17">
        <v>5183</v>
      </c>
      <c r="P85" s="17">
        <v>5360</v>
      </c>
      <c r="Q85" s="17">
        <v>5356</v>
      </c>
      <c r="R85" s="17">
        <f t="shared" si="26"/>
        <v>69322</v>
      </c>
    </row>
    <row r="86" spans="1:18" x14ac:dyDescent="0.2">
      <c r="A86" s="8" t="s">
        <v>65</v>
      </c>
      <c r="B86" s="4"/>
      <c r="C86" s="19">
        <f>SUM(C82:C85)</f>
        <v>-2116</v>
      </c>
      <c r="D86" s="19">
        <f t="shared" ref="D86:Q86" si="28">SUM(D82:D85)</f>
        <v>68871.5</v>
      </c>
      <c r="E86" s="19">
        <f t="shared" si="28"/>
        <v>66755.5</v>
      </c>
      <c r="F86" s="20"/>
      <c r="G86" s="19">
        <f t="shared" si="28"/>
        <v>51988</v>
      </c>
      <c r="H86" s="19">
        <f t="shared" si="28"/>
        <v>57904</v>
      </c>
      <c r="I86" s="19">
        <f t="shared" si="28"/>
        <v>55387</v>
      </c>
      <c r="J86" s="19">
        <f t="shared" si="28"/>
        <v>64553</v>
      </c>
      <c r="K86" s="19">
        <f t="shared" si="28"/>
        <v>65070</v>
      </c>
      <c r="L86" s="19">
        <f t="shared" si="28"/>
        <v>61677</v>
      </c>
      <c r="M86" s="19">
        <f t="shared" si="28"/>
        <v>64595</v>
      </c>
      <c r="N86" s="19">
        <f t="shared" si="28"/>
        <v>67481</v>
      </c>
      <c r="O86" s="19">
        <f t="shared" si="28"/>
        <v>71122</v>
      </c>
      <c r="P86" s="19">
        <f t="shared" si="28"/>
        <v>64602</v>
      </c>
      <c r="Q86" s="19">
        <f t="shared" si="28"/>
        <v>69884</v>
      </c>
      <c r="R86" s="19">
        <f t="shared" si="26"/>
        <v>692147</v>
      </c>
    </row>
    <row r="87" spans="1:18" x14ac:dyDescent="0.2">
      <c r="A87" s="8" t="s">
        <v>70</v>
      </c>
      <c r="B87" s="8" t="s">
        <v>4</v>
      </c>
      <c r="C87" s="8" t="s">
        <v>199</v>
      </c>
      <c r="D87" s="8"/>
      <c r="E87" s="8"/>
      <c r="F87" s="15"/>
      <c r="G87" s="8" t="s">
        <v>199</v>
      </c>
      <c r="H87" s="8" t="s">
        <v>199</v>
      </c>
      <c r="I87" s="8" t="s">
        <v>199</v>
      </c>
      <c r="J87" s="8" t="s">
        <v>199</v>
      </c>
      <c r="K87" s="8" t="s">
        <v>199</v>
      </c>
      <c r="L87" s="8" t="s">
        <v>199</v>
      </c>
      <c r="M87" s="8" t="s">
        <v>199</v>
      </c>
      <c r="N87" s="8" t="s">
        <v>199</v>
      </c>
      <c r="O87" s="8" t="s">
        <v>199</v>
      </c>
      <c r="P87" s="8" t="s">
        <v>199</v>
      </c>
      <c r="Q87" s="8" t="s">
        <v>199</v>
      </c>
      <c r="R87" s="8"/>
    </row>
    <row r="88" spans="1:18" x14ac:dyDescent="0.2">
      <c r="A88" s="8" t="s">
        <v>71</v>
      </c>
      <c r="B88" s="8">
        <v>50610</v>
      </c>
      <c r="C88" s="17">
        <v>338221</v>
      </c>
      <c r="D88" s="17">
        <f>-SUMIF(Sheet1!A:A,B88,Sheet1!Z:Z)</f>
        <v>-160688.6</v>
      </c>
      <c r="E88" s="17">
        <f t="shared" si="27"/>
        <v>177532.4</v>
      </c>
      <c r="F88" s="21">
        <v>5</v>
      </c>
      <c r="G88" s="17">
        <v>145574</v>
      </c>
      <c r="H88" s="17">
        <v>173172</v>
      </c>
      <c r="I88" s="17">
        <v>175855</v>
      </c>
      <c r="J88" s="17">
        <v>157909</v>
      </c>
      <c r="K88" s="17">
        <v>185925</v>
      </c>
      <c r="L88" s="17">
        <v>172692</v>
      </c>
      <c r="M88" s="17">
        <v>169888</v>
      </c>
      <c r="N88" s="17">
        <v>163384</v>
      </c>
      <c r="O88" s="17">
        <v>193857</v>
      </c>
      <c r="P88" s="17">
        <v>172172</v>
      </c>
      <c r="Q88" s="17">
        <v>186685</v>
      </c>
      <c r="R88" s="17">
        <f t="shared" si="26"/>
        <v>2235334</v>
      </c>
    </row>
    <row r="89" spans="1:18" x14ac:dyDescent="0.2">
      <c r="A89" s="8" t="s">
        <v>72</v>
      </c>
      <c r="B89" s="8">
        <v>50710</v>
      </c>
      <c r="C89" s="17">
        <v>32170</v>
      </c>
      <c r="D89" s="17">
        <f>-SUMIF(Sheet1!A:A,B89,Sheet1!Z:Z)</f>
        <v>-19212.45</v>
      </c>
      <c r="E89" s="17">
        <f t="shared" si="27"/>
        <v>12957.55</v>
      </c>
      <c r="F89" s="21">
        <v>5</v>
      </c>
      <c r="G89" s="17">
        <v>11260</v>
      </c>
      <c r="H89" s="17">
        <v>12853</v>
      </c>
      <c r="I89" s="17">
        <v>12880</v>
      </c>
      <c r="J89" s="17">
        <v>11615</v>
      </c>
      <c r="K89" s="17">
        <v>13657</v>
      </c>
      <c r="L89" s="17">
        <v>13180</v>
      </c>
      <c r="M89" s="17">
        <v>14048</v>
      </c>
      <c r="N89" s="17">
        <v>12786</v>
      </c>
      <c r="O89" s="17">
        <v>14313</v>
      </c>
      <c r="P89" s="17">
        <v>13183</v>
      </c>
      <c r="Q89" s="17">
        <v>20664</v>
      </c>
      <c r="R89" s="17">
        <f t="shared" si="26"/>
        <v>182609</v>
      </c>
    </row>
    <row r="90" spans="1:18" x14ac:dyDescent="0.2">
      <c r="A90" s="8" t="s">
        <v>73</v>
      </c>
      <c r="B90" s="8">
        <v>50811</v>
      </c>
      <c r="C90" s="17">
        <v>3790</v>
      </c>
      <c r="D90" s="17">
        <f>-SUMIF(Sheet1!A:A,B90,Sheet1!Z:Z)</f>
        <v>-1834.42</v>
      </c>
      <c r="E90" s="17">
        <f t="shared" si="27"/>
        <v>1955.58</v>
      </c>
      <c r="F90" s="21">
        <v>5</v>
      </c>
      <c r="G90" s="17">
        <v>1671</v>
      </c>
      <c r="H90" s="17">
        <v>1924</v>
      </c>
      <c r="I90" s="17">
        <v>2251</v>
      </c>
      <c r="J90" s="17">
        <v>2088</v>
      </c>
      <c r="K90" s="17">
        <v>2016</v>
      </c>
      <c r="L90" s="17">
        <v>2367</v>
      </c>
      <c r="M90" s="17">
        <v>2592</v>
      </c>
      <c r="N90" s="17">
        <v>2142</v>
      </c>
      <c r="O90" s="17">
        <v>2173</v>
      </c>
      <c r="P90" s="17">
        <v>2380</v>
      </c>
      <c r="Q90" s="17">
        <v>2475</v>
      </c>
      <c r="R90" s="17">
        <f t="shared" si="26"/>
        <v>27869</v>
      </c>
    </row>
    <row r="91" spans="1:18" x14ac:dyDescent="0.2">
      <c r="A91" s="8" t="s">
        <v>74</v>
      </c>
      <c r="B91" s="8">
        <v>60710</v>
      </c>
      <c r="C91" s="17">
        <v>38623</v>
      </c>
      <c r="D91" s="17">
        <f>-SUMIF(Sheet1!A:A,B91,Sheet1!Z:Z)</f>
        <v>0</v>
      </c>
      <c r="E91" s="17">
        <f t="shared" si="27"/>
        <v>38623</v>
      </c>
      <c r="F91" s="18"/>
      <c r="G91" s="17">
        <v>13391</v>
      </c>
      <c r="H91" s="17">
        <v>15243</v>
      </c>
      <c r="I91" s="17">
        <v>15675</v>
      </c>
      <c r="J91" s="17">
        <v>15237</v>
      </c>
      <c r="K91" s="17">
        <v>15471</v>
      </c>
      <c r="L91" s="17">
        <v>17237</v>
      </c>
      <c r="M91" s="17">
        <v>17013</v>
      </c>
      <c r="N91" s="17">
        <v>16620</v>
      </c>
      <c r="O91" s="17">
        <v>16774</v>
      </c>
      <c r="P91" s="17">
        <v>15447</v>
      </c>
      <c r="Q91" s="17">
        <v>17854</v>
      </c>
      <c r="R91" s="17">
        <f t="shared" si="26"/>
        <v>214585</v>
      </c>
    </row>
    <row r="92" spans="1:18" x14ac:dyDescent="0.2">
      <c r="A92" s="8" t="s">
        <v>75</v>
      </c>
      <c r="B92" s="8">
        <v>50660</v>
      </c>
      <c r="C92" s="17">
        <v>3464</v>
      </c>
      <c r="D92" s="17">
        <f>-SUMIF(Sheet1!A:A,B92,Sheet1!Z:Z)</f>
        <v>0</v>
      </c>
      <c r="E92" s="17">
        <f t="shared" si="27"/>
        <v>3464</v>
      </c>
      <c r="F92" s="18"/>
      <c r="G92" s="17">
        <v>2965</v>
      </c>
      <c r="H92" s="17">
        <v>3628</v>
      </c>
      <c r="I92" s="17">
        <v>4035</v>
      </c>
      <c r="J92" s="17">
        <v>2277</v>
      </c>
      <c r="K92" s="17">
        <v>1439</v>
      </c>
      <c r="L92" s="17"/>
      <c r="M92" s="17"/>
      <c r="N92" s="17"/>
      <c r="O92" s="17"/>
      <c r="P92" s="17"/>
      <c r="Q92" s="17"/>
      <c r="R92" s="17">
        <f t="shared" si="26"/>
        <v>17808</v>
      </c>
    </row>
    <row r="93" spans="1:18" x14ac:dyDescent="0.2">
      <c r="A93" s="8" t="s">
        <v>76</v>
      </c>
      <c r="B93" s="8">
        <v>50661</v>
      </c>
      <c r="C93" s="17">
        <v>-90648</v>
      </c>
      <c r="D93" s="17">
        <f>-SUMIF(Sheet1!A:A,B93,Sheet1!Z:Z)</f>
        <v>90648.14</v>
      </c>
      <c r="E93" s="17">
        <f t="shared" si="27"/>
        <v>0.13999999999941792</v>
      </c>
      <c r="F93" s="21">
        <v>6</v>
      </c>
      <c r="G93" s="17">
        <v>0</v>
      </c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>
        <f t="shared" si="26"/>
        <v>-90648</v>
      </c>
    </row>
    <row r="94" spans="1:18" x14ac:dyDescent="0.2">
      <c r="A94" s="8" t="s">
        <v>70</v>
      </c>
      <c r="B94" s="8"/>
      <c r="C94" s="19">
        <f>SUM(C88:C93)</f>
        <v>325620</v>
      </c>
      <c r="D94" s="19">
        <f t="shared" ref="D94:Q94" si="29">SUM(D88:D93)</f>
        <v>-91087.330000000031</v>
      </c>
      <c r="E94" s="19">
        <f t="shared" si="29"/>
        <v>234532.66999999998</v>
      </c>
      <c r="F94" s="20"/>
      <c r="G94" s="19">
        <f t="shared" si="29"/>
        <v>174861</v>
      </c>
      <c r="H94" s="19">
        <f t="shared" si="29"/>
        <v>206820</v>
      </c>
      <c r="I94" s="19">
        <f t="shared" si="29"/>
        <v>210696</v>
      </c>
      <c r="J94" s="19">
        <f t="shared" si="29"/>
        <v>189126</v>
      </c>
      <c r="K94" s="19">
        <f t="shared" si="29"/>
        <v>218508</v>
      </c>
      <c r="L94" s="19">
        <f t="shared" si="29"/>
        <v>205476</v>
      </c>
      <c r="M94" s="19">
        <f t="shared" si="29"/>
        <v>203541</v>
      </c>
      <c r="N94" s="19">
        <f t="shared" si="29"/>
        <v>194932</v>
      </c>
      <c r="O94" s="19">
        <f t="shared" si="29"/>
        <v>227117</v>
      </c>
      <c r="P94" s="19">
        <f t="shared" si="29"/>
        <v>203182</v>
      </c>
      <c r="Q94" s="19">
        <f t="shared" si="29"/>
        <v>227678</v>
      </c>
      <c r="R94" s="19">
        <f t="shared" si="26"/>
        <v>2587557</v>
      </c>
    </row>
    <row r="95" spans="1:18" x14ac:dyDescent="0.2">
      <c r="A95" s="8" t="s">
        <v>77</v>
      </c>
      <c r="B95" s="8"/>
      <c r="C95" s="19">
        <f>+C94+C86+C80+C76+C73+C70+C57+C53</f>
        <v>689311</v>
      </c>
      <c r="D95" s="19">
        <f t="shared" ref="D95:Q95" si="30">+D94+D86+D80+D76+D73+D70+D57+D53</f>
        <v>20409.859999999971</v>
      </c>
      <c r="E95" s="19">
        <f t="shared" si="30"/>
        <v>709720.86</v>
      </c>
      <c r="F95" s="20"/>
      <c r="G95" s="19">
        <f t="shared" si="30"/>
        <v>744121</v>
      </c>
      <c r="H95" s="19">
        <f t="shared" si="30"/>
        <v>1052860</v>
      </c>
      <c r="I95" s="19">
        <f t="shared" si="30"/>
        <v>816899</v>
      </c>
      <c r="J95" s="19">
        <f t="shared" si="30"/>
        <v>1073152</v>
      </c>
      <c r="K95" s="19">
        <f t="shared" si="30"/>
        <v>1205020</v>
      </c>
      <c r="L95" s="19">
        <f t="shared" si="30"/>
        <v>989783</v>
      </c>
      <c r="M95" s="19">
        <f t="shared" si="30"/>
        <v>898323</v>
      </c>
      <c r="N95" s="19">
        <f t="shared" si="30"/>
        <v>978298</v>
      </c>
      <c r="O95" s="19">
        <f t="shared" si="30"/>
        <v>901719</v>
      </c>
      <c r="P95" s="19">
        <f t="shared" si="30"/>
        <v>982050</v>
      </c>
      <c r="Q95" s="19">
        <f t="shared" si="30"/>
        <v>740139</v>
      </c>
      <c r="R95" s="19">
        <f t="shared" si="26"/>
        <v>11071675</v>
      </c>
    </row>
    <row r="96" spans="1:18" x14ac:dyDescent="0.2">
      <c r="A96" s="8" t="s">
        <v>78</v>
      </c>
      <c r="B96" s="8"/>
      <c r="C96" s="19">
        <f>+C49-C95</f>
        <v>447031</v>
      </c>
      <c r="D96" s="19">
        <f t="shared" ref="D96:Q96" si="31">+D49-D95</f>
        <v>-37708.719999999972</v>
      </c>
      <c r="E96" s="19">
        <f t="shared" si="31"/>
        <v>409322.28000000014</v>
      </c>
      <c r="F96" s="20"/>
      <c r="G96" s="19">
        <f t="shared" si="31"/>
        <v>572927</v>
      </c>
      <c r="H96" s="19">
        <f t="shared" si="31"/>
        <v>585343</v>
      </c>
      <c r="I96" s="19">
        <f t="shared" si="31"/>
        <v>482554</v>
      </c>
      <c r="J96" s="19">
        <f t="shared" si="31"/>
        <v>664341</v>
      </c>
      <c r="K96" s="19">
        <f t="shared" si="31"/>
        <v>579619</v>
      </c>
      <c r="L96" s="19">
        <f t="shared" si="31"/>
        <v>662847</v>
      </c>
      <c r="M96" s="19">
        <f t="shared" si="31"/>
        <v>591465</v>
      </c>
      <c r="N96" s="19">
        <f t="shared" si="31"/>
        <v>613496</v>
      </c>
      <c r="O96" s="19">
        <f t="shared" si="31"/>
        <v>528752</v>
      </c>
      <c r="P96" s="19">
        <f t="shared" si="31"/>
        <v>542533</v>
      </c>
      <c r="Q96" s="19">
        <f t="shared" si="31"/>
        <v>412129</v>
      </c>
      <c r="R96" s="19">
        <f t="shared" si="26"/>
        <v>6683037</v>
      </c>
    </row>
    <row r="97" spans="1:18" x14ac:dyDescent="0.2">
      <c r="A97" s="8" t="s">
        <v>79</v>
      </c>
      <c r="C97" s="8" t="s">
        <v>197</v>
      </c>
      <c r="D97" s="8"/>
      <c r="E97" s="8"/>
      <c r="F97" s="15"/>
      <c r="G97" s="8" t="s">
        <v>197</v>
      </c>
      <c r="H97" s="8" t="s">
        <v>197</v>
      </c>
      <c r="I97" s="8" t="s">
        <v>197</v>
      </c>
      <c r="J97" s="8" t="s">
        <v>197</v>
      </c>
      <c r="K97" s="8" t="s">
        <v>197</v>
      </c>
      <c r="L97" s="8" t="s">
        <v>197</v>
      </c>
      <c r="M97" s="8" t="s">
        <v>197</v>
      </c>
      <c r="N97" s="8" t="s">
        <v>197</v>
      </c>
      <c r="O97" s="8" t="s">
        <v>197</v>
      </c>
      <c r="P97" s="8" t="s">
        <v>197</v>
      </c>
      <c r="Q97" s="8" t="s">
        <v>197</v>
      </c>
      <c r="R97" s="8"/>
    </row>
    <row r="98" spans="1:18" x14ac:dyDescent="0.2">
      <c r="A98" s="8" t="s">
        <v>80</v>
      </c>
      <c r="B98" s="8">
        <v>50620</v>
      </c>
      <c r="C98" s="17">
        <v>94062</v>
      </c>
      <c r="D98" s="17">
        <f>-SUMIF(Sheet1!A:A,B98,Sheet1!Z:Z)</f>
        <v>-19385.559999999998</v>
      </c>
      <c r="E98" s="17">
        <f t="shared" si="27"/>
        <v>74676.44</v>
      </c>
      <c r="F98" s="21">
        <v>5</v>
      </c>
      <c r="G98" s="17">
        <v>64936</v>
      </c>
      <c r="H98" s="17">
        <v>80302</v>
      </c>
      <c r="I98" s="17">
        <v>78635</v>
      </c>
      <c r="J98" s="17">
        <v>82923</v>
      </c>
      <c r="K98" s="17">
        <v>85888</v>
      </c>
      <c r="L98" s="17">
        <v>84183</v>
      </c>
      <c r="M98" s="17">
        <v>89318</v>
      </c>
      <c r="N98" s="17">
        <v>87426</v>
      </c>
      <c r="O98" s="17">
        <v>105843</v>
      </c>
      <c r="P98" s="17">
        <v>93422</v>
      </c>
      <c r="Q98" s="17">
        <v>103218</v>
      </c>
      <c r="R98" s="17">
        <f t="shared" si="26"/>
        <v>1050156</v>
      </c>
    </row>
    <row r="99" spans="1:18" x14ac:dyDescent="0.2">
      <c r="A99" s="8" t="s">
        <v>81</v>
      </c>
      <c r="B99" s="8">
        <v>50720</v>
      </c>
      <c r="C99" s="17">
        <v>7276</v>
      </c>
      <c r="D99" s="17">
        <f>-SUMIF(Sheet1!A:A,B99,Sheet1!Z:Z)</f>
        <v>-3123.99</v>
      </c>
      <c r="E99" s="17">
        <f t="shared" si="27"/>
        <v>4152.01</v>
      </c>
      <c r="F99" s="21">
        <v>5</v>
      </c>
      <c r="G99" s="17">
        <v>3179</v>
      </c>
      <c r="H99" s="17">
        <v>5755</v>
      </c>
      <c r="I99" s="17">
        <v>7387</v>
      </c>
      <c r="J99" s="17">
        <v>9047</v>
      </c>
      <c r="K99" s="17">
        <v>8355</v>
      </c>
      <c r="L99" s="17">
        <v>8615</v>
      </c>
      <c r="M99" s="17">
        <v>9087</v>
      </c>
      <c r="N99" s="17">
        <v>7821</v>
      </c>
      <c r="O99" s="17">
        <v>9377</v>
      </c>
      <c r="P99" s="17">
        <v>10722</v>
      </c>
      <c r="Q99" s="17">
        <v>13354</v>
      </c>
      <c r="R99" s="17">
        <f t="shared" si="26"/>
        <v>99975</v>
      </c>
    </row>
    <row r="100" spans="1:18" x14ac:dyDescent="0.2">
      <c r="A100" s="8" t="s">
        <v>82</v>
      </c>
      <c r="B100" s="8">
        <v>50821</v>
      </c>
      <c r="C100" s="17">
        <v>2726</v>
      </c>
      <c r="D100" s="17">
        <f>-SUMIF(Sheet1!A:A,B100,Sheet1!Z:Z)</f>
        <v>-1350.25</v>
      </c>
      <c r="E100" s="17">
        <f t="shared" si="27"/>
        <v>1375.75</v>
      </c>
      <c r="F100" s="21">
        <v>5</v>
      </c>
      <c r="G100" s="17">
        <v>992</v>
      </c>
      <c r="H100" s="17">
        <v>1395</v>
      </c>
      <c r="I100" s="17">
        <v>1598</v>
      </c>
      <c r="J100" s="17">
        <v>1702</v>
      </c>
      <c r="K100" s="17">
        <v>2310</v>
      </c>
      <c r="L100" s="17">
        <v>1642</v>
      </c>
      <c r="M100" s="17">
        <v>1720</v>
      </c>
      <c r="N100" s="17">
        <v>1411</v>
      </c>
      <c r="O100" s="17">
        <v>1542</v>
      </c>
      <c r="P100" s="17">
        <v>2748</v>
      </c>
      <c r="Q100" s="17">
        <v>2039</v>
      </c>
      <c r="R100" s="17">
        <f t="shared" si="26"/>
        <v>21825</v>
      </c>
    </row>
    <row r="101" spans="1:18" x14ac:dyDescent="0.2">
      <c r="A101" s="8" t="s">
        <v>83</v>
      </c>
      <c r="B101" s="8">
        <v>60720</v>
      </c>
      <c r="C101" s="17">
        <v>14610</v>
      </c>
      <c r="D101" s="17">
        <f>-SUMIF(Sheet1!A:A,B101,Sheet1!Z:Z)</f>
        <v>0</v>
      </c>
      <c r="E101" s="17">
        <f t="shared" si="27"/>
        <v>14610</v>
      </c>
      <c r="G101" s="17">
        <v>5205</v>
      </c>
      <c r="H101" s="17">
        <v>5985</v>
      </c>
      <c r="I101" s="17">
        <v>6485</v>
      </c>
      <c r="J101" s="17">
        <v>6018</v>
      </c>
      <c r="K101" s="17">
        <v>5287</v>
      </c>
      <c r="L101" s="17">
        <v>5889</v>
      </c>
      <c r="M101" s="17">
        <v>6170</v>
      </c>
      <c r="N101" s="17">
        <v>5504</v>
      </c>
      <c r="O101" s="17">
        <v>5485</v>
      </c>
      <c r="P101" s="17">
        <v>5550</v>
      </c>
      <c r="Q101" s="17">
        <v>6527</v>
      </c>
      <c r="R101" s="17">
        <f t="shared" si="26"/>
        <v>78715</v>
      </c>
    </row>
    <row r="102" spans="1:18" x14ac:dyDescent="0.2">
      <c r="A102" s="8" t="s">
        <v>84</v>
      </c>
      <c r="B102" s="8">
        <v>50625</v>
      </c>
      <c r="C102" s="17">
        <v>-98714</v>
      </c>
      <c r="D102" s="17">
        <f>-SUMIF(Sheet1!A:A,B102,Sheet1!Z:Z)</f>
        <v>119819.43000000001</v>
      </c>
      <c r="E102" s="17">
        <f t="shared" si="27"/>
        <v>21105.430000000008</v>
      </c>
      <c r="F102" s="21">
        <v>5</v>
      </c>
      <c r="G102" s="17">
        <v>28922</v>
      </c>
      <c r="H102" s="17">
        <v>95619</v>
      </c>
      <c r="I102" s="17">
        <v>45377</v>
      </c>
      <c r="J102" s="17">
        <v>37471</v>
      </c>
      <c r="K102" s="17">
        <v>36838</v>
      </c>
      <c r="L102" s="17">
        <v>18451</v>
      </c>
      <c r="M102" s="17">
        <v>21832</v>
      </c>
      <c r="N102" s="17">
        <v>17506</v>
      </c>
      <c r="O102" s="17">
        <v>13387</v>
      </c>
      <c r="P102" s="17">
        <v>47159</v>
      </c>
      <c r="Q102" s="17">
        <v>42691</v>
      </c>
      <c r="R102" s="17">
        <f t="shared" si="26"/>
        <v>306539</v>
      </c>
    </row>
    <row r="103" spans="1:18" x14ac:dyDescent="0.2">
      <c r="A103" s="8" t="s">
        <v>85</v>
      </c>
      <c r="B103" s="8">
        <v>50655</v>
      </c>
      <c r="C103" s="17">
        <v>11115</v>
      </c>
      <c r="D103" s="17">
        <f>-SUMIF(Sheet1!A:A,B103,Sheet1!Z:Z)</f>
        <v>0</v>
      </c>
      <c r="E103" s="17">
        <f t="shared" si="27"/>
        <v>11115</v>
      </c>
      <c r="F103" s="15"/>
      <c r="G103" s="17">
        <v>8395</v>
      </c>
      <c r="H103" s="17">
        <v>8534</v>
      </c>
      <c r="I103" s="17">
        <v>8113</v>
      </c>
      <c r="J103" s="17">
        <v>8707</v>
      </c>
      <c r="K103" s="17">
        <v>8461</v>
      </c>
      <c r="L103" s="17">
        <v>10790</v>
      </c>
      <c r="M103" s="17">
        <v>8383</v>
      </c>
      <c r="N103" s="17">
        <v>8376</v>
      </c>
      <c r="O103" s="17">
        <v>9410</v>
      </c>
      <c r="P103" s="17">
        <v>6641</v>
      </c>
      <c r="Q103" s="17">
        <v>6976</v>
      </c>
      <c r="R103" s="17">
        <f t="shared" si="26"/>
        <v>103901</v>
      </c>
    </row>
    <row r="104" spans="1:18" x14ac:dyDescent="0.2">
      <c r="A104" s="8" t="s">
        <v>79</v>
      </c>
      <c r="B104" s="8"/>
      <c r="C104" s="19">
        <f>SUM(C98:C103)</f>
        <v>31075</v>
      </c>
      <c r="D104" s="19">
        <f t="shared" ref="D104:Q104" si="32">SUM(D98:D103)</f>
        <v>95959.63</v>
      </c>
      <c r="E104" s="19">
        <f t="shared" si="32"/>
        <v>127034.63</v>
      </c>
      <c r="F104" s="20"/>
      <c r="G104" s="19">
        <f t="shared" si="32"/>
        <v>111629</v>
      </c>
      <c r="H104" s="19">
        <f t="shared" si="32"/>
        <v>197590</v>
      </c>
      <c r="I104" s="19">
        <f t="shared" si="32"/>
        <v>147595</v>
      </c>
      <c r="J104" s="19">
        <f t="shared" si="32"/>
        <v>145868</v>
      </c>
      <c r="K104" s="19">
        <f t="shared" si="32"/>
        <v>147139</v>
      </c>
      <c r="L104" s="19">
        <f t="shared" si="32"/>
        <v>129570</v>
      </c>
      <c r="M104" s="19">
        <f t="shared" si="32"/>
        <v>136510</v>
      </c>
      <c r="N104" s="19">
        <f t="shared" si="32"/>
        <v>128044</v>
      </c>
      <c r="O104" s="19">
        <f t="shared" si="32"/>
        <v>145044</v>
      </c>
      <c r="P104" s="19">
        <f t="shared" si="32"/>
        <v>166242</v>
      </c>
      <c r="Q104" s="19">
        <f t="shared" si="32"/>
        <v>174805</v>
      </c>
      <c r="R104" s="19">
        <f t="shared" si="26"/>
        <v>1661111</v>
      </c>
    </row>
    <row r="105" spans="1:18" x14ac:dyDescent="0.2">
      <c r="A105" s="8" t="s">
        <v>86</v>
      </c>
      <c r="B105" s="8"/>
      <c r="C105" s="8" t="s">
        <v>197</v>
      </c>
      <c r="D105" s="8"/>
      <c r="E105" s="8"/>
      <c r="F105" s="15"/>
      <c r="G105" s="8" t="s">
        <v>197</v>
      </c>
      <c r="H105" s="8" t="s">
        <v>197</v>
      </c>
      <c r="I105" s="8" t="s">
        <v>197</v>
      </c>
      <c r="J105" s="8" t="s">
        <v>197</v>
      </c>
      <c r="K105" s="8" t="s">
        <v>197</v>
      </c>
      <c r="L105" s="8" t="s">
        <v>197</v>
      </c>
      <c r="M105" s="8" t="s">
        <v>197</v>
      </c>
      <c r="N105" s="8" t="s">
        <v>197</v>
      </c>
      <c r="O105" s="8" t="s">
        <v>197</v>
      </c>
      <c r="P105" s="8" t="s">
        <v>197</v>
      </c>
      <c r="Q105" s="8" t="s">
        <v>197</v>
      </c>
      <c r="R105" s="8"/>
    </row>
    <row r="106" spans="1:18" x14ac:dyDescent="0.2">
      <c r="A106" s="8" t="s">
        <v>87</v>
      </c>
      <c r="B106" s="8"/>
      <c r="C106" s="8" t="s">
        <v>198</v>
      </c>
      <c r="D106" s="8"/>
      <c r="E106" s="8"/>
      <c r="F106" s="9"/>
      <c r="G106" s="8" t="s">
        <v>198</v>
      </c>
      <c r="H106" s="8" t="s">
        <v>198</v>
      </c>
      <c r="I106" s="8" t="s">
        <v>198</v>
      </c>
      <c r="J106" s="8" t="s">
        <v>198</v>
      </c>
      <c r="K106" s="8" t="s">
        <v>198</v>
      </c>
      <c r="L106" s="8" t="s">
        <v>198</v>
      </c>
      <c r="M106" s="8" t="s">
        <v>198</v>
      </c>
      <c r="N106" s="8" t="s">
        <v>198</v>
      </c>
      <c r="O106" s="8" t="s">
        <v>198</v>
      </c>
      <c r="P106" s="8" t="s">
        <v>198</v>
      </c>
      <c r="Q106" s="8" t="s">
        <v>198</v>
      </c>
      <c r="R106" s="8"/>
    </row>
    <row r="107" spans="1:18" x14ac:dyDescent="0.2">
      <c r="A107" s="8" t="s">
        <v>88</v>
      </c>
      <c r="B107" s="8">
        <v>50600</v>
      </c>
      <c r="C107" s="17">
        <v>-18934</v>
      </c>
      <c r="D107" s="17">
        <f>-SUMIF(Sheet1!A:A,B107,Sheet1!Z:Z)</f>
        <v>52428.719999999994</v>
      </c>
      <c r="E107" s="17">
        <f t="shared" si="27"/>
        <v>33494.719999999994</v>
      </c>
      <c r="F107" s="21">
        <v>5</v>
      </c>
      <c r="G107" s="17">
        <v>29126</v>
      </c>
      <c r="H107" s="17">
        <v>43111</v>
      </c>
      <c r="I107" s="17">
        <v>47859</v>
      </c>
      <c r="J107" s="17">
        <v>47179</v>
      </c>
      <c r="K107" s="17">
        <v>58518</v>
      </c>
      <c r="L107" s="17">
        <v>51373</v>
      </c>
      <c r="M107" s="17">
        <v>53863</v>
      </c>
      <c r="N107" s="17">
        <v>53803</v>
      </c>
      <c r="O107" s="17">
        <v>56593</v>
      </c>
      <c r="P107" s="17">
        <v>75542</v>
      </c>
      <c r="Q107" s="17">
        <v>64242</v>
      </c>
      <c r="R107" s="17">
        <f t="shared" si="26"/>
        <v>562275</v>
      </c>
    </row>
    <row r="108" spans="1:18" x14ac:dyDescent="0.2">
      <c r="A108" s="8" t="s">
        <v>89</v>
      </c>
      <c r="B108" s="8">
        <v>50650</v>
      </c>
      <c r="C108" s="17">
        <v>6332</v>
      </c>
      <c r="D108" s="17">
        <f>-SUMIF(Sheet1!A:A,B108,Sheet1!Z:Z)</f>
        <v>0</v>
      </c>
      <c r="E108" s="17">
        <f t="shared" si="27"/>
        <v>6332</v>
      </c>
      <c r="F108" s="18"/>
      <c r="G108" s="17">
        <v>5768</v>
      </c>
      <c r="H108" s="17">
        <v>6083</v>
      </c>
      <c r="I108" s="17">
        <v>5754</v>
      </c>
      <c r="J108" s="17">
        <v>5317</v>
      </c>
      <c r="K108" s="17">
        <v>5280</v>
      </c>
      <c r="L108" s="17">
        <v>5319</v>
      </c>
      <c r="M108" s="17">
        <v>3659</v>
      </c>
      <c r="N108" s="17">
        <v>3818</v>
      </c>
      <c r="O108" s="17">
        <v>3376</v>
      </c>
      <c r="P108" s="17">
        <v>3531</v>
      </c>
      <c r="Q108" s="17">
        <v>3946</v>
      </c>
      <c r="R108" s="17">
        <f t="shared" si="26"/>
        <v>58183</v>
      </c>
    </row>
    <row r="109" spans="1:18" x14ac:dyDescent="0.2">
      <c r="A109" s="8" t="s">
        <v>90</v>
      </c>
      <c r="B109" s="8">
        <v>50801</v>
      </c>
      <c r="C109" s="17">
        <v>-393</v>
      </c>
      <c r="D109" s="17">
        <f>-SUMIF(Sheet1!A:A,B109,Sheet1!Z:Z)</f>
        <v>1198.8200000000002</v>
      </c>
      <c r="E109" s="17">
        <f t="shared" si="27"/>
        <v>805.82000000000016</v>
      </c>
      <c r="F109" s="21">
        <v>5</v>
      </c>
      <c r="G109" s="17">
        <v>701</v>
      </c>
      <c r="H109" s="17">
        <v>805</v>
      </c>
      <c r="I109" s="17">
        <v>1246</v>
      </c>
      <c r="J109" s="17">
        <v>1173</v>
      </c>
      <c r="K109" s="17">
        <v>1235</v>
      </c>
      <c r="L109" s="17">
        <v>1360</v>
      </c>
      <c r="M109" s="17">
        <v>1425</v>
      </c>
      <c r="N109" s="17">
        <v>1257</v>
      </c>
      <c r="O109" s="17">
        <v>1258</v>
      </c>
      <c r="P109" s="17">
        <v>1915</v>
      </c>
      <c r="Q109" s="17">
        <v>1610</v>
      </c>
      <c r="R109" s="17">
        <f t="shared" si="26"/>
        <v>13592</v>
      </c>
    </row>
    <row r="110" spans="1:18" x14ac:dyDescent="0.2">
      <c r="A110" s="8" t="s">
        <v>91</v>
      </c>
      <c r="B110" s="8">
        <v>50850</v>
      </c>
      <c r="C110" s="17">
        <v>-1230</v>
      </c>
      <c r="D110" s="17">
        <f>-SUMIF(Sheet1!A:A,B110,Sheet1!Z:Z)</f>
        <v>1230</v>
      </c>
      <c r="E110" s="17">
        <f t="shared" si="27"/>
        <v>0</v>
      </c>
      <c r="F110" s="21">
        <v>5</v>
      </c>
      <c r="G110" s="17">
        <v>0</v>
      </c>
      <c r="H110" s="17">
        <v>0</v>
      </c>
      <c r="I110" s="17">
        <v>0</v>
      </c>
      <c r="J110" s="17">
        <v>1250</v>
      </c>
      <c r="K110" s="17">
        <v>0</v>
      </c>
      <c r="L110" s="17">
        <v>0</v>
      </c>
      <c r="M110" s="17">
        <v>0</v>
      </c>
      <c r="N110" s="17">
        <v>1300</v>
      </c>
      <c r="O110" s="17">
        <v>-1300</v>
      </c>
      <c r="P110" s="17">
        <v>0</v>
      </c>
      <c r="Q110" s="17">
        <v>-20</v>
      </c>
      <c r="R110" s="17">
        <f t="shared" si="26"/>
        <v>0</v>
      </c>
    </row>
    <row r="111" spans="1:18" x14ac:dyDescent="0.2">
      <c r="A111" s="8" t="s">
        <v>92</v>
      </c>
      <c r="B111" s="8">
        <v>60190</v>
      </c>
      <c r="C111" s="17">
        <v>-800</v>
      </c>
      <c r="D111" s="17">
        <f>-SUMIF(Sheet1!A:A,B111,Sheet1!Z:Z)</f>
        <v>2146</v>
      </c>
      <c r="E111" s="17">
        <f t="shared" si="27"/>
        <v>1346</v>
      </c>
      <c r="F111" s="21">
        <v>5</v>
      </c>
      <c r="G111" s="17">
        <v>200</v>
      </c>
      <c r="H111" s="17">
        <v>400</v>
      </c>
      <c r="I111" s="17">
        <v>200</v>
      </c>
      <c r="J111" s="17"/>
      <c r="K111" s="17"/>
      <c r="L111" s="17"/>
      <c r="M111" s="17"/>
      <c r="N111" s="17"/>
      <c r="O111" s="17"/>
      <c r="P111" s="17"/>
      <c r="Q111" s="17"/>
      <c r="R111" s="17">
        <f t="shared" si="26"/>
        <v>0</v>
      </c>
    </row>
    <row r="112" spans="1:18" x14ac:dyDescent="0.2">
      <c r="A112" s="8" t="s">
        <v>93</v>
      </c>
      <c r="B112" s="8">
        <v>61350</v>
      </c>
      <c r="C112" s="17">
        <v>68330</v>
      </c>
      <c r="D112" s="17">
        <f>-SUMIF(Sheet1!A:A,B112,Sheet1!Z:Z)</f>
        <v>-57289.760000000002</v>
      </c>
      <c r="E112" s="17">
        <f t="shared" si="27"/>
        <v>11040.239999999998</v>
      </c>
      <c r="F112" s="21">
        <v>5</v>
      </c>
      <c r="G112" s="17">
        <v>9600</v>
      </c>
      <c r="H112" s="17">
        <v>11040</v>
      </c>
      <c r="I112" s="17">
        <v>10560</v>
      </c>
      <c r="J112" s="17">
        <v>10080</v>
      </c>
      <c r="K112" s="17">
        <v>11037</v>
      </c>
      <c r="L112" s="17">
        <v>10083</v>
      </c>
      <c r="M112" s="17">
        <v>10560</v>
      </c>
      <c r="N112" s="17">
        <v>10560</v>
      </c>
      <c r="O112" s="17">
        <v>11109</v>
      </c>
      <c r="P112" s="17">
        <v>9942</v>
      </c>
      <c r="Q112" s="17">
        <v>10629</v>
      </c>
      <c r="R112" s="17">
        <f t="shared" si="26"/>
        <v>183530</v>
      </c>
    </row>
    <row r="113" spans="1:18" x14ac:dyDescent="0.2">
      <c r="A113" s="8" t="s">
        <v>94</v>
      </c>
      <c r="B113" s="8">
        <v>50700</v>
      </c>
      <c r="C113" s="17">
        <v>-11753</v>
      </c>
      <c r="D113" s="17">
        <f>-SUMIF(Sheet1!A:A,B113,Sheet1!Z:Z)</f>
        <v>14574.83</v>
      </c>
      <c r="E113" s="17">
        <f t="shared" si="27"/>
        <v>2821.83</v>
      </c>
      <c r="F113" s="21">
        <v>5</v>
      </c>
      <c r="G113" s="17">
        <v>2885</v>
      </c>
      <c r="H113" s="17">
        <v>4053</v>
      </c>
      <c r="I113" s="17">
        <v>4395</v>
      </c>
      <c r="J113" s="17">
        <v>4308</v>
      </c>
      <c r="K113" s="17">
        <v>4785</v>
      </c>
      <c r="L113" s="17">
        <v>5062</v>
      </c>
      <c r="M113" s="17">
        <v>5344</v>
      </c>
      <c r="N113" s="17">
        <v>4710</v>
      </c>
      <c r="O113" s="17">
        <v>5467</v>
      </c>
      <c r="P113" s="17">
        <v>7249</v>
      </c>
      <c r="Q113" s="17">
        <v>7581</v>
      </c>
      <c r="R113" s="17">
        <f t="shared" si="26"/>
        <v>44086</v>
      </c>
    </row>
    <row r="114" spans="1:18" x14ac:dyDescent="0.2">
      <c r="A114" s="8" t="s">
        <v>95</v>
      </c>
      <c r="B114" s="8">
        <v>60700</v>
      </c>
      <c r="C114" s="17">
        <v>29772</v>
      </c>
      <c r="D114" s="17">
        <f>-SUMIF(Sheet1!A:A,B114,Sheet1!Z:Z)</f>
        <v>0</v>
      </c>
      <c r="E114" s="17">
        <f t="shared" si="27"/>
        <v>29772</v>
      </c>
      <c r="F114" s="18"/>
      <c r="G114" s="17">
        <v>6444</v>
      </c>
      <c r="H114" s="17">
        <v>520</v>
      </c>
      <c r="I114" s="17">
        <v>5354</v>
      </c>
      <c r="J114" s="17">
        <v>6940</v>
      </c>
      <c r="K114" s="17">
        <v>7999</v>
      </c>
      <c r="L114" s="17">
        <v>10029</v>
      </c>
      <c r="M114" s="17">
        <v>10821</v>
      </c>
      <c r="N114" s="17">
        <v>1028</v>
      </c>
      <c r="O114" s="17">
        <v>10209</v>
      </c>
      <c r="P114" s="17">
        <v>9388</v>
      </c>
      <c r="Q114" s="17">
        <v>396</v>
      </c>
      <c r="R114" s="17">
        <f t="shared" si="26"/>
        <v>98900</v>
      </c>
    </row>
    <row r="115" spans="1:18" x14ac:dyDescent="0.2">
      <c r="A115" s="8" t="s">
        <v>87</v>
      </c>
      <c r="B115" s="8"/>
      <c r="C115" s="19">
        <f>SUM(C107:C114)</f>
        <v>71324</v>
      </c>
      <c r="D115" s="19">
        <f t="shared" ref="D115:Q115" si="33">SUM(D107:D114)</f>
        <v>14288.609999999991</v>
      </c>
      <c r="E115" s="19">
        <f t="shared" si="33"/>
        <v>85612.609999999986</v>
      </c>
      <c r="F115" s="20"/>
      <c r="G115" s="19">
        <f t="shared" si="33"/>
        <v>54724</v>
      </c>
      <c r="H115" s="19">
        <f t="shared" si="33"/>
        <v>66012</v>
      </c>
      <c r="I115" s="19">
        <f t="shared" si="33"/>
        <v>75368</v>
      </c>
      <c r="J115" s="19">
        <f t="shared" si="33"/>
        <v>76247</v>
      </c>
      <c r="K115" s="19">
        <f t="shared" si="33"/>
        <v>88854</v>
      </c>
      <c r="L115" s="19">
        <f t="shared" si="33"/>
        <v>83226</v>
      </c>
      <c r="M115" s="19">
        <f t="shared" si="33"/>
        <v>85672</v>
      </c>
      <c r="N115" s="19">
        <f t="shared" si="33"/>
        <v>76476</v>
      </c>
      <c r="O115" s="19">
        <f t="shared" si="33"/>
        <v>86712</v>
      </c>
      <c r="P115" s="19">
        <f t="shared" si="33"/>
        <v>107567</v>
      </c>
      <c r="Q115" s="19">
        <f t="shared" si="33"/>
        <v>88384</v>
      </c>
      <c r="R115" s="19">
        <f t="shared" si="26"/>
        <v>960566</v>
      </c>
    </row>
    <row r="116" spans="1:18" x14ac:dyDescent="0.2">
      <c r="A116" s="8" t="s">
        <v>96</v>
      </c>
      <c r="B116" s="8"/>
      <c r="C116" s="8" t="s">
        <v>198</v>
      </c>
      <c r="D116" s="8"/>
      <c r="E116" s="8"/>
      <c r="F116" s="18"/>
      <c r="G116" s="8" t="s">
        <v>198</v>
      </c>
      <c r="H116" s="8" t="s">
        <v>198</v>
      </c>
      <c r="I116" s="8" t="s">
        <v>198</v>
      </c>
      <c r="J116" s="8" t="s">
        <v>198</v>
      </c>
      <c r="K116" s="8" t="s">
        <v>198</v>
      </c>
      <c r="L116" s="8" t="s">
        <v>198</v>
      </c>
      <c r="M116" s="8" t="s">
        <v>198</v>
      </c>
      <c r="N116" s="8" t="s">
        <v>198</v>
      </c>
      <c r="O116" s="8" t="s">
        <v>198</v>
      </c>
      <c r="P116" s="8" t="s">
        <v>198</v>
      </c>
      <c r="Q116" s="8" t="s">
        <v>198</v>
      </c>
      <c r="R116" s="8"/>
    </row>
    <row r="117" spans="1:18" x14ac:dyDescent="0.2">
      <c r="A117" s="8" t="s">
        <v>97</v>
      </c>
      <c r="B117" s="8"/>
      <c r="C117" s="8" t="s">
        <v>199</v>
      </c>
      <c r="D117" s="8"/>
      <c r="E117" s="8"/>
      <c r="F117" s="15"/>
      <c r="G117" s="8" t="s">
        <v>199</v>
      </c>
      <c r="H117" s="8" t="s">
        <v>199</v>
      </c>
      <c r="I117" s="8" t="s">
        <v>199</v>
      </c>
      <c r="J117" s="8" t="s">
        <v>199</v>
      </c>
      <c r="K117" s="8" t="s">
        <v>199</v>
      </c>
      <c r="L117" s="8" t="s">
        <v>199</v>
      </c>
      <c r="M117" s="8" t="s">
        <v>199</v>
      </c>
      <c r="N117" s="8" t="s">
        <v>199</v>
      </c>
      <c r="O117" s="8" t="s">
        <v>199</v>
      </c>
      <c r="P117" s="8" t="s">
        <v>199</v>
      </c>
      <c r="Q117" s="8" t="s">
        <v>199</v>
      </c>
      <c r="R117" s="8"/>
    </row>
    <row r="118" spans="1:18" x14ac:dyDescent="0.2">
      <c r="A118" s="8" t="s">
        <v>98</v>
      </c>
      <c r="B118" s="8">
        <v>61300</v>
      </c>
      <c r="C118" s="17">
        <v>34429</v>
      </c>
      <c r="D118" s="17">
        <f>-SUMIF(Sheet1!A:A,B118,Sheet1!Z:Z)</f>
        <v>2773.88</v>
      </c>
      <c r="E118" s="17">
        <f t="shared" si="27"/>
        <v>37202.879999999997</v>
      </c>
      <c r="F118" s="21">
        <v>7</v>
      </c>
      <c r="G118" s="17">
        <v>21808</v>
      </c>
      <c r="H118" s="17">
        <v>21807</v>
      </c>
      <c r="I118" s="17">
        <v>22043</v>
      </c>
      <c r="J118" s="17">
        <v>22611</v>
      </c>
      <c r="K118" s="17">
        <v>25846</v>
      </c>
      <c r="L118" s="17">
        <v>26366</v>
      </c>
      <c r="M118" s="17">
        <v>26296</v>
      </c>
      <c r="N118" s="17">
        <v>26301</v>
      </c>
      <c r="O118" s="17">
        <v>26216</v>
      </c>
      <c r="P118" s="17">
        <v>26216</v>
      </c>
      <c r="Q118" s="17">
        <v>26216</v>
      </c>
      <c r="R118" s="17">
        <f t="shared" si="26"/>
        <v>306155</v>
      </c>
    </row>
    <row r="119" spans="1:18" x14ac:dyDescent="0.2">
      <c r="A119" s="8" t="s">
        <v>99</v>
      </c>
      <c r="B119" s="8"/>
      <c r="C119" s="19">
        <f>+C118</f>
        <v>34429</v>
      </c>
      <c r="D119" s="19">
        <f t="shared" ref="D119:Q119" si="34">+D118</f>
        <v>2773.88</v>
      </c>
      <c r="E119" s="19">
        <f t="shared" si="34"/>
        <v>37202.879999999997</v>
      </c>
      <c r="F119" s="20"/>
      <c r="G119" s="19">
        <f t="shared" si="34"/>
        <v>21808</v>
      </c>
      <c r="H119" s="19">
        <f t="shared" si="34"/>
        <v>21807</v>
      </c>
      <c r="I119" s="19">
        <f t="shared" si="34"/>
        <v>22043</v>
      </c>
      <c r="J119" s="19">
        <f t="shared" si="34"/>
        <v>22611</v>
      </c>
      <c r="K119" s="19">
        <f t="shared" si="34"/>
        <v>25846</v>
      </c>
      <c r="L119" s="19">
        <f t="shared" si="34"/>
        <v>26366</v>
      </c>
      <c r="M119" s="19">
        <f t="shared" si="34"/>
        <v>26296</v>
      </c>
      <c r="N119" s="19">
        <f t="shared" si="34"/>
        <v>26301</v>
      </c>
      <c r="O119" s="19">
        <f t="shared" si="34"/>
        <v>26216</v>
      </c>
      <c r="P119" s="19">
        <f t="shared" si="34"/>
        <v>26216</v>
      </c>
      <c r="Q119" s="19">
        <f t="shared" si="34"/>
        <v>26216</v>
      </c>
      <c r="R119" s="19">
        <f t="shared" si="26"/>
        <v>306155</v>
      </c>
    </row>
    <row r="120" spans="1:18" x14ac:dyDescent="0.2">
      <c r="A120" s="8" t="s">
        <v>100</v>
      </c>
      <c r="B120" s="8"/>
      <c r="C120" s="8" t="s">
        <v>199</v>
      </c>
      <c r="D120" s="8"/>
      <c r="E120" s="8"/>
      <c r="F120" s="9"/>
      <c r="G120" s="8" t="s">
        <v>199</v>
      </c>
      <c r="H120" s="8" t="s">
        <v>199</v>
      </c>
      <c r="I120" s="8" t="s">
        <v>199</v>
      </c>
      <c r="J120" s="8" t="s">
        <v>199</v>
      </c>
      <c r="K120" s="8" t="s">
        <v>199</v>
      </c>
      <c r="L120" s="8" t="s">
        <v>199</v>
      </c>
      <c r="M120" s="8" t="s">
        <v>199</v>
      </c>
      <c r="N120" s="8" t="s">
        <v>199</v>
      </c>
      <c r="O120" s="8" t="s">
        <v>199</v>
      </c>
      <c r="P120" s="8" t="s">
        <v>199</v>
      </c>
      <c r="Q120" s="8" t="s">
        <v>199</v>
      </c>
      <c r="R120" s="8"/>
    </row>
    <row r="121" spans="1:18" x14ac:dyDescent="0.2">
      <c r="A121" s="8" t="s">
        <v>101</v>
      </c>
      <c r="B121" s="8">
        <v>61800</v>
      </c>
      <c r="C121" s="17">
        <v>726</v>
      </c>
      <c r="D121" s="17">
        <f>-SUMIF(Sheet1!A:A,B121,Sheet1!Z:Z)</f>
        <v>0</v>
      </c>
      <c r="E121" s="17">
        <f t="shared" si="27"/>
        <v>726</v>
      </c>
      <c r="G121" s="17">
        <v>0</v>
      </c>
      <c r="H121" s="17">
        <v>200</v>
      </c>
      <c r="I121" s="17">
        <v>1143</v>
      </c>
      <c r="J121" s="17">
        <v>3821</v>
      </c>
      <c r="K121" s="17">
        <v>100</v>
      </c>
      <c r="L121" s="17">
        <v>229</v>
      </c>
      <c r="M121" s="17">
        <v>100</v>
      </c>
      <c r="N121" s="17">
        <v>697</v>
      </c>
      <c r="O121" s="17">
        <v>19286</v>
      </c>
      <c r="P121" s="17">
        <v>1117</v>
      </c>
      <c r="Q121" s="17">
        <v>299</v>
      </c>
      <c r="R121" s="17">
        <f t="shared" si="26"/>
        <v>27718</v>
      </c>
    </row>
    <row r="122" spans="1:18" x14ac:dyDescent="0.2">
      <c r="A122" s="8" t="s">
        <v>102</v>
      </c>
      <c r="B122" s="8"/>
      <c r="C122" s="19">
        <f>+C121</f>
        <v>726</v>
      </c>
      <c r="D122" s="19">
        <f t="shared" ref="D122:Q122" si="35">+D121</f>
        <v>0</v>
      </c>
      <c r="E122" s="19">
        <f t="shared" si="35"/>
        <v>726</v>
      </c>
      <c r="F122" s="20"/>
      <c r="G122" s="19">
        <f t="shared" si="35"/>
        <v>0</v>
      </c>
      <c r="H122" s="19">
        <f t="shared" si="35"/>
        <v>200</v>
      </c>
      <c r="I122" s="19">
        <f t="shared" si="35"/>
        <v>1143</v>
      </c>
      <c r="J122" s="19">
        <f t="shared" si="35"/>
        <v>3821</v>
      </c>
      <c r="K122" s="19">
        <f t="shared" si="35"/>
        <v>100</v>
      </c>
      <c r="L122" s="19">
        <f t="shared" si="35"/>
        <v>229</v>
      </c>
      <c r="M122" s="19">
        <f t="shared" si="35"/>
        <v>100</v>
      </c>
      <c r="N122" s="19">
        <f t="shared" si="35"/>
        <v>697</v>
      </c>
      <c r="O122" s="19">
        <f t="shared" si="35"/>
        <v>19286</v>
      </c>
      <c r="P122" s="19">
        <f t="shared" si="35"/>
        <v>1117</v>
      </c>
      <c r="Q122" s="19">
        <f t="shared" si="35"/>
        <v>299</v>
      </c>
      <c r="R122" s="19">
        <f t="shared" si="26"/>
        <v>27718</v>
      </c>
    </row>
    <row r="123" spans="1:18" x14ac:dyDescent="0.2">
      <c r="A123" s="8" t="s">
        <v>103</v>
      </c>
      <c r="B123" s="8"/>
      <c r="C123" s="8" t="s">
        <v>199</v>
      </c>
      <c r="D123" s="8"/>
      <c r="E123" s="8"/>
      <c r="F123" s="15"/>
      <c r="G123" s="8" t="s">
        <v>199</v>
      </c>
      <c r="H123" s="8" t="s">
        <v>199</v>
      </c>
      <c r="I123" s="8" t="s">
        <v>199</v>
      </c>
      <c r="J123" s="8" t="s">
        <v>199</v>
      </c>
      <c r="K123" s="8" t="s">
        <v>199</v>
      </c>
      <c r="L123" s="8" t="s">
        <v>199</v>
      </c>
      <c r="M123" s="8" t="s">
        <v>199</v>
      </c>
      <c r="N123" s="8" t="s">
        <v>199</v>
      </c>
      <c r="O123" s="8" t="s">
        <v>199</v>
      </c>
      <c r="P123" s="8" t="s">
        <v>199</v>
      </c>
      <c r="Q123" s="8" t="s">
        <v>199</v>
      </c>
      <c r="R123" s="8"/>
    </row>
    <row r="124" spans="1:18" x14ac:dyDescent="0.2">
      <c r="A124" s="8" t="s">
        <v>104</v>
      </c>
      <c r="B124" s="8">
        <v>62200</v>
      </c>
      <c r="C124" s="17">
        <v>11207</v>
      </c>
      <c r="D124" s="17">
        <f>-SUMIF(Sheet1!A:A,B124,Sheet1!Z:Z)</f>
        <v>0</v>
      </c>
      <c r="E124" s="17">
        <f t="shared" si="27"/>
        <v>11207</v>
      </c>
      <c r="F124" s="18"/>
      <c r="G124" s="17">
        <v>22286</v>
      </c>
      <c r="H124" s="17">
        <v>10582</v>
      </c>
      <c r="I124" s="17">
        <v>9026</v>
      </c>
      <c r="J124" s="17">
        <v>16571</v>
      </c>
      <c r="K124" s="17">
        <v>11227</v>
      </c>
      <c r="L124" s="17">
        <v>12067</v>
      </c>
      <c r="M124" s="17">
        <v>11844</v>
      </c>
      <c r="N124" s="17">
        <v>12647</v>
      </c>
      <c r="O124" s="17">
        <v>12877</v>
      </c>
      <c r="P124" s="17">
        <v>13010</v>
      </c>
      <c r="Q124" s="17">
        <v>13535</v>
      </c>
      <c r="R124" s="17">
        <f t="shared" si="26"/>
        <v>156879</v>
      </c>
    </row>
    <row r="125" spans="1:18" x14ac:dyDescent="0.2">
      <c r="A125" s="8" t="s">
        <v>105</v>
      </c>
      <c r="B125" s="8">
        <v>62300</v>
      </c>
      <c r="C125" s="17">
        <v>350</v>
      </c>
      <c r="D125" s="17">
        <f>-SUMIF(Sheet1!A:A,B125,Sheet1!Z:Z)</f>
        <v>0</v>
      </c>
      <c r="E125" s="17">
        <f t="shared" si="27"/>
        <v>350</v>
      </c>
      <c r="F125" s="15"/>
      <c r="G125" s="17">
        <v>350</v>
      </c>
      <c r="H125" s="17">
        <v>350</v>
      </c>
      <c r="I125" s="17">
        <v>350</v>
      </c>
      <c r="J125" s="17">
        <v>350</v>
      </c>
      <c r="K125" s="17">
        <v>2142</v>
      </c>
      <c r="L125" s="17"/>
      <c r="M125" s="17"/>
      <c r="N125" s="17"/>
      <c r="O125" s="17"/>
      <c r="P125" s="17"/>
      <c r="Q125" s="17"/>
      <c r="R125" s="17">
        <f t="shared" si="26"/>
        <v>3892</v>
      </c>
    </row>
    <row r="126" spans="1:18" x14ac:dyDescent="0.2">
      <c r="A126" s="8" t="s">
        <v>106</v>
      </c>
      <c r="B126" s="8"/>
      <c r="C126" s="19">
        <f>+C124+C125</f>
        <v>11557</v>
      </c>
      <c r="D126" s="19">
        <f t="shared" ref="D126:Q126" si="36">+D124+D125</f>
        <v>0</v>
      </c>
      <c r="E126" s="19">
        <f t="shared" si="36"/>
        <v>11557</v>
      </c>
      <c r="F126" s="20"/>
      <c r="G126" s="19">
        <f t="shared" si="36"/>
        <v>22636</v>
      </c>
      <c r="H126" s="19">
        <f t="shared" si="36"/>
        <v>10932</v>
      </c>
      <c r="I126" s="19">
        <f t="shared" si="36"/>
        <v>9376</v>
      </c>
      <c r="J126" s="19">
        <f t="shared" si="36"/>
        <v>16921</v>
      </c>
      <c r="K126" s="19">
        <f t="shared" si="36"/>
        <v>13369</v>
      </c>
      <c r="L126" s="19">
        <f t="shared" si="36"/>
        <v>12067</v>
      </c>
      <c r="M126" s="19">
        <f t="shared" si="36"/>
        <v>11844</v>
      </c>
      <c r="N126" s="19">
        <f t="shared" si="36"/>
        <v>12647</v>
      </c>
      <c r="O126" s="19">
        <f t="shared" si="36"/>
        <v>12877</v>
      </c>
      <c r="P126" s="19">
        <f t="shared" si="36"/>
        <v>13010</v>
      </c>
      <c r="Q126" s="19">
        <f t="shared" si="36"/>
        <v>13535</v>
      </c>
      <c r="R126" s="19">
        <f t="shared" si="26"/>
        <v>160771</v>
      </c>
    </row>
    <row r="127" spans="1:18" x14ac:dyDescent="0.2">
      <c r="A127" s="8" t="s">
        <v>96</v>
      </c>
      <c r="B127" s="8"/>
      <c r="C127" s="19">
        <f>+C119+C122+C126</f>
        <v>46712</v>
      </c>
      <c r="D127" s="19">
        <f t="shared" ref="D127:Q127" si="37">+D119+D122+D126</f>
        <v>2773.88</v>
      </c>
      <c r="E127" s="19">
        <f t="shared" si="37"/>
        <v>49485.88</v>
      </c>
      <c r="F127" s="20"/>
      <c r="G127" s="19">
        <f t="shared" si="37"/>
        <v>44444</v>
      </c>
      <c r="H127" s="19">
        <f t="shared" si="37"/>
        <v>32939</v>
      </c>
      <c r="I127" s="19">
        <f t="shared" si="37"/>
        <v>32562</v>
      </c>
      <c r="J127" s="19">
        <f t="shared" si="37"/>
        <v>43353</v>
      </c>
      <c r="K127" s="19">
        <f t="shared" si="37"/>
        <v>39315</v>
      </c>
      <c r="L127" s="19">
        <f t="shared" si="37"/>
        <v>38662</v>
      </c>
      <c r="M127" s="19">
        <f t="shared" si="37"/>
        <v>38240</v>
      </c>
      <c r="N127" s="19">
        <f t="shared" si="37"/>
        <v>39645</v>
      </c>
      <c r="O127" s="19">
        <f t="shared" si="37"/>
        <v>58379</v>
      </c>
      <c r="P127" s="19">
        <f t="shared" si="37"/>
        <v>40343</v>
      </c>
      <c r="Q127" s="19">
        <f t="shared" si="37"/>
        <v>40050</v>
      </c>
      <c r="R127" s="19">
        <f t="shared" si="26"/>
        <v>494644</v>
      </c>
    </row>
    <row r="128" spans="1:18" x14ac:dyDescent="0.2">
      <c r="A128" s="8" t="s">
        <v>107</v>
      </c>
      <c r="B128" s="8"/>
      <c r="C128" s="8" t="s">
        <v>198</v>
      </c>
      <c r="D128" s="8"/>
      <c r="E128" s="8"/>
      <c r="F128" s="9"/>
      <c r="G128" s="8" t="s">
        <v>198</v>
      </c>
      <c r="H128" s="8" t="s">
        <v>198</v>
      </c>
      <c r="I128" s="8" t="s">
        <v>198</v>
      </c>
      <c r="J128" s="8" t="s">
        <v>198</v>
      </c>
      <c r="K128" s="8" t="s">
        <v>198</v>
      </c>
      <c r="L128" s="8" t="s">
        <v>198</v>
      </c>
      <c r="M128" s="8" t="s">
        <v>198</v>
      </c>
      <c r="N128" s="8" t="s">
        <v>198</v>
      </c>
      <c r="O128" s="8" t="s">
        <v>198</v>
      </c>
      <c r="P128" s="8" t="s">
        <v>198</v>
      </c>
      <c r="Q128" s="8" t="s">
        <v>198</v>
      </c>
      <c r="R128" s="8"/>
    </row>
    <row r="129" spans="1:18" x14ac:dyDescent="0.2">
      <c r="A129" s="8" t="s">
        <v>108</v>
      </c>
      <c r="B129" s="8"/>
      <c r="C129" s="8" t="s">
        <v>199</v>
      </c>
      <c r="D129" s="8"/>
      <c r="E129" s="8"/>
      <c r="F129" s="18"/>
      <c r="G129" s="8" t="s">
        <v>199</v>
      </c>
      <c r="H129" s="8" t="s">
        <v>199</v>
      </c>
      <c r="I129" s="8" t="s">
        <v>199</v>
      </c>
      <c r="J129" s="8" t="s">
        <v>199</v>
      </c>
      <c r="K129" s="8" t="s">
        <v>199</v>
      </c>
      <c r="L129" s="8" t="s">
        <v>199</v>
      </c>
      <c r="M129" s="8" t="s">
        <v>199</v>
      </c>
      <c r="N129" s="8" t="s">
        <v>199</v>
      </c>
      <c r="O129" s="8" t="s">
        <v>199</v>
      </c>
      <c r="P129" s="8" t="s">
        <v>199</v>
      </c>
      <c r="Q129" s="8" t="s">
        <v>199</v>
      </c>
      <c r="R129" s="8"/>
    </row>
    <row r="130" spans="1:18" x14ac:dyDescent="0.2">
      <c r="A130" s="8" t="s">
        <v>109</v>
      </c>
      <c r="B130" s="8">
        <v>61250</v>
      </c>
      <c r="C130" s="17">
        <v>79809</v>
      </c>
      <c r="D130" s="17">
        <f>-SUMIF(Sheet1!A:A,B130,Sheet1!Z:Z)</f>
        <v>-14792.810000000001</v>
      </c>
      <c r="E130" s="17">
        <f t="shared" si="27"/>
        <v>65016.19</v>
      </c>
      <c r="F130" s="21" t="s">
        <v>321</v>
      </c>
      <c r="G130" s="17">
        <v>43016</v>
      </c>
      <c r="H130" s="17">
        <v>35972</v>
      </c>
      <c r="I130" s="17">
        <v>40748</v>
      </c>
      <c r="J130" s="17">
        <v>31004</v>
      </c>
      <c r="K130" s="17">
        <v>29728</v>
      </c>
      <c r="L130" s="17">
        <v>29571</v>
      </c>
      <c r="M130" s="17">
        <v>29920</v>
      </c>
      <c r="N130" s="17">
        <v>28588</v>
      </c>
      <c r="O130" s="17">
        <v>26429</v>
      </c>
      <c r="P130" s="17">
        <v>27450</v>
      </c>
      <c r="Q130" s="17">
        <v>27164</v>
      </c>
      <c r="R130" s="17">
        <f t="shared" si="26"/>
        <v>429399</v>
      </c>
    </row>
    <row r="131" spans="1:18" x14ac:dyDescent="0.2">
      <c r="A131" s="8" t="s">
        <v>110</v>
      </c>
      <c r="B131" s="8"/>
      <c r="C131" s="19">
        <f>+C130</f>
        <v>79809</v>
      </c>
      <c r="D131" s="19">
        <f t="shared" ref="D131:Q131" si="38">+D130</f>
        <v>-14792.810000000001</v>
      </c>
      <c r="E131" s="19">
        <f t="shared" si="38"/>
        <v>65016.19</v>
      </c>
      <c r="F131" s="20"/>
      <c r="G131" s="19">
        <f t="shared" si="38"/>
        <v>43016</v>
      </c>
      <c r="H131" s="19">
        <f t="shared" si="38"/>
        <v>35972</v>
      </c>
      <c r="I131" s="19">
        <f t="shared" si="38"/>
        <v>40748</v>
      </c>
      <c r="J131" s="19">
        <f t="shared" si="38"/>
        <v>31004</v>
      </c>
      <c r="K131" s="19">
        <f t="shared" si="38"/>
        <v>29728</v>
      </c>
      <c r="L131" s="19">
        <f t="shared" si="38"/>
        <v>29571</v>
      </c>
      <c r="M131" s="19">
        <f t="shared" si="38"/>
        <v>29920</v>
      </c>
      <c r="N131" s="19">
        <f t="shared" si="38"/>
        <v>28588</v>
      </c>
      <c r="O131" s="19">
        <f t="shared" si="38"/>
        <v>26429</v>
      </c>
      <c r="P131" s="19">
        <f t="shared" si="38"/>
        <v>27450</v>
      </c>
      <c r="Q131" s="19">
        <f t="shared" si="38"/>
        <v>27164</v>
      </c>
      <c r="R131" s="19">
        <f t="shared" si="26"/>
        <v>429399</v>
      </c>
    </row>
    <row r="132" spans="1:18" x14ac:dyDescent="0.2">
      <c r="A132" s="8" t="s">
        <v>111</v>
      </c>
      <c r="B132" s="8"/>
      <c r="C132" s="8" t="s">
        <v>199</v>
      </c>
      <c r="D132" s="8"/>
      <c r="E132" s="8"/>
      <c r="F132" s="18"/>
      <c r="G132" s="8" t="s">
        <v>199</v>
      </c>
      <c r="H132" s="8" t="s">
        <v>199</v>
      </c>
      <c r="I132" s="8" t="s">
        <v>199</v>
      </c>
      <c r="J132" s="8" t="s">
        <v>199</v>
      </c>
      <c r="K132" s="8" t="s">
        <v>199</v>
      </c>
      <c r="L132" s="8" t="s">
        <v>199</v>
      </c>
      <c r="M132" s="8" t="s">
        <v>199</v>
      </c>
      <c r="N132" s="8" t="s">
        <v>199</v>
      </c>
      <c r="O132" s="8" t="s">
        <v>199</v>
      </c>
      <c r="P132" s="8" t="s">
        <v>199</v>
      </c>
      <c r="Q132" s="8" t="s">
        <v>199</v>
      </c>
      <c r="R132" s="8"/>
    </row>
    <row r="133" spans="1:18" x14ac:dyDescent="0.2">
      <c r="A133" s="8" t="s">
        <v>112</v>
      </c>
      <c r="B133" s="8">
        <v>62100</v>
      </c>
      <c r="C133" s="17">
        <v>214657</v>
      </c>
      <c r="D133" s="17">
        <f>-SUMIF(Sheet1!A:A,B133,Sheet1!Z:Z)</f>
        <v>-230806.25</v>
      </c>
      <c r="E133" s="17">
        <f t="shared" si="27"/>
        <v>-16149.25</v>
      </c>
      <c r="F133" s="21" t="s">
        <v>322</v>
      </c>
      <c r="G133" s="17">
        <v>76609</v>
      </c>
      <c r="H133" s="17">
        <v>51470</v>
      </c>
      <c r="I133" s="17">
        <v>78584</v>
      </c>
      <c r="J133" s="17">
        <v>89499</v>
      </c>
      <c r="K133" s="17">
        <v>63473</v>
      </c>
      <c r="L133" s="17">
        <v>60509</v>
      </c>
      <c r="M133" s="17">
        <v>70499</v>
      </c>
      <c r="N133" s="17">
        <v>59539</v>
      </c>
      <c r="O133" s="17">
        <v>48202</v>
      </c>
      <c r="P133" s="17">
        <v>75479</v>
      </c>
      <c r="Q133" s="17">
        <v>55295</v>
      </c>
      <c r="R133" s="17">
        <f t="shared" si="26"/>
        <v>943815</v>
      </c>
    </row>
    <row r="134" spans="1:18" x14ac:dyDescent="0.2">
      <c r="A134" s="8" t="s">
        <v>113</v>
      </c>
      <c r="B134" s="8"/>
      <c r="C134" s="19">
        <f>+C133</f>
        <v>214657</v>
      </c>
      <c r="D134" s="19">
        <f t="shared" ref="D134:Q134" si="39">+D133</f>
        <v>-230806.25</v>
      </c>
      <c r="E134" s="19">
        <f t="shared" si="39"/>
        <v>-16149.25</v>
      </c>
      <c r="F134" s="20"/>
      <c r="G134" s="19">
        <f t="shared" si="39"/>
        <v>76609</v>
      </c>
      <c r="H134" s="19">
        <f t="shared" si="39"/>
        <v>51470</v>
      </c>
      <c r="I134" s="19">
        <f t="shared" si="39"/>
        <v>78584</v>
      </c>
      <c r="J134" s="19">
        <f t="shared" si="39"/>
        <v>89499</v>
      </c>
      <c r="K134" s="19">
        <f t="shared" si="39"/>
        <v>63473</v>
      </c>
      <c r="L134" s="19">
        <f t="shared" si="39"/>
        <v>60509</v>
      </c>
      <c r="M134" s="19">
        <f t="shared" si="39"/>
        <v>70499</v>
      </c>
      <c r="N134" s="19">
        <f t="shared" si="39"/>
        <v>59539</v>
      </c>
      <c r="O134" s="19">
        <f t="shared" si="39"/>
        <v>48202</v>
      </c>
      <c r="P134" s="19">
        <f t="shared" si="39"/>
        <v>75479</v>
      </c>
      <c r="Q134" s="19">
        <f t="shared" si="39"/>
        <v>55295</v>
      </c>
      <c r="R134" s="19">
        <f t="shared" si="26"/>
        <v>943815</v>
      </c>
    </row>
    <row r="135" spans="1:18" x14ac:dyDescent="0.2">
      <c r="A135" s="8" t="s">
        <v>114</v>
      </c>
      <c r="B135" s="8"/>
      <c r="C135" s="8" t="s">
        <v>199</v>
      </c>
      <c r="D135" s="8"/>
      <c r="E135" s="8"/>
      <c r="F135" s="9"/>
      <c r="G135" s="8" t="s">
        <v>199</v>
      </c>
      <c r="H135" s="8" t="s">
        <v>199</v>
      </c>
      <c r="I135" s="8" t="s">
        <v>199</v>
      </c>
      <c r="J135" s="8" t="s">
        <v>199</v>
      </c>
      <c r="K135" s="8" t="s">
        <v>199</v>
      </c>
      <c r="L135" s="8" t="s">
        <v>199</v>
      </c>
      <c r="M135" s="8" t="s">
        <v>199</v>
      </c>
      <c r="N135" s="8" t="s">
        <v>199</v>
      </c>
      <c r="O135" s="8" t="s">
        <v>199</v>
      </c>
      <c r="P135" s="8" t="s">
        <v>199</v>
      </c>
      <c r="Q135" s="8" t="s">
        <v>199</v>
      </c>
      <c r="R135" s="8"/>
    </row>
    <row r="136" spans="1:18" x14ac:dyDescent="0.2">
      <c r="A136" s="8" t="s">
        <v>115</v>
      </c>
      <c r="B136" s="8">
        <v>80100</v>
      </c>
      <c r="C136" s="17">
        <v>-116</v>
      </c>
      <c r="D136" s="17">
        <f>-SUMIF(Sheet1!A:A,B136,Sheet1!Z:Z)</f>
        <v>116.28000000000065</v>
      </c>
      <c r="E136" s="17">
        <f t="shared" si="27"/>
        <v>0.28000000000065484</v>
      </c>
      <c r="F136" s="21">
        <v>11</v>
      </c>
      <c r="G136" s="17">
        <v>0</v>
      </c>
      <c r="H136" s="17">
        <v>0</v>
      </c>
      <c r="I136" s="17">
        <v>0</v>
      </c>
      <c r="J136" s="17">
        <v>0</v>
      </c>
      <c r="K136" s="17">
        <v>0</v>
      </c>
      <c r="L136" s="17">
        <v>0</v>
      </c>
      <c r="M136" s="17">
        <v>0</v>
      </c>
      <c r="N136" s="17">
        <v>0</v>
      </c>
      <c r="O136" s="17">
        <v>0</v>
      </c>
      <c r="P136" s="17">
        <v>0</v>
      </c>
      <c r="Q136" s="17">
        <v>0</v>
      </c>
      <c r="R136" s="17">
        <f t="shared" si="26"/>
        <v>-116</v>
      </c>
    </row>
    <row r="137" spans="1:18" x14ac:dyDescent="0.2">
      <c r="A137" s="8" t="s">
        <v>116</v>
      </c>
      <c r="B137" s="8"/>
      <c r="C137" s="19">
        <f>+C136</f>
        <v>-116</v>
      </c>
      <c r="D137" s="19">
        <f t="shared" ref="D137:Q137" si="40">+D136</f>
        <v>116.28000000000065</v>
      </c>
      <c r="E137" s="19">
        <f t="shared" si="40"/>
        <v>0.28000000000065484</v>
      </c>
      <c r="F137" s="20"/>
      <c r="G137" s="19">
        <f t="shared" si="40"/>
        <v>0</v>
      </c>
      <c r="H137" s="19">
        <f t="shared" si="40"/>
        <v>0</v>
      </c>
      <c r="I137" s="19">
        <f t="shared" si="40"/>
        <v>0</v>
      </c>
      <c r="J137" s="19">
        <f t="shared" si="40"/>
        <v>0</v>
      </c>
      <c r="K137" s="19">
        <f t="shared" si="40"/>
        <v>0</v>
      </c>
      <c r="L137" s="19">
        <f t="shared" si="40"/>
        <v>0</v>
      </c>
      <c r="M137" s="19">
        <f t="shared" si="40"/>
        <v>0</v>
      </c>
      <c r="N137" s="19">
        <f t="shared" si="40"/>
        <v>0</v>
      </c>
      <c r="O137" s="19">
        <f t="shared" si="40"/>
        <v>0</v>
      </c>
      <c r="P137" s="19">
        <f t="shared" si="40"/>
        <v>0</v>
      </c>
      <c r="Q137" s="19">
        <f t="shared" si="40"/>
        <v>0</v>
      </c>
      <c r="R137" s="19">
        <f t="shared" si="26"/>
        <v>-116</v>
      </c>
    </row>
    <row r="138" spans="1:18" x14ac:dyDescent="0.2">
      <c r="A138" s="8" t="s">
        <v>117</v>
      </c>
      <c r="B138" s="8"/>
      <c r="C138" s="8" t="s">
        <v>199</v>
      </c>
      <c r="D138" s="8"/>
      <c r="E138" s="8"/>
      <c r="G138" s="8" t="s">
        <v>199</v>
      </c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</row>
    <row r="139" spans="1:18" x14ac:dyDescent="0.2">
      <c r="A139" s="8" t="s">
        <v>118</v>
      </c>
      <c r="B139" s="8">
        <v>60000</v>
      </c>
      <c r="C139" s="17">
        <v>2870</v>
      </c>
      <c r="D139" s="17">
        <f>-SUMIF(Sheet1!A:A,B139,Sheet1!Z:Z)</f>
        <v>0</v>
      </c>
      <c r="E139" s="17">
        <f t="shared" si="27"/>
        <v>2870</v>
      </c>
      <c r="G139" s="17">
        <v>1626</v>
      </c>
      <c r="H139" s="17">
        <v>1295</v>
      </c>
      <c r="I139" s="17">
        <v>1206</v>
      </c>
      <c r="J139" s="17">
        <v>1460</v>
      </c>
      <c r="K139" s="17">
        <v>1028</v>
      </c>
      <c r="L139" s="17">
        <v>2850</v>
      </c>
      <c r="M139" s="17">
        <v>1391</v>
      </c>
      <c r="N139" s="17">
        <v>1256</v>
      </c>
      <c r="O139" s="17">
        <v>734</v>
      </c>
      <c r="P139" s="17">
        <v>1432</v>
      </c>
      <c r="Q139" s="17">
        <v>1217</v>
      </c>
      <c r="R139" s="17">
        <f t="shared" si="26"/>
        <v>18365</v>
      </c>
    </row>
    <row r="140" spans="1:18" x14ac:dyDescent="0.2">
      <c r="A140" s="8" t="s">
        <v>119</v>
      </c>
      <c r="B140" s="8">
        <v>60800</v>
      </c>
      <c r="C140" s="17">
        <v>4461</v>
      </c>
      <c r="D140" s="17">
        <f>-SUMIF(Sheet1!A:A,B140,Sheet1!Z:Z)</f>
        <v>0</v>
      </c>
      <c r="E140" s="17">
        <f t="shared" si="27"/>
        <v>4461</v>
      </c>
      <c r="G140" s="17">
        <v>4110</v>
      </c>
      <c r="H140" s="17">
        <v>4482</v>
      </c>
      <c r="I140" s="17">
        <v>4324</v>
      </c>
      <c r="J140" s="17">
        <v>5960</v>
      </c>
      <c r="K140" s="17">
        <v>8142</v>
      </c>
      <c r="L140" s="17">
        <v>5021</v>
      </c>
      <c r="M140" s="17">
        <v>4382</v>
      </c>
      <c r="N140" s="17">
        <v>5464</v>
      </c>
      <c r="O140" s="17">
        <v>4563</v>
      </c>
      <c r="P140" s="17">
        <v>4881</v>
      </c>
      <c r="Q140" s="17">
        <v>5754</v>
      </c>
      <c r="R140" s="17">
        <f t="shared" si="26"/>
        <v>61544</v>
      </c>
    </row>
    <row r="141" spans="1:18" x14ac:dyDescent="0.2">
      <c r="A141" s="8" t="s">
        <v>120</v>
      </c>
      <c r="B141" s="8"/>
      <c r="C141" s="19">
        <f>+C139+C140</f>
        <v>7331</v>
      </c>
      <c r="D141" s="19">
        <f t="shared" ref="D141:Q141" si="41">+D139+D140</f>
        <v>0</v>
      </c>
      <c r="E141" s="19">
        <f t="shared" si="41"/>
        <v>7331</v>
      </c>
      <c r="F141" s="20"/>
      <c r="G141" s="19">
        <f t="shared" si="41"/>
        <v>5736</v>
      </c>
      <c r="H141" s="19">
        <f t="shared" si="41"/>
        <v>5777</v>
      </c>
      <c r="I141" s="19">
        <f t="shared" si="41"/>
        <v>5530</v>
      </c>
      <c r="J141" s="19">
        <f t="shared" si="41"/>
        <v>7420</v>
      </c>
      <c r="K141" s="19">
        <f t="shared" si="41"/>
        <v>9170</v>
      </c>
      <c r="L141" s="19">
        <f t="shared" si="41"/>
        <v>7871</v>
      </c>
      <c r="M141" s="19">
        <f t="shared" si="41"/>
        <v>5773</v>
      </c>
      <c r="N141" s="19">
        <f t="shared" si="41"/>
        <v>6720</v>
      </c>
      <c r="O141" s="19">
        <f t="shared" si="41"/>
        <v>5297</v>
      </c>
      <c r="P141" s="19">
        <f t="shared" si="41"/>
        <v>6313</v>
      </c>
      <c r="Q141" s="19">
        <f t="shared" si="41"/>
        <v>6971</v>
      </c>
      <c r="R141" s="19">
        <f t="shared" si="26"/>
        <v>79909</v>
      </c>
    </row>
    <row r="142" spans="1:18" x14ac:dyDescent="0.2">
      <c r="A142" s="8" t="s">
        <v>107</v>
      </c>
      <c r="B142" s="8"/>
      <c r="C142" s="19">
        <f>+C141+C137+C134+C131</f>
        <v>301681</v>
      </c>
      <c r="D142" s="19">
        <f t="shared" ref="D142:Q142" si="42">+D141+D137+D134+D131</f>
        <v>-245482.78</v>
      </c>
      <c r="E142" s="19">
        <f t="shared" si="42"/>
        <v>56198.22</v>
      </c>
      <c r="F142" s="20"/>
      <c r="G142" s="19">
        <f t="shared" si="42"/>
        <v>125361</v>
      </c>
      <c r="H142" s="19">
        <f t="shared" si="42"/>
        <v>93219</v>
      </c>
      <c r="I142" s="19">
        <f t="shared" si="42"/>
        <v>124862</v>
      </c>
      <c r="J142" s="19">
        <f t="shared" si="42"/>
        <v>127923</v>
      </c>
      <c r="K142" s="19">
        <f t="shared" si="42"/>
        <v>102371</v>
      </c>
      <c r="L142" s="19">
        <f t="shared" si="42"/>
        <v>97951</v>
      </c>
      <c r="M142" s="19">
        <f t="shared" si="42"/>
        <v>106192</v>
      </c>
      <c r="N142" s="19">
        <f t="shared" si="42"/>
        <v>94847</v>
      </c>
      <c r="O142" s="19">
        <f t="shared" si="42"/>
        <v>79928</v>
      </c>
      <c r="P142" s="19">
        <f t="shared" si="42"/>
        <v>109242</v>
      </c>
      <c r="Q142" s="19">
        <f t="shared" si="42"/>
        <v>89430</v>
      </c>
      <c r="R142" s="19">
        <f t="shared" si="26"/>
        <v>1453007</v>
      </c>
    </row>
    <row r="143" spans="1:18" x14ac:dyDescent="0.2">
      <c r="A143" s="8" t="s">
        <v>121</v>
      </c>
      <c r="B143" s="8"/>
      <c r="C143" s="8" t="s">
        <v>198</v>
      </c>
      <c r="D143" s="8"/>
      <c r="E143" s="8"/>
      <c r="F143" s="18"/>
      <c r="G143" s="8" t="s">
        <v>198</v>
      </c>
      <c r="H143" s="8" t="s">
        <v>198</v>
      </c>
      <c r="I143" s="8" t="s">
        <v>198</v>
      </c>
      <c r="J143" s="8" t="s">
        <v>198</v>
      </c>
      <c r="K143" s="8" t="s">
        <v>198</v>
      </c>
      <c r="L143" s="8" t="s">
        <v>198</v>
      </c>
      <c r="M143" s="8" t="s">
        <v>198</v>
      </c>
      <c r="N143" s="8" t="s">
        <v>198</v>
      </c>
      <c r="O143" s="8" t="s">
        <v>198</v>
      </c>
      <c r="P143" s="8" t="s">
        <v>198</v>
      </c>
      <c r="Q143" s="8" t="s">
        <v>198</v>
      </c>
      <c r="R143" s="8"/>
    </row>
    <row r="144" spans="1:18" x14ac:dyDescent="0.2">
      <c r="A144" s="8" t="s">
        <v>122</v>
      </c>
      <c r="B144" s="8"/>
      <c r="C144" s="8" t="s">
        <v>199</v>
      </c>
      <c r="D144" s="8"/>
      <c r="E144" s="8"/>
      <c r="G144" s="8" t="s">
        <v>199</v>
      </c>
      <c r="H144" s="8" t="s">
        <v>199</v>
      </c>
      <c r="I144" s="8" t="s">
        <v>199</v>
      </c>
      <c r="J144" s="8" t="s">
        <v>199</v>
      </c>
      <c r="K144" s="8" t="s">
        <v>199</v>
      </c>
      <c r="L144" s="8" t="s">
        <v>199</v>
      </c>
      <c r="M144" s="8" t="s">
        <v>199</v>
      </c>
      <c r="N144" s="8" t="s">
        <v>199</v>
      </c>
      <c r="O144" s="8" t="s">
        <v>199</v>
      </c>
      <c r="P144" s="8" t="s">
        <v>199</v>
      </c>
      <c r="Q144" s="8" t="s">
        <v>199</v>
      </c>
      <c r="R144" s="8"/>
    </row>
    <row r="145" spans="1:18" x14ac:dyDescent="0.2">
      <c r="A145" s="8" t="s">
        <v>123</v>
      </c>
      <c r="B145" s="8">
        <v>61100</v>
      </c>
      <c r="C145" s="17">
        <v>13014</v>
      </c>
      <c r="D145" s="17">
        <f>-SUMIF(Sheet1!A:A,B145,Sheet1!Z:Z)</f>
        <v>-4000</v>
      </c>
      <c r="E145" s="17">
        <f t="shared" ref="E145:E207" si="43">+C145+D145</f>
        <v>9014</v>
      </c>
      <c r="F145" s="21">
        <v>4</v>
      </c>
      <c r="G145" s="17">
        <v>15176</v>
      </c>
      <c r="H145" s="17">
        <v>14957</v>
      </c>
      <c r="I145" s="17">
        <v>14315</v>
      </c>
      <c r="J145" s="17">
        <v>9048</v>
      </c>
      <c r="K145" s="17">
        <v>10887</v>
      </c>
      <c r="L145" s="17">
        <v>10481</v>
      </c>
      <c r="M145" s="17">
        <v>7303</v>
      </c>
      <c r="N145" s="17">
        <v>8153</v>
      </c>
      <c r="O145" s="17">
        <v>7987</v>
      </c>
      <c r="P145" s="17">
        <v>3121</v>
      </c>
      <c r="Q145" s="17">
        <v>4520</v>
      </c>
      <c r="R145" s="17">
        <f t="shared" ref="R145:R207" si="44">SUM(G145:Q145)+C145</f>
        <v>118962</v>
      </c>
    </row>
    <row r="146" spans="1:18" x14ac:dyDescent="0.2">
      <c r="A146" s="8" t="s">
        <v>124</v>
      </c>
      <c r="B146" s="8"/>
      <c r="C146" s="19">
        <f>+C145</f>
        <v>13014</v>
      </c>
      <c r="D146" s="19">
        <f t="shared" ref="D146:Q147" si="45">+D145</f>
        <v>-4000</v>
      </c>
      <c r="E146" s="19">
        <f t="shared" si="45"/>
        <v>9014</v>
      </c>
      <c r="F146" s="20"/>
      <c r="G146" s="19">
        <f t="shared" si="45"/>
        <v>15176</v>
      </c>
      <c r="H146" s="19">
        <f t="shared" si="45"/>
        <v>14957</v>
      </c>
      <c r="I146" s="19">
        <f t="shared" si="45"/>
        <v>14315</v>
      </c>
      <c r="J146" s="19">
        <f t="shared" si="45"/>
        <v>9048</v>
      </c>
      <c r="K146" s="19">
        <f t="shared" si="45"/>
        <v>10887</v>
      </c>
      <c r="L146" s="19">
        <f t="shared" si="45"/>
        <v>10481</v>
      </c>
      <c r="M146" s="19">
        <f t="shared" si="45"/>
        <v>7303</v>
      </c>
      <c r="N146" s="19">
        <f t="shared" si="45"/>
        <v>8153</v>
      </c>
      <c r="O146" s="19">
        <f t="shared" si="45"/>
        <v>7987</v>
      </c>
      <c r="P146" s="19">
        <f t="shared" si="45"/>
        <v>3121</v>
      </c>
      <c r="Q146" s="19">
        <f t="shared" si="45"/>
        <v>4520</v>
      </c>
      <c r="R146" s="19">
        <f t="shared" si="44"/>
        <v>118962</v>
      </c>
    </row>
    <row r="147" spans="1:18" x14ac:dyDescent="0.2">
      <c r="A147" s="8" t="s">
        <v>121</v>
      </c>
      <c r="B147" s="8"/>
      <c r="C147" s="19">
        <f>+C146</f>
        <v>13014</v>
      </c>
      <c r="D147" s="19">
        <f t="shared" si="45"/>
        <v>-4000</v>
      </c>
      <c r="E147" s="19">
        <f t="shared" si="45"/>
        <v>9014</v>
      </c>
      <c r="F147" s="20"/>
      <c r="G147" s="19">
        <f t="shared" si="45"/>
        <v>15176</v>
      </c>
      <c r="H147" s="19">
        <f t="shared" si="45"/>
        <v>14957</v>
      </c>
      <c r="I147" s="19">
        <f t="shared" si="45"/>
        <v>14315</v>
      </c>
      <c r="J147" s="19">
        <f t="shared" si="45"/>
        <v>9048</v>
      </c>
      <c r="K147" s="19">
        <f t="shared" si="45"/>
        <v>10887</v>
      </c>
      <c r="L147" s="19">
        <f t="shared" si="45"/>
        <v>10481</v>
      </c>
      <c r="M147" s="19">
        <f t="shared" si="45"/>
        <v>7303</v>
      </c>
      <c r="N147" s="19">
        <f t="shared" si="45"/>
        <v>8153</v>
      </c>
      <c r="O147" s="19">
        <f t="shared" si="45"/>
        <v>7987</v>
      </c>
      <c r="P147" s="19">
        <f t="shared" si="45"/>
        <v>3121</v>
      </c>
      <c r="Q147" s="19">
        <f t="shared" si="45"/>
        <v>4520</v>
      </c>
      <c r="R147" s="19">
        <f t="shared" si="44"/>
        <v>118962</v>
      </c>
    </row>
    <row r="148" spans="1:18" x14ac:dyDescent="0.2">
      <c r="A148" s="8" t="s">
        <v>125</v>
      </c>
      <c r="B148" s="8"/>
      <c r="C148" s="8" t="s">
        <v>198</v>
      </c>
      <c r="D148" s="8"/>
      <c r="E148" s="8"/>
      <c r="G148" s="8" t="s">
        <v>198</v>
      </c>
      <c r="H148" s="8" t="s">
        <v>198</v>
      </c>
      <c r="I148" s="8" t="s">
        <v>198</v>
      </c>
      <c r="J148" s="8" t="s">
        <v>198</v>
      </c>
      <c r="K148" s="8" t="s">
        <v>198</v>
      </c>
      <c r="L148" s="8" t="s">
        <v>198</v>
      </c>
      <c r="M148" s="8" t="s">
        <v>198</v>
      </c>
      <c r="N148" s="8" t="s">
        <v>198</v>
      </c>
      <c r="O148" s="8" t="s">
        <v>198</v>
      </c>
      <c r="P148" s="8" t="s">
        <v>198</v>
      </c>
      <c r="Q148" s="8" t="s">
        <v>198</v>
      </c>
      <c r="R148" s="8"/>
    </row>
    <row r="149" spans="1:18" x14ac:dyDescent="0.2">
      <c r="A149" s="8" t="s">
        <v>126</v>
      </c>
      <c r="B149" s="8"/>
      <c r="C149" s="8" t="s">
        <v>199</v>
      </c>
      <c r="D149" s="8"/>
      <c r="E149" s="8"/>
      <c r="G149" s="8" t="s">
        <v>199</v>
      </c>
      <c r="H149" s="8" t="s">
        <v>199</v>
      </c>
      <c r="I149" s="8" t="s">
        <v>199</v>
      </c>
      <c r="J149" s="8" t="s">
        <v>199</v>
      </c>
      <c r="K149" s="8" t="s">
        <v>199</v>
      </c>
      <c r="L149" s="8" t="s">
        <v>199</v>
      </c>
      <c r="M149" s="8" t="s">
        <v>199</v>
      </c>
      <c r="N149" s="8" t="s">
        <v>199</v>
      </c>
      <c r="O149" s="8" t="s">
        <v>199</v>
      </c>
      <c r="P149" s="8" t="s">
        <v>199</v>
      </c>
      <c r="Q149" s="8" t="s">
        <v>199</v>
      </c>
      <c r="R149" s="8"/>
    </row>
    <row r="150" spans="1:18" x14ac:dyDescent="0.2">
      <c r="A150" s="8" t="s">
        <v>127</v>
      </c>
      <c r="B150" s="8">
        <v>61200</v>
      </c>
      <c r="C150" s="17">
        <v>13300</v>
      </c>
      <c r="D150" s="17">
        <f>-SUMIF(Sheet1!A:A,B150,Sheet1!Z:Z)</f>
        <v>0</v>
      </c>
      <c r="E150" s="17">
        <f t="shared" si="43"/>
        <v>13300</v>
      </c>
      <c r="G150" s="17">
        <v>12914</v>
      </c>
      <c r="H150" s="17">
        <v>8075</v>
      </c>
      <c r="I150" s="17">
        <v>10433</v>
      </c>
      <c r="J150" s="17">
        <v>9267</v>
      </c>
      <c r="K150" s="17">
        <v>9426</v>
      </c>
      <c r="L150" s="17">
        <v>7472</v>
      </c>
      <c r="M150" s="17">
        <v>5391</v>
      </c>
      <c r="N150" s="17">
        <v>5113</v>
      </c>
      <c r="O150" s="17">
        <v>6798</v>
      </c>
      <c r="P150" s="17">
        <v>8580</v>
      </c>
      <c r="Q150" s="17">
        <v>7654</v>
      </c>
      <c r="R150" s="17">
        <f t="shared" si="44"/>
        <v>104423</v>
      </c>
    </row>
    <row r="151" spans="1:18" x14ac:dyDescent="0.2">
      <c r="A151" s="8" t="s">
        <v>128</v>
      </c>
      <c r="B151" s="8"/>
      <c r="C151" s="19">
        <f>+C150</f>
        <v>13300</v>
      </c>
      <c r="D151" s="19">
        <f t="shared" ref="D151:Q151" si="46">+D150</f>
        <v>0</v>
      </c>
      <c r="E151" s="19">
        <f t="shared" si="46"/>
        <v>13300</v>
      </c>
      <c r="F151" s="17"/>
      <c r="G151" s="19">
        <f t="shared" si="46"/>
        <v>12914</v>
      </c>
      <c r="H151" s="19">
        <f t="shared" si="46"/>
        <v>8075</v>
      </c>
      <c r="I151" s="19">
        <f t="shared" si="46"/>
        <v>10433</v>
      </c>
      <c r="J151" s="19">
        <f t="shared" si="46"/>
        <v>9267</v>
      </c>
      <c r="K151" s="19">
        <f t="shared" si="46"/>
        <v>9426</v>
      </c>
      <c r="L151" s="19">
        <f t="shared" si="46"/>
        <v>7472</v>
      </c>
      <c r="M151" s="19">
        <f t="shared" si="46"/>
        <v>5391</v>
      </c>
      <c r="N151" s="19">
        <f t="shared" si="46"/>
        <v>5113</v>
      </c>
      <c r="O151" s="19">
        <f t="shared" si="46"/>
        <v>6798</v>
      </c>
      <c r="P151" s="19">
        <f t="shared" si="46"/>
        <v>8580</v>
      </c>
      <c r="Q151" s="19">
        <f t="shared" si="46"/>
        <v>7654</v>
      </c>
      <c r="R151" s="19">
        <f t="shared" si="44"/>
        <v>104423</v>
      </c>
    </row>
    <row r="152" spans="1:18" x14ac:dyDescent="0.2">
      <c r="A152" s="8" t="s">
        <v>129</v>
      </c>
      <c r="B152" s="8"/>
      <c r="C152" s="8" t="s">
        <v>199</v>
      </c>
      <c r="D152" s="8"/>
      <c r="E152" s="8"/>
      <c r="G152" s="8" t="s">
        <v>199</v>
      </c>
      <c r="H152" s="8" t="s">
        <v>199</v>
      </c>
      <c r="I152" s="8" t="s">
        <v>199</v>
      </c>
      <c r="J152" s="8" t="s">
        <v>199</v>
      </c>
      <c r="K152" s="8" t="s">
        <v>199</v>
      </c>
      <c r="L152" s="8" t="s">
        <v>199</v>
      </c>
      <c r="M152" s="8" t="s">
        <v>199</v>
      </c>
      <c r="N152" s="8" t="s">
        <v>199</v>
      </c>
      <c r="O152" s="8" t="s">
        <v>199</v>
      </c>
      <c r="P152" s="8" t="s">
        <v>199</v>
      </c>
      <c r="Q152" s="8" t="s">
        <v>199</v>
      </c>
      <c r="R152" s="8"/>
    </row>
    <row r="153" spans="1:18" x14ac:dyDescent="0.2">
      <c r="A153" s="8" t="s">
        <v>130</v>
      </c>
      <c r="B153" s="8">
        <v>60600</v>
      </c>
      <c r="C153" s="17">
        <v>130</v>
      </c>
      <c r="D153" s="17">
        <f>-SUMIF(Sheet1!A:A,B153,Sheet1!Z:Z)</f>
        <v>0</v>
      </c>
      <c r="E153" s="17">
        <f t="shared" si="43"/>
        <v>130</v>
      </c>
      <c r="G153" s="17">
        <v>50</v>
      </c>
      <c r="H153" s="17">
        <v>7672</v>
      </c>
      <c r="I153" s="17">
        <v>450</v>
      </c>
      <c r="J153" s="17">
        <v>65</v>
      </c>
      <c r="K153" s="17">
        <v>125</v>
      </c>
      <c r="L153" s="17">
        <v>652</v>
      </c>
      <c r="M153" s="17">
        <v>7125</v>
      </c>
      <c r="N153" s="17">
        <v>1145</v>
      </c>
      <c r="O153" s="17">
        <v>175</v>
      </c>
      <c r="P153" s="17">
        <v>110</v>
      </c>
      <c r="Q153" s="17">
        <v>285</v>
      </c>
      <c r="R153" s="17">
        <f t="shared" si="44"/>
        <v>17984</v>
      </c>
    </row>
    <row r="154" spans="1:18" x14ac:dyDescent="0.2">
      <c r="A154" s="8" t="s">
        <v>131</v>
      </c>
      <c r="B154" s="8"/>
      <c r="C154" s="19">
        <f>+C153</f>
        <v>130</v>
      </c>
      <c r="D154" s="19">
        <f t="shared" ref="D154:Q154" si="47">+D153</f>
        <v>0</v>
      </c>
      <c r="E154" s="19">
        <f t="shared" si="47"/>
        <v>130</v>
      </c>
      <c r="F154" s="17"/>
      <c r="G154" s="19">
        <f t="shared" si="47"/>
        <v>50</v>
      </c>
      <c r="H154" s="19">
        <f t="shared" si="47"/>
        <v>7672</v>
      </c>
      <c r="I154" s="19">
        <f t="shared" si="47"/>
        <v>450</v>
      </c>
      <c r="J154" s="19">
        <f t="shared" si="47"/>
        <v>65</v>
      </c>
      <c r="K154" s="19">
        <f t="shared" si="47"/>
        <v>125</v>
      </c>
      <c r="L154" s="19">
        <f t="shared" si="47"/>
        <v>652</v>
      </c>
      <c r="M154" s="19">
        <f t="shared" si="47"/>
        <v>7125</v>
      </c>
      <c r="N154" s="19">
        <f t="shared" si="47"/>
        <v>1145</v>
      </c>
      <c r="O154" s="19">
        <f t="shared" si="47"/>
        <v>175</v>
      </c>
      <c r="P154" s="19">
        <f t="shared" si="47"/>
        <v>110</v>
      </c>
      <c r="Q154" s="19">
        <f t="shared" si="47"/>
        <v>285</v>
      </c>
      <c r="R154" s="19">
        <f t="shared" si="44"/>
        <v>17984</v>
      </c>
    </row>
    <row r="155" spans="1:18" x14ac:dyDescent="0.2">
      <c r="A155" s="8" t="s">
        <v>132</v>
      </c>
      <c r="B155" s="8"/>
      <c r="C155" s="8" t="s">
        <v>199</v>
      </c>
      <c r="D155" s="8"/>
      <c r="E155" s="8"/>
      <c r="G155" s="8" t="s">
        <v>199</v>
      </c>
      <c r="H155" s="8" t="s">
        <v>199</v>
      </c>
      <c r="I155" s="8" t="s">
        <v>199</v>
      </c>
      <c r="J155" s="8" t="s">
        <v>199</v>
      </c>
      <c r="K155" s="8" t="s">
        <v>199</v>
      </c>
      <c r="L155" s="8" t="s">
        <v>199</v>
      </c>
      <c r="M155" s="8" t="s">
        <v>199</v>
      </c>
      <c r="N155" s="8" t="s">
        <v>199</v>
      </c>
      <c r="O155" s="8" t="s">
        <v>199</v>
      </c>
      <c r="P155" s="8" t="s">
        <v>199</v>
      </c>
      <c r="Q155" s="8" t="s">
        <v>199</v>
      </c>
      <c r="R155" s="8"/>
    </row>
    <row r="156" spans="1:18" x14ac:dyDescent="0.2">
      <c r="A156" s="8" t="s">
        <v>133</v>
      </c>
      <c r="B156" s="8">
        <v>62000</v>
      </c>
      <c r="C156" s="17">
        <v>1425</v>
      </c>
      <c r="D156" s="17">
        <f>-SUMIF(Sheet1!A:A,B156,Sheet1!Z:Z)</f>
        <v>0</v>
      </c>
      <c r="E156" s="17">
        <f t="shared" si="43"/>
        <v>1425</v>
      </c>
      <c r="G156" s="17">
        <v>1647</v>
      </c>
      <c r="H156" s="17">
        <v>1745</v>
      </c>
      <c r="I156" s="17">
        <v>1791</v>
      </c>
      <c r="J156" s="17">
        <v>2154</v>
      </c>
      <c r="K156" s="17">
        <v>3034</v>
      </c>
      <c r="L156" s="17">
        <v>2029</v>
      </c>
      <c r="M156" s="17">
        <v>2110</v>
      </c>
      <c r="N156" s="17">
        <v>2157</v>
      </c>
      <c r="O156" s="17">
        <v>2460</v>
      </c>
      <c r="P156" s="17">
        <v>2228</v>
      </c>
      <c r="Q156" s="17">
        <v>2031</v>
      </c>
      <c r="R156" s="17">
        <f t="shared" si="44"/>
        <v>24811</v>
      </c>
    </row>
    <row r="157" spans="1:18" x14ac:dyDescent="0.2">
      <c r="A157" s="8" t="s">
        <v>134</v>
      </c>
      <c r="B157" s="8">
        <v>62050</v>
      </c>
      <c r="C157" s="17">
        <v>-158</v>
      </c>
      <c r="D157" s="17">
        <f>-SUMIF(Sheet1!A:A,B157,Sheet1!Z:Z)</f>
        <v>0</v>
      </c>
      <c r="E157" s="17">
        <f t="shared" si="43"/>
        <v>-158</v>
      </c>
      <c r="F157" s="22"/>
      <c r="G157" s="17">
        <v>669</v>
      </c>
      <c r="H157" s="17">
        <v>-292</v>
      </c>
      <c r="I157" s="17">
        <v>554</v>
      </c>
      <c r="J157" s="17">
        <v>155</v>
      </c>
      <c r="K157" s="17">
        <v>128</v>
      </c>
      <c r="L157" s="17">
        <v>864</v>
      </c>
      <c r="M157" s="17">
        <v>148</v>
      </c>
      <c r="N157" s="17">
        <v>469</v>
      </c>
      <c r="O157" s="17">
        <v>0</v>
      </c>
      <c r="P157" s="17">
        <v>708</v>
      </c>
      <c r="Q157" s="17">
        <v>1728</v>
      </c>
      <c r="R157" s="17">
        <f t="shared" si="44"/>
        <v>4973</v>
      </c>
    </row>
    <row r="158" spans="1:18" x14ac:dyDescent="0.2">
      <c r="A158" s="8" t="s">
        <v>135</v>
      </c>
      <c r="B158" s="8">
        <v>63050</v>
      </c>
      <c r="C158" s="17">
        <v>2256</v>
      </c>
      <c r="D158" s="17">
        <f>-SUMIF(Sheet1!A:A,B158,Sheet1!Z:Z)</f>
        <v>0</v>
      </c>
      <c r="E158" s="17">
        <f t="shared" si="43"/>
        <v>2256</v>
      </c>
      <c r="F158" s="22"/>
      <c r="G158" s="17">
        <v>643</v>
      </c>
      <c r="H158" s="17">
        <v>467</v>
      </c>
      <c r="I158" s="17">
        <v>446</v>
      </c>
      <c r="J158" s="17">
        <v>633</v>
      </c>
      <c r="K158" s="17">
        <v>829</v>
      </c>
      <c r="L158" s="17">
        <v>666</v>
      </c>
      <c r="M158" s="17">
        <v>677</v>
      </c>
      <c r="N158" s="17">
        <v>-247</v>
      </c>
      <c r="O158" s="17">
        <v>593</v>
      </c>
      <c r="P158" s="17">
        <v>566</v>
      </c>
      <c r="Q158" s="17">
        <v>420</v>
      </c>
      <c r="R158" s="17">
        <f t="shared" si="44"/>
        <v>7949</v>
      </c>
    </row>
    <row r="159" spans="1:18" x14ac:dyDescent="0.2">
      <c r="A159" s="8" t="s">
        <v>136</v>
      </c>
      <c r="B159" s="8"/>
      <c r="C159" s="19">
        <f>+C156+C157+C158</f>
        <v>3523</v>
      </c>
      <c r="D159" s="19">
        <f t="shared" ref="D159:Q159" si="48">+D156+D157+D158</f>
        <v>0</v>
      </c>
      <c r="E159" s="19">
        <f t="shared" si="48"/>
        <v>3523</v>
      </c>
      <c r="F159" s="17"/>
      <c r="G159" s="19">
        <f t="shared" si="48"/>
        <v>2959</v>
      </c>
      <c r="H159" s="19">
        <f t="shared" si="48"/>
        <v>1920</v>
      </c>
      <c r="I159" s="19">
        <f t="shared" si="48"/>
        <v>2791</v>
      </c>
      <c r="J159" s="19">
        <f t="shared" si="48"/>
        <v>2942</v>
      </c>
      <c r="K159" s="19">
        <f t="shared" si="48"/>
        <v>3991</v>
      </c>
      <c r="L159" s="19">
        <f t="shared" si="48"/>
        <v>3559</v>
      </c>
      <c r="M159" s="19">
        <f t="shared" si="48"/>
        <v>2935</v>
      </c>
      <c r="N159" s="19">
        <f t="shared" si="48"/>
        <v>2379</v>
      </c>
      <c r="O159" s="19">
        <f t="shared" si="48"/>
        <v>3053</v>
      </c>
      <c r="P159" s="19">
        <f t="shared" si="48"/>
        <v>3502</v>
      </c>
      <c r="Q159" s="19">
        <f t="shared" si="48"/>
        <v>4179</v>
      </c>
      <c r="R159" s="19">
        <f t="shared" si="44"/>
        <v>37733</v>
      </c>
    </row>
    <row r="160" spans="1:18" x14ac:dyDescent="0.2">
      <c r="A160" s="8" t="s">
        <v>137</v>
      </c>
      <c r="B160" s="4"/>
      <c r="C160" s="8" t="s">
        <v>199</v>
      </c>
      <c r="D160" s="8"/>
      <c r="E160" s="8"/>
      <c r="F160" s="15"/>
      <c r="G160" s="8" t="s">
        <v>199</v>
      </c>
      <c r="H160" s="8" t="s">
        <v>199</v>
      </c>
      <c r="I160" s="8" t="s">
        <v>199</v>
      </c>
      <c r="J160" s="8" t="s">
        <v>199</v>
      </c>
      <c r="K160" s="8" t="s">
        <v>199</v>
      </c>
      <c r="L160" s="8" t="s">
        <v>199</v>
      </c>
      <c r="M160" s="8" t="s">
        <v>199</v>
      </c>
      <c r="N160" s="8" t="s">
        <v>199</v>
      </c>
      <c r="O160" s="8" t="s">
        <v>199</v>
      </c>
      <c r="P160" s="8" t="s">
        <v>199</v>
      </c>
      <c r="Q160" s="8" t="s">
        <v>199</v>
      </c>
      <c r="R160" s="8"/>
    </row>
    <row r="161" spans="1:18" x14ac:dyDescent="0.2">
      <c r="A161" s="8" t="s">
        <v>138</v>
      </c>
      <c r="B161" s="8"/>
      <c r="C161" s="8" t="s">
        <v>200</v>
      </c>
      <c r="D161" s="8"/>
      <c r="E161" s="8"/>
      <c r="F161" s="18"/>
      <c r="G161" s="8" t="s">
        <v>200</v>
      </c>
      <c r="H161" s="8" t="s">
        <v>200</v>
      </c>
      <c r="I161" s="8" t="s">
        <v>200</v>
      </c>
      <c r="J161" s="8" t="s">
        <v>200</v>
      </c>
      <c r="K161" s="8" t="s">
        <v>200</v>
      </c>
      <c r="L161" s="8" t="s">
        <v>200</v>
      </c>
      <c r="M161" s="8" t="s">
        <v>200</v>
      </c>
      <c r="N161" s="8" t="s">
        <v>200</v>
      </c>
      <c r="O161" s="8" t="s">
        <v>200</v>
      </c>
      <c r="P161" s="8" t="s">
        <v>200</v>
      </c>
      <c r="Q161" s="8" t="s">
        <v>200</v>
      </c>
      <c r="R161" s="8"/>
    </row>
    <row r="162" spans="1:18" x14ac:dyDescent="0.2">
      <c r="A162" s="8" t="s">
        <v>139</v>
      </c>
      <c r="B162" s="8">
        <v>60300</v>
      </c>
      <c r="C162" s="17">
        <v>11176</v>
      </c>
      <c r="D162" s="17">
        <f>-SUMIF(Sheet1!A:A,B162,Sheet1!Z:Z)</f>
        <v>0</v>
      </c>
      <c r="E162" s="17">
        <f t="shared" si="43"/>
        <v>11176</v>
      </c>
      <c r="F162" s="15"/>
      <c r="G162" s="17">
        <v>14309</v>
      </c>
      <c r="H162" s="17">
        <v>6274</v>
      </c>
      <c r="I162" s="17">
        <v>8056</v>
      </c>
      <c r="J162" s="17">
        <v>2772</v>
      </c>
      <c r="K162" s="17">
        <v>7751</v>
      </c>
      <c r="L162" s="17">
        <v>3623</v>
      </c>
      <c r="M162" s="17">
        <v>834</v>
      </c>
      <c r="N162" s="17">
        <v>2539</v>
      </c>
      <c r="O162" s="17">
        <v>7199</v>
      </c>
      <c r="P162" s="17">
        <v>7466</v>
      </c>
      <c r="Q162" s="17">
        <v>6399</v>
      </c>
      <c r="R162" s="17">
        <f t="shared" si="44"/>
        <v>78398</v>
      </c>
    </row>
    <row r="163" spans="1:18" x14ac:dyDescent="0.2">
      <c r="A163" s="8" t="s">
        <v>140</v>
      </c>
      <c r="B163" s="8"/>
      <c r="C163" s="19">
        <f>+C162</f>
        <v>11176</v>
      </c>
      <c r="D163" s="19">
        <f t="shared" ref="D163:Q163" si="49">+D162</f>
        <v>0</v>
      </c>
      <c r="E163" s="19">
        <f t="shared" si="49"/>
        <v>11176</v>
      </c>
      <c r="F163" s="17"/>
      <c r="G163" s="19">
        <f t="shared" si="49"/>
        <v>14309</v>
      </c>
      <c r="H163" s="19">
        <f t="shared" si="49"/>
        <v>6274</v>
      </c>
      <c r="I163" s="19">
        <f t="shared" si="49"/>
        <v>8056</v>
      </c>
      <c r="J163" s="19">
        <f t="shared" si="49"/>
        <v>2772</v>
      </c>
      <c r="K163" s="19">
        <f t="shared" si="49"/>
        <v>7751</v>
      </c>
      <c r="L163" s="19">
        <f t="shared" si="49"/>
        <v>3623</v>
      </c>
      <c r="M163" s="19">
        <f t="shared" si="49"/>
        <v>834</v>
      </c>
      <c r="N163" s="19">
        <f t="shared" si="49"/>
        <v>2539</v>
      </c>
      <c r="O163" s="19">
        <f t="shared" si="49"/>
        <v>7199</v>
      </c>
      <c r="P163" s="19">
        <f t="shared" si="49"/>
        <v>7466</v>
      </c>
      <c r="Q163" s="19">
        <f t="shared" si="49"/>
        <v>6399</v>
      </c>
      <c r="R163" s="19">
        <f t="shared" si="44"/>
        <v>78398</v>
      </c>
    </row>
    <row r="164" spans="1:18" x14ac:dyDescent="0.2">
      <c r="A164" s="8" t="s">
        <v>141</v>
      </c>
      <c r="B164" s="8"/>
      <c r="C164" s="8" t="s">
        <v>200</v>
      </c>
      <c r="D164" s="8"/>
      <c r="E164" s="8"/>
      <c r="F164" s="15"/>
      <c r="G164" s="8" t="s">
        <v>200</v>
      </c>
      <c r="H164" s="8" t="s">
        <v>200</v>
      </c>
      <c r="I164" s="8" t="s">
        <v>200</v>
      </c>
      <c r="J164" s="8" t="s">
        <v>200</v>
      </c>
      <c r="K164" s="8" t="s">
        <v>200</v>
      </c>
      <c r="L164" s="8" t="s">
        <v>200</v>
      </c>
      <c r="M164" s="8" t="s">
        <v>200</v>
      </c>
      <c r="N164" s="8" t="s">
        <v>200</v>
      </c>
      <c r="O164" s="8" t="s">
        <v>200</v>
      </c>
      <c r="P164" s="8" t="s">
        <v>200</v>
      </c>
      <c r="Q164" s="8" t="s">
        <v>200</v>
      </c>
      <c r="R164" s="8"/>
    </row>
    <row r="165" spans="1:18" x14ac:dyDescent="0.2">
      <c r="A165" s="8" t="s">
        <v>142</v>
      </c>
      <c r="B165" s="8">
        <v>60200</v>
      </c>
      <c r="C165" s="17">
        <v>5461</v>
      </c>
      <c r="D165" s="17">
        <f>-SUMIF(Sheet1!A:A,B165,Sheet1!Z:Z)</f>
        <v>0</v>
      </c>
      <c r="E165" s="17">
        <f t="shared" si="43"/>
        <v>5461</v>
      </c>
      <c r="F165" s="9"/>
      <c r="G165" s="17">
        <v>3577</v>
      </c>
      <c r="H165" s="17">
        <v>1969</v>
      </c>
      <c r="I165" s="17">
        <v>1119</v>
      </c>
      <c r="J165" s="17">
        <v>1696</v>
      </c>
      <c r="K165" s="17">
        <v>2684</v>
      </c>
      <c r="L165" s="17">
        <v>1891</v>
      </c>
      <c r="M165" s="17">
        <v>1765</v>
      </c>
      <c r="N165" s="17">
        <v>3954</v>
      </c>
      <c r="O165" s="17">
        <v>1734</v>
      </c>
      <c r="P165" s="17">
        <v>3683</v>
      </c>
      <c r="Q165" s="17">
        <v>1688</v>
      </c>
      <c r="R165" s="17">
        <f t="shared" si="44"/>
        <v>31221</v>
      </c>
    </row>
    <row r="166" spans="1:18" x14ac:dyDescent="0.2">
      <c r="A166" s="8" t="s">
        <v>143</v>
      </c>
      <c r="B166" s="8"/>
      <c r="C166" s="19">
        <f>+C165</f>
        <v>5461</v>
      </c>
      <c r="D166" s="19">
        <f t="shared" ref="D166:Q166" si="50">+D165</f>
        <v>0</v>
      </c>
      <c r="E166" s="19">
        <f t="shared" si="50"/>
        <v>5461</v>
      </c>
      <c r="F166" s="17"/>
      <c r="G166" s="19">
        <f t="shared" si="50"/>
        <v>3577</v>
      </c>
      <c r="H166" s="19">
        <f t="shared" si="50"/>
        <v>1969</v>
      </c>
      <c r="I166" s="19">
        <f t="shared" si="50"/>
        <v>1119</v>
      </c>
      <c r="J166" s="19">
        <f t="shared" si="50"/>
        <v>1696</v>
      </c>
      <c r="K166" s="19">
        <f t="shared" si="50"/>
        <v>2684</v>
      </c>
      <c r="L166" s="19">
        <f t="shared" si="50"/>
        <v>1891</v>
      </c>
      <c r="M166" s="19">
        <f t="shared" si="50"/>
        <v>1765</v>
      </c>
      <c r="N166" s="19">
        <f t="shared" si="50"/>
        <v>3954</v>
      </c>
      <c r="O166" s="19">
        <f t="shared" si="50"/>
        <v>1734</v>
      </c>
      <c r="P166" s="19">
        <f t="shared" si="50"/>
        <v>3683</v>
      </c>
      <c r="Q166" s="19">
        <f t="shared" si="50"/>
        <v>1688</v>
      </c>
      <c r="R166" s="19">
        <f t="shared" si="44"/>
        <v>31221</v>
      </c>
    </row>
    <row r="167" spans="1:18" x14ac:dyDescent="0.2">
      <c r="A167" s="8" t="s">
        <v>144</v>
      </c>
      <c r="B167" s="8"/>
      <c r="C167" s="19">
        <f>+C163+C166</f>
        <v>16637</v>
      </c>
      <c r="D167" s="19">
        <f t="shared" ref="D167:Q167" si="51">+D163+D166</f>
        <v>0</v>
      </c>
      <c r="E167" s="19">
        <f t="shared" si="51"/>
        <v>16637</v>
      </c>
      <c r="F167" s="17"/>
      <c r="G167" s="19">
        <f t="shared" si="51"/>
        <v>17886</v>
      </c>
      <c r="H167" s="19">
        <f t="shared" si="51"/>
        <v>8243</v>
      </c>
      <c r="I167" s="19">
        <f t="shared" si="51"/>
        <v>9175</v>
      </c>
      <c r="J167" s="19">
        <f t="shared" si="51"/>
        <v>4468</v>
      </c>
      <c r="K167" s="19">
        <f t="shared" si="51"/>
        <v>10435</v>
      </c>
      <c r="L167" s="19">
        <f t="shared" si="51"/>
        <v>5514</v>
      </c>
      <c r="M167" s="19">
        <f t="shared" si="51"/>
        <v>2599</v>
      </c>
      <c r="N167" s="19">
        <f t="shared" si="51"/>
        <v>6493</v>
      </c>
      <c r="O167" s="19">
        <f t="shared" si="51"/>
        <v>8933</v>
      </c>
      <c r="P167" s="19">
        <f t="shared" si="51"/>
        <v>11149</v>
      </c>
      <c r="Q167" s="19">
        <f t="shared" si="51"/>
        <v>8087</v>
      </c>
      <c r="R167" s="19">
        <f t="shared" si="44"/>
        <v>109619</v>
      </c>
    </row>
    <row r="168" spans="1:18" x14ac:dyDescent="0.2">
      <c r="A168" s="8" t="s">
        <v>125</v>
      </c>
      <c r="B168" s="8"/>
      <c r="C168" s="19">
        <f>+C167+C159+C154+C151</f>
        <v>33590</v>
      </c>
      <c r="D168" s="19">
        <f t="shared" ref="D168:Q168" si="52">+D167+D159+D154+D151</f>
        <v>0</v>
      </c>
      <c r="E168" s="19">
        <f t="shared" si="52"/>
        <v>33590</v>
      </c>
      <c r="F168" s="17"/>
      <c r="G168" s="19">
        <f t="shared" si="52"/>
        <v>33809</v>
      </c>
      <c r="H168" s="19">
        <f t="shared" si="52"/>
        <v>25910</v>
      </c>
      <c r="I168" s="19">
        <f t="shared" si="52"/>
        <v>22849</v>
      </c>
      <c r="J168" s="19">
        <f t="shared" si="52"/>
        <v>16742</v>
      </c>
      <c r="K168" s="19">
        <f t="shared" si="52"/>
        <v>23977</v>
      </c>
      <c r="L168" s="19">
        <f t="shared" si="52"/>
        <v>17197</v>
      </c>
      <c r="M168" s="19">
        <f t="shared" si="52"/>
        <v>18050</v>
      </c>
      <c r="N168" s="19">
        <f t="shared" si="52"/>
        <v>15130</v>
      </c>
      <c r="O168" s="19">
        <f t="shared" si="52"/>
        <v>18959</v>
      </c>
      <c r="P168" s="19">
        <f t="shared" si="52"/>
        <v>23341</v>
      </c>
      <c r="Q168" s="19">
        <f t="shared" si="52"/>
        <v>20205</v>
      </c>
      <c r="R168" s="19">
        <f t="shared" si="44"/>
        <v>269759</v>
      </c>
    </row>
    <row r="169" spans="1:18" x14ac:dyDescent="0.2">
      <c r="A169" s="8" t="s">
        <v>145</v>
      </c>
      <c r="B169" s="8"/>
      <c r="C169" s="8" t="s">
        <v>198</v>
      </c>
      <c r="D169" s="8"/>
      <c r="E169" s="8"/>
      <c r="F169" s="9"/>
      <c r="G169" s="8" t="s">
        <v>198</v>
      </c>
      <c r="H169" s="8" t="s">
        <v>198</v>
      </c>
      <c r="I169" s="8" t="s">
        <v>198</v>
      </c>
      <c r="J169" s="8" t="s">
        <v>198</v>
      </c>
      <c r="K169" s="8" t="s">
        <v>198</v>
      </c>
      <c r="L169" s="8" t="s">
        <v>198</v>
      </c>
      <c r="M169" s="8" t="s">
        <v>198</v>
      </c>
      <c r="N169" s="8" t="s">
        <v>198</v>
      </c>
      <c r="O169" s="8" t="s">
        <v>198</v>
      </c>
      <c r="P169" s="8" t="s">
        <v>198</v>
      </c>
      <c r="Q169" s="8" t="s">
        <v>198</v>
      </c>
      <c r="R169" s="8"/>
    </row>
    <row r="170" spans="1:18" x14ac:dyDescent="0.2">
      <c r="A170" s="8" t="s">
        <v>146</v>
      </c>
      <c r="B170" s="8"/>
      <c r="C170" s="8" t="s">
        <v>199</v>
      </c>
      <c r="D170" s="8"/>
      <c r="E170" s="8"/>
      <c r="F170" s="18"/>
      <c r="G170" s="8" t="s">
        <v>199</v>
      </c>
      <c r="H170" s="8" t="s">
        <v>199</v>
      </c>
      <c r="I170" s="8" t="s">
        <v>199</v>
      </c>
      <c r="J170" s="8" t="s">
        <v>199</v>
      </c>
      <c r="K170" s="8" t="s">
        <v>199</v>
      </c>
      <c r="L170" s="8" t="s">
        <v>199</v>
      </c>
      <c r="M170" s="8" t="s">
        <v>199</v>
      </c>
      <c r="N170" s="8" t="s">
        <v>199</v>
      </c>
      <c r="O170" s="8" t="s">
        <v>199</v>
      </c>
      <c r="P170" s="8" t="s">
        <v>199</v>
      </c>
      <c r="Q170" s="8" t="s">
        <v>199</v>
      </c>
      <c r="R170" s="8"/>
    </row>
    <row r="171" spans="1:18" x14ac:dyDescent="0.2">
      <c r="A171" s="8" t="s">
        <v>147</v>
      </c>
      <c r="B171" s="8">
        <v>61000</v>
      </c>
      <c r="C171" s="17">
        <v>143390</v>
      </c>
      <c r="D171" s="17">
        <f>-SUMIF(Sheet1!A:A,B171,Sheet1!Z:Z)</f>
        <v>-135253.48000000001</v>
      </c>
      <c r="E171" s="17">
        <f t="shared" si="43"/>
        <v>8136.5199999999895</v>
      </c>
      <c r="F171" s="21">
        <v>8</v>
      </c>
      <c r="G171" s="17">
        <v>7787</v>
      </c>
      <c r="H171" s="17">
        <v>9950</v>
      </c>
      <c r="I171" s="17">
        <v>14268</v>
      </c>
      <c r="J171" s="17">
        <v>6091</v>
      </c>
      <c r="K171" s="17">
        <v>6081</v>
      </c>
      <c r="L171" s="17">
        <v>6826</v>
      </c>
      <c r="M171" s="17">
        <v>5501</v>
      </c>
      <c r="N171" s="17">
        <v>6410</v>
      </c>
      <c r="O171" s="17">
        <v>7430</v>
      </c>
      <c r="P171" s="17">
        <v>7419</v>
      </c>
      <c r="Q171" s="17">
        <v>7425</v>
      </c>
      <c r="R171" s="17">
        <f t="shared" si="44"/>
        <v>228578</v>
      </c>
    </row>
    <row r="172" spans="1:18" x14ac:dyDescent="0.2">
      <c r="A172" s="8" t="s">
        <v>148</v>
      </c>
      <c r="B172" s="8"/>
      <c r="C172" s="19">
        <f>+C171</f>
        <v>143390</v>
      </c>
      <c r="D172" s="19">
        <f>-SUMIF(Sheet1!A:A,B172,Sheet1!Z:Z)</f>
        <v>0</v>
      </c>
      <c r="E172" s="19">
        <f t="shared" si="43"/>
        <v>143390</v>
      </c>
      <c r="F172" s="15"/>
      <c r="G172" s="19">
        <v>7787</v>
      </c>
      <c r="H172" s="19">
        <v>9950</v>
      </c>
      <c r="I172" s="19">
        <v>14268</v>
      </c>
      <c r="J172" s="19">
        <v>6091</v>
      </c>
      <c r="K172" s="19">
        <v>6081</v>
      </c>
      <c r="L172" s="19">
        <v>6826</v>
      </c>
      <c r="M172" s="19">
        <v>5501</v>
      </c>
      <c r="N172" s="19">
        <v>6410</v>
      </c>
      <c r="O172" s="19">
        <v>7430</v>
      </c>
      <c r="P172" s="19">
        <v>7419</v>
      </c>
      <c r="Q172" s="19">
        <v>7425</v>
      </c>
      <c r="R172" s="19">
        <f t="shared" si="44"/>
        <v>228578</v>
      </c>
    </row>
    <row r="173" spans="1:18" x14ac:dyDescent="0.2">
      <c r="A173" s="8" t="s">
        <v>145</v>
      </c>
      <c r="B173" s="8"/>
      <c r="C173" s="19">
        <f>+C172</f>
        <v>143390</v>
      </c>
      <c r="D173" s="19">
        <f>-SUMIF(Sheet1!A:A,B173,Sheet1!Z:Z)</f>
        <v>0</v>
      </c>
      <c r="E173" s="19">
        <f t="shared" si="43"/>
        <v>143390</v>
      </c>
      <c r="F173" s="9"/>
      <c r="G173" s="19">
        <v>7787</v>
      </c>
      <c r="H173" s="19">
        <v>9950</v>
      </c>
      <c r="I173" s="19">
        <v>14268</v>
      </c>
      <c r="J173" s="19">
        <v>6091</v>
      </c>
      <c r="K173" s="19">
        <v>6081</v>
      </c>
      <c r="L173" s="19">
        <v>6826</v>
      </c>
      <c r="M173" s="19">
        <v>5501</v>
      </c>
      <c r="N173" s="19">
        <v>6410</v>
      </c>
      <c r="O173" s="19">
        <v>7430</v>
      </c>
      <c r="P173" s="19">
        <v>7419</v>
      </c>
      <c r="Q173" s="19">
        <v>7425</v>
      </c>
      <c r="R173" s="19">
        <f t="shared" si="44"/>
        <v>228578</v>
      </c>
    </row>
    <row r="174" spans="1:18" x14ac:dyDescent="0.2">
      <c r="A174" s="8" t="s">
        <v>149</v>
      </c>
      <c r="B174" s="8"/>
      <c r="C174" s="19">
        <f>+C115+C127+C142+C147+C168+C173</f>
        <v>609711</v>
      </c>
      <c r="D174" s="19">
        <f t="shared" ref="D174:Q174" si="53">+D115+D127+D142+D147+D168+D173</f>
        <v>-232420.29</v>
      </c>
      <c r="E174" s="19">
        <f t="shared" si="53"/>
        <v>377290.70999999996</v>
      </c>
      <c r="F174" s="17"/>
      <c r="G174" s="19">
        <f t="shared" si="53"/>
        <v>281301</v>
      </c>
      <c r="H174" s="19">
        <f t="shared" si="53"/>
        <v>242987</v>
      </c>
      <c r="I174" s="19">
        <f t="shared" si="53"/>
        <v>284224</v>
      </c>
      <c r="J174" s="19">
        <f t="shared" si="53"/>
        <v>279404</v>
      </c>
      <c r="K174" s="19">
        <f t="shared" si="53"/>
        <v>271485</v>
      </c>
      <c r="L174" s="19">
        <f t="shared" si="53"/>
        <v>254343</v>
      </c>
      <c r="M174" s="19">
        <f t="shared" si="53"/>
        <v>260958</v>
      </c>
      <c r="N174" s="19">
        <f t="shared" si="53"/>
        <v>240661</v>
      </c>
      <c r="O174" s="19">
        <f t="shared" si="53"/>
        <v>259395</v>
      </c>
      <c r="P174" s="19">
        <f t="shared" si="53"/>
        <v>291033</v>
      </c>
      <c r="Q174" s="19">
        <f t="shared" si="53"/>
        <v>250014</v>
      </c>
      <c r="R174" s="19">
        <f t="shared" si="44"/>
        <v>3525516</v>
      </c>
    </row>
    <row r="175" spans="1:18" x14ac:dyDescent="0.2">
      <c r="A175" s="8" t="s">
        <v>150</v>
      </c>
      <c r="B175" s="8"/>
      <c r="C175" s="23">
        <f>-C174+C96-C104</f>
        <v>-193755</v>
      </c>
      <c r="D175" s="23">
        <f t="shared" ref="D175:I175" si="54">-D174+D96-D104</f>
        <v>98751.940000000031</v>
      </c>
      <c r="E175" s="23">
        <f t="shared" si="54"/>
        <v>-95003.059999999823</v>
      </c>
      <c r="F175" s="17"/>
      <c r="G175" s="23">
        <f t="shared" si="54"/>
        <v>179997</v>
      </c>
      <c r="H175" s="23">
        <f t="shared" si="54"/>
        <v>144766</v>
      </c>
      <c r="I175" s="23">
        <f t="shared" si="54"/>
        <v>50735</v>
      </c>
      <c r="J175" s="23">
        <f t="shared" ref="J175" si="55">-J174+J96-J104</f>
        <v>239069</v>
      </c>
      <c r="K175" s="23">
        <f t="shared" ref="K175" si="56">-K174+K96-K104</f>
        <v>160995</v>
      </c>
      <c r="L175" s="23">
        <f t="shared" ref="L175" si="57">-L174+L96-L104</f>
        <v>278934</v>
      </c>
      <c r="M175" s="23">
        <f t="shared" ref="M175" si="58">-M174+M96-M104</f>
        <v>193997</v>
      </c>
      <c r="N175" s="23">
        <f t="shared" ref="N175:O175" si="59">-N174+N96-N104</f>
        <v>244791</v>
      </c>
      <c r="O175" s="23">
        <f t="shared" si="59"/>
        <v>124313</v>
      </c>
      <c r="P175" s="23">
        <f t="shared" ref="P175" si="60">-P174+P96-P104</f>
        <v>85258</v>
      </c>
      <c r="Q175" s="23">
        <f t="shared" ref="Q175" si="61">-Q174+Q96-Q104</f>
        <v>-12690</v>
      </c>
      <c r="R175" s="23">
        <f t="shared" si="44"/>
        <v>1496410</v>
      </c>
    </row>
    <row r="176" spans="1:18" x14ac:dyDescent="0.2">
      <c r="A176" s="8" t="s">
        <v>151</v>
      </c>
      <c r="B176" s="8"/>
      <c r="C176" s="24"/>
      <c r="D176" s="24"/>
      <c r="E176" s="24"/>
      <c r="F176" s="18"/>
      <c r="G176" s="24" t="s">
        <v>196</v>
      </c>
      <c r="H176" s="24" t="s">
        <v>196</v>
      </c>
      <c r="I176" s="24" t="s">
        <v>196</v>
      </c>
      <c r="J176" s="24" t="s">
        <v>196</v>
      </c>
      <c r="K176" s="24" t="s">
        <v>196</v>
      </c>
      <c r="L176" s="24" t="s">
        <v>196</v>
      </c>
      <c r="M176" s="24" t="s">
        <v>196</v>
      </c>
      <c r="N176" s="24" t="s">
        <v>196</v>
      </c>
      <c r="O176" s="24" t="s">
        <v>196</v>
      </c>
      <c r="P176" s="24" t="s">
        <v>196</v>
      </c>
      <c r="Q176" s="24" t="s">
        <v>196</v>
      </c>
      <c r="R176" s="24">
        <f t="shared" si="44"/>
        <v>0</v>
      </c>
    </row>
    <row r="177" spans="1:18" x14ac:dyDescent="0.2">
      <c r="A177" s="8" t="s">
        <v>152</v>
      </c>
      <c r="B177" s="8"/>
      <c r="C177" s="8"/>
      <c r="D177" s="8"/>
      <c r="E177" s="8"/>
      <c r="F177" s="15"/>
      <c r="G177" s="8" t="s">
        <v>197</v>
      </c>
      <c r="H177" s="8" t="s">
        <v>197</v>
      </c>
      <c r="I177" s="8" t="s">
        <v>197</v>
      </c>
      <c r="J177" s="8" t="s">
        <v>197</v>
      </c>
      <c r="K177" s="8" t="s">
        <v>197</v>
      </c>
      <c r="L177" s="8" t="s">
        <v>197</v>
      </c>
      <c r="M177" s="8" t="s">
        <v>197</v>
      </c>
      <c r="N177" s="8" t="s">
        <v>197</v>
      </c>
      <c r="O177" s="8" t="s">
        <v>197</v>
      </c>
      <c r="P177" s="8" t="s">
        <v>197</v>
      </c>
      <c r="Q177" s="8" t="s">
        <v>197</v>
      </c>
      <c r="R177" s="8">
        <f t="shared" si="44"/>
        <v>0</v>
      </c>
    </row>
    <row r="178" spans="1:18" x14ac:dyDescent="0.2">
      <c r="A178" s="8" t="s">
        <v>153</v>
      </c>
      <c r="B178" s="8"/>
      <c r="C178" s="8"/>
      <c r="D178" s="8"/>
      <c r="E178" s="8"/>
      <c r="F178" s="18"/>
      <c r="G178" s="8" t="s">
        <v>198</v>
      </c>
      <c r="H178" s="8" t="s">
        <v>198</v>
      </c>
      <c r="I178" s="8" t="s">
        <v>198</v>
      </c>
      <c r="J178" s="8" t="s">
        <v>198</v>
      </c>
      <c r="K178" s="8" t="s">
        <v>198</v>
      </c>
      <c r="L178" s="8" t="s">
        <v>198</v>
      </c>
      <c r="M178" s="8" t="s">
        <v>198</v>
      </c>
      <c r="N178" s="8" t="s">
        <v>198</v>
      </c>
      <c r="O178" s="8" t="s">
        <v>198</v>
      </c>
      <c r="P178" s="8" t="s">
        <v>198</v>
      </c>
      <c r="Q178" s="8" t="s">
        <v>198</v>
      </c>
      <c r="R178" s="8">
        <f t="shared" si="44"/>
        <v>0</v>
      </c>
    </row>
    <row r="179" spans="1:18" x14ac:dyDescent="0.2">
      <c r="A179" s="8" t="s">
        <v>154</v>
      </c>
      <c r="B179" s="8">
        <v>70100</v>
      </c>
      <c r="C179" s="17">
        <v>11</v>
      </c>
      <c r="D179" s="17">
        <f>-SUMIF(Sheet1!A:A,B179,Sheet1!Z:Z)</f>
        <v>0</v>
      </c>
      <c r="E179" s="17">
        <f t="shared" si="43"/>
        <v>11</v>
      </c>
      <c r="F179" s="15"/>
      <c r="G179" s="17">
        <v>13</v>
      </c>
      <c r="H179" s="17">
        <v>15</v>
      </c>
      <c r="I179" s="17">
        <v>15</v>
      </c>
      <c r="J179" s="17">
        <v>14</v>
      </c>
      <c r="K179" s="17">
        <v>14</v>
      </c>
      <c r="L179" s="17">
        <v>59</v>
      </c>
      <c r="M179" s="17">
        <v>256</v>
      </c>
      <c r="N179" s="17">
        <v>221</v>
      </c>
      <c r="O179" s="17">
        <v>832</v>
      </c>
      <c r="P179" s="17">
        <v>1250</v>
      </c>
      <c r="Q179" s="17">
        <v>1613</v>
      </c>
      <c r="R179" s="17">
        <f t="shared" si="44"/>
        <v>4313</v>
      </c>
    </row>
    <row r="180" spans="1:18" x14ac:dyDescent="0.2">
      <c r="A180" s="8" t="s">
        <v>155</v>
      </c>
      <c r="B180" s="8"/>
      <c r="C180" s="19">
        <f>+C179</f>
        <v>11</v>
      </c>
      <c r="D180" s="19">
        <f t="shared" ref="D180:Q180" si="62">+D179</f>
        <v>0</v>
      </c>
      <c r="E180" s="19">
        <f t="shared" si="62"/>
        <v>11</v>
      </c>
      <c r="F180" s="17"/>
      <c r="G180" s="19">
        <f t="shared" si="62"/>
        <v>13</v>
      </c>
      <c r="H180" s="19">
        <f t="shared" si="62"/>
        <v>15</v>
      </c>
      <c r="I180" s="19">
        <f t="shared" si="62"/>
        <v>15</v>
      </c>
      <c r="J180" s="19">
        <f t="shared" si="62"/>
        <v>14</v>
      </c>
      <c r="K180" s="19">
        <f t="shared" si="62"/>
        <v>14</v>
      </c>
      <c r="L180" s="19">
        <f t="shared" si="62"/>
        <v>59</v>
      </c>
      <c r="M180" s="19">
        <f t="shared" si="62"/>
        <v>256</v>
      </c>
      <c r="N180" s="19">
        <f t="shared" si="62"/>
        <v>221</v>
      </c>
      <c r="O180" s="19">
        <f t="shared" si="62"/>
        <v>832</v>
      </c>
      <c r="P180" s="19">
        <f t="shared" si="62"/>
        <v>1250</v>
      </c>
      <c r="Q180" s="19">
        <f t="shared" si="62"/>
        <v>1613</v>
      </c>
      <c r="R180" s="19">
        <f t="shared" si="44"/>
        <v>4313</v>
      </c>
    </row>
    <row r="181" spans="1:18" x14ac:dyDescent="0.2">
      <c r="A181" s="8" t="s">
        <v>156</v>
      </c>
      <c r="B181" s="8"/>
      <c r="C181" s="8" t="s">
        <v>198</v>
      </c>
      <c r="D181" s="8"/>
      <c r="E181" s="8"/>
      <c r="F181" s="15"/>
      <c r="G181" s="8" t="s">
        <v>198</v>
      </c>
      <c r="H181" s="8" t="s">
        <v>198</v>
      </c>
      <c r="I181" s="8" t="s">
        <v>198</v>
      </c>
      <c r="J181" s="8" t="s">
        <v>198</v>
      </c>
      <c r="K181" s="8" t="s">
        <v>198</v>
      </c>
      <c r="L181" s="8" t="s">
        <v>198</v>
      </c>
      <c r="M181" s="8" t="s">
        <v>198</v>
      </c>
      <c r="N181" s="8" t="s">
        <v>198</v>
      </c>
      <c r="O181" s="8" t="s">
        <v>198</v>
      </c>
      <c r="P181" s="8" t="s">
        <v>198</v>
      </c>
      <c r="Q181" s="8" t="s">
        <v>198</v>
      </c>
      <c r="R181" s="8"/>
    </row>
    <row r="182" spans="1:18" x14ac:dyDescent="0.2">
      <c r="A182" s="8" t="s">
        <v>157</v>
      </c>
      <c r="B182" s="8">
        <v>80300</v>
      </c>
      <c r="C182" s="17">
        <v>3247</v>
      </c>
      <c r="D182" s="17">
        <f>-SUMIF(Sheet1!A:A,B182,Sheet1!Z:Z)</f>
        <v>3246.9799999999996</v>
      </c>
      <c r="E182" s="17">
        <f t="shared" si="43"/>
        <v>6493.98</v>
      </c>
      <c r="F182" s="21">
        <v>12</v>
      </c>
      <c r="G182" s="17">
        <v>0</v>
      </c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>
        <f t="shared" si="44"/>
        <v>3247</v>
      </c>
    </row>
    <row r="183" spans="1:18" x14ac:dyDescent="0.2">
      <c r="A183" s="8" t="s">
        <v>158</v>
      </c>
      <c r="B183" s="8"/>
      <c r="C183" s="19">
        <f>+C182</f>
        <v>3247</v>
      </c>
      <c r="D183" s="19">
        <f t="shared" ref="D183:Q183" si="63">+D182</f>
        <v>3246.9799999999996</v>
      </c>
      <c r="E183" s="19">
        <f t="shared" si="63"/>
        <v>6493.98</v>
      </c>
      <c r="F183" s="17"/>
      <c r="G183" s="19">
        <f t="shared" si="63"/>
        <v>0</v>
      </c>
      <c r="H183" s="19">
        <f t="shared" si="63"/>
        <v>0</v>
      </c>
      <c r="I183" s="19">
        <f t="shared" si="63"/>
        <v>0</v>
      </c>
      <c r="J183" s="19">
        <f t="shared" si="63"/>
        <v>0</v>
      </c>
      <c r="K183" s="19">
        <f t="shared" si="63"/>
        <v>0</v>
      </c>
      <c r="L183" s="19">
        <f t="shared" si="63"/>
        <v>0</v>
      </c>
      <c r="M183" s="19">
        <f t="shared" si="63"/>
        <v>0</v>
      </c>
      <c r="N183" s="19">
        <f t="shared" si="63"/>
        <v>0</v>
      </c>
      <c r="O183" s="19">
        <f t="shared" si="63"/>
        <v>0</v>
      </c>
      <c r="P183" s="19">
        <f t="shared" si="63"/>
        <v>0</v>
      </c>
      <c r="Q183" s="19">
        <f t="shared" si="63"/>
        <v>0</v>
      </c>
      <c r="R183" s="19">
        <f t="shared" si="44"/>
        <v>3247</v>
      </c>
    </row>
    <row r="184" spans="1:18" x14ac:dyDescent="0.2">
      <c r="A184" s="8" t="s">
        <v>159</v>
      </c>
      <c r="B184" s="8"/>
      <c r="C184" s="8" t="s">
        <v>198</v>
      </c>
      <c r="D184" s="8"/>
      <c r="E184" s="8"/>
      <c r="F184" s="18"/>
      <c r="G184" s="8" t="s">
        <v>198</v>
      </c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</row>
    <row r="185" spans="1:18" x14ac:dyDescent="0.2">
      <c r="A185" s="8" t="s">
        <v>160</v>
      </c>
      <c r="B185" s="8">
        <v>70000</v>
      </c>
      <c r="C185" s="17">
        <v>945</v>
      </c>
      <c r="D185" s="17">
        <f>-SUMIF(Sheet1!A:A,B185,Sheet1!Z:Z)</f>
        <v>0</v>
      </c>
      <c r="E185" s="17">
        <f t="shared" si="43"/>
        <v>945</v>
      </c>
      <c r="F185" s="15"/>
      <c r="G185" s="17">
        <v>0</v>
      </c>
      <c r="H185" s="17">
        <v>0</v>
      </c>
      <c r="I185" s="17">
        <v>11994</v>
      </c>
      <c r="J185" s="17">
        <v>9769</v>
      </c>
      <c r="K185" s="17">
        <v>5590</v>
      </c>
      <c r="L185" s="17">
        <v>9300</v>
      </c>
      <c r="M185" s="17">
        <v>0</v>
      </c>
      <c r="N185" s="17">
        <v>2588</v>
      </c>
      <c r="O185" s="17">
        <v>800</v>
      </c>
      <c r="P185" s="17">
        <v>0</v>
      </c>
      <c r="Q185" s="17">
        <v>16000</v>
      </c>
      <c r="R185" s="17">
        <f t="shared" si="44"/>
        <v>56986</v>
      </c>
    </row>
    <row r="186" spans="1:18" x14ac:dyDescent="0.2">
      <c r="A186" s="8" t="s">
        <v>161</v>
      </c>
      <c r="B186" s="8"/>
      <c r="C186" s="19">
        <f>+C185</f>
        <v>945</v>
      </c>
      <c r="D186" s="19">
        <f t="shared" ref="D186:Q186" si="64">+D185</f>
        <v>0</v>
      </c>
      <c r="E186" s="19">
        <f t="shared" si="64"/>
        <v>945</v>
      </c>
      <c r="F186" s="17"/>
      <c r="G186" s="19">
        <f t="shared" si="64"/>
        <v>0</v>
      </c>
      <c r="H186" s="19">
        <f t="shared" si="64"/>
        <v>0</v>
      </c>
      <c r="I186" s="19">
        <f t="shared" si="64"/>
        <v>11994</v>
      </c>
      <c r="J186" s="19">
        <f t="shared" si="64"/>
        <v>9769</v>
      </c>
      <c r="K186" s="19">
        <f t="shared" si="64"/>
        <v>5590</v>
      </c>
      <c r="L186" s="19">
        <f t="shared" si="64"/>
        <v>9300</v>
      </c>
      <c r="M186" s="19">
        <f t="shared" si="64"/>
        <v>0</v>
      </c>
      <c r="N186" s="19">
        <f t="shared" si="64"/>
        <v>2588</v>
      </c>
      <c r="O186" s="19">
        <f t="shared" si="64"/>
        <v>800</v>
      </c>
      <c r="P186" s="19">
        <f t="shared" si="64"/>
        <v>0</v>
      </c>
      <c r="Q186" s="19">
        <f t="shared" si="64"/>
        <v>16000</v>
      </c>
      <c r="R186" s="19">
        <f t="shared" si="44"/>
        <v>56986</v>
      </c>
    </row>
    <row r="187" spans="1:18" x14ac:dyDescent="0.2">
      <c r="A187" s="8" t="s">
        <v>152</v>
      </c>
      <c r="B187" s="8"/>
      <c r="C187" s="19">
        <f>+C180+C183+C186</f>
        <v>4203</v>
      </c>
      <c r="D187" s="19">
        <f t="shared" ref="D187:Q187" si="65">+D180+D183+D186</f>
        <v>3246.9799999999996</v>
      </c>
      <c r="E187" s="19">
        <f t="shared" si="65"/>
        <v>7449.98</v>
      </c>
      <c r="F187" s="17"/>
      <c r="G187" s="19">
        <f t="shared" si="65"/>
        <v>13</v>
      </c>
      <c r="H187" s="19">
        <f t="shared" si="65"/>
        <v>15</v>
      </c>
      <c r="I187" s="19">
        <f t="shared" si="65"/>
        <v>12009</v>
      </c>
      <c r="J187" s="19">
        <f t="shared" si="65"/>
        <v>9783</v>
      </c>
      <c r="K187" s="19">
        <f t="shared" si="65"/>
        <v>5604</v>
      </c>
      <c r="L187" s="19">
        <f t="shared" si="65"/>
        <v>9359</v>
      </c>
      <c r="M187" s="19">
        <f t="shared" si="65"/>
        <v>256</v>
      </c>
      <c r="N187" s="19">
        <f t="shared" si="65"/>
        <v>2809</v>
      </c>
      <c r="O187" s="19">
        <f t="shared" si="65"/>
        <v>1632</v>
      </c>
      <c r="P187" s="19">
        <f t="shared" si="65"/>
        <v>1250</v>
      </c>
      <c r="Q187" s="19">
        <f t="shared" si="65"/>
        <v>17613</v>
      </c>
      <c r="R187" s="19">
        <f t="shared" si="44"/>
        <v>64546</v>
      </c>
    </row>
    <row r="188" spans="1:18" x14ac:dyDescent="0.2">
      <c r="A188" s="8" t="s">
        <v>162</v>
      </c>
      <c r="B188" s="8"/>
      <c r="C188" s="8" t="s">
        <v>197</v>
      </c>
      <c r="D188" s="8"/>
      <c r="E188" s="8"/>
      <c r="F188" s="18"/>
      <c r="G188" s="8" t="s">
        <v>197</v>
      </c>
      <c r="H188" s="8" t="s">
        <v>197</v>
      </c>
      <c r="I188" s="8" t="s">
        <v>197</v>
      </c>
      <c r="J188" s="8" t="s">
        <v>197</v>
      </c>
      <c r="K188" s="8" t="s">
        <v>197</v>
      </c>
      <c r="L188" s="8" t="s">
        <v>197</v>
      </c>
      <c r="M188" s="8" t="s">
        <v>197</v>
      </c>
      <c r="N188" s="8" t="s">
        <v>197</v>
      </c>
      <c r="O188" s="8" t="s">
        <v>197</v>
      </c>
      <c r="P188" s="8" t="s">
        <v>197</v>
      </c>
      <c r="Q188" s="8" t="s">
        <v>197</v>
      </c>
      <c r="R188" s="8"/>
    </row>
    <row r="189" spans="1:18" x14ac:dyDescent="0.2">
      <c r="A189" s="8" t="s">
        <v>163</v>
      </c>
      <c r="B189" s="8"/>
      <c r="C189" s="8" t="s">
        <v>198</v>
      </c>
      <c r="D189" s="8"/>
      <c r="E189" s="8"/>
      <c r="F189" s="18"/>
      <c r="G189" s="8" t="s">
        <v>198</v>
      </c>
      <c r="H189" s="8" t="s">
        <v>198</v>
      </c>
      <c r="I189" s="8" t="s">
        <v>198</v>
      </c>
      <c r="J189" s="8" t="s">
        <v>198</v>
      </c>
      <c r="K189" s="8" t="s">
        <v>198</v>
      </c>
      <c r="L189" s="8" t="s">
        <v>198</v>
      </c>
      <c r="M189" s="8" t="s">
        <v>198</v>
      </c>
      <c r="N189" s="8" t="s">
        <v>198</v>
      </c>
      <c r="O189" s="8" t="s">
        <v>198</v>
      </c>
      <c r="P189" s="8" t="s">
        <v>198</v>
      </c>
      <c r="Q189" s="8" t="s">
        <v>198</v>
      </c>
      <c r="R189" s="8"/>
    </row>
    <row r="190" spans="1:18" x14ac:dyDescent="0.2">
      <c r="A190" s="8" t="s">
        <v>164</v>
      </c>
      <c r="B190" s="8">
        <v>60900</v>
      </c>
      <c r="C190" s="17">
        <v>-4214</v>
      </c>
      <c r="D190" s="17">
        <f>SUMIF(Sheet1!A:A,B190,Sheet1!Z:Z)</f>
        <v>-1696.06</v>
      </c>
      <c r="E190" s="17">
        <f t="shared" si="43"/>
        <v>-5910.0599999999995</v>
      </c>
      <c r="F190" s="21">
        <v>13</v>
      </c>
      <c r="G190" s="17">
        <v>-6059</v>
      </c>
      <c r="H190" s="17">
        <v>-6199</v>
      </c>
      <c r="I190" s="17">
        <v>-6044</v>
      </c>
      <c r="J190" s="17">
        <v>-7898</v>
      </c>
      <c r="K190" s="17">
        <v>-6582</v>
      </c>
      <c r="L190" s="17">
        <v>-6628</v>
      </c>
      <c r="M190" s="17">
        <v>-6829</v>
      </c>
      <c r="N190" s="17">
        <v>-7508</v>
      </c>
      <c r="O190" s="17">
        <v>-7200</v>
      </c>
      <c r="P190" s="17">
        <v>-7396</v>
      </c>
      <c r="Q190" s="17">
        <v>-7607</v>
      </c>
      <c r="R190" s="17">
        <f t="shared" si="44"/>
        <v>-80164</v>
      </c>
    </row>
    <row r="191" spans="1:18" x14ac:dyDescent="0.2">
      <c r="A191" s="8" t="s">
        <v>165</v>
      </c>
      <c r="B191" s="8"/>
      <c r="C191" s="19">
        <f>+C190</f>
        <v>-4214</v>
      </c>
      <c r="D191" s="19">
        <f t="shared" ref="D191:Q191" si="66">+D190</f>
        <v>-1696.06</v>
      </c>
      <c r="E191" s="19">
        <f t="shared" si="66"/>
        <v>-5910.0599999999995</v>
      </c>
      <c r="F191" s="17"/>
      <c r="G191" s="19">
        <f t="shared" si="66"/>
        <v>-6059</v>
      </c>
      <c r="H191" s="19">
        <f t="shared" si="66"/>
        <v>-6199</v>
      </c>
      <c r="I191" s="19">
        <f t="shared" si="66"/>
        <v>-6044</v>
      </c>
      <c r="J191" s="19">
        <f t="shared" si="66"/>
        <v>-7898</v>
      </c>
      <c r="K191" s="19">
        <f t="shared" si="66"/>
        <v>-6582</v>
      </c>
      <c r="L191" s="19">
        <f t="shared" si="66"/>
        <v>-6628</v>
      </c>
      <c r="M191" s="19">
        <f t="shared" si="66"/>
        <v>-6829</v>
      </c>
      <c r="N191" s="19">
        <f t="shared" si="66"/>
        <v>-7508</v>
      </c>
      <c r="O191" s="19">
        <f t="shared" si="66"/>
        <v>-7200</v>
      </c>
      <c r="P191" s="19">
        <f t="shared" si="66"/>
        <v>-7396</v>
      </c>
      <c r="Q191" s="19">
        <f t="shared" si="66"/>
        <v>-7607</v>
      </c>
      <c r="R191" s="19">
        <f t="shared" si="44"/>
        <v>-80164</v>
      </c>
    </row>
    <row r="192" spans="1:18" x14ac:dyDescent="0.2">
      <c r="A192" s="8" t="s">
        <v>166</v>
      </c>
      <c r="B192" s="8"/>
      <c r="C192" s="8" t="s">
        <v>198</v>
      </c>
      <c r="D192" s="8"/>
      <c r="E192" s="8"/>
      <c r="F192" s="22"/>
      <c r="G192" s="8" t="s">
        <v>198</v>
      </c>
      <c r="H192" s="8" t="s">
        <v>198</v>
      </c>
      <c r="I192" s="8" t="s">
        <v>198</v>
      </c>
      <c r="J192" s="8" t="s">
        <v>198</v>
      </c>
      <c r="K192" s="8" t="s">
        <v>198</v>
      </c>
      <c r="L192" s="8" t="s">
        <v>198</v>
      </c>
      <c r="M192" s="8" t="s">
        <v>198</v>
      </c>
      <c r="N192" s="8" t="s">
        <v>198</v>
      </c>
      <c r="O192" s="8" t="s">
        <v>198</v>
      </c>
      <c r="P192" s="8" t="s">
        <v>198</v>
      </c>
      <c r="Q192" s="8" t="s">
        <v>198</v>
      </c>
      <c r="R192" s="8"/>
    </row>
    <row r="193" spans="1:18" x14ac:dyDescent="0.2">
      <c r="A193" s="8" t="s">
        <v>167</v>
      </c>
      <c r="B193" s="8">
        <v>62600</v>
      </c>
      <c r="C193" s="17">
        <v>-29606</v>
      </c>
      <c r="D193" s="17">
        <f>SUMIF(Sheet1!A:A,B193,Sheet1!Z:Z)</f>
        <v>0</v>
      </c>
      <c r="E193" s="17">
        <f t="shared" si="43"/>
        <v>-29606</v>
      </c>
      <c r="F193" s="18"/>
      <c r="G193" s="17">
        <v>-15402</v>
      </c>
      <c r="H193" s="17">
        <v>-55710</v>
      </c>
      <c r="I193" s="17">
        <v>-14209</v>
      </c>
      <c r="J193" s="17">
        <v>-25685</v>
      </c>
      <c r="K193" s="17">
        <v>-18169</v>
      </c>
      <c r="L193" s="17">
        <v>-42881</v>
      </c>
      <c r="M193" s="17">
        <v>-27977</v>
      </c>
      <c r="N193" s="17">
        <v>-20807</v>
      </c>
      <c r="O193" s="17">
        <v>-16187</v>
      </c>
      <c r="P193" s="17">
        <v>-49116</v>
      </c>
      <c r="Q193" s="17">
        <v>-25450</v>
      </c>
      <c r="R193" s="17">
        <f t="shared" si="44"/>
        <v>-341199</v>
      </c>
    </row>
    <row r="194" spans="1:18" x14ac:dyDescent="0.2">
      <c r="A194" s="8" t="s">
        <v>168</v>
      </c>
      <c r="B194" s="8"/>
      <c r="C194" s="19">
        <f>+C193</f>
        <v>-29606</v>
      </c>
      <c r="D194" s="19">
        <f t="shared" ref="D194:Q194" si="67">+D193</f>
        <v>0</v>
      </c>
      <c r="E194" s="19">
        <f t="shared" si="67"/>
        <v>-29606</v>
      </c>
      <c r="F194" s="17"/>
      <c r="G194" s="19">
        <f t="shared" si="67"/>
        <v>-15402</v>
      </c>
      <c r="H194" s="19">
        <f t="shared" si="67"/>
        <v>-55710</v>
      </c>
      <c r="I194" s="19">
        <f t="shared" si="67"/>
        <v>-14209</v>
      </c>
      <c r="J194" s="19">
        <f t="shared" si="67"/>
        <v>-25685</v>
      </c>
      <c r="K194" s="19">
        <f t="shared" si="67"/>
        <v>-18169</v>
      </c>
      <c r="L194" s="19">
        <f t="shared" si="67"/>
        <v>-42881</v>
      </c>
      <c r="M194" s="19">
        <f t="shared" si="67"/>
        <v>-27977</v>
      </c>
      <c r="N194" s="19">
        <f t="shared" si="67"/>
        <v>-20807</v>
      </c>
      <c r="O194" s="19">
        <f t="shared" si="67"/>
        <v>-16187</v>
      </c>
      <c r="P194" s="19">
        <f t="shared" si="67"/>
        <v>-49116</v>
      </c>
      <c r="Q194" s="19">
        <f t="shared" si="67"/>
        <v>-25450</v>
      </c>
      <c r="R194" s="19">
        <f t="shared" si="44"/>
        <v>-341199</v>
      </c>
    </row>
    <row r="195" spans="1:18" x14ac:dyDescent="0.2">
      <c r="A195" s="8" t="s">
        <v>169</v>
      </c>
      <c r="B195" s="8"/>
      <c r="C195" s="8" t="s">
        <v>198</v>
      </c>
      <c r="D195" s="8"/>
      <c r="E195" s="8"/>
      <c r="F195" s="9"/>
      <c r="G195" s="8" t="s">
        <v>198</v>
      </c>
      <c r="H195" s="8" t="s">
        <v>198</v>
      </c>
      <c r="I195" s="8" t="s">
        <v>198</v>
      </c>
      <c r="J195" s="8" t="s">
        <v>198</v>
      </c>
      <c r="K195" s="8" t="s">
        <v>198</v>
      </c>
      <c r="L195" s="8" t="s">
        <v>198</v>
      </c>
      <c r="M195" s="8" t="s">
        <v>198</v>
      </c>
      <c r="N195" s="8" t="s">
        <v>198</v>
      </c>
      <c r="O195" s="8" t="s">
        <v>198</v>
      </c>
      <c r="P195" s="8" t="s">
        <v>198</v>
      </c>
      <c r="Q195" s="8" t="s">
        <v>198</v>
      </c>
      <c r="R195" s="8"/>
    </row>
    <row r="196" spans="1:18" x14ac:dyDescent="0.2">
      <c r="A196" s="8" t="s">
        <v>170</v>
      </c>
      <c r="B196" s="8">
        <v>80000</v>
      </c>
      <c r="C196" s="17">
        <v>558314</v>
      </c>
      <c r="D196" s="17">
        <f>SUMIF(Sheet1!A:A,B196,Sheet1!Z:Z)</f>
        <v>-601453.77</v>
      </c>
      <c r="E196" s="17">
        <f t="shared" si="43"/>
        <v>-43139.770000000019</v>
      </c>
      <c r="F196" s="21">
        <v>14</v>
      </c>
      <c r="G196" s="17">
        <v>0</v>
      </c>
      <c r="H196" s="17">
        <v>0</v>
      </c>
      <c r="I196" s="17">
        <v>-1158</v>
      </c>
      <c r="J196" s="17">
        <v>-27810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7"/>
      <c r="Q196" s="17"/>
      <c r="R196" s="17">
        <f t="shared" si="44"/>
        <v>529346</v>
      </c>
    </row>
    <row r="197" spans="1:18" x14ac:dyDescent="0.2">
      <c r="A197" s="8" t="s">
        <v>171</v>
      </c>
      <c r="B197" s="8">
        <v>60500</v>
      </c>
      <c r="C197" s="17">
        <v>-101838</v>
      </c>
      <c r="D197" s="17">
        <f>SUMIF(Sheet1!A:A,B197,Sheet1!Z:Z)</f>
        <v>101838</v>
      </c>
      <c r="E197" s="17">
        <f t="shared" si="43"/>
        <v>0</v>
      </c>
      <c r="F197" s="21">
        <v>12</v>
      </c>
      <c r="G197" s="17">
        <v>0</v>
      </c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>
        <f t="shared" si="44"/>
        <v>-101838</v>
      </c>
    </row>
    <row r="198" spans="1:18" x14ac:dyDescent="0.2">
      <c r="A198" s="8" t="s">
        <v>172</v>
      </c>
      <c r="B198" s="8">
        <v>60100</v>
      </c>
      <c r="C198" s="17">
        <v>-146170</v>
      </c>
      <c r="D198" s="17">
        <f>SUMIF(Sheet1!A:A,B198,Sheet1!Z:Z)</f>
        <v>146169.96</v>
      </c>
      <c r="E198" s="17">
        <f t="shared" si="43"/>
        <v>-4.0000000008149073E-2</v>
      </c>
      <c r="F198" s="21">
        <v>12</v>
      </c>
      <c r="G198" s="17">
        <v>0</v>
      </c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>
        <f t="shared" si="44"/>
        <v>-146170</v>
      </c>
    </row>
    <row r="199" spans="1:18" x14ac:dyDescent="0.2">
      <c r="A199" s="8" t="s">
        <v>173</v>
      </c>
      <c r="B199" s="8">
        <v>60110</v>
      </c>
      <c r="C199" s="17">
        <v>-67888</v>
      </c>
      <c r="D199" s="17">
        <f>SUMIF(Sheet1!A:A,B199,Sheet1!Z:Z)</f>
        <v>67887.92</v>
      </c>
      <c r="E199" s="17">
        <f t="shared" si="43"/>
        <v>-8.000000000174623E-2</v>
      </c>
      <c r="F199" s="21">
        <v>7</v>
      </c>
      <c r="G199" s="17">
        <v>0</v>
      </c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>
        <f t="shared" si="44"/>
        <v>-67888</v>
      </c>
    </row>
    <row r="200" spans="1:18" x14ac:dyDescent="0.2">
      <c r="A200" s="8" t="s">
        <v>181</v>
      </c>
      <c r="B200" s="8"/>
      <c r="C200" s="19">
        <f>SUM(C196:C199)</f>
        <v>242418</v>
      </c>
      <c r="D200" s="19">
        <f t="shared" ref="D200:Q200" si="68">SUM(D196:D199)</f>
        <v>-285557.89000000007</v>
      </c>
      <c r="E200" s="19">
        <f t="shared" si="68"/>
        <v>-43139.890000000029</v>
      </c>
      <c r="F200" s="17"/>
      <c r="G200" s="19">
        <f t="shared" si="68"/>
        <v>0</v>
      </c>
      <c r="H200" s="19">
        <f t="shared" si="68"/>
        <v>0</v>
      </c>
      <c r="I200" s="19">
        <f t="shared" si="68"/>
        <v>-1158</v>
      </c>
      <c r="J200" s="19">
        <f t="shared" si="68"/>
        <v>-27810</v>
      </c>
      <c r="K200" s="19">
        <f t="shared" si="68"/>
        <v>0</v>
      </c>
      <c r="L200" s="19">
        <f t="shared" si="68"/>
        <v>0</v>
      </c>
      <c r="M200" s="19">
        <f t="shared" si="68"/>
        <v>0</v>
      </c>
      <c r="N200" s="19">
        <f t="shared" si="68"/>
        <v>0</v>
      </c>
      <c r="O200" s="19">
        <f t="shared" si="68"/>
        <v>0</v>
      </c>
      <c r="P200" s="19">
        <f t="shared" si="68"/>
        <v>0</v>
      </c>
      <c r="Q200" s="19">
        <f t="shared" si="68"/>
        <v>0</v>
      </c>
      <c r="R200" s="19">
        <f t="shared" si="44"/>
        <v>213450</v>
      </c>
    </row>
    <row r="201" spans="1:18" x14ac:dyDescent="0.2">
      <c r="A201" s="8" t="s">
        <v>174</v>
      </c>
      <c r="B201" s="8"/>
      <c r="C201" s="8" t="s">
        <v>198</v>
      </c>
      <c r="D201" s="8"/>
      <c r="E201" s="8"/>
      <c r="F201" s="15"/>
      <c r="G201" s="8" t="s">
        <v>198</v>
      </c>
      <c r="H201" s="8" t="s">
        <v>198</v>
      </c>
      <c r="I201" s="8" t="s">
        <v>198</v>
      </c>
      <c r="J201" s="8" t="s">
        <v>198</v>
      </c>
      <c r="K201" s="8" t="s">
        <v>198</v>
      </c>
      <c r="L201" s="8"/>
      <c r="M201" s="8"/>
      <c r="N201" s="8"/>
      <c r="O201" s="8"/>
      <c r="P201" s="8"/>
      <c r="Q201" s="8"/>
      <c r="R201" s="8"/>
    </row>
    <row r="202" spans="1:18" x14ac:dyDescent="0.2">
      <c r="A202" s="8" t="s">
        <v>175</v>
      </c>
      <c r="B202" s="8">
        <v>60400</v>
      </c>
      <c r="C202" s="17">
        <v>359</v>
      </c>
      <c r="D202" s="17">
        <f>-SUMIF(Sheet1!A:A,B202,Sheet1!Z:Z)</f>
        <v>0</v>
      </c>
      <c r="E202" s="17">
        <f t="shared" si="43"/>
        <v>359</v>
      </c>
      <c r="F202" s="9"/>
      <c r="G202" s="17">
        <v>258</v>
      </c>
      <c r="H202" s="17">
        <v>4718</v>
      </c>
      <c r="I202" s="17">
        <v>7458</v>
      </c>
      <c r="J202" s="17">
        <v>1255</v>
      </c>
      <c r="K202" s="17">
        <v>11250</v>
      </c>
      <c r="L202" s="17">
        <v>2700</v>
      </c>
      <c r="M202" s="17">
        <v>2800</v>
      </c>
      <c r="N202" s="17">
        <v>1000</v>
      </c>
      <c r="O202" s="17">
        <v>3600</v>
      </c>
      <c r="P202" s="17">
        <v>1000</v>
      </c>
      <c r="Q202" s="17">
        <v>1000</v>
      </c>
      <c r="R202" s="17">
        <f t="shared" si="44"/>
        <v>37398</v>
      </c>
    </row>
    <row r="203" spans="1:18" x14ac:dyDescent="0.2">
      <c r="A203" s="8" t="s">
        <v>176</v>
      </c>
      <c r="B203" s="8"/>
      <c r="C203" s="19">
        <f>+C202</f>
        <v>359</v>
      </c>
      <c r="D203" s="19">
        <f t="shared" ref="D203:Q203" si="69">+D202</f>
        <v>0</v>
      </c>
      <c r="E203" s="19">
        <f t="shared" si="69"/>
        <v>359</v>
      </c>
      <c r="F203" s="17"/>
      <c r="G203" s="19">
        <f t="shared" si="69"/>
        <v>258</v>
      </c>
      <c r="H203" s="19">
        <f t="shared" si="69"/>
        <v>4718</v>
      </c>
      <c r="I203" s="19">
        <f t="shared" si="69"/>
        <v>7458</v>
      </c>
      <c r="J203" s="19">
        <f t="shared" si="69"/>
        <v>1255</v>
      </c>
      <c r="K203" s="19">
        <f t="shared" si="69"/>
        <v>11250</v>
      </c>
      <c r="L203" s="19">
        <f t="shared" si="69"/>
        <v>2700</v>
      </c>
      <c r="M203" s="19">
        <f t="shared" si="69"/>
        <v>2800</v>
      </c>
      <c r="N203" s="19">
        <f t="shared" si="69"/>
        <v>1000</v>
      </c>
      <c r="O203" s="19">
        <f t="shared" si="69"/>
        <v>3600</v>
      </c>
      <c r="P203" s="19">
        <f t="shared" si="69"/>
        <v>1000</v>
      </c>
      <c r="Q203" s="19">
        <f t="shared" si="69"/>
        <v>1000</v>
      </c>
      <c r="R203" s="19">
        <f t="shared" si="44"/>
        <v>37398</v>
      </c>
    </row>
    <row r="204" spans="1:18" x14ac:dyDescent="0.2">
      <c r="A204" s="8" t="s">
        <v>177</v>
      </c>
      <c r="B204" s="8"/>
      <c r="C204" s="8" t="s">
        <v>198</v>
      </c>
      <c r="D204" s="8"/>
      <c r="E204" s="8"/>
      <c r="F204" s="9"/>
      <c r="G204" s="8" t="s">
        <v>198</v>
      </c>
      <c r="H204" s="8" t="s">
        <v>198</v>
      </c>
      <c r="I204" s="8" t="s">
        <v>198</v>
      </c>
      <c r="J204" s="8" t="s">
        <v>198</v>
      </c>
      <c r="K204" s="8" t="s">
        <v>198</v>
      </c>
      <c r="L204" s="8" t="s">
        <v>198</v>
      </c>
      <c r="M204" s="8" t="s">
        <v>198</v>
      </c>
      <c r="N204" s="8" t="s">
        <v>198</v>
      </c>
      <c r="O204" s="8" t="s">
        <v>198</v>
      </c>
      <c r="P204" s="8" t="s">
        <v>198</v>
      </c>
      <c r="Q204" s="8" t="s">
        <v>198</v>
      </c>
      <c r="R204" s="8"/>
    </row>
    <row r="205" spans="1:18" x14ac:dyDescent="0.2">
      <c r="A205" s="8" t="s">
        <v>178</v>
      </c>
      <c r="B205" s="8">
        <v>61700</v>
      </c>
      <c r="C205" s="17">
        <v>18648</v>
      </c>
      <c r="D205" s="17">
        <f>-SUMIF(Sheet1!A:A,B205,Sheet1!Z:Z)</f>
        <v>-5983.31</v>
      </c>
      <c r="E205" s="17">
        <f t="shared" si="43"/>
        <v>12664.689999999999</v>
      </c>
      <c r="F205" s="22"/>
      <c r="G205" s="17">
        <v>0</v>
      </c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>
        <f t="shared" si="44"/>
        <v>18648</v>
      </c>
    </row>
    <row r="206" spans="1:18" x14ac:dyDescent="0.2">
      <c r="A206" s="8" t="s">
        <v>179</v>
      </c>
      <c r="B206" s="4">
        <v>61750</v>
      </c>
      <c r="C206" s="17">
        <v>0</v>
      </c>
      <c r="D206" s="17">
        <f>-SUMIF(Sheet1!A:A,B206,Sheet1!Z:Z)</f>
        <v>0</v>
      </c>
      <c r="E206" s="17">
        <f t="shared" si="43"/>
        <v>0</v>
      </c>
      <c r="F206" s="18"/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208</v>
      </c>
      <c r="M206" s="17">
        <v>35</v>
      </c>
      <c r="N206" s="17">
        <v>0</v>
      </c>
      <c r="O206" s="17">
        <v>0</v>
      </c>
      <c r="P206" s="17">
        <v>25</v>
      </c>
      <c r="Q206" s="17">
        <v>687</v>
      </c>
      <c r="R206" s="17">
        <f t="shared" si="44"/>
        <v>955</v>
      </c>
    </row>
    <row r="207" spans="1:18" x14ac:dyDescent="0.2">
      <c r="A207" s="8" t="s">
        <v>180</v>
      </c>
      <c r="B207" s="8"/>
      <c r="C207" s="19">
        <f>+C205+C206</f>
        <v>18648</v>
      </c>
      <c r="D207" s="19">
        <f>-SUMIF(Sheet1!A:A,B207,Sheet1!Z:Z)</f>
        <v>0</v>
      </c>
      <c r="E207" s="19">
        <f t="shared" si="43"/>
        <v>18648</v>
      </c>
      <c r="F207" s="15"/>
      <c r="G207" s="19">
        <v>0</v>
      </c>
      <c r="H207" s="19">
        <v>0</v>
      </c>
      <c r="I207" s="19">
        <v>0</v>
      </c>
      <c r="J207" s="19">
        <v>0</v>
      </c>
      <c r="K207" s="19">
        <v>0</v>
      </c>
      <c r="L207" s="19">
        <v>208</v>
      </c>
      <c r="M207" s="19">
        <v>35</v>
      </c>
      <c r="N207" s="19">
        <v>0</v>
      </c>
      <c r="O207" s="19">
        <v>0</v>
      </c>
      <c r="P207" s="19">
        <v>25</v>
      </c>
      <c r="Q207" s="19">
        <v>687</v>
      </c>
      <c r="R207" s="19">
        <f t="shared" si="44"/>
        <v>19603</v>
      </c>
    </row>
    <row r="208" spans="1:18" x14ac:dyDescent="0.2">
      <c r="A208" s="8" t="s">
        <v>162</v>
      </c>
      <c r="B208" s="8"/>
      <c r="C208" s="19">
        <f>+C191+C194+C200-C203-C207</f>
        <v>189591</v>
      </c>
      <c r="D208" s="19">
        <f t="shared" ref="D208:Q208" si="70">+D191+D194+D200-D203-D207</f>
        <v>-287253.95000000007</v>
      </c>
      <c r="E208" s="19">
        <f t="shared" si="70"/>
        <v>-97662.950000000026</v>
      </c>
      <c r="F208" s="17"/>
      <c r="G208" s="19">
        <f t="shared" si="70"/>
        <v>-21719</v>
      </c>
      <c r="H208" s="19">
        <f t="shared" si="70"/>
        <v>-66627</v>
      </c>
      <c r="I208" s="19">
        <f t="shared" si="70"/>
        <v>-28869</v>
      </c>
      <c r="J208" s="19">
        <f t="shared" si="70"/>
        <v>-62648</v>
      </c>
      <c r="K208" s="19">
        <f t="shared" si="70"/>
        <v>-36001</v>
      </c>
      <c r="L208" s="19">
        <f t="shared" si="70"/>
        <v>-52417</v>
      </c>
      <c r="M208" s="19">
        <f t="shared" si="70"/>
        <v>-37641</v>
      </c>
      <c r="N208" s="19">
        <f t="shared" si="70"/>
        <v>-29315</v>
      </c>
      <c r="O208" s="19">
        <f t="shared" si="70"/>
        <v>-26987</v>
      </c>
      <c r="P208" s="19">
        <f t="shared" si="70"/>
        <v>-57537</v>
      </c>
      <c r="Q208" s="19">
        <f t="shared" si="70"/>
        <v>-34744</v>
      </c>
      <c r="R208" s="19">
        <f t="shared" ref="R208:R216" si="71">SUM(G208:Q208)+C208</f>
        <v>-264914</v>
      </c>
    </row>
    <row r="209" spans="1:20" x14ac:dyDescent="0.2">
      <c r="A209" s="8" t="s">
        <v>182</v>
      </c>
      <c r="B209" s="8"/>
      <c r="C209" s="23">
        <f>+C187+C208</f>
        <v>193794</v>
      </c>
      <c r="D209" s="23">
        <f t="shared" ref="D209:Q209" si="72">+D187+D208</f>
        <v>-284006.97000000009</v>
      </c>
      <c r="E209" s="23">
        <f t="shared" si="72"/>
        <v>-90212.97000000003</v>
      </c>
      <c r="F209" s="17"/>
      <c r="G209" s="23">
        <f t="shared" si="72"/>
        <v>-21706</v>
      </c>
      <c r="H209" s="23">
        <f t="shared" si="72"/>
        <v>-66612</v>
      </c>
      <c r="I209" s="23">
        <f t="shared" si="72"/>
        <v>-16860</v>
      </c>
      <c r="J209" s="23">
        <f t="shared" si="72"/>
        <v>-52865</v>
      </c>
      <c r="K209" s="23">
        <f t="shared" si="72"/>
        <v>-30397</v>
      </c>
      <c r="L209" s="23">
        <f t="shared" si="72"/>
        <v>-43058</v>
      </c>
      <c r="M209" s="23">
        <f t="shared" si="72"/>
        <v>-37385</v>
      </c>
      <c r="N209" s="23">
        <f t="shared" si="72"/>
        <v>-26506</v>
      </c>
      <c r="O209" s="23">
        <f t="shared" si="72"/>
        <v>-25355</v>
      </c>
      <c r="P209" s="23">
        <f t="shared" si="72"/>
        <v>-56287</v>
      </c>
      <c r="Q209" s="23">
        <f t="shared" si="72"/>
        <v>-17131</v>
      </c>
      <c r="R209" s="23">
        <f t="shared" si="71"/>
        <v>-200368</v>
      </c>
      <c r="S209" s="23"/>
      <c r="T209" s="23"/>
    </row>
    <row r="210" spans="1:20" x14ac:dyDescent="0.2">
      <c r="A210" s="8" t="s">
        <v>183</v>
      </c>
      <c r="B210" s="8"/>
      <c r="C210" s="24" t="s">
        <v>196</v>
      </c>
      <c r="D210" s="24"/>
      <c r="E210" s="24"/>
      <c r="F210" s="18"/>
      <c r="G210" s="24" t="s">
        <v>196</v>
      </c>
      <c r="H210" s="24" t="s">
        <v>196</v>
      </c>
      <c r="I210" s="24" t="s">
        <v>196</v>
      </c>
      <c r="J210" s="24" t="s">
        <v>196</v>
      </c>
      <c r="K210" s="24" t="s">
        <v>196</v>
      </c>
      <c r="L210" s="24" t="s">
        <v>196</v>
      </c>
      <c r="M210" s="24" t="s">
        <v>196</v>
      </c>
      <c r="N210" s="24" t="s">
        <v>196</v>
      </c>
      <c r="O210" s="24" t="s">
        <v>196</v>
      </c>
      <c r="P210" s="24" t="s">
        <v>196</v>
      </c>
      <c r="Q210" s="24" t="s">
        <v>196</v>
      </c>
      <c r="R210" s="24"/>
    </row>
    <row r="211" spans="1:20" x14ac:dyDescent="0.2">
      <c r="A211" s="8" t="s">
        <v>184</v>
      </c>
      <c r="B211" s="8"/>
      <c r="C211" s="8" t="s">
        <v>197</v>
      </c>
      <c r="D211" s="8"/>
      <c r="E211" s="8"/>
      <c r="F211" s="15"/>
      <c r="G211" s="8" t="s">
        <v>197</v>
      </c>
      <c r="H211" s="8" t="s">
        <v>197</v>
      </c>
      <c r="I211" s="8" t="s">
        <v>197</v>
      </c>
      <c r="J211" s="8" t="s">
        <v>197</v>
      </c>
      <c r="K211" s="8" t="s">
        <v>197</v>
      </c>
      <c r="L211" s="8" t="s">
        <v>197</v>
      </c>
      <c r="M211" s="8" t="s">
        <v>197</v>
      </c>
      <c r="N211" s="8" t="s">
        <v>197</v>
      </c>
      <c r="O211" s="8" t="s">
        <v>197</v>
      </c>
      <c r="P211" s="8" t="s">
        <v>197</v>
      </c>
      <c r="Q211" s="8" t="s">
        <v>197</v>
      </c>
      <c r="R211" s="8"/>
    </row>
    <row r="212" spans="1:20" x14ac:dyDescent="0.2">
      <c r="A212" s="8" t="s">
        <v>185</v>
      </c>
      <c r="B212" s="8">
        <v>61400</v>
      </c>
      <c r="C212" s="17">
        <v>488</v>
      </c>
      <c r="D212" s="17">
        <f>-SUMIF(Sheet1!A:A,B212,Sheet1!Z:Z)</f>
        <v>0</v>
      </c>
      <c r="E212" s="17">
        <f t="shared" ref="E212:E213" si="73">+C212+D212</f>
        <v>488</v>
      </c>
      <c r="F212" s="16"/>
      <c r="G212" s="17">
        <v>0</v>
      </c>
      <c r="H212" s="17">
        <v>0</v>
      </c>
      <c r="I212" s="17">
        <v>1527</v>
      </c>
      <c r="J212" s="17">
        <v>1470</v>
      </c>
      <c r="K212" s="17">
        <v>1048</v>
      </c>
      <c r="L212" s="17">
        <v>1047</v>
      </c>
      <c r="M212" s="17">
        <v>1202</v>
      </c>
      <c r="N212" s="17">
        <v>0</v>
      </c>
      <c r="O212" s="17">
        <v>1318</v>
      </c>
      <c r="P212" s="17">
        <v>1442</v>
      </c>
      <c r="Q212" s="17">
        <v>1346</v>
      </c>
      <c r="R212" s="17">
        <f t="shared" si="71"/>
        <v>10888</v>
      </c>
    </row>
    <row r="213" spans="1:20" x14ac:dyDescent="0.2">
      <c r="A213" s="8" t="s">
        <v>186</v>
      </c>
      <c r="B213" s="8">
        <v>61600</v>
      </c>
      <c r="C213" s="17">
        <v>5535</v>
      </c>
      <c r="D213" s="17">
        <f>-SUMIF(Sheet1!A:A,B213,Sheet1!Z:Z)</f>
        <v>-2397.3099999999995</v>
      </c>
      <c r="E213" s="17">
        <f t="shared" si="73"/>
        <v>3137.6900000000005</v>
      </c>
      <c r="F213" s="15"/>
      <c r="G213" s="17">
        <v>0</v>
      </c>
      <c r="H213" s="17">
        <v>0</v>
      </c>
      <c r="I213" s="17">
        <v>3855</v>
      </c>
      <c r="J213" s="17">
        <v>0</v>
      </c>
      <c r="K213" s="17">
        <v>0</v>
      </c>
      <c r="L213" s="17">
        <v>1000</v>
      </c>
      <c r="M213" s="17">
        <v>0</v>
      </c>
      <c r="N213" s="17">
        <v>0</v>
      </c>
      <c r="O213" s="17">
        <v>14549</v>
      </c>
      <c r="P213" s="17">
        <v>1249</v>
      </c>
      <c r="Q213" s="17">
        <v>1574</v>
      </c>
      <c r="R213" s="17">
        <f t="shared" si="71"/>
        <v>27762</v>
      </c>
    </row>
    <row r="214" spans="1:20" x14ac:dyDescent="0.2">
      <c r="A214" s="8" t="s">
        <v>187</v>
      </c>
      <c r="B214" s="8"/>
      <c r="C214" s="19">
        <f>+C212+C213</f>
        <v>6023</v>
      </c>
      <c r="D214" s="19">
        <f t="shared" ref="D214:Q214" si="74">+D212+D213</f>
        <v>-2397.3099999999995</v>
      </c>
      <c r="E214" s="19">
        <f t="shared" si="74"/>
        <v>3625.6900000000005</v>
      </c>
      <c r="F214" s="17"/>
      <c r="G214" s="19">
        <f t="shared" si="74"/>
        <v>0</v>
      </c>
      <c r="H214" s="19">
        <f t="shared" si="74"/>
        <v>0</v>
      </c>
      <c r="I214" s="19">
        <f t="shared" si="74"/>
        <v>5382</v>
      </c>
      <c r="J214" s="19">
        <f t="shared" si="74"/>
        <v>1470</v>
      </c>
      <c r="K214" s="19">
        <f t="shared" si="74"/>
        <v>1048</v>
      </c>
      <c r="L214" s="19">
        <f t="shared" si="74"/>
        <v>2047</v>
      </c>
      <c r="M214" s="19">
        <f t="shared" si="74"/>
        <v>1202</v>
      </c>
      <c r="N214" s="19">
        <f t="shared" si="74"/>
        <v>0</v>
      </c>
      <c r="O214" s="19">
        <f t="shared" si="74"/>
        <v>15867</v>
      </c>
      <c r="P214" s="19">
        <f t="shared" si="74"/>
        <v>2691</v>
      </c>
      <c r="Q214" s="19">
        <f t="shared" si="74"/>
        <v>2920</v>
      </c>
      <c r="R214" s="19">
        <f t="shared" si="71"/>
        <v>38650</v>
      </c>
    </row>
    <row r="215" spans="1:20" x14ac:dyDescent="0.2">
      <c r="A215" s="8" t="s">
        <v>183</v>
      </c>
      <c r="B215" s="8"/>
      <c r="C215" s="23">
        <f>+C214</f>
        <v>6023</v>
      </c>
      <c r="D215" s="23">
        <f t="shared" ref="D215:Q215" si="75">+D214</f>
        <v>-2397.3099999999995</v>
      </c>
      <c r="E215" s="23">
        <f t="shared" si="75"/>
        <v>3625.6900000000005</v>
      </c>
      <c r="F215" s="17"/>
      <c r="G215" s="23">
        <f t="shared" si="75"/>
        <v>0</v>
      </c>
      <c r="H215" s="23">
        <f t="shared" si="75"/>
        <v>0</v>
      </c>
      <c r="I215" s="23">
        <f t="shared" si="75"/>
        <v>5382</v>
      </c>
      <c r="J215" s="23">
        <f t="shared" si="75"/>
        <v>1470</v>
      </c>
      <c r="K215" s="23">
        <f t="shared" si="75"/>
        <v>1048</v>
      </c>
      <c r="L215" s="23">
        <f t="shared" si="75"/>
        <v>2047</v>
      </c>
      <c r="M215" s="23">
        <f t="shared" si="75"/>
        <v>1202</v>
      </c>
      <c r="N215" s="23">
        <f t="shared" si="75"/>
        <v>0</v>
      </c>
      <c r="O215" s="23">
        <f t="shared" si="75"/>
        <v>15867</v>
      </c>
      <c r="P215" s="23">
        <f t="shared" si="75"/>
        <v>2691</v>
      </c>
      <c r="Q215" s="23">
        <f t="shared" si="75"/>
        <v>2920</v>
      </c>
      <c r="R215" s="23">
        <f t="shared" si="71"/>
        <v>38650</v>
      </c>
    </row>
    <row r="216" spans="1:20" ht="15" thickBot="1" x14ac:dyDescent="0.25">
      <c r="A216" s="4" t="s">
        <v>188</v>
      </c>
      <c r="B216" s="8"/>
      <c r="C216" s="25">
        <f>+C175+C209-C215</f>
        <v>-5984</v>
      </c>
      <c r="D216" s="25">
        <f t="shared" ref="D216:J216" si="76">+D175+D209-D215</f>
        <v>-182857.72000000006</v>
      </c>
      <c r="E216" s="25">
        <f t="shared" si="76"/>
        <v>-188841.71999999986</v>
      </c>
      <c r="F216" s="26"/>
      <c r="G216" s="25">
        <f t="shared" si="76"/>
        <v>158291</v>
      </c>
      <c r="H216" s="25">
        <f t="shared" si="76"/>
        <v>78154</v>
      </c>
      <c r="I216" s="25">
        <f t="shared" si="76"/>
        <v>28493</v>
      </c>
      <c r="J216" s="25">
        <f t="shared" si="76"/>
        <v>184734</v>
      </c>
      <c r="K216" s="25">
        <f t="shared" ref="K216" si="77">+K175+K209-K215</f>
        <v>129550</v>
      </c>
      <c r="L216" s="25">
        <f t="shared" ref="L216" si="78">+L175+L209-L215</f>
        <v>233829</v>
      </c>
      <c r="M216" s="25">
        <f t="shared" ref="M216" si="79">+M175+M209-M215</f>
        <v>155410</v>
      </c>
      <c r="N216" s="25">
        <f t="shared" ref="N216" si="80">+N175+N209-N215</f>
        <v>218285</v>
      </c>
      <c r="O216" s="25">
        <f t="shared" ref="O216" si="81">+O175+O209-O215</f>
        <v>83091</v>
      </c>
      <c r="P216" s="25">
        <f t="shared" ref="P216:Q216" si="82">+P175+P209-P215</f>
        <v>26280</v>
      </c>
      <c r="Q216" s="25">
        <f t="shared" si="82"/>
        <v>-32741</v>
      </c>
      <c r="R216" s="25">
        <f t="shared" si="71"/>
        <v>1257392</v>
      </c>
    </row>
    <row r="217" spans="1:20" ht="15" thickTop="1" x14ac:dyDescent="0.2">
      <c r="A217" s="10" t="s">
        <v>4</v>
      </c>
      <c r="B217" s="4"/>
      <c r="F217" s="18"/>
    </row>
    <row r="218" spans="1:20" x14ac:dyDescent="0.2">
      <c r="A218" s="10" t="s">
        <v>4</v>
      </c>
      <c r="F218" s="18"/>
    </row>
    <row r="219" spans="1:20" x14ac:dyDescent="0.2">
      <c r="A219" s="8" t="s">
        <v>189</v>
      </c>
      <c r="B219" s="8"/>
      <c r="F219" s="15"/>
    </row>
    <row r="222" spans="1:20" x14ac:dyDescent="0.2">
      <c r="C222" s="21">
        <v>1</v>
      </c>
      <c r="D222" s="27" t="s">
        <v>239</v>
      </c>
      <c r="E222" s="22"/>
    </row>
    <row r="223" spans="1:20" x14ac:dyDescent="0.2">
      <c r="D223" s="28"/>
      <c r="E223" s="6"/>
    </row>
    <row r="224" spans="1:20" x14ac:dyDescent="0.2">
      <c r="C224" s="21">
        <v>2</v>
      </c>
      <c r="D224" s="27" t="s">
        <v>309</v>
      </c>
      <c r="E224" s="22"/>
    </row>
    <row r="225" spans="3:5" x14ac:dyDescent="0.2">
      <c r="D225" s="28"/>
      <c r="E225" s="6"/>
    </row>
    <row r="226" spans="3:5" x14ac:dyDescent="0.2">
      <c r="C226" s="21">
        <v>3</v>
      </c>
      <c r="D226" s="27" t="s">
        <v>310</v>
      </c>
      <c r="E226" s="22"/>
    </row>
    <row r="227" spans="3:5" x14ac:dyDescent="0.2">
      <c r="D227" s="28"/>
      <c r="E227" s="6"/>
    </row>
    <row r="228" spans="3:5" x14ac:dyDescent="0.2">
      <c r="C228" s="21">
        <v>4</v>
      </c>
      <c r="D228" s="27" t="s">
        <v>311</v>
      </c>
      <c r="E228" s="22"/>
    </row>
    <row r="229" spans="3:5" x14ac:dyDescent="0.2">
      <c r="D229" s="28"/>
      <c r="E229" s="6"/>
    </row>
    <row r="230" spans="3:5" x14ac:dyDescent="0.2">
      <c r="C230" s="21">
        <v>5</v>
      </c>
      <c r="D230" s="27" t="s">
        <v>247</v>
      </c>
      <c r="E230" s="22"/>
    </row>
    <row r="231" spans="3:5" x14ac:dyDescent="0.2">
      <c r="D231" s="28"/>
      <c r="E231" s="6"/>
    </row>
    <row r="232" spans="3:5" x14ac:dyDescent="0.2">
      <c r="C232" s="21">
        <v>6</v>
      </c>
      <c r="D232" s="27" t="s">
        <v>312</v>
      </c>
      <c r="E232" s="22"/>
    </row>
    <row r="233" spans="3:5" x14ac:dyDescent="0.2">
      <c r="D233" s="28"/>
      <c r="E233" s="6"/>
    </row>
    <row r="234" spans="3:5" x14ac:dyDescent="0.2">
      <c r="C234" s="21">
        <v>7</v>
      </c>
      <c r="D234" s="27" t="s">
        <v>313</v>
      </c>
      <c r="E234" s="22"/>
    </row>
    <row r="235" spans="3:5" x14ac:dyDescent="0.2">
      <c r="D235" s="28"/>
      <c r="E235" s="6"/>
    </row>
    <row r="236" spans="3:5" x14ac:dyDescent="0.2">
      <c r="C236" s="21">
        <v>8</v>
      </c>
      <c r="D236" s="27" t="s">
        <v>314</v>
      </c>
      <c r="E236" s="22"/>
    </row>
    <row r="237" spans="3:5" x14ac:dyDescent="0.2">
      <c r="D237" s="28"/>
      <c r="E237" s="6"/>
    </row>
    <row r="238" spans="3:5" x14ac:dyDescent="0.2">
      <c r="C238" s="21">
        <v>9</v>
      </c>
      <c r="D238" s="27" t="s">
        <v>315</v>
      </c>
      <c r="E238" s="22"/>
    </row>
    <row r="239" spans="3:5" x14ac:dyDescent="0.2">
      <c r="D239" s="28"/>
      <c r="E239" s="6"/>
    </row>
    <row r="240" spans="3:5" x14ac:dyDescent="0.2">
      <c r="C240" s="21">
        <v>10</v>
      </c>
      <c r="D240" s="27" t="s">
        <v>316</v>
      </c>
      <c r="E240" s="22"/>
    </row>
    <row r="241" spans="3:5" x14ac:dyDescent="0.2">
      <c r="D241" s="28"/>
      <c r="E241" s="6"/>
    </row>
    <row r="242" spans="3:5" x14ac:dyDescent="0.2">
      <c r="C242" s="21">
        <v>11</v>
      </c>
      <c r="D242" s="27" t="s">
        <v>317</v>
      </c>
      <c r="E242" s="22"/>
    </row>
    <row r="243" spans="3:5" x14ac:dyDescent="0.2">
      <c r="D243" s="28"/>
      <c r="E243" s="6"/>
    </row>
    <row r="244" spans="3:5" x14ac:dyDescent="0.2">
      <c r="C244" s="21">
        <v>12</v>
      </c>
      <c r="D244" s="27" t="s">
        <v>318</v>
      </c>
      <c r="E244" s="22"/>
    </row>
    <row r="245" spans="3:5" x14ac:dyDescent="0.2">
      <c r="D245" s="28"/>
      <c r="E245" s="6"/>
    </row>
    <row r="246" spans="3:5" x14ac:dyDescent="0.2">
      <c r="C246" s="21">
        <v>13</v>
      </c>
      <c r="D246" s="27" t="s">
        <v>319</v>
      </c>
      <c r="E246" s="22"/>
    </row>
    <row r="247" spans="3:5" x14ac:dyDescent="0.2">
      <c r="D247" s="28"/>
      <c r="E247" s="6"/>
    </row>
    <row r="248" spans="3:5" x14ac:dyDescent="0.2">
      <c r="C248" s="21">
        <v>14</v>
      </c>
      <c r="D248" s="27" t="s">
        <v>320</v>
      </c>
      <c r="E248" s="22"/>
    </row>
  </sheetData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61DAD-13B8-47CA-BA6F-C2C087BDD6C2}">
  <sheetPr filterMode="1"/>
  <dimension ref="A1:Z96"/>
  <sheetViews>
    <sheetView topLeftCell="E1" workbookViewId="0">
      <selection activeCell="Z67" sqref="Z67"/>
    </sheetView>
    <sheetView workbookViewId="1"/>
  </sheetViews>
  <sheetFormatPr baseColWidth="10" defaultColWidth="8.83203125" defaultRowHeight="13" x14ac:dyDescent="0.15"/>
  <cols>
    <col min="1" max="1" width="8.83203125" style="1"/>
    <col min="2" max="3" width="10.1640625" style="1" bestFit="1" customWidth="1"/>
    <col min="4" max="4" width="8.83203125" style="1"/>
    <col min="5" max="5" width="32.5" style="1" customWidth="1"/>
    <col min="6" max="16384" width="8.83203125" style="1"/>
  </cols>
  <sheetData>
    <row r="1" spans="1:26" x14ac:dyDescent="0.15">
      <c r="A1" s="1" t="s">
        <v>213</v>
      </c>
      <c r="B1" s="1" t="s">
        <v>214</v>
      </c>
      <c r="C1" s="1" t="s">
        <v>215</v>
      </c>
      <c r="D1" s="1" t="s">
        <v>216</v>
      </c>
      <c r="E1" s="1" t="s">
        <v>217</v>
      </c>
      <c r="F1" s="1" t="s">
        <v>218</v>
      </c>
      <c r="G1" s="1" t="s">
        <v>219</v>
      </c>
      <c r="H1" s="1" t="s">
        <v>220</v>
      </c>
      <c r="I1" s="1" t="s">
        <v>221</v>
      </c>
      <c r="J1" s="1" t="s">
        <v>222</v>
      </c>
      <c r="K1" s="1" t="s">
        <v>223</v>
      </c>
      <c r="L1" s="1" t="s">
        <v>224</v>
      </c>
      <c r="M1" s="1" t="s">
        <v>225</v>
      </c>
      <c r="N1" s="1" t="s">
        <v>226</v>
      </c>
      <c r="O1" s="1" t="s">
        <v>227</v>
      </c>
      <c r="P1" s="1" t="s">
        <v>228</v>
      </c>
      <c r="Q1" s="1" t="s">
        <v>229</v>
      </c>
      <c r="R1" s="1" t="s">
        <v>230</v>
      </c>
      <c r="S1" s="1" t="s">
        <v>231</v>
      </c>
      <c r="T1" s="1" t="s">
        <v>232</v>
      </c>
      <c r="U1" s="1" t="s">
        <v>233</v>
      </c>
      <c r="V1" s="1" t="s">
        <v>234</v>
      </c>
      <c r="W1" s="1" t="s">
        <v>235</v>
      </c>
      <c r="X1" s="1" t="s">
        <v>236</v>
      </c>
      <c r="Y1" s="1" t="s">
        <v>237</v>
      </c>
      <c r="Z1" s="1" t="s">
        <v>238</v>
      </c>
    </row>
    <row r="2" spans="1:26" hidden="1" x14ac:dyDescent="0.15">
      <c r="A2" s="2">
        <v>41300</v>
      </c>
      <c r="B2" s="3">
        <v>46022</v>
      </c>
      <c r="C2" s="3">
        <v>46022</v>
      </c>
      <c r="D2" s="2"/>
      <c r="E2" s="2" t="s">
        <v>239</v>
      </c>
      <c r="F2" s="2"/>
      <c r="G2" s="2" t="s">
        <v>240</v>
      </c>
      <c r="H2" s="2"/>
      <c r="I2" s="2" t="s">
        <v>241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>
        <v>2677</v>
      </c>
      <c r="W2" s="2" t="s">
        <v>242</v>
      </c>
      <c r="X2" s="2">
        <v>60357</v>
      </c>
      <c r="Y2" s="2"/>
      <c r="Z2" s="2">
        <v>60357</v>
      </c>
    </row>
    <row r="3" spans="1:26" hidden="1" x14ac:dyDescent="0.15">
      <c r="A3" s="2">
        <v>41500</v>
      </c>
      <c r="B3" s="3">
        <v>46022</v>
      </c>
      <c r="C3" s="3">
        <v>46022</v>
      </c>
      <c r="D3" s="2"/>
      <c r="E3" s="2" t="s">
        <v>243</v>
      </c>
      <c r="F3" s="2"/>
      <c r="G3" s="2" t="s">
        <v>240</v>
      </c>
      <c r="H3" s="2"/>
      <c r="I3" s="2" t="s">
        <v>241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>
        <v>2646</v>
      </c>
      <c r="W3" s="2" t="s">
        <v>242</v>
      </c>
      <c r="X3" s="2"/>
      <c r="Y3" s="2">
        <v>1745.14</v>
      </c>
      <c r="Z3" s="2">
        <v>-1745.14</v>
      </c>
    </row>
    <row r="4" spans="1:26" hidden="1" x14ac:dyDescent="0.15">
      <c r="A4" s="2">
        <v>41500</v>
      </c>
      <c r="B4" s="3">
        <v>46022</v>
      </c>
      <c r="C4" s="3">
        <v>46022</v>
      </c>
      <c r="D4" s="2"/>
      <c r="E4" s="2" t="s">
        <v>244</v>
      </c>
      <c r="F4" s="2"/>
      <c r="G4" s="2" t="s">
        <v>240</v>
      </c>
      <c r="H4" s="2"/>
      <c r="I4" s="2" t="s">
        <v>241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>
        <v>2668</v>
      </c>
      <c r="W4" s="2" t="s">
        <v>242</v>
      </c>
      <c r="X4" s="2"/>
      <c r="Y4" s="2">
        <v>13000</v>
      </c>
      <c r="Z4" s="2">
        <v>-13000</v>
      </c>
    </row>
    <row r="5" spans="1:26" hidden="1" x14ac:dyDescent="0.15">
      <c r="A5" s="2">
        <v>41500</v>
      </c>
      <c r="B5" s="3">
        <v>46022</v>
      </c>
      <c r="C5" s="3">
        <v>46022</v>
      </c>
      <c r="D5" s="2"/>
      <c r="E5" s="2" t="s">
        <v>244</v>
      </c>
      <c r="F5" s="2"/>
      <c r="G5" s="2" t="s">
        <v>240</v>
      </c>
      <c r="H5" s="2"/>
      <c r="I5" s="2" t="s">
        <v>241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>
        <v>2668</v>
      </c>
      <c r="W5" s="2" t="s">
        <v>242</v>
      </c>
      <c r="X5" s="2"/>
      <c r="Y5" s="2">
        <v>15900</v>
      </c>
      <c r="Z5" s="2">
        <v>-15900</v>
      </c>
    </row>
    <row r="6" spans="1:26" hidden="1" x14ac:dyDescent="0.15">
      <c r="A6" s="2">
        <v>41500</v>
      </c>
      <c r="B6" s="3">
        <v>46022</v>
      </c>
      <c r="C6" s="3">
        <v>46022</v>
      </c>
      <c r="D6" s="2"/>
      <c r="E6" s="2" t="s">
        <v>244</v>
      </c>
      <c r="F6" s="2"/>
      <c r="G6" s="2" t="s">
        <v>240</v>
      </c>
      <c r="H6" s="2"/>
      <c r="I6" s="2" t="s">
        <v>241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>
        <v>2668</v>
      </c>
      <c r="W6" s="2" t="s">
        <v>242</v>
      </c>
      <c r="X6" s="2"/>
      <c r="Y6" s="2">
        <v>18913.5</v>
      </c>
      <c r="Z6" s="2">
        <v>-18913.5</v>
      </c>
    </row>
    <row r="7" spans="1:26" hidden="1" x14ac:dyDescent="0.15">
      <c r="A7" s="2">
        <v>41500</v>
      </c>
      <c r="B7" s="3">
        <v>46022</v>
      </c>
      <c r="C7" s="3">
        <v>46022</v>
      </c>
      <c r="D7" s="2"/>
      <c r="E7" s="2" t="s">
        <v>243</v>
      </c>
      <c r="F7" s="2"/>
      <c r="G7" s="2" t="s">
        <v>245</v>
      </c>
      <c r="H7" s="2"/>
      <c r="I7" s="2" t="s">
        <v>246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>
        <v>2646</v>
      </c>
      <c r="W7" s="2" t="s">
        <v>242</v>
      </c>
      <c r="X7" s="2">
        <v>6500.5</v>
      </c>
      <c r="Y7" s="2"/>
      <c r="Z7" s="2">
        <v>6500.5</v>
      </c>
    </row>
    <row r="8" spans="1:26" hidden="1" x14ac:dyDescent="0.15">
      <c r="A8" s="2">
        <v>50600</v>
      </c>
      <c r="B8" s="3">
        <v>46022</v>
      </c>
      <c r="C8" s="3">
        <v>46022</v>
      </c>
      <c r="D8" s="2"/>
      <c r="E8" s="2" t="s">
        <v>247</v>
      </c>
      <c r="F8" s="2"/>
      <c r="G8" s="2" t="s">
        <v>240</v>
      </c>
      <c r="H8" s="2"/>
      <c r="I8" s="2" t="s">
        <v>241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>
        <v>2681</v>
      </c>
      <c r="W8" s="2" t="s">
        <v>242</v>
      </c>
      <c r="X8" s="2"/>
      <c r="Y8" s="2">
        <v>56839.74</v>
      </c>
      <c r="Z8" s="2">
        <v>-56839.74</v>
      </c>
    </row>
    <row r="9" spans="1:26" hidden="1" x14ac:dyDescent="0.15">
      <c r="A9" s="2">
        <v>50600</v>
      </c>
      <c r="B9" s="3">
        <v>46022</v>
      </c>
      <c r="C9" s="3">
        <v>46022</v>
      </c>
      <c r="D9" s="2"/>
      <c r="E9" s="2" t="s">
        <v>247</v>
      </c>
      <c r="F9" s="2"/>
      <c r="G9" s="2" t="s">
        <v>248</v>
      </c>
      <c r="H9" s="2"/>
      <c r="I9" s="2" t="s">
        <v>249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>
        <v>2681</v>
      </c>
      <c r="W9" s="2" t="s">
        <v>242</v>
      </c>
      <c r="X9" s="2"/>
      <c r="Y9" s="2">
        <v>268.24</v>
      </c>
      <c r="Z9" s="2">
        <v>-268.24</v>
      </c>
    </row>
    <row r="10" spans="1:26" hidden="1" x14ac:dyDescent="0.15">
      <c r="A10" s="2">
        <v>50600</v>
      </c>
      <c r="B10" s="3">
        <v>46022</v>
      </c>
      <c r="C10" s="3">
        <v>46022</v>
      </c>
      <c r="D10" s="2"/>
      <c r="E10" s="2" t="s">
        <v>247</v>
      </c>
      <c r="F10" s="2"/>
      <c r="G10" s="2" t="s">
        <v>245</v>
      </c>
      <c r="H10" s="2"/>
      <c r="I10" s="2" t="s">
        <v>246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>
        <v>2681</v>
      </c>
      <c r="W10" s="2" t="s">
        <v>242</v>
      </c>
      <c r="X10" s="2">
        <v>4679.26</v>
      </c>
      <c r="Y10" s="2"/>
      <c r="Z10" s="2">
        <v>4679.26</v>
      </c>
    </row>
    <row r="11" spans="1:26" hidden="1" x14ac:dyDescent="0.15">
      <c r="A11" s="2">
        <v>50605</v>
      </c>
      <c r="B11" s="3">
        <v>46022</v>
      </c>
      <c r="C11" s="3">
        <v>46022</v>
      </c>
      <c r="D11" s="2"/>
      <c r="E11" s="2" t="s">
        <v>247</v>
      </c>
      <c r="F11" s="2" t="s">
        <v>250</v>
      </c>
      <c r="G11" s="2" t="s">
        <v>240</v>
      </c>
      <c r="H11" s="2" t="s">
        <v>251</v>
      </c>
      <c r="I11" s="2" t="s">
        <v>241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>
        <v>2681</v>
      </c>
      <c r="W11" s="2" t="s">
        <v>242</v>
      </c>
      <c r="X11" s="2">
        <v>14434.6</v>
      </c>
      <c r="Y11" s="2"/>
      <c r="Z11" s="2">
        <v>14434.6</v>
      </c>
    </row>
    <row r="12" spans="1:26" hidden="1" x14ac:dyDescent="0.15">
      <c r="A12" s="2">
        <v>50605</v>
      </c>
      <c r="B12" s="3">
        <v>46022</v>
      </c>
      <c r="C12" s="3">
        <v>46022</v>
      </c>
      <c r="D12" s="2"/>
      <c r="E12" s="2" t="s">
        <v>247</v>
      </c>
      <c r="F12" s="2" t="s">
        <v>250</v>
      </c>
      <c r="G12" s="2" t="s">
        <v>248</v>
      </c>
      <c r="H12" s="2" t="s">
        <v>251</v>
      </c>
      <c r="I12" s="2" t="s">
        <v>249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>
        <v>2681</v>
      </c>
      <c r="W12" s="2" t="s">
        <v>242</v>
      </c>
      <c r="X12" s="2">
        <v>3596.96</v>
      </c>
      <c r="Y12" s="2"/>
      <c r="Z12" s="2">
        <v>3596.96</v>
      </c>
    </row>
    <row r="13" spans="1:26" hidden="1" x14ac:dyDescent="0.15">
      <c r="A13" s="2">
        <v>50605</v>
      </c>
      <c r="B13" s="3">
        <v>46022</v>
      </c>
      <c r="C13" s="3">
        <v>46022</v>
      </c>
      <c r="D13" s="2"/>
      <c r="E13" s="2" t="s">
        <v>247</v>
      </c>
      <c r="F13" s="2" t="s">
        <v>250</v>
      </c>
      <c r="G13" s="2" t="s">
        <v>245</v>
      </c>
      <c r="H13" s="2" t="s">
        <v>251</v>
      </c>
      <c r="I13" s="2" t="s">
        <v>246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>
        <v>2681</v>
      </c>
      <c r="W13" s="2" t="s">
        <v>242</v>
      </c>
      <c r="X13" s="2"/>
      <c r="Y13" s="2">
        <v>82377</v>
      </c>
      <c r="Z13" s="2">
        <v>-82377</v>
      </c>
    </row>
    <row r="14" spans="1:26" hidden="1" x14ac:dyDescent="0.15">
      <c r="A14" s="2">
        <v>50610</v>
      </c>
      <c r="B14" s="3">
        <v>46022</v>
      </c>
      <c r="C14" s="3">
        <v>46022</v>
      </c>
      <c r="D14" s="2"/>
      <c r="E14" s="2" t="s">
        <v>247</v>
      </c>
      <c r="F14" s="2" t="s">
        <v>250</v>
      </c>
      <c r="G14" s="2" t="s">
        <v>240</v>
      </c>
      <c r="H14" s="2" t="s">
        <v>251</v>
      </c>
      <c r="I14" s="2" t="s">
        <v>241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>
        <v>2681</v>
      </c>
      <c r="W14" s="2" t="s">
        <v>242</v>
      </c>
      <c r="X14" s="2">
        <v>71686</v>
      </c>
      <c r="Y14" s="2"/>
      <c r="Z14" s="2">
        <v>71686</v>
      </c>
    </row>
    <row r="15" spans="1:26" hidden="1" x14ac:dyDescent="0.15">
      <c r="A15" s="2">
        <v>50610</v>
      </c>
      <c r="B15" s="3">
        <v>46022</v>
      </c>
      <c r="C15" s="3">
        <v>46022</v>
      </c>
      <c r="D15" s="2"/>
      <c r="E15" s="2" t="s">
        <v>247</v>
      </c>
      <c r="F15" s="2" t="s">
        <v>250</v>
      </c>
      <c r="G15" s="2" t="s">
        <v>248</v>
      </c>
      <c r="H15" s="2" t="s">
        <v>251</v>
      </c>
      <c r="I15" s="2" t="s">
        <v>249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>
        <v>2681</v>
      </c>
      <c r="W15" s="2" t="s">
        <v>242</v>
      </c>
      <c r="X15" s="2">
        <v>6868.02</v>
      </c>
      <c r="Y15" s="2"/>
      <c r="Z15" s="2">
        <v>6868.02</v>
      </c>
    </row>
    <row r="16" spans="1:26" hidden="1" x14ac:dyDescent="0.15">
      <c r="A16" s="2">
        <v>50610</v>
      </c>
      <c r="B16" s="3">
        <v>46022</v>
      </c>
      <c r="C16" s="3">
        <v>46022</v>
      </c>
      <c r="D16" s="2"/>
      <c r="E16" s="2" t="s">
        <v>247</v>
      </c>
      <c r="F16" s="2" t="s">
        <v>250</v>
      </c>
      <c r="G16" s="2" t="s">
        <v>245</v>
      </c>
      <c r="H16" s="2" t="s">
        <v>251</v>
      </c>
      <c r="I16" s="2" t="s">
        <v>246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>
        <v>2681</v>
      </c>
      <c r="W16" s="2" t="s">
        <v>242</v>
      </c>
      <c r="X16" s="2">
        <v>82134.58</v>
      </c>
      <c r="Y16" s="2"/>
      <c r="Z16" s="2">
        <v>82134.58</v>
      </c>
    </row>
    <row r="17" spans="1:26" hidden="1" x14ac:dyDescent="0.15">
      <c r="A17" s="2">
        <v>50620</v>
      </c>
      <c r="B17" s="3">
        <v>46022</v>
      </c>
      <c r="C17" s="3">
        <v>46022</v>
      </c>
      <c r="D17" s="2"/>
      <c r="E17" s="2" t="s">
        <v>247</v>
      </c>
      <c r="F17" s="2" t="s">
        <v>250</v>
      </c>
      <c r="G17" s="2" t="s">
        <v>240</v>
      </c>
      <c r="H17" s="2" t="s">
        <v>251</v>
      </c>
      <c r="I17" s="2" t="s">
        <v>241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>
        <v>2681</v>
      </c>
      <c r="W17" s="2" t="s">
        <v>242</v>
      </c>
      <c r="X17" s="2">
        <v>14922.8</v>
      </c>
      <c r="Y17" s="2"/>
      <c r="Z17" s="2">
        <v>14922.8</v>
      </c>
    </row>
    <row r="18" spans="1:26" hidden="1" x14ac:dyDescent="0.15">
      <c r="A18" s="2">
        <v>50620</v>
      </c>
      <c r="B18" s="3">
        <v>46022</v>
      </c>
      <c r="C18" s="3">
        <v>46022</v>
      </c>
      <c r="D18" s="2"/>
      <c r="E18" s="2" t="s">
        <v>247</v>
      </c>
      <c r="F18" s="2" t="s">
        <v>250</v>
      </c>
      <c r="G18" s="2" t="s">
        <v>245</v>
      </c>
      <c r="H18" s="2" t="s">
        <v>251</v>
      </c>
      <c r="I18" s="2" t="s">
        <v>246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>
        <v>2681</v>
      </c>
      <c r="W18" s="2" t="s">
        <v>242</v>
      </c>
      <c r="X18" s="2">
        <v>4462.76</v>
      </c>
      <c r="Y18" s="2"/>
      <c r="Z18" s="2">
        <v>4462.76</v>
      </c>
    </row>
    <row r="19" spans="1:26" hidden="1" x14ac:dyDescent="0.15">
      <c r="A19" s="2">
        <v>50625</v>
      </c>
      <c r="B19" s="3">
        <v>46022</v>
      </c>
      <c r="C19" s="3">
        <v>46022</v>
      </c>
      <c r="D19" s="2"/>
      <c r="E19" s="2" t="s">
        <v>247</v>
      </c>
      <c r="F19" s="2" t="s">
        <v>250</v>
      </c>
      <c r="G19" s="2" t="s">
        <v>240</v>
      </c>
      <c r="H19" s="2" t="s">
        <v>251</v>
      </c>
      <c r="I19" s="2" t="s">
        <v>241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>
        <v>2681</v>
      </c>
      <c r="W19" s="2" t="s">
        <v>242</v>
      </c>
      <c r="X19" s="2"/>
      <c r="Y19" s="2">
        <v>135262.26</v>
      </c>
      <c r="Z19" s="2">
        <v>-135262.26</v>
      </c>
    </row>
    <row r="20" spans="1:26" hidden="1" x14ac:dyDescent="0.15">
      <c r="A20" s="2">
        <v>50625</v>
      </c>
      <c r="B20" s="3">
        <v>46022</v>
      </c>
      <c r="C20" s="3">
        <v>46022</v>
      </c>
      <c r="D20" s="2"/>
      <c r="E20" s="2" t="s">
        <v>247</v>
      </c>
      <c r="F20" s="2" t="s">
        <v>250</v>
      </c>
      <c r="G20" s="2" t="s">
        <v>245</v>
      </c>
      <c r="H20" s="2" t="s">
        <v>251</v>
      </c>
      <c r="I20" s="2" t="s">
        <v>246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>
        <v>2681</v>
      </c>
      <c r="W20" s="2" t="s">
        <v>242</v>
      </c>
      <c r="X20" s="2">
        <v>15442.83</v>
      </c>
      <c r="Y20" s="2"/>
      <c r="Z20" s="2">
        <v>15442.83</v>
      </c>
    </row>
    <row r="21" spans="1:26" hidden="1" x14ac:dyDescent="0.15">
      <c r="A21" s="2">
        <v>50661</v>
      </c>
      <c r="B21" s="3">
        <v>46022</v>
      </c>
      <c r="C21" s="3">
        <v>46022</v>
      </c>
      <c r="D21" s="2"/>
      <c r="E21" s="2" t="s">
        <v>252</v>
      </c>
      <c r="F21" s="2"/>
      <c r="G21" s="2" t="s">
        <v>240</v>
      </c>
      <c r="H21" s="2"/>
      <c r="I21" s="2" t="s">
        <v>241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>
        <v>2721</v>
      </c>
      <c r="W21" s="2" t="s">
        <v>242</v>
      </c>
      <c r="X21" s="2"/>
      <c r="Y21" s="2">
        <v>90648.14</v>
      </c>
      <c r="Z21" s="2">
        <v>-90648.14</v>
      </c>
    </row>
    <row r="22" spans="1:26" hidden="1" x14ac:dyDescent="0.15">
      <c r="A22" s="2">
        <v>50700</v>
      </c>
      <c r="B22" s="3">
        <v>46022</v>
      </c>
      <c r="C22" s="3">
        <v>46022</v>
      </c>
      <c r="D22" s="2"/>
      <c r="E22" s="2" t="s">
        <v>247</v>
      </c>
      <c r="F22" s="2"/>
      <c r="G22" s="2" t="s">
        <v>240</v>
      </c>
      <c r="H22" s="2"/>
      <c r="I22" s="2" t="s">
        <v>241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>
        <v>2681</v>
      </c>
      <c r="W22" s="2" t="s">
        <v>242</v>
      </c>
      <c r="X22" s="2"/>
      <c r="Y22" s="2">
        <v>15331.32</v>
      </c>
      <c r="Z22" s="2">
        <v>-15331.32</v>
      </c>
    </row>
    <row r="23" spans="1:26" hidden="1" x14ac:dyDescent="0.15">
      <c r="A23" s="2">
        <v>50700</v>
      </c>
      <c r="B23" s="3">
        <v>46022</v>
      </c>
      <c r="C23" s="3">
        <v>46022</v>
      </c>
      <c r="D23" s="2"/>
      <c r="E23" s="2" t="s">
        <v>247</v>
      </c>
      <c r="F23" s="2"/>
      <c r="G23" s="2" t="s">
        <v>248</v>
      </c>
      <c r="H23" s="2"/>
      <c r="I23" s="2" t="s">
        <v>249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>
        <v>2681</v>
      </c>
      <c r="W23" s="2" t="s">
        <v>242</v>
      </c>
      <c r="X23" s="2">
        <v>399.41</v>
      </c>
      <c r="Y23" s="2"/>
      <c r="Z23" s="2">
        <v>399.41</v>
      </c>
    </row>
    <row r="24" spans="1:26" hidden="1" x14ac:dyDescent="0.15">
      <c r="A24" s="2">
        <v>50700</v>
      </c>
      <c r="B24" s="3">
        <v>46022</v>
      </c>
      <c r="C24" s="3">
        <v>46022</v>
      </c>
      <c r="D24" s="2"/>
      <c r="E24" s="2" t="s">
        <v>247</v>
      </c>
      <c r="F24" s="2"/>
      <c r="G24" s="2" t="s">
        <v>245</v>
      </c>
      <c r="H24" s="2"/>
      <c r="I24" s="2" t="s">
        <v>246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>
        <v>2681</v>
      </c>
      <c r="W24" s="2" t="s">
        <v>242</v>
      </c>
      <c r="X24" s="2">
        <v>357.08</v>
      </c>
      <c r="Y24" s="2"/>
      <c r="Z24" s="2">
        <v>357.08</v>
      </c>
    </row>
    <row r="25" spans="1:26" hidden="1" x14ac:dyDescent="0.15">
      <c r="A25" s="2">
        <v>50705</v>
      </c>
      <c r="B25" s="3">
        <v>46022</v>
      </c>
      <c r="C25" s="3">
        <v>46022</v>
      </c>
      <c r="D25" s="2"/>
      <c r="E25" s="2" t="s">
        <v>247</v>
      </c>
      <c r="F25" s="2" t="s">
        <v>250</v>
      </c>
      <c r="G25" s="2" t="s">
        <v>240</v>
      </c>
      <c r="H25" s="2" t="s">
        <v>251</v>
      </c>
      <c r="I25" s="2" t="s">
        <v>241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>
        <v>2681</v>
      </c>
      <c r="W25" s="2" t="s">
        <v>242</v>
      </c>
      <c r="X25" s="2">
        <v>3029.84</v>
      </c>
      <c r="Y25" s="2"/>
      <c r="Z25" s="2">
        <v>3029.84</v>
      </c>
    </row>
    <row r="26" spans="1:26" hidden="1" x14ac:dyDescent="0.15">
      <c r="A26" s="2">
        <v>50705</v>
      </c>
      <c r="B26" s="3">
        <v>46022</v>
      </c>
      <c r="C26" s="3">
        <v>46022</v>
      </c>
      <c r="D26" s="2"/>
      <c r="E26" s="2" t="s">
        <v>247</v>
      </c>
      <c r="F26" s="2" t="s">
        <v>250</v>
      </c>
      <c r="G26" s="2" t="s">
        <v>248</v>
      </c>
      <c r="H26" s="2" t="s">
        <v>251</v>
      </c>
      <c r="I26" s="2" t="s">
        <v>249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>
        <v>2681</v>
      </c>
      <c r="W26" s="2" t="s">
        <v>242</v>
      </c>
      <c r="X26" s="2">
        <v>920.97</v>
      </c>
      <c r="Y26" s="2"/>
      <c r="Z26" s="2">
        <v>920.97</v>
      </c>
    </row>
    <row r="27" spans="1:26" hidden="1" x14ac:dyDescent="0.15">
      <c r="A27" s="2">
        <v>50705</v>
      </c>
      <c r="B27" s="3">
        <v>46022</v>
      </c>
      <c r="C27" s="3">
        <v>46022</v>
      </c>
      <c r="D27" s="2"/>
      <c r="E27" s="2" t="s">
        <v>247</v>
      </c>
      <c r="F27" s="2" t="s">
        <v>250</v>
      </c>
      <c r="G27" s="2" t="s">
        <v>245</v>
      </c>
      <c r="H27" s="2" t="s">
        <v>251</v>
      </c>
      <c r="I27" s="2" t="s">
        <v>246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>
        <v>2681</v>
      </c>
      <c r="W27" s="2" t="s">
        <v>242</v>
      </c>
      <c r="X27" s="2"/>
      <c r="Y27" s="2">
        <v>6542</v>
      </c>
      <c r="Z27" s="2">
        <v>-6542</v>
      </c>
    </row>
    <row r="28" spans="1:26" hidden="1" x14ac:dyDescent="0.15">
      <c r="A28" s="2">
        <v>50710</v>
      </c>
      <c r="B28" s="3">
        <v>46022</v>
      </c>
      <c r="C28" s="3">
        <v>46022</v>
      </c>
      <c r="D28" s="2"/>
      <c r="E28" s="2" t="s">
        <v>247</v>
      </c>
      <c r="F28" s="2" t="s">
        <v>250</v>
      </c>
      <c r="G28" s="2" t="s">
        <v>240</v>
      </c>
      <c r="H28" s="2" t="s">
        <v>251</v>
      </c>
      <c r="I28" s="2" t="s">
        <v>241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>
        <v>2681</v>
      </c>
      <c r="W28" s="2" t="s">
        <v>242</v>
      </c>
      <c r="X28" s="2">
        <v>10631.43</v>
      </c>
      <c r="Y28" s="2"/>
      <c r="Z28" s="2">
        <v>10631.43</v>
      </c>
    </row>
    <row r="29" spans="1:26" hidden="1" x14ac:dyDescent="0.15">
      <c r="A29" s="2">
        <v>50710</v>
      </c>
      <c r="B29" s="3">
        <v>46022</v>
      </c>
      <c r="C29" s="3">
        <v>46022</v>
      </c>
      <c r="D29" s="2"/>
      <c r="E29" s="2" t="s">
        <v>247</v>
      </c>
      <c r="F29" s="2" t="s">
        <v>250</v>
      </c>
      <c r="G29" s="2" t="s">
        <v>248</v>
      </c>
      <c r="H29" s="2" t="s">
        <v>251</v>
      </c>
      <c r="I29" s="2" t="s">
        <v>249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>
        <v>2681</v>
      </c>
      <c r="W29" s="2" t="s">
        <v>242</v>
      </c>
      <c r="X29" s="2">
        <v>1178.99</v>
      </c>
      <c r="Y29" s="2"/>
      <c r="Z29" s="2">
        <v>1178.99</v>
      </c>
    </row>
    <row r="30" spans="1:26" hidden="1" x14ac:dyDescent="0.15">
      <c r="A30" s="2">
        <v>50710</v>
      </c>
      <c r="B30" s="3">
        <v>46022</v>
      </c>
      <c r="C30" s="3">
        <v>46022</v>
      </c>
      <c r="D30" s="2"/>
      <c r="E30" s="2" t="s">
        <v>247</v>
      </c>
      <c r="F30" s="2" t="s">
        <v>250</v>
      </c>
      <c r="G30" s="2" t="s">
        <v>245</v>
      </c>
      <c r="H30" s="2" t="s">
        <v>251</v>
      </c>
      <c r="I30" s="2" t="s">
        <v>246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>
        <v>2681</v>
      </c>
      <c r="W30" s="2" t="s">
        <v>242</v>
      </c>
      <c r="X30" s="2">
        <v>7402.03</v>
      </c>
      <c r="Y30" s="2"/>
      <c r="Z30" s="2">
        <v>7402.03</v>
      </c>
    </row>
    <row r="31" spans="1:26" hidden="1" x14ac:dyDescent="0.15">
      <c r="A31" s="2">
        <v>50720</v>
      </c>
      <c r="B31" s="3">
        <v>46022</v>
      </c>
      <c r="C31" s="3">
        <v>46022</v>
      </c>
      <c r="D31" s="2"/>
      <c r="E31" s="2" t="s">
        <v>247</v>
      </c>
      <c r="F31" s="2" t="s">
        <v>250</v>
      </c>
      <c r="G31" s="2" t="s">
        <v>240</v>
      </c>
      <c r="H31" s="2" t="s">
        <v>251</v>
      </c>
      <c r="I31" s="2" t="s">
        <v>241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>
        <v>2681</v>
      </c>
      <c r="W31" s="2" t="s">
        <v>242</v>
      </c>
      <c r="X31" s="2"/>
      <c r="Y31" s="2">
        <v>758.42</v>
      </c>
      <c r="Z31" s="2">
        <v>-758.42</v>
      </c>
    </row>
    <row r="32" spans="1:26" hidden="1" x14ac:dyDescent="0.15">
      <c r="A32" s="2">
        <v>50720</v>
      </c>
      <c r="B32" s="3">
        <v>46022</v>
      </c>
      <c r="C32" s="3">
        <v>46022</v>
      </c>
      <c r="D32" s="2"/>
      <c r="E32" s="2" t="s">
        <v>247</v>
      </c>
      <c r="F32" s="2" t="s">
        <v>250</v>
      </c>
      <c r="G32" s="2" t="s">
        <v>245</v>
      </c>
      <c r="H32" s="2" t="s">
        <v>251</v>
      </c>
      <c r="I32" s="2" t="s">
        <v>246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>
        <v>2681</v>
      </c>
      <c r="W32" s="2" t="s">
        <v>242</v>
      </c>
      <c r="X32" s="2">
        <v>3882.41</v>
      </c>
      <c r="Y32" s="2"/>
      <c r="Z32" s="2">
        <v>3882.41</v>
      </c>
    </row>
    <row r="33" spans="1:26" hidden="1" x14ac:dyDescent="0.15">
      <c r="A33" s="2">
        <v>50801</v>
      </c>
      <c r="B33" s="3">
        <v>46022</v>
      </c>
      <c r="C33" s="3">
        <v>46022</v>
      </c>
      <c r="D33" s="2"/>
      <c r="E33" s="2" t="s">
        <v>247</v>
      </c>
      <c r="F33" s="2"/>
      <c r="G33" s="2" t="s">
        <v>240</v>
      </c>
      <c r="H33" s="2"/>
      <c r="I33" s="2" t="s">
        <v>241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>
        <v>2681</v>
      </c>
      <c r="W33" s="2" t="s">
        <v>242</v>
      </c>
      <c r="X33" s="2"/>
      <c r="Y33" s="2">
        <v>1189.3900000000001</v>
      </c>
      <c r="Z33" s="2">
        <v>-1189.3900000000001</v>
      </c>
    </row>
    <row r="34" spans="1:26" hidden="1" x14ac:dyDescent="0.15">
      <c r="A34" s="2">
        <v>50801</v>
      </c>
      <c r="B34" s="3">
        <v>46022</v>
      </c>
      <c r="C34" s="3">
        <v>46022</v>
      </c>
      <c r="D34" s="2"/>
      <c r="E34" s="2" t="s">
        <v>247</v>
      </c>
      <c r="F34" s="2"/>
      <c r="G34" s="2" t="s">
        <v>248</v>
      </c>
      <c r="H34" s="2"/>
      <c r="I34" s="2" t="s">
        <v>249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>
        <v>2681</v>
      </c>
      <c r="W34" s="2" t="s">
        <v>242</v>
      </c>
      <c r="X34" s="2"/>
      <c r="Y34" s="2">
        <v>9.43</v>
      </c>
      <c r="Z34" s="2">
        <v>-9.43</v>
      </c>
    </row>
    <row r="35" spans="1:26" hidden="1" x14ac:dyDescent="0.15">
      <c r="A35" s="2">
        <v>50805</v>
      </c>
      <c r="B35" s="3">
        <v>46022</v>
      </c>
      <c r="C35" s="3">
        <v>46022</v>
      </c>
      <c r="D35" s="2"/>
      <c r="E35" s="2" t="s">
        <v>247</v>
      </c>
      <c r="F35" s="2" t="s">
        <v>250</v>
      </c>
      <c r="G35" s="2" t="s">
        <v>240</v>
      </c>
      <c r="H35" s="2" t="s">
        <v>251</v>
      </c>
      <c r="I35" s="2" t="s">
        <v>241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>
        <v>2681</v>
      </c>
      <c r="W35" s="2" t="s">
        <v>242</v>
      </c>
      <c r="X35" s="2">
        <v>428.63</v>
      </c>
      <c r="Y35" s="2"/>
      <c r="Z35" s="2">
        <v>428.63</v>
      </c>
    </row>
    <row r="36" spans="1:26" hidden="1" x14ac:dyDescent="0.15">
      <c r="A36" s="2">
        <v>50805</v>
      </c>
      <c r="B36" s="3">
        <v>46022</v>
      </c>
      <c r="C36" s="3">
        <v>46022</v>
      </c>
      <c r="D36" s="2"/>
      <c r="E36" s="2" t="s">
        <v>247</v>
      </c>
      <c r="F36" s="2" t="s">
        <v>250</v>
      </c>
      <c r="G36" s="2" t="s">
        <v>248</v>
      </c>
      <c r="H36" s="2" t="s">
        <v>251</v>
      </c>
      <c r="I36" s="2" t="s">
        <v>249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>
        <v>2681</v>
      </c>
      <c r="W36" s="2" t="s">
        <v>242</v>
      </c>
      <c r="X36" s="2">
        <v>107.5</v>
      </c>
      <c r="Y36" s="2"/>
      <c r="Z36" s="2">
        <v>107.5</v>
      </c>
    </row>
    <row r="37" spans="1:26" hidden="1" x14ac:dyDescent="0.15">
      <c r="A37" s="2">
        <v>50805</v>
      </c>
      <c r="B37" s="3">
        <v>46022</v>
      </c>
      <c r="C37" s="3">
        <v>46022</v>
      </c>
      <c r="D37" s="2"/>
      <c r="E37" s="2" t="s">
        <v>247</v>
      </c>
      <c r="F37" s="2" t="s">
        <v>250</v>
      </c>
      <c r="G37" s="2" t="s">
        <v>245</v>
      </c>
      <c r="H37" s="2" t="s">
        <v>251</v>
      </c>
      <c r="I37" s="2" t="s">
        <v>246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>
        <v>2681</v>
      </c>
      <c r="W37" s="2" t="s">
        <v>242</v>
      </c>
      <c r="X37" s="2"/>
      <c r="Y37" s="2">
        <v>2471</v>
      </c>
      <c r="Z37" s="2">
        <v>-2471</v>
      </c>
    </row>
    <row r="38" spans="1:26" hidden="1" x14ac:dyDescent="0.15">
      <c r="A38" s="2">
        <v>50811</v>
      </c>
      <c r="B38" s="3">
        <v>46022</v>
      </c>
      <c r="C38" s="3">
        <v>46022</v>
      </c>
      <c r="D38" s="2"/>
      <c r="E38" s="2" t="s">
        <v>247</v>
      </c>
      <c r="F38" s="2" t="s">
        <v>250</v>
      </c>
      <c r="G38" s="2" t="s">
        <v>240</v>
      </c>
      <c r="H38" s="2" t="s">
        <v>251</v>
      </c>
      <c r="I38" s="2" t="s">
        <v>241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>
        <v>2681</v>
      </c>
      <c r="W38" s="2" t="s">
        <v>242</v>
      </c>
      <c r="X38" s="2"/>
      <c r="Y38" s="2">
        <v>820.77</v>
      </c>
      <c r="Z38" s="2">
        <v>-820.77</v>
      </c>
    </row>
    <row r="39" spans="1:26" hidden="1" x14ac:dyDescent="0.15">
      <c r="A39" s="2">
        <v>50811</v>
      </c>
      <c r="B39" s="3">
        <v>46022</v>
      </c>
      <c r="C39" s="3">
        <v>46022</v>
      </c>
      <c r="D39" s="2"/>
      <c r="E39" s="2" t="s">
        <v>247</v>
      </c>
      <c r="F39" s="2" t="s">
        <v>250</v>
      </c>
      <c r="G39" s="2" t="s">
        <v>248</v>
      </c>
      <c r="H39" s="2" t="s">
        <v>251</v>
      </c>
      <c r="I39" s="2" t="s">
        <v>249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>
        <v>2681</v>
      </c>
      <c r="W39" s="2" t="s">
        <v>242</v>
      </c>
      <c r="X39" s="2">
        <v>169.16</v>
      </c>
      <c r="Y39" s="2"/>
      <c r="Z39" s="2">
        <v>169.16</v>
      </c>
    </row>
    <row r="40" spans="1:26" hidden="1" x14ac:dyDescent="0.15">
      <c r="A40" s="2">
        <v>50811</v>
      </c>
      <c r="B40" s="3">
        <v>46022</v>
      </c>
      <c r="C40" s="3">
        <v>46022</v>
      </c>
      <c r="D40" s="2"/>
      <c r="E40" s="2" t="s">
        <v>247</v>
      </c>
      <c r="F40" s="2" t="s">
        <v>250</v>
      </c>
      <c r="G40" s="2" t="s">
        <v>245</v>
      </c>
      <c r="H40" s="2" t="s">
        <v>251</v>
      </c>
      <c r="I40" s="2" t="s">
        <v>246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>
        <v>2681</v>
      </c>
      <c r="W40" s="2" t="s">
        <v>242</v>
      </c>
      <c r="X40" s="2">
        <v>2486.0300000000002</v>
      </c>
      <c r="Y40" s="2"/>
      <c r="Z40" s="2">
        <v>2486.0300000000002</v>
      </c>
    </row>
    <row r="41" spans="1:26" hidden="1" x14ac:dyDescent="0.15">
      <c r="A41" s="2">
        <v>50821</v>
      </c>
      <c r="B41" s="3">
        <v>46022</v>
      </c>
      <c r="C41" s="3">
        <v>46022</v>
      </c>
      <c r="D41" s="2"/>
      <c r="E41" s="2" t="s">
        <v>247</v>
      </c>
      <c r="F41" s="2" t="s">
        <v>250</v>
      </c>
      <c r="G41" s="2" t="s">
        <v>240</v>
      </c>
      <c r="H41" s="2" t="s">
        <v>251</v>
      </c>
      <c r="I41" s="2" t="s">
        <v>241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>
        <v>2681</v>
      </c>
      <c r="W41" s="2" t="s">
        <v>242</v>
      </c>
      <c r="X41" s="2">
        <v>1170.3800000000001</v>
      </c>
      <c r="Y41" s="2"/>
      <c r="Z41" s="2">
        <v>1170.3800000000001</v>
      </c>
    </row>
    <row r="42" spans="1:26" hidden="1" x14ac:dyDescent="0.15">
      <c r="A42" s="2">
        <v>50821</v>
      </c>
      <c r="B42" s="3">
        <v>46022</v>
      </c>
      <c r="C42" s="3">
        <v>46022</v>
      </c>
      <c r="D42" s="2"/>
      <c r="E42" s="2" t="s">
        <v>247</v>
      </c>
      <c r="F42" s="2" t="s">
        <v>250</v>
      </c>
      <c r="G42" s="2" t="s">
        <v>245</v>
      </c>
      <c r="H42" s="2" t="s">
        <v>251</v>
      </c>
      <c r="I42" s="2" t="s">
        <v>246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>
        <v>2681</v>
      </c>
      <c r="W42" s="2" t="s">
        <v>242</v>
      </c>
      <c r="X42" s="2">
        <v>179.87</v>
      </c>
      <c r="Y42" s="2"/>
      <c r="Z42" s="2">
        <v>179.87</v>
      </c>
    </row>
    <row r="43" spans="1:26" hidden="1" x14ac:dyDescent="0.15">
      <c r="A43" s="2">
        <v>50850</v>
      </c>
      <c r="B43" s="3">
        <v>46022</v>
      </c>
      <c r="C43" s="3">
        <v>46022</v>
      </c>
      <c r="D43" s="2"/>
      <c r="E43" s="2" t="s">
        <v>247</v>
      </c>
      <c r="F43" s="2" t="s">
        <v>250</v>
      </c>
      <c r="G43" s="2" t="s">
        <v>240</v>
      </c>
      <c r="H43" s="2" t="s">
        <v>251</v>
      </c>
      <c r="I43" s="2" t="s">
        <v>241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>
        <v>2681</v>
      </c>
      <c r="W43" s="2" t="s">
        <v>242</v>
      </c>
      <c r="X43" s="2"/>
      <c r="Y43" s="2">
        <v>1300</v>
      </c>
      <c r="Z43" s="2">
        <v>-1300</v>
      </c>
    </row>
    <row r="44" spans="1:26" hidden="1" x14ac:dyDescent="0.15">
      <c r="A44" s="2">
        <v>50850</v>
      </c>
      <c r="B44" s="3">
        <v>46022</v>
      </c>
      <c r="C44" s="3">
        <v>46022</v>
      </c>
      <c r="D44" s="2"/>
      <c r="E44" s="2" t="s">
        <v>247</v>
      </c>
      <c r="F44" s="2" t="s">
        <v>250</v>
      </c>
      <c r="G44" s="2" t="s">
        <v>245</v>
      </c>
      <c r="H44" s="2" t="s">
        <v>251</v>
      </c>
      <c r="I44" s="2" t="s">
        <v>246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>
        <v>2681</v>
      </c>
      <c r="W44" s="2" t="s">
        <v>242</v>
      </c>
      <c r="X44" s="2">
        <v>70</v>
      </c>
      <c r="Y44" s="2"/>
      <c r="Z44" s="2">
        <v>70</v>
      </c>
    </row>
    <row r="45" spans="1:26" hidden="1" x14ac:dyDescent="0.15">
      <c r="A45" s="2">
        <v>54000</v>
      </c>
      <c r="B45" s="3">
        <v>46022</v>
      </c>
      <c r="C45" s="3">
        <v>46022</v>
      </c>
      <c r="D45" s="2"/>
      <c r="E45" s="2" t="s">
        <v>253</v>
      </c>
      <c r="F45" s="2"/>
      <c r="G45" s="2" t="s">
        <v>240</v>
      </c>
      <c r="H45" s="2"/>
      <c r="I45" s="2" t="s">
        <v>241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>
        <v>2678</v>
      </c>
      <c r="W45" s="2" t="s">
        <v>242</v>
      </c>
      <c r="X45" s="2"/>
      <c r="Y45" s="2">
        <v>3112.98</v>
      </c>
      <c r="Z45" s="2">
        <v>-3112.98</v>
      </c>
    </row>
    <row r="46" spans="1:26" hidden="1" x14ac:dyDescent="0.15">
      <c r="A46" s="2">
        <v>54000</v>
      </c>
      <c r="B46" s="3">
        <v>46022</v>
      </c>
      <c r="C46" s="3">
        <v>46022</v>
      </c>
      <c r="D46" s="2"/>
      <c r="E46" s="2" t="s">
        <v>253</v>
      </c>
      <c r="F46" s="2"/>
      <c r="G46" s="2" t="s">
        <v>245</v>
      </c>
      <c r="H46" s="2"/>
      <c r="I46" s="2" t="s">
        <v>246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>
        <v>2679</v>
      </c>
      <c r="W46" s="2" t="s">
        <v>242</v>
      </c>
      <c r="X46" s="2"/>
      <c r="Y46" s="2">
        <v>39512.71</v>
      </c>
      <c r="Z46" s="2">
        <v>-39512.71</v>
      </c>
    </row>
    <row r="47" spans="1:26" hidden="1" x14ac:dyDescent="0.15">
      <c r="A47" s="2">
        <v>60100</v>
      </c>
      <c r="B47" s="3">
        <v>46022</v>
      </c>
      <c r="C47" s="3">
        <v>46022</v>
      </c>
      <c r="D47" s="2"/>
      <c r="E47" s="2" t="s">
        <v>252</v>
      </c>
      <c r="F47" s="2"/>
      <c r="G47" s="2" t="s">
        <v>240</v>
      </c>
      <c r="H47" s="2"/>
      <c r="I47" s="2" t="s">
        <v>241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>
        <v>2721</v>
      </c>
      <c r="W47" s="2" t="s">
        <v>242</v>
      </c>
      <c r="X47" s="2">
        <v>3747.96</v>
      </c>
      <c r="Y47" s="2"/>
      <c r="Z47" s="2">
        <v>3747.96</v>
      </c>
    </row>
    <row r="48" spans="1:26" hidden="1" x14ac:dyDescent="0.15">
      <c r="A48" s="2">
        <v>60100</v>
      </c>
      <c r="B48" s="3">
        <v>46022</v>
      </c>
      <c r="C48" s="3">
        <v>46022</v>
      </c>
      <c r="D48" s="2" t="s">
        <v>254</v>
      </c>
      <c r="E48" s="2" t="s">
        <v>255</v>
      </c>
      <c r="F48" s="2"/>
      <c r="G48" s="2" t="s">
        <v>240</v>
      </c>
      <c r="H48" s="2"/>
      <c r="I48" s="2" t="s">
        <v>241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>
        <v>2159</v>
      </c>
      <c r="W48" s="2" t="s">
        <v>242</v>
      </c>
      <c r="X48" s="2">
        <v>142422</v>
      </c>
      <c r="Y48" s="2"/>
      <c r="Z48" s="2">
        <v>142422</v>
      </c>
    </row>
    <row r="49" spans="1:26" hidden="1" x14ac:dyDescent="0.15">
      <c r="A49" s="2">
        <v>60110</v>
      </c>
      <c r="B49" s="3">
        <v>46022</v>
      </c>
      <c r="C49" s="3">
        <v>46022</v>
      </c>
      <c r="D49" s="2"/>
      <c r="E49" s="2" t="s">
        <v>256</v>
      </c>
      <c r="F49" s="2"/>
      <c r="G49" s="2" t="s">
        <v>240</v>
      </c>
      <c r="H49" s="2"/>
      <c r="I49" s="2" t="s">
        <v>241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>
        <v>2662</v>
      </c>
      <c r="W49" s="2" t="s">
        <v>242</v>
      </c>
      <c r="X49" s="2">
        <v>67887.92</v>
      </c>
      <c r="Y49" s="2"/>
      <c r="Z49" s="2">
        <v>67887.92</v>
      </c>
    </row>
    <row r="50" spans="1:26" hidden="1" x14ac:dyDescent="0.15">
      <c r="A50" s="2">
        <v>60190</v>
      </c>
      <c r="B50" s="3">
        <v>46022</v>
      </c>
      <c r="C50" s="3">
        <v>46022</v>
      </c>
      <c r="D50" s="2"/>
      <c r="E50" s="2" t="s">
        <v>247</v>
      </c>
      <c r="F50" s="2"/>
      <c r="G50" s="2" t="s">
        <v>240</v>
      </c>
      <c r="H50" s="2"/>
      <c r="I50" s="2" t="s">
        <v>241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>
        <v>2681</v>
      </c>
      <c r="W50" s="2" t="s">
        <v>242</v>
      </c>
      <c r="X50" s="2"/>
      <c r="Y50" s="2">
        <v>2146</v>
      </c>
      <c r="Z50" s="2">
        <v>-2146</v>
      </c>
    </row>
    <row r="51" spans="1:26" hidden="1" x14ac:dyDescent="0.15">
      <c r="A51" s="2">
        <v>60500</v>
      </c>
      <c r="B51" s="3">
        <v>46022</v>
      </c>
      <c r="C51" s="3">
        <v>46022</v>
      </c>
      <c r="D51" s="2" t="s">
        <v>254</v>
      </c>
      <c r="E51" s="2" t="s">
        <v>255</v>
      </c>
      <c r="F51" s="2"/>
      <c r="G51" s="2" t="s">
        <v>240</v>
      </c>
      <c r="H51" s="2"/>
      <c r="I51" s="2" t="s">
        <v>241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>
        <v>2159</v>
      </c>
      <c r="W51" s="2" t="s">
        <v>242</v>
      </c>
      <c r="X51" s="2">
        <v>1688</v>
      </c>
      <c r="Y51" s="2"/>
      <c r="Z51" s="2">
        <v>1688</v>
      </c>
    </row>
    <row r="52" spans="1:26" hidden="1" x14ac:dyDescent="0.15">
      <c r="A52" s="2">
        <v>60500</v>
      </c>
      <c r="B52" s="3">
        <v>46022</v>
      </c>
      <c r="C52" s="3">
        <v>46022</v>
      </c>
      <c r="D52" s="2" t="s">
        <v>254</v>
      </c>
      <c r="E52" s="2" t="s">
        <v>255</v>
      </c>
      <c r="F52" s="2"/>
      <c r="G52" s="2" t="s">
        <v>240</v>
      </c>
      <c r="H52" s="2"/>
      <c r="I52" s="2" t="s">
        <v>241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>
        <v>2159</v>
      </c>
      <c r="W52" s="2" t="s">
        <v>242</v>
      </c>
      <c r="X52" s="2">
        <v>8683</v>
      </c>
      <c r="Y52" s="2"/>
      <c r="Z52" s="2">
        <v>8683</v>
      </c>
    </row>
    <row r="53" spans="1:26" hidden="1" x14ac:dyDescent="0.15">
      <c r="A53" s="2">
        <v>60500</v>
      </c>
      <c r="B53" s="3">
        <v>46022</v>
      </c>
      <c r="C53" s="3">
        <v>46022</v>
      </c>
      <c r="D53" s="2" t="s">
        <v>254</v>
      </c>
      <c r="E53" s="2" t="s">
        <v>255</v>
      </c>
      <c r="F53" s="2"/>
      <c r="G53" s="2" t="s">
        <v>240</v>
      </c>
      <c r="H53" s="2"/>
      <c r="I53" s="2" t="s">
        <v>241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>
        <v>2159</v>
      </c>
      <c r="W53" s="2" t="s">
        <v>242</v>
      </c>
      <c r="X53" s="2">
        <v>16058</v>
      </c>
      <c r="Y53" s="2"/>
      <c r="Z53" s="2">
        <v>16058</v>
      </c>
    </row>
    <row r="54" spans="1:26" hidden="1" x14ac:dyDescent="0.15">
      <c r="A54" s="2">
        <v>60500</v>
      </c>
      <c r="B54" s="3">
        <v>46022</v>
      </c>
      <c r="C54" s="3">
        <v>46022</v>
      </c>
      <c r="D54" s="2" t="s">
        <v>254</v>
      </c>
      <c r="E54" s="2" t="s">
        <v>255</v>
      </c>
      <c r="F54" s="2"/>
      <c r="G54" s="2" t="s">
        <v>240</v>
      </c>
      <c r="H54" s="2"/>
      <c r="I54" s="2" t="s">
        <v>241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>
        <v>2159</v>
      </c>
      <c r="W54" s="2" t="s">
        <v>242</v>
      </c>
      <c r="X54" s="2">
        <v>18574</v>
      </c>
      <c r="Y54" s="2"/>
      <c r="Z54" s="2">
        <v>18574</v>
      </c>
    </row>
    <row r="55" spans="1:26" hidden="1" x14ac:dyDescent="0.15">
      <c r="A55" s="2">
        <v>60500</v>
      </c>
      <c r="B55" s="3">
        <v>46022</v>
      </c>
      <c r="C55" s="3">
        <v>46022</v>
      </c>
      <c r="D55" s="2" t="s">
        <v>254</v>
      </c>
      <c r="E55" s="2" t="s">
        <v>255</v>
      </c>
      <c r="F55" s="2"/>
      <c r="G55" s="2" t="s">
        <v>240</v>
      </c>
      <c r="H55" s="2"/>
      <c r="I55" s="2" t="s">
        <v>241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>
        <v>2159</v>
      </c>
      <c r="W55" s="2" t="s">
        <v>242</v>
      </c>
      <c r="X55" s="2">
        <v>56835</v>
      </c>
      <c r="Y55" s="2"/>
      <c r="Z55" s="2">
        <v>56835</v>
      </c>
    </row>
    <row r="56" spans="1:26" hidden="1" x14ac:dyDescent="0.15">
      <c r="A56" s="2">
        <v>60900</v>
      </c>
      <c r="B56" s="3">
        <v>46022</v>
      </c>
      <c r="C56" s="3">
        <v>46022</v>
      </c>
      <c r="D56" s="2"/>
      <c r="E56" s="2" t="s">
        <v>256</v>
      </c>
      <c r="F56" s="2"/>
      <c r="G56" s="2" t="s">
        <v>240</v>
      </c>
      <c r="H56" s="2"/>
      <c r="I56" s="2" t="s">
        <v>241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>
        <v>2662</v>
      </c>
      <c r="W56" s="2" t="s">
        <v>242</v>
      </c>
      <c r="X56" s="2">
        <v>1099.72</v>
      </c>
      <c r="Y56" s="2"/>
      <c r="Z56" s="2">
        <v>1099.72</v>
      </c>
    </row>
    <row r="57" spans="1:26" hidden="1" x14ac:dyDescent="0.15">
      <c r="A57" s="2">
        <v>60900</v>
      </c>
      <c r="B57" s="3">
        <v>46022</v>
      </c>
      <c r="C57" s="3">
        <v>46022</v>
      </c>
      <c r="D57" s="2"/>
      <c r="E57" s="2" t="s">
        <v>257</v>
      </c>
      <c r="F57" s="2"/>
      <c r="G57" s="2" t="s">
        <v>240</v>
      </c>
      <c r="H57" s="2"/>
      <c r="I57" s="2" t="s">
        <v>241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>
        <v>2744</v>
      </c>
      <c r="W57" s="2" t="s">
        <v>242</v>
      </c>
      <c r="X57" s="2"/>
      <c r="Y57" s="2">
        <v>2243.2399999999998</v>
      </c>
      <c r="Z57" s="2">
        <v>-2243.2399999999998</v>
      </c>
    </row>
    <row r="58" spans="1:26" hidden="1" x14ac:dyDescent="0.15">
      <c r="A58" s="2">
        <v>60900</v>
      </c>
      <c r="B58" s="3">
        <v>46022</v>
      </c>
      <c r="C58" s="3">
        <v>46022</v>
      </c>
      <c r="D58" s="2" t="s">
        <v>258</v>
      </c>
      <c r="E58" s="2" t="s">
        <v>259</v>
      </c>
      <c r="F58" s="2" t="s">
        <v>250</v>
      </c>
      <c r="G58" s="2" t="s">
        <v>260</v>
      </c>
      <c r="H58" s="2" t="s">
        <v>251</v>
      </c>
      <c r="I58" s="2" t="s">
        <v>261</v>
      </c>
      <c r="J58" s="2"/>
      <c r="K58" s="2"/>
      <c r="L58" s="2" t="s">
        <v>262</v>
      </c>
      <c r="M58" s="2" t="s">
        <v>263</v>
      </c>
      <c r="N58" s="2"/>
      <c r="O58" s="2"/>
      <c r="P58" s="2"/>
      <c r="Q58" s="2"/>
      <c r="R58" s="2"/>
      <c r="S58" s="2"/>
      <c r="T58" s="2"/>
      <c r="U58" s="2"/>
      <c r="V58" s="2">
        <v>4570</v>
      </c>
      <c r="W58" s="2" t="s">
        <v>264</v>
      </c>
      <c r="X58" s="2"/>
      <c r="Y58" s="2">
        <v>184.18</v>
      </c>
      <c r="Z58" s="2">
        <v>-184.18</v>
      </c>
    </row>
    <row r="59" spans="1:26" hidden="1" x14ac:dyDescent="0.15">
      <c r="A59" s="2">
        <v>60900</v>
      </c>
      <c r="B59" s="3">
        <v>46022</v>
      </c>
      <c r="C59" s="3">
        <v>46022</v>
      </c>
      <c r="D59" s="2" t="s">
        <v>265</v>
      </c>
      <c r="E59" s="2" t="s">
        <v>259</v>
      </c>
      <c r="F59" s="2" t="s">
        <v>250</v>
      </c>
      <c r="G59" s="2" t="s">
        <v>260</v>
      </c>
      <c r="H59" s="2" t="s">
        <v>251</v>
      </c>
      <c r="I59" s="2" t="s">
        <v>261</v>
      </c>
      <c r="J59" s="2"/>
      <c r="K59" s="2"/>
      <c r="L59" s="2" t="s">
        <v>262</v>
      </c>
      <c r="M59" s="2" t="s">
        <v>263</v>
      </c>
      <c r="N59" s="2"/>
      <c r="O59" s="2"/>
      <c r="P59" s="2"/>
      <c r="Q59" s="2"/>
      <c r="R59" s="2"/>
      <c r="S59" s="2"/>
      <c r="T59" s="2"/>
      <c r="U59" s="2"/>
      <c r="V59" s="2">
        <v>4570</v>
      </c>
      <c r="W59" s="2" t="s">
        <v>264</v>
      </c>
      <c r="X59" s="2"/>
      <c r="Y59" s="2">
        <v>184.18</v>
      </c>
      <c r="Z59" s="2">
        <v>-184.18</v>
      </c>
    </row>
    <row r="60" spans="1:26" hidden="1" x14ac:dyDescent="0.15">
      <c r="A60" s="2">
        <v>60900</v>
      </c>
      <c r="B60" s="3">
        <v>46022</v>
      </c>
      <c r="C60" s="3">
        <v>46022</v>
      </c>
      <c r="D60" s="2" t="s">
        <v>266</v>
      </c>
      <c r="E60" s="2" t="s">
        <v>259</v>
      </c>
      <c r="F60" s="2" t="s">
        <v>250</v>
      </c>
      <c r="G60" s="2" t="s">
        <v>260</v>
      </c>
      <c r="H60" s="2" t="s">
        <v>251</v>
      </c>
      <c r="I60" s="2" t="s">
        <v>261</v>
      </c>
      <c r="J60" s="2"/>
      <c r="K60" s="2"/>
      <c r="L60" s="2" t="s">
        <v>262</v>
      </c>
      <c r="M60" s="2" t="s">
        <v>263</v>
      </c>
      <c r="N60" s="2"/>
      <c r="O60" s="2"/>
      <c r="P60" s="2"/>
      <c r="Q60" s="2"/>
      <c r="R60" s="2"/>
      <c r="S60" s="2"/>
      <c r="T60" s="2"/>
      <c r="U60" s="2"/>
      <c r="V60" s="2">
        <v>4570</v>
      </c>
      <c r="W60" s="2" t="s">
        <v>264</v>
      </c>
      <c r="X60" s="2"/>
      <c r="Y60" s="2">
        <v>184.18</v>
      </c>
      <c r="Z60" s="2">
        <v>-184.18</v>
      </c>
    </row>
    <row r="61" spans="1:26" hidden="1" x14ac:dyDescent="0.15">
      <c r="A61" s="2">
        <v>61000</v>
      </c>
      <c r="B61" s="3">
        <v>46022</v>
      </c>
      <c r="C61" s="3">
        <v>46022</v>
      </c>
      <c r="D61" s="2"/>
      <c r="E61" s="2" t="s">
        <v>267</v>
      </c>
      <c r="F61" s="2" t="s">
        <v>268</v>
      </c>
      <c r="G61" s="2" t="s">
        <v>240</v>
      </c>
      <c r="H61" s="2" t="s">
        <v>269</v>
      </c>
      <c r="I61" s="2" t="s">
        <v>241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>
        <v>2675</v>
      </c>
      <c r="W61" s="2" t="s">
        <v>242</v>
      </c>
      <c r="X61" s="2">
        <v>135253.48000000001</v>
      </c>
      <c r="Y61" s="2"/>
      <c r="Z61" s="2">
        <v>135253.48000000001</v>
      </c>
    </row>
    <row r="62" spans="1:26" hidden="1" x14ac:dyDescent="0.15">
      <c r="A62" s="2">
        <v>61100</v>
      </c>
      <c r="B62" s="3">
        <v>46022</v>
      </c>
      <c r="C62" s="3">
        <v>46022</v>
      </c>
      <c r="D62" s="2"/>
      <c r="E62" s="2" t="s">
        <v>270</v>
      </c>
      <c r="F62" s="2"/>
      <c r="G62" s="2" t="s">
        <v>240</v>
      </c>
      <c r="H62" s="2"/>
      <c r="I62" s="2" t="s">
        <v>241</v>
      </c>
      <c r="J62" s="2"/>
      <c r="K62" s="2"/>
      <c r="L62" s="2" t="s">
        <v>271</v>
      </c>
      <c r="M62" s="2" t="s">
        <v>272</v>
      </c>
      <c r="N62" s="2"/>
      <c r="O62" s="2"/>
      <c r="P62" s="2"/>
      <c r="Q62" s="2"/>
      <c r="R62" s="2"/>
      <c r="S62" s="2"/>
      <c r="T62" s="2"/>
      <c r="U62" s="2"/>
      <c r="V62" s="2">
        <v>2670</v>
      </c>
      <c r="W62" s="2" t="s">
        <v>242</v>
      </c>
      <c r="X62" s="2">
        <v>4000</v>
      </c>
      <c r="Y62" s="2"/>
      <c r="Z62" s="2">
        <v>4000</v>
      </c>
    </row>
    <row r="63" spans="1:26" hidden="1" x14ac:dyDescent="0.15">
      <c r="A63" s="2">
        <v>61250</v>
      </c>
      <c r="B63" s="3">
        <v>46022</v>
      </c>
      <c r="C63" s="3">
        <v>46022</v>
      </c>
      <c r="D63" s="2"/>
      <c r="E63" s="2" t="s">
        <v>273</v>
      </c>
      <c r="F63" s="2" t="s">
        <v>268</v>
      </c>
      <c r="G63" s="2" t="s">
        <v>240</v>
      </c>
      <c r="H63" s="2" t="s">
        <v>269</v>
      </c>
      <c r="I63" s="2" t="s">
        <v>241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>
        <v>2673</v>
      </c>
      <c r="W63" s="2" t="s">
        <v>242</v>
      </c>
      <c r="X63" s="2">
        <v>2773.85</v>
      </c>
      <c r="Y63" s="2"/>
      <c r="Z63" s="2">
        <v>2773.85</v>
      </c>
    </row>
    <row r="64" spans="1:26" hidden="1" x14ac:dyDescent="0.15">
      <c r="A64" s="2">
        <v>61250</v>
      </c>
      <c r="B64" s="3">
        <v>46022</v>
      </c>
      <c r="C64" s="3">
        <v>46022</v>
      </c>
      <c r="D64" s="2"/>
      <c r="E64" s="2" t="s">
        <v>274</v>
      </c>
      <c r="F64" s="2" t="s">
        <v>268</v>
      </c>
      <c r="G64" s="2" t="s">
        <v>240</v>
      </c>
      <c r="H64" s="2" t="s">
        <v>269</v>
      </c>
      <c r="I64" s="2" t="s">
        <v>241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>
        <v>2674</v>
      </c>
      <c r="W64" s="2" t="s">
        <v>242</v>
      </c>
      <c r="X64" s="2">
        <v>4679.83</v>
      </c>
      <c r="Y64" s="2"/>
      <c r="Z64" s="2">
        <v>4679.83</v>
      </c>
    </row>
    <row r="65" spans="1:26" hidden="1" x14ac:dyDescent="0.15">
      <c r="A65" s="2">
        <v>61250</v>
      </c>
      <c r="B65" s="3">
        <v>46022</v>
      </c>
      <c r="C65" s="3">
        <v>46022</v>
      </c>
      <c r="D65" s="2"/>
      <c r="E65" s="2" t="s">
        <v>275</v>
      </c>
      <c r="F65" s="2"/>
      <c r="G65" s="2" t="s">
        <v>240</v>
      </c>
      <c r="H65" s="2"/>
      <c r="I65" s="2" t="s">
        <v>241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>
        <v>2719</v>
      </c>
      <c r="W65" s="2" t="s">
        <v>242</v>
      </c>
      <c r="X65" s="2">
        <v>6656.18</v>
      </c>
      <c r="Y65" s="2"/>
      <c r="Z65" s="2">
        <v>6656.18</v>
      </c>
    </row>
    <row r="66" spans="1:26" hidden="1" x14ac:dyDescent="0.15">
      <c r="A66" s="2">
        <v>61250</v>
      </c>
      <c r="B66" s="3">
        <v>46022</v>
      </c>
      <c r="C66" s="3">
        <v>46022</v>
      </c>
      <c r="D66" s="2"/>
      <c r="E66" s="2" t="s">
        <v>275</v>
      </c>
      <c r="F66" s="2"/>
      <c r="G66" s="2" t="s">
        <v>245</v>
      </c>
      <c r="H66" s="2"/>
      <c r="I66" s="2" t="s">
        <v>246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>
        <v>2719</v>
      </c>
      <c r="W66" s="2" t="s">
        <v>242</v>
      </c>
      <c r="X66" s="2">
        <v>682.95</v>
      </c>
      <c r="Y66" s="2"/>
      <c r="Z66" s="2">
        <v>682.95</v>
      </c>
    </row>
    <row r="67" spans="1:26" x14ac:dyDescent="0.15">
      <c r="A67" s="2">
        <v>61300</v>
      </c>
      <c r="B67" s="3">
        <v>45659</v>
      </c>
      <c r="C67" s="3">
        <v>45659</v>
      </c>
      <c r="D67" s="2"/>
      <c r="E67" s="2" t="s">
        <v>276</v>
      </c>
      <c r="F67" s="2"/>
      <c r="G67" s="2" t="s">
        <v>277</v>
      </c>
      <c r="H67" s="2"/>
      <c r="I67" s="2" t="s">
        <v>278</v>
      </c>
      <c r="J67" s="2"/>
      <c r="K67" s="2"/>
      <c r="L67" s="2" t="s">
        <v>279</v>
      </c>
      <c r="M67" s="2" t="s">
        <v>280</v>
      </c>
      <c r="N67" s="2"/>
      <c r="O67" s="2"/>
      <c r="P67" s="2"/>
      <c r="Q67" s="2"/>
      <c r="R67" s="2"/>
      <c r="S67" s="2"/>
      <c r="T67" s="2"/>
      <c r="U67" s="2"/>
      <c r="V67" s="2">
        <v>2746</v>
      </c>
      <c r="W67" s="2" t="s">
        <v>281</v>
      </c>
      <c r="X67" s="2">
        <v>303.56</v>
      </c>
      <c r="Y67" s="2"/>
      <c r="Z67" s="2">
        <v>303.56</v>
      </c>
    </row>
    <row r="68" spans="1:26" x14ac:dyDescent="0.15">
      <c r="A68" s="2">
        <v>61300</v>
      </c>
      <c r="B68" s="3">
        <v>46022</v>
      </c>
      <c r="C68" s="3">
        <v>46022</v>
      </c>
      <c r="D68" s="2"/>
      <c r="E68" s="2" t="s">
        <v>282</v>
      </c>
      <c r="F68" s="2"/>
      <c r="G68" s="2" t="s">
        <v>245</v>
      </c>
      <c r="H68" s="2"/>
      <c r="I68" s="2" t="s">
        <v>246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>
        <v>2664</v>
      </c>
      <c r="W68" s="2" t="s">
        <v>242</v>
      </c>
      <c r="X68" s="2"/>
      <c r="Y68" s="2">
        <v>3077.44</v>
      </c>
      <c r="Z68" s="2">
        <v>-3077.44</v>
      </c>
    </row>
    <row r="69" spans="1:26" hidden="1" x14ac:dyDescent="0.15">
      <c r="A69" s="2">
        <v>61350</v>
      </c>
      <c r="B69" s="3">
        <v>46022</v>
      </c>
      <c r="C69" s="3">
        <v>46022</v>
      </c>
      <c r="D69" s="2"/>
      <c r="E69" s="2" t="s">
        <v>247</v>
      </c>
      <c r="F69" s="2"/>
      <c r="G69" s="2" t="s">
        <v>240</v>
      </c>
      <c r="H69" s="2"/>
      <c r="I69" s="2" t="s">
        <v>241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>
        <v>2681</v>
      </c>
      <c r="W69" s="2" t="s">
        <v>242</v>
      </c>
      <c r="X69" s="2">
        <v>57289.760000000002</v>
      </c>
      <c r="Y69" s="2"/>
      <c r="Z69" s="2">
        <v>57289.760000000002</v>
      </c>
    </row>
    <row r="70" spans="1:26" hidden="1" x14ac:dyDescent="0.15">
      <c r="A70" s="2">
        <v>61600</v>
      </c>
      <c r="B70" s="3">
        <v>46022</v>
      </c>
      <c r="C70" s="3">
        <v>46022</v>
      </c>
      <c r="D70" s="2"/>
      <c r="E70" s="2" t="s">
        <v>283</v>
      </c>
      <c r="F70" s="2"/>
      <c r="G70" s="2" t="s">
        <v>240</v>
      </c>
      <c r="H70" s="2"/>
      <c r="I70" s="2" t="s">
        <v>241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>
        <v>2655</v>
      </c>
      <c r="W70" s="2" t="s">
        <v>242</v>
      </c>
      <c r="X70" s="2">
        <v>3728.16</v>
      </c>
      <c r="Y70" s="2"/>
      <c r="Z70" s="2">
        <v>3728.16</v>
      </c>
    </row>
    <row r="71" spans="1:26" hidden="1" x14ac:dyDescent="0.15">
      <c r="A71" s="2">
        <v>61600</v>
      </c>
      <c r="B71" s="3">
        <v>46022</v>
      </c>
      <c r="C71" s="3">
        <v>46022</v>
      </c>
      <c r="D71" s="2"/>
      <c r="E71" s="2" t="s">
        <v>283</v>
      </c>
      <c r="F71" s="2"/>
      <c r="G71" s="2" t="s">
        <v>284</v>
      </c>
      <c r="H71" s="2"/>
      <c r="I71" s="2" t="s">
        <v>285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>
        <v>2656</v>
      </c>
      <c r="W71" s="2" t="s">
        <v>242</v>
      </c>
      <c r="X71" s="2">
        <v>0.83</v>
      </c>
      <c r="Y71" s="2"/>
      <c r="Z71" s="2">
        <v>0.83</v>
      </c>
    </row>
    <row r="72" spans="1:26" hidden="1" x14ac:dyDescent="0.15">
      <c r="A72" s="2">
        <v>61600</v>
      </c>
      <c r="B72" s="3">
        <v>46022</v>
      </c>
      <c r="C72" s="3">
        <v>46022</v>
      </c>
      <c r="D72" s="2"/>
      <c r="E72" s="2" t="s">
        <v>283</v>
      </c>
      <c r="F72" s="2"/>
      <c r="G72" s="2" t="s">
        <v>245</v>
      </c>
      <c r="H72" s="2"/>
      <c r="I72" s="2" t="s">
        <v>246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>
        <v>2657</v>
      </c>
      <c r="W72" s="2" t="s">
        <v>242</v>
      </c>
      <c r="X72" s="2"/>
      <c r="Y72" s="2">
        <v>1331.68</v>
      </c>
      <c r="Z72" s="2">
        <v>-1331.68</v>
      </c>
    </row>
    <row r="73" spans="1:26" hidden="1" x14ac:dyDescent="0.15">
      <c r="A73" s="2">
        <v>61700</v>
      </c>
      <c r="B73" s="3">
        <v>46022</v>
      </c>
      <c r="C73" s="3">
        <v>46022</v>
      </c>
      <c r="D73" s="2"/>
      <c r="E73" s="2" t="s">
        <v>286</v>
      </c>
      <c r="F73" s="2"/>
      <c r="G73" s="2" t="s">
        <v>240</v>
      </c>
      <c r="H73" s="2"/>
      <c r="I73" s="2" t="s">
        <v>241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>
        <v>2666</v>
      </c>
      <c r="W73" s="2" t="s">
        <v>242</v>
      </c>
      <c r="X73" s="2">
        <v>5983.31</v>
      </c>
      <c r="Y73" s="2"/>
      <c r="Z73" s="2">
        <v>5983.31</v>
      </c>
    </row>
    <row r="74" spans="1:26" hidden="1" x14ac:dyDescent="0.15">
      <c r="A74" s="2">
        <v>62100</v>
      </c>
      <c r="B74" s="3">
        <v>46022</v>
      </c>
      <c r="C74" s="3">
        <v>46022</v>
      </c>
      <c r="D74" s="2"/>
      <c r="E74" s="2" t="s">
        <v>287</v>
      </c>
      <c r="F74" s="2" t="s">
        <v>250</v>
      </c>
      <c r="G74" s="2" t="s">
        <v>240</v>
      </c>
      <c r="H74" s="2" t="s">
        <v>251</v>
      </c>
      <c r="I74" s="2" t="s">
        <v>241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>
        <v>2649</v>
      </c>
      <c r="W74" s="2" t="s">
        <v>242</v>
      </c>
      <c r="X74" s="2">
        <v>5900</v>
      </c>
      <c r="Y74" s="2"/>
      <c r="Z74" s="2">
        <v>5900</v>
      </c>
    </row>
    <row r="75" spans="1:26" hidden="1" x14ac:dyDescent="0.15">
      <c r="A75" s="2">
        <v>62100</v>
      </c>
      <c r="B75" s="3">
        <v>46022</v>
      </c>
      <c r="C75" s="3">
        <v>46022</v>
      </c>
      <c r="D75" s="2"/>
      <c r="E75" s="2" t="s">
        <v>288</v>
      </c>
      <c r="F75" s="2" t="s">
        <v>250</v>
      </c>
      <c r="G75" s="2" t="s">
        <v>240</v>
      </c>
      <c r="H75" s="2" t="s">
        <v>251</v>
      </c>
      <c r="I75" s="2" t="s">
        <v>241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>
        <v>2658</v>
      </c>
      <c r="W75" s="2" t="s">
        <v>242</v>
      </c>
      <c r="X75" s="2">
        <v>57500</v>
      </c>
      <c r="Y75" s="2"/>
      <c r="Z75" s="2">
        <v>57500</v>
      </c>
    </row>
    <row r="76" spans="1:26" hidden="1" x14ac:dyDescent="0.15">
      <c r="A76" s="2">
        <v>62100</v>
      </c>
      <c r="B76" s="3">
        <v>46022</v>
      </c>
      <c r="C76" s="3">
        <v>46022</v>
      </c>
      <c r="D76" s="2"/>
      <c r="E76" s="2" t="s">
        <v>273</v>
      </c>
      <c r="F76" s="2" t="s">
        <v>268</v>
      </c>
      <c r="G76" s="2" t="s">
        <v>240</v>
      </c>
      <c r="H76" s="2" t="s">
        <v>269</v>
      </c>
      <c r="I76" s="2" t="s">
        <v>241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>
        <v>2673</v>
      </c>
      <c r="W76" s="2" t="s">
        <v>242</v>
      </c>
      <c r="X76" s="2">
        <v>5600</v>
      </c>
      <c r="Y76" s="2"/>
      <c r="Z76" s="2">
        <v>5600</v>
      </c>
    </row>
    <row r="77" spans="1:26" hidden="1" x14ac:dyDescent="0.15">
      <c r="A77" s="2">
        <v>62100</v>
      </c>
      <c r="B77" s="3">
        <v>46022</v>
      </c>
      <c r="C77" s="3">
        <v>46022</v>
      </c>
      <c r="D77" s="2"/>
      <c r="E77" s="2" t="s">
        <v>289</v>
      </c>
      <c r="F77" s="2"/>
      <c r="G77" s="2" t="s">
        <v>240</v>
      </c>
      <c r="H77" s="2"/>
      <c r="I77" s="2" t="s">
        <v>241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>
        <v>2676</v>
      </c>
      <c r="W77" s="2" t="s">
        <v>242</v>
      </c>
      <c r="X77" s="2">
        <v>125000</v>
      </c>
      <c r="Y77" s="2"/>
      <c r="Z77" s="2">
        <v>125000</v>
      </c>
    </row>
    <row r="78" spans="1:26" hidden="1" x14ac:dyDescent="0.15">
      <c r="A78" s="2">
        <v>62100</v>
      </c>
      <c r="B78" s="3">
        <v>46022</v>
      </c>
      <c r="C78" s="3">
        <v>46022</v>
      </c>
      <c r="D78" s="2"/>
      <c r="E78" s="2" t="s">
        <v>290</v>
      </c>
      <c r="F78" s="2"/>
      <c r="G78" s="2" t="s">
        <v>240</v>
      </c>
      <c r="H78" s="2"/>
      <c r="I78" s="2" t="s">
        <v>241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>
        <v>2682</v>
      </c>
      <c r="W78" s="2" t="s">
        <v>242</v>
      </c>
      <c r="X78" s="2">
        <v>5900</v>
      </c>
      <c r="Y78" s="2"/>
      <c r="Z78" s="2">
        <v>5900</v>
      </c>
    </row>
    <row r="79" spans="1:26" hidden="1" x14ac:dyDescent="0.15">
      <c r="A79" s="2">
        <v>62100</v>
      </c>
      <c r="B79" s="3">
        <v>46022</v>
      </c>
      <c r="C79" s="3">
        <v>46022</v>
      </c>
      <c r="D79" s="2"/>
      <c r="E79" s="2" t="s">
        <v>291</v>
      </c>
      <c r="F79" s="2"/>
      <c r="G79" s="2" t="s">
        <v>240</v>
      </c>
      <c r="H79" s="2"/>
      <c r="I79" s="2" t="s">
        <v>241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>
        <v>2746</v>
      </c>
      <c r="W79" s="2" t="s">
        <v>242</v>
      </c>
      <c r="X79" s="2">
        <v>30906.25</v>
      </c>
      <c r="Y79" s="2"/>
      <c r="Z79" s="2">
        <v>30906.25</v>
      </c>
    </row>
    <row r="80" spans="1:26" hidden="1" x14ac:dyDescent="0.15">
      <c r="A80" s="2">
        <v>80000</v>
      </c>
      <c r="B80" s="3">
        <v>46022</v>
      </c>
      <c r="C80" s="3">
        <v>46022</v>
      </c>
      <c r="D80" s="2"/>
      <c r="E80" s="2" t="s">
        <v>292</v>
      </c>
      <c r="F80" s="2"/>
      <c r="G80" s="2" t="s">
        <v>240</v>
      </c>
      <c r="H80" s="2"/>
      <c r="I80" s="2" t="s">
        <v>241</v>
      </c>
      <c r="J80" s="2"/>
      <c r="K80" s="2"/>
      <c r="L80" s="2" t="s">
        <v>293</v>
      </c>
      <c r="M80" s="2" t="s">
        <v>294</v>
      </c>
      <c r="N80" s="2"/>
      <c r="O80" s="2"/>
      <c r="P80" s="2"/>
      <c r="Q80" s="2"/>
      <c r="R80" s="2"/>
      <c r="S80" s="2"/>
      <c r="T80" s="2"/>
      <c r="U80" s="2"/>
      <c r="V80" s="2">
        <v>2644</v>
      </c>
      <c r="W80" s="2" t="s">
        <v>242</v>
      </c>
      <c r="X80" s="2">
        <v>43139.71</v>
      </c>
      <c r="Y80" s="2"/>
      <c r="Z80" s="2">
        <v>43139.71</v>
      </c>
    </row>
    <row r="81" spans="1:26" hidden="1" x14ac:dyDescent="0.15">
      <c r="A81" s="2">
        <v>80000</v>
      </c>
      <c r="B81" s="3">
        <v>46022</v>
      </c>
      <c r="C81" s="3">
        <v>46022</v>
      </c>
      <c r="D81" s="2"/>
      <c r="E81" s="2" t="s">
        <v>295</v>
      </c>
      <c r="F81" s="2"/>
      <c r="G81" s="2" t="s">
        <v>240</v>
      </c>
      <c r="H81" s="2"/>
      <c r="I81" s="2" t="s">
        <v>241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>
        <v>2647</v>
      </c>
      <c r="W81" s="2" t="s">
        <v>242</v>
      </c>
      <c r="X81" s="2"/>
      <c r="Y81" s="2">
        <v>3910.61</v>
      </c>
      <c r="Z81" s="2">
        <v>-3910.61</v>
      </c>
    </row>
    <row r="82" spans="1:26" hidden="1" x14ac:dyDescent="0.15">
      <c r="A82" s="2">
        <v>80000</v>
      </c>
      <c r="B82" s="3">
        <v>46022</v>
      </c>
      <c r="C82" s="3">
        <v>46022</v>
      </c>
      <c r="D82" s="2"/>
      <c r="E82" s="2" t="s">
        <v>247</v>
      </c>
      <c r="F82" s="2"/>
      <c r="G82" s="2" t="s">
        <v>240</v>
      </c>
      <c r="H82" s="2"/>
      <c r="I82" s="2" t="s">
        <v>241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>
        <v>2681</v>
      </c>
      <c r="W82" s="2" t="s">
        <v>242</v>
      </c>
      <c r="X82" s="2"/>
      <c r="Y82" s="2">
        <v>145807.95000000001</v>
      </c>
      <c r="Z82" s="2">
        <v>-145807.95000000001</v>
      </c>
    </row>
    <row r="83" spans="1:26" hidden="1" x14ac:dyDescent="0.15">
      <c r="A83" s="2">
        <v>80000</v>
      </c>
      <c r="B83" s="3">
        <v>46022</v>
      </c>
      <c r="C83" s="3">
        <v>46022</v>
      </c>
      <c r="D83" s="2"/>
      <c r="E83" s="2" t="s">
        <v>296</v>
      </c>
      <c r="F83" s="2"/>
      <c r="G83" s="2" t="s">
        <v>240</v>
      </c>
      <c r="H83" s="2"/>
      <c r="I83" s="2" t="s">
        <v>241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>
        <v>2685</v>
      </c>
      <c r="W83" s="2" t="s">
        <v>242</v>
      </c>
      <c r="X83" s="2"/>
      <c r="Y83" s="2">
        <v>216315.27</v>
      </c>
      <c r="Z83" s="2">
        <v>-216315.27</v>
      </c>
    </row>
    <row r="84" spans="1:26" hidden="1" x14ac:dyDescent="0.15">
      <c r="A84" s="2">
        <v>80000</v>
      </c>
      <c r="B84" s="3">
        <v>46022</v>
      </c>
      <c r="C84" s="3">
        <v>46022</v>
      </c>
      <c r="D84" s="2"/>
      <c r="E84" s="2" t="s">
        <v>297</v>
      </c>
      <c r="F84" s="2"/>
      <c r="G84" s="2" t="s">
        <v>240</v>
      </c>
      <c r="H84" s="2"/>
      <c r="I84" s="2" t="s">
        <v>241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>
        <v>2717</v>
      </c>
      <c r="W84" s="2" t="s">
        <v>242</v>
      </c>
      <c r="X84" s="2">
        <v>0.09</v>
      </c>
      <c r="Y84" s="2"/>
      <c r="Z84" s="2">
        <v>0.09</v>
      </c>
    </row>
    <row r="85" spans="1:26" hidden="1" x14ac:dyDescent="0.15">
      <c r="A85" s="2">
        <v>80000</v>
      </c>
      <c r="B85" s="3">
        <v>46022</v>
      </c>
      <c r="C85" s="3">
        <v>46022</v>
      </c>
      <c r="D85" s="2"/>
      <c r="E85" s="2" t="s">
        <v>298</v>
      </c>
      <c r="F85" s="2"/>
      <c r="G85" s="2" t="s">
        <v>240</v>
      </c>
      <c r="H85" s="2"/>
      <c r="I85" s="2" t="s">
        <v>241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>
        <v>2718</v>
      </c>
      <c r="W85" s="2" t="s">
        <v>242</v>
      </c>
      <c r="X85" s="2">
        <v>0.3</v>
      </c>
      <c r="Y85" s="2"/>
      <c r="Z85" s="2">
        <v>0.3</v>
      </c>
    </row>
    <row r="86" spans="1:26" hidden="1" x14ac:dyDescent="0.15">
      <c r="A86" s="2">
        <v>80000</v>
      </c>
      <c r="B86" s="3">
        <v>46022</v>
      </c>
      <c r="C86" s="3">
        <v>46022</v>
      </c>
      <c r="D86" s="2"/>
      <c r="E86" s="2" t="s">
        <v>299</v>
      </c>
      <c r="F86" s="2"/>
      <c r="G86" s="2" t="s">
        <v>240</v>
      </c>
      <c r="H86" s="2"/>
      <c r="I86" s="2" t="s">
        <v>241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>
        <v>2747</v>
      </c>
      <c r="W86" s="2" t="s">
        <v>242</v>
      </c>
      <c r="X86" s="2"/>
      <c r="Y86" s="2">
        <v>35829.769999999997</v>
      </c>
      <c r="Z86" s="2">
        <v>-35829.769999999997</v>
      </c>
    </row>
    <row r="87" spans="1:26" hidden="1" x14ac:dyDescent="0.15">
      <c r="A87" s="2">
        <v>80000</v>
      </c>
      <c r="B87" s="3">
        <v>46022</v>
      </c>
      <c r="C87" s="3">
        <v>46022</v>
      </c>
      <c r="D87" s="2"/>
      <c r="E87" s="2" t="s">
        <v>295</v>
      </c>
      <c r="F87" s="2"/>
      <c r="G87" s="2" t="s">
        <v>248</v>
      </c>
      <c r="H87" s="2"/>
      <c r="I87" s="2" t="s">
        <v>249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>
        <v>2647</v>
      </c>
      <c r="W87" s="2" t="s">
        <v>242</v>
      </c>
      <c r="X87" s="2"/>
      <c r="Y87" s="2">
        <v>6800</v>
      </c>
      <c r="Z87" s="2">
        <v>-6800</v>
      </c>
    </row>
    <row r="88" spans="1:26" hidden="1" x14ac:dyDescent="0.15">
      <c r="A88" s="2">
        <v>80000</v>
      </c>
      <c r="B88" s="3">
        <v>46022</v>
      </c>
      <c r="C88" s="3">
        <v>46022</v>
      </c>
      <c r="D88" s="2"/>
      <c r="E88" s="2" t="s">
        <v>300</v>
      </c>
      <c r="F88" s="2"/>
      <c r="G88" s="2" t="s">
        <v>245</v>
      </c>
      <c r="H88" s="2"/>
      <c r="I88" s="2" t="s">
        <v>246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>
        <v>2647</v>
      </c>
      <c r="W88" s="2" t="s">
        <v>242</v>
      </c>
      <c r="X88" s="2">
        <v>3674.15</v>
      </c>
      <c r="Y88" s="2"/>
      <c r="Z88" s="2">
        <v>3674.15</v>
      </c>
    </row>
    <row r="89" spans="1:26" hidden="1" x14ac:dyDescent="0.15">
      <c r="A89" s="2">
        <v>80000</v>
      </c>
      <c r="B89" s="3">
        <v>46022</v>
      </c>
      <c r="C89" s="3">
        <v>46022</v>
      </c>
      <c r="D89" s="2"/>
      <c r="E89" s="2" t="s">
        <v>295</v>
      </c>
      <c r="F89" s="2"/>
      <c r="G89" s="2" t="s">
        <v>245</v>
      </c>
      <c r="H89" s="2"/>
      <c r="I89" s="2" t="s">
        <v>246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>
        <v>2647</v>
      </c>
      <c r="W89" s="2" t="s">
        <v>242</v>
      </c>
      <c r="X89" s="2"/>
      <c r="Y89" s="2">
        <v>996</v>
      </c>
      <c r="Z89" s="2">
        <v>-996</v>
      </c>
    </row>
    <row r="90" spans="1:26" hidden="1" x14ac:dyDescent="0.15">
      <c r="A90" s="2">
        <v>80000</v>
      </c>
      <c r="B90" s="3">
        <v>46022</v>
      </c>
      <c r="C90" s="3">
        <v>46022</v>
      </c>
      <c r="D90" s="2"/>
      <c r="E90" s="2" t="s">
        <v>301</v>
      </c>
      <c r="F90" s="2"/>
      <c r="G90" s="2" t="s">
        <v>245</v>
      </c>
      <c r="H90" s="2"/>
      <c r="I90" s="2" t="s">
        <v>246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>
        <v>2680</v>
      </c>
      <c r="W90" s="2" t="s">
        <v>242</v>
      </c>
      <c r="X90" s="2"/>
      <c r="Y90" s="2">
        <v>238615.42</v>
      </c>
      <c r="Z90" s="2">
        <v>-238615.42</v>
      </c>
    </row>
    <row r="91" spans="1:26" hidden="1" x14ac:dyDescent="0.15">
      <c r="A91" s="2">
        <v>80000</v>
      </c>
      <c r="B91" s="3">
        <v>46022</v>
      </c>
      <c r="C91" s="3">
        <v>46022</v>
      </c>
      <c r="D91" s="2"/>
      <c r="E91" s="2" t="s">
        <v>302</v>
      </c>
      <c r="F91" s="2"/>
      <c r="G91" s="2" t="s">
        <v>245</v>
      </c>
      <c r="H91" s="2"/>
      <c r="I91" s="2" t="s">
        <v>246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>
        <v>2720</v>
      </c>
      <c r="W91" s="2" t="s">
        <v>242</v>
      </c>
      <c r="X91" s="2">
        <v>7</v>
      </c>
      <c r="Y91" s="2"/>
      <c r="Z91" s="2">
        <v>7</v>
      </c>
    </row>
    <row r="92" spans="1:26" hidden="1" x14ac:dyDescent="0.15">
      <c r="A92" s="2">
        <v>80100</v>
      </c>
      <c r="B92" s="3">
        <v>46022</v>
      </c>
      <c r="C92" s="3">
        <v>46022</v>
      </c>
      <c r="D92" s="2"/>
      <c r="E92" s="2" t="s">
        <v>303</v>
      </c>
      <c r="F92" s="2"/>
      <c r="G92" s="2" t="s">
        <v>240</v>
      </c>
      <c r="H92" s="2"/>
      <c r="I92" s="2" t="s">
        <v>241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>
        <v>2722</v>
      </c>
      <c r="W92" s="2" t="s">
        <v>242</v>
      </c>
      <c r="X92" s="2">
        <v>35377.06</v>
      </c>
      <c r="Y92" s="2"/>
      <c r="Z92" s="2">
        <v>35377.06</v>
      </c>
    </row>
    <row r="93" spans="1:26" hidden="1" x14ac:dyDescent="0.15">
      <c r="A93" s="2">
        <v>80100</v>
      </c>
      <c r="B93" s="3">
        <v>46022</v>
      </c>
      <c r="C93" s="3">
        <v>46022</v>
      </c>
      <c r="D93" s="2"/>
      <c r="E93" s="2" t="s">
        <v>304</v>
      </c>
      <c r="F93" s="2"/>
      <c r="G93" s="2" t="s">
        <v>240</v>
      </c>
      <c r="H93" s="2"/>
      <c r="I93" s="2" t="s">
        <v>241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>
        <v>2749</v>
      </c>
      <c r="W93" s="2" t="s">
        <v>242</v>
      </c>
      <c r="X93" s="2"/>
      <c r="Y93" s="2">
        <v>47924.17</v>
      </c>
      <c r="Z93" s="2">
        <v>-47924.17</v>
      </c>
    </row>
    <row r="94" spans="1:26" hidden="1" x14ac:dyDescent="0.15">
      <c r="A94" s="2">
        <v>80100</v>
      </c>
      <c r="B94" s="3">
        <v>46022</v>
      </c>
      <c r="C94" s="3">
        <v>46022</v>
      </c>
      <c r="D94" s="2"/>
      <c r="E94" s="2" t="s">
        <v>305</v>
      </c>
      <c r="F94" s="2"/>
      <c r="G94" s="2" t="s">
        <v>260</v>
      </c>
      <c r="H94" s="2"/>
      <c r="I94" s="2" t="s">
        <v>261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>
        <v>2683</v>
      </c>
      <c r="W94" s="2" t="s">
        <v>242</v>
      </c>
      <c r="X94" s="2">
        <v>12430.83</v>
      </c>
      <c r="Y94" s="2"/>
      <c r="Z94" s="2">
        <v>12430.83</v>
      </c>
    </row>
    <row r="95" spans="1:26" hidden="1" x14ac:dyDescent="0.15">
      <c r="A95" s="2">
        <v>80300</v>
      </c>
      <c r="B95" s="3">
        <v>46022</v>
      </c>
      <c r="C95" s="3">
        <v>46022</v>
      </c>
      <c r="D95" s="2"/>
      <c r="E95" s="2" t="s">
        <v>302</v>
      </c>
      <c r="F95" s="2"/>
      <c r="G95" s="2" t="s">
        <v>245</v>
      </c>
      <c r="H95" s="2"/>
      <c r="I95" s="2" t="s">
        <v>246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>
        <v>2720</v>
      </c>
      <c r="W95" s="2" t="s">
        <v>242</v>
      </c>
      <c r="X95" s="2">
        <v>20002.55</v>
      </c>
      <c r="Y95" s="2"/>
      <c r="Z95" s="2">
        <v>20002.55</v>
      </c>
    </row>
    <row r="96" spans="1:26" hidden="1" x14ac:dyDescent="0.15">
      <c r="A96" s="2">
        <v>80300</v>
      </c>
      <c r="B96" s="3">
        <v>46022</v>
      </c>
      <c r="C96" s="3">
        <v>46022</v>
      </c>
      <c r="D96" s="2"/>
      <c r="E96" s="2" t="s">
        <v>306</v>
      </c>
      <c r="F96" s="2"/>
      <c r="G96" s="2" t="s">
        <v>245</v>
      </c>
      <c r="H96" s="2"/>
      <c r="I96" s="2" t="s">
        <v>246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>
        <v>2745</v>
      </c>
      <c r="W96" s="2" t="s">
        <v>242</v>
      </c>
      <c r="X96" s="2"/>
      <c r="Y96" s="2">
        <v>23249.53</v>
      </c>
      <c r="Z96" s="2">
        <v>-23249.53</v>
      </c>
    </row>
  </sheetData>
  <autoFilter ref="A1:Z96" xr:uid="{5F4F6200-1C0A-4990-88C3-CE7244548620}">
    <filterColumn colId="0">
      <filters>
        <filter val="6130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2023 to 2025 P&amp;L</vt:lpstr>
      <vt:lpstr>Condensed P&amp;L by Month</vt:lpstr>
      <vt:lpstr>P&amp;L by Month Detail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Stefanick, Meagan</dc:creator>
  <cp:lastModifiedBy>Scott G</cp:lastModifiedBy>
  <dcterms:created xsi:type="dcterms:W3CDTF">2026-03-24T10:24:12Z</dcterms:created>
  <dcterms:modified xsi:type="dcterms:W3CDTF">2026-03-29T00:59:44Z</dcterms:modified>
</cp:coreProperties>
</file>