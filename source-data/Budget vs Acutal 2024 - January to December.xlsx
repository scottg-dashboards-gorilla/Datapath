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ocumenttasks/documenttask1.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showInkAnnotation="0" autoCompressPictures="0"/>
  <mc:AlternateContent xmlns:mc="http://schemas.openxmlformats.org/markup-compatibility/2006">
    <mc:Choice Requires="x15">
      <x15ac:absPath xmlns:x15ac="http://schemas.microsoft.com/office/spreadsheetml/2010/11/ac" url="/Users/scott/Documents/CLevelAdvising/Datapath/financials/P&amp;L/"/>
    </mc:Choice>
  </mc:AlternateContent>
  <xr:revisionPtr revIDLastSave="0" documentId="8_{2AC9A517-0280-3D42-8C10-678AE22F0B78}" xr6:coauthVersionLast="47" xr6:coauthVersionMax="47" xr10:uidLastSave="{00000000-0000-0000-0000-000000000000}"/>
  <bookViews>
    <workbookView xWindow="0" yWindow="660" windowWidth="34560" windowHeight="21680" tabRatio="500" activeTab="2" xr2:uid="{00000000-000D-0000-FFFF-FFFF00000000}"/>
  </bookViews>
  <sheets>
    <sheet name="2024 Bdg vs Actual All" sheetId="17" r:id="rId1"/>
    <sheet name="2024  Bdg vs Actual-CA" sheetId="15" r:id="rId2"/>
    <sheet name="2024 Bdg vs Actual -OH" sheetId="14" r:id="rId3"/>
    <sheet name="OH Calculator" sheetId="24" state="hidden" r:id="rId4"/>
    <sheet name="CA Calculator" sheetId="23" state="hidden" r:id="rId5"/>
    <sheet name="5YR Projections-updated organic" sheetId="3" state="hidden" r:id="rId6"/>
  </sheets>
  <externalReferences>
    <externalReference r:id="rId7"/>
  </externalReferences>
  <definedNames>
    <definedName name="NB_Monthly_Recurring_Private_Cloud_CA">#REF!</definedName>
    <definedName name="NB_Monthly_Recurring_Private_Cloud_OH">#REF!</definedName>
    <definedName name="NB_Monthly_Recurring_Resale_CA">#REF!</definedName>
    <definedName name="NB_Monthly_Recurring_Resale_OH">#REF!</definedName>
    <definedName name="NB_Monthly_Recurring_Services_CA">#REF!</definedName>
    <definedName name="NB_Monthly_Recurring_Services_OH">#REF!</definedName>
    <definedName name="WA_Monthly_Recurring_Private_Cloud_CA">#REF!</definedName>
    <definedName name="WA_Monthly_Recurring_Resale_CA">#REF!</definedName>
    <definedName name="WA_Monthly_Recurring_Resale_OH">#REF!</definedName>
    <definedName name="WA_Monthly_Recurring_Services_CA">#REF!</definedName>
    <definedName name="WA_Monthly_Recurring_Services_OH">#REF!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40" i="17" l="1"/>
  <c r="P39" i="15" l="1"/>
  <c r="T40" i="14"/>
  <c r="AW40" i="17" l="1"/>
  <c r="BA62" i="17"/>
  <c r="BH87" i="15" l="1"/>
  <c r="BH94" i="14"/>
  <c r="BH79" i="14"/>
  <c r="BH72" i="14"/>
  <c r="BH66" i="14"/>
  <c r="BH58" i="14"/>
  <c r="BA79" i="17"/>
  <c r="BG100" i="17" l="1"/>
  <c r="BA34" i="17" l="1"/>
  <c r="BA72" i="17"/>
  <c r="BH48" i="14"/>
  <c r="BH40" i="14"/>
  <c r="BI48" i="14" l="1"/>
  <c r="BH81" i="14"/>
  <c r="BH34" i="14"/>
  <c r="BI34" i="14" s="1"/>
  <c r="CH89" i="14"/>
  <c r="CI93" i="14"/>
  <c r="CH93" i="14"/>
  <c r="CI92" i="14"/>
  <c r="CH92" i="14"/>
  <c r="CI91" i="14"/>
  <c r="CH91" i="14"/>
  <c r="CI88" i="14"/>
  <c r="CH88" i="14"/>
  <c r="CI87" i="14"/>
  <c r="CH87" i="14"/>
  <c r="CH81" i="14"/>
  <c r="CI78" i="14"/>
  <c r="CH78" i="14"/>
  <c r="CI77" i="14"/>
  <c r="CH77" i="14"/>
  <c r="CI76" i="14"/>
  <c r="CH76" i="14"/>
  <c r="CI75" i="14"/>
  <c r="CH75" i="14"/>
  <c r="CI71" i="14"/>
  <c r="CH71" i="14"/>
  <c r="CI70" i="14"/>
  <c r="CH70" i="14"/>
  <c r="CI69" i="14"/>
  <c r="CH69" i="14"/>
  <c r="CI65" i="14"/>
  <c r="CH65" i="14"/>
  <c r="CI64" i="14"/>
  <c r="CH64" i="14"/>
  <c r="CI63" i="14"/>
  <c r="CH63" i="14"/>
  <c r="CI62" i="14"/>
  <c r="CH62" i="14"/>
  <c r="CI57" i="14"/>
  <c r="CH57" i="14"/>
  <c r="CI56" i="14"/>
  <c r="CH56" i="14"/>
  <c r="CI55" i="14"/>
  <c r="CH55" i="14"/>
  <c r="CI54" i="14"/>
  <c r="CH54" i="14"/>
  <c r="CI53" i="14"/>
  <c r="CH53" i="14"/>
  <c r="CI52" i="14"/>
  <c r="CH52" i="14"/>
  <c r="CI47" i="14"/>
  <c r="CH47" i="14"/>
  <c r="CI46" i="14"/>
  <c r="CH46" i="14"/>
  <c r="CI40" i="14"/>
  <c r="CH40" i="14"/>
  <c r="CI39" i="14"/>
  <c r="CH39" i="14"/>
  <c r="CH34" i="14"/>
  <c r="CI33" i="14"/>
  <c r="CH33" i="14"/>
  <c r="CI31" i="14"/>
  <c r="CH31" i="14"/>
  <c r="CI30" i="14"/>
  <c r="CH30" i="14"/>
  <c r="CI29" i="14"/>
  <c r="CH29" i="14"/>
  <c r="CI28" i="14"/>
  <c r="CH28" i="14"/>
  <c r="CI27" i="14"/>
  <c r="CH27" i="14"/>
  <c r="CI26" i="14"/>
  <c r="CH26" i="14"/>
  <c r="CI23" i="14"/>
  <c r="CH23" i="14"/>
  <c r="CI22" i="14"/>
  <c r="CH22" i="14"/>
  <c r="CI18" i="14"/>
  <c r="CH18" i="14"/>
  <c r="CI17" i="14"/>
  <c r="CH17" i="14"/>
  <c r="CI16" i="14"/>
  <c r="CH16" i="14"/>
  <c r="CI15" i="14"/>
  <c r="CH15" i="14"/>
  <c r="CI14" i="14"/>
  <c r="CH14" i="14"/>
  <c r="CH11" i="14"/>
  <c r="BI94" i="14"/>
  <c r="BI91" i="14"/>
  <c r="BI81" i="14"/>
  <c r="BI79" i="14"/>
  <c r="BI78" i="14"/>
  <c r="BI77" i="14"/>
  <c r="BI76" i="14"/>
  <c r="BI75" i="14"/>
  <c r="BI72" i="14"/>
  <c r="BI71" i="14"/>
  <c r="BI70" i="14"/>
  <c r="BI66" i="14"/>
  <c r="BI65" i="14"/>
  <c r="BI64" i="14"/>
  <c r="BI63" i="14"/>
  <c r="BI62" i="14"/>
  <c r="BI58" i="14"/>
  <c r="BI57" i="14"/>
  <c r="BI56" i="14"/>
  <c r="BI55" i="14"/>
  <c r="BI54" i="14"/>
  <c r="BI53" i="14"/>
  <c r="BI52" i="14"/>
  <c r="BI46" i="14"/>
  <c r="BI40" i="14"/>
  <c r="BI39" i="14"/>
  <c r="BI33" i="14"/>
  <c r="BI31" i="14"/>
  <c r="BI30" i="14"/>
  <c r="BI29" i="14"/>
  <c r="BI28" i="14"/>
  <c r="BI27" i="14"/>
  <c r="BI26" i="14"/>
  <c r="BI23" i="14"/>
  <c r="BI22" i="14"/>
  <c r="BI18" i="14"/>
  <c r="BI17" i="14"/>
  <c r="BI16" i="14"/>
  <c r="BI15" i="14"/>
  <c r="BI14" i="14"/>
  <c r="BH11" i="14"/>
  <c r="CG93" i="15"/>
  <c r="CG92" i="15"/>
  <c r="CG91" i="15"/>
  <c r="CH88" i="15"/>
  <c r="CG88" i="15"/>
  <c r="CH87" i="15"/>
  <c r="CG87" i="15"/>
  <c r="CG78" i="15"/>
  <c r="CG77" i="15"/>
  <c r="CG76" i="15"/>
  <c r="CG75" i="15"/>
  <c r="CG71" i="15"/>
  <c r="CG70" i="15"/>
  <c r="CG69" i="15"/>
  <c r="CH65" i="15"/>
  <c r="CG65" i="15"/>
  <c r="CG64" i="15"/>
  <c r="CG63" i="15"/>
  <c r="CG62" i="15"/>
  <c r="CG57" i="15"/>
  <c r="CG56" i="15"/>
  <c r="CG55" i="15"/>
  <c r="CG54" i="15"/>
  <c r="CG53" i="15"/>
  <c r="CG52" i="15"/>
  <c r="CH47" i="15"/>
  <c r="CG47" i="15"/>
  <c r="CG46" i="15"/>
  <c r="CG40" i="15"/>
  <c r="CG39" i="15"/>
  <c r="CG34" i="15"/>
  <c r="CG33" i="15"/>
  <c r="CG31" i="15"/>
  <c r="CG30" i="15"/>
  <c r="CG29" i="15"/>
  <c r="CG28" i="15"/>
  <c r="CG27" i="15"/>
  <c r="CG26" i="15"/>
  <c r="CG23" i="15"/>
  <c r="CG22" i="15"/>
  <c r="CG18" i="15"/>
  <c r="CG17" i="15"/>
  <c r="CG16" i="15"/>
  <c r="CG15" i="15"/>
  <c r="CG14" i="15"/>
  <c r="CG11" i="15"/>
  <c r="BI88" i="15"/>
  <c r="BI65" i="15"/>
  <c r="BG94" i="17"/>
  <c r="BG93" i="17"/>
  <c r="BG92" i="17"/>
  <c r="BG91" i="17"/>
  <c r="BH93" i="17"/>
  <c r="BH92" i="17"/>
  <c r="BH91" i="17"/>
  <c r="BH88" i="17"/>
  <c r="BH87" i="17"/>
  <c r="BG81" i="17"/>
  <c r="BH78" i="17"/>
  <c r="BG78" i="17"/>
  <c r="BH77" i="17"/>
  <c r="BG77" i="17"/>
  <c r="BH76" i="17"/>
  <c r="BG76" i="17"/>
  <c r="BH75" i="17"/>
  <c r="BG75" i="17"/>
  <c r="BG72" i="17"/>
  <c r="BH71" i="17"/>
  <c r="BG71" i="17"/>
  <c r="BH70" i="17"/>
  <c r="BG70" i="17"/>
  <c r="BH69" i="17"/>
  <c r="BG69" i="17"/>
  <c r="BH65" i="17"/>
  <c r="BG65" i="17"/>
  <c r="BH64" i="17"/>
  <c r="BG64" i="17"/>
  <c r="BH63" i="17"/>
  <c r="BG63" i="17"/>
  <c r="BH62" i="17"/>
  <c r="BG62" i="17"/>
  <c r="BH57" i="17"/>
  <c r="BG57" i="17"/>
  <c r="BH56" i="17"/>
  <c r="BG56" i="17"/>
  <c r="BH55" i="17"/>
  <c r="BG55" i="17"/>
  <c r="BH54" i="17"/>
  <c r="BG54" i="17"/>
  <c r="BH53" i="17"/>
  <c r="BG53" i="17"/>
  <c r="BH52" i="17"/>
  <c r="BG52" i="17"/>
  <c r="BH47" i="17"/>
  <c r="BG47" i="17"/>
  <c r="BH46" i="17"/>
  <c r="BG46" i="17"/>
  <c r="BH40" i="17"/>
  <c r="BG40" i="17"/>
  <c r="BH39" i="17"/>
  <c r="BG39" i="17"/>
  <c r="BG34" i="17"/>
  <c r="BH33" i="17"/>
  <c r="BG33" i="17"/>
  <c r="BH31" i="17"/>
  <c r="BG31" i="17"/>
  <c r="BH30" i="17"/>
  <c r="BG30" i="17"/>
  <c r="BH29" i="17"/>
  <c r="BG29" i="17"/>
  <c r="BH28" i="17"/>
  <c r="BG28" i="17"/>
  <c r="BH27" i="17"/>
  <c r="BG27" i="17"/>
  <c r="BH26" i="17"/>
  <c r="BG26" i="17"/>
  <c r="BH23" i="17"/>
  <c r="BG23" i="17"/>
  <c r="BH22" i="17"/>
  <c r="BG22" i="17"/>
  <c r="BH18" i="17"/>
  <c r="BG18" i="17"/>
  <c r="BH17" i="17"/>
  <c r="BG17" i="17"/>
  <c r="BH16" i="17"/>
  <c r="BG16" i="17"/>
  <c r="BH15" i="17"/>
  <c r="BG15" i="17"/>
  <c r="BH14" i="17"/>
  <c r="BG14" i="17"/>
  <c r="BG11" i="17"/>
  <c r="BB72" i="17"/>
  <c r="BB71" i="17"/>
  <c r="BB70" i="17"/>
  <c r="BB69" i="17"/>
  <c r="BB79" i="17"/>
  <c r="BB78" i="17"/>
  <c r="BB77" i="17"/>
  <c r="BB76" i="17"/>
  <c r="BB75" i="17"/>
  <c r="BB88" i="17"/>
  <c r="BA89" i="17"/>
  <c r="BB89" i="17" s="1"/>
  <c r="BA94" i="17"/>
  <c r="BB94" i="17" s="1"/>
  <c r="BB93" i="17"/>
  <c r="BB92" i="17"/>
  <c r="BB91" i="17"/>
  <c r="BA66" i="17"/>
  <c r="BB65" i="17"/>
  <c r="BB64" i="17"/>
  <c r="BB63" i="17"/>
  <c r="BB62" i="17"/>
  <c r="BA58" i="17"/>
  <c r="BB58" i="17" s="1"/>
  <c r="BB57" i="17"/>
  <c r="BB56" i="17"/>
  <c r="BB55" i="17"/>
  <c r="BB54" i="17"/>
  <c r="BB53" i="17"/>
  <c r="BB52" i="17"/>
  <c r="BA48" i="17"/>
  <c r="BB48" i="17" s="1"/>
  <c r="BB47" i="17"/>
  <c r="BB46" i="17"/>
  <c r="BB40" i="17"/>
  <c r="BB39" i="17"/>
  <c r="BB34" i="17"/>
  <c r="BB33" i="17"/>
  <c r="BB31" i="17"/>
  <c r="BB30" i="17"/>
  <c r="BB29" i="17"/>
  <c r="BB28" i="17"/>
  <c r="BB27" i="17"/>
  <c r="BB26" i="17"/>
  <c r="BB23" i="17"/>
  <c r="BB22" i="17"/>
  <c r="BB18" i="17"/>
  <c r="BB17" i="17"/>
  <c r="BB16" i="17"/>
  <c r="BB15" i="17"/>
  <c r="BB14" i="17"/>
  <c r="BA11" i="17"/>
  <c r="BA35" i="17" s="1"/>
  <c r="BD93" i="15"/>
  <c r="BD92" i="15"/>
  <c r="BE92" i="15" s="1"/>
  <c r="BD33" i="15"/>
  <c r="BE33" i="15" s="1"/>
  <c r="BE93" i="15"/>
  <c r="BE91" i="15"/>
  <c r="BE88" i="15"/>
  <c r="BE78" i="15"/>
  <c r="BE76" i="15"/>
  <c r="BE75" i="15"/>
  <c r="BE71" i="15"/>
  <c r="BE69" i="15"/>
  <c r="BE65" i="15"/>
  <c r="BE64" i="15"/>
  <c r="BE63" i="15"/>
  <c r="BE57" i="15"/>
  <c r="BE54" i="15"/>
  <c r="BE52" i="15"/>
  <c r="BE31" i="15"/>
  <c r="BE30" i="15"/>
  <c r="BE29" i="15"/>
  <c r="BE27" i="15"/>
  <c r="BE26" i="15"/>
  <c r="BE23" i="15"/>
  <c r="BE22" i="15"/>
  <c r="BE18" i="15"/>
  <c r="BE17" i="15"/>
  <c r="BE15" i="15"/>
  <c r="BD87" i="15"/>
  <c r="AX65" i="17"/>
  <c r="AW66" i="17"/>
  <c r="AX66" i="17" s="1"/>
  <c r="AW79" i="17"/>
  <c r="AX92" i="17"/>
  <c r="AX93" i="17"/>
  <c r="AW94" i="17"/>
  <c r="AW89" i="17"/>
  <c r="AX89" i="17" s="1"/>
  <c r="AW72" i="17"/>
  <c r="AX72" i="17" s="1"/>
  <c r="AX91" i="17"/>
  <c r="AX88" i="17"/>
  <c r="AX78" i="17"/>
  <c r="AX77" i="17"/>
  <c r="AX76" i="17"/>
  <c r="AX75" i="17"/>
  <c r="AX71" i="17"/>
  <c r="AX70" i="17"/>
  <c r="AX69" i="17"/>
  <c r="AX64" i="17"/>
  <c r="AX63" i="17"/>
  <c r="AX62" i="17"/>
  <c r="AX57" i="17"/>
  <c r="AX56" i="17"/>
  <c r="AX55" i="17"/>
  <c r="AX54" i="17"/>
  <c r="AX53" i="17"/>
  <c r="AX52" i="17"/>
  <c r="AW58" i="17"/>
  <c r="AX58" i="17" s="1"/>
  <c r="AW48" i="17"/>
  <c r="AX48" i="17" s="1"/>
  <c r="AX47" i="17"/>
  <c r="AX46" i="17"/>
  <c r="AX40" i="17"/>
  <c r="AX39" i="17"/>
  <c r="BE40" i="14"/>
  <c r="BE39" i="14"/>
  <c r="BE65" i="14"/>
  <c r="BE64" i="14"/>
  <c r="BE63" i="14"/>
  <c r="BE62" i="14"/>
  <c r="BE71" i="14"/>
  <c r="BE70" i="14"/>
  <c r="BD40" i="14"/>
  <c r="BD41" i="14" s="1"/>
  <c r="BE41" i="14" s="1"/>
  <c r="BD66" i="14"/>
  <c r="BE66" i="14" s="1"/>
  <c r="BD64" i="14"/>
  <c r="BD79" i="14"/>
  <c r="BE79" i="14" s="1"/>
  <c r="BE91" i="14"/>
  <c r="BD94" i="14"/>
  <c r="BE94" i="14" s="1"/>
  <c r="BD72" i="14"/>
  <c r="BE72" i="14" s="1"/>
  <c r="BE78" i="14"/>
  <c r="BE77" i="14"/>
  <c r="BE76" i="14"/>
  <c r="BE75" i="14"/>
  <c r="BD58" i="14"/>
  <c r="BE58" i="14" s="1"/>
  <c r="BE57" i="14"/>
  <c r="BE56" i="14"/>
  <c r="BE55" i="14"/>
  <c r="BE54" i="14"/>
  <c r="BE53" i="14"/>
  <c r="BE52" i="14"/>
  <c r="BE46" i="14"/>
  <c r="BE48" i="14"/>
  <c r="BD48" i="14"/>
  <c r="AX33" i="17"/>
  <c r="AW34" i="17"/>
  <c r="AX34" i="17" s="1"/>
  <c r="AX31" i="17"/>
  <c r="AX30" i="17"/>
  <c r="AX29" i="17"/>
  <c r="AX28" i="17"/>
  <c r="AX27" i="17"/>
  <c r="AX26" i="17"/>
  <c r="AX23" i="17"/>
  <c r="AX22" i="17"/>
  <c r="AX18" i="17"/>
  <c r="AX17" i="17"/>
  <c r="AX16" i="17"/>
  <c r="AX15" i="17"/>
  <c r="AX14" i="17"/>
  <c r="AW11" i="17"/>
  <c r="AX11" i="17" s="1"/>
  <c r="BD34" i="14"/>
  <c r="BE34" i="14" s="1"/>
  <c r="BE33" i="14"/>
  <c r="BE31" i="14"/>
  <c r="BE30" i="14"/>
  <c r="BE29" i="14"/>
  <c r="BE28" i="14"/>
  <c r="BE27" i="14"/>
  <c r="BE26" i="14"/>
  <c r="BE23" i="14"/>
  <c r="BE22" i="14"/>
  <c r="BA17" i="14"/>
  <c r="BE17" i="14"/>
  <c r="BE18" i="14"/>
  <c r="BE16" i="14"/>
  <c r="BE15" i="14"/>
  <c r="BE14" i="14"/>
  <c r="BD11" i="14"/>
  <c r="BE11" i="14" s="1"/>
  <c r="BD14" i="15"/>
  <c r="BD15" i="15"/>
  <c r="BD16" i="15"/>
  <c r="BD17" i="15"/>
  <c r="BD18" i="15"/>
  <c r="BD22" i="15"/>
  <c r="BD23" i="15"/>
  <c r="BD26" i="15"/>
  <c r="BD27" i="15"/>
  <c r="BD28" i="15"/>
  <c r="BD29" i="15"/>
  <c r="BD30" i="15"/>
  <c r="BD31" i="15"/>
  <c r="BH35" i="14" l="1"/>
  <c r="BI35" i="14" s="1"/>
  <c r="BB66" i="17"/>
  <c r="BA81" i="17"/>
  <c r="BB35" i="17"/>
  <c r="BA41" i="17"/>
  <c r="BB11" i="17"/>
  <c r="BI11" i="14"/>
  <c r="BE28" i="15"/>
  <c r="BE16" i="15"/>
  <c r="BE14" i="15"/>
  <c r="AW81" i="17"/>
  <c r="AX79" i="17"/>
  <c r="BH94" i="17"/>
  <c r="BH72" i="17"/>
  <c r="AW35" i="17"/>
  <c r="BD81" i="14"/>
  <c r="BE81" i="14" s="1"/>
  <c r="BD35" i="14"/>
  <c r="BE35" i="14" s="1"/>
  <c r="AZ92" i="15"/>
  <c r="AZ71" i="15"/>
  <c r="AS78" i="17"/>
  <c r="AV32" i="14"/>
  <c r="AY32" i="14"/>
  <c r="AZ32" i="14"/>
  <c r="AS76" i="17"/>
  <c r="BH41" i="14" l="1"/>
  <c r="BH83" i="14"/>
  <c r="BI41" i="14"/>
  <c r="BB81" i="17"/>
  <c r="BB41" i="17"/>
  <c r="BA83" i="17"/>
  <c r="AX35" i="17"/>
  <c r="AW41" i="17"/>
  <c r="AX41" i="17" s="1"/>
  <c r="AX81" i="17"/>
  <c r="BD83" i="14"/>
  <c r="BE83" i="14" s="1"/>
  <c r="AS40" i="17"/>
  <c r="AZ40" i="14"/>
  <c r="BH96" i="14" l="1"/>
  <c r="BI96" i="14" s="1"/>
  <c r="BI83" i="14"/>
  <c r="BB83" i="17"/>
  <c r="BA96" i="17"/>
  <c r="AW83" i="17"/>
  <c r="BD96" i="14"/>
  <c r="BD98" i="14" s="1"/>
  <c r="AZ87" i="15"/>
  <c r="AZ14" i="15"/>
  <c r="BA14" i="15" s="1"/>
  <c r="BA91" i="14"/>
  <c r="BA78" i="14"/>
  <c r="BA77" i="14"/>
  <c r="BA76" i="14"/>
  <c r="BA75" i="14"/>
  <c r="BA71" i="14"/>
  <c r="BA70" i="14"/>
  <c r="BA66" i="14"/>
  <c r="BA65" i="14"/>
  <c r="BA64" i="14"/>
  <c r="BA63" i="14"/>
  <c r="BA62" i="14"/>
  <c r="BA57" i="14"/>
  <c r="BA56" i="14"/>
  <c r="BA55" i="14"/>
  <c r="BA54" i="14"/>
  <c r="BA53" i="14"/>
  <c r="BA52" i="14"/>
  <c r="BA46" i="14"/>
  <c r="BA40" i="14"/>
  <c r="BA39" i="14"/>
  <c r="BA33" i="14"/>
  <c r="BA31" i="14"/>
  <c r="BA30" i="14"/>
  <c r="BA29" i="14"/>
  <c r="BA28" i="14"/>
  <c r="BA27" i="14"/>
  <c r="BA26" i="14"/>
  <c r="BA23" i="14"/>
  <c r="BA22" i="14"/>
  <c r="BA18" i="14"/>
  <c r="BA16" i="14"/>
  <c r="BA15" i="14"/>
  <c r="BA14" i="14"/>
  <c r="AZ94" i="14"/>
  <c r="BA94" i="14" s="1"/>
  <c r="AZ79" i="14"/>
  <c r="BA79" i="14" s="1"/>
  <c r="AZ72" i="14"/>
  <c r="BA72" i="14" s="1"/>
  <c r="AZ66" i="14"/>
  <c r="AZ58" i="14"/>
  <c r="BA58" i="14" s="1"/>
  <c r="AZ48" i="14"/>
  <c r="AZ34" i="14"/>
  <c r="AZ11" i="14"/>
  <c r="AT93" i="17"/>
  <c r="AT92" i="17"/>
  <c r="AT88" i="17"/>
  <c r="AS94" i="17"/>
  <c r="AS89" i="17"/>
  <c r="AT89" i="17" s="1"/>
  <c r="AS79" i="17"/>
  <c r="AS72" i="17"/>
  <c r="AS66" i="17"/>
  <c r="AS58" i="17"/>
  <c r="AS48" i="17"/>
  <c r="AS34" i="17"/>
  <c r="AS11" i="17"/>
  <c r="BG98" i="15"/>
  <c r="BC98" i="15"/>
  <c r="AU98" i="15"/>
  <c r="AQ98" i="15"/>
  <c r="AM98" i="15"/>
  <c r="AI98" i="15"/>
  <c r="AE98" i="15"/>
  <c r="AA98" i="15"/>
  <c r="S98" i="15"/>
  <c r="O98" i="15"/>
  <c r="M98" i="15"/>
  <c r="K98" i="15"/>
  <c r="I98" i="15"/>
  <c r="G98" i="15"/>
  <c r="AO40" i="17"/>
  <c r="AK39" i="17"/>
  <c r="AK40" i="17"/>
  <c r="AV88" i="15"/>
  <c r="AV89" i="15" s="1"/>
  <c r="AW89" i="15" s="1"/>
  <c r="AW70" i="15"/>
  <c r="AV87" i="15"/>
  <c r="AV78" i="15"/>
  <c r="AW78" i="15" s="1"/>
  <c r="AV40" i="14"/>
  <c r="AO89" i="17"/>
  <c r="AN89" i="17"/>
  <c r="AP88" i="17"/>
  <c r="AK89" i="17"/>
  <c r="AL89" i="17" s="1"/>
  <c r="AJ89" i="17"/>
  <c r="AL88" i="17"/>
  <c r="AG89" i="17"/>
  <c r="AH89" i="17" s="1"/>
  <c r="AF89" i="17"/>
  <c r="AH88" i="17"/>
  <c r="AO34" i="17"/>
  <c r="AO94" i="17"/>
  <c r="AP93" i="17"/>
  <c r="AP92" i="17"/>
  <c r="AO79" i="17"/>
  <c r="AO72" i="17"/>
  <c r="AO66" i="17"/>
  <c r="AO58" i="17"/>
  <c r="AO48" i="17"/>
  <c r="AO11" i="17"/>
  <c r="AV94" i="14"/>
  <c r="AW94" i="14" s="1"/>
  <c r="AW91" i="14"/>
  <c r="AV79" i="14"/>
  <c r="AW79" i="14" s="1"/>
  <c r="AW78" i="14"/>
  <c r="AW77" i="14"/>
  <c r="AW76" i="14"/>
  <c r="AW75" i="14"/>
  <c r="AV72" i="14"/>
  <c r="AW72" i="14" s="1"/>
  <c r="AW71" i="14"/>
  <c r="AW70" i="14"/>
  <c r="AV66" i="14"/>
  <c r="AW66" i="14" s="1"/>
  <c r="AW65" i="14"/>
  <c r="AW64" i="14"/>
  <c r="AW63" i="14"/>
  <c r="AW62" i="14"/>
  <c r="AV58" i="14"/>
  <c r="AW58" i="14" s="1"/>
  <c r="AW57" i="14"/>
  <c r="AW56" i="14"/>
  <c r="AW55" i="14"/>
  <c r="AW54" i="14"/>
  <c r="AW53" i="14"/>
  <c r="AW52" i="14"/>
  <c r="AV48" i="14"/>
  <c r="AW48" i="14" s="1"/>
  <c r="AW46" i="14"/>
  <c r="AW40" i="14"/>
  <c r="AV40" i="15"/>
  <c r="AW40" i="15" s="1"/>
  <c r="AW39" i="14"/>
  <c r="AV34" i="14"/>
  <c r="AW33" i="14"/>
  <c r="AW31" i="14"/>
  <c r="AW30" i="14"/>
  <c r="AW29" i="14"/>
  <c r="AW28" i="14"/>
  <c r="AW27" i="14"/>
  <c r="AW26" i="14"/>
  <c r="AW23" i="14"/>
  <c r="AW22" i="14"/>
  <c r="AW18" i="14"/>
  <c r="AW16" i="14"/>
  <c r="AW15" i="14"/>
  <c r="AW14" i="14"/>
  <c r="AV11" i="14"/>
  <c r="AV93" i="15"/>
  <c r="AW93" i="15" s="1"/>
  <c r="AV92" i="15"/>
  <c r="AW92" i="15" s="1"/>
  <c r="AV91" i="15"/>
  <c r="AV77" i="15"/>
  <c r="AW77" i="15" s="1"/>
  <c r="AV76" i="15"/>
  <c r="AW76" i="15" s="1"/>
  <c r="AV75" i="15"/>
  <c r="AW75" i="15" s="1"/>
  <c r="AV71" i="15"/>
  <c r="AW71" i="15" s="1"/>
  <c r="AV69" i="15"/>
  <c r="AW69" i="15" s="1"/>
  <c r="AV65" i="15"/>
  <c r="AW65" i="15" s="1"/>
  <c r="AV64" i="15"/>
  <c r="AW64" i="15" s="1"/>
  <c r="AV63" i="15"/>
  <c r="AW63" i="15" s="1"/>
  <c r="AV62" i="15"/>
  <c r="AW57" i="15"/>
  <c r="AV56" i="15"/>
  <c r="AW56" i="15" s="1"/>
  <c r="AV55" i="15"/>
  <c r="AW55" i="15" s="1"/>
  <c r="AV54" i="15"/>
  <c r="AW54" i="15" s="1"/>
  <c r="AV53" i="15"/>
  <c r="AW53" i="15" s="1"/>
  <c r="AW52" i="15"/>
  <c r="AV46" i="15"/>
  <c r="AV48" i="15" s="1"/>
  <c r="AW48" i="15" s="1"/>
  <c r="AV39" i="15"/>
  <c r="AW39" i="15" s="1"/>
  <c r="AV33" i="15"/>
  <c r="AW33" i="15" s="1"/>
  <c r="AV31" i="15"/>
  <c r="AW31" i="15" s="1"/>
  <c r="AV30" i="15"/>
  <c r="AW30" i="15" s="1"/>
  <c r="AV29" i="15"/>
  <c r="AW29" i="15" s="1"/>
  <c r="AV28" i="15"/>
  <c r="AW28" i="15" s="1"/>
  <c r="AV27" i="15"/>
  <c r="AW27" i="15" s="1"/>
  <c r="AV26" i="15"/>
  <c r="AW26" i="15" s="1"/>
  <c r="AV23" i="15"/>
  <c r="AW23" i="15" s="1"/>
  <c r="AV22" i="15"/>
  <c r="AW22" i="15" s="1"/>
  <c r="AV18" i="15"/>
  <c r="AW18" i="15" s="1"/>
  <c r="AV17" i="15"/>
  <c r="AW17" i="15" s="1"/>
  <c r="AV16" i="15"/>
  <c r="AW16" i="15" s="1"/>
  <c r="AV15" i="15"/>
  <c r="AW15" i="15" s="1"/>
  <c r="AV14" i="15"/>
  <c r="AW14" i="15" s="1"/>
  <c r="AR32" i="14"/>
  <c r="BB96" i="17" l="1"/>
  <c r="BA98" i="17"/>
  <c r="BE96" i="14"/>
  <c r="AX83" i="17"/>
  <c r="AW84" i="17"/>
  <c r="AW96" i="17"/>
  <c r="AW98" i="17" s="1"/>
  <c r="AS81" i="17"/>
  <c r="AS35" i="17"/>
  <c r="AZ81" i="14"/>
  <c r="BA81" i="14" s="1"/>
  <c r="BA48" i="14"/>
  <c r="AZ35" i="14"/>
  <c r="BA11" i="14"/>
  <c r="AO35" i="17"/>
  <c r="AV34" i="15"/>
  <c r="AV35" i="14"/>
  <c r="AV41" i="14" s="1"/>
  <c r="AP89" i="17"/>
  <c r="AO81" i="17"/>
  <c r="AW11" i="14"/>
  <c r="AV66" i="15"/>
  <c r="AW66" i="15" s="1"/>
  <c r="AW62" i="15"/>
  <c r="AV81" i="14"/>
  <c r="AV94" i="15"/>
  <c r="AW94" i="15" s="1"/>
  <c r="AV11" i="15"/>
  <c r="AV58" i="15"/>
  <c r="AW58" i="15" s="1"/>
  <c r="AW91" i="15"/>
  <c r="AW46" i="15"/>
  <c r="AV72" i="15"/>
  <c r="AW72" i="15" s="1"/>
  <c r="AV79" i="15"/>
  <c r="AW79" i="15" s="1"/>
  <c r="AW88" i="15"/>
  <c r="Y11" i="17"/>
  <c r="Y35" i="17" s="1"/>
  <c r="Y41" i="17" s="1"/>
  <c r="Y23" i="17"/>
  <c r="Y34" i="17"/>
  <c r="Y48" i="17"/>
  <c r="Y58" i="17"/>
  <c r="Y66" i="17"/>
  <c r="Y72" i="17"/>
  <c r="Y79" i="17"/>
  <c r="Y89" i="17"/>
  <c r="Y94" i="17"/>
  <c r="U94" i="17"/>
  <c r="U89" i="17"/>
  <c r="U79" i="17"/>
  <c r="U72" i="17"/>
  <c r="U62" i="17"/>
  <c r="U66" i="17" s="1"/>
  <c r="U58" i="17"/>
  <c r="U48" i="17"/>
  <c r="U40" i="17"/>
  <c r="U34" i="17"/>
  <c r="U11" i="17"/>
  <c r="U35" i="17" s="1"/>
  <c r="U41" i="17" s="1"/>
  <c r="Q94" i="17"/>
  <c r="Q89" i="17"/>
  <c r="Q79" i="17"/>
  <c r="Q72" i="17"/>
  <c r="Q66" i="17"/>
  <c r="Q58" i="17"/>
  <c r="Q48" i="17"/>
  <c r="Q34" i="17"/>
  <c r="Q11" i="17"/>
  <c r="U81" i="17" l="1"/>
  <c r="U83" i="17" s="1"/>
  <c r="Q81" i="17"/>
  <c r="Q35" i="17"/>
  <c r="Q41" i="17" s="1"/>
  <c r="AS41" i="17"/>
  <c r="AS83" i="17" s="1"/>
  <c r="AZ41" i="14"/>
  <c r="AZ83" i="14" s="1"/>
  <c r="AO41" i="17"/>
  <c r="AW34" i="15"/>
  <c r="AW81" i="14"/>
  <c r="AV81" i="15"/>
  <c r="AW81" i="15" s="1"/>
  <c r="AV83" i="14"/>
  <c r="AW11" i="15"/>
  <c r="AV35" i="15"/>
  <c r="Y81" i="17"/>
  <c r="Y83" i="17" s="1"/>
  <c r="U96" i="17" l="1"/>
  <c r="U98" i="17" s="1"/>
  <c r="U84" i="17"/>
  <c r="Q83" i="17"/>
  <c r="AS84" i="17"/>
  <c r="AS96" i="17"/>
  <c r="AZ96" i="14"/>
  <c r="AO83" i="17"/>
  <c r="AO96" i="17" s="1"/>
  <c r="AV96" i="14"/>
  <c r="AV41" i="15"/>
  <c r="AW35" i="15"/>
  <c r="Y96" i="17"/>
  <c r="Y84" i="17"/>
  <c r="Q96" i="17" l="1"/>
  <c r="Q98" i="17" s="1"/>
  <c r="Q84" i="17"/>
  <c r="AS98" i="17"/>
  <c r="AZ98" i="14"/>
  <c r="AO84" i="17"/>
  <c r="AO98" i="17"/>
  <c r="AV98" i="14"/>
  <c r="AV83" i="15"/>
  <c r="AW41" i="15"/>
  <c r="Y98" i="17"/>
  <c r="AV84" i="15" l="1"/>
  <c r="AW83" i="15"/>
  <c r="AV96" i="15"/>
  <c r="AV98" i="15" s="1"/>
  <c r="AR40" i="14"/>
  <c r="AK62" i="17"/>
  <c r="AK94" i="17"/>
  <c r="AL93" i="17"/>
  <c r="AL92" i="17"/>
  <c r="AK79" i="17"/>
  <c r="AK72" i="17"/>
  <c r="AK48" i="17"/>
  <c r="AR94" i="14"/>
  <c r="AS94" i="14" s="1"/>
  <c r="AS91" i="14"/>
  <c r="AR79" i="14"/>
  <c r="AS79" i="14" s="1"/>
  <c r="AS78" i="14"/>
  <c r="AS77" i="14"/>
  <c r="AS76" i="14"/>
  <c r="AS75" i="14"/>
  <c r="AS71" i="14"/>
  <c r="AS70" i="14"/>
  <c r="AR72" i="14"/>
  <c r="AS72" i="14" s="1"/>
  <c r="AR66" i="14"/>
  <c r="AS66" i="14" s="1"/>
  <c r="AR58" i="14"/>
  <c r="AS58" i="14" s="1"/>
  <c r="AS65" i="14"/>
  <c r="AS64" i="14"/>
  <c r="AS63" i="14"/>
  <c r="AS62" i="14"/>
  <c r="AS57" i="14"/>
  <c r="AS56" i="14"/>
  <c r="AS55" i="14"/>
  <c r="AS54" i="14"/>
  <c r="AS53" i="14"/>
  <c r="AS52" i="14"/>
  <c r="AS46" i="14"/>
  <c r="AR48" i="14"/>
  <c r="AS48" i="14" s="1"/>
  <c r="AS40" i="14"/>
  <c r="AS39" i="14"/>
  <c r="AK66" i="17"/>
  <c r="AK58" i="17"/>
  <c r="AK34" i="17"/>
  <c r="BH34" i="17" s="1"/>
  <c r="AK11" i="17"/>
  <c r="AS11" i="14"/>
  <c r="AO11" i="14"/>
  <c r="AG11" i="14"/>
  <c r="AC11" i="14"/>
  <c r="Y11" i="14"/>
  <c r="AS22" i="14"/>
  <c r="AS18" i="14"/>
  <c r="AS17" i="14"/>
  <c r="AS16" i="14"/>
  <c r="AS15" i="14"/>
  <c r="AS14" i="14"/>
  <c r="AS23" i="14"/>
  <c r="AS31" i="14"/>
  <c r="AS30" i="14"/>
  <c r="AS29" i="14"/>
  <c r="AS28" i="14"/>
  <c r="AS27" i="14"/>
  <c r="AS26" i="14"/>
  <c r="AS33" i="14"/>
  <c r="AR34" i="14"/>
  <c r="AR11" i="14"/>
  <c r="AW96" i="15" l="1"/>
  <c r="AK81" i="17"/>
  <c r="AK35" i="17"/>
  <c r="AR81" i="14"/>
  <c r="AR35" i="14"/>
  <c r="AG40" i="17"/>
  <c r="AG34" i="17"/>
  <c r="AN40" i="14"/>
  <c r="AN34" i="14"/>
  <c r="AN32" i="14"/>
  <c r="AN94" i="14"/>
  <c r="AO94" i="14" s="1"/>
  <c r="AN79" i="14"/>
  <c r="AO79" i="14" s="1"/>
  <c r="AN72" i="14"/>
  <c r="AO72" i="14" s="1"/>
  <c r="AN66" i="14"/>
  <c r="AO66" i="14" s="1"/>
  <c r="AN58" i="14"/>
  <c r="AO58" i="14" s="1"/>
  <c r="AN48" i="14"/>
  <c r="AO48" i="14" s="1"/>
  <c r="AO91" i="14"/>
  <c r="AO78" i="14"/>
  <c r="AO77" i="14"/>
  <c r="AO76" i="14"/>
  <c r="AO75" i="14"/>
  <c r="AO71" i="14"/>
  <c r="AO70" i="14"/>
  <c r="AO65" i="14"/>
  <c r="AO64" i="14"/>
  <c r="AO63" i="14"/>
  <c r="AO62" i="14"/>
  <c r="AO57" i="14"/>
  <c r="AO56" i="14"/>
  <c r="AO55" i="14"/>
  <c r="AO54" i="14"/>
  <c r="AO53" i="14"/>
  <c r="AO52" i="14"/>
  <c r="AO46" i="14"/>
  <c r="AO40" i="14"/>
  <c r="AO39" i="14"/>
  <c r="AO33" i="14"/>
  <c r="AO31" i="14"/>
  <c r="AO30" i="14"/>
  <c r="AO29" i="14"/>
  <c r="AO28" i="14"/>
  <c r="AO27" i="14"/>
  <c r="AO26" i="14"/>
  <c r="AG94" i="17"/>
  <c r="AH93" i="17"/>
  <c r="AH92" i="17"/>
  <c r="AG79" i="17"/>
  <c r="AG72" i="17"/>
  <c r="AG66" i="17"/>
  <c r="AG58" i="17"/>
  <c r="AG48" i="17"/>
  <c r="AG11" i="17"/>
  <c r="AR41" i="14" l="1"/>
  <c r="AR83" i="14" s="1"/>
  <c r="AK41" i="17"/>
  <c r="AS81" i="14"/>
  <c r="AN81" i="14"/>
  <c r="AG81" i="17"/>
  <c r="AG35" i="17"/>
  <c r="AN11" i="14"/>
  <c r="AK83" i="17" l="1"/>
  <c r="AR96" i="14"/>
  <c r="AO81" i="14"/>
  <c r="AG41" i="17"/>
  <c r="AN35" i="14"/>
  <c r="AO23" i="14"/>
  <c r="AO22" i="14"/>
  <c r="AO15" i="14"/>
  <c r="AO16" i="14"/>
  <c r="AO17" i="14"/>
  <c r="AO18" i="14"/>
  <c r="AO14" i="14"/>
  <c r="AR98" i="14" l="1"/>
  <c r="AK84" i="17"/>
  <c r="AK96" i="17"/>
  <c r="AK98" i="17" s="1"/>
  <c r="AG83" i="17"/>
  <c r="AN41" i="14"/>
  <c r="BH93" i="15"/>
  <c r="BH92" i="15"/>
  <c r="BH91" i="15"/>
  <c r="BH88" i="15"/>
  <c r="BH89" i="15" s="1"/>
  <c r="BI89" i="15" s="1"/>
  <c r="BH81" i="15"/>
  <c r="BI81" i="15" s="1"/>
  <c r="BH78" i="15"/>
  <c r="BH77" i="15"/>
  <c r="BH76" i="15"/>
  <c r="BH75" i="15"/>
  <c r="BH71" i="15"/>
  <c r="BH70" i="15"/>
  <c r="BH69" i="15"/>
  <c r="BH65" i="15"/>
  <c r="BH64" i="15"/>
  <c r="BH63" i="15"/>
  <c r="BH62" i="15"/>
  <c r="BH57" i="15"/>
  <c r="BH56" i="15"/>
  <c r="BH55" i="15"/>
  <c r="BH54" i="15"/>
  <c r="BH53" i="15"/>
  <c r="BH52" i="15"/>
  <c r="BH46" i="15"/>
  <c r="BH40" i="15"/>
  <c r="BH39" i="15"/>
  <c r="BH34" i="15"/>
  <c r="BH33" i="15"/>
  <c r="BH31" i="15"/>
  <c r="BH30" i="15"/>
  <c r="BH29" i="15"/>
  <c r="BH28" i="15"/>
  <c r="BH27" i="15"/>
  <c r="BH26" i="15"/>
  <c r="BH23" i="15"/>
  <c r="BH22" i="15"/>
  <c r="BH18" i="15"/>
  <c r="BH17" i="15"/>
  <c r="BH16" i="15"/>
  <c r="BH15" i="15"/>
  <c r="BH14" i="15"/>
  <c r="BD91" i="15"/>
  <c r="BD88" i="15"/>
  <c r="BD89" i="15" s="1"/>
  <c r="BE89" i="15" s="1"/>
  <c r="BD81" i="15"/>
  <c r="BE81" i="15" s="1"/>
  <c r="BD78" i="15"/>
  <c r="BD77" i="15"/>
  <c r="BE77" i="15" s="1"/>
  <c r="BD76" i="15"/>
  <c r="BD75" i="15"/>
  <c r="BD71" i="15"/>
  <c r="BD70" i="15"/>
  <c r="BD69" i="15"/>
  <c r="BD65" i="15"/>
  <c r="BD64" i="15"/>
  <c r="BD63" i="15"/>
  <c r="BD62" i="15"/>
  <c r="BD57" i="15"/>
  <c r="BD56" i="15"/>
  <c r="BD55" i="15"/>
  <c r="BD54" i="15"/>
  <c r="BD53" i="15"/>
  <c r="BE53" i="15" s="1"/>
  <c r="BD52" i="15"/>
  <c r="BD46" i="15"/>
  <c r="BD40" i="15"/>
  <c r="BE40" i="15" s="1"/>
  <c r="BD39" i="15"/>
  <c r="BE39" i="15" s="1"/>
  <c r="BD34" i="15"/>
  <c r="BD11" i="15"/>
  <c r="AZ93" i="15"/>
  <c r="AZ91" i="15"/>
  <c r="AZ88" i="15"/>
  <c r="AZ81" i="15"/>
  <c r="BA81" i="15" s="1"/>
  <c r="AZ78" i="15"/>
  <c r="AZ77" i="15"/>
  <c r="BA77" i="15" s="1"/>
  <c r="AZ76" i="15"/>
  <c r="AZ75" i="15"/>
  <c r="AZ70" i="15"/>
  <c r="AZ69" i="15"/>
  <c r="AZ65" i="15"/>
  <c r="BA65" i="15" s="1"/>
  <c r="AZ64" i="15"/>
  <c r="AZ63" i="15"/>
  <c r="AZ62" i="15"/>
  <c r="AZ57" i="15"/>
  <c r="AZ56" i="15"/>
  <c r="AZ55" i="15"/>
  <c r="AZ54" i="15"/>
  <c r="AZ53" i="15"/>
  <c r="AZ52" i="15"/>
  <c r="AZ46" i="15"/>
  <c r="AZ40" i="15"/>
  <c r="AZ39" i="15"/>
  <c r="AZ34" i="15"/>
  <c r="AZ33" i="15"/>
  <c r="AZ31" i="15"/>
  <c r="AZ30" i="15"/>
  <c r="BA30" i="15" s="1"/>
  <c r="AZ29" i="15"/>
  <c r="BA29" i="15" s="1"/>
  <c r="AZ28" i="15"/>
  <c r="BA28" i="15" s="1"/>
  <c r="AZ27" i="15"/>
  <c r="BA27" i="15" s="1"/>
  <c r="AZ26" i="15"/>
  <c r="AZ23" i="15"/>
  <c r="AZ22" i="15"/>
  <c r="AZ18" i="15"/>
  <c r="AZ17" i="15"/>
  <c r="AZ16" i="15"/>
  <c r="AZ15" i="15"/>
  <c r="AR93" i="15"/>
  <c r="AR92" i="15"/>
  <c r="AR91" i="15"/>
  <c r="AR88" i="15"/>
  <c r="AR81" i="15"/>
  <c r="AR78" i="15"/>
  <c r="AR77" i="15"/>
  <c r="AR76" i="15"/>
  <c r="AR75" i="15"/>
  <c r="AR71" i="15"/>
  <c r="AR70" i="15"/>
  <c r="AR69" i="15"/>
  <c r="AR65" i="15"/>
  <c r="AR64" i="15"/>
  <c r="AR63" i="15"/>
  <c r="AR62" i="15"/>
  <c r="AR57" i="15"/>
  <c r="AR56" i="15"/>
  <c r="AR55" i="15"/>
  <c r="AR54" i="15"/>
  <c r="AR53" i="15"/>
  <c r="AR52" i="15"/>
  <c r="AR46" i="15"/>
  <c r="AR40" i="15"/>
  <c r="AR39" i="15"/>
  <c r="AR34" i="15"/>
  <c r="AR33" i="15"/>
  <c r="AR31" i="15"/>
  <c r="AS31" i="15" s="1"/>
  <c r="AR30" i="15"/>
  <c r="AS30" i="15" s="1"/>
  <c r="AR29" i="15"/>
  <c r="AS29" i="15" s="1"/>
  <c r="AR28" i="15"/>
  <c r="AS28" i="15" s="1"/>
  <c r="AR27" i="15"/>
  <c r="AR26" i="15"/>
  <c r="AS26" i="15" s="1"/>
  <c r="AR23" i="15"/>
  <c r="AS23" i="15" s="1"/>
  <c r="AR22" i="15"/>
  <c r="AS22" i="15" s="1"/>
  <c r="AR18" i="15"/>
  <c r="AS18" i="15" s="1"/>
  <c r="AR17" i="15"/>
  <c r="AS17" i="15" s="1"/>
  <c r="AR16" i="15"/>
  <c r="AS16" i="15" s="1"/>
  <c r="AR15" i="15"/>
  <c r="AS15" i="15" s="1"/>
  <c r="AR14" i="15"/>
  <c r="AS14" i="15" s="1"/>
  <c r="AN93" i="15"/>
  <c r="AN92" i="15"/>
  <c r="AN91" i="15"/>
  <c r="AN88" i="15"/>
  <c r="AN81" i="15"/>
  <c r="AN78" i="15"/>
  <c r="AN77" i="15"/>
  <c r="AN76" i="15"/>
  <c r="AN75" i="15"/>
  <c r="AN71" i="15"/>
  <c r="AN70" i="15"/>
  <c r="AN69" i="15"/>
  <c r="AN65" i="15"/>
  <c r="AN64" i="15"/>
  <c r="AN63" i="15"/>
  <c r="AN62" i="15"/>
  <c r="AN57" i="15"/>
  <c r="AN56" i="15"/>
  <c r="AN55" i="15"/>
  <c r="AN54" i="15"/>
  <c r="AN53" i="15"/>
  <c r="AN52" i="15"/>
  <c r="AN46" i="15"/>
  <c r="AN40" i="15"/>
  <c r="AN39" i="15"/>
  <c r="AN34" i="15"/>
  <c r="AN33" i="15"/>
  <c r="AN31" i="15"/>
  <c r="AN30" i="15"/>
  <c r="AN29" i="15"/>
  <c r="AN28" i="15"/>
  <c r="AN27" i="15"/>
  <c r="AN26" i="15"/>
  <c r="AN23" i="15"/>
  <c r="AN22" i="15"/>
  <c r="AN18" i="15"/>
  <c r="AN17" i="15"/>
  <c r="AN16" i="15"/>
  <c r="AN15" i="15"/>
  <c r="AN14" i="15"/>
  <c r="AZ14" i="17"/>
  <c r="AZ15" i="17"/>
  <c r="AZ16" i="17"/>
  <c r="AZ17" i="17"/>
  <c r="AZ18" i="17"/>
  <c r="AZ22" i="17"/>
  <c r="AZ23" i="17"/>
  <c r="AZ33" i="17"/>
  <c r="AZ39" i="17"/>
  <c r="AZ40" i="17"/>
  <c r="AZ46" i="17"/>
  <c r="AZ48" i="17" s="1"/>
  <c r="AZ47" i="17"/>
  <c r="AZ52" i="17"/>
  <c r="AZ53" i="17"/>
  <c r="AZ54" i="17"/>
  <c r="AZ55" i="17"/>
  <c r="AZ56" i="17"/>
  <c r="AZ57" i="17"/>
  <c r="AZ62" i="17"/>
  <c r="AZ63" i="17"/>
  <c r="AZ64" i="17"/>
  <c r="AZ65" i="17"/>
  <c r="AZ69" i="17"/>
  <c r="AZ70" i="17"/>
  <c r="AZ72" i="17" s="1"/>
  <c r="AZ71" i="17"/>
  <c r="AZ75" i="17"/>
  <c r="AZ76" i="17"/>
  <c r="AZ77" i="17"/>
  <c r="AZ78" i="17"/>
  <c r="AZ91" i="17"/>
  <c r="AZ94" i="17" s="1"/>
  <c r="AJ54" i="14"/>
  <c r="AJ40" i="14"/>
  <c r="AC62" i="17"/>
  <c r="AC76" i="17"/>
  <c r="AC40" i="17"/>
  <c r="BD48" i="15" l="1"/>
  <c r="BE48" i="15" s="1"/>
  <c r="BE46" i="15"/>
  <c r="BI64" i="15"/>
  <c r="CH64" i="15"/>
  <c r="CH63" i="15"/>
  <c r="BI63" i="15"/>
  <c r="CH62" i="15"/>
  <c r="BI62" i="15"/>
  <c r="BI92" i="15"/>
  <c r="BI93" i="15"/>
  <c r="CH93" i="15"/>
  <c r="BH94" i="15"/>
  <c r="BI94" i="15" s="1"/>
  <c r="CH91" i="15"/>
  <c r="BI91" i="15"/>
  <c r="BI75" i="15"/>
  <c r="CH75" i="15"/>
  <c r="BI77" i="15"/>
  <c r="CH76" i="15"/>
  <c r="BI76" i="15"/>
  <c r="CH70" i="15"/>
  <c r="BI70" i="15"/>
  <c r="CH78" i="15"/>
  <c r="BI78" i="15"/>
  <c r="CH71" i="15"/>
  <c r="BI71" i="15"/>
  <c r="BI69" i="15"/>
  <c r="CH69" i="15"/>
  <c r="CH57" i="15"/>
  <c r="BI57" i="15"/>
  <c r="BI56" i="15"/>
  <c r="BI55" i="15"/>
  <c r="BI53" i="15"/>
  <c r="CH53" i="15"/>
  <c r="BI54" i="15"/>
  <c r="CH54" i="15"/>
  <c r="CH52" i="15"/>
  <c r="BI52" i="15"/>
  <c r="BH48" i="15"/>
  <c r="BI48" i="15" s="1"/>
  <c r="BI46" i="15"/>
  <c r="BI40" i="15"/>
  <c r="BI39" i="15"/>
  <c r="BI34" i="15"/>
  <c r="BI33" i="15"/>
  <c r="CH31" i="15"/>
  <c r="BI31" i="15"/>
  <c r="CH30" i="15"/>
  <c r="BI30" i="15"/>
  <c r="BI29" i="15"/>
  <c r="CH29" i="15"/>
  <c r="BI23" i="15"/>
  <c r="BI26" i="15"/>
  <c r="CH22" i="15"/>
  <c r="BI22" i="15"/>
  <c r="BI27" i="15"/>
  <c r="CH27" i="15"/>
  <c r="BI28" i="15"/>
  <c r="BI16" i="15"/>
  <c r="BI17" i="15"/>
  <c r="CH17" i="15"/>
  <c r="CH18" i="15"/>
  <c r="BI18" i="15"/>
  <c r="BI15" i="15"/>
  <c r="CH15" i="15"/>
  <c r="BI14" i="15"/>
  <c r="BE62" i="15"/>
  <c r="BE70" i="15"/>
  <c r="BE56" i="15"/>
  <c r="BE55" i="15"/>
  <c r="BE34" i="15"/>
  <c r="BE11" i="15"/>
  <c r="BH58" i="15"/>
  <c r="BI58" i="15" s="1"/>
  <c r="AZ66" i="17"/>
  <c r="BD72" i="15"/>
  <c r="BE72" i="15" s="1"/>
  <c r="BH11" i="15"/>
  <c r="BD35" i="15"/>
  <c r="BA26" i="15"/>
  <c r="BA31" i="15"/>
  <c r="BA33" i="15"/>
  <c r="BA64" i="15"/>
  <c r="BA63" i="15"/>
  <c r="BA93" i="15"/>
  <c r="AZ89" i="15"/>
  <c r="BA89" i="15" s="1"/>
  <c r="BA88" i="15"/>
  <c r="BA71" i="15"/>
  <c r="BA69" i="15"/>
  <c r="BA15" i="15"/>
  <c r="BA18" i="15"/>
  <c r="AZ72" i="15"/>
  <c r="BA72" i="15" s="1"/>
  <c r="BA70" i="15"/>
  <c r="BA92" i="15"/>
  <c r="AZ94" i="15"/>
  <c r="BA94" i="15" s="1"/>
  <c r="BA91" i="15"/>
  <c r="BA76" i="15"/>
  <c r="BA75" i="15"/>
  <c r="BA78" i="15"/>
  <c r="BA62" i="15"/>
  <c r="BA57" i="15"/>
  <c r="BA56" i="15"/>
  <c r="BA55" i="15"/>
  <c r="BA54" i="15"/>
  <c r="BA53" i="15"/>
  <c r="BA52" i="15"/>
  <c r="AZ48" i="15"/>
  <c r="BA48" i="15" s="1"/>
  <c r="BA46" i="15"/>
  <c r="BA40" i="15"/>
  <c r="BA39" i="15"/>
  <c r="BA23" i="15"/>
  <c r="BA22" i="15"/>
  <c r="BA17" i="15"/>
  <c r="AZ11" i="15"/>
  <c r="BA11" i="15" s="1"/>
  <c r="BA16" i="15"/>
  <c r="AR89" i="15"/>
  <c r="AS89" i="15" s="1"/>
  <c r="AS88" i="15"/>
  <c r="AN89" i="15"/>
  <c r="AO89" i="15" s="1"/>
  <c r="AO88" i="15"/>
  <c r="AS27" i="15"/>
  <c r="AS64" i="15"/>
  <c r="AS65" i="15"/>
  <c r="AS63" i="15"/>
  <c r="AS77" i="15"/>
  <c r="AS93" i="15"/>
  <c r="AS78" i="15"/>
  <c r="AS69" i="15"/>
  <c r="AR79" i="15"/>
  <c r="AS79" i="15" s="1"/>
  <c r="AS75" i="15"/>
  <c r="AR66" i="15"/>
  <c r="AS66" i="15" s="1"/>
  <c r="AS62" i="15"/>
  <c r="AS92" i="15"/>
  <c r="AS91" i="15"/>
  <c r="AS55" i="15"/>
  <c r="AS53" i="15"/>
  <c r="AS76" i="15"/>
  <c r="AS81" i="15"/>
  <c r="AS71" i="15"/>
  <c r="AS57" i="15"/>
  <c r="AS70" i="15"/>
  <c r="AS56" i="15"/>
  <c r="AS54" i="15"/>
  <c r="AS52" i="15"/>
  <c r="AR48" i="15"/>
  <c r="AS48" i="15" s="1"/>
  <c r="AS46" i="15"/>
  <c r="AS40" i="15"/>
  <c r="AS39" i="15"/>
  <c r="AS34" i="15"/>
  <c r="AS33" i="15"/>
  <c r="AR11" i="15"/>
  <c r="AO64" i="15"/>
  <c r="AO65" i="15"/>
  <c r="AO63" i="15"/>
  <c r="AO92" i="15"/>
  <c r="AO93" i="15"/>
  <c r="AO69" i="15"/>
  <c r="AO15" i="15"/>
  <c r="AG84" i="17"/>
  <c r="AG96" i="17"/>
  <c r="AO81" i="15"/>
  <c r="AO78" i="15"/>
  <c r="AO77" i="15"/>
  <c r="AN66" i="15"/>
  <c r="AO66" i="15" s="1"/>
  <c r="AO62" i="15"/>
  <c r="AO91" i="15"/>
  <c r="AO75" i="15"/>
  <c r="AO71" i="15"/>
  <c r="AO70" i="15"/>
  <c r="AN79" i="15"/>
  <c r="AO79" i="15" s="1"/>
  <c r="AO76" i="15"/>
  <c r="AO57" i="15"/>
  <c r="AO53" i="15"/>
  <c r="AO54" i="15"/>
  <c r="AO55" i="15"/>
  <c r="AO56" i="15"/>
  <c r="AO52" i="15"/>
  <c r="AN48" i="15"/>
  <c r="AO48" i="15" s="1"/>
  <c r="AO46" i="15"/>
  <c r="AO40" i="15"/>
  <c r="AO39" i="15"/>
  <c r="AO34" i="15"/>
  <c r="AO33" i="15"/>
  <c r="AO29" i="15"/>
  <c r="AO30" i="15"/>
  <c r="AO27" i="15"/>
  <c r="AO31" i="15"/>
  <c r="AO28" i="15"/>
  <c r="AO26" i="15"/>
  <c r="AO23" i="15"/>
  <c r="AO22" i="15"/>
  <c r="AO17" i="15"/>
  <c r="AO18" i="15"/>
  <c r="AO16" i="15"/>
  <c r="AO14" i="15"/>
  <c r="AN83" i="14"/>
  <c r="AN94" i="15"/>
  <c r="AO94" i="15" s="1"/>
  <c r="AR72" i="15"/>
  <c r="AS72" i="15" s="1"/>
  <c r="AZ58" i="15"/>
  <c r="BA58" i="15" s="1"/>
  <c r="BH66" i="15"/>
  <c r="BI66" i="15" s="1"/>
  <c r="AR94" i="15"/>
  <c r="AS94" i="15" s="1"/>
  <c r="BD58" i="15"/>
  <c r="BE58" i="15" s="1"/>
  <c r="AZ58" i="17"/>
  <c r="BD94" i="15"/>
  <c r="BE94" i="15" s="1"/>
  <c r="BH72" i="15"/>
  <c r="BI72" i="15" s="1"/>
  <c r="AZ79" i="17"/>
  <c r="AN58" i="15"/>
  <c r="AO58" i="15" s="1"/>
  <c r="AZ79" i="15"/>
  <c r="BA79" i="15" s="1"/>
  <c r="AR58" i="15"/>
  <c r="AS58" i="15" s="1"/>
  <c r="AZ66" i="15"/>
  <c r="BA66" i="15" s="1"/>
  <c r="BD79" i="15"/>
  <c r="BE79" i="15" s="1"/>
  <c r="AN72" i="15"/>
  <c r="AO72" i="15" s="1"/>
  <c r="BD66" i="15"/>
  <c r="BE66" i="15" s="1"/>
  <c r="BH79" i="15"/>
  <c r="BI79" i="15" s="1"/>
  <c r="AN11" i="15"/>
  <c r="AO11" i="15" s="1"/>
  <c r="AZ11" i="17"/>
  <c r="AJ91" i="15"/>
  <c r="AK91" i="15" s="1"/>
  <c r="AJ92" i="15"/>
  <c r="AK92" i="15" s="1"/>
  <c r="AJ93" i="15"/>
  <c r="AK93" i="15" s="1"/>
  <c r="AJ88" i="15"/>
  <c r="AK88" i="15" s="1"/>
  <c r="AJ75" i="15"/>
  <c r="AJ76" i="15"/>
  <c r="AK76" i="15" s="1"/>
  <c r="AJ77" i="15"/>
  <c r="AK77" i="15" s="1"/>
  <c r="AJ78" i="15"/>
  <c r="AK78" i="15" s="1"/>
  <c r="AF32" i="14"/>
  <c r="AJ32" i="14"/>
  <c r="AJ34" i="14" s="1"/>
  <c r="AJ69" i="15"/>
  <c r="AK69" i="15" s="1"/>
  <c r="AJ70" i="15"/>
  <c r="AK70" i="15" s="1"/>
  <c r="AJ71" i="15"/>
  <c r="AK71" i="15" s="1"/>
  <c r="AJ62" i="15"/>
  <c r="AJ63" i="15"/>
  <c r="AK63" i="15" s="1"/>
  <c r="AJ64" i="15"/>
  <c r="AK64" i="15" s="1"/>
  <c r="AJ65" i="15"/>
  <c r="AK65" i="15" s="1"/>
  <c r="AJ52" i="15"/>
  <c r="AK52" i="15" s="1"/>
  <c r="AJ53" i="15"/>
  <c r="AK53" i="15" s="1"/>
  <c r="AJ54" i="15"/>
  <c r="AK54" i="15" s="1"/>
  <c r="AJ55" i="15"/>
  <c r="AK55" i="15" s="1"/>
  <c r="AJ56" i="15"/>
  <c r="AK56" i="15" s="1"/>
  <c r="AJ57" i="15"/>
  <c r="AK57" i="15" s="1"/>
  <c r="AJ46" i="15"/>
  <c r="AK46" i="15" s="1"/>
  <c r="AJ39" i="15"/>
  <c r="AK39" i="15" s="1"/>
  <c r="AJ33" i="15"/>
  <c r="AK33" i="15" s="1"/>
  <c r="AJ26" i="15"/>
  <c r="AJ27" i="15"/>
  <c r="AJ28" i="15"/>
  <c r="AJ29" i="15"/>
  <c r="AJ30" i="15"/>
  <c r="AJ31" i="15"/>
  <c r="AJ22" i="15"/>
  <c r="AK22" i="15" s="1"/>
  <c r="AJ23" i="15"/>
  <c r="AK23" i="15" s="1"/>
  <c r="AJ15" i="15"/>
  <c r="AK15" i="15" s="1"/>
  <c r="AJ16" i="15"/>
  <c r="AK16" i="15" s="1"/>
  <c r="AJ17" i="15"/>
  <c r="AK17" i="15" s="1"/>
  <c r="AJ18" i="15"/>
  <c r="AK18" i="15" s="1"/>
  <c r="AJ14" i="15"/>
  <c r="AK14" i="15" s="1"/>
  <c r="AD93" i="17"/>
  <c r="AD92" i="17"/>
  <c r="AC94" i="17"/>
  <c r="AC89" i="17"/>
  <c r="AB89" i="17"/>
  <c r="AD88" i="17"/>
  <c r="AC66" i="17"/>
  <c r="AC72" i="17"/>
  <c r="AC79" i="17"/>
  <c r="AC58" i="17"/>
  <c r="AC48" i="17"/>
  <c r="AJ40" i="15"/>
  <c r="AK40" i="15" s="1"/>
  <c r="AC34" i="17"/>
  <c r="AC11" i="17"/>
  <c r="BH11" i="17" s="1"/>
  <c r="AK91" i="14"/>
  <c r="AJ94" i="14"/>
  <c r="AJ58" i="14"/>
  <c r="AJ66" i="14"/>
  <c r="AJ72" i="14"/>
  <c r="AJ79" i="14"/>
  <c r="AK75" i="14"/>
  <c r="AK76" i="14"/>
  <c r="AK77" i="14"/>
  <c r="AK78" i="14"/>
  <c r="AK70" i="14"/>
  <c r="AK71" i="14"/>
  <c r="AK62" i="14"/>
  <c r="AK63" i="14"/>
  <c r="AK64" i="14"/>
  <c r="AK65" i="14"/>
  <c r="AK53" i="14"/>
  <c r="AK54" i="14"/>
  <c r="AK55" i="14"/>
  <c r="AK56" i="14"/>
  <c r="AK57" i="14"/>
  <c r="AK52" i="14"/>
  <c r="AK46" i="14"/>
  <c r="AJ48" i="14"/>
  <c r="AK40" i="14"/>
  <c r="AK39" i="14"/>
  <c r="AK33" i="14"/>
  <c r="AK27" i="14"/>
  <c r="AK30" i="14"/>
  <c r="AK22" i="14"/>
  <c r="AK23" i="14"/>
  <c r="AK15" i="14"/>
  <c r="AK16" i="14"/>
  <c r="AK17" i="14"/>
  <c r="AK18" i="14"/>
  <c r="AK14" i="14"/>
  <c r="AJ11" i="14"/>
  <c r="CJ87" i="14"/>
  <c r="CJ88" i="14"/>
  <c r="AF62" i="14"/>
  <c r="AK11" i="14" l="1"/>
  <c r="BH35" i="15"/>
  <c r="BI11" i="15"/>
  <c r="BD41" i="15"/>
  <c r="BE35" i="15"/>
  <c r="AR35" i="15"/>
  <c r="AR41" i="15" s="1"/>
  <c r="AS11" i="15"/>
  <c r="AZ81" i="17"/>
  <c r="AZ35" i="15"/>
  <c r="AZ41" i="15" s="1"/>
  <c r="AG98" i="17"/>
  <c r="AN96" i="14"/>
  <c r="AN35" i="15"/>
  <c r="AC35" i="17"/>
  <c r="AC41" i="17" s="1"/>
  <c r="AD89" i="17"/>
  <c r="AJ48" i="15"/>
  <c r="AJ79" i="15"/>
  <c r="AK75" i="15"/>
  <c r="AJ66" i="15"/>
  <c r="AJ94" i="15"/>
  <c r="AJ72" i="15"/>
  <c r="AJ89" i="15"/>
  <c r="AK62" i="15"/>
  <c r="AJ58" i="15"/>
  <c r="AJ35" i="14"/>
  <c r="AJ34" i="15"/>
  <c r="AJ11" i="15"/>
  <c r="AC81" i="17"/>
  <c r="AJ81" i="14"/>
  <c r="AF93" i="15"/>
  <c r="AG93" i="15" s="1"/>
  <c r="AF92" i="15"/>
  <c r="AG92" i="15" s="1"/>
  <c r="AF91" i="15"/>
  <c r="AG91" i="15" s="1"/>
  <c r="AF88" i="15"/>
  <c r="AG88" i="15" s="1"/>
  <c r="AF87" i="15"/>
  <c r="AG87" i="15" s="1"/>
  <c r="AF78" i="15"/>
  <c r="AG78" i="15" s="1"/>
  <c r="AF77" i="15"/>
  <c r="AG77" i="15" s="1"/>
  <c r="AF76" i="15"/>
  <c r="AF75" i="15"/>
  <c r="AG75" i="15" s="1"/>
  <c r="AF71" i="15"/>
  <c r="AG71" i="15" s="1"/>
  <c r="AF70" i="15"/>
  <c r="AF69" i="15"/>
  <c r="AG69" i="15" s="1"/>
  <c r="AF65" i="15"/>
  <c r="AG65" i="15" s="1"/>
  <c r="AF64" i="15"/>
  <c r="AG64" i="15" s="1"/>
  <c r="AF63" i="15"/>
  <c r="AG63" i="15" s="1"/>
  <c r="AF62" i="15"/>
  <c r="AG62" i="15" s="1"/>
  <c r="AF57" i="15"/>
  <c r="AG57" i="15" s="1"/>
  <c r="AF56" i="15"/>
  <c r="AF55" i="15"/>
  <c r="AG55" i="15" s="1"/>
  <c r="AF54" i="15"/>
  <c r="AG54" i="15" s="1"/>
  <c r="AF53" i="15"/>
  <c r="AG53" i="15" s="1"/>
  <c r="AF52" i="15"/>
  <c r="AG52" i="15" s="1"/>
  <c r="AF46" i="15"/>
  <c r="AF48" i="15" s="1"/>
  <c r="AF40" i="15"/>
  <c r="AF39" i="15"/>
  <c r="AF58" i="14"/>
  <c r="AS35" i="15" l="1"/>
  <c r="BH41" i="15"/>
  <c r="BI35" i="15"/>
  <c r="BD83" i="15"/>
  <c r="BE41" i="15"/>
  <c r="AZ83" i="15"/>
  <c r="AR83" i="15"/>
  <c r="AS41" i="15"/>
  <c r="AN41" i="15"/>
  <c r="AO35" i="15"/>
  <c r="AN98" i="14"/>
  <c r="AJ81" i="15"/>
  <c r="AJ35" i="15"/>
  <c r="AJ41" i="14"/>
  <c r="AJ83" i="14" s="1"/>
  <c r="AC83" i="17"/>
  <c r="AF79" i="15"/>
  <c r="AF94" i="15"/>
  <c r="AG76" i="15"/>
  <c r="AF72" i="15"/>
  <c r="AG70" i="15"/>
  <c r="AF66" i="15"/>
  <c r="AF58" i="15"/>
  <c r="AG56" i="15"/>
  <c r="AG46" i="15"/>
  <c r="AF89" i="15"/>
  <c r="AF33" i="15"/>
  <c r="AG33" i="15" s="1"/>
  <c r="AF31" i="15"/>
  <c r="AF30" i="15"/>
  <c r="AF28" i="15"/>
  <c r="AF27" i="15"/>
  <c r="AF26" i="15"/>
  <c r="AF23" i="15"/>
  <c r="AG23" i="15" s="1"/>
  <c r="AF22" i="15"/>
  <c r="AG40" i="15"/>
  <c r="AG39" i="15"/>
  <c r="AF15" i="15"/>
  <c r="AG15" i="15" s="1"/>
  <c r="AF16" i="15"/>
  <c r="AF17" i="15"/>
  <c r="AG17" i="15" s="1"/>
  <c r="AF18" i="15"/>
  <c r="AG18" i="15" s="1"/>
  <c r="AF14" i="15"/>
  <c r="AF94" i="14"/>
  <c r="AG92" i="14"/>
  <c r="AG91" i="14"/>
  <c r="AF89" i="14"/>
  <c r="AG88" i="14"/>
  <c r="AF79" i="14"/>
  <c r="AG78" i="14"/>
  <c r="AG77" i="14"/>
  <c r="AG76" i="14"/>
  <c r="AG75" i="14"/>
  <c r="AF72" i="14"/>
  <c r="AG71" i="14"/>
  <c r="AG70" i="14"/>
  <c r="AF66" i="14"/>
  <c r="AG65" i="14"/>
  <c r="AG64" i="14"/>
  <c r="AG63" i="14"/>
  <c r="AG62" i="14"/>
  <c r="AG57" i="14"/>
  <c r="AG56" i="14"/>
  <c r="AG55" i="14"/>
  <c r="AG54" i="14"/>
  <c r="AG53" i="14"/>
  <c r="AG52" i="14"/>
  <c r="AF34" i="14"/>
  <c r="AF48" i="14"/>
  <c r="AG46" i="14"/>
  <c r="AG40" i="14"/>
  <c r="AG39" i="14"/>
  <c r="AG33" i="14"/>
  <c r="AG30" i="14"/>
  <c r="AG27" i="14"/>
  <c r="AG23" i="14"/>
  <c r="AG22" i="14"/>
  <c r="AG18" i="14"/>
  <c r="AG17" i="14"/>
  <c r="AG16" i="14"/>
  <c r="AG15" i="14"/>
  <c r="AG14" i="14"/>
  <c r="Z93" i="17"/>
  <c r="Z92" i="17"/>
  <c r="Z88" i="17"/>
  <c r="Z87" i="17"/>
  <c r="X89" i="17"/>
  <c r="AF11" i="14"/>
  <c r="AB40" i="14"/>
  <c r="Z32" i="14"/>
  <c r="Z33" i="14" s="1"/>
  <c r="Z32" i="15"/>
  <c r="Z33" i="15" s="1"/>
  <c r="T92" i="17"/>
  <c r="T91" i="17"/>
  <c r="AG16" i="15" l="1"/>
  <c r="CH16" i="15"/>
  <c r="AG14" i="15"/>
  <c r="CH14" i="15"/>
  <c r="BH83" i="15"/>
  <c r="BI41" i="15"/>
  <c r="BE83" i="15"/>
  <c r="BD96" i="15"/>
  <c r="BE96" i="15" s="1"/>
  <c r="BD84" i="15"/>
  <c r="AZ84" i="15"/>
  <c r="AZ96" i="15"/>
  <c r="AR84" i="15"/>
  <c r="AS83" i="15"/>
  <c r="AR96" i="15"/>
  <c r="AN83" i="15"/>
  <c r="AO41" i="15"/>
  <c r="Z89" i="17"/>
  <c r="AG22" i="15"/>
  <c r="AF32" i="15"/>
  <c r="AJ96" i="14"/>
  <c r="AJ84" i="14"/>
  <c r="AC96" i="17"/>
  <c r="AC98" i="17" s="1"/>
  <c r="AC84" i="17"/>
  <c r="AJ41" i="15"/>
  <c r="CG89" i="15"/>
  <c r="AF81" i="14"/>
  <c r="AF34" i="15"/>
  <c r="AF11" i="15"/>
  <c r="AF35" i="14"/>
  <c r="Z40" i="15"/>
  <c r="Z46" i="15"/>
  <c r="Z40" i="14"/>
  <c r="Z46" i="14"/>
  <c r="AC88" i="14"/>
  <c r="AC93" i="14"/>
  <c r="AC92" i="14"/>
  <c r="AC91" i="14"/>
  <c r="AC78" i="14"/>
  <c r="AC77" i="14"/>
  <c r="AC76" i="14"/>
  <c r="AC75" i="14"/>
  <c r="AC71" i="14"/>
  <c r="AC70" i="14"/>
  <c r="AC65" i="14"/>
  <c r="AC64" i="14"/>
  <c r="AC63" i="14"/>
  <c r="AC62" i="14"/>
  <c r="AC57" i="14"/>
  <c r="AC56" i="14"/>
  <c r="AC55" i="14"/>
  <c r="AC54" i="14"/>
  <c r="AC53" i="14"/>
  <c r="AC52" i="14"/>
  <c r="AC46" i="14"/>
  <c r="AC47" i="15"/>
  <c r="AB93" i="15"/>
  <c r="AC93" i="15" s="1"/>
  <c r="AB92" i="15"/>
  <c r="AB91" i="15"/>
  <c r="AC91" i="15" s="1"/>
  <c r="AB88" i="15"/>
  <c r="AC88" i="15" s="1"/>
  <c r="AB87" i="15"/>
  <c r="AC87" i="15" s="1"/>
  <c r="AB78" i="15"/>
  <c r="AC78" i="15" s="1"/>
  <c r="AB77" i="15"/>
  <c r="AB76" i="15"/>
  <c r="AC76" i="15" s="1"/>
  <c r="AB75" i="15"/>
  <c r="AC75" i="15" s="1"/>
  <c r="AB71" i="15"/>
  <c r="AC71" i="15" s="1"/>
  <c r="AB70" i="15"/>
  <c r="AC70" i="15" s="1"/>
  <c r="AB69" i="15"/>
  <c r="AC69" i="15" s="1"/>
  <c r="AB65" i="15"/>
  <c r="AC65" i="15" s="1"/>
  <c r="AB64" i="15"/>
  <c r="AC64" i="15" s="1"/>
  <c r="AB63" i="15"/>
  <c r="AC63" i="15" s="1"/>
  <c r="AB62" i="15"/>
  <c r="AC62" i="15" s="1"/>
  <c r="AB79" i="14"/>
  <c r="AB66" i="14"/>
  <c r="AB58" i="14"/>
  <c r="AB72" i="14"/>
  <c r="AB94" i="14"/>
  <c r="AB89" i="14"/>
  <c r="AB48" i="14"/>
  <c r="AC40" i="14"/>
  <c r="AC39" i="14"/>
  <c r="AC77" i="15" l="1"/>
  <c r="BI83" i="15"/>
  <c r="BH96" i="15"/>
  <c r="BH84" i="15"/>
  <c r="AS96" i="15"/>
  <c r="AR98" i="15"/>
  <c r="AN96" i="15"/>
  <c r="AN98" i="15" s="1"/>
  <c r="AO83" i="15"/>
  <c r="AN84" i="15"/>
  <c r="AJ98" i="14"/>
  <c r="AJ83" i="15"/>
  <c r="AF81" i="15"/>
  <c r="AF35" i="15"/>
  <c r="AF41" i="14"/>
  <c r="AB89" i="15"/>
  <c r="AB94" i="15"/>
  <c r="AC92" i="15"/>
  <c r="AB79" i="15"/>
  <c r="AB72" i="15"/>
  <c r="AB66" i="15"/>
  <c r="AB81" i="14"/>
  <c r="BI96" i="15" l="1"/>
  <c r="AO96" i="15"/>
  <c r="BH97" i="15"/>
  <c r="AJ84" i="15"/>
  <c r="AJ96" i="15"/>
  <c r="AJ98" i="15" s="1"/>
  <c r="AF83" i="14"/>
  <c r="AF41" i="15"/>
  <c r="T36" i="14"/>
  <c r="S36" i="14"/>
  <c r="X36" i="14"/>
  <c r="W36" i="14"/>
  <c r="AC33" i="14"/>
  <c r="AB34" i="14"/>
  <c r="V88" i="17"/>
  <c r="V87" i="17"/>
  <c r="V92" i="17"/>
  <c r="V93" i="17"/>
  <c r="T89" i="17"/>
  <c r="AB52" i="15"/>
  <c r="AC52" i="15" s="1"/>
  <c r="AB53" i="15"/>
  <c r="AC53" i="15" s="1"/>
  <c r="AB54" i="15"/>
  <c r="AC54" i="15" s="1"/>
  <c r="AB55" i="15"/>
  <c r="AB56" i="15"/>
  <c r="AC56" i="15" s="1"/>
  <c r="AB57" i="15"/>
  <c r="AC57" i="15" s="1"/>
  <c r="AB46" i="15"/>
  <c r="AB39" i="15"/>
  <c r="AC39" i="15" s="1"/>
  <c r="AB40" i="15"/>
  <c r="AC40" i="15" s="1"/>
  <c r="AB33" i="15"/>
  <c r="AC33" i="15" s="1"/>
  <c r="AB26" i="15"/>
  <c r="AB27" i="15"/>
  <c r="AB28" i="15"/>
  <c r="AB29" i="15"/>
  <c r="AB30" i="15"/>
  <c r="AB31" i="15"/>
  <c r="AB22" i="15"/>
  <c r="AB23" i="15"/>
  <c r="AC23" i="15" s="1"/>
  <c r="AB15" i="15"/>
  <c r="AC15" i="15" s="1"/>
  <c r="AB16" i="15"/>
  <c r="AC16" i="15" s="1"/>
  <c r="AB17" i="15"/>
  <c r="AC17" i="15" s="1"/>
  <c r="AB18" i="15"/>
  <c r="AC18" i="15" s="1"/>
  <c r="AB14" i="15"/>
  <c r="CJ92" i="14"/>
  <c r="CJ53" i="14"/>
  <c r="CJ39" i="14"/>
  <c r="CJ27" i="14"/>
  <c r="AC27" i="14"/>
  <c r="AC30" i="14"/>
  <c r="AC22" i="14"/>
  <c r="AC23" i="14"/>
  <c r="AC14" i="14"/>
  <c r="AC15" i="14"/>
  <c r="AC16" i="14"/>
  <c r="AC17" i="14"/>
  <c r="AC18" i="14"/>
  <c r="AB11" i="14"/>
  <c r="AE31" i="14"/>
  <c r="AG31" i="14" s="1"/>
  <c r="AI31" i="14"/>
  <c r="AK31" i="14" s="1"/>
  <c r="AM31" i="14"/>
  <c r="AQ31" i="14"/>
  <c r="AU31" i="14"/>
  <c r="AY31" i="14"/>
  <c r="BC31" i="14"/>
  <c r="BG31" i="14"/>
  <c r="AE29" i="14"/>
  <c r="AG29" i="14" s="1"/>
  <c r="AI29" i="14"/>
  <c r="AK29" i="14" s="1"/>
  <c r="AM29" i="14"/>
  <c r="AQ29" i="14"/>
  <c r="AU29" i="14"/>
  <c r="AY29" i="14"/>
  <c r="BC29" i="14"/>
  <c r="BG29" i="14"/>
  <c r="AE28" i="14"/>
  <c r="AI28" i="14"/>
  <c r="AK28" i="14" s="1"/>
  <c r="AM28" i="14"/>
  <c r="AQ28" i="14"/>
  <c r="AU28" i="14"/>
  <c r="AY28" i="14"/>
  <c r="BC28" i="14"/>
  <c r="BG28" i="14"/>
  <c r="AE26" i="14"/>
  <c r="AI26" i="14"/>
  <c r="AK26" i="14" s="1"/>
  <c r="AM26" i="14"/>
  <c r="AQ26" i="14"/>
  <c r="AU26" i="14"/>
  <c r="AY26" i="14"/>
  <c r="BC26" i="14"/>
  <c r="BG26" i="14"/>
  <c r="X46" i="17"/>
  <c r="Z46" i="17" s="1"/>
  <c r="AB46" i="17"/>
  <c r="AD46" i="17" s="1"/>
  <c r="AF46" i="17"/>
  <c r="AH46" i="17" s="1"/>
  <c r="AJ46" i="17"/>
  <c r="AL46" i="17" s="1"/>
  <c r="AN46" i="17"/>
  <c r="AP46" i="17" s="1"/>
  <c r="AR46" i="17"/>
  <c r="AT46" i="17" s="1"/>
  <c r="AV46" i="17"/>
  <c r="T46" i="17"/>
  <c r="V46" i="17" s="1"/>
  <c r="X40" i="17"/>
  <c r="Z40" i="17" s="1"/>
  <c r="AB40" i="17"/>
  <c r="AD40" i="17" s="1"/>
  <c r="AF40" i="17"/>
  <c r="AH40" i="17" s="1"/>
  <c r="AJ40" i="17"/>
  <c r="AL40" i="17" s="1"/>
  <c r="AN40" i="17"/>
  <c r="AP40" i="17" s="1"/>
  <c r="AR40" i="17"/>
  <c r="AT40" i="17" s="1"/>
  <c r="AV40" i="17"/>
  <c r="T40" i="17"/>
  <c r="V40" i="17" s="1"/>
  <c r="X33" i="17"/>
  <c r="Z33" i="17" s="1"/>
  <c r="AB33" i="17"/>
  <c r="AD33" i="17" s="1"/>
  <c r="AF33" i="17"/>
  <c r="AH33" i="17" s="1"/>
  <c r="AJ33" i="17"/>
  <c r="AL33" i="17" s="1"/>
  <c r="AN33" i="17"/>
  <c r="AP33" i="17" s="1"/>
  <c r="AR33" i="17"/>
  <c r="AT33" i="17" s="1"/>
  <c r="AV33" i="17"/>
  <c r="T33" i="17"/>
  <c r="V33" i="17" s="1"/>
  <c r="X23" i="17"/>
  <c r="Z23" i="17" s="1"/>
  <c r="AB23" i="17"/>
  <c r="AD23" i="17" s="1"/>
  <c r="AF23" i="17"/>
  <c r="AH23" i="17" s="1"/>
  <c r="AJ23" i="17"/>
  <c r="AL23" i="17" s="1"/>
  <c r="AN23" i="17"/>
  <c r="AP23" i="17" s="1"/>
  <c r="AR23" i="17"/>
  <c r="AT23" i="17" s="1"/>
  <c r="AV23" i="17"/>
  <c r="X22" i="17"/>
  <c r="Z22" i="17" s="1"/>
  <c r="AB22" i="17"/>
  <c r="AD22" i="17" s="1"/>
  <c r="AF22" i="17"/>
  <c r="AH22" i="17" s="1"/>
  <c r="AJ22" i="17"/>
  <c r="AL22" i="17" s="1"/>
  <c r="AN22" i="17"/>
  <c r="AP22" i="17" s="1"/>
  <c r="AR22" i="17"/>
  <c r="AT22" i="17" s="1"/>
  <c r="AV22" i="17"/>
  <c r="T23" i="17"/>
  <c r="V23" i="17" s="1"/>
  <c r="T22" i="17"/>
  <c r="V22" i="17" s="1"/>
  <c r="AF17" i="17"/>
  <c r="AH17" i="17" s="1"/>
  <c r="AJ17" i="17"/>
  <c r="AL17" i="17" s="1"/>
  <c r="AN17" i="17"/>
  <c r="AP17" i="17" s="1"/>
  <c r="AR17" i="17"/>
  <c r="AT17" i="17" s="1"/>
  <c r="AV17" i="17"/>
  <c r="AF18" i="17"/>
  <c r="AH18" i="17" s="1"/>
  <c r="AJ18" i="17"/>
  <c r="AL18" i="17" s="1"/>
  <c r="AN18" i="17"/>
  <c r="AP18" i="17" s="1"/>
  <c r="AR18" i="17"/>
  <c r="AT18" i="17" s="1"/>
  <c r="AV18" i="17"/>
  <c r="X17" i="17"/>
  <c r="Z17" i="17" s="1"/>
  <c r="AB17" i="17"/>
  <c r="AD17" i="17" s="1"/>
  <c r="X18" i="17"/>
  <c r="Z18" i="17" s="1"/>
  <c r="AB18" i="17"/>
  <c r="AD18" i="17" s="1"/>
  <c r="T18" i="17"/>
  <c r="V18" i="17" s="1"/>
  <c r="T17" i="17"/>
  <c r="V17" i="17" s="1"/>
  <c r="AB16" i="17"/>
  <c r="AD16" i="17" s="1"/>
  <c r="AF16" i="17"/>
  <c r="AH16" i="17" s="1"/>
  <c r="AJ16" i="17"/>
  <c r="AL16" i="17" s="1"/>
  <c r="AN16" i="17"/>
  <c r="AP16" i="17" s="1"/>
  <c r="AR16" i="17"/>
  <c r="AT16" i="17" s="1"/>
  <c r="AV16" i="17"/>
  <c r="X16" i="17"/>
  <c r="T16" i="17"/>
  <c r="V16" i="17" s="1"/>
  <c r="X15" i="17"/>
  <c r="AB15" i="17"/>
  <c r="AD15" i="17" s="1"/>
  <c r="AF15" i="17"/>
  <c r="AH15" i="17" s="1"/>
  <c r="AJ15" i="17"/>
  <c r="AL15" i="17" s="1"/>
  <c r="AN15" i="17"/>
  <c r="AP15" i="17" s="1"/>
  <c r="AR15" i="17"/>
  <c r="AT15" i="17" s="1"/>
  <c r="AV15" i="17"/>
  <c r="T15" i="17"/>
  <c r="V15" i="17" s="1"/>
  <c r="X14" i="17"/>
  <c r="AB14" i="17"/>
  <c r="AD14" i="17" s="1"/>
  <c r="AF14" i="17"/>
  <c r="AH14" i="17" s="1"/>
  <c r="AJ14" i="17"/>
  <c r="AL14" i="17" s="1"/>
  <c r="AN14" i="17"/>
  <c r="AP14" i="17" s="1"/>
  <c r="AR14" i="17"/>
  <c r="AT14" i="17" s="1"/>
  <c r="AV14" i="17"/>
  <c r="T14" i="17"/>
  <c r="V14" i="17" s="1"/>
  <c r="X71" i="17"/>
  <c r="Z71" i="17" s="1"/>
  <c r="AB71" i="17"/>
  <c r="AD71" i="17" s="1"/>
  <c r="AF71" i="17"/>
  <c r="AH71" i="17" s="1"/>
  <c r="AJ71" i="17"/>
  <c r="AL71" i="17" s="1"/>
  <c r="AN71" i="17"/>
  <c r="AP71" i="17" s="1"/>
  <c r="AR71" i="17"/>
  <c r="AT71" i="17" s="1"/>
  <c r="AV71" i="17"/>
  <c r="T71" i="17"/>
  <c r="V71" i="17" s="1"/>
  <c r="X70" i="17"/>
  <c r="Z70" i="17" s="1"/>
  <c r="AB70" i="17"/>
  <c r="AD70" i="17" s="1"/>
  <c r="AF70" i="17"/>
  <c r="AH70" i="17" s="1"/>
  <c r="AJ70" i="17"/>
  <c r="AL70" i="17" s="1"/>
  <c r="AN70" i="17"/>
  <c r="AP70" i="17" s="1"/>
  <c r="AR70" i="17"/>
  <c r="AT70" i="17" s="1"/>
  <c r="AV70" i="17"/>
  <c r="T70" i="17"/>
  <c r="V70" i="17" s="1"/>
  <c r="CJ55" i="14"/>
  <c r="BH89" i="17"/>
  <c r="W14" i="14"/>
  <c r="W16" i="14"/>
  <c r="W40" i="15"/>
  <c r="AC55" i="15" l="1"/>
  <c r="CH55" i="15"/>
  <c r="BD97" i="15"/>
  <c r="AC22" i="15"/>
  <c r="AB32" i="15"/>
  <c r="Z15" i="17"/>
  <c r="Z14" i="17"/>
  <c r="AG26" i="14"/>
  <c r="AG28" i="14"/>
  <c r="Z16" i="17"/>
  <c r="AF83" i="15"/>
  <c r="AF96" i="14"/>
  <c r="AF84" i="14"/>
  <c r="V89" i="17"/>
  <c r="CG72" i="15"/>
  <c r="CG58" i="15"/>
  <c r="CG79" i="15"/>
  <c r="CG66" i="15"/>
  <c r="CJ17" i="14"/>
  <c r="CJ30" i="14"/>
  <c r="CH48" i="14"/>
  <c r="CJ65" i="14"/>
  <c r="CJ54" i="14"/>
  <c r="CJ91" i="14"/>
  <c r="CH66" i="14"/>
  <c r="CJ57" i="14"/>
  <c r="CJ76" i="14"/>
  <c r="AB35" i="14"/>
  <c r="AB41" i="14" s="1"/>
  <c r="AC46" i="15"/>
  <c r="AB48" i="15"/>
  <c r="CJ77" i="14"/>
  <c r="CJ70" i="14"/>
  <c r="BH79" i="17"/>
  <c r="CJ64" i="14"/>
  <c r="CI79" i="14"/>
  <c r="CI72" i="14"/>
  <c r="AB58" i="15"/>
  <c r="AB34" i="15"/>
  <c r="AB36" i="15"/>
  <c r="AB11" i="15"/>
  <c r="CH79" i="14"/>
  <c r="AC14" i="15"/>
  <c r="CJ15" i="14"/>
  <c r="CI58" i="14"/>
  <c r="CI66" i="14"/>
  <c r="CJ18" i="14"/>
  <c r="CJ22" i="14"/>
  <c r="CJ56" i="14"/>
  <c r="CJ16" i="14"/>
  <c r="CH94" i="14"/>
  <c r="CH72" i="14"/>
  <c r="CJ62" i="14"/>
  <c r="CJ78" i="14"/>
  <c r="CI89" i="14"/>
  <c r="CJ89" i="14" s="1"/>
  <c r="CJ52" i="14"/>
  <c r="CH58" i="14"/>
  <c r="CJ63" i="14"/>
  <c r="CJ75" i="14"/>
  <c r="CJ47" i="14"/>
  <c r="CJ71" i="14"/>
  <c r="CJ93" i="14"/>
  <c r="CJ69" i="14"/>
  <c r="CI94" i="14"/>
  <c r="CG94" i="15"/>
  <c r="AF96" i="15" l="1"/>
  <c r="AF84" i="15"/>
  <c r="AF98" i="14"/>
  <c r="CJ66" i="14"/>
  <c r="AB35" i="15"/>
  <c r="AB41" i="15" s="1"/>
  <c r="AB83" i="14"/>
  <c r="AB84" i="14" s="1"/>
  <c r="CJ79" i="14"/>
  <c r="CJ72" i="14"/>
  <c r="AB81" i="15"/>
  <c r="CJ58" i="14"/>
  <c r="CJ94" i="14"/>
  <c r="AF98" i="15" l="1"/>
  <c r="AB96" i="14"/>
  <c r="AB83" i="15"/>
  <c r="AB84" i="15" s="1"/>
  <c r="P91" i="17"/>
  <c r="P92" i="17"/>
  <c r="P93" i="17"/>
  <c r="P87" i="17"/>
  <c r="BG87" i="17" s="1"/>
  <c r="BI87" i="17" s="1"/>
  <c r="P88" i="17"/>
  <c r="BG88" i="17" s="1"/>
  <c r="BI88" i="17" s="1"/>
  <c r="P75" i="17"/>
  <c r="P76" i="17"/>
  <c r="P77" i="17"/>
  <c r="P78" i="17"/>
  <c r="P69" i="17"/>
  <c r="P70" i="17"/>
  <c r="P71" i="17"/>
  <c r="P62" i="17"/>
  <c r="P63" i="17"/>
  <c r="P64" i="17"/>
  <c r="P65" i="17"/>
  <c r="P52" i="17"/>
  <c r="P53" i="17"/>
  <c r="P54" i="17"/>
  <c r="P55" i="17"/>
  <c r="P56" i="17"/>
  <c r="P57" i="17"/>
  <c r="P46" i="17"/>
  <c r="P47" i="17"/>
  <c r="P39" i="17"/>
  <c r="P40" i="17"/>
  <c r="P33" i="17"/>
  <c r="P22" i="17"/>
  <c r="P23" i="17"/>
  <c r="P15" i="17"/>
  <c r="P16" i="17"/>
  <c r="P17" i="17"/>
  <c r="P18" i="17"/>
  <c r="P14" i="17"/>
  <c r="AE94" i="15"/>
  <c r="AG94" i="15" s="1"/>
  <c r="AI94" i="15"/>
  <c r="AK94" i="15" s="1"/>
  <c r="AM94" i="15"/>
  <c r="AQ94" i="15"/>
  <c r="AU94" i="15"/>
  <c r="AY94" i="15"/>
  <c r="BC94" i="15"/>
  <c r="BG94" i="15"/>
  <c r="AA94" i="15"/>
  <c r="AC94" i="15" s="1"/>
  <c r="AA89" i="15"/>
  <c r="AC89" i="15" s="1"/>
  <c r="AE89" i="15"/>
  <c r="AG89" i="15" s="1"/>
  <c r="AI89" i="15"/>
  <c r="AK89" i="15" s="1"/>
  <c r="AM89" i="15"/>
  <c r="AQ89" i="15"/>
  <c r="AU89" i="15"/>
  <c r="AY89" i="15"/>
  <c r="BC89" i="15"/>
  <c r="BG89" i="15"/>
  <c r="AE34" i="14"/>
  <c r="AI34" i="14"/>
  <c r="AK34" i="14" s="1"/>
  <c r="AM34" i="14"/>
  <c r="AO34" i="14" s="1"/>
  <c r="AQ34" i="14"/>
  <c r="AU34" i="14"/>
  <c r="AW34" i="14" s="1"/>
  <c r="AY34" i="14"/>
  <c r="BC34" i="14"/>
  <c r="BG34" i="14"/>
  <c r="AE89" i="14"/>
  <c r="AG89" i="14" s="1"/>
  <c r="AI89" i="14"/>
  <c r="AM89" i="14"/>
  <c r="AQ89" i="14"/>
  <c r="AU89" i="14"/>
  <c r="AY89" i="14"/>
  <c r="BC89" i="14"/>
  <c r="BG89" i="14"/>
  <c r="AM94" i="14"/>
  <c r="AQ94" i="14"/>
  <c r="AU94" i="14"/>
  <c r="AY94" i="14"/>
  <c r="BC94" i="14"/>
  <c r="BG94" i="14"/>
  <c r="AA94" i="14"/>
  <c r="AC94" i="14" s="1"/>
  <c r="AE94" i="14"/>
  <c r="AG94" i="14" s="1"/>
  <c r="AI94" i="14"/>
  <c r="AK94" i="14" s="1"/>
  <c r="AA89" i="14"/>
  <c r="AC89" i="14" s="1"/>
  <c r="AA31" i="14"/>
  <c r="AC31" i="14" s="1"/>
  <c r="AA28" i="14"/>
  <c r="AC28" i="14" s="1"/>
  <c r="AA29" i="14"/>
  <c r="AC29" i="14" s="1"/>
  <c r="AA26" i="14"/>
  <c r="AC26" i="14" s="1"/>
  <c r="S94" i="15"/>
  <c r="W94" i="15"/>
  <c r="X93" i="15"/>
  <c r="X92" i="15"/>
  <c r="X91" i="15"/>
  <c r="X88" i="15"/>
  <c r="X87" i="15"/>
  <c r="X78" i="15"/>
  <c r="X77" i="15"/>
  <c r="X76" i="15"/>
  <c r="X75" i="15"/>
  <c r="X71" i="15"/>
  <c r="X70" i="15"/>
  <c r="X69" i="15"/>
  <c r="X65" i="15"/>
  <c r="X64" i="15"/>
  <c r="X63" i="15"/>
  <c r="X62" i="15"/>
  <c r="X57" i="15"/>
  <c r="X56" i="15"/>
  <c r="CH56" i="15" s="1"/>
  <c r="X55" i="15"/>
  <c r="X54" i="15"/>
  <c r="X53" i="15"/>
  <c r="X52" i="15"/>
  <c r="X47" i="15"/>
  <c r="X46" i="15"/>
  <c r="X40" i="15"/>
  <c r="X39" i="15"/>
  <c r="X33" i="15"/>
  <c r="X31" i="15"/>
  <c r="X30" i="15"/>
  <c r="X29" i="15"/>
  <c r="X28" i="15"/>
  <c r="CH28" i="15" s="1"/>
  <c r="X27" i="15"/>
  <c r="X26" i="15"/>
  <c r="CH26" i="15" s="1"/>
  <c r="X23" i="15"/>
  <c r="X22" i="15"/>
  <c r="X18" i="15"/>
  <c r="X17" i="15"/>
  <c r="X16" i="15"/>
  <c r="X15" i="15"/>
  <c r="X14" i="15"/>
  <c r="Y71" i="14"/>
  <c r="Y62" i="14"/>
  <c r="Y70" i="14"/>
  <c r="Y75" i="14"/>
  <c r="Y78" i="14"/>
  <c r="Y77" i="14"/>
  <c r="Y76" i="14"/>
  <c r="X94" i="14"/>
  <c r="W94" i="14"/>
  <c r="X89" i="14"/>
  <c r="W89" i="14"/>
  <c r="X79" i="14"/>
  <c r="X72" i="14"/>
  <c r="X66" i="14"/>
  <c r="X58" i="14"/>
  <c r="X48" i="14"/>
  <c r="Y57" i="14"/>
  <c r="Y56" i="14"/>
  <c r="Y55" i="14"/>
  <c r="Y54" i="14"/>
  <c r="Y53" i="14"/>
  <c r="Y52" i="14"/>
  <c r="Y47" i="14"/>
  <c r="Y46" i="14"/>
  <c r="Y40" i="14"/>
  <c r="Y39" i="14"/>
  <c r="X34" i="14"/>
  <c r="W34" i="14"/>
  <c r="Y33" i="14"/>
  <c r="Y31" i="14"/>
  <c r="Y30" i="14"/>
  <c r="Y29" i="14"/>
  <c r="Y28" i="14"/>
  <c r="Y27" i="14"/>
  <c r="Y26" i="14"/>
  <c r="Y91" i="14"/>
  <c r="Y65" i="14"/>
  <c r="Y64" i="14"/>
  <c r="Y63" i="14"/>
  <c r="Y23" i="14"/>
  <c r="Y22" i="14"/>
  <c r="Y18" i="14"/>
  <c r="Y17" i="14"/>
  <c r="Y16" i="14"/>
  <c r="Y15" i="14"/>
  <c r="Y14" i="14"/>
  <c r="X11" i="14"/>
  <c r="R70" i="17" l="1"/>
  <c r="BA34" i="14"/>
  <c r="X32" i="15"/>
  <c r="X34" i="15" s="1"/>
  <c r="R92" i="17"/>
  <c r="BI92" i="17"/>
  <c r="R71" i="17"/>
  <c r="AG34" i="14"/>
  <c r="Y87" i="15"/>
  <c r="Y88" i="15"/>
  <c r="AB98" i="14"/>
  <c r="X36" i="15"/>
  <c r="AB96" i="15"/>
  <c r="P89" i="17"/>
  <c r="R89" i="17" s="1"/>
  <c r="X11" i="15"/>
  <c r="AA34" i="14"/>
  <c r="Y23" i="15"/>
  <c r="Y39" i="15"/>
  <c r="Y56" i="15"/>
  <c r="Y71" i="15"/>
  <c r="Y92" i="15"/>
  <c r="Y75" i="15"/>
  <c r="Y14" i="15"/>
  <c r="Y62" i="15"/>
  <c r="Y76" i="15"/>
  <c r="Y15" i="15"/>
  <c r="Y47" i="15"/>
  <c r="Y63" i="15"/>
  <c r="Y77" i="15"/>
  <c r="Y16" i="15"/>
  <c r="Y52" i="15"/>
  <c r="Y64" i="15"/>
  <c r="Y78" i="15"/>
  <c r="BG89" i="17"/>
  <c r="BI89" i="17" s="1"/>
  <c r="Y57" i="15"/>
  <c r="Y93" i="15"/>
  <c r="Y17" i="15"/>
  <c r="Y53" i="15"/>
  <c r="Y65" i="15"/>
  <c r="X89" i="15"/>
  <c r="R93" i="17"/>
  <c r="BI93" i="17"/>
  <c r="Y18" i="15"/>
  <c r="Y54" i="15"/>
  <c r="Y69" i="15"/>
  <c r="Y22" i="15"/>
  <c r="Y33" i="15"/>
  <c r="Y55" i="15"/>
  <c r="Y70" i="15"/>
  <c r="Y91" i="15"/>
  <c r="X48" i="15"/>
  <c r="X81" i="14"/>
  <c r="CI81" i="14" s="1"/>
  <c r="Y94" i="14"/>
  <c r="X66" i="15"/>
  <c r="X94" i="15"/>
  <c r="Y94" i="15" s="1"/>
  <c r="X79" i="15"/>
  <c r="X58" i="15"/>
  <c r="X72" i="15"/>
  <c r="X35" i="14"/>
  <c r="Y34" i="14"/>
  <c r="T39" i="15"/>
  <c r="CH39" i="15" s="1"/>
  <c r="AB98" i="15" l="1"/>
  <c r="AC34" i="14"/>
  <c r="CI39" i="15"/>
  <c r="CI47" i="15"/>
  <c r="X81" i="15"/>
  <c r="X35" i="15"/>
  <c r="X41" i="14"/>
  <c r="L39" i="17"/>
  <c r="L40" i="17"/>
  <c r="L33" i="17"/>
  <c r="L23" i="17"/>
  <c r="L22" i="17"/>
  <c r="X41" i="15" l="1"/>
  <c r="X83" i="14"/>
  <c r="X84" i="14" s="1"/>
  <c r="L18" i="17"/>
  <c r="L17" i="17"/>
  <c r="L16" i="17"/>
  <c r="L15" i="17"/>
  <c r="M53" i="17"/>
  <c r="S14" i="14"/>
  <c r="L14" i="17" l="1"/>
  <c r="CJ14" i="14"/>
  <c r="X96" i="14"/>
  <c r="X98" i="14" s="1"/>
  <c r="X83" i="15"/>
  <c r="X84" i="15" s="1"/>
  <c r="T93" i="15"/>
  <c r="T92" i="15"/>
  <c r="T91" i="15"/>
  <c r="T88" i="15"/>
  <c r="T87" i="15"/>
  <c r="T78" i="15"/>
  <c r="T77" i="15"/>
  <c r="CH77" i="15" s="1"/>
  <c r="T76" i="15"/>
  <c r="T75" i="15"/>
  <c r="T71" i="15"/>
  <c r="T70" i="15"/>
  <c r="T69" i="15"/>
  <c r="T65" i="15"/>
  <c r="T64" i="15"/>
  <c r="T63" i="15"/>
  <c r="T62" i="15"/>
  <c r="T57" i="15"/>
  <c r="T56" i="15"/>
  <c r="T55" i="15"/>
  <c r="T54" i="15"/>
  <c r="T53" i="15"/>
  <c r="T52" i="15"/>
  <c r="U47" i="15"/>
  <c r="T46" i="15"/>
  <c r="T40" i="15"/>
  <c r="U39" i="15"/>
  <c r="T33" i="15"/>
  <c r="CH33" i="15" s="1"/>
  <c r="T31" i="15"/>
  <c r="T30" i="15"/>
  <c r="T29" i="15"/>
  <c r="T28" i="15"/>
  <c r="T27" i="15"/>
  <c r="T26" i="15"/>
  <c r="T23" i="15"/>
  <c r="CH23" i="15" s="1"/>
  <c r="T22" i="15"/>
  <c r="T18" i="15"/>
  <c r="T17" i="15"/>
  <c r="T16" i="15"/>
  <c r="T15" i="15"/>
  <c r="T14" i="15"/>
  <c r="L62" i="17"/>
  <c r="L63" i="17"/>
  <c r="L64" i="17"/>
  <c r="L65" i="17"/>
  <c r="N33" i="17"/>
  <c r="N40" i="17"/>
  <c r="N93" i="17"/>
  <c r="N92" i="17"/>
  <c r="N71" i="17"/>
  <c r="N70" i="17"/>
  <c r="N39" i="17"/>
  <c r="M94" i="17"/>
  <c r="M89" i="17"/>
  <c r="M79" i="17"/>
  <c r="M72" i="17"/>
  <c r="M66" i="17"/>
  <c r="M58" i="17"/>
  <c r="M48" i="17"/>
  <c r="M34" i="17"/>
  <c r="M11" i="17"/>
  <c r="T89" i="14"/>
  <c r="P89" i="14"/>
  <c r="U40" i="14"/>
  <c r="T34" i="14"/>
  <c r="CI34" i="14" s="1"/>
  <c r="S34" i="14"/>
  <c r="U28" i="14"/>
  <c r="U14" i="14"/>
  <c r="T66" i="14"/>
  <c r="T72" i="14"/>
  <c r="T79" i="14"/>
  <c r="T94" i="14"/>
  <c r="U91" i="14"/>
  <c r="U78" i="14"/>
  <c r="U77" i="14"/>
  <c r="U76" i="14"/>
  <c r="U75" i="14"/>
  <c r="U71" i="14"/>
  <c r="U70" i="14"/>
  <c r="U65" i="14"/>
  <c r="U64" i="14"/>
  <c r="U63" i="14"/>
  <c r="U62" i="14"/>
  <c r="U57" i="14"/>
  <c r="U56" i="14"/>
  <c r="U55" i="14"/>
  <c r="U54" i="14"/>
  <c r="U53" i="14"/>
  <c r="U52" i="14"/>
  <c r="U46" i="14"/>
  <c r="U39" i="14"/>
  <c r="U33" i="14"/>
  <c r="U31" i="14"/>
  <c r="U30" i="14"/>
  <c r="U29" i="14"/>
  <c r="U27" i="14"/>
  <c r="U26" i="14"/>
  <c r="U23" i="14"/>
  <c r="U22" i="14"/>
  <c r="U18" i="14"/>
  <c r="U17" i="14"/>
  <c r="U16" i="14"/>
  <c r="U15" i="14"/>
  <c r="T58" i="14"/>
  <c r="T48" i="14"/>
  <c r="S94" i="14"/>
  <c r="S89" i="14"/>
  <c r="S11" i="15"/>
  <c r="S28" i="15"/>
  <c r="L28" i="17" s="1"/>
  <c r="S29" i="15"/>
  <c r="L29" i="17" s="1"/>
  <c r="S30" i="15"/>
  <c r="L30" i="17" s="1"/>
  <c r="S31" i="15"/>
  <c r="S27" i="15"/>
  <c r="L27" i="17" s="1"/>
  <c r="S46" i="15"/>
  <c r="S58" i="15"/>
  <c r="S66" i="15"/>
  <c r="S72" i="15"/>
  <c r="S79" i="15"/>
  <c r="L31" i="17" l="1"/>
  <c r="S36" i="15"/>
  <c r="T36" i="15"/>
  <c r="U17" i="15"/>
  <c r="N62" i="17"/>
  <c r="U40" i="15"/>
  <c r="U57" i="15"/>
  <c r="U75" i="15"/>
  <c r="U93" i="15"/>
  <c r="T48" i="15"/>
  <c r="U76" i="15"/>
  <c r="U15" i="15"/>
  <c r="U63" i="15"/>
  <c r="U77" i="15"/>
  <c r="U16" i="15"/>
  <c r="U64" i="15"/>
  <c r="U78" i="15"/>
  <c r="U14" i="15"/>
  <c r="U65" i="15"/>
  <c r="N65" i="17"/>
  <c r="U18" i="15"/>
  <c r="U54" i="15"/>
  <c r="U88" i="15"/>
  <c r="N64" i="17"/>
  <c r="U22" i="15"/>
  <c r="U33" i="15"/>
  <c r="U55" i="15"/>
  <c r="U70" i="15"/>
  <c r="U91" i="15"/>
  <c r="U53" i="15"/>
  <c r="N63" i="17"/>
  <c r="U23" i="15"/>
  <c r="U56" i="15"/>
  <c r="U71" i="15"/>
  <c r="U92" i="15"/>
  <c r="X96" i="15"/>
  <c r="U89" i="14"/>
  <c r="T89" i="15"/>
  <c r="U29" i="15"/>
  <c r="U30" i="15"/>
  <c r="S48" i="15"/>
  <c r="L46" i="17"/>
  <c r="U31" i="15"/>
  <c r="T72" i="15"/>
  <c r="U72" i="15" s="1"/>
  <c r="U27" i="15"/>
  <c r="T66" i="15"/>
  <c r="U66" i="15" s="1"/>
  <c r="U62" i="15"/>
  <c r="U87" i="15"/>
  <c r="T94" i="15"/>
  <c r="U94" i="15" s="1"/>
  <c r="T58" i="15"/>
  <c r="U58" i="15" s="1"/>
  <c r="U34" i="14"/>
  <c r="U28" i="15"/>
  <c r="T79" i="15"/>
  <c r="U79" i="15" s="1"/>
  <c r="U52" i="15"/>
  <c r="U69" i="15"/>
  <c r="T34" i="15"/>
  <c r="CH34" i="15" s="1"/>
  <c r="U46" i="15"/>
  <c r="M35" i="17"/>
  <c r="M81" i="17"/>
  <c r="T81" i="14"/>
  <c r="T11" i="14"/>
  <c r="CI11" i="14" s="1"/>
  <c r="CJ11" i="14" s="1"/>
  <c r="U94" i="14"/>
  <c r="S26" i="15"/>
  <c r="X98" i="15" l="1"/>
  <c r="U89" i="15"/>
  <c r="U48" i="15"/>
  <c r="T11" i="15"/>
  <c r="CH11" i="15" s="1"/>
  <c r="N46" i="17"/>
  <c r="S81" i="15"/>
  <c r="S34" i="15"/>
  <c r="S35" i="15" s="1"/>
  <c r="S41" i="15" s="1"/>
  <c r="S83" i="15" s="1"/>
  <c r="L26" i="17"/>
  <c r="U26" i="15"/>
  <c r="T81" i="15"/>
  <c r="M41" i="17"/>
  <c r="T35" i="14"/>
  <c r="T41" i="14" s="1"/>
  <c r="U11" i="15" l="1"/>
  <c r="T35" i="15"/>
  <c r="U35" i="15" s="1"/>
  <c r="U34" i="15"/>
  <c r="U81" i="15"/>
  <c r="S84" i="15"/>
  <c r="S96" i="15"/>
  <c r="M83" i="17"/>
  <c r="T42" i="14"/>
  <c r="T83" i="14"/>
  <c r="T84" i="14" s="1"/>
  <c r="T41" i="15" l="1"/>
  <c r="T85" i="15" s="1"/>
  <c r="M96" i="17"/>
  <c r="M84" i="17"/>
  <c r="T96" i="14"/>
  <c r="T98" i="14" s="1"/>
  <c r="M98" i="17" l="1"/>
  <c r="M97" i="17"/>
  <c r="U41" i="15"/>
  <c r="T83" i="15"/>
  <c r="T84" i="15" s="1"/>
  <c r="N23" i="17"/>
  <c r="T96" i="15" l="1"/>
  <c r="U83" i="15"/>
  <c r="N15" i="17"/>
  <c r="N27" i="17"/>
  <c r="T98" i="15" l="1"/>
  <c r="U96" i="15"/>
  <c r="N29" i="17"/>
  <c r="N17" i="17"/>
  <c r="N22" i="17"/>
  <c r="N31" i="17"/>
  <c r="N14" i="17"/>
  <c r="N26" i="17"/>
  <c r="N18" i="17"/>
  <c r="N30" i="17"/>
  <c r="N28" i="17" l="1"/>
  <c r="N16" i="17"/>
  <c r="P79" i="14"/>
  <c r="P58" i="14"/>
  <c r="P56" i="15"/>
  <c r="J92" i="17"/>
  <c r="J93" i="17"/>
  <c r="W79" i="15"/>
  <c r="Y79" i="15" s="1"/>
  <c r="Q47" i="15"/>
  <c r="BK47" i="15" s="1" a="1"/>
  <c r="W79" i="14"/>
  <c r="Y79" i="14" s="1"/>
  <c r="AA79" i="14"/>
  <c r="AC79" i="14" s="1"/>
  <c r="AE79" i="14"/>
  <c r="AG79" i="14" s="1"/>
  <c r="AI79" i="14"/>
  <c r="AK79" i="14" s="1"/>
  <c r="AM79" i="14"/>
  <c r="AQ79" i="14"/>
  <c r="AU79" i="14"/>
  <c r="AY79" i="14"/>
  <c r="BC79" i="14"/>
  <c r="BG79" i="14"/>
  <c r="S79" i="14"/>
  <c r="U79" i="14" s="1"/>
  <c r="Q91" i="14"/>
  <c r="Q75" i="14"/>
  <c r="BL75" i="14" s="1" a="1"/>
  <c r="Q76" i="14"/>
  <c r="BL76" i="14" s="1" a="1"/>
  <c r="Q77" i="14"/>
  <c r="Q78" i="14"/>
  <c r="Q70" i="14"/>
  <c r="Q71" i="14"/>
  <c r="Q62" i="14"/>
  <c r="BL62" i="14" s="1" a="1"/>
  <c r="Q63" i="14"/>
  <c r="BL63" i="14" s="1" a="1"/>
  <c r="Q64" i="14"/>
  <c r="BL64" i="14" s="1" a="1"/>
  <c r="Q65" i="14"/>
  <c r="BL65" i="14" s="1" a="1"/>
  <c r="P33" i="14"/>
  <c r="P72" i="14"/>
  <c r="P92" i="15"/>
  <c r="CH92" i="15" s="1"/>
  <c r="P93" i="15"/>
  <c r="P91" i="15"/>
  <c r="CH94" i="15" s="1"/>
  <c r="P88" i="15"/>
  <c r="CI88" i="15" s="1"/>
  <c r="P87" i="15"/>
  <c r="P66" i="14"/>
  <c r="P76" i="15"/>
  <c r="P77" i="15"/>
  <c r="P78" i="15"/>
  <c r="P75" i="15"/>
  <c r="P70" i="15"/>
  <c r="P71" i="15"/>
  <c r="P69" i="15"/>
  <c r="P63" i="15"/>
  <c r="P65" i="15"/>
  <c r="P53" i="15"/>
  <c r="P54" i="15"/>
  <c r="P55" i="15"/>
  <c r="P57" i="15"/>
  <c r="P27" i="15"/>
  <c r="P28" i="15"/>
  <c r="P29" i="15"/>
  <c r="P30" i="15"/>
  <c r="P31" i="15"/>
  <c r="P26" i="15"/>
  <c r="P23" i="15"/>
  <c r="P22" i="15"/>
  <c r="P15" i="15"/>
  <c r="P16" i="15"/>
  <c r="P17" i="15"/>
  <c r="P18" i="15"/>
  <c r="P14" i="15"/>
  <c r="H91" i="17"/>
  <c r="J91" i="17" s="1"/>
  <c r="I52" i="17"/>
  <c r="I33" i="17"/>
  <c r="P94" i="14"/>
  <c r="O94" i="14"/>
  <c r="O79" i="15"/>
  <c r="E89" i="14"/>
  <c r="O94" i="15"/>
  <c r="O89" i="15"/>
  <c r="E89" i="15"/>
  <c r="O89" i="14"/>
  <c r="Q89" i="14" s="1"/>
  <c r="E91" i="15"/>
  <c r="E94" i="15" s="1"/>
  <c r="E91" i="14"/>
  <c r="E94" i="14" s="1"/>
  <c r="BL87" i="14" a="1"/>
  <c r="BL87" i="14" s="1"/>
  <c r="BL88" i="14" a="1"/>
  <c r="I94" i="17"/>
  <c r="I79" i="17"/>
  <c r="I89" i="17"/>
  <c r="Q40" i="14"/>
  <c r="Q27" i="14"/>
  <c r="BL27" i="14" s="1" a="1"/>
  <c r="Q30" i="14"/>
  <c r="E78" i="15"/>
  <c r="E77" i="15"/>
  <c r="E65" i="15"/>
  <c r="E64" i="15"/>
  <c r="E63" i="15"/>
  <c r="E62" i="15"/>
  <c r="E47" i="15"/>
  <c r="E33" i="15"/>
  <c r="E78" i="14"/>
  <c r="G78" i="14" s="1"/>
  <c r="I78" i="14" s="1"/>
  <c r="K78" i="14" s="1"/>
  <c r="M78" i="14" s="1"/>
  <c r="E77" i="14"/>
  <c r="G77" i="14" s="1"/>
  <c r="I77" i="14" s="1"/>
  <c r="K77" i="14" s="1"/>
  <c r="M77" i="14" s="1"/>
  <c r="E69" i="14"/>
  <c r="E47" i="14"/>
  <c r="G47" i="14" s="1"/>
  <c r="I47" i="14" s="1"/>
  <c r="K47" i="14" s="1"/>
  <c r="M47" i="14" s="1"/>
  <c r="E46" i="14"/>
  <c r="E40" i="14"/>
  <c r="E33" i="14"/>
  <c r="E27" i="14"/>
  <c r="E18" i="14"/>
  <c r="G18" i="14" s="1"/>
  <c r="E15" i="14"/>
  <c r="G15" i="14" s="1"/>
  <c r="G27" i="14" s="1"/>
  <c r="Q18" i="14"/>
  <c r="BL18" i="14" s="1" a="1"/>
  <c r="Q15" i="14"/>
  <c r="BL15" i="14" s="1" a="1"/>
  <c r="P11" i="14"/>
  <c r="I62" i="17"/>
  <c r="I72" i="17"/>
  <c r="I64" i="17"/>
  <c r="BG79" i="15"/>
  <c r="AA79" i="15"/>
  <c r="AC79" i="15" s="1"/>
  <c r="Q39" i="15"/>
  <c r="Q53" i="14"/>
  <c r="BL53" i="14" s="1" a="1"/>
  <c r="Q52" i="14"/>
  <c r="BL52" i="14" s="1" a="1"/>
  <c r="Q17" i="14"/>
  <c r="BL17" i="14" s="1" a="1"/>
  <c r="Q16" i="14"/>
  <c r="BL16" i="14" s="1" a="1"/>
  <c r="BC79" i="15"/>
  <c r="AY79" i="15"/>
  <c r="AU79" i="15"/>
  <c r="AQ79" i="15"/>
  <c r="AM79" i="15"/>
  <c r="AI79" i="15"/>
  <c r="AK79" i="15" s="1"/>
  <c r="AE79" i="15"/>
  <c r="AG79" i="15" s="1"/>
  <c r="O79" i="14"/>
  <c r="Q79" i="14" s="1"/>
  <c r="E14" i="14"/>
  <c r="G14" i="14" s="1"/>
  <c r="G26" i="14" s="1"/>
  <c r="E16" i="14"/>
  <c r="G16" i="14" s="1"/>
  <c r="E53" i="14"/>
  <c r="G53" i="14" s="1"/>
  <c r="I53" i="14" s="1"/>
  <c r="E52" i="14"/>
  <c r="G52" i="14" s="1"/>
  <c r="I52" i="14" s="1"/>
  <c r="K52" i="14" s="1"/>
  <c r="M52" i="14" s="1"/>
  <c r="E64" i="14"/>
  <c r="G64" i="14" s="1"/>
  <c r="I64" i="14" s="1"/>
  <c r="K64" i="14" s="1"/>
  <c r="M64" i="14" s="1"/>
  <c r="E71" i="14"/>
  <c r="G71" i="14" s="1"/>
  <c r="I71" i="14" s="1"/>
  <c r="K71" i="14" s="1"/>
  <c r="M71" i="14" s="1"/>
  <c r="E18" i="15"/>
  <c r="E22" i="15"/>
  <c r="E39" i="15"/>
  <c r="E56" i="15"/>
  <c r="E54" i="15"/>
  <c r="E69" i="15"/>
  <c r="E75" i="15"/>
  <c r="E56" i="14"/>
  <c r="G56" i="14" s="1"/>
  <c r="I56" i="14" s="1"/>
  <c r="K56" i="14" s="1"/>
  <c r="M56" i="14" s="1"/>
  <c r="Q56" i="14"/>
  <c r="BL56" i="14" s="1" a="1"/>
  <c r="E57" i="14"/>
  <c r="G57" i="14" s="1"/>
  <c r="I57" i="14" s="1"/>
  <c r="K57" i="14" s="1"/>
  <c r="M57" i="14" s="1"/>
  <c r="Q57" i="14"/>
  <c r="E23" i="15"/>
  <c r="E76" i="15"/>
  <c r="E22" i="14"/>
  <c r="G22" i="14" s="1"/>
  <c r="Q22" i="14"/>
  <c r="BL22" i="14" s="1" a="1"/>
  <c r="E75" i="14"/>
  <c r="G75" i="14" s="1"/>
  <c r="E14" i="15"/>
  <c r="E52" i="15"/>
  <c r="E70" i="15"/>
  <c r="E63" i="14"/>
  <c r="E76" i="14"/>
  <c r="G76" i="14" s="1"/>
  <c r="I76" i="14" s="1"/>
  <c r="K76" i="14" s="1"/>
  <c r="M76" i="14" s="1"/>
  <c r="E53" i="15"/>
  <c r="E57" i="15"/>
  <c r="E62" i="14"/>
  <c r="G62" i="14" s="1"/>
  <c r="I62" i="14" s="1"/>
  <c r="E15" i="15"/>
  <c r="E54" i="14"/>
  <c r="G54" i="14" s="1"/>
  <c r="Q54" i="14"/>
  <c r="BL54" i="14" s="1" a="1"/>
  <c r="E16" i="15"/>
  <c r="E71" i="15"/>
  <c r="E39" i="14"/>
  <c r="Q39" i="14"/>
  <c r="BL39" i="14" s="1" a="1"/>
  <c r="E55" i="15"/>
  <c r="E70" i="14"/>
  <c r="G70" i="14" s="1"/>
  <c r="I70" i="14" s="1"/>
  <c r="K70" i="14" s="1"/>
  <c r="M70" i="14" s="1"/>
  <c r="E55" i="14"/>
  <c r="G55" i="14" s="1"/>
  <c r="I55" i="14" s="1"/>
  <c r="K55" i="14" s="1"/>
  <c r="M55" i="14" s="1"/>
  <c r="Q55" i="14"/>
  <c r="BL55" i="14" s="1" a="1"/>
  <c r="E65" i="14"/>
  <c r="G65" i="14" s="1"/>
  <c r="I65" i="14" s="1"/>
  <c r="K65" i="14" s="1"/>
  <c r="M65" i="14" s="1"/>
  <c r="E17" i="15"/>
  <c r="E17" i="14"/>
  <c r="G17" i="14" s="1"/>
  <c r="G29" i="14" s="1"/>
  <c r="Q14" i="14"/>
  <c r="BL14" i="14" s="1" a="1"/>
  <c r="I11" i="17"/>
  <c r="Y40" i="15"/>
  <c r="O40" i="15"/>
  <c r="BG48" i="15"/>
  <c r="BC48" i="15"/>
  <c r="AQ48" i="15"/>
  <c r="AE48" i="15"/>
  <c r="AG48" i="15" s="1"/>
  <c r="AA48" i="15"/>
  <c r="AC48" i="15" s="1"/>
  <c r="O46" i="15"/>
  <c r="O23" i="14"/>
  <c r="J25" i="23"/>
  <c r="F18" i="23"/>
  <c r="F16" i="23"/>
  <c r="F25" i="23"/>
  <c r="Q18" i="23"/>
  <c r="P18" i="23"/>
  <c r="O18" i="23"/>
  <c r="N18" i="23"/>
  <c r="M18" i="23"/>
  <c r="L18" i="23"/>
  <c r="K18" i="23"/>
  <c r="J18" i="23"/>
  <c r="I18" i="23"/>
  <c r="H18" i="23"/>
  <c r="G18" i="23"/>
  <c r="Q16" i="23"/>
  <c r="Q25" i="23"/>
  <c r="P16" i="23"/>
  <c r="P25" i="23"/>
  <c r="O16" i="23"/>
  <c r="O25" i="23"/>
  <c r="N16" i="23"/>
  <c r="N25" i="23"/>
  <c r="M16" i="23"/>
  <c r="M25" i="23"/>
  <c r="L16" i="23"/>
  <c r="L25" i="23"/>
  <c r="K16" i="23"/>
  <c r="K25" i="23"/>
  <c r="I16" i="23"/>
  <c r="I25" i="23"/>
  <c r="H16" i="23"/>
  <c r="H25" i="23"/>
  <c r="G16" i="23"/>
  <c r="G25" i="23"/>
  <c r="V16" i="23"/>
  <c r="Z16" i="23"/>
  <c r="Q14" i="23"/>
  <c r="Q24" i="23"/>
  <c r="P14" i="23"/>
  <c r="P24" i="23"/>
  <c r="O14" i="23"/>
  <c r="O24" i="23"/>
  <c r="N14" i="23"/>
  <c r="N24" i="23"/>
  <c r="M14" i="23"/>
  <c r="M24" i="23"/>
  <c r="L14" i="23"/>
  <c r="L24" i="23"/>
  <c r="K14" i="23"/>
  <c r="K24" i="23"/>
  <c r="J14" i="23"/>
  <c r="J24" i="23"/>
  <c r="I14" i="23"/>
  <c r="I24" i="23"/>
  <c r="H14" i="23"/>
  <c r="H24" i="23"/>
  <c r="G14" i="23"/>
  <c r="G24" i="23"/>
  <c r="F14" i="23"/>
  <c r="F24" i="23"/>
  <c r="H18" i="24"/>
  <c r="I18" i="24"/>
  <c r="J18" i="24"/>
  <c r="K18" i="24"/>
  <c r="L18" i="24"/>
  <c r="M18" i="24"/>
  <c r="N18" i="24"/>
  <c r="O18" i="24"/>
  <c r="P18" i="24"/>
  <c r="Q18" i="24"/>
  <c r="R18" i="24"/>
  <c r="H19" i="24"/>
  <c r="I19" i="24"/>
  <c r="J19" i="24"/>
  <c r="K19" i="24"/>
  <c r="L19" i="24"/>
  <c r="M19" i="24"/>
  <c r="N19" i="24"/>
  <c r="O19" i="24"/>
  <c r="P19" i="24"/>
  <c r="Q19" i="24"/>
  <c r="R19" i="24"/>
  <c r="G18" i="24"/>
  <c r="H16" i="24"/>
  <c r="H25" i="24"/>
  <c r="I16" i="24"/>
  <c r="I25" i="24"/>
  <c r="J16" i="24"/>
  <c r="J25" i="24"/>
  <c r="K16" i="24"/>
  <c r="K25" i="24"/>
  <c r="L16" i="24"/>
  <c r="L25" i="24"/>
  <c r="M16" i="24"/>
  <c r="M25" i="24"/>
  <c r="N16" i="24"/>
  <c r="N25" i="24"/>
  <c r="O16" i="24"/>
  <c r="O25" i="24"/>
  <c r="P16" i="24"/>
  <c r="P25" i="24"/>
  <c r="Q16" i="24"/>
  <c r="Q25" i="24"/>
  <c r="R16" i="24"/>
  <c r="R25" i="24"/>
  <c r="G16" i="24"/>
  <c r="H24" i="24"/>
  <c r="I24" i="24"/>
  <c r="J14" i="24"/>
  <c r="J24" i="24"/>
  <c r="K14" i="24"/>
  <c r="K24" i="24"/>
  <c r="L14" i="24"/>
  <c r="L24" i="24"/>
  <c r="M24" i="24"/>
  <c r="N14" i="24"/>
  <c r="N24" i="24"/>
  <c r="O14" i="24"/>
  <c r="O24" i="24"/>
  <c r="P14" i="24"/>
  <c r="P24" i="24"/>
  <c r="Q14" i="24"/>
  <c r="Q24" i="24"/>
  <c r="R14" i="24"/>
  <c r="R24" i="24"/>
  <c r="G14" i="24"/>
  <c r="W14" i="24"/>
  <c r="AA14" i="24"/>
  <c r="I11" i="24"/>
  <c r="J11" i="24"/>
  <c r="K11" i="24"/>
  <c r="L11" i="24"/>
  <c r="M11" i="24"/>
  <c r="N11" i="24"/>
  <c r="O11" i="24"/>
  <c r="P11" i="24"/>
  <c r="Q11" i="24"/>
  <c r="R11" i="24"/>
  <c r="I12" i="24"/>
  <c r="J12" i="24"/>
  <c r="K12" i="24"/>
  <c r="L12" i="24"/>
  <c r="M12" i="24"/>
  <c r="N12" i="24"/>
  <c r="O12" i="24"/>
  <c r="P12" i="24"/>
  <c r="Q12" i="24"/>
  <c r="R12" i="24"/>
  <c r="H12" i="24"/>
  <c r="H11" i="24"/>
  <c r="G12" i="24"/>
  <c r="G11" i="24"/>
  <c r="Y9" i="24"/>
  <c r="X9" i="23"/>
  <c r="AU48" i="15"/>
  <c r="O58" i="15"/>
  <c r="W58" i="15"/>
  <c r="Y58" i="15" s="1"/>
  <c r="AA58" i="15"/>
  <c r="AC58" i="15" s="1"/>
  <c r="AE58" i="15"/>
  <c r="AG58" i="15" s="1"/>
  <c r="AI58" i="15"/>
  <c r="AK58" i="15" s="1"/>
  <c r="AQ58" i="15"/>
  <c r="AU58" i="15"/>
  <c r="AY58" i="15"/>
  <c r="BC58" i="15"/>
  <c r="BG58" i="15"/>
  <c r="O66" i="15"/>
  <c r="W66" i="15"/>
  <c r="Y66" i="15" s="1"/>
  <c r="AA66" i="15"/>
  <c r="AC66" i="15" s="1"/>
  <c r="AE66" i="15"/>
  <c r="AG66" i="15" s="1"/>
  <c r="AI66" i="15"/>
  <c r="AK66" i="15" s="1"/>
  <c r="AM66" i="15"/>
  <c r="AQ66" i="15"/>
  <c r="AU66" i="15"/>
  <c r="AY66" i="15"/>
  <c r="BC66" i="15"/>
  <c r="BG66" i="15"/>
  <c r="O72" i="15"/>
  <c r="W72" i="15"/>
  <c r="Y72" i="15" s="1"/>
  <c r="AA72" i="15"/>
  <c r="AC72" i="15" s="1"/>
  <c r="AE72" i="15"/>
  <c r="AG72" i="15" s="1"/>
  <c r="AI72" i="15"/>
  <c r="AK72" i="15" s="1"/>
  <c r="AM72" i="15"/>
  <c r="AQ72" i="15"/>
  <c r="AU72" i="15"/>
  <c r="AY72" i="15"/>
  <c r="BC72" i="15"/>
  <c r="BG72" i="15"/>
  <c r="BL78" i="14" a="1"/>
  <c r="BL77" i="14" a="1"/>
  <c r="BL70" i="14" a="1"/>
  <c r="BL30" i="14" a="1"/>
  <c r="O28" i="14"/>
  <c r="L19" i="23"/>
  <c r="L26" i="23"/>
  <c r="F19" i="23"/>
  <c r="F26" i="23"/>
  <c r="K19" i="23"/>
  <c r="K26" i="23"/>
  <c r="M19" i="23"/>
  <c r="M26" i="23"/>
  <c r="N19" i="23"/>
  <c r="N26" i="23"/>
  <c r="G19" i="23"/>
  <c r="G26" i="23"/>
  <c r="O19" i="23"/>
  <c r="O26" i="23"/>
  <c r="H19" i="23"/>
  <c r="H26" i="23"/>
  <c r="P19" i="23"/>
  <c r="P26" i="23"/>
  <c r="I19" i="23"/>
  <c r="I26" i="23"/>
  <c r="Q19" i="23"/>
  <c r="Q26" i="23"/>
  <c r="J19" i="23"/>
  <c r="J26" i="23"/>
  <c r="K26" i="24"/>
  <c r="G19" i="24"/>
  <c r="W18" i="24"/>
  <c r="AA18" i="24"/>
  <c r="J26" i="24"/>
  <c r="M26" i="24"/>
  <c r="Q26" i="24"/>
  <c r="I26" i="24"/>
  <c r="P26" i="24"/>
  <c r="H26" i="24"/>
  <c r="R26" i="24"/>
  <c r="O26" i="24"/>
  <c r="W16" i="24"/>
  <c r="AA16" i="24"/>
  <c r="G25" i="24"/>
  <c r="N26" i="24"/>
  <c r="L26" i="24"/>
  <c r="V14" i="23"/>
  <c r="Z14" i="23"/>
  <c r="G24" i="24"/>
  <c r="AM58" i="15"/>
  <c r="AE28" i="15"/>
  <c r="AY28" i="15"/>
  <c r="AR28" i="17" s="1"/>
  <c r="AT28" i="17" s="1"/>
  <c r="AM28" i="15"/>
  <c r="AF28" i="17" s="1"/>
  <c r="AH28" i="17" s="1"/>
  <c r="AU28" i="15"/>
  <c r="AN28" i="17" s="1"/>
  <c r="AP28" i="17" s="1"/>
  <c r="BC28" i="15"/>
  <c r="AV28" i="17" s="1"/>
  <c r="AI28" i="15"/>
  <c r="AQ28" i="15"/>
  <c r="AJ28" i="17" s="1"/>
  <c r="AL28" i="17" s="1"/>
  <c r="W28" i="15"/>
  <c r="AA28" i="15"/>
  <c r="BG28" i="15"/>
  <c r="AZ28" i="17" s="1"/>
  <c r="O26" i="14"/>
  <c r="O28" i="15"/>
  <c r="G9" i="24"/>
  <c r="W9" i="24" s="1"/>
  <c r="AA9" i="24" s="1"/>
  <c r="O29" i="14"/>
  <c r="R6" i="24"/>
  <c r="H6" i="24"/>
  <c r="P6" i="24"/>
  <c r="I6" i="24"/>
  <c r="J6" i="24"/>
  <c r="R9" i="24"/>
  <c r="R22" i="24" s="1"/>
  <c r="Q9" i="24"/>
  <c r="Q22" i="24" s="1"/>
  <c r="O6" i="24"/>
  <c r="I9" i="24"/>
  <c r="I22" i="24" s="1"/>
  <c r="K9" i="24"/>
  <c r="K22" i="24" s="1"/>
  <c r="G26" i="24"/>
  <c r="M6" i="24"/>
  <c r="N6" i="24"/>
  <c r="K6" i="24"/>
  <c r="J9" i="24"/>
  <c r="J22" i="24" s="1"/>
  <c r="Q6" i="24"/>
  <c r="G6" i="24"/>
  <c r="O31" i="14"/>
  <c r="L6" i="24"/>
  <c r="L9" i="24"/>
  <c r="L22" i="24" s="1"/>
  <c r="N9" i="24"/>
  <c r="N22" i="24" s="1"/>
  <c r="M9" i="24"/>
  <c r="M22" i="24" s="1"/>
  <c r="H9" i="24"/>
  <c r="H22" i="24" s="1"/>
  <c r="P9" i="24"/>
  <c r="P22" i="24" s="1"/>
  <c r="O9" i="24"/>
  <c r="O22" i="24" s="1"/>
  <c r="V18" i="23"/>
  <c r="Z18" i="23"/>
  <c r="AM26" i="15"/>
  <c r="AF26" i="17" s="1"/>
  <c r="AH26" i="17" s="1"/>
  <c r="W26" i="15"/>
  <c r="BC26" i="15"/>
  <c r="AV26" i="17" s="1"/>
  <c r="AI26" i="15"/>
  <c r="AA26" i="15"/>
  <c r="AQ26" i="15"/>
  <c r="AJ26" i="17" s="1"/>
  <c r="AL26" i="17" s="1"/>
  <c r="AE26" i="15"/>
  <c r="BG26" i="15"/>
  <c r="AZ26" i="17" s="1"/>
  <c r="AU26" i="15"/>
  <c r="AN26" i="17" s="1"/>
  <c r="AP26" i="17" s="1"/>
  <c r="AY26" i="15"/>
  <c r="AR26" i="17" s="1"/>
  <c r="AT26" i="17" s="1"/>
  <c r="F9" i="23"/>
  <c r="V9" i="23" s="1"/>
  <c r="Z9" i="23" s="1"/>
  <c r="M7" i="24"/>
  <c r="K7" i="24"/>
  <c r="L7" i="24"/>
  <c r="J7" i="24"/>
  <c r="R7" i="24"/>
  <c r="P7" i="24"/>
  <c r="N7" i="24"/>
  <c r="Q7" i="24"/>
  <c r="O7" i="24"/>
  <c r="I7" i="24"/>
  <c r="O26" i="15"/>
  <c r="H7" i="24"/>
  <c r="O6" i="23"/>
  <c r="AY31" i="15"/>
  <c r="M9" i="23"/>
  <c r="M22" i="23" s="1"/>
  <c r="AQ29" i="15"/>
  <c r="AJ29" i="17" s="1"/>
  <c r="AL29" i="17" s="1"/>
  <c r="G6" i="23"/>
  <c r="G7" i="23"/>
  <c r="BC29" i="15"/>
  <c r="AV29" i="17" s="1"/>
  <c r="P9" i="23"/>
  <c r="P22" i="23" s="1"/>
  <c r="AE29" i="15"/>
  <c r="J9" i="23"/>
  <c r="J22" i="23" s="1"/>
  <c r="H9" i="23"/>
  <c r="H22" i="23" s="1"/>
  <c r="W29" i="15"/>
  <c r="AE31" i="15"/>
  <c r="AG31" i="15" s="1"/>
  <c r="J6" i="23"/>
  <c r="N6" i="23"/>
  <c r="AU31" i="15"/>
  <c r="G9" i="23"/>
  <c r="G22" i="23" s="1"/>
  <c r="P11" i="23"/>
  <c r="BC30" i="15"/>
  <c r="L9" i="23"/>
  <c r="L22" i="23" s="1"/>
  <c r="AM29" i="15"/>
  <c r="AF29" i="17" s="1"/>
  <c r="AH29" i="17" s="1"/>
  <c r="I11" i="23"/>
  <c r="AA30" i="15"/>
  <c r="I12" i="23" s="1"/>
  <c r="H6" i="23"/>
  <c r="W31" i="15"/>
  <c r="L6" i="23"/>
  <c r="AM31" i="15"/>
  <c r="AF31" i="17" s="1"/>
  <c r="AH31" i="17" s="1"/>
  <c r="F11" i="23"/>
  <c r="O30" i="15"/>
  <c r="AA31" i="15"/>
  <c r="AA36" i="15" s="1"/>
  <c r="I6" i="23"/>
  <c r="H11" i="23"/>
  <c r="W30" i="15"/>
  <c r="AU30" i="15"/>
  <c r="N11" i="23"/>
  <c r="BG31" i="15"/>
  <c r="AZ31" i="17" s="1"/>
  <c r="Q6" i="23"/>
  <c r="O9" i="23"/>
  <c r="O22" i="23" s="1"/>
  <c r="AY29" i="15"/>
  <c r="AR29" i="17" s="1"/>
  <c r="AT29" i="17" s="1"/>
  <c r="AQ30" i="15"/>
  <c r="M11" i="23"/>
  <c r="AU29" i="15"/>
  <c r="AN29" i="17" s="1"/>
  <c r="AP29" i="17" s="1"/>
  <c r="N9" i="23"/>
  <c r="N22" i="23" s="1"/>
  <c r="G11" i="23"/>
  <c r="G12" i="23"/>
  <c r="I9" i="23"/>
  <c r="I22" i="23" s="1"/>
  <c r="AA29" i="15"/>
  <c r="AI31" i="15"/>
  <c r="AK31" i="15" s="1"/>
  <c r="K6" i="23"/>
  <c r="BG29" i="15"/>
  <c r="AZ29" i="17" s="1"/>
  <c r="Q9" i="23"/>
  <c r="Q22" i="23" s="1"/>
  <c r="J11" i="23"/>
  <c r="AE30" i="15"/>
  <c r="AQ31" i="15"/>
  <c r="M6" i="23"/>
  <c r="Q11" i="23"/>
  <c r="BG30" i="15"/>
  <c r="AZ30" i="17" s="1"/>
  <c r="O31" i="15"/>
  <c r="F7" i="23" s="1"/>
  <c r="F6" i="23"/>
  <c r="AI29" i="15"/>
  <c r="K9" i="23"/>
  <c r="K22" i="23" s="1"/>
  <c r="K11" i="23"/>
  <c r="AI30" i="15"/>
  <c r="AK30" i="15" s="1"/>
  <c r="L11" i="23"/>
  <c r="AM30" i="15"/>
  <c r="P6" i="23"/>
  <c r="BC31" i="15"/>
  <c r="O11" i="23"/>
  <c r="AY30" i="15"/>
  <c r="H14" i="17"/>
  <c r="R40" i="17"/>
  <c r="AV39" i="17"/>
  <c r="AB39" i="17"/>
  <c r="AD39" i="17" s="1"/>
  <c r="O48" i="14"/>
  <c r="L47" i="17"/>
  <c r="R47" i="17"/>
  <c r="T47" i="17"/>
  <c r="V47" i="17" s="1"/>
  <c r="X47" i="17"/>
  <c r="Z47" i="17" s="1"/>
  <c r="AB47" i="17"/>
  <c r="AD47" i="17" s="1"/>
  <c r="AF47" i="17"/>
  <c r="AH47" i="17" s="1"/>
  <c r="AJ47" i="17"/>
  <c r="AL47" i="17" s="1"/>
  <c r="AN47" i="17"/>
  <c r="AP47" i="17" s="1"/>
  <c r="AR47" i="17"/>
  <c r="AT47" i="17" s="1"/>
  <c r="AV47" i="17"/>
  <c r="H47" i="17"/>
  <c r="J47" i="17" s="1"/>
  <c r="H70" i="17"/>
  <c r="L75" i="17"/>
  <c r="T75" i="17"/>
  <c r="V75" i="17" s="1"/>
  <c r="X75" i="17"/>
  <c r="Z75" i="17" s="1"/>
  <c r="AB75" i="17"/>
  <c r="AD75" i="17" s="1"/>
  <c r="AF75" i="17"/>
  <c r="AH75" i="17" s="1"/>
  <c r="AJ75" i="17"/>
  <c r="AL75" i="17" s="1"/>
  <c r="AN75" i="17"/>
  <c r="AP75" i="17" s="1"/>
  <c r="AR75" i="17"/>
  <c r="AT75" i="17" s="1"/>
  <c r="AV75" i="17"/>
  <c r="L76" i="17"/>
  <c r="R76" i="17"/>
  <c r="T76" i="17"/>
  <c r="V76" i="17" s="1"/>
  <c r="X76" i="17"/>
  <c r="Z76" i="17" s="1"/>
  <c r="AB76" i="17"/>
  <c r="AD76" i="17" s="1"/>
  <c r="AF76" i="17"/>
  <c r="AH76" i="17" s="1"/>
  <c r="AJ76" i="17"/>
  <c r="AL76" i="17" s="1"/>
  <c r="AN76" i="17"/>
  <c r="AP76" i="17" s="1"/>
  <c r="AR76" i="17"/>
  <c r="AT76" i="17" s="1"/>
  <c r="AV76" i="17"/>
  <c r="L77" i="17"/>
  <c r="R77" i="17"/>
  <c r="T77" i="17"/>
  <c r="V77" i="17" s="1"/>
  <c r="X77" i="17"/>
  <c r="Z77" i="17" s="1"/>
  <c r="AB77" i="17"/>
  <c r="AD77" i="17" s="1"/>
  <c r="AF77" i="17"/>
  <c r="AH77" i="17" s="1"/>
  <c r="AJ77" i="17"/>
  <c r="AL77" i="17" s="1"/>
  <c r="AN77" i="17"/>
  <c r="AP77" i="17" s="1"/>
  <c r="AR77" i="17"/>
  <c r="AT77" i="17" s="1"/>
  <c r="AV77" i="17"/>
  <c r="L78" i="17"/>
  <c r="R78" i="17"/>
  <c r="T78" i="17"/>
  <c r="V78" i="17" s="1"/>
  <c r="X78" i="17"/>
  <c r="Z78" i="17" s="1"/>
  <c r="AB78" i="17"/>
  <c r="AD78" i="17" s="1"/>
  <c r="AF78" i="17"/>
  <c r="AH78" i="17" s="1"/>
  <c r="AJ78" i="17"/>
  <c r="AL78" i="17" s="1"/>
  <c r="AN78" i="17"/>
  <c r="AP78" i="17" s="1"/>
  <c r="AR78" i="17"/>
  <c r="AT78" i="17" s="1"/>
  <c r="AV78" i="17"/>
  <c r="L91" i="17"/>
  <c r="X91" i="17"/>
  <c r="AB91" i="17"/>
  <c r="AF91" i="17"/>
  <c r="AJ91" i="17"/>
  <c r="AN91" i="17"/>
  <c r="AR91" i="17"/>
  <c r="AV91" i="17"/>
  <c r="AV94" i="17" s="1"/>
  <c r="AX94" i="17" s="1"/>
  <c r="H76" i="17"/>
  <c r="J76" i="17" s="1"/>
  <c r="H77" i="17"/>
  <c r="J77" i="17" s="1"/>
  <c r="H78" i="17"/>
  <c r="J78" i="17" s="1"/>
  <c r="H75" i="17"/>
  <c r="J75" i="17" s="1"/>
  <c r="BG66" i="14"/>
  <c r="BC66" i="14"/>
  <c r="AY66" i="14"/>
  <c r="AU66" i="14"/>
  <c r="AQ66" i="14"/>
  <c r="AM66" i="14"/>
  <c r="AI66" i="14"/>
  <c r="AK66" i="14" s="1"/>
  <c r="AE66" i="14"/>
  <c r="AG66" i="14" s="1"/>
  <c r="AA66" i="14"/>
  <c r="AC66" i="14" s="1"/>
  <c r="W66" i="14"/>
  <c r="Y66" i="14" s="1"/>
  <c r="S66" i="14"/>
  <c r="O66" i="14"/>
  <c r="BG48" i="14"/>
  <c r="BC48" i="14"/>
  <c r="AY48" i="14"/>
  <c r="AU48" i="14"/>
  <c r="AQ48" i="14"/>
  <c r="AM48" i="14"/>
  <c r="AI48" i="14"/>
  <c r="AK48" i="14" s="1"/>
  <c r="AE48" i="14"/>
  <c r="AG48" i="14" s="1"/>
  <c r="BL47" i="14" s="1" a="1"/>
  <c r="AA48" i="14"/>
  <c r="AC48" i="14" s="1"/>
  <c r="W48" i="14"/>
  <c r="Y48" i="14" s="1"/>
  <c r="S48" i="14"/>
  <c r="U48" i="14" s="1"/>
  <c r="BG58" i="14"/>
  <c r="BC58" i="14"/>
  <c r="AY58" i="14"/>
  <c r="AU58" i="14"/>
  <c r="AQ58" i="14"/>
  <c r="AM58" i="14"/>
  <c r="AI58" i="14"/>
  <c r="AK58" i="14" s="1"/>
  <c r="AE58" i="14"/>
  <c r="AG58" i="14" s="1"/>
  <c r="AA58" i="14"/>
  <c r="AC58" i="14" s="1"/>
  <c r="W58" i="14"/>
  <c r="Y58" i="14" s="1"/>
  <c r="S58" i="14"/>
  <c r="U58" i="14" s="1"/>
  <c r="O58" i="14"/>
  <c r="Q58" i="14" s="1"/>
  <c r="AV69" i="17"/>
  <c r="AV72" i="17" s="1"/>
  <c r="AR69" i="17"/>
  <c r="AN69" i="17"/>
  <c r="AJ69" i="17"/>
  <c r="AF69" i="17"/>
  <c r="AB69" i="17"/>
  <c r="X69" i="17"/>
  <c r="T69" i="17"/>
  <c r="V69" i="17" s="1"/>
  <c r="L69" i="17"/>
  <c r="H69" i="17"/>
  <c r="J69" i="17" s="1"/>
  <c r="R62" i="17"/>
  <c r="T62" i="17"/>
  <c r="V62" i="17" s="1"/>
  <c r="X62" i="17"/>
  <c r="Z62" i="17" s="1"/>
  <c r="AB62" i="17"/>
  <c r="AD62" i="17" s="1"/>
  <c r="AF62" i="17"/>
  <c r="AH62" i="17" s="1"/>
  <c r="AJ62" i="17"/>
  <c r="AL62" i="17" s="1"/>
  <c r="AN62" i="17"/>
  <c r="AP62" i="17" s="1"/>
  <c r="AR62" i="17"/>
  <c r="AT62" i="17" s="1"/>
  <c r="AV62" i="17"/>
  <c r="R63" i="17"/>
  <c r="T63" i="17"/>
  <c r="V63" i="17" s="1"/>
  <c r="X63" i="17"/>
  <c r="Z63" i="17" s="1"/>
  <c r="AB63" i="17"/>
  <c r="AD63" i="17" s="1"/>
  <c r="AF63" i="17"/>
  <c r="AH63" i="17" s="1"/>
  <c r="AJ63" i="17"/>
  <c r="AL63" i="17" s="1"/>
  <c r="AN63" i="17"/>
  <c r="AP63" i="17" s="1"/>
  <c r="AR63" i="17"/>
  <c r="AT63" i="17" s="1"/>
  <c r="AV63" i="17"/>
  <c r="R64" i="17"/>
  <c r="T64" i="17"/>
  <c r="V64" i="17" s="1"/>
  <c r="X64" i="17"/>
  <c r="Z64" i="17" s="1"/>
  <c r="AB64" i="17"/>
  <c r="AD64" i="17" s="1"/>
  <c r="AF64" i="17"/>
  <c r="AH64" i="17" s="1"/>
  <c r="AJ64" i="17"/>
  <c r="AL64" i="17" s="1"/>
  <c r="AN64" i="17"/>
  <c r="AP64" i="17" s="1"/>
  <c r="AR64" i="17"/>
  <c r="AT64" i="17" s="1"/>
  <c r="AV64" i="17"/>
  <c r="R65" i="17"/>
  <c r="T65" i="17"/>
  <c r="V65" i="17" s="1"/>
  <c r="X65" i="17"/>
  <c r="Z65" i="17" s="1"/>
  <c r="AB65" i="17"/>
  <c r="AF65" i="17"/>
  <c r="AJ65" i="17"/>
  <c r="AN65" i="17"/>
  <c r="AR65" i="17"/>
  <c r="AV65" i="17"/>
  <c r="H65" i="17"/>
  <c r="H64" i="17"/>
  <c r="H63" i="17"/>
  <c r="H62" i="17"/>
  <c r="L56" i="17"/>
  <c r="R56" i="17"/>
  <c r="T56" i="17"/>
  <c r="V56" i="17" s="1"/>
  <c r="X56" i="17"/>
  <c r="Z56" i="17" s="1"/>
  <c r="AB56" i="17"/>
  <c r="AD56" i="17" s="1"/>
  <c r="AF56" i="17"/>
  <c r="AH56" i="17" s="1"/>
  <c r="AJ56" i="17"/>
  <c r="AL56" i="17" s="1"/>
  <c r="AN56" i="17"/>
  <c r="AP56" i="17" s="1"/>
  <c r="AR56" i="17"/>
  <c r="AT56" i="17" s="1"/>
  <c r="AV56" i="17"/>
  <c r="H55" i="17"/>
  <c r="J55" i="17" s="1"/>
  <c r="H56" i="17"/>
  <c r="J56" i="17" s="1"/>
  <c r="H57" i="17"/>
  <c r="J57" i="17" s="1"/>
  <c r="H54" i="17"/>
  <c r="J54" i="17" s="1"/>
  <c r="H53" i="17"/>
  <c r="J53" i="17" s="1"/>
  <c r="H52" i="17"/>
  <c r="J52" i="17" s="1"/>
  <c r="L53" i="17"/>
  <c r="R53" i="17"/>
  <c r="T53" i="17"/>
  <c r="V53" i="17" s="1"/>
  <c r="X53" i="17"/>
  <c r="Z53" i="17" s="1"/>
  <c r="AB53" i="17"/>
  <c r="AD53" i="17" s="1"/>
  <c r="AF53" i="17"/>
  <c r="AH53" i="17" s="1"/>
  <c r="AJ53" i="17"/>
  <c r="AL53" i="17" s="1"/>
  <c r="AN53" i="17"/>
  <c r="AP53" i="17" s="1"/>
  <c r="AR53" i="17"/>
  <c r="AT53" i="17" s="1"/>
  <c r="AV53" i="17"/>
  <c r="L54" i="17"/>
  <c r="R54" i="17"/>
  <c r="T54" i="17"/>
  <c r="V54" i="17" s="1"/>
  <c r="X54" i="17"/>
  <c r="Z54" i="17" s="1"/>
  <c r="AB54" i="17"/>
  <c r="AD54" i="17" s="1"/>
  <c r="AF54" i="17"/>
  <c r="AH54" i="17" s="1"/>
  <c r="AJ54" i="17"/>
  <c r="AL54" i="17" s="1"/>
  <c r="AN54" i="17"/>
  <c r="AP54" i="17" s="1"/>
  <c r="AR54" i="17"/>
  <c r="AT54" i="17" s="1"/>
  <c r="AV54" i="17"/>
  <c r="L55" i="17"/>
  <c r="R55" i="17"/>
  <c r="T55" i="17"/>
  <c r="V55" i="17" s="1"/>
  <c r="X55" i="17"/>
  <c r="Z55" i="17" s="1"/>
  <c r="AB55" i="17"/>
  <c r="AD55" i="17" s="1"/>
  <c r="AF55" i="17"/>
  <c r="AH55" i="17" s="1"/>
  <c r="AJ55" i="17"/>
  <c r="AL55" i="17" s="1"/>
  <c r="AN55" i="17"/>
  <c r="AP55" i="17" s="1"/>
  <c r="AR55" i="17"/>
  <c r="AT55" i="17" s="1"/>
  <c r="AV55" i="17"/>
  <c r="L57" i="17"/>
  <c r="R57" i="17"/>
  <c r="T57" i="17"/>
  <c r="V57" i="17" s="1"/>
  <c r="X57" i="17"/>
  <c r="Z57" i="17" s="1"/>
  <c r="AB57" i="17"/>
  <c r="AD57" i="17" s="1"/>
  <c r="AF57" i="17"/>
  <c r="AH57" i="17" s="1"/>
  <c r="AJ57" i="17"/>
  <c r="AL57" i="17" s="1"/>
  <c r="AN57" i="17"/>
  <c r="AP57" i="17" s="1"/>
  <c r="AR57" i="17"/>
  <c r="AT57" i="17" s="1"/>
  <c r="AV57" i="17"/>
  <c r="L52" i="17"/>
  <c r="R52" i="17"/>
  <c r="T52" i="17"/>
  <c r="V52" i="17" s="1"/>
  <c r="X52" i="17"/>
  <c r="Z52" i="17" s="1"/>
  <c r="AB52" i="17"/>
  <c r="AD52" i="17" s="1"/>
  <c r="AF52" i="17"/>
  <c r="AH52" i="17" s="1"/>
  <c r="AJ52" i="17"/>
  <c r="AL52" i="17" s="1"/>
  <c r="AN52" i="17"/>
  <c r="AP52" i="17" s="1"/>
  <c r="AR52" i="17"/>
  <c r="AT52" i="17" s="1"/>
  <c r="AV52" i="17"/>
  <c r="R23" i="17"/>
  <c r="H22" i="17"/>
  <c r="H16" i="17"/>
  <c r="H18" i="17"/>
  <c r="BC11" i="14"/>
  <c r="BC35" i="14" s="1"/>
  <c r="BC41" i="14" s="1"/>
  <c r="AU11" i="14"/>
  <c r="AU35" i="14" s="1"/>
  <c r="AM11" i="14"/>
  <c r="AM35" i="14" s="1"/>
  <c r="AE11" i="14"/>
  <c r="W11" i="14"/>
  <c r="AN39" i="17"/>
  <c r="AP39" i="17" s="1"/>
  <c r="X39" i="17"/>
  <c r="Z39" i="17" s="1"/>
  <c r="T39" i="17"/>
  <c r="V39" i="17" s="1"/>
  <c r="AF39" i="17"/>
  <c r="AH39" i="17" s="1"/>
  <c r="R39" i="17"/>
  <c r="AR39" i="17"/>
  <c r="AT39" i="17" s="1"/>
  <c r="AJ39" i="17"/>
  <c r="AL39" i="17" s="1"/>
  <c r="R33" i="17"/>
  <c r="H33" i="17"/>
  <c r="AA72" i="14"/>
  <c r="AC72" i="14" s="1"/>
  <c r="AE72" i="14"/>
  <c r="AG72" i="14" s="1"/>
  <c r="BL71" i="14" s="1" a="1"/>
  <c r="H71" i="17"/>
  <c r="AU72" i="14"/>
  <c r="AI72" i="14"/>
  <c r="AK72" i="14" s="1"/>
  <c r="AM72" i="14"/>
  <c r="W72" i="14"/>
  <c r="Y72" i="14" s="1"/>
  <c r="BC72" i="14"/>
  <c r="AQ72" i="14"/>
  <c r="AY72" i="14"/>
  <c r="S72" i="14"/>
  <c r="U72" i="14" s="1"/>
  <c r="O72" i="14"/>
  <c r="Q72" i="14" s="1"/>
  <c r="BG72" i="14"/>
  <c r="AQ27" i="15"/>
  <c r="AJ27" i="17" s="1"/>
  <c r="AL27" i="17" s="1"/>
  <c r="R15" i="17"/>
  <c r="BC11" i="15"/>
  <c r="AI27" i="15"/>
  <c r="W11" i="15"/>
  <c r="AE27" i="15"/>
  <c r="AU27" i="15"/>
  <c r="AN27" i="17" s="1"/>
  <c r="AP27" i="17" s="1"/>
  <c r="AM27" i="15"/>
  <c r="AF27" i="17" s="1"/>
  <c r="AH27" i="17" s="1"/>
  <c r="AY11" i="15"/>
  <c r="W27" i="15"/>
  <c r="AI11" i="15"/>
  <c r="AK11" i="15" s="1"/>
  <c r="AQ11" i="15"/>
  <c r="AY27" i="15"/>
  <c r="AR27" i="17" s="1"/>
  <c r="AT27" i="17" s="1"/>
  <c r="BG27" i="15"/>
  <c r="AZ27" i="17" s="1"/>
  <c r="AU11" i="15"/>
  <c r="AA27" i="15"/>
  <c r="AM11" i="15"/>
  <c r="BC27" i="15"/>
  <c r="AV27" i="17" s="1"/>
  <c r="AE11" i="15"/>
  <c r="BG11" i="15"/>
  <c r="AA11" i="15"/>
  <c r="AC11" i="15" s="1"/>
  <c r="B11" i="3"/>
  <c r="D62" i="3"/>
  <c r="D33" i="3"/>
  <c r="D79" i="3"/>
  <c r="D71" i="3"/>
  <c r="B46" i="3"/>
  <c r="D34" i="3"/>
  <c r="B40" i="3"/>
  <c r="B33" i="3"/>
  <c r="B34" i="3"/>
  <c r="D15" i="3"/>
  <c r="D40" i="3"/>
  <c r="B56" i="3"/>
  <c r="N6" i="3"/>
  <c r="L6" i="3"/>
  <c r="D11" i="3"/>
  <c r="B72" i="3"/>
  <c r="D72" i="3"/>
  <c r="B58" i="3"/>
  <c r="B76" i="3"/>
  <c r="B80" i="3"/>
  <c r="D80" i="3"/>
  <c r="D66" i="3"/>
  <c r="B66" i="3"/>
  <c r="B35" i="3"/>
  <c r="B41" i="3"/>
  <c r="D58" i="3"/>
  <c r="D35" i="3"/>
  <c r="D41" i="3"/>
  <c r="B48" i="3"/>
  <c r="B82" i="3"/>
  <c r="B84" i="3"/>
  <c r="D48" i="3"/>
  <c r="D82" i="3"/>
  <c r="D84" i="3"/>
  <c r="H15" i="17"/>
  <c r="O27" i="15"/>
  <c r="AY11" i="14"/>
  <c r="AY35" i="14" s="1"/>
  <c r="BG11" i="14"/>
  <c r="BG35" i="14" s="1"/>
  <c r="BG41" i="14" s="1"/>
  <c r="S11" i="14"/>
  <c r="AA11" i="14"/>
  <c r="AI11" i="14"/>
  <c r="E28" i="14"/>
  <c r="E26" i="14"/>
  <c r="AQ11" i="14"/>
  <c r="AQ35" i="14" s="1"/>
  <c r="O11" i="15"/>
  <c r="H17" i="17"/>
  <c r="O29" i="15"/>
  <c r="Q29" i="15" s="1"/>
  <c r="H39" i="17"/>
  <c r="BL65" i="14" l="1"/>
  <c r="BL88" i="14"/>
  <c r="BL56" i="14"/>
  <c r="BL55" i="14"/>
  <c r="BL78" i="14"/>
  <c r="BL77" i="14"/>
  <c r="BL47" i="14"/>
  <c r="BL76" i="14"/>
  <c r="BL71" i="14"/>
  <c r="BL39" i="14"/>
  <c r="BL70" i="14"/>
  <c r="BL30" i="14"/>
  <c r="BK47" i="15"/>
  <c r="BL52" i="14"/>
  <c r="BL54" i="14"/>
  <c r="BL14" i="14"/>
  <c r="BL62" i="14"/>
  <c r="BL53" i="14"/>
  <c r="BL16" i="14"/>
  <c r="BL64" i="14"/>
  <c r="BL75" i="14"/>
  <c r="BL18" i="14"/>
  <c r="BL22" i="14"/>
  <c r="BL63" i="14"/>
  <c r="BL27" i="14"/>
  <c r="BL15" i="14"/>
  <c r="BL17" i="14"/>
  <c r="CJ26" i="15"/>
  <c r="CJ28" i="15"/>
  <c r="AJ94" i="17"/>
  <c r="AL94" i="17" s="1"/>
  <c r="AL91" i="17"/>
  <c r="AQ41" i="14"/>
  <c r="AS41" i="14" s="1"/>
  <c r="AS35" i="14"/>
  <c r="BI54" i="17"/>
  <c r="AF72" i="17"/>
  <c r="AH72" i="17" s="1"/>
  <c r="AH69" i="17"/>
  <c r="AF94" i="17"/>
  <c r="AH94" i="17" s="1"/>
  <c r="AH91" i="17"/>
  <c r="CJ27" i="15"/>
  <c r="AR94" i="17"/>
  <c r="AT94" i="17" s="1"/>
  <c r="AT91" i="17"/>
  <c r="AN94" i="17"/>
  <c r="AP94" i="17" s="1"/>
  <c r="AP91" i="17"/>
  <c r="AJ72" i="17"/>
  <c r="AL72" i="17" s="1"/>
  <c r="AL69" i="17"/>
  <c r="AM41" i="14"/>
  <c r="AO41" i="14" s="1"/>
  <c r="AO35" i="14"/>
  <c r="BI56" i="17"/>
  <c r="AN72" i="17"/>
  <c r="AP72" i="17" s="1"/>
  <c r="AP69" i="17"/>
  <c r="AU41" i="14"/>
  <c r="AW41" i="14" s="1"/>
  <c r="AW35" i="14"/>
  <c r="AR72" i="17"/>
  <c r="AT72" i="17" s="1"/>
  <c r="AT69" i="17"/>
  <c r="BI63" i="17"/>
  <c r="Q30" i="15"/>
  <c r="AY41" i="14"/>
  <c r="BA41" i="14" s="1"/>
  <c r="BA35" i="14"/>
  <c r="Q66" i="14"/>
  <c r="AZ34" i="17"/>
  <c r="AZ35" i="17" s="1"/>
  <c r="AZ41" i="17" s="1"/>
  <c r="AZ83" i="17" s="1"/>
  <c r="AZ96" i="17" s="1"/>
  <c r="AI35" i="14"/>
  <c r="AB27" i="17"/>
  <c r="AD27" i="17" s="1"/>
  <c r="AK27" i="15"/>
  <c r="AB29" i="17"/>
  <c r="AD29" i="17" s="1"/>
  <c r="AK29" i="15"/>
  <c r="AB26" i="17"/>
  <c r="AD26" i="17" s="1"/>
  <c r="AK26" i="15"/>
  <c r="CI28" i="15"/>
  <c r="AB28" i="17"/>
  <c r="AD28" i="17" s="1"/>
  <c r="AK28" i="15"/>
  <c r="AI41" i="14"/>
  <c r="AK41" i="14" s="1"/>
  <c r="AK35" i="14"/>
  <c r="AB72" i="17"/>
  <c r="AD72" i="17" s="1"/>
  <c r="AD69" i="17"/>
  <c r="AB94" i="17"/>
  <c r="AD94" i="17" s="1"/>
  <c r="AD91" i="17"/>
  <c r="O11" i="14"/>
  <c r="E72" i="14"/>
  <c r="H23" i="17"/>
  <c r="P34" i="14"/>
  <c r="CI35" i="14" s="1"/>
  <c r="CI41" i="14" s="1"/>
  <c r="Q33" i="14"/>
  <c r="BL33" i="14" s="1" a="1"/>
  <c r="W36" i="15"/>
  <c r="X29" i="17"/>
  <c r="Z29" i="17" s="1"/>
  <c r="AG29" i="15"/>
  <c r="X30" i="17"/>
  <c r="Z30" i="17" s="1"/>
  <c r="AG30" i="15"/>
  <c r="CG48" i="15"/>
  <c r="CG81" i="15" s="1"/>
  <c r="BI55" i="17"/>
  <c r="BI78" i="17"/>
  <c r="BI39" i="17"/>
  <c r="BI65" i="17"/>
  <c r="BL57" i="14" a="1"/>
  <c r="BI77" i="17"/>
  <c r="BI57" i="17"/>
  <c r="X94" i="17"/>
  <c r="Z94" i="17" s="1"/>
  <c r="Z91" i="17"/>
  <c r="BI47" i="17"/>
  <c r="X72" i="17"/>
  <c r="Z72" i="17" s="1"/>
  <c r="Z69" i="17"/>
  <c r="BI76" i="17"/>
  <c r="X28" i="17"/>
  <c r="Z28" i="17" s="1"/>
  <c r="AG28" i="15"/>
  <c r="X27" i="17"/>
  <c r="AG27" i="15"/>
  <c r="X26" i="17"/>
  <c r="Z26" i="17" s="1"/>
  <c r="AG26" i="15"/>
  <c r="AG11" i="15"/>
  <c r="AE35" i="14"/>
  <c r="F12" i="23"/>
  <c r="F23" i="23" s="1"/>
  <c r="E48" i="14"/>
  <c r="P48" i="14"/>
  <c r="Q48" i="14" s="1"/>
  <c r="BL48" i="14" s="1" a="1"/>
  <c r="M7" i="23"/>
  <c r="M21" i="23" s="1"/>
  <c r="AJ31" i="17"/>
  <c r="AL31" i="17" s="1"/>
  <c r="I7" i="23"/>
  <c r="I21" i="23" s="1"/>
  <c r="T31" i="17"/>
  <c r="V31" i="17" s="1"/>
  <c r="AC31" i="15"/>
  <c r="AC30" i="15"/>
  <c r="T30" i="17"/>
  <c r="V30" i="17" s="1"/>
  <c r="P40" i="15"/>
  <c r="CH40" i="15" s="1"/>
  <c r="CI71" i="15"/>
  <c r="P33" i="15"/>
  <c r="BI33" i="17"/>
  <c r="AC27" i="15"/>
  <c r="T27" i="17"/>
  <c r="V27" i="17" s="1"/>
  <c r="V91" i="17"/>
  <c r="T94" i="17"/>
  <c r="V94" i="17" s="1"/>
  <c r="O12" i="23"/>
  <c r="O23" i="23" s="1"/>
  <c r="AR30" i="17"/>
  <c r="AT30" i="17" s="1"/>
  <c r="T26" i="17"/>
  <c r="V26" i="17" s="1"/>
  <c r="AC26" i="15"/>
  <c r="I48" i="17"/>
  <c r="BH48" i="17"/>
  <c r="N7" i="23"/>
  <c r="N21" i="23" s="1"/>
  <c r="AN31" i="17"/>
  <c r="AP31" i="17" s="1"/>
  <c r="P7" i="23"/>
  <c r="P21" i="23" s="1"/>
  <c r="AV31" i="17"/>
  <c r="H40" i="17"/>
  <c r="CI54" i="15"/>
  <c r="AC29" i="15"/>
  <c r="T29" i="17"/>
  <c r="V29" i="17" s="1"/>
  <c r="AA35" i="14"/>
  <c r="N12" i="23"/>
  <c r="N23" i="23" s="1"/>
  <c r="AN30" i="17"/>
  <c r="AP30" i="17" s="1"/>
  <c r="P12" i="23"/>
  <c r="P23" i="23" s="1"/>
  <c r="AV30" i="17"/>
  <c r="P62" i="15"/>
  <c r="K12" i="23"/>
  <c r="K23" i="23" s="1"/>
  <c r="AB30" i="17"/>
  <c r="AD30" i="17" s="1"/>
  <c r="Q7" i="23"/>
  <c r="Q21" i="23" s="1"/>
  <c r="J7" i="23"/>
  <c r="J21" i="23" s="1"/>
  <c r="X31" i="17"/>
  <c r="P64" i="15"/>
  <c r="I58" i="17"/>
  <c r="BH58" i="17"/>
  <c r="L12" i="23"/>
  <c r="L23" i="23" s="1"/>
  <c r="AF30" i="17"/>
  <c r="Q12" i="23"/>
  <c r="Q23" i="23" s="1"/>
  <c r="P30" i="17"/>
  <c r="P31" i="17"/>
  <c r="O7" i="23"/>
  <c r="O21" i="23" s="1"/>
  <c r="AR31" i="17"/>
  <c r="AT31" i="17" s="1"/>
  <c r="CJ33" i="14"/>
  <c r="T28" i="17"/>
  <c r="V28" i="17" s="1"/>
  <c r="AC28" i="15"/>
  <c r="CI56" i="15"/>
  <c r="Y11" i="15"/>
  <c r="CI27" i="15"/>
  <c r="BI70" i="17"/>
  <c r="K7" i="23"/>
  <c r="K21" i="23" s="1"/>
  <c r="AB31" i="17"/>
  <c r="AD31" i="17" s="1"/>
  <c r="M12" i="23"/>
  <c r="M23" i="23" s="1"/>
  <c r="AJ30" i="17"/>
  <c r="AL30" i="17" s="1"/>
  <c r="CJ40" i="14"/>
  <c r="Q29" i="14"/>
  <c r="BL29" i="14" s="1" a="1"/>
  <c r="CJ29" i="14"/>
  <c r="Q46" i="14"/>
  <c r="BL46" i="14" s="1" a="1"/>
  <c r="Q23" i="14"/>
  <c r="BL23" i="14" s="1" a="1"/>
  <c r="CJ23" i="14"/>
  <c r="Q26" i="14"/>
  <c r="BL26" i="14" s="1" a="1"/>
  <c r="CJ26" i="14"/>
  <c r="Q28" i="14"/>
  <c r="BL28" i="14" s="1" a="1"/>
  <c r="CJ28" i="14"/>
  <c r="Q31" i="14"/>
  <c r="BL31" i="14" s="1" a="1"/>
  <c r="CJ31" i="14"/>
  <c r="J22" i="17"/>
  <c r="BI22" i="17"/>
  <c r="N54" i="17"/>
  <c r="J65" i="17"/>
  <c r="Q15" i="15"/>
  <c r="CI15" i="15"/>
  <c r="Q88" i="15"/>
  <c r="F71" i="17"/>
  <c r="F71" i="3" s="1"/>
  <c r="H71" i="3" s="1"/>
  <c r="J71" i="3" s="1"/>
  <c r="L71" i="3" s="1"/>
  <c r="N71" i="3" s="1"/>
  <c r="BI71" i="17"/>
  <c r="J14" i="17"/>
  <c r="BI14" i="17"/>
  <c r="Q16" i="15"/>
  <c r="CI16" i="15"/>
  <c r="J18" i="17"/>
  <c r="BI18" i="17"/>
  <c r="Q22" i="15"/>
  <c r="CI22" i="15"/>
  <c r="Q57" i="15"/>
  <c r="BK57" i="15" s="1" a="1"/>
  <c r="CI57" i="15"/>
  <c r="Q70" i="15"/>
  <c r="CI70" i="15"/>
  <c r="Q91" i="15"/>
  <c r="J33" i="17"/>
  <c r="N57" i="17"/>
  <c r="N69" i="17"/>
  <c r="N77" i="17"/>
  <c r="Q23" i="15"/>
  <c r="CI23" i="15"/>
  <c r="Q55" i="15"/>
  <c r="BK55" i="15" s="1" a="1"/>
  <c r="CI55" i="15"/>
  <c r="Q75" i="15"/>
  <c r="Q93" i="15"/>
  <c r="CI93" i="15"/>
  <c r="J16" i="17"/>
  <c r="N53" i="17"/>
  <c r="Q78" i="15"/>
  <c r="CI78" i="15"/>
  <c r="Q92" i="15"/>
  <c r="CI92" i="15"/>
  <c r="N52" i="17"/>
  <c r="Q87" i="15"/>
  <c r="CH89" i="15"/>
  <c r="N56" i="17"/>
  <c r="BI91" i="17"/>
  <c r="Q14" i="15"/>
  <c r="CI14" i="15"/>
  <c r="Q53" i="15"/>
  <c r="BK53" i="15" s="1" a="1"/>
  <c r="Q77" i="15"/>
  <c r="CI77" i="15"/>
  <c r="N78" i="17"/>
  <c r="Q69" i="15"/>
  <c r="J15" i="17"/>
  <c r="BI15" i="17"/>
  <c r="N55" i="17"/>
  <c r="N76" i="17"/>
  <c r="Q18" i="15"/>
  <c r="CI18" i="15"/>
  <c r="Q65" i="15"/>
  <c r="CI65" i="15"/>
  <c r="Q76" i="15"/>
  <c r="CI76" i="15"/>
  <c r="J39" i="17"/>
  <c r="H29" i="17"/>
  <c r="J29" i="17" s="1"/>
  <c r="BI17" i="17"/>
  <c r="J63" i="17"/>
  <c r="N47" i="17"/>
  <c r="Q17" i="15"/>
  <c r="CI17" i="15"/>
  <c r="Q63" i="15"/>
  <c r="CI63" i="15"/>
  <c r="BI16" i="17"/>
  <c r="W35" i="14"/>
  <c r="W41" i="14" s="1"/>
  <c r="Y41" i="14" s="1"/>
  <c r="G69" i="14"/>
  <c r="G72" i="14" s="1"/>
  <c r="I75" i="14"/>
  <c r="G79" i="14"/>
  <c r="Y29" i="15"/>
  <c r="P29" i="17"/>
  <c r="Y26" i="15"/>
  <c r="P26" i="17"/>
  <c r="Y27" i="15"/>
  <c r="P27" i="17"/>
  <c r="Y28" i="15"/>
  <c r="P28" i="17"/>
  <c r="P52" i="15"/>
  <c r="T48" i="17"/>
  <c r="V48" i="17" s="1"/>
  <c r="AJ79" i="17"/>
  <c r="AL79" i="17" s="1"/>
  <c r="W48" i="15"/>
  <c r="Y48" i="15" s="1"/>
  <c r="Y46" i="15"/>
  <c r="H12" i="23"/>
  <c r="H23" i="23" s="1"/>
  <c r="Y30" i="15"/>
  <c r="H7" i="23"/>
  <c r="H21" i="23" s="1"/>
  <c r="Y31" i="15"/>
  <c r="R22" i="17"/>
  <c r="R16" i="17"/>
  <c r="AF79" i="17"/>
  <c r="AH79" i="17" s="1"/>
  <c r="X79" i="17"/>
  <c r="Z79" i="17" s="1"/>
  <c r="R18" i="17"/>
  <c r="N91" i="17"/>
  <c r="L94" i="17"/>
  <c r="N94" i="17" s="1"/>
  <c r="AB79" i="17"/>
  <c r="AD79" i="17" s="1"/>
  <c r="R17" i="17"/>
  <c r="T79" i="17"/>
  <c r="V79" i="17" s="1"/>
  <c r="AV79" i="17"/>
  <c r="R75" i="17"/>
  <c r="P79" i="17"/>
  <c r="R79" i="17" s="1"/>
  <c r="P94" i="17"/>
  <c r="R91" i="17"/>
  <c r="AR79" i="17"/>
  <c r="AT79" i="17" s="1"/>
  <c r="N75" i="17"/>
  <c r="L79" i="17"/>
  <c r="R14" i="17"/>
  <c r="P72" i="17"/>
  <c r="R69" i="17"/>
  <c r="AN79" i="17"/>
  <c r="AP79" i="17" s="1"/>
  <c r="AA81" i="14"/>
  <c r="BG81" i="14"/>
  <c r="BG83" i="14" s="1"/>
  <c r="BG84" i="14" s="1"/>
  <c r="P46" i="15"/>
  <c r="CH46" i="15" s="1"/>
  <c r="E66" i="14"/>
  <c r="G63" i="14"/>
  <c r="I63" i="14" s="1"/>
  <c r="K63" i="14" s="1"/>
  <c r="M63" i="14" s="1"/>
  <c r="AM81" i="14"/>
  <c r="AM83" i="14" s="1"/>
  <c r="AE81" i="14"/>
  <c r="AG81" i="14" s="1"/>
  <c r="W81" i="14"/>
  <c r="BC81" i="14"/>
  <c r="BC83" i="14" s="1"/>
  <c r="BC84" i="14" s="1"/>
  <c r="AQ81" i="14"/>
  <c r="AQ83" i="14" s="1"/>
  <c r="BL79" i="14" a="1"/>
  <c r="E79" i="14"/>
  <c r="O34" i="14"/>
  <c r="P35" i="14"/>
  <c r="P41" i="14" s="1"/>
  <c r="AU81" i="14"/>
  <c r="AU83" i="14" s="1"/>
  <c r="AI81" i="14"/>
  <c r="S81" i="14"/>
  <c r="U81" i="14" s="1"/>
  <c r="U66" i="14"/>
  <c r="BL66" i="14" s="1" a="1"/>
  <c r="AY81" i="14"/>
  <c r="AY83" i="14" s="1"/>
  <c r="AQ81" i="15"/>
  <c r="AJ48" i="17"/>
  <c r="AL48" i="17" s="1"/>
  <c r="AA34" i="15"/>
  <c r="X48" i="17"/>
  <c r="Z48" i="17" s="1"/>
  <c r="E95" i="15"/>
  <c r="AN58" i="17"/>
  <c r="AP58" i="17" s="1"/>
  <c r="J62" i="17"/>
  <c r="J17" i="17"/>
  <c r="L72" i="17"/>
  <c r="N72" i="17" s="1"/>
  <c r="AB66" i="17"/>
  <c r="AD66" i="17" s="1"/>
  <c r="AJ58" i="17"/>
  <c r="AL58" i="17" s="1"/>
  <c r="I34" i="17"/>
  <c r="H26" i="17"/>
  <c r="J26" i="17" s="1"/>
  <c r="Q31" i="15"/>
  <c r="Q28" i="15"/>
  <c r="G21" i="23"/>
  <c r="S35" i="14"/>
  <c r="U35" i="14" s="1"/>
  <c r="U11" i="14"/>
  <c r="K23" i="24"/>
  <c r="Q27" i="15"/>
  <c r="AE81" i="15"/>
  <c r="AG81" i="15" s="1"/>
  <c r="AM48" i="15"/>
  <c r="AM81" i="15" s="1"/>
  <c r="E66" i="15"/>
  <c r="E29" i="15"/>
  <c r="AN48" i="17"/>
  <c r="AP48" i="17" s="1"/>
  <c r="AI48" i="15"/>
  <c r="AV66" i="17"/>
  <c r="P66" i="17"/>
  <c r="R66" i="17" s="1"/>
  <c r="E31" i="15"/>
  <c r="O34" i="15"/>
  <c r="O35" i="15" s="1"/>
  <c r="O41" i="15" s="1"/>
  <c r="BC81" i="15"/>
  <c r="AJ66" i="17"/>
  <c r="AL66" i="17" s="1"/>
  <c r="AA81" i="15"/>
  <c r="AC81" i="15" s="1"/>
  <c r="BG81" i="15"/>
  <c r="H28" i="17"/>
  <c r="J28" i="17" s="1"/>
  <c r="X66" i="17"/>
  <c r="Z66" i="17" s="1"/>
  <c r="H30" i="17"/>
  <c r="J30" i="17" s="1"/>
  <c r="AR66" i="17"/>
  <c r="AT66" i="17" s="1"/>
  <c r="AU81" i="15"/>
  <c r="E79" i="15"/>
  <c r="AV48" i="17"/>
  <c r="L7" i="23"/>
  <c r="L21" i="23" s="1"/>
  <c r="AI34" i="15"/>
  <c r="E40" i="15"/>
  <c r="H79" i="17"/>
  <c r="J79" i="17" s="1"/>
  <c r="AV58" i="17"/>
  <c r="P58" i="17"/>
  <c r="R58" i="17" s="1"/>
  <c r="AB58" i="17"/>
  <c r="AD58" i="17" s="1"/>
  <c r="AF58" i="17"/>
  <c r="AH58" i="17" s="1"/>
  <c r="T66" i="17"/>
  <c r="V66" i="17" s="1"/>
  <c r="AR48" i="17"/>
  <c r="AT48" i="17" s="1"/>
  <c r="Q71" i="15"/>
  <c r="F53" i="17"/>
  <c r="F53" i="3" s="1"/>
  <c r="H53" i="3" s="1"/>
  <c r="J53" i="3" s="1"/>
  <c r="L53" i="3" s="1"/>
  <c r="N53" i="3" s="1"/>
  <c r="AF48" i="17"/>
  <c r="AH48" i="17" s="1"/>
  <c r="J64" i="17"/>
  <c r="H66" i="17"/>
  <c r="H31" i="17"/>
  <c r="J31" i="17" s="1"/>
  <c r="J71" i="17"/>
  <c r="H72" i="17"/>
  <c r="J72" i="17" s="1"/>
  <c r="I66" i="17"/>
  <c r="F21" i="23"/>
  <c r="F64" i="17"/>
  <c r="F64" i="3" s="1"/>
  <c r="H64" i="3" s="1"/>
  <c r="J64" i="3" s="1"/>
  <c r="L64" i="3" s="1"/>
  <c r="N64" i="3" s="1"/>
  <c r="AN66" i="17"/>
  <c r="AP66" i="17" s="1"/>
  <c r="H46" i="17"/>
  <c r="AY48" i="15"/>
  <c r="AY81" i="15" s="1"/>
  <c r="X11" i="17"/>
  <c r="O48" i="15"/>
  <c r="BG34" i="15"/>
  <c r="BG35" i="15" s="1"/>
  <c r="BG41" i="15" s="1"/>
  <c r="AM34" i="15"/>
  <c r="AM35" i="15" s="1"/>
  <c r="AM41" i="15" s="1"/>
  <c r="J70" i="17"/>
  <c r="E26" i="15"/>
  <c r="BC34" i="15"/>
  <c r="BC35" i="15" s="1"/>
  <c r="BC41" i="15" s="1"/>
  <c r="AU34" i="15"/>
  <c r="AU35" i="15" s="1"/>
  <c r="AU41" i="15" s="1"/>
  <c r="F70" i="17"/>
  <c r="F70" i="3" s="1"/>
  <c r="H70" i="3" s="1"/>
  <c r="J70" i="3" s="1"/>
  <c r="L70" i="3" s="1"/>
  <c r="N70" i="3" s="1"/>
  <c r="T58" i="17"/>
  <c r="V58" i="17" s="1"/>
  <c r="AR58" i="17"/>
  <c r="AT58" i="17" s="1"/>
  <c r="X58" i="17"/>
  <c r="Z58" i="17" s="1"/>
  <c r="AF66" i="17"/>
  <c r="AH66" i="17" s="1"/>
  <c r="F69" i="17"/>
  <c r="F69" i="3" s="1"/>
  <c r="H69" i="3" s="1"/>
  <c r="AB48" i="17"/>
  <c r="AD48" i="17" s="1"/>
  <c r="AE34" i="15"/>
  <c r="AF11" i="17"/>
  <c r="AH11" i="17" s="1"/>
  <c r="AY34" i="15"/>
  <c r="F77" i="17"/>
  <c r="F77" i="3" s="1"/>
  <c r="H77" i="3" s="1"/>
  <c r="J77" i="3" s="1"/>
  <c r="L77" i="3" s="1"/>
  <c r="N77" i="3" s="1"/>
  <c r="F75" i="17"/>
  <c r="F75" i="3" s="1"/>
  <c r="E46" i="15"/>
  <c r="E48" i="15" s="1"/>
  <c r="P89" i="15"/>
  <c r="E58" i="15"/>
  <c r="E72" i="15"/>
  <c r="M21" i="24"/>
  <c r="R23" i="24"/>
  <c r="J23" i="24"/>
  <c r="Q94" i="14"/>
  <c r="P21" i="24"/>
  <c r="P23" i="24"/>
  <c r="N21" i="24"/>
  <c r="Q21" i="24"/>
  <c r="W11" i="24"/>
  <c r="AA11" i="24" s="1"/>
  <c r="I18" i="14"/>
  <c r="K18" i="14" s="1"/>
  <c r="G30" i="14"/>
  <c r="K53" i="14"/>
  <c r="I54" i="14"/>
  <c r="K54" i="14" s="1"/>
  <c r="M54" i="14" s="1"/>
  <c r="G58" i="14"/>
  <c r="F63" i="17"/>
  <c r="F63" i="3" s="1"/>
  <c r="F62" i="17"/>
  <c r="F62" i="3" s="1"/>
  <c r="H62" i="3" s="1"/>
  <c r="J62" i="3" s="1"/>
  <c r="L62" i="3" s="1"/>
  <c r="Q26" i="15"/>
  <c r="P11" i="15"/>
  <c r="F65" i="17"/>
  <c r="F65" i="3" s="1"/>
  <c r="H65" i="3" s="1"/>
  <c r="J65" i="3" s="1"/>
  <c r="L65" i="3" s="1"/>
  <c r="N65" i="3" s="1"/>
  <c r="E58" i="14"/>
  <c r="BL72" i="14" a="1"/>
  <c r="BL58" i="14" a="1"/>
  <c r="F47" i="17"/>
  <c r="F47" i="3" s="1"/>
  <c r="H47" i="3" s="1"/>
  <c r="J47" i="3" s="1"/>
  <c r="L47" i="3" s="1"/>
  <c r="N47" i="3" s="1"/>
  <c r="F52" i="17"/>
  <c r="F52" i="3" s="1"/>
  <c r="H52" i="3" s="1"/>
  <c r="J52" i="3" s="1"/>
  <c r="E31" i="14"/>
  <c r="Q54" i="15"/>
  <c r="BK54" i="15" s="1" a="1"/>
  <c r="P79" i="15"/>
  <c r="O81" i="14"/>
  <c r="H27" i="17"/>
  <c r="K62" i="14"/>
  <c r="F54" i="17"/>
  <c r="F54" i="3" s="1"/>
  <c r="H54" i="3" s="1"/>
  <c r="J54" i="3" s="1"/>
  <c r="L54" i="3" s="1"/>
  <c r="N54" i="3" s="1"/>
  <c r="E29" i="14"/>
  <c r="P94" i="15"/>
  <c r="H58" i="17"/>
  <c r="J58" i="17" s="1"/>
  <c r="G7" i="24"/>
  <c r="W6" i="24" s="1"/>
  <c r="AA6" i="24" s="1"/>
  <c r="Q56" i="15"/>
  <c r="BK56" i="15" s="1" a="1"/>
  <c r="P72" i="15"/>
  <c r="I17" i="14"/>
  <c r="T72" i="17"/>
  <c r="V72" i="17" s="1"/>
  <c r="F57" i="17"/>
  <c r="F57" i="3" s="1"/>
  <c r="H57" i="3" s="1"/>
  <c r="J57" i="3" s="1"/>
  <c r="L57" i="3" s="1"/>
  <c r="N57" i="3" s="1"/>
  <c r="F56" i="17"/>
  <c r="F56" i="3" s="1"/>
  <c r="H56" i="3" s="1"/>
  <c r="J56" i="3" s="1"/>
  <c r="L56" i="3" s="1"/>
  <c r="N56" i="3" s="1"/>
  <c r="F76" i="17"/>
  <c r="F76" i="3" s="1"/>
  <c r="H76" i="3" s="1"/>
  <c r="J76" i="3" s="1"/>
  <c r="L76" i="3" s="1"/>
  <c r="N76" i="3" s="1"/>
  <c r="F91" i="17"/>
  <c r="E23" i="14"/>
  <c r="G23" i="14" s="1"/>
  <c r="I23" i="14" s="1"/>
  <c r="K23" i="14" s="1"/>
  <c r="M23" i="14" s="1"/>
  <c r="F33" i="17"/>
  <c r="F33" i="3" s="1"/>
  <c r="H33" i="3" s="1"/>
  <c r="J33" i="3" s="1"/>
  <c r="L33" i="3" s="1"/>
  <c r="N33" i="3" s="1"/>
  <c r="H94" i="17"/>
  <c r="J94" i="17" s="1"/>
  <c r="F78" i="17"/>
  <c r="F78" i="3" s="1"/>
  <c r="H78" i="3" s="1"/>
  <c r="J78" i="3" s="1"/>
  <c r="L78" i="3" s="1"/>
  <c r="N78" i="3" s="1"/>
  <c r="G22" i="24"/>
  <c r="R21" i="24"/>
  <c r="H23" i="24"/>
  <c r="L21" i="24"/>
  <c r="M23" i="24"/>
  <c r="F39" i="17"/>
  <c r="F39" i="3" s="1"/>
  <c r="Q23" i="24"/>
  <c r="I23" i="24"/>
  <c r="G31" i="14"/>
  <c r="I22" i="14"/>
  <c r="N23" i="24"/>
  <c r="G23" i="24"/>
  <c r="J21" i="24"/>
  <c r="O23" i="24"/>
  <c r="I21" i="24"/>
  <c r="O21" i="24"/>
  <c r="H21" i="24"/>
  <c r="H27" i="24" s="1"/>
  <c r="L23" i="24"/>
  <c r="K21" i="24"/>
  <c r="I16" i="14"/>
  <c r="G28" i="14"/>
  <c r="AR11" i="17"/>
  <c r="AT11" i="17" s="1"/>
  <c r="AN11" i="17"/>
  <c r="AP11" i="17" s="1"/>
  <c r="F15" i="17"/>
  <c r="F15" i="3" s="1"/>
  <c r="H15" i="3" s="1"/>
  <c r="J15" i="3" s="1"/>
  <c r="F22" i="17"/>
  <c r="F22" i="3" s="1"/>
  <c r="H22" i="3" s="1"/>
  <c r="H31" i="3" s="1"/>
  <c r="I14" i="14"/>
  <c r="AV11" i="17"/>
  <c r="AJ11" i="17"/>
  <c r="AL11" i="17" s="1"/>
  <c r="I15" i="14"/>
  <c r="T11" i="17"/>
  <c r="V11" i="17" s="1"/>
  <c r="F16" i="17"/>
  <c r="F16" i="3" s="1"/>
  <c r="H16" i="3" s="1"/>
  <c r="H28" i="3" s="1"/>
  <c r="E27" i="15"/>
  <c r="W34" i="15"/>
  <c r="J12" i="23"/>
  <c r="J23" i="23" s="1"/>
  <c r="AQ34" i="15"/>
  <c r="AQ35" i="15" s="1"/>
  <c r="AQ41" i="15" s="1"/>
  <c r="F18" i="17"/>
  <c r="F18" i="3" s="1"/>
  <c r="H18" i="3" s="1"/>
  <c r="H30" i="3" s="1"/>
  <c r="P11" i="17"/>
  <c r="E30" i="15"/>
  <c r="G23" i="23"/>
  <c r="E28" i="15"/>
  <c r="E11" i="15"/>
  <c r="AB11" i="17"/>
  <c r="AD11" i="17" s="1"/>
  <c r="F22" i="23"/>
  <c r="L48" i="17"/>
  <c r="N48" i="17" s="1"/>
  <c r="L58" i="17"/>
  <c r="N58" i="17" s="1"/>
  <c r="F17" i="17"/>
  <c r="F17" i="3" s="1"/>
  <c r="H17" i="3" s="1"/>
  <c r="H29" i="3" s="1"/>
  <c r="V6" i="23"/>
  <c r="Z6" i="23" s="1"/>
  <c r="F14" i="17"/>
  <c r="F14" i="3" s="1"/>
  <c r="H14" i="3" s="1"/>
  <c r="I23" i="23"/>
  <c r="F55" i="17"/>
  <c r="F55" i="3" s="1"/>
  <c r="H55" i="3" s="1"/>
  <c r="J55" i="3" s="1"/>
  <c r="L55" i="3" s="1"/>
  <c r="N55" i="3" s="1"/>
  <c r="L11" i="17"/>
  <c r="N11" i="17" s="1"/>
  <c r="L66" i="17"/>
  <c r="N66" i="17" s="1"/>
  <c r="BL48" i="14" l="1"/>
  <c r="BL26" i="14"/>
  <c r="BL33" i="14"/>
  <c r="BL57" i="14"/>
  <c r="BL31" i="14"/>
  <c r="BL29" i="14"/>
  <c r="BL46" i="14"/>
  <c r="BL28" i="14"/>
  <c r="BK57" i="15"/>
  <c r="BL79" i="14"/>
  <c r="BL66" i="14"/>
  <c r="BK55" i="15"/>
  <c r="BK54" i="15"/>
  <c r="BL72" i="14"/>
  <c r="BK56" i="15"/>
  <c r="BL58" i="14"/>
  <c r="BL23" i="14"/>
  <c r="BK53" i="15"/>
  <c r="R27" i="17"/>
  <c r="AM84" i="14"/>
  <c r="AO83" i="14"/>
  <c r="R72" i="17"/>
  <c r="AF34" i="17"/>
  <c r="AH34" i="17" s="1"/>
  <c r="AH30" i="17"/>
  <c r="BI23" i="17"/>
  <c r="R94" i="17"/>
  <c r="BI94" i="17"/>
  <c r="BI31" i="17"/>
  <c r="BI29" i="17"/>
  <c r="AQ84" i="14"/>
  <c r="AS83" i="14"/>
  <c r="AU84" i="14"/>
  <c r="AW83" i="14"/>
  <c r="AY35" i="15"/>
  <c r="BA34" i="15"/>
  <c r="AY84" i="14"/>
  <c r="BA83" i="14"/>
  <c r="Q11" i="14"/>
  <c r="AI35" i="15"/>
  <c r="AK34" i="15"/>
  <c r="AI81" i="15"/>
  <c r="AK81" i="15" s="1"/>
  <c r="AK48" i="15"/>
  <c r="AI83" i="14"/>
  <c r="AI98" i="14" s="1"/>
  <c r="AK81" i="14"/>
  <c r="J23" i="17"/>
  <c r="H11" i="17"/>
  <c r="F23" i="17"/>
  <c r="F23" i="3" s="1"/>
  <c r="H23" i="3" s="1"/>
  <c r="J23" i="3" s="1"/>
  <c r="L23" i="3" s="1"/>
  <c r="N23" i="3" s="1"/>
  <c r="I69" i="14"/>
  <c r="P81" i="14"/>
  <c r="AN34" i="17"/>
  <c r="I81" i="17"/>
  <c r="BH81" i="17" s="1"/>
  <c r="O35" i="14"/>
  <c r="O36" i="14" s="1"/>
  <c r="BI28" i="17"/>
  <c r="BI26" i="17"/>
  <c r="J40" i="17"/>
  <c r="BI40" i="17"/>
  <c r="P34" i="15"/>
  <c r="Q33" i="15"/>
  <c r="R31" i="17"/>
  <c r="R30" i="17"/>
  <c r="BI30" i="17"/>
  <c r="AJ34" i="17"/>
  <c r="X34" i="17"/>
  <c r="Z34" i="17" s="1"/>
  <c r="Z31" i="17"/>
  <c r="Z27" i="17"/>
  <c r="BI27" i="17"/>
  <c r="AE35" i="15"/>
  <c r="CG35" i="15"/>
  <c r="CG41" i="15" s="1"/>
  <c r="AG34" i="15"/>
  <c r="Z11" i="17"/>
  <c r="AE41" i="14"/>
  <c r="AG41" i="14" s="1"/>
  <c r="BL40" i="14" s="1" a="1"/>
  <c r="AG35" i="14"/>
  <c r="V11" i="23"/>
  <c r="Z11" i="23" s="1"/>
  <c r="Z21" i="23" s="1"/>
  <c r="AB34" i="17"/>
  <c r="BI62" i="17"/>
  <c r="Q64" i="15"/>
  <c r="CI62" i="15"/>
  <c r="Q40" i="15"/>
  <c r="BK40" i="15" s="1" a="1"/>
  <c r="CI40" i="15"/>
  <c r="AR34" i="17"/>
  <c r="CI26" i="15"/>
  <c r="CI29" i="15"/>
  <c r="AV34" i="17"/>
  <c r="AV35" i="17" s="1"/>
  <c r="AV41" i="17" s="1"/>
  <c r="Q89" i="15"/>
  <c r="T34" i="17"/>
  <c r="V34" i="17" s="1"/>
  <c r="F40" i="17"/>
  <c r="F40" i="3" s="1"/>
  <c r="H40" i="3" s="1"/>
  <c r="J40" i="3" s="1"/>
  <c r="L40" i="3" s="1"/>
  <c r="N40" i="3" s="1"/>
  <c r="AA41" i="14"/>
  <c r="AC41" i="14" s="1"/>
  <c r="AC35" i="14"/>
  <c r="AC81" i="14"/>
  <c r="Q94" i="15"/>
  <c r="CI30" i="15"/>
  <c r="BH66" i="17"/>
  <c r="BI64" i="17"/>
  <c r="BI52" i="17"/>
  <c r="CI31" i="15"/>
  <c r="P58" i="15"/>
  <c r="Q58" i="15" s="1"/>
  <c r="BK58" i="15" s="1" a="1"/>
  <c r="P66" i="15"/>
  <c r="Q66" i="15" s="1"/>
  <c r="I35" i="17"/>
  <c r="I41" i="17" s="1"/>
  <c r="I83" i="17" s="1"/>
  <c r="I96" i="17" s="1"/>
  <c r="BH35" i="17"/>
  <c r="BH41" i="17" s="1"/>
  <c r="BH83" i="17" s="1"/>
  <c r="Y34" i="15"/>
  <c r="AA35" i="15"/>
  <c r="AC34" i="15"/>
  <c r="Y35" i="14"/>
  <c r="Q62" i="15"/>
  <c r="CI33" i="15"/>
  <c r="CJ46" i="14"/>
  <c r="CI48" i="14"/>
  <c r="CJ48" i="14" s="1"/>
  <c r="BI46" i="17"/>
  <c r="BG48" i="17"/>
  <c r="BI48" i="17" s="1"/>
  <c r="BG58" i="17"/>
  <c r="BI58" i="17" s="1"/>
  <c r="BI53" i="17"/>
  <c r="R26" i="17"/>
  <c r="BI75" i="17"/>
  <c r="BG79" i="17"/>
  <c r="BI79" i="17" s="1"/>
  <c r="R29" i="17"/>
  <c r="CI53" i="15"/>
  <c r="Q52" i="15"/>
  <c r="BK52" i="15" s="1" a="1"/>
  <c r="CI52" i="15"/>
  <c r="CI94" i="15"/>
  <c r="CI91" i="15"/>
  <c r="CI11" i="15"/>
  <c r="R28" i="17"/>
  <c r="CI69" i="15"/>
  <c r="CH72" i="15"/>
  <c r="CI72" i="15" s="1"/>
  <c r="CH79" i="15"/>
  <c r="CI79" i="15" s="1"/>
  <c r="CI75" i="15"/>
  <c r="BI72" i="17"/>
  <c r="BI69" i="17"/>
  <c r="R11" i="17"/>
  <c r="P48" i="15"/>
  <c r="BG66" i="17"/>
  <c r="Q35" i="14"/>
  <c r="K75" i="14"/>
  <c r="I79" i="14"/>
  <c r="AQ83" i="15"/>
  <c r="BG83" i="15"/>
  <c r="BC98" i="14"/>
  <c r="BC96" i="14"/>
  <c r="AM98" i="14"/>
  <c r="AM96" i="14"/>
  <c r="AO96" i="14" s="1"/>
  <c r="BG98" i="14"/>
  <c r="BG96" i="14"/>
  <c r="AQ98" i="14"/>
  <c r="AQ96" i="14"/>
  <c r="AS96" i="14" s="1"/>
  <c r="AU98" i="14"/>
  <c r="AU96" i="14"/>
  <c r="AW96" i="14" s="1"/>
  <c r="AY98" i="14"/>
  <c r="AY96" i="14"/>
  <c r="BA96" i="14" s="1"/>
  <c r="AA21" i="24"/>
  <c r="I66" i="14"/>
  <c r="G66" i="14"/>
  <c r="P36" i="14"/>
  <c r="W81" i="15"/>
  <c r="Q46" i="15"/>
  <c r="BK46" i="15" s="1" a="1"/>
  <c r="P48" i="17"/>
  <c r="R48" i="17" s="1"/>
  <c r="R46" i="17"/>
  <c r="P34" i="17"/>
  <c r="J27" i="24"/>
  <c r="M27" i="24"/>
  <c r="G34" i="14"/>
  <c r="Q81" i="14"/>
  <c r="W83" i="14"/>
  <c r="W84" i="14" s="1"/>
  <c r="Y81" i="14"/>
  <c r="K27" i="24"/>
  <c r="E11" i="14"/>
  <c r="I30" i="14"/>
  <c r="Q34" i="14"/>
  <c r="BL34" i="14" s="1" a="1"/>
  <c r="E34" i="14"/>
  <c r="E81" i="14"/>
  <c r="I58" i="14"/>
  <c r="F46" i="17"/>
  <c r="F46" i="3" s="1"/>
  <c r="F48" i="3" s="1"/>
  <c r="BC83" i="15"/>
  <c r="F79" i="17"/>
  <c r="F28" i="17"/>
  <c r="F28" i="3" s="1"/>
  <c r="J66" i="17"/>
  <c r="G27" i="23"/>
  <c r="R27" i="24"/>
  <c r="S41" i="14"/>
  <c r="U41" i="14" s="1"/>
  <c r="Q27" i="24"/>
  <c r="P27" i="24"/>
  <c r="M27" i="23"/>
  <c r="AF35" i="17"/>
  <c r="AU83" i="15"/>
  <c r="I27" i="23"/>
  <c r="E81" i="15"/>
  <c r="AM83" i="15"/>
  <c r="L27" i="23"/>
  <c r="F72" i="3"/>
  <c r="F26" i="17"/>
  <c r="F26" i="3" s="1"/>
  <c r="F72" i="17"/>
  <c r="J46" i="17"/>
  <c r="H48" i="17"/>
  <c r="O81" i="15"/>
  <c r="O83" i="15" s="1"/>
  <c r="J18" i="3"/>
  <c r="L18" i="3" s="1"/>
  <c r="J22" i="3"/>
  <c r="L22" i="3" s="1"/>
  <c r="O27" i="23"/>
  <c r="Q27" i="23"/>
  <c r="F66" i="17"/>
  <c r="N27" i="24"/>
  <c r="S83" i="14"/>
  <c r="L27" i="24"/>
  <c r="G21" i="24"/>
  <c r="G27" i="24" s="1"/>
  <c r="P27" i="23"/>
  <c r="J27" i="17"/>
  <c r="H34" i="17"/>
  <c r="J34" i="17" s="1"/>
  <c r="M53" i="14"/>
  <c r="M58" i="14" s="1"/>
  <c r="K58" i="14"/>
  <c r="M62" i="14"/>
  <c r="M66" i="14" s="1"/>
  <c r="K66" i="14"/>
  <c r="K27" i="23"/>
  <c r="F94" i="17"/>
  <c r="F79" i="3"/>
  <c r="F80" i="3" s="1"/>
  <c r="I29" i="14"/>
  <c r="K17" i="14"/>
  <c r="J11" i="17"/>
  <c r="P42" i="14"/>
  <c r="Q72" i="15"/>
  <c r="Q79" i="15"/>
  <c r="I72" i="14"/>
  <c r="K69" i="14"/>
  <c r="F58" i="17"/>
  <c r="G11" i="14"/>
  <c r="Q11" i="15"/>
  <c r="I27" i="24"/>
  <c r="O27" i="24"/>
  <c r="K22" i="14"/>
  <c r="I31" i="14"/>
  <c r="L15" i="3"/>
  <c r="N15" i="3" s="1"/>
  <c r="N27" i="3" s="1"/>
  <c r="J27" i="3"/>
  <c r="F30" i="17"/>
  <c r="F30" i="3" s="1"/>
  <c r="I11" i="14"/>
  <c r="K14" i="14"/>
  <c r="I26" i="14"/>
  <c r="K30" i="14"/>
  <c r="M18" i="14"/>
  <c r="M30" i="14" s="1"/>
  <c r="F11" i="3"/>
  <c r="J17" i="3"/>
  <c r="J29" i="3" s="1"/>
  <c r="H27" i="3"/>
  <c r="K15" i="14"/>
  <c r="I27" i="14"/>
  <c r="J16" i="3"/>
  <c r="L16" i="3" s="1"/>
  <c r="K16" i="14"/>
  <c r="I28" i="14"/>
  <c r="N27" i="23"/>
  <c r="F11" i="17"/>
  <c r="H27" i="23"/>
  <c r="E34" i="15"/>
  <c r="E35" i="15" s="1"/>
  <c r="W35" i="15"/>
  <c r="Y35" i="15" s="1"/>
  <c r="J27" i="23"/>
  <c r="F29" i="17"/>
  <c r="F29" i="3" s="1"/>
  <c r="F27" i="23"/>
  <c r="F27" i="17"/>
  <c r="F27" i="3" s="1"/>
  <c r="H58" i="3"/>
  <c r="F58" i="3"/>
  <c r="F66" i="3"/>
  <c r="H63" i="3"/>
  <c r="H72" i="3"/>
  <c r="J69" i="3"/>
  <c r="N62" i="3"/>
  <c r="L52" i="3"/>
  <c r="J58" i="3"/>
  <c r="F31" i="17"/>
  <c r="F31" i="3" s="1"/>
  <c r="L34" i="17"/>
  <c r="N34" i="17" s="1"/>
  <c r="H26" i="3"/>
  <c r="J14" i="3"/>
  <c r="H75" i="3"/>
  <c r="BL40" i="14" l="1"/>
  <c r="BK52" i="15"/>
  <c r="BK40" i="15"/>
  <c r="BK58" i="15"/>
  <c r="BK46" i="15"/>
  <c r="BL34" i="14"/>
  <c r="I98" i="17"/>
  <c r="I97" i="17"/>
  <c r="AN35" i="17"/>
  <c r="AP34" i="17"/>
  <c r="AJ35" i="17"/>
  <c r="AL34" i="17"/>
  <c r="AF41" i="17"/>
  <c r="AH41" i="17" s="1"/>
  <c r="AH35" i="17"/>
  <c r="AR35" i="17"/>
  <c r="AT34" i="17"/>
  <c r="BG35" i="17"/>
  <c r="AI96" i="14"/>
  <c r="AK96" i="14" s="1"/>
  <c r="AY41" i="15"/>
  <c r="BA35" i="15"/>
  <c r="AI41" i="15"/>
  <c r="AK35" i="15"/>
  <c r="AB35" i="17"/>
  <c r="AD34" i="17"/>
  <c r="AI84" i="14"/>
  <c r="AK83" i="14"/>
  <c r="O41" i="14"/>
  <c r="H11" i="3"/>
  <c r="P83" i="14"/>
  <c r="P84" i="14" s="1"/>
  <c r="CH35" i="14"/>
  <c r="CH41" i="14" s="1"/>
  <c r="CH83" i="14" s="1"/>
  <c r="CH84" i="14" s="1"/>
  <c r="CJ81" i="14"/>
  <c r="CH35" i="15"/>
  <c r="Q34" i="15"/>
  <c r="BI34" i="17"/>
  <c r="P35" i="15"/>
  <c r="P41" i="15" s="1"/>
  <c r="X35" i="17"/>
  <c r="X41" i="17" s="1"/>
  <c r="Z41" i="17" s="1"/>
  <c r="AE83" i="14"/>
  <c r="AE84" i="14" s="1"/>
  <c r="AE41" i="15"/>
  <c r="AG35" i="15"/>
  <c r="CH66" i="15"/>
  <c r="CI66" i="15" s="1"/>
  <c r="BI66" i="17"/>
  <c r="T35" i="17"/>
  <c r="T41" i="17" s="1"/>
  <c r="V41" i="17" s="1"/>
  <c r="AA83" i="14"/>
  <c r="AA96" i="14" s="1"/>
  <c r="AA98" i="14" s="1"/>
  <c r="CJ34" i="14"/>
  <c r="P81" i="15"/>
  <c r="U83" i="14"/>
  <c r="S84" i="14"/>
  <c r="CI64" i="15"/>
  <c r="BL35" i="14" a="1"/>
  <c r="BH84" i="17"/>
  <c r="BH96" i="17"/>
  <c r="BH98" i="17" s="1"/>
  <c r="CG83" i="15"/>
  <c r="CG98" i="15" s="1"/>
  <c r="AA41" i="15"/>
  <c r="AC35" i="15"/>
  <c r="CH58" i="15"/>
  <c r="CI58" i="15" s="1"/>
  <c r="CI83" i="14"/>
  <c r="Q48" i="15"/>
  <c r="BK48" i="15" s="1" a="1"/>
  <c r="BI11" i="17"/>
  <c r="R34" i="17"/>
  <c r="CI46" i="15"/>
  <c r="CH48" i="15"/>
  <c r="I84" i="17"/>
  <c r="M75" i="14"/>
  <c r="M79" i="14" s="1"/>
  <c r="K79" i="14"/>
  <c r="AU84" i="15"/>
  <c r="AU96" i="15"/>
  <c r="AM84" i="15"/>
  <c r="AM96" i="15"/>
  <c r="Y81" i="15"/>
  <c r="P81" i="17"/>
  <c r="BG84" i="15"/>
  <c r="BG96" i="15"/>
  <c r="AQ84" i="15"/>
  <c r="AQ96" i="15"/>
  <c r="BC84" i="15"/>
  <c r="BC96" i="15"/>
  <c r="G35" i="14"/>
  <c r="G46" i="14" s="1"/>
  <c r="G48" i="14" s="1"/>
  <c r="P35" i="17"/>
  <c r="P41" i="17" s="1"/>
  <c r="R41" i="17" s="1"/>
  <c r="E35" i="14"/>
  <c r="E41" i="14" s="1"/>
  <c r="E83" i="14" s="1"/>
  <c r="E84" i="14" s="1"/>
  <c r="H46" i="3"/>
  <c r="H48" i="3" s="1"/>
  <c r="W96" i="14"/>
  <c r="Y83" i="14"/>
  <c r="H35" i="17"/>
  <c r="J35" i="17" s="1"/>
  <c r="S96" i="14"/>
  <c r="L17" i="3"/>
  <c r="N17" i="3" s="1"/>
  <c r="N29" i="3" s="1"/>
  <c r="J30" i="3"/>
  <c r="O84" i="15"/>
  <c r="O96" i="15"/>
  <c r="J31" i="3"/>
  <c r="J28" i="3"/>
  <c r="L27" i="3"/>
  <c r="J48" i="17"/>
  <c r="F48" i="17" s="1"/>
  <c r="F81" i="17" s="1"/>
  <c r="H81" i="17"/>
  <c r="J81" i="17" s="1"/>
  <c r="O42" i="14"/>
  <c r="O83" i="14"/>
  <c r="O84" i="14" s="1"/>
  <c r="Q41" i="14"/>
  <c r="BL41" i="14" s="1" a="1"/>
  <c r="K72" i="14"/>
  <c r="M69" i="14"/>
  <c r="M72" i="14" s="1"/>
  <c r="M17" i="14"/>
  <c r="M29" i="14" s="1"/>
  <c r="K29" i="14"/>
  <c r="P96" i="14"/>
  <c r="P98" i="14" s="1"/>
  <c r="M22" i="14"/>
  <c r="M31" i="14" s="1"/>
  <c r="K31" i="14"/>
  <c r="I34" i="14"/>
  <c r="I35" i="14" s="1"/>
  <c r="I46" i="14" s="1"/>
  <c r="I48" i="14" s="1"/>
  <c r="M15" i="14"/>
  <c r="M27" i="14" s="1"/>
  <c r="K27" i="14"/>
  <c r="M14" i="14"/>
  <c r="K26" i="14"/>
  <c r="K11" i="14"/>
  <c r="M16" i="14"/>
  <c r="M28" i="14" s="1"/>
  <c r="K28" i="14"/>
  <c r="H34" i="3"/>
  <c r="E36" i="15"/>
  <c r="E41" i="15"/>
  <c r="F34" i="3"/>
  <c r="F35" i="3" s="1"/>
  <c r="F41" i="3" s="1"/>
  <c r="F82" i="3" s="1"/>
  <c r="W41" i="15"/>
  <c r="Y41" i="15" s="1"/>
  <c r="H80" i="3"/>
  <c r="J75" i="3"/>
  <c r="N52" i="3"/>
  <c r="N58" i="3" s="1"/>
  <c r="L58" i="3"/>
  <c r="L30" i="3"/>
  <c r="N18" i="3"/>
  <c r="N30" i="3" s="1"/>
  <c r="N22" i="3"/>
  <c r="N31" i="3" s="1"/>
  <c r="L31" i="3"/>
  <c r="F34" i="17"/>
  <c r="F35" i="17" s="1"/>
  <c r="F41" i="17" s="1"/>
  <c r="L35" i="17"/>
  <c r="N16" i="3"/>
  <c r="N28" i="3" s="1"/>
  <c r="L28" i="3"/>
  <c r="L14" i="3"/>
  <c r="J11" i="3"/>
  <c r="J26" i="3"/>
  <c r="L69" i="3"/>
  <c r="J72" i="3"/>
  <c r="J63" i="3"/>
  <c r="H66" i="3"/>
  <c r="BK48" i="15" l="1"/>
  <c r="BL35" i="14"/>
  <c r="BL41" i="14"/>
  <c r="CI84" i="14"/>
  <c r="CI96" i="14"/>
  <c r="CI98" i="14" s="1"/>
  <c r="CJ41" i="14"/>
  <c r="AR41" i="17"/>
  <c r="AT41" i="17" s="1"/>
  <c r="AT35" i="17"/>
  <c r="AJ41" i="17"/>
  <c r="AL41" i="17" s="1"/>
  <c r="AL35" i="17"/>
  <c r="AN41" i="17"/>
  <c r="AP41" i="17" s="1"/>
  <c r="AP35" i="17"/>
  <c r="BA41" i="15"/>
  <c r="AY83" i="15"/>
  <c r="CI48" i="15"/>
  <c r="CH81" i="15"/>
  <c r="CI81" i="15" s="1"/>
  <c r="CJ35" i="14"/>
  <c r="AK41" i="15"/>
  <c r="AI83" i="15"/>
  <c r="H35" i="3"/>
  <c r="H41" i="3" s="1"/>
  <c r="AB41" i="17"/>
  <c r="AD41" i="17" s="1"/>
  <c r="AD35" i="17"/>
  <c r="CI34" i="15"/>
  <c r="AG83" i="14"/>
  <c r="CI35" i="15"/>
  <c r="CH41" i="15"/>
  <c r="Q35" i="15"/>
  <c r="Z35" i="17"/>
  <c r="Q81" i="15"/>
  <c r="AC96" i="14"/>
  <c r="AA84" i="14"/>
  <c r="AC83" i="14"/>
  <c r="AE98" i="14"/>
  <c r="AE96" i="14"/>
  <c r="AG96" i="14" s="1"/>
  <c r="AG41" i="15"/>
  <c r="AE83" i="15"/>
  <c r="V35" i="17"/>
  <c r="U96" i="14"/>
  <c r="S98" i="14"/>
  <c r="Y96" i="14"/>
  <c r="W98" i="14"/>
  <c r="AA83" i="15"/>
  <c r="AA96" i="15" s="1"/>
  <c r="AC96" i="15" s="1"/>
  <c r="AC41" i="15"/>
  <c r="CG84" i="15"/>
  <c r="CG96" i="15"/>
  <c r="CJ83" i="14"/>
  <c r="CH96" i="14"/>
  <c r="CH98" i="14" s="1"/>
  <c r="E42" i="14"/>
  <c r="E36" i="14"/>
  <c r="J46" i="3"/>
  <c r="L46" i="3" s="1"/>
  <c r="R35" i="17"/>
  <c r="H41" i="17"/>
  <c r="J41" i="17" s="1"/>
  <c r="L29" i="3"/>
  <c r="L41" i="17"/>
  <c r="N41" i="17" s="1"/>
  <c r="N35" i="17"/>
  <c r="J34" i="3"/>
  <c r="J35" i="3" s="1"/>
  <c r="J41" i="3" s="1"/>
  <c r="F83" i="17"/>
  <c r="F96" i="17" s="1"/>
  <c r="K34" i="14"/>
  <c r="K35" i="14" s="1"/>
  <c r="K46" i="14" s="1"/>
  <c r="K48" i="14" s="1"/>
  <c r="O96" i="14"/>
  <c r="Q83" i="14"/>
  <c r="P83" i="15"/>
  <c r="Q41" i="15"/>
  <c r="E98" i="14"/>
  <c r="E96" i="14"/>
  <c r="M11" i="14"/>
  <c r="M26" i="14"/>
  <c r="M34" i="14" s="1"/>
  <c r="W83" i="15"/>
  <c r="E42" i="15"/>
  <c r="E83" i="15"/>
  <c r="E98" i="15" s="1"/>
  <c r="L63" i="3"/>
  <c r="J66" i="3"/>
  <c r="L11" i="3"/>
  <c r="N14" i="3"/>
  <c r="L26" i="3"/>
  <c r="H82" i="3"/>
  <c r="J80" i="3"/>
  <c r="L75" i="3"/>
  <c r="N69" i="3"/>
  <c r="N72" i="3" s="1"/>
  <c r="L72" i="3"/>
  <c r="F87" i="3"/>
  <c r="F84" i="3"/>
  <c r="AY98" i="15" l="1"/>
  <c r="BA83" i="15"/>
  <c r="AY96" i="15"/>
  <c r="BA96" i="15" s="1"/>
  <c r="AY84" i="15"/>
  <c r="CH83" i="15"/>
  <c r="CI83" i="15" s="1"/>
  <c r="AK83" i="15"/>
  <c r="AI84" i="15"/>
  <c r="AI96" i="15"/>
  <c r="AK96" i="15" s="1"/>
  <c r="CI41" i="15"/>
  <c r="BL83" i="14" a="1"/>
  <c r="AG83" i="15"/>
  <c r="AE84" i="15"/>
  <c r="AE96" i="15"/>
  <c r="AG96" i="15" s="1"/>
  <c r="Q96" i="14"/>
  <c r="O98" i="14"/>
  <c r="BK41" i="15" a="1"/>
  <c r="AA84" i="15"/>
  <c r="AC83" i="15"/>
  <c r="CJ96" i="14"/>
  <c r="BG41" i="17"/>
  <c r="BI35" i="17"/>
  <c r="J48" i="3"/>
  <c r="J82" i="3" s="1"/>
  <c r="J84" i="3" s="1"/>
  <c r="W96" i="15"/>
  <c r="Y83" i="15"/>
  <c r="L34" i="3"/>
  <c r="L35" i="3" s="1"/>
  <c r="L41" i="3" s="1"/>
  <c r="H83" i="17"/>
  <c r="J83" i="17" s="1"/>
  <c r="F84" i="17"/>
  <c r="Q83" i="15"/>
  <c r="P96" i="15"/>
  <c r="P84" i="15"/>
  <c r="M35" i="14"/>
  <c r="M46" i="14" s="1"/>
  <c r="M48" i="14" s="1"/>
  <c r="E84" i="15"/>
  <c r="E96" i="15"/>
  <c r="W84" i="15"/>
  <c r="N75" i="3"/>
  <c r="N80" i="3" s="1"/>
  <c r="L80" i="3"/>
  <c r="N63" i="3"/>
  <c r="N66" i="3" s="1"/>
  <c r="L66" i="3"/>
  <c r="H87" i="3"/>
  <c r="H84" i="3"/>
  <c r="N26" i="3"/>
  <c r="N34" i="3" s="1"/>
  <c r="N11" i="3"/>
  <c r="L48" i="3"/>
  <c r="N46" i="3"/>
  <c r="N48" i="3" s="1"/>
  <c r="BL83" i="14" l="1"/>
  <c r="BK41" i="15"/>
  <c r="Y96" i="15"/>
  <c r="W98" i="15"/>
  <c r="P98" i="15"/>
  <c r="AZ97" i="15"/>
  <c r="CH84" i="15"/>
  <c r="CH96" i="15"/>
  <c r="Q96" i="15"/>
  <c r="BI41" i="17"/>
  <c r="H96" i="17"/>
  <c r="H84" i="17"/>
  <c r="L82" i="3"/>
  <c r="N35" i="3"/>
  <c r="N41" i="3" s="1"/>
  <c r="N82" i="3" s="1"/>
  <c r="J96" i="17" l="1"/>
  <c r="H98" i="17"/>
  <c r="CI96" i="15"/>
  <c r="CH98" i="15"/>
  <c r="N84" i="3"/>
  <c r="N87" i="3"/>
  <c r="L87" i="3"/>
  <c r="L84" i="3"/>
  <c r="AR81" i="17"/>
  <c r="AV81" i="17"/>
  <c r="AV83" i="17" s="1"/>
  <c r="AV96" i="17" s="1"/>
  <c r="AX96" i="17" s="1"/>
  <c r="T81" i="17"/>
  <c r="AF81" i="17"/>
  <c r="X81" i="17"/>
  <c r="AJ81" i="17"/>
  <c r="AB81" i="17"/>
  <c r="AN81" i="17"/>
  <c r="P83" i="17"/>
  <c r="P84" i="17" s="1"/>
  <c r="AN83" i="17" l="1"/>
  <c r="AP81" i="17"/>
  <c r="AF83" i="17"/>
  <c r="AH81" i="17"/>
  <c r="AJ83" i="17"/>
  <c r="AL81" i="17"/>
  <c r="AR83" i="17"/>
  <c r="AT81" i="17"/>
  <c r="AB83" i="17"/>
  <c r="AD81" i="17"/>
  <c r="X83" i="17"/>
  <c r="X96" i="17" s="1"/>
  <c r="Z81" i="17"/>
  <c r="T83" i="17"/>
  <c r="T84" i="17" s="1"/>
  <c r="V81" i="17"/>
  <c r="P96" i="17"/>
  <c r="R83" i="17"/>
  <c r="R81" i="17"/>
  <c r="L81" i="17"/>
  <c r="N79" i="17"/>
  <c r="Z96" i="17" l="1"/>
  <c r="X98" i="17"/>
  <c r="AR96" i="17"/>
  <c r="AT96" i="17" s="1"/>
  <c r="AT83" i="17"/>
  <c r="AJ96" i="17"/>
  <c r="AJ84" i="17"/>
  <c r="AL83" i="17"/>
  <c r="R96" i="17"/>
  <c r="P98" i="17"/>
  <c r="AF96" i="17"/>
  <c r="AF84" i="17"/>
  <c r="AH83" i="17"/>
  <c r="AN96" i="17"/>
  <c r="AP83" i="17"/>
  <c r="AB96" i="17"/>
  <c r="AB84" i="17"/>
  <c r="AD83" i="17"/>
  <c r="Z83" i="17"/>
  <c r="X84" i="17"/>
  <c r="T96" i="17"/>
  <c r="V83" i="17"/>
  <c r="L83" i="17"/>
  <c r="N83" i="17" s="1"/>
  <c r="N81" i="17"/>
  <c r="M83" i="14"/>
  <c r="M98" i="14" s="1"/>
  <c r="G83" i="14"/>
  <c r="G98" i="14" s="1"/>
  <c r="I83" i="14"/>
  <c r="I98" i="14" s="1"/>
  <c r="K83" i="14"/>
  <c r="K98" i="14" s="1"/>
  <c r="AJ98" i="17" l="1"/>
  <c r="AL96" i="17"/>
  <c r="AD96" i="17"/>
  <c r="AB98" i="17"/>
  <c r="AP96" i="17"/>
  <c r="AN98" i="17"/>
  <c r="V96" i="17"/>
  <c r="T98" i="17"/>
  <c r="AF98" i="17"/>
  <c r="AH96" i="17"/>
  <c r="L84" i="17"/>
  <c r="L96" i="17"/>
  <c r="BI81" i="17"/>
  <c r="BG83" i="17"/>
  <c r="BG84" i="17" s="1"/>
  <c r="N96" i="17" l="1"/>
  <c r="L98" i="17"/>
  <c r="BG96" i="17"/>
  <c r="BI83" i="17"/>
  <c r="BI96" i="17" l="1"/>
  <c r="BI100" i="17" s="1"/>
  <c r="BG98"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tc={C3BD9345-A4BE-4831-A6AE-608048CC4E5E}</author>
    <author>tc={32A633DC-BC41-4963-B0DC-1E87032FD5F0}</author>
    <author>tc={48BABFCE-0ABB-4E77-BF5E-39B5ABDC4C4B}</author>
    <author>tc={A22E7144-6C4B-4F1C-A032-297D4EC06DD7}</author>
  </authors>
  <commentList>
    <comment ref="I39" authorId="0" shapeId="0" xr:uid="{C3BD9345-A4BE-4831-A6AE-608048CC4E5E}">
      <text>
        <t>[Threaded comment]
Your version of Excel allows you to read this threaded comment; however, any edits to it will get removed if the file is opened in a newer version of Excel. Learn more: https://go.microsoft.com/fwlink/?linkid=870924
Comment:
    Need this broken out</t>
      </text>
    </comment>
    <comment ref="T56" authorId="1" shapeId="0" xr:uid="{32A633DC-BC41-4963-B0DC-1E87032FD5F0}">
      <text>
        <t>[Threaded comment]
Your version of Excel allows you to read this threaded comment; however, any edits to it will get removed if the file is opened in a newer version of Excel. Learn more: https://go.microsoft.com/fwlink/?linkid=870924
Comment:
    Pia monthly increase 4,000</t>
      </text>
    </comment>
    <comment ref="I88" authorId="2" shapeId="0" xr:uid="{48BABFCE-0ABB-4E77-BF5E-39B5ABDC4C4B}">
      <text>
        <t>[Threaded comment]
Your version of Excel allows you to read this threaded comment; however, any edits to it will get removed if the file is opened in a newer version of Excel. Learn more: https://go.microsoft.com/fwlink/?linkid=870924
Comment:
    Settlement IR</t>
      </text>
    </comment>
    <comment ref="M88" authorId="3" shapeId="0" xr:uid="{A22E7144-6C4B-4F1C-A032-297D4EC06DD7}">
      <text>
        <t>[Threaded comment]
Your version of Excel allows you to read this threaded comment; however, any edits to it will get removed if the file is opened in a newer version of Excel. Learn more: https://go.microsoft.com/fwlink/?linkid=870924
Comment:
    Settlement IR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tc={4A6724AC-548D-4444-8E93-E6D553226596}</author>
    <author>tc={838F03CF-A958-47E5-9D77-D397EE043D9E}</author>
    <author>tc={575EC66F-6D11-E447-9A03-5489D6D98932}</author>
    <author>tc={8309D0E8-EDB1-5D49-B47A-4672DA789CA3}</author>
    <author>tc={400B9DBD-BCD0-EB44-B983-2C974E29BC14}</author>
    <author>tc={8DBA41A0-E434-44E3-A20F-3C60E243D11C}</author>
    <author>tc={AE520DD5-1A6C-B347-9A52-326165447454}</author>
    <author>tc={5C4431D3-5918-4624-AB63-B11F3FDF8CE9}</author>
    <author>tc={99D95E54-20EB-F54A-84A0-4752BCDBB94A}</author>
    <author>tc={21AB3B1F-1563-4969-B47B-D57CF6A47467}</author>
    <author>tc={9F9DEC06-9D4B-714B-944A-FF161E8E6B2E}</author>
  </authors>
  <commentList>
    <comment ref="Q14" authorId="0" shapeId="0" xr:uid="{4A6724AC-548D-4444-8E93-E6D553226596}">
      <text>
        <t>[Threaded comment]
Your version of Excel allows you to read this threaded comment; however, any edits to it will get removed if the file is opened in a newer version of Excel. Learn more: https://go.microsoft.com/fwlink/?linkid=870924
Comment:
    How are we so off to the budget when it’s only January and we should have know most of the revenue coming from December actual (unless there were some big cancellations)</t>
      </text>
    </comment>
    <comment ref="T22" authorId="1" shapeId="0" xr:uid="{838F03CF-A958-47E5-9D77-D397EE043D9E}">
      <text>
        <t>[Threaded comment]
Your version of Excel allows you to read this threaded comment; however, any edits to it will get removed if the file is opened in a newer version of Excel. Learn more: https://go.microsoft.com/fwlink/?linkid=870924
Comment:
    Lucia Mar and MCS billed this month</t>
      </text>
    </comment>
    <comment ref="P39" authorId="2" shapeId="0" xr:uid="{575EC66F-6D11-E447-9A03-5489D6D98932}">
      <text>
        <t xml:space="preserve">[Threaded comment]
Your version of Excel allows you to read this threaded comment; however, any edits to it will get removed if the file is opened in a newer version of Excel. Learn more: https://go.microsoft.com/fwlink/?linkid=870924
Comment:
    Is this meant to be blank? </t>
      </text>
    </comment>
    <comment ref="Q40" authorId="3" shapeId="0" xr:uid="{8309D0E8-EDB1-5D49-B47A-4672DA789CA3}">
      <text>
        <t>[Threaded comment]
Your version of Excel allows you to read this threaded comment; however, any edits to it will get removed if the file is opened in a newer version of Excel. Learn more: https://go.microsoft.com/fwlink/?linkid=870924
Comment:
    Need to dig into the overage</t>
      </text>
    </comment>
    <comment ref="Q46" authorId="4" shapeId="0" xr:uid="{400B9DBD-BCD0-EB44-B983-2C974E29BC14}">
      <text>
        <t xml:space="preserve">[Threaded comment]
Your version of Excel allows you to read this threaded comment; however, any edits to it will get removed if the file is opened in a newer version of Excel. Learn more: https://go.microsoft.com/fwlink/?linkid=870924
Comment:
    I assume this is increases + additions (Mary, etc.)
Reply:
    I think Mary was already projected in the budget. Wondering where else this $20 additional payroll is coming from
</t>
      </text>
    </comment>
    <comment ref="U46" authorId="5" shapeId="0" xr:uid="{8DBA41A0-E434-44E3-A20F-3C60E243D11C}">
      <text>
        <t xml:space="preserve">[Threaded comment]
Your version of Excel allows you to read this threaded comment; however, any edits to it will get removed if the file is opened in a newer version of Excel. Learn more: https://go.microsoft.com/fwlink/?linkid=870924
Comment:
    I assume this is increases + additions (Mary, etc.)
Reply:
    I think Mary was already projected in the budget. Wondering where else this $20 additional payroll is coming from
</t>
      </text>
    </comment>
    <comment ref="Q54" authorId="6" shapeId="0" xr:uid="{AE520DD5-1A6C-B347-9A52-326165447454}">
      <text>
        <t>[Threaded comment]
Your version of Excel allows you to read this threaded comment; however, any edits to it will get removed if the file is opened in a newer version of Excel. Learn more: https://go.microsoft.com/fwlink/?linkid=870924
Comment:
    We’ll need to track this one. Overall this should normalize and be lower than what’s been budgeted due to the move to Tmobile</t>
      </text>
    </comment>
    <comment ref="U54" authorId="7" shapeId="0" xr:uid="{5C4431D3-5918-4624-AB63-B11F3FDF8CE9}">
      <text>
        <t>[Threaded comment]
Your version of Excel allows you to read this threaded comment; however, any edits to it will get removed if the file is opened in a newer version of Excel. Learn more: https://go.microsoft.com/fwlink/?linkid=870924
Comment:
    We’ll need to track this one. Overall this should normalize and be lower than what’s been budgeted due to the move to Tmobile</t>
      </text>
    </comment>
    <comment ref="Q70" authorId="8" shapeId="0" xr:uid="{99D95E54-20EB-F54A-84A0-4752BCDBB94A}">
      <text>
        <t>[Threaded comment]
Your version of Excel allows you to read this threaded comment; however, any edits to it will get removed if the file is opened in a newer version of Excel. Learn more: https://go.microsoft.com/fwlink/?linkid=870924
Comment:
    This is likely events but need to dig into what caused the overage for Jan</t>
      </text>
    </comment>
    <comment ref="U70" authorId="9" shapeId="0" xr:uid="{21AB3B1F-1563-4969-B47B-D57CF6A47467}">
      <text>
        <t>[Threaded comment]
Your version of Excel allows you to read this threaded comment; however, any edits to it will get removed if the file is opened in a newer version of Excel. Learn more: https://go.microsoft.com/fwlink/?linkid=870924
Comment:
    This is likely events but need to dig into what caused the overage for Jan</t>
      </text>
    </comment>
    <comment ref="O77" authorId="10" shapeId="0" xr:uid="{9F9DEC06-9D4B-714B-944A-FF161E8E6B2E}">
      <text>
        <t xml:space="preserve">[Threaded comment]
Your version of Excel allows you to read this threaded comment; however, any edits to it will get removed if the file is opened in a newer version of Excel. Learn more: https://go.microsoft.com/fwlink/?linkid=870924
Comment:
    @Dennis Vicencio I assume this an asset tax or CAT tax of some type? Should we move this below the line?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tc={000B8A19-9582-4319-A984-8E80216DB083}</author>
    <author>tc={C5A5C20A-30CA-6540-AB59-38865C7C18B4}</author>
    <author>tc={221D0B4E-3764-DF4B-8633-9F259FD11013}</author>
    <author>tc={41D00E2B-4EA8-480F-8382-CAE24D8FFD70}</author>
    <author>tc={98E022F8-DB04-4701-AA06-8B08D34AAAE1}</author>
    <author>tc={74825F04-67D2-48D8-9B4A-039EB37EFFCB}</author>
  </authors>
  <commentList>
    <comment ref="AM14" authorId="0" shapeId="0" xr:uid="{000B8A19-9582-4319-A984-8E80216DB083}">
      <text>
        <t>[Threaded comment]
Your version of Excel allows you to read this threaded comment; however, any edits to it will get removed if the file is opened in a newer version of Excel. Learn more: https://go.microsoft.com/fwlink/?linkid=870924
Comment:
    USAC MIBS agreements new funding year- schools will need to receive funding</t>
      </text>
    </comment>
    <comment ref="P40" authorId="1" shapeId="0" xr:uid="{C5A5C20A-30CA-6540-AB59-38865C7C18B4}">
      <text>
        <t xml:space="preserve">[Threaded comment]
Your version of Excel allows you to read this threaded comment; however, any edits to it will get removed if the file is opened in a newer version of Excel. Learn more: https://go.microsoft.com/fwlink/?linkid=870924
Comment:
    How are we so off to budget here of $35k. 
</t>
      </text>
    </comment>
    <comment ref="P46" authorId="2" shapeId="0" xr:uid="{221D0B4E-3764-DF4B-8633-9F259FD11013}">
      <text>
        <t xml:space="preserve">[Threaded comment]
Your version of Excel allows you to read this threaded comment; however, any edits to it will get removed if the file is opened in a newer version of Excel. Learn more: https://go.microsoft.com/fwlink/?linkid=870924
Comment:
    I would think that payroll should be accurate to budget unless something changed here.
</t>
      </text>
    </comment>
    <comment ref="P48" authorId="3" shapeId="0" xr:uid="{41D00E2B-4EA8-480F-8382-CAE24D8FFD7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How is Ohio half of budgeted payroll, but CA is almost $20k higher @Dennis Vicencio </t>
      </text>
    </comment>
    <comment ref="T48" authorId="4" shapeId="0" xr:uid="{98E022F8-DB04-4701-AA06-8B08D34AAAE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How is Ohio half of budgeted payroll, but CA is almost $20k higher @Dennis Vicencio </t>
      </text>
    </comment>
    <comment ref="AA56" authorId="5" shapeId="0" xr:uid="{74825F04-67D2-48D8-9B4A-039EB37EFFCB}">
      <text>
        <t xml:space="preserve">[Threaded comment]
Your version of Excel allows you to read this threaded comment; however, any edits to it will get removed if the file is opened in a newer version of Excel. Learn more: https://go.microsoft.com/fwlink/?linkid=870924
Comment:
    Increase due to Pia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tc={A8CE8881-B4C2-449E-AC5C-CD02CAFBFD6E}</author>
    <author>tc={2FD21782-F30B-44D9-8F6A-71D52EDC3854}</author>
    <author>tc={6C939A27-3FA8-4F48-B3B7-AF62299B4137}</author>
    <author>tc={FA3333DE-1896-430B-80BB-3142CB52C04C}</author>
    <author>tc={6248CE7E-7132-4450-8CAD-2342326BFA80}</author>
    <author>tc={29BA714E-24A8-46C8-8875-61E4AD38CF3D}</author>
    <author>tc={D91A79D8-8A6A-4753-A82B-D46E7A5DC06B}</author>
    <author>tc={87401473-1217-4A7C-8DE6-1CC162B4F75B}</author>
    <author>tc={138C53FC-B593-453D-97B3-73812B967479}</author>
    <author>tc={C48CDD7B-48B8-4E62-A34C-5E7F5854BE6D}</author>
    <author>tc={82B2B908-7A32-433D-84A7-D09C502C5A9E}</author>
    <author>tc={82EA8876-CD69-478C-B35B-6DE1CF2DD646}</author>
    <author>tc={912E94C1-09D9-4292-BE46-49FB4C199BCD}</author>
    <author>tc={040B21C4-42AA-4935-A682-900F88DB9C97}</author>
    <author>tc={3228DA1A-D839-42E6-AC35-B5A308DC9922}</author>
    <author>tc={4388A4F5-2CF8-4D8B-AE22-9274F6ECE528}</author>
    <author>tc={C6F349BE-7829-41EF-9BF8-265578BA4606}</author>
    <author>tc={47FDACA8-B0BC-42D3-AD45-85521468EC2D}</author>
    <author>tc={3BA669BE-07FB-4F2B-B5D9-2426BA4A39CA}</author>
  </authors>
  <commentList>
    <comment ref="D8" authorId="0" shapeId="0" xr:uid="{A8CE8881-B4C2-449E-AC5C-CD02CAFBFD6E}">
      <text>
        <t>[Threaded comment]
Your version of Excel allows you to read this threaded comment; however, any edits to it will get removed if the file is opened in a newer version of Excel. Learn more: https://go.microsoft.com/fwlink/?linkid=870924
Comment:
    Actuals through 09/30/2023 annualized</t>
      </text>
    </comment>
    <comment ref="F14" authorId="1" shapeId="0" xr:uid="{2FD21782-F30B-44D9-8F6A-71D52EDC3854}">
      <text>
        <t>[Threaded comment]
Your version of Excel allows you to read this threaded comment; however, any edits to it will get removed if the file is opened in a newer version of Excel. Learn more: https://go.microsoft.com/fwlink/?linkid=870924
Comment:
    Took Future agreements from C360 for 2024- deleted IR 
Reply:
    Did you back out agreements in 2024 that we know will not be renewing?</t>
      </text>
    </comment>
    <comment ref="F15" authorId="2" shapeId="0" xr:uid="{6C939A27-3FA8-4F48-B3B7-AF62299B4137}">
      <text>
        <t xml:space="preserve">[Threaded comment]
Your version of Excel allows you to read this threaded comment; however, any edits to it will get removed if the file is opened in a newer version of Excel. Learn more: https://go.microsoft.com/fwlink/?linkid=870924
Comment:
    Took Future agreements from C360 for 2024- deleted IR 
</t>
      </text>
    </comment>
    <comment ref="F16" authorId="3" shapeId="0" xr:uid="{FA3333DE-1896-430B-80BB-3142CB52C04C}">
      <text>
        <t xml:space="preserve">[Threaded comment]
Your version of Excel allows you to read this threaded comment; however, any edits to it will get removed if the file is opened in a newer version of Excel. Learn more: https://go.microsoft.com/fwlink/?linkid=870924
Comment:
    Took Future agreements from C360 for 2024- deleted IR 
</t>
      </text>
    </comment>
    <comment ref="F17" authorId="4" shapeId="0" xr:uid="{6248CE7E-7132-4450-8CAD-2342326BFA80}">
      <text>
        <t>[Threaded comment]
Your version of Excel allows you to read this threaded comment; however, any edits to it will get removed if the file is opened in a newer version of Excel. Learn more: https://go.microsoft.com/fwlink/?linkid=870924
Comment:
    Increased by 20% due to projected Erate growth
Reply:
    @Rebecca Moore same here - may want to look at IR revenue and extract it out entirely and come up with a reasonable growth number.</t>
      </text>
    </comment>
    <comment ref="F22" authorId="5" shapeId="0" xr:uid="{29BA714E-24A8-46C8-8875-61E4AD38CF3D}">
      <text>
        <t>[Threaded comment]
Your version of Excel allows you to read this threaded comment; however, any edits to it will get removed if the file is opened in a newer version of Excel. Learn more: https://go.microsoft.com/fwlink/?linkid=870924
Comment:
    Increased by 20% due to projected Erate growth</t>
      </text>
    </comment>
    <comment ref="F33" authorId="6" shapeId="0" xr:uid="{D91A79D8-8A6A-4753-A82B-D46E7A5DC06B}">
      <text>
        <t xml:space="preserve">[Threaded comment]
Your version of Excel allows you to read this threaded comment; however, any edits to it will get removed if the file is opened in a newer version of Excel. Learn more: https://go.microsoft.com/fwlink/?linkid=870924
Comment:
    even if we keep the same staff and don't hire anyone, we need to consider pay increases. The fully loaded cost of engineers should not be the same as in 2023
Reply:
    We have adjusted  based on our current payroll plus 5% increase plus filling the 3 engineering positions </t>
      </text>
    </comment>
    <comment ref="F40" authorId="7" shapeId="0" xr:uid="{87401473-1217-4A7C-8DE6-1CC162B4F75B}">
      <text>
        <t>[Threaded comment]
Your version of Excel allows you to read this threaded comment; however, any edits to it will get removed if the file is opened in a newer version of Excel. Learn more: https://go.microsoft.com/fwlink/?linkid=870924
Comment:
    Commission payouts will be significantly larger in 2024 and I don't see this being considered
Reply:
    Adjusted based on current employee + 5% increase</t>
      </text>
    </comment>
    <comment ref="F46" authorId="8" shapeId="0" xr:uid="{138C53FC-B593-453D-97B3-73812B967479}">
      <text>
        <t xml:space="preserve">[Threaded comment]
Your version of Excel allows you to read this threaded comment; however, any edits to it will get removed if the file is opened in a newer version of Excel. Learn more: https://go.microsoft.com/fwlink/?linkid=870924
Comment:
    same as above where you need to consider increases in comp should be considered
</t>
      </text>
    </comment>
    <comment ref="F62" authorId="9" shapeId="0" xr:uid="{C48CDD7B-48B8-4E62-A34C-5E7F5854BE6D}">
      <text>
        <t>[Threaded comment]
Your version of Excel allows you to read this threaded comment; however, any edits to it will get removed if the file is opened in a newer version of Excel. Learn more: https://go.microsoft.com/fwlink/?linkid=870924
Comment:
    Adjusted base from 2023 for one time expenses</t>
      </text>
    </comment>
    <comment ref="F63" authorId="10" shapeId="0" xr:uid="{82B2B908-7A32-433D-84A7-D09C502C5A9E}">
      <text>
        <t>[Threaded comment]
Your version of Excel allows you to read this threaded comment; however, any edits to it will get removed if the file is opened in a newer version of Excel. Learn more: https://go.microsoft.com/fwlink/?linkid=870924
Comment:
    Adjusted base from 2023 for one time expenses</t>
      </text>
    </comment>
    <comment ref="F65" authorId="11" shapeId="0" xr:uid="{82EA8876-CD69-478C-B35B-6DE1CF2DD646}">
      <text>
        <t>[Threaded comment]
Your version of Excel allows you to read this threaded comment; however, any edits to it will get removed if the file is opened in a newer version of Excel. Learn more: https://go.microsoft.com/fwlink/?linkid=870924
Comment:
    From estimate we have received</t>
      </text>
    </comment>
    <comment ref="D66" authorId="12" shapeId="0" xr:uid="{912E94C1-09D9-4292-BE46-49FB4C199BCD}">
      <text>
        <t>[Threaded comment]
Your version of Excel allows you to read this threaded comment; however, any edits to it will get removed if the file is opened in a newer version of Excel. Learn more: https://go.microsoft.com/fwlink/?linkid=870924
Comment:
    Lower than 2022- 2022 included costs of aquisition</t>
      </text>
    </comment>
    <comment ref="F70" authorId="13" shapeId="0" xr:uid="{040B21C4-42AA-4935-A682-900F88DB9C97}">
      <text>
        <t>[Threaded comment]
Your version of Excel allows you to read this threaded comment; however, any edits to it will get removed if the file is opened in a newer version of Excel. Learn more: https://go.microsoft.com/fwlink/?linkid=870924
Comment:
    Increased by 20% due to hiring marketing director in 2023</t>
      </text>
    </comment>
    <comment ref="D79" authorId="14" shapeId="0" xr:uid="{3228DA1A-D839-42E6-AC35-B5A308DC9922}">
      <text>
        <t>[Threaded comment]
Your version of Excel allows you to read this threaded comment; however, any edits to it will get removed if the file is opened in a newer version of Excel. Learn more: https://go.microsoft.com/fwlink/?linkid=870924
Comment:
    Higher than 2022 due to full year of payments for Mobile Tech aquisition</t>
      </text>
    </comment>
    <comment ref="H79" authorId="15" shapeId="0" xr:uid="{4388A4F5-2CF8-4D8B-AE22-9274F6ECE528}">
      <text>
        <t>[Threaded comment]
Your version of Excel allows you to read this threaded comment; however, any edits to it will get removed if the file is opened in a newer version of Excel. Learn more: https://go.microsoft.com/fwlink/?linkid=870924
Comment:
    If a new acquisition occurs this will increase</t>
      </text>
    </comment>
    <comment ref="J79" authorId="16" shapeId="0" xr:uid="{C6F349BE-7829-41EF-9BF8-265578BA4606}">
      <text>
        <t>[Threaded comment]
Your version of Excel allows you to read this threaded comment; however, any edits to it will get removed if the file is opened in a newer version of Excel. Learn more: https://go.microsoft.com/fwlink/?linkid=870924
Comment:
    If a new acquisition occurs this will increase</t>
      </text>
    </comment>
    <comment ref="L79" authorId="17" shapeId="0" xr:uid="{47FDACA8-B0BC-42D3-AD45-85521468EC2D}">
      <text>
        <t>[Threaded comment]
Your version of Excel allows you to read this threaded comment; however, any edits to it will get removed if the file is opened in a newer version of Excel. Learn more: https://go.microsoft.com/fwlink/?linkid=870924
Comment:
    If a new acquisition occurs this will increase</t>
      </text>
    </comment>
    <comment ref="G84" authorId="18" shapeId="0" xr:uid="{3BA669BE-07FB-4F2B-B5D9-2426BA4A39CA}">
      <text>
        <t xml:space="preserve">[Threaded comment]
Your version of Excel allows you to read this threaded comment; however, any edits to it will get removed if the file is opened in a newer version of Excel. Learn more: https://go.microsoft.com/fwlink/?linkid=870924
Comment:
    @Rebecca Moore I would like to have some additional lines added here for EBITDA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<sst xmlns="http://schemas.openxmlformats.org/spreadsheetml/2006/main" count="818" uniqueCount="282">
  <si>
    <t>Budget Vs Actual</t>
  </si>
  <si>
    <t>Variance</t>
  </si>
  <si>
    <t>(Red)</t>
  </si>
  <si>
    <t>Over budget</t>
  </si>
  <si>
    <t>Income Statement  - All</t>
  </si>
  <si>
    <t>Black</t>
  </si>
  <si>
    <t>Under budget</t>
  </si>
  <si>
    <t>x</t>
  </si>
  <si>
    <t>Budget</t>
  </si>
  <si>
    <t>Year 1*</t>
  </si>
  <si>
    <t>January</t>
  </si>
  <si>
    <t>February</t>
  </si>
  <si>
    <t>March</t>
  </si>
  <si>
    <t>April</t>
  </si>
  <si>
    <t>May</t>
  </si>
  <si>
    <t>June</t>
  </si>
  <si>
    <t>July</t>
  </si>
  <si>
    <t>August</t>
  </si>
  <si>
    <t>September</t>
  </si>
  <si>
    <t>October</t>
  </si>
  <si>
    <t>November</t>
  </si>
  <si>
    <t>December</t>
  </si>
  <si>
    <t>YTD</t>
  </si>
  <si>
    <t>Year Ending</t>
  </si>
  <si>
    <t>Actual</t>
  </si>
  <si>
    <t>Var</t>
  </si>
  <si>
    <t>Notes</t>
  </si>
  <si>
    <t>Questions</t>
  </si>
  <si>
    <t>(Red) over budget</t>
  </si>
  <si>
    <t>**Gross Sales**</t>
  </si>
  <si>
    <t>Services</t>
  </si>
  <si>
    <t>Monthly Recurring Services</t>
  </si>
  <si>
    <t>How is recurring services so much less?  It should be a repeat of December and IR was modeled out?</t>
  </si>
  <si>
    <t>Budget for February is updated based on actual MRR from last meeting D</t>
  </si>
  <si>
    <t>Budget for March is updated based on actual MRR from last meeting D</t>
  </si>
  <si>
    <t>See location for notes</t>
  </si>
  <si>
    <t>Monthly Recurring Private Cloud</t>
  </si>
  <si>
    <t>Monthly Recurring Resale</t>
  </si>
  <si>
    <t>IT Project Services</t>
  </si>
  <si>
    <t>No changes to project forecast</t>
  </si>
  <si>
    <t>Subcontracted Services</t>
  </si>
  <si>
    <t>Product Sales</t>
  </si>
  <si>
    <t xml:space="preserve">Product Resale </t>
  </si>
  <si>
    <t>No changes yet to product forecast</t>
  </si>
  <si>
    <t>Other Revenue</t>
  </si>
  <si>
    <t>Cost of Services- **</t>
  </si>
  <si>
    <t>Costs of Monthly Recurring Services</t>
  </si>
  <si>
    <t>Costs of Recur Private Cloud</t>
  </si>
  <si>
    <t>Costs of Monthly Recurring Resale</t>
  </si>
  <si>
    <t>Costs of IT Project Services</t>
  </si>
  <si>
    <t>Costs of Subcontracted Services</t>
  </si>
  <si>
    <t xml:space="preserve">Costs of Product Resale </t>
  </si>
  <si>
    <t>Direct Labor-Fully loaded(Support/Engineers)</t>
  </si>
  <si>
    <t>Update budgetpayroll based on onboarding and off boardings notified of</t>
  </si>
  <si>
    <t>Total Cost of Good Sold**</t>
  </si>
  <si>
    <t>Total Gross Margin</t>
  </si>
  <si>
    <t>Direct Selling Costs</t>
  </si>
  <si>
    <t>Commissions</t>
  </si>
  <si>
    <t>Paid out commissions from 4Q2024</t>
  </si>
  <si>
    <t>Labor Selling - Loaded</t>
  </si>
  <si>
    <t>I'm assuming these commissions are from December/prior, because they should be much less than budgeted with sales so low</t>
  </si>
  <si>
    <t>Contribution Margin</t>
  </si>
  <si>
    <t>*We need to have a way to project commissions and timing</t>
  </si>
  <si>
    <t>**Expenses**</t>
  </si>
  <si>
    <t>Payroll ***</t>
  </si>
  <si>
    <t>Exec/ Mgmnt/Admin- Fully Loaded</t>
  </si>
  <si>
    <t>Workers Comp</t>
  </si>
  <si>
    <t>Total Payroll</t>
  </si>
  <si>
    <t>Office Expenses****</t>
  </si>
  <si>
    <t>Office Lease</t>
  </si>
  <si>
    <t>Insurance</t>
  </si>
  <si>
    <t>Utilities - Internet-Phones</t>
  </si>
  <si>
    <t>Repairs &amp; Maintenance</t>
  </si>
  <si>
    <t>Software</t>
  </si>
  <si>
    <t xml:space="preserve">Supplies </t>
  </si>
  <si>
    <t xml:space="preserve">Total Office Expenses </t>
  </si>
  <si>
    <t>Professional Services*****</t>
  </si>
  <si>
    <t>Consulting / Legal</t>
  </si>
  <si>
    <t>Scott paid 2X in December</t>
  </si>
  <si>
    <t>Accounting / CPA</t>
  </si>
  <si>
    <t>HR Recruitment + Consulting</t>
  </si>
  <si>
    <t>Financial Review / Audit</t>
  </si>
  <si>
    <t>Professional Services Total</t>
  </si>
  <si>
    <t>General &amp; Admin Expenses</t>
  </si>
  <si>
    <t>Charitable Contributions</t>
  </si>
  <si>
    <t>Marketing &amp; Advertising</t>
  </si>
  <si>
    <t>$4K for logo shirts, mugs, and backpacks</t>
  </si>
  <si>
    <t>Education &amp; Staff Development</t>
  </si>
  <si>
    <t>General &amp; Admin Total</t>
  </si>
  <si>
    <t>Other Expenses</t>
  </si>
  <si>
    <t>Vehicles/ Gasoline</t>
  </si>
  <si>
    <t>Travel / Meals</t>
  </si>
  <si>
    <t>See breakdown on location tabs</t>
  </si>
  <si>
    <t>Property Taxes</t>
  </si>
  <si>
    <t>Finance Charges- Merchant and Bank Fees</t>
  </si>
  <si>
    <t>Other Expenses Total</t>
  </si>
  <si>
    <t>Total Operating Expenses</t>
  </si>
  <si>
    <t>EBITDA</t>
  </si>
  <si>
    <t>EBIDTA % of Gross Sales</t>
  </si>
  <si>
    <t>Other Income- Non Budgeted</t>
  </si>
  <si>
    <t>Interest Income</t>
  </si>
  <si>
    <t>Thomanson Tractor Final Billing</t>
  </si>
  <si>
    <t>Total Other Income</t>
  </si>
  <si>
    <t>Other Expenses-</t>
  </si>
  <si>
    <t>Interest Expense</t>
  </si>
  <si>
    <t>State and Local Income Taxes</t>
  </si>
  <si>
    <t>Partnership Expenses</t>
  </si>
  <si>
    <t>List out</t>
  </si>
  <si>
    <t>Total Other Expenses</t>
  </si>
  <si>
    <t>Total Net Income</t>
  </si>
  <si>
    <t>Net Income % of Revenue</t>
  </si>
  <si>
    <t>Financial Projections</t>
  </si>
  <si>
    <t>Income Statement 2023-2028</t>
  </si>
  <si>
    <t>Income Statement  - California</t>
  </si>
  <si>
    <t>Year 2 *</t>
  </si>
  <si>
    <t>Year 3*</t>
  </si>
  <si>
    <t xml:space="preserve">Year 4 * </t>
  </si>
  <si>
    <t>Year 5 *</t>
  </si>
  <si>
    <t>Feburary</t>
  </si>
  <si>
    <t>Var $</t>
  </si>
  <si>
    <t>Attrition</t>
  </si>
  <si>
    <t>New Business + Current Agreements</t>
  </si>
  <si>
    <t>Pinacle Minds new client that is not renewing</t>
  </si>
  <si>
    <t>Credit of Agee double March invoice, new business budget is 7875 - actual new business is 1755 (TPC), Fabricated Extrusion credit for $1800 for overbilling for 2 months and reduced bill by 900</t>
  </si>
  <si>
    <t xml:space="preserve">New Business was budgeted at 15,750 and new business was only 7,350. </t>
  </si>
  <si>
    <t>New Business was budgeted at 50,575 and new business was only 9,210. Sunny Valley was 6k under, Thomason Tractor 7K under, (both cancelled)</t>
  </si>
  <si>
    <t xml:space="preserve">New Business was budgeted at 58K and new business was only 48K. (Clients that left- Lammersville, Thomas tractor, Chathom- (16.4k)) (Under budget Clients- Sunny Valley -(6.2K), Chathom (3.4k), Graceada (3K), River delta (2K), Project Hope Alliance had credit for overbilling Jan- June (3K), Sylvan USD was over budget by 5K.  </t>
  </si>
  <si>
    <t xml:space="preserve">New Business is 36.5K under budget,Lost companies total 24K, Gratton Elementary $1K under budget (will be caught up in Sept)
</t>
  </si>
  <si>
    <t>No New Business - See Agreement Revenue Comparison - Sept to Aug 2024
see supplemental report for breakdown</t>
  </si>
  <si>
    <t xml:space="preserve">
see supplemental report for breakdown</t>
  </si>
  <si>
    <t xml:space="preserve">New Business was budgeted at 900 we had 2,500 in new business </t>
  </si>
  <si>
    <t>New Business was budgeted at 2,890-  we had 2,500 in new business, Thomason Tractor 1.2k under SoCal addiction 236 under(cancelled), Capital Financial 500 under, Laguna tools 400 under</t>
  </si>
  <si>
    <t>New Business was budgeted at 3,340-  we had 2,500 in new business, Thomason Tractor 1.2k under SoCal addiction 236 under(cancelled), Capital Financial 575 under, Laguna tools 400 under, City of Firbaigh 300 over</t>
  </si>
  <si>
    <t xml:space="preserve">New Business is 1.2K under budget, lost business 2.7K,  
</t>
  </si>
  <si>
    <t>Agee Construction up $1200- duplicate invoice- correction in April- New customer Carmel USD</t>
  </si>
  <si>
    <t>Lucia Mar New Business $4k, City of Selma new agreement increase 2.7K, Catch up billing Dehart,</t>
  </si>
  <si>
    <t xml:space="preserve">New Business was budgeted at 5850.00 and we actually had  8,738 in new business- </t>
  </si>
  <si>
    <t>New Business was budgeted at 18,785.00, new business was 2K, City of Selma 2.7K over budget, Dehart 1.7K over budget, Graceada 2K over budget, Lucia Mar 4.9K over budget, Trumark 2K over budget, John Potter 1K under budget, Thomaston 1.5K under budget, SunnyValley 1.9K under budget</t>
  </si>
  <si>
    <t>New Business was budgeted at 21,700.00, new business was 2.7K,(Over Budget -City of Selma 2.7Kt, Dehart 1.8K, Graceada 1.2K, Lucia Mar 6K, Trumark 1.5K,Cranbrook 750),- 
(Under budget- John Potter (1K), ThomasonTractor- left(1.5K), Learning Quest-left(1.1K), and Sylvan(875)).</t>
  </si>
  <si>
    <t>New Business is 24K under budget, lost business 4K,  
City of Selma 2.7K over budget, Dehart 1.7K over budget, 
Fabricated Extrusion 1K over budget, Lucia Mar 5K over budget</t>
  </si>
  <si>
    <t>New Business</t>
  </si>
  <si>
    <t>Modesto City Project completed</t>
  </si>
  <si>
    <t>Empire USD $50K Final Billing</t>
  </si>
  <si>
    <t>Lucia Mar 150K</t>
  </si>
  <si>
    <t>See Breakdown in Project and Product Sales Sept 2024 for details</t>
  </si>
  <si>
    <t>Lucia Mar 102K</t>
  </si>
  <si>
    <t>Lucia Mar Licenses $231K &amp; MCS Switches $139K billed this month</t>
  </si>
  <si>
    <t>Washington USD 127K, Newman Crows 94K, 
Stanislaus USD 76K, Stanislaus Food 20K</t>
  </si>
  <si>
    <t>UMR Health insurance overage, and off boardings</t>
  </si>
  <si>
    <t>New business did not meet budget
 so commissions are under budget</t>
  </si>
  <si>
    <t>Health insurance overage</t>
  </si>
  <si>
    <t>Final Pays and Severance for Orion, Jason, and Frankie</t>
  </si>
  <si>
    <t>Executive / Management Loaded</t>
  </si>
  <si>
    <t>health Insurance overage</t>
  </si>
  <si>
    <t>Dan Obrien Final Pay and Health ins overages</t>
  </si>
  <si>
    <t>Clevel Office</t>
  </si>
  <si>
    <t>Clevel Advising Office catch up billing</t>
  </si>
  <si>
    <t>Clevel Advising Office</t>
  </si>
  <si>
    <t>MID was 2870, 
Dialpad charges increased</t>
  </si>
  <si>
    <t>Comcast catch up invoice from August $1800</t>
  </si>
  <si>
    <t>Avalara Aug &amp; Sept hit the GL,Knowbe4 renewal</t>
  </si>
  <si>
    <t xml:space="preserve">$6200 for AP Logic </t>
  </si>
  <si>
    <t>$18K for SOC2 Audit</t>
  </si>
  <si>
    <t>Accured SOC Complaince over the year</t>
  </si>
  <si>
    <t>Clevel Advising increase</t>
  </si>
  <si>
    <t>Clevel Advising and 
Phoenix Strategy</t>
  </si>
  <si>
    <t>Tax returns</t>
  </si>
  <si>
    <t>$5K for Aerial Recovery</t>
  </si>
  <si>
    <t>$10K for GG San Francisco Contribution</t>
  </si>
  <si>
    <t>CTE Confernce $4K</t>
  </si>
  <si>
    <t>Sweeplift - linked in advertising</t>
  </si>
  <si>
    <t>Sweeplift $5K</t>
  </si>
  <si>
    <t>Sweeplift $5K &amp; 2.5K, 
Linked In Ads</t>
  </si>
  <si>
    <t>Brandon and Dan trips to Ohio, IETA conference  (Orion &amp; Jay)
Boom Conference (Michael &amp; Frankie)
James travel 9.9K
Dave travel 2.2K</t>
  </si>
  <si>
    <t>Brandon trip to Ohio,
Boom Conference (Michael &amp; Frankie)
James travel 4.9K
Dave travel 4.7K</t>
  </si>
  <si>
    <t>Dan S to Bahamas,
Jay to Western Steel
James travel 4.8K
Dave travel 0.5K</t>
  </si>
  <si>
    <t>Lucai Mar $13K,  James $12K</t>
  </si>
  <si>
    <t xml:space="preserve"> </t>
  </si>
  <si>
    <t xml:space="preserve">Dinyero $2.1K, David $3K, James$5.6K, </t>
  </si>
  <si>
    <t>Peter to NYC $1.6K, James $7.2K,  David $5.3K</t>
  </si>
  <si>
    <t>Money Market</t>
  </si>
  <si>
    <t>RAMP Cash Back Rewards</t>
  </si>
  <si>
    <t>Pinnacle settlement</t>
  </si>
  <si>
    <t>Income Statement - Ohio</t>
  </si>
  <si>
    <t>Feb</t>
  </si>
  <si>
    <t>Par Excellance $3K and St John Nottingham $10K Agreement catch up billing</t>
  </si>
  <si>
    <t>St Sebstian and   St John Nottingaham catch up billing for Feb</t>
  </si>
  <si>
    <t>2 months credit Franklinton, Westwood Prep did not double as estimated, New Business budgeted at 6,450- only Ummah Center at 1,000</t>
  </si>
  <si>
    <t>New Business is budgeted at $12,900- The only new business is Ummah Center $1,000, Year End billing for USAC $4,600 over budget</t>
  </si>
  <si>
    <t xml:space="preserve">New Business is budgeted at $19,350- The new business is only 1.5K,- Menlo Park over budget 4.6K(they cancelled 07/01 not 06/01), Imagine Great western 6.4K over budget(they did not cancel)Explorers 1.5 under budget
</t>
  </si>
  <si>
    <t xml:space="preserve">New Business is budgeted at $25,800- The new business is only 8.5K,-(Under Budget  Imagine Schools -7K, Explorers -1.5, Columbus Prep -3K, Cristo Rey -4.7K, Focus North -3K, Invictus -3K, JWP -2K, River Gate-1.3K)
</t>
  </si>
  <si>
    <t>See additional Breakdown of MSP Billing</t>
  </si>
  <si>
    <t>Par Excellence $3K and St John Nottingham $10K Agreement catch up billing</t>
  </si>
  <si>
    <t>updated budget for Sherer hospital &amp; Par excellence</t>
  </si>
  <si>
    <t>New Business budgeted at $1050.00 no new business, East muskingum correction</t>
  </si>
  <si>
    <t>New Business is Budgeted at $2,100- New business is only $220- Difference of $1,900, Imagine Schools $1K under budget, Westwood Prep $800 under budget, St Sebastions $600 under budget</t>
  </si>
  <si>
    <t>New Business is budgeted at 3.1K, New business is only $220, North Shore is 500 under, Westwood Prep 800 under</t>
  </si>
  <si>
    <t>New Business is budgeted at 4.2K, New business is only 2.4K,(Under Budget- Imagine Schools -3.1K, North Shore - 650, Westwood Prep -650)</t>
  </si>
  <si>
    <t>New Business is 6.6K under budget</t>
  </si>
  <si>
    <t>West Liberty Project $39K</t>
  </si>
  <si>
    <t>Marysville Project, Imagine Great Western</t>
  </si>
  <si>
    <t>Marysville 25K, West Liberty 22K, Triad 17K, 
Imagine Great Western 12K, Tolles 12K</t>
  </si>
  <si>
    <t>So</t>
  </si>
  <si>
    <t>Marysville Project</t>
  </si>
  <si>
    <t>Imagine Great Western</t>
  </si>
  <si>
    <t>Miami East chromebooks, Scheurer Hospital, VitalCare</t>
  </si>
  <si>
    <t>Triad 150K, Tolles 134K,East Guernsey 80K,
Imagine Great Wester 61K, Mid-East55K,
North Shore 50K, Arts &amp; College Prep 48K</t>
  </si>
  <si>
    <t xml:space="preserve">Field Nation </t>
  </si>
  <si>
    <t>West Liberty Project Costs - Field Nation and Materials $19K</t>
  </si>
  <si>
    <t>Field Nation Labor for 
Caldwell Exempted Village
SO 10190</t>
  </si>
  <si>
    <t>Revenue is up. 20% GM actual vs 15% GM in budget</t>
  </si>
  <si>
    <t>Andrew bays on leave</t>
  </si>
  <si>
    <t>Carli Hamdi Final Pay</t>
  </si>
  <si>
    <t>Final Pay for Ohio employees</t>
  </si>
  <si>
    <t>Didn't hit new sales goals so commission was lower</t>
  </si>
  <si>
    <t>Didn't hit forecast</t>
  </si>
  <si>
    <t>Commissions paid out for projects paid</t>
  </si>
  <si>
    <t>Health insurance oveage</t>
  </si>
  <si>
    <t>Wages reduced due to Steve leaving</t>
  </si>
  <si>
    <t>Andy's final check and PTO Payout</t>
  </si>
  <si>
    <t>Need to move Andy to Sales - where to leave steve?</t>
  </si>
  <si>
    <t>Admin</t>
  </si>
  <si>
    <t>Wages reduced du to Steve leaving</t>
  </si>
  <si>
    <t>Wages reduced due to Andy/ Steve leaving</t>
  </si>
  <si>
    <t>Xmas Party</t>
  </si>
  <si>
    <t>CAM Catch-up invoice for Ohio offices</t>
  </si>
  <si>
    <t>Correction of Double Payment 
airport Executive in April</t>
  </si>
  <si>
    <t>Columbia Gas 250 less than May, 
Electric is 500 less than May</t>
  </si>
  <si>
    <t>Down Payment 222.00 for Columbia Gas was applied to bill- 
only 75.00 was in the GL Utility Deposit account</t>
  </si>
  <si>
    <t>Painting for Lobby, offices, conference room</t>
  </si>
  <si>
    <t>Conference Room Table - $1232</t>
  </si>
  <si>
    <t>New Display controller for Operations $1.3K</t>
  </si>
  <si>
    <t>Shirts for Ohio Team</t>
  </si>
  <si>
    <t xml:space="preserve"> Mileage reimbursement 9,142.80</t>
  </si>
  <si>
    <t>Ohio On-site meeting, Sam Campbell BICSI Conference Florida</t>
  </si>
  <si>
    <t>Joel Trip to Indiana,Ryan and Joel trip to Dublin
Sam &amp; Austin trip to Houston</t>
  </si>
  <si>
    <t>Joel and Ryan Trip to Ohio $4.4K</t>
  </si>
  <si>
    <t>Month of</t>
  </si>
  <si>
    <t>Data Source</t>
  </si>
  <si>
    <t>Components</t>
  </si>
  <si>
    <t>Multiplier</t>
  </si>
  <si>
    <t>2024 Projections by month -OH</t>
  </si>
  <si>
    <t>Product Resale - Cost of Product Resale</t>
  </si>
  <si>
    <t>Subcontracted Services - Cost of Subcontracted Services</t>
  </si>
  <si>
    <t>OH New Business- 2024</t>
  </si>
  <si>
    <t>Monthly Recurring Resale - Cost of Monthly Recurring Resale</t>
  </si>
  <si>
    <t>Q1&amp; Q2</t>
  </si>
  <si>
    <t>Product Resale</t>
  </si>
  <si>
    <t>Total Commission</t>
  </si>
  <si>
    <t>Recurring Private Cloud</t>
  </si>
  <si>
    <t>Recurring Services</t>
  </si>
  <si>
    <t>Recurring Resale</t>
  </si>
  <si>
    <t>Total</t>
  </si>
  <si>
    <t>Recurring Services Muliplier</t>
  </si>
  <si>
    <t>3yr</t>
  </si>
  <si>
    <t>2Yr</t>
  </si>
  <si>
    <t>1ry</t>
  </si>
  <si>
    <t>CALCULATOR</t>
  </si>
  <si>
    <t>%</t>
  </si>
  <si>
    <t>2024  Projections per month-CA</t>
  </si>
  <si>
    <t>CA New Business-2024</t>
  </si>
  <si>
    <t>Total Commissions for the month</t>
  </si>
  <si>
    <t>Acquisition Year</t>
  </si>
  <si>
    <t>Acquisition Revenue Target</t>
  </si>
  <si>
    <t>Acquisition Profit Target</t>
  </si>
  <si>
    <t>Previous Year</t>
  </si>
  <si>
    <t>Current Year
 (Annualized)</t>
  </si>
  <si>
    <t xml:space="preserve"> Costs of Product Resale </t>
  </si>
  <si>
    <t>General &amp; Admin Expenses ****</t>
  </si>
  <si>
    <t>Other Expenses ****</t>
  </si>
  <si>
    <t>Taxes</t>
  </si>
  <si>
    <t>Net Operating Income</t>
  </si>
  <si>
    <t>Increase in Net Income from Expected Acquisitions</t>
  </si>
  <si>
    <t>Net Operating with Acquisition</t>
  </si>
  <si>
    <t xml:space="preserve">Memorandum </t>
  </si>
  <si>
    <t>* to annualize the revenue took actuals through Oct and removed innovation refunds for Nov and Dec. Used Oct rev for Nov and Dec for projects and products- we anticipate a large Lucia Mars invoice in November</t>
  </si>
  <si>
    <t>* In years 2024 and 2027 Datapath anticipates additional acquisitions.- those are accounted for on the top of the model- the income growth is assuming a 10% growth annually</t>
  </si>
  <si>
    <t>**Using average of June-Sept 2023 of Costs % of sales- will need longer analysis to be more accurate</t>
  </si>
  <si>
    <t>*- - - For forecasting 2024 revenue we took the future agreements report from C360 and deleted Innovation Refunds we accounted for .5 attrition rate and then added in new MRR from sales quotas , for Product Resale and Projects we took sales quotas to calculate</t>
  </si>
  <si>
    <t>***For forecasting purposes, we used actuals for 2023 and took a 5% increase for current employee count- we also took the breakdown of employees per revenue stream to calculate direct labor</t>
  </si>
  <si>
    <t>****- For expenses assumed a 10% increase with the following exceptions- Marketing &amp; Advertising 20% in 2024 and 10% subsequent years-</t>
  </si>
  <si>
    <t>******We anticipate the use of consultants until we are able to fill full time executive positions for operations and finance. 
In addition, We anticipate financial review fees for 2023/2024 and moving to a full financial audit in 2025. Increase by 4% per year and full financial audit for 10% in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</si>
</sst>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Red]\-&quot;$&quot;#,##0"/>
    <numFmt numFmtId="165" formatCode="&quot;$&quot;#,##0.00"/>
    <numFmt numFmtId="166" formatCode="&quot;$&quot;#,##0"/>
    <numFmt numFmtId="167" formatCode="&quot;$&quot;#,##0,&quot;,000&quot;"/>
    <numFmt numFmtId="168" formatCode="&quot;$&quot;#,##0,&quot;,000&quot;;[Red]\ &quot;$&quot;#,##0,&quot;,000&quot;"/>
    <numFmt numFmtId="169" formatCode="[$-409]mmmmm\-yy;@"/>
    <numFmt numFmtId="170" formatCode="&quot;$&quot;#,##0;[Red]&quot;$&quot;#,##0"/>
    <numFmt numFmtId="171" formatCode="_([$$-409]* #,##0_);_([$$-409]* \(#,##0\);_([$$-409]* &quot;-&quot;??_);_(@_)"/>
    <numFmt numFmtId="172" formatCode="0.0%"/>
    <numFmt numFmtId="173" formatCode="&quot;$&quot;#,##0.0"/>
    <numFmt numFmtId="174" formatCode="&quot;$&quot;#,##0.00;[Red]&quot;$&quot;#,##0.00"/>
    <numFmt numFmtId="175" formatCode="0.0%;[Red]\-0.0%"/>
    <numFmt numFmtId="176" formatCode="#,##0;[Red]#,##0"/>
    <numFmt numFmtId="177" formatCode="0.000%"/>
    <numFmt numFmtId="178" formatCode="#,##0.0_);[Red]\(#,##0.0\)"/>
    <numFmt numFmtId="179" formatCode="#,##0.000000000_);[Red]\(#,##0.000000000\)"/>
  </numFmts>
  <fonts count="26"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4"/>
      <color theme="1"/>
      <name val="Calibri"/>
      <family val="2"/>
      <scheme val="minor"/>
    </font>
    <font>
      <b/>
      <sz val="12"/>
      <color rgb="FFFF0000"/>
      <name val="Calibri"/>
      <family val="2"/>
      <scheme val="minor"/>
    </font>
    <font>
      <sz val="12"/>
      <color rgb="FF000000"/>
      <name val="Calibri"/>
      <family val="2"/>
      <scheme val="minor"/>
    </font>
    <font>
      <i/>
      <sz val="12"/>
      <color theme="1"/>
      <name val="Calibri"/>
      <family val="2"/>
      <scheme val="minor"/>
    </font>
    <font>
      <sz val="12"/>
      <color theme="1"/>
      <name val="Calibri"/>
      <family val="2"/>
      <scheme val="minor"/>
    </font>
    <font>
      <u/>
      <sz val="12"/>
      <color theme="1"/>
      <name val="Calibri"/>
      <family val="2"/>
      <scheme val="minor"/>
    </font>
    <font>
      <b/>
      <i/>
      <sz val="12"/>
      <color theme="1"/>
      <name val="Calibri"/>
      <family val="2"/>
      <scheme val="minor"/>
    </font>
    <font>
      <sz val="11"/>
      <name val="Calibri"/>
      <family val="2"/>
    </font>
    <font>
      <sz val="24"/>
      <color theme="1"/>
      <name val="Calibri"/>
      <family val="2"/>
      <scheme val="minor"/>
    </font>
    <font>
      <b/>
      <sz val="14"/>
      <color theme="1"/>
      <name val="Calibri"/>
      <family val="2"/>
      <scheme val="minor"/>
    </font>
    <font>
      <b/>
      <sz val="8"/>
      <color theme="1"/>
      <name val="Calibri"/>
      <family val="2"/>
      <scheme val="minor"/>
    </font>
    <font>
      <i/>
      <sz val="14"/>
      <color theme="1"/>
      <name val="Calibri"/>
      <family val="2"/>
      <scheme val="minor"/>
    </font>
    <font>
      <b/>
      <sz val="13"/>
      <color theme="1"/>
      <name val="Calibri"/>
      <family val="2"/>
      <scheme val="minor"/>
    </font>
    <font>
      <sz val="8"/>
      <color theme="1"/>
      <name val="Calibri"/>
      <family val="2"/>
      <scheme val="minor"/>
    </font>
    <font>
      <i/>
      <sz val="11"/>
      <color theme="1"/>
      <name val="Calibri"/>
      <family val="2"/>
      <scheme val="minor"/>
    </font>
    <font>
      <sz val="12"/>
      <color rgb="FFFF0000"/>
      <name val="Calibri"/>
      <family val="2"/>
      <scheme val="minor"/>
    </font>
    <font>
      <sz val="10"/>
      <name val="Arial"/>
      <family val="2"/>
    </font>
    <font>
      <sz val="10"/>
      <color theme="1"/>
      <name val="Calibri"/>
      <family val="2"/>
      <scheme val="minor"/>
    </font>
    <font>
      <sz val="8"/>
      <color rgb="FF000000"/>
      <name val="Calibri"/>
      <family val="2"/>
      <scheme val="minor"/>
    </font>
    <font>
      <sz val="9.5"/>
      <color theme="1"/>
      <name val="Calibri"/>
      <family val="2"/>
      <scheme val="minor"/>
    </font>
    <font>
      <sz val="9"/>
      <color theme="1"/>
      <name val="Calibri"/>
      <family val="2"/>
      <scheme val="minor"/>
    </font>
    <font>
      <sz val="12"/>
      <name val="Calibri"/>
      <family val="2"/>
      <scheme val="minor"/>
    </font>
  </fonts>
  <fills count="13">
    <fill>
      <patternFill patternType="none"/>
    </fill>
    <fill>
      <patternFill patternType="gray125"/>
    </fill>
    <fill>
      <patternFill patternType="solid">
        <fgColor theme="4" tint="0.59999389629810485"/>
        <bgColor indexed="64"/>
      </patternFill>
    </fill>
    <fill>
      <patternFill patternType="solid">
        <fgColor rgb="FF92D05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C000"/>
        <bgColor indexed="64"/>
      </patternFill>
    </fill>
    <fill>
      <patternFill patternType="solid">
        <fgColor rgb="FF00B0F0"/>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9" tint="0.59999389629810485"/>
        <bgColor indexed="64"/>
      </patternFill>
    </fill>
  </fills>
  <borders count="35">
    <border>
      <left/>
      <right/>
      <top/>
      <bottom/>
      <diagonal/>
    </border>
    <border>
      <left/>
      <right/>
      <top style="thin">
        <color auto="1"/>
      </top>
      <bottom/>
      <diagonal/>
    </border>
    <border>
      <left/>
      <right/>
      <top/>
      <bottom style="thin">
        <color auto="1"/>
      </bottom>
      <diagonal/>
    </border>
    <border>
      <left/>
      <right/>
      <top style="thin">
        <color auto="1"/>
      </top>
      <bottom style="double">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theme="0"/>
      </bottom>
      <diagonal/>
    </border>
    <border>
      <left style="thin">
        <color theme="0"/>
      </left>
      <right style="thin">
        <color theme="0"/>
      </right>
      <top/>
      <bottom/>
      <diagonal/>
    </border>
    <border>
      <left/>
      <right style="thin">
        <color theme="0"/>
      </right>
      <top style="thin">
        <color theme="0"/>
      </top>
      <bottom/>
      <diagonal/>
    </border>
    <border>
      <left/>
      <right style="thin">
        <color indexed="64"/>
      </right>
      <top style="thin">
        <color indexed="64"/>
      </top>
      <bottom style="thin">
        <color indexed="64"/>
      </bottom>
      <diagonal/>
    </border>
    <border>
      <left/>
      <right style="thin">
        <color theme="0"/>
      </right>
      <top/>
      <bottom/>
      <diagonal/>
    </border>
    <border>
      <left/>
      <right style="thin">
        <color theme="0"/>
      </right>
      <top/>
      <bottom style="thin">
        <color theme="0"/>
      </bottom>
      <diagonal/>
    </border>
    <border>
      <left/>
      <right style="thin">
        <color indexed="64"/>
      </right>
      <top style="thin">
        <color theme="0"/>
      </top>
      <bottom style="thin">
        <color theme="0"/>
      </bottom>
      <diagonal/>
    </border>
    <border>
      <left style="thin">
        <color theme="0"/>
      </left>
      <right/>
      <top style="thin">
        <color theme="0"/>
      </top>
      <bottom/>
      <diagonal/>
    </border>
    <border>
      <left style="thin">
        <color theme="0"/>
      </left>
      <right/>
      <top/>
      <bottom style="thin">
        <color theme="0"/>
      </bottom>
      <diagonal/>
    </border>
    <border>
      <left style="thin">
        <color theme="0"/>
      </left>
      <right/>
      <top/>
      <bottom/>
      <diagonal/>
    </border>
    <border>
      <left style="thin">
        <color theme="9" tint="0.79998168889431442"/>
      </left>
      <right style="thin">
        <color theme="9" tint="0.79998168889431442"/>
      </right>
      <top style="thin">
        <color theme="9" tint="0.79998168889431442"/>
      </top>
      <bottom style="thin">
        <color theme="9" tint="0.7999816888943144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theme="9" tint="0.79998168889431442"/>
      </left>
      <right/>
      <top style="thin">
        <color theme="9" tint="0.79998168889431442"/>
      </top>
      <bottom style="thin">
        <color theme="9" tint="0.79998168889431442"/>
      </bottom>
      <diagonal/>
    </border>
    <border>
      <left/>
      <right style="thin">
        <color theme="9" tint="0.79998168889431442"/>
      </right>
      <top style="thin">
        <color theme="9" tint="0.79998168889431442"/>
      </top>
      <bottom style="thin">
        <color theme="9" tint="0.79998168889431442"/>
      </bottom>
      <diagonal/>
    </border>
    <border>
      <left style="thin">
        <color theme="9" tint="0.79998168889431442"/>
      </left>
      <right style="thin">
        <color theme="9" tint="0.79998168889431442"/>
      </right>
      <top style="thin">
        <color theme="9" tint="0.79998168889431442"/>
      </top>
      <bottom/>
      <diagonal/>
    </border>
    <border>
      <left style="thin">
        <color theme="9" tint="0.79998168889431442"/>
      </left>
      <right style="thin">
        <color theme="9" tint="0.79998168889431442"/>
      </right>
      <top/>
      <bottom style="thin">
        <color theme="9" tint="0.79998168889431442"/>
      </bottom>
      <diagonal/>
    </border>
    <border>
      <left/>
      <right/>
      <top style="thin">
        <color theme="0"/>
      </top>
      <bottom/>
      <diagonal/>
    </border>
    <border>
      <left/>
      <right/>
      <top style="double">
        <color auto="1"/>
      </top>
      <bottom style="thin">
        <color auto="1"/>
      </bottom>
      <diagonal/>
    </border>
  </borders>
  <cellStyleXfs count="157">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9" fontId="8" fillId="0" borderId="0" applyFont="0" applyFill="0" applyBorder="0" applyAlignment="0" applyProtection="0"/>
    <xf numFmtId="0" fontId="11" fillId="0" borderId="0"/>
    <xf numFmtId="43" fontId="8" fillId="0" borderId="0" applyFont="0" applyFill="0" applyBorder="0" applyAlignment="0" applyProtection="0"/>
    <xf numFmtId="44" fontId="8" fillId="0" borderId="0" applyFont="0" applyFill="0" applyBorder="0" applyAlignment="0" applyProtection="0"/>
    <xf numFmtId="0" fontId="20" fillId="0" borderId="0"/>
    <xf numFmtId="9" fontId="20" fillId="0" borderId="0" applyFont="0" applyFill="0" applyBorder="0" applyAlignment="0" applyProtection="0"/>
    <xf numFmtId="44" fontId="20" fillId="0" borderId="0" applyFont="0" applyFill="0" applyBorder="0" applyAlignment="0" applyProtection="0"/>
    <xf numFmtId="42" fontId="20" fillId="0" borderId="0" applyFont="0" applyFill="0" applyBorder="0" applyAlignment="0" applyProtection="0"/>
    <xf numFmtId="43" fontId="20" fillId="0" borderId="0" applyFont="0" applyFill="0" applyBorder="0" applyAlignment="0" applyProtection="0"/>
    <xf numFmtId="41" fontId="20" fillId="0" borderId="0" applyFont="0" applyFill="0" applyBorder="0" applyAlignment="0" applyProtection="0"/>
    <xf numFmtId="43" fontId="20" fillId="0" borderId="0" applyFont="0" applyFill="0" applyBorder="0" applyAlignment="0" applyProtection="0"/>
    <xf numFmtId="44" fontId="20" fillId="0" borderId="0" applyFont="0" applyFill="0" applyBorder="0" applyAlignment="0" applyProtection="0"/>
    <xf numFmtId="43"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3" fontId="20" fillId="0" borderId="0" applyFont="0" applyFill="0" applyBorder="0" applyAlignment="0" applyProtection="0"/>
    <xf numFmtId="44" fontId="20" fillId="0" borderId="0" applyFont="0" applyFill="0" applyBorder="0" applyAlignment="0" applyProtection="0"/>
    <xf numFmtId="43" fontId="20" fillId="0" borderId="0" applyFont="0" applyFill="0" applyBorder="0" applyAlignment="0" applyProtection="0"/>
    <xf numFmtId="4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cellStyleXfs>
  <cellXfs count="303">
    <xf numFmtId="0" fontId="0" fillId="0" borderId="0" xfId="0"/>
    <xf numFmtId="0" fontId="1" fillId="0" borderId="0" xfId="0" applyFont="1" applyAlignment="1">
      <alignment horizontal="center"/>
    </xf>
    <xf numFmtId="164" fontId="1" fillId="0" borderId="0" xfId="0" applyNumberFormat="1" applyFont="1" applyAlignment="1">
      <alignment horizontal="center"/>
    </xf>
    <xf numFmtId="9" fontId="0" fillId="0" borderId="0" xfId="0" applyNumberFormat="1" applyAlignment="1">
      <alignment horizontal="center"/>
    </xf>
    <xf numFmtId="9" fontId="4" fillId="0" borderId="2" xfId="0" applyNumberFormat="1" applyFont="1" applyBorder="1" applyAlignment="1">
      <alignment horizontal="center"/>
    </xf>
    <xf numFmtId="9" fontId="4" fillId="0" borderId="1" xfId="0" applyNumberFormat="1" applyFont="1" applyBorder="1" applyAlignment="1">
      <alignment horizontal="center"/>
    </xf>
    <xf numFmtId="164" fontId="0" fillId="0" borderId="2" xfId="0" applyNumberFormat="1" applyBorder="1" applyAlignment="1">
      <alignment horizontal="center"/>
    </xf>
    <xf numFmtId="0" fontId="0" fillId="0" borderId="2" xfId="0" applyBorder="1" applyAlignment="1">
      <alignment horizontal="center"/>
    </xf>
    <xf numFmtId="166" fontId="0" fillId="0" borderId="2" xfId="0" applyNumberFormat="1" applyBorder="1" applyAlignment="1">
      <alignment horizontal="center"/>
    </xf>
    <xf numFmtId="9" fontId="5" fillId="0" borderId="0" xfId="0" applyNumberFormat="1" applyFont="1" applyAlignment="1">
      <alignment horizontal="left"/>
    </xf>
    <xf numFmtId="166" fontId="6" fillId="0" borderId="0" xfId="0" applyNumberFormat="1" applyFont="1" applyAlignment="1">
      <alignment horizontal="center"/>
    </xf>
    <xf numFmtId="0" fontId="7" fillId="0" borderId="0" xfId="0" applyFont="1" applyAlignment="1">
      <alignment horizontal="center"/>
    </xf>
    <xf numFmtId="10" fontId="0" fillId="2" borderId="4" xfId="135" applyNumberFormat="1" applyFont="1" applyFill="1" applyBorder="1" applyAlignment="1">
      <alignment horizontal="center"/>
    </xf>
    <xf numFmtId="0" fontId="1" fillId="0" borderId="3" xfId="0" applyFont="1" applyBorder="1" applyAlignment="1">
      <alignment horizontal="center"/>
    </xf>
    <xf numFmtId="166" fontId="0" fillId="0" borderId="0" xfId="0" applyNumberFormat="1"/>
    <xf numFmtId="164" fontId="0" fillId="0" borderId="0" xfId="0" applyNumberFormat="1" applyAlignment="1">
      <alignment horizontal="center"/>
    </xf>
    <xf numFmtId="0" fontId="0" fillId="0" borderId="0" xfId="0" applyAlignment="1">
      <alignment horizontal="center"/>
    </xf>
    <xf numFmtId="166" fontId="0" fillId="0" borderId="0" xfId="0" applyNumberFormat="1" applyAlignment="1">
      <alignment horizontal="center"/>
    </xf>
    <xf numFmtId="0" fontId="0" fillId="0" borderId="1" xfId="0" applyBorder="1"/>
    <xf numFmtId="0" fontId="1" fillId="0" borderId="1" xfId="0" applyFont="1" applyBorder="1" applyAlignment="1">
      <alignment horizontal="center"/>
    </xf>
    <xf numFmtId="1" fontId="1" fillId="0" borderId="1" xfId="0" applyNumberFormat="1" applyFont="1" applyBorder="1" applyAlignment="1">
      <alignment horizontal="center"/>
    </xf>
    <xf numFmtId="0" fontId="0" fillId="0" borderId="2" xfId="0" applyBorder="1"/>
    <xf numFmtId="14" fontId="0" fillId="0" borderId="2" xfId="0" applyNumberFormat="1" applyBorder="1" applyAlignment="1">
      <alignment horizontal="center"/>
    </xf>
    <xf numFmtId="0" fontId="1" fillId="0" borderId="0" xfId="0" applyFont="1"/>
    <xf numFmtId="0" fontId="9" fillId="0" borderId="0" xfId="0" applyFont="1"/>
    <xf numFmtId="0" fontId="1" fillId="0" borderId="3" xfId="0" applyFont="1" applyBorder="1"/>
    <xf numFmtId="165" fontId="0" fillId="0" borderId="0" xfId="0" applyNumberFormat="1" applyAlignment="1">
      <alignment horizontal="center"/>
    </xf>
    <xf numFmtId="0" fontId="0" fillId="2" borderId="4" xfId="0" applyFill="1" applyBorder="1"/>
    <xf numFmtId="166" fontId="0" fillId="0" borderId="1" xfId="0" applyNumberFormat="1" applyBorder="1" applyAlignment="1">
      <alignment horizontal="center"/>
    </xf>
    <xf numFmtId="0" fontId="0" fillId="0" borderId="1" xfId="0" applyBorder="1" applyAlignment="1">
      <alignment horizontal="center"/>
    </xf>
    <xf numFmtId="9" fontId="0" fillId="0" borderId="1" xfId="0" applyNumberFormat="1" applyBorder="1" applyAlignment="1">
      <alignment horizontal="center"/>
    </xf>
    <xf numFmtId="164" fontId="1" fillId="0" borderId="1" xfId="0" applyNumberFormat="1" applyFont="1" applyBorder="1" applyAlignment="1">
      <alignment horizontal="center"/>
    </xf>
    <xf numFmtId="164" fontId="0" fillId="0" borderId="1" xfId="0" applyNumberFormat="1" applyBorder="1" applyAlignment="1">
      <alignment horizontal="center"/>
    </xf>
    <xf numFmtId="9" fontId="0" fillId="0" borderId="0" xfId="135" applyFont="1" applyAlignment="1">
      <alignment horizontal="center"/>
    </xf>
    <xf numFmtId="0" fontId="1" fillId="0" borderId="1" xfId="0" applyFont="1" applyBorder="1" applyAlignment="1">
      <alignment horizontal="center" wrapText="1"/>
    </xf>
    <xf numFmtId="166" fontId="10" fillId="0" borderId="0" xfId="0" applyNumberFormat="1" applyFont="1" applyAlignment="1">
      <alignment horizontal="center"/>
    </xf>
    <xf numFmtId="0" fontId="10" fillId="0" borderId="0" xfId="0" applyFont="1"/>
    <xf numFmtId="166" fontId="10" fillId="4" borderId="0" xfId="0" applyNumberFormat="1" applyFont="1" applyFill="1" applyAlignment="1">
      <alignment horizontal="center"/>
    </xf>
    <xf numFmtId="0" fontId="0" fillId="4" borderId="0" xfId="0" applyFill="1" applyAlignment="1">
      <alignment horizontal="center"/>
    </xf>
    <xf numFmtId="166" fontId="0" fillId="4" borderId="0" xfId="0" applyNumberFormat="1" applyFill="1" applyAlignment="1">
      <alignment horizontal="center"/>
    </xf>
    <xf numFmtId="9" fontId="0" fillId="4" borderId="0" xfId="0" applyNumberFormat="1" applyFill="1" applyAlignment="1">
      <alignment horizontal="center"/>
    </xf>
    <xf numFmtId="0" fontId="1" fillId="0" borderId="1" xfId="0" applyFont="1" applyBorder="1"/>
    <xf numFmtId="0" fontId="0" fillId="5" borderId="0" xfId="0" applyFill="1"/>
    <xf numFmtId="167" fontId="0" fillId="0" borderId="0" xfId="0" applyNumberFormat="1" applyAlignment="1">
      <alignment horizontal="center"/>
    </xf>
    <xf numFmtId="168" fontId="0" fillId="0" borderId="0" xfId="0" applyNumberFormat="1" applyAlignment="1">
      <alignment horizontal="center"/>
    </xf>
    <xf numFmtId="168" fontId="0" fillId="0" borderId="2" xfId="0" applyNumberFormat="1" applyBorder="1" applyAlignment="1">
      <alignment horizontal="center"/>
    </xf>
    <xf numFmtId="168" fontId="5" fillId="0" borderId="0" xfId="0" applyNumberFormat="1" applyFont="1" applyAlignment="1">
      <alignment horizontal="left"/>
    </xf>
    <xf numFmtId="168" fontId="1" fillId="0" borderId="0" xfId="0" applyNumberFormat="1" applyFont="1" applyAlignment="1">
      <alignment horizontal="center"/>
    </xf>
    <xf numFmtId="168" fontId="0" fillId="0" borderId="1" xfId="0" applyNumberFormat="1" applyBorder="1" applyAlignment="1">
      <alignment horizontal="center"/>
    </xf>
    <xf numFmtId="168" fontId="1" fillId="0" borderId="1" xfId="0" applyNumberFormat="1" applyFont="1" applyBorder="1" applyAlignment="1">
      <alignment horizontal="center"/>
    </xf>
    <xf numFmtId="168" fontId="0" fillId="0" borderId="0" xfId="0" applyNumberFormat="1"/>
    <xf numFmtId="168" fontId="6" fillId="0" borderId="0" xfId="0" applyNumberFormat="1" applyFont="1" applyAlignment="1">
      <alignment horizontal="center"/>
    </xf>
    <xf numFmtId="168" fontId="0" fillId="4" borderId="0" xfId="0" applyNumberFormat="1" applyFill="1" applyAlignment="1">
      <alignment horizontal="center"/>
    </xf>
    <xf numFmtId="168" fontId="0" fillId="4" borderId="2" xfId="0" applyNumberFormat="1" applyFill="1" applyBorder="1" applyAlignment="1">
      <alignment horizontal="center"/>
    </xf>
    <xf numFmtId="168" fontId="1" fillId="0" borderId="3" xfId="0" applyNumberFormat="1" applyFont="1" applyBorder="1" applyAlignment="1">
      <alignment horizontal="center"/>
    </xf>
    <xf numFmtId="168" fontId="7" fillId="0" borderId="0" xfId="0" applyNumberFormat="1" applyFont="1" applyAlignment="1">
      <alignment horizontal="center"/>
    </xf>
    <xf numFmtId="168" fontId="1" fillId="0" borderId="1" xfId="0" applyNumberFormat="1" applyFont="1" applyBorder="1"/>
    <xf numFmtId="168" fontId="1" fillId="0" borderId="0" xfId="0" applyNumberFormat="1" applyFont="1"/>
    <xf numFmtId="168" fontId="6" fillId="6" borderId="0" xfId="0" applyNumberFormat="1" applyFont="1" applyFill="1" applyAlignment="1">
      <alignment horizontal="center"/>
    </xf>
    <xf numFmtId="169" fontId="0" fillId="0" borderId="2" xfId="0" applyNumberFormat="1" applyBorder="1" applyAlignment="1">
      <alignment horizontal="center"/>
    </xf>
    <xf numFmtId="166" fontId="1" fillId="0" borderId="0" xfId="0" applyNumberFormat="1" applyFont="1" applyAlignment="1">
      <alignment vertical="center"/>
    </xf>
    <xf numFmtId="167" fontId="0" fillId="0" borderId="1" xfId="0" applyNumberFormat="1" applyBorder="1" applyAlignment="1">
      <alignment horizontal="center"/>
    </xf>
    <xf numFmtId="0" fontId="1" fillId="0" borderId="0" xfId="0" applyFont="1" applyAlignment="1">
      <alignment horizontal="center" vertical="center"/>
    </xf>
    <xf numFmtId="168" fontId="0" fillId="7" borderId="0" xfId="0" applyNumberFormat="1" applyFill="1" applyAlignment="1">
      <alignment horizontal="center"/>
    </xf>
    <xf numFmtId="168" fontId="0" fillId="7" borderId="0" xfId="0" applyNumberFormat="1" applyFill="1"/>
    <xf numFmtId="168" fontId="6" fillId="7" borderId="0" xfId="0" applyNumberFormat="1" applyFont="1" applyFill="1" applyAlignment="1">
      <alignment horizontal="center"/>
    </xf>
    <xf numFmtId="170" fontId="0" fillId="0" borderId="0" xfId="0" applyNumberFormat="1" applyAlignment="1">
      <alignment horizontal="center"/>
    </xf>
    <xf numFmtId="170" fontId="0" fillId="0" borderId="1" xfId="0" applyNumberFormat="1" applyBorder="1" applyAlignment="1">
      <alignment horizontal="center"/>
    </xf>
    <xf numFmtId="170" fontId="0" fillId="0" borderId="0" xfId="0" applyNumberFormat="1"/>
    <xf numFmtId="170" fontId="0" fillId="0" borderId="2" xfId="0" applyNumberFormat="1" applyBorder="1" applyAlignment="1">
      <alignment horizontal="center"/>
    </xf>
    <xf numFmtId="170" fontId="1" fillId="0" borderId="3" xfId="0" applyNumberFormat="1" applyFont="1" applyBorder="1" applyAlignment="1">
      <alignment horizontal="center"/>
    </xf>
    <xf numFmtId="170" fontId="1" fillId="0" borderId="1" xfId="0" applyNumberFormat="1" applyFont="1" applyBorder="1" applyAlignment="1">
      <alignment horizontal="center"/>
    </xf>
    <xf numFmtId="170" fontId="1" fillId="0" borderId="0" xfId="0" applyNumberFormat="1" applyFont="1"/>
    <xf numFmtId="170" fontId="6" fillId="0" borderId="0" xfId="0" applyNumberFormat="1" applyFont="1" applyAlignment="1">
      <alignment horizontal="center"/>
    </xf>
    <xf numFmtId="171" fontId="0" fillId="0" borderId="0" xfId="0" applyNumberFormat="1"/>
    <xf numFmtId="10" fontId="0" fillId="0" borderId="1" xfId="135" applyNumberFormat="1" applyFont="1" applyFill="1" applyBorder="1" applyAlignment="1">
      <alignment horizontal="center"/>
    </xf>
    <xf numFmtId="9" fontId="1" fillId="0" borderId="1" xfId="0" applyNumberFormat="1" applyFont="1" applyBorder="1" applyAlignment="1">
      <alignment horizontal="center"/>
    </xf>
    <xf numFmtId="9" fontId="0" fillId="0" borderId="2" xfId="0" applyNumberFormat="1" applyBorder="1" applyAlignment="1">
      <alignment horizontal="center"/>
    </xf>
    <xf numFmtId="9" fontId="1" fillId="0" borderId="0" xfId="0" applyNumberFormat="1" applyFont="1" applyAlignment="1">
      <alignment horizontal="center"/>
    </xf>
    <xf numFmtId="9" fontId="6" fillId="0" borderId="0" xfId="0" applyNumberFormat="1" applyFont="1" applyAlignment="1">
      <alignment horizontal="center"/>
    </xf>
    <xf numFmtId="9" fontId="1" fillId="0" borderId="3" xfId="0" applyNumberFormat="1" applyFont="1" applyBorder="1" applyAlignment="1">
      <alignment horizontal="center"/>
    </xf>
    <xf numFmtId="9" fontId="0" fillId="2" borderId="4" xfId="135" applyFont="1" applyFill="1" applyBorder="1" applyAlignment="1">
      <alignment horizontal="center"/>
    </xf>
    <xf numFmtId="10" fontId="0" fillId="0" borderId="0" xfId="0" applyNumberFormat="1" applyAlignment="1">
      <alignment horizontal="center"/>
    </xf>
    <xf numFmtId="172" fontId="0" fillId="0" borderId="0" xfId="0" applyNumberFormat="1" applyAlignment="1">
      <alignment horizontal="center"/>
    </xf>
    <xf numFmtId="14" fontId="0" fillId="0" borderId="0" xfId="0" applyNumberFormat="1" applyAlignment="1">
      <alignment horizontal="center"/>
    </xf>
    <xf numFmtId="168" fontId="0" fillId="0" borderId="0" xfId="137" applyNumberFormat="1" applyFont="1" applyAlignment="1">
      <alignment horizontal="center"/>
    </xf>
    <xf numFmtId="166" fontId="0" fillId="0" borderId="0" xfId="137" applyNumberFormat="1" applyFont="1" applyAlignment="1">
      <alignment horizontal="center"/>
    </xf>
    <xf numFmtId="0" fontId="0" fillId="0" borderId="0" xfId="0" applyAlignment="1">
      <alignment horizontal="center"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9" xfId="0" applyBorder="1" applyAlignment="1">
      <alignment horizontal="center" vertical="center"/>
    </xf>
    <xf numFmtId="0" fontId="0" fillId="0" borderId="16" xfId="0" applyBorder="1"/>
    <xf numFmtId="0" fontId="0" fillId="0" borderId="9" xfId="0" applyBorder="1"/>
    <xf numFmtId="43" fontId="0" fillId="0" borderId="16" xfId="137" applyFont="1" applyBorder="1"/>
    <xf numFmtId="0" fontId="0" fillId="0" borderId="17" xfId="0" applyBorder="1"/>
    <xf numFmtId="0" fontId="0" fillId="0" borderId="19" xfId="0" applyBorder="1"/>
    <xf numFmtId="0" fontId="0" fillId="0" borderId="18"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10" xfId="0" applyBorder="1" applyAlignment="1">
      <alignment wrapText="1"/>
    </xf>
    <xf numFmtId="0" fontId="0" fillId="0" borderId="14" xfId="0" applyBorder="1" applyAlignment="1">
      <alignment wrapText="1"/>
    </xf>
    <xf numFmtId="0" fontId="0" fillId="0" borderId="12" xfId="0" applyBorder="1" applyAlignment="1">
      <alignment wrapText="1"/>
    </xf>
    <xf numFmtId="43" fontId="0" fillId="8" borderId="9" xfId="137" applyFont="1" applyFill="1" applyBorder="1"/>
    <xf numFmtId="0" fontId="0" fillId="9" borderId="9" xfId="0" applyFill="1" applyBorder="1" applyAlignment="1">
      <alignment horizontal="center" vertical="center"/>
    </xf>
    <xf numFmtId="43" fontId="0" fillId="8" borderId="0" xfId="0" applyNumberFormat="1" applyFill="1"/>
    <xf numFmtId="0" fontId="0" fillId="8" borderId="0" xfId="0" applyFill="1" applyAlignment="1">
      <alignment horizontal="center" vertical="center"/>
    </xf>
    <xf numFmtId="0" fontId="0" fillId="10" borderId="25" xfId="0" applyFill="1" applyBorder="1"/>
    <xf numFmtId="0" fontId="0" fillId="10" borderId="25" xfId="0" applyFill="1" applyBorder="1" applyAlignment="1">
      <alignment wrapText="1"/>
    </xf>
    <xf numFmtId="0" fontId="0" fillId="10" borderId="29" xfId="0" applyFill="1" applyBorder="1"/>
    <xf numFmtId="0" fontId="0" fillId="10" borderId="30" xfId="0" applyFill="1" applyBorder="1"/>
    <xf numFmtId="0" fontId="0" fillId="10" borderId="31" xfId="0" applyFill="1" applyBorder="1"/>
    <xf numFmtId="0" fontId="0" fillId="10" borderId="32" xfId="0" applyFill="1" applyBorder="1" applyAlignment="1">
      <alignment wrapText="1"/>
    </xf>
    <xf numFmtId="0" fontId="0" fillId="10" borderId="32" xfId="0" applyFill="1" applyBorder="1"/>
    <xf numFmtId="9" fontId="0" fillId="0" borderId="0" xfId="0" applyNumberFormat="1" applyAlignment="1">
      <alignment horizontal="center" wrapText="1"/>
    </xf>
    <xf numFmtId="9" fontId="0" fillId="0" borderId="0" xfId="135" applyFont="1" applyFill="1" applyBorder="1" applyAlignment="1">
      <alignment horizontal="center"/>
    </xf>
    <xf numFmtId="0" fontId="0" fillId="11" borderId="0" xfId="0" applyFill="1"/>
    <xf numFmtId="0" fontId="0" fillId="9" borderId="0" xfId="0" applyFill="1" applyAlignment="1">
      <alignment horizontal="center" vertical="center"/>
    </xf>
    <xf numFmtId="43" fontId="0" fillId="8" borderId="0" xfId="137" applyFont="1" applyFill="1" applyBorder="1"/>
    <xf numFmtId="43" fontId="0" fillId="0" borderId="24" xfId="137" applyFont="1" applyBorder="1"/>
    <xf numFmtId="0" fontId="13" fillId="0" borderId="20" xfId="0" applyFont="1" applyBorder="1"/>
    <xf numFmtId="43" fontId="0" fillId="12" borderId="10" xfId="0" applyNumberFormat="1" applyFill="1" applyBorder="1"/>
    <xf numFmtId="9" fontId="0" fillId="0" borderId="10" xfId="0" applyNumberFormat="1" applyBorder="1"/>
    <xf numFmtId="43" fontId="0" fillId="0" borderId="10" xfId="0" applyNumberFormat="1" applyBorder="1"/>
    <xf numFmtId="0" fontId="0" fillId="0" borderId="33" xfId="0" applyBorder="1"/>
    <xf numFmtId="0" fontId="14" fillId="0" borderId="20" xfId="0" applyFont="1" applyBorder="1"/>
    <xf numFmtId="0" fontId="0" fillId="0" borderId="10" xfId="0" applyBorder="1" applyAlignment="1">
      <alignment horizontal="right"/>
    </xf>
    <xf numFmtId="43" fontId="0" fillId="8" borderId="0" xfId="137" applyFont="1" applyFill="1"/>
    <xf numFmtId="166" fontId="0" fillId="0" borderId="1" xfId="0" applyNumberFormat="1" applyBorder="1"/>
    <xf numFmtId="166" fontId="0" fillId="0" borderId="2" xfId="0" applyNumberFormat="1" applyBorder="1"/>
    <xf numFmtId="166" fontId="1" fillId="0" borderId="0" xfId="0" applyNumberFormat="1" applyFont="1"/>
    <xf numFmtId="166" fontId="9" fillId="0" borderId="0" xfId="0" applyNumberFormat="1" applyFont="1"/>
    <xf numFmtId="166" fontId="1" fillId="0" borderId="1" xfId="0" applyNumberFormat="1" applyFont="1" applyBorder="1"/>
    <xf numFmtId="166" fontId="0" fillId="5" borderId="0" xfId="0" applyNumberFormat="1" applyFill="1"/>
    <xf numFmtId="166" fontId="1" fillId="0" borderId="3" xfId="0" applyNumberFormat="1" applyFont="1" applyBorder="1"/>
    <xf numFmtId="166" fontId="0" fillId="2" borderId="4" xfId="0" applyNumberFormat="1" applyFill="1" applyBorder="1"/>
    <xf numFmtId="0" fontId="0" fillId="0" borderId="0" xfId="0" applyAlignment="1">
      <alignment horizontal="left" indent="1"/>
    </xf>
    <xf numFmtId="173" fontId="0" fillId="0" borderId="0" xfId="0" applyNumberFormat="1"/>
    <xf numFmtId="173" fontId="0" fillId="0" borderId="0" xfId="0" applyNumberFormat="1" applyAlignment="1">
      <alignment horizontal="center"/>
    </xf>
    <xf numFmtId="0" fontId="17" fillId="0" borderId="0" xfId="0" applyFont="1" applyAlignment="1">
      <alignment horizontal="center" wrapText="1"/>
    </xf>
    <xf numFmtId="174" fontId="0" fillId="0" borderId="0" xfId="0" applyNumberFormat="1"/>
    <xf numFmtId="174" fontId="0" fillId="0" borderId="0" xfId="0" applyNumberFormat="1" applyAlignment="1">
      <alignment horizontal="center"/>
    </xf>
    <xf numFmtId="9" fontId="1" fillId="0" borderId="0" xfId="135" applyFont="1" applyAlignment="1">
      <alignment horizontal="center"/>
    </xf>
    <xf numFmtId="10" fontId="7" fillId="2" borderId="4" xfId="135" applyNumberFormat="1" applyFont="1" applyFill="1" applyBorder="1" applyAlignment="1">
      <alignment horizontal="center"/>
    </xf>
    <xf numFmtId="170" fontId="1" fillId="0" borderId="0" xfId="0" applyNumberFormat="1" applyFont="1" applyAlignment="1">
      <alignment horizontal="center"/>
    </xf>
    <xf numFmtId="1" fontId="1" fillId="0" borderId="0" xfId="0" applyNumberFormat="1" applyFont="1" applyAlignment="1">
      <alignment horizontal="center"/>
    </xf>
    <xf numFmtId="1" fontId="0" fillId="0" borderId="0" xfId="0" applyNumberFormat="1" applyAlignment="1">
      <alignment horizontal="center"/>
    </xf>
    <xf numFmtId="38" fontId="0" fillId="0" borderId="0" xfId="137" applyNumberFormat="1" applyFont="1" applyAlignment="1">
      <alignment horizontal="center"/>
    </xf>
    <xf numFmtId="38" fontId="0" fillId="0" borderId="2" xfId="137" applyNumberFormat="1" applyFont="1" applyBorder="1" applyAlignment="1">
      <alignment horizontal="center"/>
    </xf>
    <xf numFmtId="38" fontId="0" fillId="0" borderId="0" xfId="0" applyNumberFormat="1" applyAlignment="1">
      <alignment horizontal="center"/>
    </xf>
    <xf numFmtId="38" fontId="1" fillId="0" borderId="1" xfId="0" applyNumberFormat="1" applyFont="1" applyBorder="1" applyAlignment="1">
      <alignment horizontal="center"/>
    </xf>
    <xf numFmtId="38" fontId="0" fillId="0" borderId="1" xfId="0" applyNumberFormat="1" applyBorder="1" applyAlignment="1">
      <alignment horizontal="center"/>
    </xf>
    <xf numFmtId="38" fontId="1" fillId="0" borderId="3" xfId="0" applyNumberFormat="1" applyFont="1" applyBorder="1" applyAlignment="1">
      <alignment horizontal="center"/>
    </xf>
    <xf numFmtId="38" fontId="1" fillId="0" borderId="0" xfId="0" applyNumberFormat="1" applyFont="1" applyAlignment="1">
      <alignment horizontal="center"/>
    </xf>
    <xf numFmtId="38" fontId="10" fillId="0" borderId="0" xfId="138" applyNumberFormat="1" applyFont="1" applyAlignment="1">
      <alignment horizontal="center"/>
    </xf>
    <xf numFmtId="38" fontId="7" fillId="0" borderId="0" xfId="138" applyNumberFormat="1" applyFont="1" applyAlignment="1">
      <alignment horizontal="center"/>
    </xf>
    <xf numFmtId="38" fontId="10" fillId="0" borderId="1" xfId="138" applyNumberFormat="1" applyFont="1" applyBorder="1" applyAlignment="1">
      <alignment horizontal="center"/>
    </xf>
    <xf numFmtId="38" fontId="7" fillId="0" borderId="0" xfId="0" applyNumberFormat="1" applyFont="1" applyAlignment="1">
      <alignment horizontal="center"/>
    </xf>
    <xf numFmtId="38" fontId="10" fillId="0" borderId="1" xfId="0" applyNumberFormat="1" applyFont="1" applyBorder="1" applyAlignment="1">
      <alignment horizontal="center"/>
    </xf>
    <xf numFmtId="38" fontId="7" fillId="0" borderId="1" xfId="0" applyNumberFormat="1" applyFont="1" applyBorder="1" applyAlignment="1">
      <alignment horizontal="center"/>
    </xf>
    <xf numFmtId="38" fontId="10" fillId="0" borderId="3" xfId="0" applyNumberFormat="1" applyFont="1" applyBorder="1" applyAlignment="1">
      <alignment horizontal="center"/>
    </xf>
    <xf numFmtId="38" fontId="10" fillId="0" borderId="0" xfId="0" applyNumberFormat="1" applyFont="1" applyAlignment="1">
      <alignment horizontal="center"/>
    </xf>
    <xf numFmtId="0" fontId="1" fillId="0" borderId="0" xfId="0" applyFont="1" applyAlignment="1">
      <alignment horizontal="left" indent="1"/>
    </xf>
    <xf numFmtId="167" fontId="1" fillId="0" borderId="1" xfId="0" applyNumberFormat="1" applyFont="1" applyBorder="1" applyAlignment="1">
      <alignment horizontal="center"/>
    </xf>
    <xf numFmtId="38" fontId="0" fillId="0" borderId="0" xfId="0" applyNumberFormat="1"/>
    <xf numFmtId="38" fontId="0" fillId="0" borderId="0" xfId="137" applyNumberFormat="1" applyFont="1" applyFill="1" applyAlignment="1">
      <alignment horizontal="center"/>
    </xf>
    <xf numFmtId="43" fontId="0" fillId="0" borderId="0" xfId="137" applyFont="1"/>
    <xf numFmtId="38" fontId="7" fillId="0" borderId="1" xfId="138" applyNumberFormat="1" applyFont="1" applyBorder="1" applyAlignment="1">
      <alignment horizontal="center"/>
    </xf>
    <xf numFmtId="168" fontId="0" fillId="0" borderId="0" xfId="137" applyNumberFormat="1" applyFont="1" applyFill="1" applyAlignment="1">
      <alignment horizontal="center"/>
    </xf>
    <xf numFmtId="166" fontId="0" fillId="0" borderId="0" xfId="137" applyNumberFormat="1" applyFont="1" applyFill="1" applyAlignment="1">
      <alignment horizontal="center"/>
    </xf>
    <xf numFmtId="9" fontId="0" fillId="0" borderId="0" xfId="135" applyFont="1" applyFill="1" applyAlignment="1">
      <alignment horizontal="center"/>
    </xf>
    <xf numFmtId="38" fontId="0" fillId="0" borderId="0" xfId="135" applyNumberFormat="1" applyFont="1" applyFill="1" applyAlignment="1">
      <alignment horizontal="center"/>
    </xf>
    <xf numFmtId="38" fontId="0" fillId="0" borderId="2" xfId="0" applyNumberFormat="1" applyBorder="1" applyAlignment="1">
      <alignment horizontal="center"/>
    </xf>
    <xf numFmtId="38" fontId="1" fillId="0" borderId="0" xfId="0" applyNumberFormat="1" applyFont="1"/>
    <xf numFmtId="10" fontId="0" fillId="2" borderId="34" xfId="135" applyNumberFormat="1" applyFont="1" applyFill="1" applyBorder="1" applyAlignment="1">
      <alignment horizontal="center"/>
    </xf>
    <xf numFmtId="38" fontId="1" fillId="0" borderId="0" xfId="137" applyNumberFormat="1" applyFont="1" applyAlignment="1">
      <alignment horizontal="center"/>
    </xf>
    <xf numFmtId="38" fontId="0" fillId="0" borderId="0" xfId="137" applyNumberFormat="1" applyFont="1" applyBorder="1" applyAlignment="1">
      <alignment horizontal="center"/>
    </xf>
    <xf numFmtId="1" fontId="0" fillId="0" borderId="1" xfId="0" applyNumberFormat="1" applyBorder="1" applyAlignment="1">
      <alignment horizontal="center"/>
    </xf>
    <xf numFmtId="0" fontId="0" fillId="0" borderId="0" xfId="0" applyAlignment="1">
      <alignment horizontal="center" wrapText="1"/>
    </xf>
    <xf numFmtId="0" fontId="0" fillId="0" borderId="0" xfId="0" applyAlignment="1">
      <alignment wrapText="1"/>
    </xf>
    <xf numFmtId="0" fontId="1" fillId="0" borderId="0" xfId="0" applyFont="1" applyAlignment="1">
      <alignment wrapText="1"/>
    </xf>
    <xf numFmtId="0" fontId="19" fillId="0" borderId="0" xfId="0" applyFont="1" applyAlignment="1">
      <alignment wrapText="1"/>
    </xf>
    <xf numFmtId="170" fontId="0" fillId="0" borderId="6" xfId="0" applyNumberFormat="1" applyBorder="1" applyAlignment="1">
      <alignment horizontal="center"/>
    </xf>
    <xf numFmtId="170" fontId="0" fillId="0" borderId="8" xfId="0" applyNumberFormat="1" applyBorder="1" applyAlignment="1">
      <alignment horizontal="center"/>
    </xf>
    <xf numFmtId="170" fontId="1" fillId="0" borderId="0" xfId="0" applyNumberFormat="1" applyFont="1" applyAlignment="1">
      <alignment horizontal="left"/>
    </xf>
    <xf numFmtId="38" fontId="1" fillId="0" borderId="3" xfId="137" applyNumberFormat="1" applyFont="1" applyBorder="1" applyAlignment="1">
      <alignment horizontal="center"/>
    </xf>
    <xf numFmtId="167" fontId="0" fillId="3" borderId="0" xfId="0" applyNumberFormat="1" applyFill="1" applyAlignment="1">
      <alignment horizontal="center"/>
    </xf>
    <xf numFmtId="38" fontId="0" fillId="4" borderId="0" xfId="0" applyNumberFormat="1" applyFill="1" applyAlignment="1">
      <alignment horizontal="center"/>
    </xf>
    <xf numFmtId="168" fontId="0" fillId="4" borderId="0" xfId="137" applyNumberFormat="1" applyFont="1" applyFill="1" applyAlignment="1">
      <alignment horizontal="center" wrapText="1"/>
    </xf>
    <xf numFmtId="167" fontId="0" fillId="0" borderId="0" xfId="0" applyNumberFormat="1" applyAlignment="1">
      <alignment horizontal="center" vertical="center" wrapText="1"/>
    </xf>
    <xf numFmtId="170" fontId="0" fillId="4" borderId="0" xfId="0" applyNumberFormat="1" applyFill="1" applyAlignment="1">
      <alignment horizontal="center" wrapText="1"/>
    </xf>
    <xf numFmtId="167" fontId="0" fillId="3" borderId="0" xfId="0" applyNumberFormat="1" applyFill="1" applyAlignment="1">
      <alignment horizontal="center" wrapText="1"/>
    </xf>
    <xf numFmtId="167" fontId="0" fillId="0" borderId="0" xfId="0" applyNumberFormat="1" applyAlignment="1">
      <alignment horizontal="center" wrapText="1"/>
    </xf>
    <xf numFmtId="166" fontId="19" fillId="0" borderId="0" xfId="0" applyNumberFormat="1" applyFont="1" applyAlignment="1">
      <alignment horizontal="center"/>
    </xf>
    <xf numFmtId="166" fontId="1" fillId="0" borderId="0" xfId="0" applyNumberFormat="1" applyFont="1" applyAlignment="1">
      <alignment horizontal="center"/>
    </xf>
    <xf numFmtId="169" fontId="1" fillId="0" borderId="2" xfId="0" applyNumberFormat="1" applyFont="1" applyBorder="1" applyAlignment="1">
      <alignment horizontal="center"/>
    </xf>
    <xf numFmtId="0" fontId="0" fillId="4" borderId="0" xfId="0" applyFill="1" applyAlignment="1">
      <alignment horizontal="center" wrapText="1"/>
    </xf>
    <xf numFmtId="38" fontId="0" fillId="0" borderId="1" xfId="137" applyNumberFormat="1" applyFont="1" applyBorder="1" applyAlignment="1">
      <alignment horizontal="center"/>
    </xf>
    <xf numFmtId="38" fontId="0" fillId="0" borderId="3" xfId="137" applyNumberFormat="1" applyFont="1" applyBorder="1" applyAlignment="1">
      <alignment horizontal="center"/>
    </xf>
    <xf numFmtId="175" fontId="8" fillId="0" borderId="0" xfId="135" applyNumberFormat="1" applyFont="1" applyAlignment="1">
      <alignment horizontal="center"/>
    </xf>
    <xf numFmtId="168" fontId="1" fillId="0" borderId="2" xfId="0" applyNumberFormat="1" applyFont="1" applyBorder="1" applyAlignment="1">
      <alignment horizontal="center"/>
    </xf>
    <xf numFmtId="166" fontId="16" fillId="0" borderId="0" xfId="0" applyNumberFormat="1" applyFont="1" applyAlignment="1">
      <alignment vertical="center"/>
    </xf>
    <xf numFmtId="38" fontId="0" fillId="0" borderId="1" xfId="137" applyNumberFormat="1" applyFont="1" applyFill="1" applyBorder="1" applyAlignment="1">
      <alignment horizontal="center"/>
    </xf>
    <xf numFmtId="38" fontId="1" fillId="0" borderId="0" xfId="137" applyNumberFormat="1" applyFont="1" applyBorder="1" applyAlignment="1">
      <alignment horizontal="center"/>
    </xf>
    <xf numFmtId="0" fontId="0" fillId="2" borderId="0" xfId="0" applyFill="1"/>
    <xf numFmtId="166" fontId="1" fillId="0" borderId="1" xfId="0" applyNumberFormat="1" applyFont="1" applyBorder="1" applyAlignment="1">
      <alignment horizontal="center"/>
    </xf>
    <xf numFmtId="166" fontId="1" fillId="0" borderId="3" xfId="0" applyNumberFormat="1" applyFont="1" applyBorder="1" applyAlignment="1">
      <alignment horizontal="center"/>
    </xf>
    <xf numFmtId="176" fontId="1" fillId="0" borderId="0" xfId="0" applyNumberFormat="1" applyFont="1" applyAlignment="1">
      <alignment horizontal="center"/>
    </xf>
    <xf numFmtId="38" fontId="7" fillId="0" borderId="0" xfId="138" applyNumberFormat="1" applyFont="1" applyFill="1" applyAlignment="1">
      <alignment horizontal="center"/>
    </xf>
    <xf numFmtId="38" fontId="6" fillId="0" borderId="0" xfId="0" applyNumberFormat="1" applyFont="1" applyAlignment="1">
      <alignment horizontal="center"/>
    </xf>
    <xf numFmtId="38" fontId="0" fillId="2" borderId="2" xfId="135" applyNumberFormat="1" applyFont="1" applyFill="1" applyBorder="1" applyAlignment="1">
      <alignment horizontal="center"/>
    </xf>
    <xf numFmtId="168" fontId="0" fillId="3" borderId="0" xfId="137" applyNumberFormat="1" applyFont="1" applyFill="1" applyAlignment="1">
      <alignment horizontal="center" wrapText="1"/>
    </xf>
    <xf numFmtId="168" fontId="0" fillId="3" borderId="0" xfId="137" applyNumberFormat="1" applyFont="1" applyFill="1" applyAlignment="1">
      <alignment horizontal="center"/>
    </xf>
    <xf numFmtId="2" fontId="0" fillId="0" borderId="0" xfId="0" applyNumberFormat="1" applyAlignment="1">
      <alignment horizontal="center"/>
    </xf>
    <xf numFmtId="38" fontId="0" fillId="0" borderId="0" xfId="135" applyNumberFormat="1" applyFont="1" applyAlignment="1">
      <alignment horizontal="center"/>
    </xf>
    <xf numFmtId="38" fontId="1" fillId="0" borderId="2" xfId="0" applyNumberFormat="1" applyFont="1" applyBorder="1" applyAlignment="1">
      <alignment horizontal="center"/>
    </xf>
    <xf numFmtId="38" fontId="0" fillId="0" borderId="2" xfId="137" applyNumberFormat="1" applyFont="1" applyFill="1" applyBorder="1" applyAlignment="1">
      <alignment horizontal="center"/>
    </xf>
    <xf numFmtId="168" fontId="17" fillId="0" borderId="0" xfId="137" applyNumberFormat="1" applyFont="1" applyAlignment="1">
      <alignment horizontal="left" wrapText="1"/>
    </xf>
    <xf numFmtId="10" fontId="0" fillId="0" borderId="0" xfId="135" applyNumberFormat="1" applyFont="1"/>
    <xf numFmtId="170" fontId="21" fillId="4" borderId="0" xfId="0" applyNumberFormat="1" applyFont="1" applyFill="1" applyAlignment="1">
      <alignment horizontal="center" wrapText="1"/>
    </xf>
    <xf numFmtId="168" fontId="17" fillId="4" borderId="0" xfId="137" applyNumberFormat="1" applyFont="1" applyFill="1" applyAlignment="1">
      <alignment horizontal="left" wrapText="1"/>
    </xf>
    <xf numFmtId="170" fontId="17" fillId="4" borderId="0" xfId="0" applyNumberFormat="1" applyFont="1" applyFill="1" applyAlignment="1">
      <alignment horizontal="center"/>
    </xf>
    <xf numFmtId="170" fontId="22" fillId="4" borderId="0" xfId="0" applyNumberFormat="1" applyFont="1" applyFill="1" applyAlignment="1">
      <alignment horizontal="center" wrapText="1"/>
    </xf>
    <xf numFmtId="170" fontId="17" fillId="4" borderId="0" xfId="0" applyNumberFormat="1" applyFont="1" applyFill="1" applyAlignment="1">
      <alignment horizontal="center" wrapText="1"/>
    </xf>
    <xf numFmtId="38" fontId="0" fillId="4" borderId="0" xfId="137" applyNumberFormat="1" applyFont="1" applyFill="1" applyAlignment="1">
      <alignment horizontal="center"/>
    </xf>
    <xf numFmtId="38" fontId="0" fillId="4" borderId="1" xfId="0" applyNumberFormat="1" applyFill="1" applyBorder="1" applyAlignment="1">
      <alignment horizontal="center"/>
    </xf>
    <xf numFmtId="176" fontId="10" fillId="0" borderId="0" xfId="0" applyNumberFormat="1" applyFont="1" applyAlignment="1">
      <alignment horizontal="center"/>
    </xf>
    <xf numFmtId="0" fontId="7" fillId="0" borderId="0" xfId="0" applyFont="1"/>
    <xf numFmtId="38" fontId="7" fillId="0" borderId="0" xfId="137" applyNumberFormat="1" applyFont="1" applyAlignment="1">
      <alignment horizontal="center"/>
    </xf>
    <xf numFmtId="170" fontId="7" fillId="0" borderId="0" xfId="0" applyNumberFormat="1" applyFont="1" applyAlignment="1">
      <alignment horizontal="center"/>
    </xf>
    <xf numFmtId="170" fontId="7" fillId="0" borderId="0" xfId="0" applyNumberFormat="1" applyFont="1"/>
    <xf numFmtId="10" fontId="7" fillId="0" borderId="0" xfId="135" applyNumberFormat="1" applyFont="1"/>
    <xf numFmtId="170" fontId="10" fillId="0" borderId="0" xfId="0" applyNumberFormat="1" applyFont="1" applyAlignment="1">
      <alignment horizontal="center"/>
    </xf>
    <xf numFmtId="38" fontId="7" fillId="0" borderId="0" xfId="138" applyNumberFormat="1" applyFont="1" applyBorder="1" applyAlignment="1">
      <alignment horizontal="center"/>
    </xf>
    <xf numFmtId="38" fontId="7" fillId="0" borderId="2" xfId="138" applyNumberFormat="1" applyFont="1" applyBorder="1" applyAlignment="1">
      <alignment horizontal="center"/>
    </xf>
    <xf numFmtId="168" fontId="23" fillId="4" borderId="0" xfId="0" applyNumberFormat="1" applyFont="1" applyFill="1" applyAlignment="1">
      <alignment horizontal="left" wrapText="1"/>
    </xf>
    <xf numFmtId="177" fontId="0" fillId="0" borderId="0" xfId="135" applyNumberFormat="1" applyFont="1" applyAlignment="1">
      <alignment horizontal="center"/>
    </xf>
    <xf numFmtId="170" fontId="0" fillId="0" borderId="0" xfId="0" applyNumberFormat="1" applyAlignment="1">
      <alignment horizontal="center" wrapText="1"/>
    </xf>
    <xf numFmtId="170" fontId="6" fillId="4" borderId="0" xfId="0" applyNumberFormat="1" applyFont="1" applyFill="1" applyAlignment="1">
      <alignment horizontal="center" wrapText="1"/>
    </xf>
    <xf numFmtId="1" fontId="1" fillId="0" borderId="1" xfId="0" applyNumberFormat="1" applyFont="1" applyBorder="1" applyAlignment="1">
      <alignment horizontal="center" wrapText="1"/>
    </xf>
    <xf numFmtId="14" fontId="0" fillId="0" borderId="2" xfId="0" applyNumberFormat="1" applyBorder="1" applyAlignment="1">
      <alignment horizontal="center" wrapText="1"/>
    </xf>
    <xf numFmtId="168" fontId="1" fillId="0" borderId="0" xfId="0" applyNumberFormat="1" applyFont="1" applyAlignment="1">
      <alignment horizontal="center" wrapText="1"/>
    </xf>
    <xf numFmtId="166" fontId="0" fillId="0" borderId="0" xfId="137" applyNumberFormat="1" applyFont="1" applyAlignment="1">
      <alignment horizontal="center" wrapText="1"/>
    </xf>
    <xf numFmtId="168" fontId="0" fillId="0" borderId="0" xfId="137" applyNumberFormat="1" applyFont="1" applyAlignment="1">
      <alignment horizontal="center" wrapText="1"/>
    </xf>
    <xf numFmtId="170" fontId="0" fillId="0" borderId="0" xfId="0" applyNumberFormat="1" applyAlignment="1">
      <alignment wrapText="1"/>
    </xf>
    <xf numFmtId="170" fontId="1" fillId="0" borderId="1" xfId="0" applyNumberFormat="1" applyFont="1" applyBorder="1" applyAlignment="1">
      <alignment horizontal="center" wrapText="1"/>
    </xf>
    <xf numFmtId="170" fontId="0" fillId="0" borderId="1" xfId="0" applyNumberFormat="1" applyBorder="1" applyAlignment="1">
      <alignment horizontal="center" wrapText="1"/>
    </xf>
    <xf numFmtId="170" fontId="1" fillId="0" borderId="3" xfId="0" applyNumberFormat="1" applyFont="1" applyBorder="1" applyAlignment="1">
      <alignment horizontal="center" wrapText="1"/>
    </xf>
    <xf numFmtId="10" fontId="0" fillId="2" borderId="4" xfId="135" applyNumberFormat="1" applyFont="1" applyFill="1" applyBorder="1" applyAlignment="1">
      <alignment horizontal="center" wrapText="1"/>
    </xf>
    <xf numFmtId="170" fontId="1" fillId="0" borderId="0" xfId="0" applyNumberFormat="1" applyFont="1" applyAlignment="1">
      <alignment horizontal="center" wrapText="1"/>
    </xf>
    <xf numFmtId="167" fontId="1" fillId="4" borderId="0" xfId="0" applyNumberFormat="1" applyFont="1" applyFill="1" applyAlignment="1">
      <alignment horizontal="center" wrapText="1"/>
    </xf>
    <xf numFmtId="38" fontId="0" fillId="2" borderId="4" xfId="135" applyNumberFormat="1" applyFont="1" applyFill="1" applyBorder="1" applyAlignment="1">
      <alignment horizontal="center"/>
    </xf>
    <xf numFmtId="166" fontId="15" fillId="0" borderId="0" xfId="0" applyNumberFormat="1" applyFont="1" applyAlignment="1">
      <alignment horizontal="center"/>
    </xf>
    <xf numFmtId="172" fontId="7" fillId="0" borderId="0" xfId="135" applyNumberFormat="1" applyFont="1" applyAlignment="1">
      <alignment horizontal="center"/>
    </xf>
    <xf numFmtId="38" fontId="7" fillId="4" borderId="0" xfId="0" applyNumberFormat="1" applyFont="1" applyFill="1" applyAlignment="1">
      <alignment horizontal="center"/>
    </xf>
    <xf numFmtId="10" fontId="0" fillId="0" borderId="0" xfId="135" applyNumberFormat="1" applyFont="1" applyFill="1" applyBorder="1" applyAlignment="1">
      <alignment horizontal="center"/>
    </xf>
    <xf numFmtId="170" fontId="24" fillId="0" borderId="0" xfId="0" applyNumberFormat="1" applyFont="1" applyAlignment="1">
      <alignment horizontal="center" wrapText="1"/>
    </xf>
    <xf numFmtId="170" fontId="0" fillId="4" borderId="0" xfId="0" applyNumberFormat="1" applyFill="1" applyAlignment="1">
      <alignment horizontal="center"/>
    </xf>
    <xf numFmtId="170" fontId="24" fillId="4" borderId="0" xfId="0" applyNumberFormat="1" applyFont="1" applyFill="1" applyAlignment="1">
      <alignment horizontal="center" wrapText="1"/>
    </xf>
    <xf numFmtId="43" fontId="1" fillId="0" borderId="0" xfId="137" applyFont="1" applyAlignment="1">
      <alignment horizontal="center"/>
    </xf>
    <xf numFmtId="178" fontId="0" fillId="0" borderId="0" xfId="0" applyNumberFormat="1"/>
    <xf numFmtId="168" fontId="23" fillId="4" borderId="0" xfId="0" applyNumberFormat="1" applyFont="1" applyFill="1" applyAlignment="1">
      <alignment horizontal="center" wrapText="1"/>
    </xf>
    <xf numFmtId="170" fontId="17" fillId="4" borderId="6" xfId="0" applyNumberFormat="1" applyFont="1" applyFill="1" applyBorder="1" applyAlignment="1">
      <alignment horizontal="center"/>
    </xf>
    <xf numFmtId="170" fontId="17" fillId="4" borderId="6" xfId="0" applyNumberFormat="1" applyFont="1" applyFill="1" applyBorder="1" applyAlignment="1">
      <alignment horizontal="center" wrapText="1"/>
    </xf>
    <xf numFmtId="179" fontId="0" fillId="0" borderId="0" xfId="0" applyNumberFormat="1"/>
    <xf numFmtId="168" fontId="17" fillId="0" borderId="0" xfId="0" applyNumberFormat="1" applyFont="1" applyAlignment="1">
      <alignment horizontal="center" wrapText="1"/>
    </xf>
    <xf numFmtId="168" fontId="17" fillId="6" borderId="0" xfId="0" applyNumberFormat="1" applyFont="1" applyFill="1" applyAlignment="1">
      <alignment horizontal="center" wrapText="1"/>
    </xf>
    <xf numFmtId="38" fontId="7" fillId="0" borderId="0" xfId="137" applyNumberFormat="1" applyFont="1" applyFill="1" applyAlignment="1">
      <alignment horizontal="center"/>
    </xf>
    <xf numFmtId="3" fontId="0" fillId="0" borderId="0" xfId="0" applyNumberFormat="1" applyAlignment="1">
      <alignment horizontal="center"/>
    </xf>
    <xf numFmtId="170" fontId="25" fillId="0" borderId="0" xfId="0" applyNumberFormat="1" applyFont="1" applyAlignment="1">
      <alignment horizontal="left"/>
    </xf>
    <xf numFmtId="10" fontId="0" fillId="0" borderId="4" xfId="135" applyNumberFormat="1" applyFont="1" applyFill="1" applyBorder="1" applyAlignment="1">
      <alignment horizontal="center"/>
    </xf>
    <xf numFmtId="176" fontId="0" fillId="0" borderId="0" xfId="0" applyNumberFormat="1"/>
    <xf numFmtId="170" fontId="7" fillId="0" borderId="1" xfId="0" applyNumberFormat="1" applyFont="1" applyBorder="1" applyAlignment="1">
      <alignment horizontal="center"/>
    </xf>
    <xf numFmtId="166" fontId="7" fillId="0" borderId="1" xfId="0" applyNumberFormat="1" applyFont="1" applyBorder="1" applyAlignment="1">
      <alignment horizontal="center"/>
    </xf>
    <xf numFmtId="1" fontId="1" fillId="0" borderId="1" xfId="0" applyNumberFormat="1" applyFont="1" applyBorder="1" applyAlignment="1">
      <alignment horizontal="center"/>
    </xf>
    <xf numFmtId="0" fontId="1" fillId="0" borderId="0" xfId="0" applyFont="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center" wrapText="1"/>
    </xf>
    <xf numFmtId="0" fontId="7" fillId="0" borderId="0" xfId="0" applyFont="1" applyAlignment="1">
      <alignment horizontal="center"/>
    </xf>
    <xf numFmtId="168" fontId="17" fillId="4" borderId="0" xfId="0" applyNumberFormat="1" applyFont="1" applyFill="1" applyAlignment="1">
      <alignment horizontal="center" vertical="center" wrapText="1"/>
    </xf>
    <xf numFmtId="168" fontId="17" fillId="6" borderId="0" xfId="0" applyNumberFormat="1" applyFont="1" applyFill="1" applyAlignment="1">
      <alignment horizontal="center" vertical="center" wrapText="1"/>
    </xf>
    <xf numFmtId="168" fontId="17" fillId="0" borderId="0" xfId="0" applyNumberFormat="1" applyFont="1" applyAlignment="1">
      <alignment horizontal="center" vertical="center" wrapText="1"/>
    </xf>
    <xf numFmtId="9" fontId="0" fillId="4" borderId="0" xfId="135" applyFont="1" applyFill="1" applyAlignment="1">
      <alignment horizontal="center" vertical="center" wrapText="1"/>
    </xf>
    <xf numFmtId="167" fontId="0" fillId="3" borderId="0" xfId="0" applyNumberFormat="1" applyFill="1" applyAlignment="1">
      <alignment horizontal="center" vertical="center" wrapText="1"/>
    </xf>
    <xf numFmtId="166" fontId="18" fillId="0" borderId="0" xfId="0" applyNumberFormat="1" applyFont="1" applyAlignment="1">
      <alignment horizontal="center" wrapText="1"/>
    </xf>
    <xf numFmtId="166" fontId="15" fillId="0" borderId="0" xfId="0" applyNumberFormat="1" applyFont="1" applyAlignment="1">
      <alignment horizontal="center"/>
    </xf>
    <xf numFmtId="0" fontId="1" fillId="0" borderId="0" xfId="0" applyFont="1" applyAlignment="1">
      <alignment horizontal="center"/>
    </xf>
    <xf numFmtId="0" fontId="12" fillId="0" borderId="26" xfId="0" applyFont="1" applyBorder="1" applyAlignment="1">
      <alignment horizontal="center" vertical="center" wrapText="1"/>
    </xf>
    <xf numFmtId="0" fontId="12"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0" fillId="0" borderId="2" xfId="0" applyBorder="1" applyAlignment="1">
      <alignment horizontal="center" wrapText="1"/>
    </xf>
    <xf numFmtId="0" fontId="0" fillId="0" borderId="1" xfId="0" applyBorder="1" applyAlignment="1">
      <alignment horizontal="center" wrapText="1"/>
    </xf>
    <xf numFmtId="0" fontId="0" fillId="0" borderId="7"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12" fillId="0" borderId="1" xfId="0" applyFont="1" applyBorder="1" applyAlignment="1">
      <alignment horizontal="center" vertical="center" wrapText="1"/>
    </xf>
    <xf numFmtId="0" fontId="12" fillId="0" borderId="0" xfId="0" applyFont="1" applyAlignment="1">
      <alignment horizontal="center" vertical="center" wrapText="1"/>
    </xf>
    <xf numFmtId="0" fontId="0" fillId="0" borderId="0" xfId="0" applyAlignment="1">
      <alignment horizontal="left" vertical="top" wrapText="1"/>
    </xf>
  </cellXfs>
  <cellStyles count="157">
    <cellStyle name="Comma" xfId="137" builtinId="3"/>
    <cellStyle name="Comma [0] 2" xfId="144" xr:uid="{A5BF8168-0661-45FC-BC16-1AA78AD86F9A}"/>
    <cellStyle name="Comma 2" xfId="143" xr:uid="{7E68F89D-47FF-4CB4-9520-923B24CD9CA2}"/>
    <cellStyle name="Comma 3" xfId="145" xr:uid="{2E8E10EB-263B-421C-B124-3D51F54F9182}"/>
    <cellStyle name="Comma 4" xfId="147" xr:uid="{EA25B201-D92D-44DB-A53E-CA28D2DB8FEF}"/>
    <cellStyle name="Comma 5" xfId="151" xr:uid="{3D0185ED-EDAB-4427-A390-CB29540BD8A8}"/>
    <cellStyle name="Comma 6" xfId="153" xr:uid="{20209699-DEC9-420F-99EC-3559C2448063}"/>
    <cellStyle name="Comma 7" xfId="155" xr:uid="{F27938C7-757E-4E4A-8172-8B6F7789C20D}"/>
    <cellStyle name="Comma 8" xfId="156" xr:uid="{3996D17E-F1A5-439B-A758-35F7B752749F}"/>
    <cellStyle name="Currency" xfId="138" builtinId="4"/>
    <cellStyle name="Currency [0] 2" xfId="142" xr:uid="{FF166ABD-5364-4665-A14F-752FA733E684}"/>
    <cellStyle name="Currency 2" xfId="141" xr:uid="{F6B7F2F4-1961-4CDF-9E59-E608A4F97253}"/>
    <cellStyle name="Currency 3" xfId="146" xr:uid="{EAA3D118-7CF8-4C53-B89E-9BA2C34390F5}"/>
    <cellStyle name="Currency 4" xfId="148" xr:uid="{754F5C97-630B-462C-B5BC-19E393F0D054}"/>
    <cellStyle name="Currency 5" xfId="149" xr:uid="{97ABD50A-AD7E-41CA-AEA4-EF85EF554CFE}"/>
    <cellStyle name="Currency 6" xfId="150" xr:uid="{D90673F7-EE71-41F3-B851-305F50CE1E75}"/>
    <cellStyle name="Currency 7" xfId="152" xr:uid="{980C3FCD-2615-49BC-8E4F-BB739E88E65F}"/>
    <cellStyle name="Currency 8" xfId="154" xr:uid="{98D765F8-B632-4D53-88FC-B639A10194F2}"/>
    <cellStyle name="Followed Hyperlink" xfId="8" builtinId="9" hidden="1"/>
    <cellStyle name="Followed Hyperlink" xfId="70" builtinId="9" hidden="1"/>
    <cellStyle name="Followed Hyperlink" xfId="84" builtinId="9" hidden="1"/>
    <cellStyle name="Followed Hyperlink" xfId="98" builtinId="9" hidden="1"/>
    <cellStyle name="Followed Hyperlink" xfId="6" builtinId="9" hidden="1"/>
    <cellStyle name="Followed Hyperlink" xfId="64" builtinId="9" hidden="1"/>
    <cellStyle name="Followed Hyperlink" xfId="46" builtinId="9" hidden="1"/>
    <cellStyle name="Followed Hyperlink" xfId="28" builtinId="9" hidden="1"/>
    <cellStyle name="Followed Hyperlink" xfId="44" builtinId="9" hidden="1"/>
    <cellStyle name="Followed Hyperlink" xfId="20" builtinId="9" hidden="1"/>
    <cellStyle name="Followed Hyperlink" xfId="60" builtinId="9" hidden="1"/>
    <cellStyle name="Followed Hyperlink" xfId="36" builtinId="9" hidden="1"/>
    <cellStyle name="Followed Hyperlink" xfId="92" builtinId="9" hidden="1"/>
    <cellStyle name="Followed Hyperlink" xfId="90" builtinId="9" hidden="1"/>
    <cellStyle name="Followed Hyperlink" xfId="30" builtinId="9" hidden="1"/>
    <cellStyle name="Followed Hyperlink" xfId="110" builtinId="9" hidden="1"/>
    <cellStyle name="Followed Hyperlink" xfId="22" builtinId="9" hidden="1"/>
    <cellStyle name="Followed Hyperlink" xfId="130" builtinId="9" hidden="1"/>
    <cellStyle name="Followed Hyperlink" xfId="26" builtinId="9" hidden="1"/>
    <cellStyle name="Followed Hyperlink" xfId="112" builtinId="9" hidden="1"/>
    <cellStyle name="Followed Hyperlink" xfId="108" builtinId="9" hidden="1"/>
    <cellStyle name="Followed Hyperlink" xfId="88" builtinId="9" hidden="1"/>
    <cellStyle name="Followed Hyperlink" xfId="10" builtinId="9" hidden="1"/>
    <cellStyle name="Followed Hyperlink" xfId="68" builtinId="9" hidden="1"/>
    <cellStyle name="Followed Hyperlink" xfId="126" builtinId="9" hidden="1"/>
    <cellStyle name="Followed Hyperlink" xfId="24" builtinId="9" hidden="1"/>
    <cellStyle name="Followed Hyperlink" xfId="132" builtinId="9" hidden="1"/>
    <cellStyle name="Followed Hyperlink" xfId="80" builtinId="9" hidden="1"/>
    <cellStyle name="Followed Hyperlink" xfId="62" builtinId="9" hidden="1"/>
    <cellStyle name="Followed Hyperlink" xfId="18" builtinId="9" hidden="1"/>
    <cellStyle name="Followed Hyperlink" xfId="116" builtinId="9" hidden="1"/>
    <cellStyle name="Followed Hyperlink" xfId="2" builtinId="9" hidden="1"/>
    <cellStyle name="Followed Hyperlink" xfId="56" builtinId="9" hidden="1"/>
    <cellStyle name="Followed Hyperlink" xfId="74" builtinId="9" hidden="1"/>
    <cellStyle name="Followed Hyperlink" xfId="42" builtinId="9" hidden="1"/>
    <cellStyle name="Followed Hyperlink" xfId="128" builtinId="9" hidden="1"/>
    <cellStyle name="Followed Hyperlink" xfId="14" builtinId="9" hidden="1"/>
    <cellStyle name="Followed Hyperlink" xfId="104" builtinId="9" hidden="1"/>
    <cellStyle name="Followed Hyperlink" xfId="122" builtinId="9" hidden="1"/>
    <cellStyle name="Followed Hyperlink" xfId="134" builtinId="9" hidden="1"/>
    <cellStyle name="Followed Hyperlink" xfId="96" builtinId="9" hidden="1"/>
    <cellStyle name="Followed Hyperlink" xfId="120" builtinId="9" hidden="1"/>
    <cellStyle name="Followed Hyperlink" xfId="66" builtinId="9" hidden="1"/>
    <cellStyle name="Followed Hyperlink" xfId="86" builtinId="9" hidden="1"/>
    <cellStyle name="Followed Hyperlink" xfId="118" builtinId="9" hidden="1"/>
    <cellStyle name="Followed Hyperlink" xfId="102" builtinId="9" hidden="1"/>
    <cellStyle name="Followed Hyperlink" xfId="16" builtinId="9" hidden="1"/>
    <cellStyle name="Followed Hyperlink" xfId="12" builtinId="9" hidden="1"/>
    <cellStyle name="Followed Hyperlink" xfId="94" builtinId="9" hidden="1"/>
    <cellStyle name="Followed Hyperlink" xfId="4" builtinId="9" hidden="1"/>
    <cellStyle name="Followed Hyperlink" xfId="100" builtinId="9" hidden="1"/>
    <cellStyle name="Followed Hyperlink" xfId="76" builtinId="9" hidden="1"/>
    <cellStyle name="Followed Hyperlink" xfId="48" builtinId="9" hidden="1"/>
    <cellStyle name="Followed Hyperlink" xfId="54" builtinId="9" hidden="1"/>
    <cellStyle name="Followed Hyperlink" xfId="82" builtinId="9" hidden="1"/>
    <cellStyle name="Followed Hyperlink" xfId="40" builtinId="9" hidden="1"/>
    <cellStyle name="Followed Hyperlink" xfId="50" builtinId="9" hidden="1"/>
    <cellStyle name="Followed Hyperlink" xfId="34" builtinId="9" hidden="1"/>
    <cellStyle name="Followed Hyperlink" xfId="78" builtinId="9" hidden="1"/>
    <cellStyle name="Followed Hyperlink" xfId="124" builtinId="9" hidden="1"/>
    <cellStyle name="Followed Hyperlink" xfId="58" builtinId="9" hidden="1"/>
    <cellStyle name="Followed Hyperlink" xfId="52" builtinId="9" hidden="1"/>
    <cellStyle name="Followed Hyperlink" xfId="38" builtinId="9" hidden="1"/>
    <cellStyle name="Followed Hyperlink" xfId="114" builtinId="9" hidden="1"/>
    <cellStyle name="Followed Hyperlink" xfId="106" builtinId="9" hidden="1"/>
    <cellStyle name="Followed Hyperlink" xfId="32" builtinId="9" hidden="1"/>
    <cellStyle name="Followed Hyperlink" xfId="72" builtinId="9" hidden="1"/>
    <cellStyle name="Hyperlink" xfId="61" builtinId="8" hidden="1"/>
    <cellStyle name="Hyperlink" xfId="39" builtinId="8" hidden="1"/>
    <cellStyle name="Hyperlink" xfId="81" builtinId="8" hidden="1"/>
    <cellStyle name="Hyperlink" xfId="99" builtinId="8" hidden="1"/>
    <cellStyle name="Hyperlink" xfId="95" builtinId="8" hidden="1"/>
    <cellStyle name="Hyperlink" xfId="123" builtinId="8" hidden="1"/>
    <cellStyle name="Hyperlink" xfId="105" builtinId="8" hidden="1"/>
    <cellStyle name="Hyperlink" xfId="43" builtinId="8" hidden="1"/>
    <cellStyle name="Hyperlink" xfId="131" builtinId="8" hidden="1"/>
    <cellStyle name="Hyperlink" xfId="3" builtinId="8" hidden="1"/>
    <cellStyle name="Hyperlink" xfId="37" builtinId="8" hidden="1"/>
    <cellStyle name="Hyperlink" xfId="49" builtinId="8" hidden="1"/>
    <cellStyle name="Hyperlink" xfId="111" builtinId="8" hidden="1"/>
    <cellStyle name="Hyperlink" xfId="63" builtinId="8" hidden="1"/>
    <cellStyle name="Hyperlink" xfId="27" builtinId="8" hidden="1"/>
    <cellStyle name="Hyperlink" xfId="117" builtinId="8" hidden="1"/>
    <cellStyle name="Hyperlink" xfId="45" builtinId="8" hidden="1"/>
    <cellStyle name="Hyperlink" xfId="23" builtinId="8" hidden="1"/>
    <cellStyle name="Hyperlink" xfId="51" builtinId="8" hidden="1"/>
    <cellStyle name="Hyperlink" xfId="33" builtinId="8" hidden="1"/>
    <cellStyle name="Hyperlink" xfId="11" builtinId="8" hidden="1"/>
    <cellStyle name="Hyperlink" xfId="69" builtinId="8" hidden="1"/>
    <cellStyle name="Hyperlink" xfId="25" builtinId="8" hidden="1"/>
    <cellStyle name="Hyperlink" xfId="47" builtinId="8" hidden="1"/>
    <cellStyle name="Hyperlink" xfId="19" builtinId="8" hidden="1"/>
    <cellStyle name="Hyperlink" xfId="87" builtinId="8" hidden="1"/>
    <cellStyle name="Hyperlink" xfId="59" builtinId="8" hidden="1"/>
    <cellStyle name="Hyperlink" xfId="31" builtinId="8" hidden="1"/>
    <cellStyle name="Hyperlink" xfId="127" builtinId="8" hidden="1"/>
    <cellStyle name="Hyperlink" xfId="75" builtinId="8" hidden="1"/>
    <cellStyle name="Hyperlink" xfId="107" builtinId="8" hidden="1"/>
    <cellStyle name="Hyperlink" xfId="67" builtinId="8" hidden="1"/>
    <cellStyle name="Hyperlink" xfId="83" builtinId="8" hidden="1"/>
    <cellStyle name="Hyperlink" xfId="125" builtinId="8" hidden="1"/>
    <cellStyle name="Hyperlink" xfId="121" builtinId="8" hidden="1"/>
    <cellStyle name="Hyperlink" xfId="119" builtinId="8" hidden="1"/>
    <cellStyle name="Hyperlink" xfId="73" builtinId="8" hidden="1"/>
    <cellStyle name="Hyperlink" xfId="7" builtinId="8" hidden="1"/>
    <cellStyle name="Hyperlink" xfId="1" builtinId="8" hidden="1"/>
    <cellStyle name="Hyperlink" xfId="55" builtinId="8" hidden="1"/>
    <cellStyle name="Hyperlink" xfId="53" builtinId="8" hidden="1"/>
    <cellStyle name="Hyperlink" xfId="15" builtinId="8" hidden="1"/>
    <cellStyle name="Hyperlink" xfId="9" builtinId="8" hidden="1"/>
    <cellStyle name="Hyperlink" xfId="29" builtinId="8" hidden="1"/>
    <cellStyle name="Hyperlink" xfId="65" builtinId="8" hidden="1"/>
    <cellStyle name="Hyperlink" xfId="41" builtinId="8" hidden="1"/>
    <cellStyle name="Hyperlink" xfId="79" builtinId="8" hidden="1"/>
    <cellStyle name="Hyperlink" xfId="97" builtinId="8" hidden="1"/>
    <cellStyle name="Hyperlink" xfId="113" builtinId="8" hidden="1"/>
    <cellStyle name="Hyperlink" xfId="89" builtinId="8" hidden="1"/>
    <cellStyle name="Hyperlink" xfId="17" builtinId="8" hidden="1"/>
    <cellStyle name="Hyperlink" xfId="103" builtinId="8" hidden="1"/>
    <cellStyle name="Hyperlink" xfId="71" builtinId="8" hidden="1"/>
    <cellStyle name="Hyperlink" xfId="85" builtinId="8" hidden="1"/>
    <cellStyle name="Hyperlink" xfId="129" builtinId="8" hidden="1"/>
    <cellStyle name="Hyperlink" xfId="133" builtinId="8" hidden="1"/>
    <cellStyle name="Hyperlink" xfId="115" builtinId="8" hidden="1"/>
    <cellStyle name="Hyperlink" xfId="77" builtinId="8" hidden="1"/>
    <cellStyle name="Hyperlink" xfId="93" builtinId="8" hidden="1"/>
    <cellStyle name="Hyperlink" xfId="109" builtinId="8" hidden="1"/>
    <cellStyle name="Hyperlink" xfId="101" builtinId="8" hidden="1"/>
    <cellStyle name="Hyperlink" xfId="13" builtinId="8" hidden="1"/>
    <cellStyle name="Hyperlink" xfId="57" builtinId="8" hidden="1"/>
    <cellStyle name="Hyperlink" xfId="5" builtinId="8" hidden="1"/>
    <cellStyle name="Hyperlink" xfId="21" builtinId="8" hidden="1"/>
    <cellStyle name="Hyperlink" xfId="35" builtinId="8" hidden="1"/>
    <cellStyle name="Hyperlink" xfId="91" builtinId="8" hidden="1"/>
    <cellStyle name="Normal" xfId="0" builtinId="0"/>
    <cellStyle name="Normal 2" xfId="136" xr:uid="{813EE8CB-2802-48EE-9751-D525B912870D}"/>
    <cellStyle name="Normal 3" xfId="139" xr:uid="{218E9259-A1C7-44CF-8411-49DA07237FC4}"/>
    <cellStyle name="Percent" xfId="135" builtinId="5"/>
    <cellStyle name="Percent 2" xfId="140" xr:uid="{C35906A9-95A1-4820-8E99-AFFCFDA1830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17/06/relationships/rdRichValue" Target="richData/rdrichvalue.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Types" Target="richData/rdRichValueTypes.xml"/></Relationships>
</file>

<file path=xl/documenttasks/documenttask1.xml><?xml version="1.0" encoding="utf-8"?>
<Tasks xmlns="http://schemas.microsoft.com/office/tasks/2019/documenttasks">
  <Task id="{4D976F7E-423C-414D-B49D-2418AF18E29A}">
    <Anchor>
      <Comment id="{98E022F8-DB04-4701-AA06-8B08D34AAAE1}"/>
    </Anchor>
    <History>
      <Event time="2024-02-20T17:20:44.81" id="{FFFED8E7-6548-4B67-BC1A-A9C1F49C3A95}">
        <Attribution userId="S::jbates@mydatapath.com::7771e999-3d94-4267-82a1-7b8a287cce63" userName="James Bates" userProvider="AD"/>
        <Anchor>
          <Comment id="{98E022F8-DB04-4701-AA06-8B08D34AAAE1}"/>
        </Anchor>
        <Create/>
      </Event>
      <Event time="2024-02-20T17:20:44.81" id="{3ADF8253-60AA-4044-AF6B-CD390A7455E4}">
        <Attribution userId="S::jbates@mydatapath.com::7771e999-3d94-4267-82a1-7b8a287cce63" userName="James Bates" userProvider="AD"/>
        <Anchor>
          <Comment id="{98E022F8-DB04-4701-AA06-8B08D34AAAE1}"/>
        </Anchor>
        <Assign userId="S::dvicencio@mydatapath.com::d4a35f5f-8a70-4093-84a9-74fcc99f9043" userName="Dennis Vicencio" userProvider="AD"/>
      </Event>
      <Event time="2024-02-20T17:20:44.81" id="{48C95537-49CF-43BA-ACCE-FAF375F9369F}">
        <Attribution userId="S::jbates@mydatapath.com::7771e999-3d94-4267-82a1-7b8a287cce63" userName="James Bates" userProvider="AD"/>
        <Anchor>
          <Comment id="{98E022F8-DB04-4701-AA06-8B08D34AAAE1}"/>
        </Anchor>
        <SetTitle title="How is Ohio half of budgeted payroll, but CA is almost $20k higher @Dennis Vicencio "/>
      </Event>
    </History>
  </Task>
  <Task id="{9C5E0084-1286-4582-82B6-2DCC537B0FD6}">
    <Anchor>
      <Comment id="{41D00E2B-4EA8-480F-8382-CAE24D8FFD70}"/>
    </Anchor>
    <History>
      <Event time="2024-02-20T17:20:44.81" id="{FFFED8E7-6548-4B67-BC1A-A9C1F49C3A95}">
        <Attribution userId="S::jbates@mydatapath.com::7771e999-3d94-4267-82a1-7b8a287cce63" userName="James Bates" userProvider="AD"/>
        <Anchor>
          <Comment id="{41D00E2B-4EA8-480F-8382-CAE24D8FFD70}"/>
        </Anchor>
        <Create/>
      </Event>
      <Event time="2024-02-20T17:20:44.81" id="{3ADF8253-60AA-4044-AF6B-CD390A7455E4}">
        <Attribution userId="S::jbates@mydatapath.com::7771e999-3d94-4267-82a1-7b8a287cce63" userName="James Bates" userProvider="AD"/>
        <Anchor>
          <Comment id="{41D00E2B-4EA8-480F-8382-CAE24D8FFD70}"/>
        </Anchor>
        <Assign userId="S::dvicencio@mydatapath.com::d4a35f5f-8a70-4093-84a9-74fcc99f9043" userName="Dennis Vicencio" userProvider="AD"/>
      </Event>
      <Event time="2024-02-20T17:20:44.81" id="{48C95537-49CF-43BA-ACCE-FAF375F9369F}">
        <Attribution userId="S::jbates@mydatapath.com::7771e999-3d94-4267-82a1-7b8a287cce63" userName="James Bates" userProvider="AD"/>
        <Anchor>
          <Comment id="{41D00E2B-4EA8-480F-8382-CAE24D8FFD70}"/>
        </Anchor>
        <SetTitle title="How is Ohio half of budgeted payroll, but CA is almost $20k higher @Dennis Vicencio "/>
      </Event>
    </History>
  </Task>
</Task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atapathinc-my.sharepoint.com/personal/dvicencio_mydatapath_com/Documents/Monthly%20Financials/2024/Budget%20vs%20Acutal%202024%20-%20January%20to%20July.xlsx" TargetMode="External"/><Relationship Id="rId1" Type="http://schemas.openxmlformats.org/officeDocument/2006/relationships/externalLinkPath" Target="https://datapathinc-my.sharepoint.com/personal/dvicencio_mydatapath_com/Documents/Monthly%20Financials/2024/Budget%20vs%20Acutal%202024%20-%20January%20to%20Jul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24 Bdg vs Actual All"/>
      <sheetName val="2024  Bdg vs Actual-CA"/>
      <sheetName val="2024 Bdg vs Actual -OH"/>
      <sheetName val="OH Calculator"/>
      <sheetName val="CA Calculator"/>
      <sheetName val="5YR Projections-updated organic"/>
    </sheetNames>
    <sheetDataSet>
      <sheetData sheetId="0">
        <row r="96">
          <cell r="I96">
            <v>540809.56999999983</v>
          </cell>
          <cell r="M96">
            <v>31290</v>
          </cell>
        </row>
      </sheetData>
      <sheetData sheetId="1"/>
      <sheetData sheetId="2"/>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Rebecca Moore" id="{47BE6688-852D-491B-9AFF-9AB20B6249AB}" userId="rmoore@mydatapath.com" providerId="PeoplePicker"/>
  <person displayName="Dennis Vicencio" id="{185237B8-F714-8B45-A7DA-90D637EC9872}" userId="dvicencio@mydatapath.com" providerId="PeoplePicker"/>
  <person displayName="David Darmstandler" id="{87A4B7A1-78EE-4478-B6B8-0B70A17015DA}" userId="S::david@mydatapath.com::3fdf5c7c-51a4-45f4-9719-3b87fc219c73" providerId="AD"/>
  <person displayName="James Bates" id="{218E2BF4-175E-43C2-BCBB-0A834F1853FE}" userId="S::jbates@mydatapath.com::7771e999-3d94-4267-82a1-7b8a287cce63" providerId="AD"/>
  <person displayName="Rebecca Moore" id="{2ED5EBEA-F519-4288-BEF0-E441C560E765}" userId="S::rmoore@mydatapath.com::3c8a9ae9-1907-4cc1-9470-c581a06a96e4" providerId="AD"/>
  <person displayName="Scott Gerber" id="{6448B5E8-120A-45C8-98A0-2E6922099CFC}" userId="S::sgerber@mydatapath.com::5d9882bd-7eec-4adc-b9a9-3652b3616666" providerId="AD"/>
  <person displayName="Dennis Vicencio" id="{0A2C37BE-FA07-4C85-A4DD-77036C62926A}" userId="S::dvicencio@mydatapath.com::d4a35f5f-8a70-4093-84a9-74fcc99f904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44</v>
    <v>8</v>
    <v>0</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39" dT="2024-02-15T01:46:39.48" personId="{2ED5EBEA-F519-4288-BEF0-E441C560E765}" id="{C3BD9345-A4BE-4831-A6AE-608048CC4E5E}">
    <text>Need this broken out</text>
  </threadedComment>
  <threadedComment ref="T56" dT="2023-11-30T19:45:11.25" personId="{2ED5EBEA-F519-4288-BEF0-E441C560E765}" id="{32A633DC-BC41-4963-B0DC-1E87032FD5F0}">
    <text>Pia monthly increase 4,000</text>
  </threadedComment>
  <threadedComment ref="I88" dT="2024-02-15T01:33:05.65" personId="{2ED5EBEA-F519-4288-BEF0-E441C560E765}" id="{48BABFCE-0ABB-4E77-BF5E-39B5ABDC4C4B}">
    <text>Settlement IR</text>
  </threadedComment>
  <threadedComment ref="M88" dT="2024-02-15T01:33:05.65" personId="{2ED5EBEA-F519-4288-BEF0-E441C560E765}" id="{A22E7144-6C4B-4F1C-A032-297D4EC06DD7}">
    <text>Settlement IR</text>
  </threadedComment>
</ThreadedComments>
</file>

<file path=xl/threadedComments/threadedComment2.xml><?xml version="1.0" encoding="utf-8"?>
<ThreadedComments xmlns="http://schemas.microsoft.com/office/spreadsheetml/2018/threadedcomments" xmlns:x="http://schemas.openxmlformats.org/spreadsheetml/2006/main">
  <threadedComment ref="Q14" dT="2024-02-20T17:26:55.35" personId="{6448B5E8-120A-45C8-98A0-2E6922099CFC}" id="{4A6724AC-548D-4444-8E93-E6D553226596}">
    <text>How are we so off to the budget when it’s only January and we should have know most of the revenue coming from December actual (unless there were some big cancellations)</text>
  </threadedComment>
  <threadedComment ref="T22" dT="2024-03-22T13:58:40.57" personId="{0A2C37BE-FA07-4C85-A4DD-77036C62926A}" id="{838F03CF-A958-47E5-9D77-D397EE043D9E}">
    <text>Lucia Mar and MCS billed this month</text>
  </threadedComment>
  <threadedComment ref="P39" dT="2024-02-16T16:23:31.23" personId="{87A4B7A1-78EE-4478-B6B8-0B70A17015DA}" id="{575EC66F-6D11-E447-9A03-5489D6D98932}">
    <text xml:space="preserve">Is this meant to be blank? </text>
  </threadedComment>
  <threadedComment ref="Q40" dT="2024-02-16T16:23:54.57" personId="{87A4B7A1-78EE-4478-B6B8-0B70A17015DA}" id="{8309D0E8-EDB1-5D49-B47A-4672DA789CA3}">
    <text>Need to dig into the overage</text>
  </threadedComment>
  <threadedComment ref="Q46" dT="2024-02-16T16:24:33.08" personId="{87A4B7A1-78EE-4478-B6B8-0B70A17015DA}" id="{400B9DBD-BCD0-EB44-B983-2C974E29BC14}">
    <text>I assume this is increases + additions (Mary, etc.)</text>
  </threadedComment>
  <threadedComment ref="Q46" dT="2024-02-20T17:25:46.94" personId="{6448B5E8-120A-45C8-98A0-2E6922099CFC}" id="{43F12668-5CA4-D943-BCCD-6D58D91A25C5}" parentId="{400B9DBD-BCD0-EB44-B983-2C974E29BC14}">
    <text xml:space="preserve">I think Mary was already projected in the budget. Wondering where else this $20 additional payroll is coming from
</text>
  </threadedComment>
  <threadedComment ref="U46" dT="2024-02-16T16:24:33.08" personId="{87A4B7A1-78EE-4478-B6B8-0B70A17015DA}" id="{8DBA41A0-E434-44E3-A20F-3C60E243D11C}">
    <text>I assume this is increases + additions (Mary, etc.)</text>
  </threadedComment>
  <threadedComment ref="U46" dT="2024-02-20T17:25:46.94" personId="{6448B5E8-120A-45C8-98A0-2E6922099CFC}" id="{8F2EC7E8-9BD7-4008-8216-F5EAAD4708C2}" parentId="{8DBA41A0-E434-44E3-A20F-3C60E243D11C}">
    <text xml:space="preserve">I think Mary was already projected in the budget. Wondering where else this $20 additional payroll is coming from
</text>
  </threadedComment>
  <threadedComment ref="Q54" dT="2024-02-16T16:25:14.74" personId="{87A4B7A1-78EE-4478-B6B8-0B70A17015DA}" id="{AE520DD5-1A6C-B347-9A52-326165447454}">
    <text>We’ll need to track this one. Overall this should normalize and be lower than what’s been budgeted due to the move to Tmobile</text>
  </threadedComment>
  <threadedComment ref="U54" dT="2024-02-16T16:25:14.74" personId="{87A4B7A1-78EE-4478-B6B8-0B70A17015DA}" id="{5C4431D3-5918-4624-AB63-B11F3FDF8CE9}">
    <text>We’ll need to track this one. Overall this should normalize and be lower than what’s been budgeted due to the move to Tmobile</text>
  </threadedComment>
  <threadedComment ref="Q70" dT="2024-02-16T16:26:03.38" personId="{87A4B7A1-78EE-4478-B6B8-0B70A17015DA}" id="{99D95E54-20EB-F54A-84A0-4752BCDBB94A}">
    <text>This is likely events but need to dig into what caused the overage for Jan</text>
  </threadedComment>
  <threadedComment ref="U70" dT="2024-02-16T16:26:03.38" personId="{87A4B7A1-78EE-4478-B6B8-0B70A17015DA}" id="{21AB3B1F-1563-4969-B47B-D57CF6A47467}">
    <text>This is likely events but need to dig into what caused the overage for Jan</text>
  </threadedComment>
  <threadedComment ref="O77" dT="2024-02-16T16:21:40.39" personId="{87A4B7A1-78EE-4478-B6B8-0B70A17015DA}" id="{9F9DEC06-9D4B-714B-944A-FF161E8E6B2E}">
    <text xml:space="preserve">@Dennis Vicencio I assume this an asset tax or CAT tax of some type? Should we move this below the line? </text>
    <mentions>
      <mention mentionpersonId="{185237B8-F714-8B45-A7DA-90D637EC9872}" mentionId="{FC6AC7AA-4A49-9C44-AAB3-542DAFF642F0}" startIndex="0" length="16"/>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AM14" dT="2023-12-04T14:36:57.29" personId="{2ED5EBEA-F519-4288-BEF0-E441C560E765}" id="{000B8A19-9582-4319-A984-8E80216DB083}">
    <text>USAC MIBS agreements new funding year- schools will need to receive funding</text>
  </threadedComment>
  <threadedComment ref="P40" dT="2024-02-20T17:23:04.94" personId="{6448B5E8-120A-45C8-98A0-2E6922099CFC}" id="{C5A5C20A-30CA-6540-AB59-38865C7C18B4}">
    <text xml:space="preserve">How are we so off to budget here of $35k. 
</text>
  </threadedComment>
  <threadedComment ref="P46" dT="2024-02-20T17:23:43.04" personId="{6448B5E8-120A-45C8-98A0-2E6922099CFC}" id="{221D0B4E-3764-DF4B-8633-9F259FD11013}">
    <text xml:space="preserve">I would think that payroll should be accurate to budget unless something changed here.
</text>
  </threadedComment>
  <threadedComment ref="P48" dT="2024-02-20T17:20:44.81" personId="{218E2BF4-175E-43C2-BCBB-0A834F1853FE}" id="{41D00E2B-4EA8-480F-8382-CAE24D8FFD70}">
    <text xml:space="preserve">How is Ohio half of budgeted payroll, but CA is almost $20k higher @Dennis Vicencio </text>
    <mentions>
      <mention mentionpersonId="{185237B8-F714-8B45-A7DA-90D637EC9872}" mentionId="{9755147F-D578-4A2D-8B7E-616A1925F8F8}" startIndex="67" length="16"/>
    </mentions>
  </threadedComment>
  <threadedComment ref="T48" dT="2024-02-20T17:20:44.81" personId="{218E2BF4-175E-43C2-BCBB-0A834F1853FE}" id="{98E022F8-DB04-4701-AA06-8B08D34AAAE1}">
    <text xml:space="preserve">How is Ohio half of budgeted payroll, but CA is almost $20k higher @Dennis Vicencio </text>
    <mentions>
      <mention mentionpersonId="{185237B8-F714-8B45-A7DA-90D637EC9872}" mentionId="{40FC66BA-7165-4984-A07B-31DD3E8E0BF1}" startIndex="67" length="16"/>
    </mentions>
  </threadedComment>
  <threadedComment ref="AA56" dT="2023-12-01T22:16:29.96" personId="{2ED5EBEA-F519-4288-BEF0-E441C560E765}" id="{74825F04-67D2-48D8-9B4A-039EB37EFFCB}">
    <text xml:space="preserve">Increase due to Pia
</text>
  </threadedComment>
</ThreadedComments>
</file>

<file path=xl/threadedComments/threadedComment4.xml><?xml version="1.0" encoding="utf-8"?>
<ThreadedComments xmlns="http://schemas.microsoft.com/office/spreadsheetml/2018/threadedcomments" xmlns:x="http://schemas.openxmlformats.org/spreadsheetml/2006/main">
  <threadedComment ref="D8" dT="2023-10-05T20:55:18.64" personId="{2ED5EBEA-F519-4288-BEF0-E441C560E765}" id="{A8CE8881-B4C2-449E-AC5C-CD02CAFBFD6E}">
    <text>Actuals through 09/30/2023 annualized</text>
  </threadedComment>
  <threadedComment ref="F14" dT="2023-11-28T19:50:12.57" personId="{2ED5EBEA-F519-4288-BEF0-E441C560E765}" id="{2FD21782-F30B-44D9-8F6A-71D52EDC3854}">
    <text xml:space="preserve">Took Future agreements from C360 for 2024- deleted IR 
</text>
  </threadedComment>
  <threadedComment ref="F14" dT="2023-11-29T02:13:33.03" personId="{6448B5E8-120A-45C8-98A0-2E6922099CFC}" id="{884CEDEE-C0F0-45BC-907F-607509BF0CB7}" parentId="{2FD21782-F30B-44D9-8F6A-71D52EDC3854}">
    <text>Did you back out agreements in 2024 that we know will not be renewing?</text>
  </threadedComment>
  <threadedComment ref="F15" dT="2023-11-28T19:50:41.65" personId="{2ED5EBEA-F519-4288-BEF0-E441C560E765}" id="{6C939A27-3FA8-4F48-B3B7-AF62299B4137}">
    <text xml:space="preserve">Took Future agreements from C360 for 2024- deleted IR 
</text>
  </threadedComment>
  <threadedComment ref="F16" dT="2023-11-28T19:51:34.72" personId="{2ED5EBEA-F519-4288-BEF0-E441C560E765}" id="{FA3333DE-1896-430B-80BB-3142CB52C04C}">
    <text xml:space="preserve">Took Future agreements from C360 for 2024- deleted IR 
</text>
  </threadedComment>
  <threadedComment ref="F17" dT="2023-11-03T13:33:59.46" personId="{2ED5EBEA-F519-4288-BEF0-E441C560E765}" id="{6248CE7E-7132-4450-8CAD-2342326BFA80}">
    <text>Increased by 20% due to projected Erate growth</text>
  </threadedComment>
  <threadedComment ref="F17" dT="2023-11-10T15:40:03.64" personId="{87A4B7A1-78EE-4478-B6B8-0B70A17015DA}" id="{9ACACC7C-A3F4-4AEE-8D4F-AF9EB034292C}" parentId="{6248CE7E-7132-4450-8CAD-2342326BFA80}">
    <text>@Rebecca Moore same here - may want to look at IR revenue and extract it out entirely and come up with a reasonable growth number.</text>
    <mentions>
      <mention mentionpersonId="{47BE6688-852D-491B-9AFF-9AB20B6249AB}" mentionId="{8B674463-A9FC-4030-9679-DD3C93E99264}" startIndex="0" length="14"/>
    </mentions>
  </threadedComment>
  <threadedComment ref="F22" dT="2023-11-03T13:34:07.50" personId="{2ED5EBEA-F519-4288-BEF0-E441C560E765}" id="{29BA714E-24A8-46C8-8875-61E4AD38CF3D}">
    <text>Increased by 20% due to projected Erate growth</text>
  </threadedComment>
  <threadedComment ref="F33" dT="2023-11-29T02:36:45.08" personId="{6448B5E8-120A-45C8-98A0-2E6922099CFC}" id="{D91A79D8-8A6A-4753-A82B-D46E7A5DC06B}">
    <text xml:space="preserve">even if we keep the same staff and don't hire anyone, we need to consider pay increases. The fully loaded cost of engineers should not be the same as in 2023
</text>
  </threadedComment>
  <threadedComment ref="F33" dT="2023-11-29T16:04:08.89" personId="{0A2C37BE-FA07-4C85-A4DD-77036C62926A}" id="{29CE37FC-3A4B-4FBD-827D-CBFE2C38B72D}" parentId="{D91A79D8-8A6A-4753-A82B-D46E7A5DC06B}">
    <text xml:space="preserve">We have adjusted  based on our current payroll plus 5% increase plus filling the 3 engineering positions </text>
  </threadedComment>
  <threadedComment ref="F40" dT="2023-11-29T02:35:39.76" personId="{6448B5E8-120A-45C8-98A0-2E6922099CFC}" id="{87401473-1217-4A7C-8DE6-1CC162B4F75B}">
    <text>Commission payouts will be significantly larger in 2024 and I don't see this being considered</text>
  </threadedComment>
  <threadedComment ref="F40" dT="2023-11-29T16:04:47.09" personId="{0A2C37BE-FA07-4C85-A4DD-77036C62926A}" id="{2F5FF5DF-E9BB-4961-B308-198AE7A7EA53}" parentId="{87401473-1217-4A7C-8DE6-1CC162B4F75B}">
    <text>Adjusted based on current employee + 5% increase</text>
  </threadedComment>
  <threadedComment ref="F46" dT="2023-11-29T02:38:58.06" personId="{6448B5E8-120A-45C8-98A0-2E6922099CFC}" id="{138C53FC-B593-453D-97B3-73812B967479}">
    <text xml:space="preserve">same as above where you need to consider increases in comp should be considered
</text>
  </threadedComment>
  <threadedComment ref="F62" dT="2023-11-29T01:30:46.52" personId="{2ED5EBEA-F519-4288-BEF0-E441C560E765}" id="{C48CDD7B-48B8-4E62-A34C-5E7F5854BE6D}">
    <text>Adjusted base from 2023 for one time expenses</text>
  </threadedComment>
  <threadedComment ref="F63" dT="2023-11-29T01:31:03.16" personId="{2ED5EBEA-F519-4288-BEF0-E441C560E765}" id="{82B2B908-7A32-433D-84A7-D09C502C5A9E}">
    <text>Adjusted base from 2023 for one time expenses</text>
  </threadedComment>
  <threadedComment ref="F65" dT="2023-11-29T01:23:01.13" personId="{2ED5EBEA-F519-4288-BEF0-E441C560E765}" id="{82EA8876-CD69-478C-B35B-6DE1CF2DD646}">
    <text>From estimate we have received</text>
  </threadedComment>
  <threadedComment ref="D66" dT="2023-11-03T16:10:27.74" personId="{2ED5EBEA-F519-4288-BEF0-E441C560E765}" id="{912E94C1-09D9-4292-BE46-49FB4C199BCD}">
    <text>Lower than 2022- 2022 included costs of aquisition</text>
  </threadedComment>
  <threadedComment ref="F70" dT="2023-11-06T19:12:07.06" personId="{2ED5EBEA-F519-4288-BEF0-E441C560E765}" id="{040B21C4-42AA-4935-A682-900F88DB9C97}">
    <text>Increased by 20% due to hiring marketing director in 2023</text>
  </threadedComment>
  <threadedComment ref="D79" dT="2023-11-03T16:20:51.15" personId="{2ED5EBEA-F519-4288-BEF0-E441C560E765}" id="{3228DA1A-D839-42E6-AC35-B5A308DC9922}">
    <text>Higher than 2022 due to full year of payments for Mobile Tech aquisition</text>
  </threadedComment>
  <threadedComment ref="H79" dT="2023-11-13T18:25:08.82" personId="{2ED5EBEA-F519-4288-BEF0-E441C560E765}" id="{4388A4F5-2CF8-4D8B-AE22-9274F6ECE528}">
    <text>If a new acquisition occurs this will increase</text>
  </threadedComment>
  <threadedComment ref="J79" dT="2023-11-13T18:25:23.52" personId="{2ED5EBEA-F519-4288-BEF0-E441C560E765}" id="{C6F349BE-7829-41EF-9BF8-265578BA4606}">
    <text>If a new acquisition occurs this will increase</text>
  </threadedComment>
  <threadedComment ref="L79" dT="2023-11-13T18:25:29.29" personId="{2ED5EBEA-F519-4288-BEF0-E441C560E765}" id="{47FDACA8-B0BC-42D3-AD45-85521468EC2D}">
    <text>If a new acquisition occurs this will increase</text>
  </threadedComment>
  <threadedComment ref="G84" dT="2023-11-10T15:45:37.57" personId="{87A4B7A1-78EE-4478-B6B8-0B70A17015DA}" id="{3BA669BE-07FB-4F2B-B5D9-2426BA4A39CA}">
    <text xml:space="preserve">@Rebecca Moore I would like to have some additional lines added here for EBITDA </text>
    <mentions>
      <mention mentionpersonId="{47BE6688-852D-491B-9AFF-9AB20B6249AB}" mentionId="{6846F6F7-5168-450A-89F1-7EAB0B292050}" startIndex="0" length="14"/>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5" Type="http://schemas.microsoft.com/office/2019/04/relationships/documenttask" Target="../documenttasks/documenttask1.x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DDA80-86D6-4EC6-B09A-D97EF4DE7B77}">
  <sheetPr>
    <tabColor theme="8" tint="-0.499984740745262"/>
    <pageSetUpPr fitToPage="1"/>
  </sheetPr>
  <dimension ref="A1:BI102"/>
  <sheetViews>
    <sheetView zoomScaleNormal="100" workbookViewId="0">
      <pane xSplit="1" ySplit="10" topLeftCell="AT11" activePane="bottomRight" state="frozen"/>
      <selection pane="topRight" activeCell="B1" sqref="B1"/>
      <selection pane="bottomLeft" activeCell="A11" sqref="A11"/>
      <selection pane="bottomRight" activeCell="BA14" sqref="BA14"/>
    </sheetView>
  </sheetViews>
  <sheetFormatPr baseColWidth="10" defaultColWidth="11" defaultRowHeight="16" x14ac:dyDescent="0.2"/>
  <cols>
    <col min="1" max="1" width="30.6640625" customWidth="1"/>
    <col min="2" max="2" width="13.33203125" style="14" hidden="1" customWidth="1"/>
    <col min="3" max="3" width="6.33203125" style="16" hidden="1" customWidth="1"/>
    <col min="4" max="4" width="10.6640625" style="16" hidden="1" customWidth="1"/>
    <col min="5" max="5" width="6.6640625" style="16" hidden="1" customWidth="1"/>
    <col min="6" max="6" width="14.33203125" style="17" hidden="1" customWidth="1"/>
    <col min="7" max="7" width="7" style="3" customWidth="1"/>
    <col min="8" max="10" width="15.6640625" style="16" customWidth="1"/>
    <col min="11" max="11" width="11" style="16" customWidth="1"/>
    <col min="12" max="13" width="15.6640625" style="17" customWidth="1"/>
    <col min="14" max="14" width="14.6640625" style="17" customWidth="1"/>
    <col min="15" max="15" width="21.83203125" style="17" customWidth="1"/>
    <col min="16" max="16" width="14.6640625" style="16" customWidth="1"/>
    <col min="17" max="17" width="13.1640625" style="16" customWidth="1"/>
    <col min="18" max="18" width="13.33203125" style="16" customWidth="1"/>
    <col min="19" max="19" width="21.83203125" style="16" customWidth="1"/>
    <col min="20" max="23" width="15.6640625" style="17" customWidth="1"/>
    <col min="24" max="27" width="15.6640625" style="16" customWidth="1"/>
    <col min="28" max="31" width="15.6640625" style="17" customWidth="1"/>
    <col min="32" max="32" width="12.1640625" style="3" customWidth="1"/>
    <col min="33" max="33" width="12" style="3" customWidth="1"/>
    <col min="34" max="34" width="13.1640625" style="3" customWidth="1"/>
    <col min="35" max="35" width="14.6640625" style="3" customWidth="1"/>
    <col min="36" max="36" width="14.6640625" style="16" customWidth="1"/>
    <col min="37" max="39" width="14.6640625" style="3" customWidth="1"/>
    <col min="40" max="40" width="14.6640625" style="16" customWidth="1"/>
    <col min="41" max="43" width="14.6640625" style="3" customWidth="1"/>
    <col min="44" max="44" width="14.6640625" style="16" customWidth="1"/>
    <col min="45" max="47" width="14.6640625" style="3" customWidth="1"/>
    <col min="48" max="48" width="14.6640625" style="16" customWidth="1"/>
    <col min="49" max="51" width="14.6640625" style="3" customWidth="1"/>
    <col min="52" max="52" width="14.6640625" style="16" customWidth="1"/>
    <col min="53" max="55" width="14.6640625" style="3" customWidth="1"/>
    <col min="56" max="56" width="14.6640625" style="16" customWidth="1"/>
    <col min="57" max="57" width="14.6640625" style="183" customWidth="1"/>
    <col min="58" max="58" width="9.5" customWidth="1"/>
    <col min="59" max="59" width="11" customWidth="1"/>
    <col min="60" max="60" width="19.33203125" customWidth="1"/>
    <col min="61" max="61" width="11" customWidth="1"/>
  </cols>
  <sheetData>
    <row r="1" spans="1:61" x14ac:dyDescent="0.2">
      <c r="B1" s="1"/>
      <c r="C1" s="1"/>
      <c r="D1" s="1"/>
      <c r="E1" s="1"/>
      <c r="F1" s="1"/>
      <c r="G1" s="1"/>
      <c r="H1" s="1"/>
      <c r="I1" s="1" t="s">
        <v>0</v>
      </c>
      <c r="J1" s="1"/>
      <c r="K1" s="1"/>
      <c r="M1" s="199" t="s">
        <v>1</v>
      </c>
      <c r="N1" s="198" t="s">
        <v>2</v>
      </c>
      <c r="O1" s="198" t="s">
        <v>3</v>
      </c>
      <c r="Q1" s="16" t="s">
        <v>0</v>
      </c>
    </row>
    <row r="2" spans="1:61" x14ac:dyDescent="0.2">
      <c r="B2" s="1"/>
      <c r="C2" s="1"/>
      <c r="D2" s="1"/>
      <c r="E2" s="1"/>
      <c r="F2" s="1"/>
      <c r="G2" s="1"/>
      <c r="H2" s="1"/>
      <c r="I2" s="1" t="s">
        <v>4</v>
      </c>
      <c r="J2" s="1"/>
      <c r="K2" s="1"/>
      <c r="N2" s="17" t="s">
        <v>5</v>
      </c>
      <c r="O2" s="17" t="s">
        <v>6</v>
      </c>
      <c r="Q2" s="16" t="s">
        <v>4</v>
      </c>
    </row>
    <row r="3" spans="1:61" x14ac:dyDescent="0.2">
      <c r="B3" s="1"/>
      <c r="C3" s="1"/>
      <c r="D3" s="1"/>
      <c r="E3" s="1"/>
      <c r="F3" s="1"/>
      <c r="G3" s="1"/>
      <c r="H3" s="1"/>
      <c r="I3" s="1">
        <v>2024</v>
      </c>
      <c r="J3" s="1"/>
      <c r="K3" s="1"/>
      <c r="Q3" s="16">
        <v>2024</v>
      </c>
    </row>
    <row r="4" spans="1:61" x14ac:dyDescent="0.2">
      <c r="H4" s="1"/>
      <c r="I4" s="1"/>
      <c r="J4" s="1"/>
      <c r="K4" s="1"/>
      <c r="AB4" s="17" t="s">
        <v>7</v>
      </c>
    </row>
    <row r="5" spans="1:61" x14ac:dyDescent="0.2">
      <c r="H5" s="1"/>
      <c r="I5" s="1"/>
      <c r="J5" s="1"/>
      <c r="K5" s="1"/>
      <c r="AJ5" s="17"/>
    </row>
    <row r="6" spans="1:61" x14ac:dyDescent="0.2">
      <c r="AJ6" s="17"/>
    </row>
    <row r="7" spans="1:61" x14ac:dyDescent="0.2">
      <c r="F7" s="17" t="s">
        <v>8</v>
      </c>
    </row>
    <row r="8" spans="1:61" x14ac:dyDescent="0.2">
      <c r="A8" s="18"/>
      <c r="B8" s="133"/>
      <c r="C8" s="19"/>
      <c r="D8" s="19"/>
      <c r="E8" s="19"/>
      <c r="F8" s="20" t="s">
        <v>9</v>
      </c>
      <c r="G8" s="76"/>
      <c r="H8" s="279" t="s">
        <v>10</v>
      </c>
      <c r="I8" s="279"/>
      <c r="J8" s="279"/>
      <c r="K8" s="20"/>
      <c r="L8" s="279" t="s">
        <v>11</v>
      </c>
      <c r="M8" s="279"/>
      <c r="N8" s="279"/>
      <c r="O8" s="20"/>
      <c r="P8" s="279" t="s">
        <v>12</v>
      </c>
      <c r="Q8" s="279"/>
      <c r="R8" s="279"/>
      <c r="S8" s="20"/>
      <c r="T8" s="279" t="s">
        <v>13</v>
      </c>
      <c r="U8" s="279"/>
      <c r="V8" s="279"/>
      <c r="W8" s="20"/>
      <c r="X8" s="279" t="s">
        <v>14</v>
      </c>
      <c r="Y8" s="279"/>
      <c r="Z8" s="279"/>
      <c r="AA8" s="20"/>
      <c r="AB8" s="279" t="s">
        <v>15</v>
      </c>
      <c r="AC8" s="279"/>
      <c r="AD8" s="279"/>
      <c r="AE8" s="20"/>
      <c r="AF8" s="279" t="s">
        <v>16</v>
      </c>
      <c r="AG8" s="279"/>
      <c r="AH8" s="279"/>
      <c r="AI8" s="20"/>
      <c r="AJ8" s="279" t="s">
        <v>17</v>
      </c>
      <c r="AK8" s="279"/>
      <c r="AL8" s="279"/>
      <c r="AM8" s="20"/>
      <c r="AN8" s="279" t="s">
        <v>18</v>
      </c>
      <c r="AO8" s="279"/>
      <c r="AP8" s="279"/>
      <c r="AQ8" s="20"/>
      <c r="AR8" s="279" t="s">
        <v>19</v>
      </c>
      <c r="AS8" s="279"/>
      <c r="AT8" s="279"/>
      <c r="AU8" s="20"/>
      <c r="AV8" s="279" t="s">
        <v>20</v>
      </c>
      <c r="AW8" s="279"/>
      <c r="AX8" s="279"/>
      <c r="AY8" s="20"/>
      <c r="AZ8" s="279" t="s">
        <v>21</v>
      </c>
      <c r="BA8" s="279"/>
      <c r="BB8" s="279"/>
      <c r="BC8" s="20"/>
      <c r="BD8" s="20"/>
      <c r="BE8" s="20"/>
      <c r="BG8" s="279" t="s">
        <v>22</v>
      </c>
      <c r="BH8" s="279"/>
      <c r="BI8" s="279"/>
    </row>
    <row r="9" spans="1:61" x14ac:dyDescent="0.2">
      <c r="A9" s="21" t="s">
        <v>23</v>
      </c>
      <c r="B9" s="134"/>
      <c r="C9" s="7"/>
      <c r="D9" s="7"/>
      <c r="E9" s="7"/>
      <c r="F9" s="22">
        <v>45657</v>
      </c>
      <c r="G9" s="77"/>
      <c r="H9" s="59" t="s">
        <v>8</v>
      </c>
      <c r="I9" s="59" t="s">
        <v>24</v>
      </c>
      <c r="J9" s="59" t="s">
        <v>25</v>
      </c>
      <c r="K9" s="59"/>
      <c r="L9" s="59" t="s">
        <v>8</v>
      </c>
      <c r="M9" s="59" t="s">
        <v>24</v>
      </c>
      <c r="N9" s="200" t="s">
        <v>1</v>
      </c>
      <c r="O9" s="22" t="s">
        <v>26</v>
      </c>
      <c r="P9" s="59" t="s">
        <v>8</v>
      </c>
      <c r="Q9" s="59" t="s">
        <v>24</v>
      </c>
      <c r="R9" s="200" t="s">
        <v>1</v>
      </c>
      <c r="S9" s="22" t="s">
        <v>26</v>
      </c>
      <c r="T9" s="59" t="s">
        <v>8</v>
      </c>
      <c r="U9" s="59" t="s">
        <v>24</v>
      </c>
      <c r="V9" s="200" t="s">
        <v>1</v>
      </c>
      <c r="W9" s="22" t="s">
        <v>26</v>
      </c>
      <c r="X9" s="59" t="s">
        <v>8</v>
      </c>
      <c r="Y9" s="59" t="s">
        <v>24</v>
      </c>
      <c r="Z9" s="200" t="s">
        <v>1</v>
      </c>
      <c r="AA9" s="22" t="s">
        <v>26</v>
      </c>
      <c r="AB9" s="59" t="s">
        <v>8</v>
      </c>
      <c r="AC9" s="59" t="s">
        <v>24</v>
      </c>
      <c r="AD9" s="200" t="s">
        <v>1</v>
      </c>
      <c r="AE9" s="22" t="s">
        <v>26</v>
      </c>
      <c r="AF9" s="59" t="s">
        <v>8</v>
      </c>
      <c r="AG9" s="59" t="s">
        <v>24</v>
      </c>
      <c r="AH9" s="200" t="s">
        <v>1</v>
      </c>
      <c r="AI9" s="22" t="s">
        <v>26</v>
      </c>
      <c r="AJ9" s="59" t="s">
        <v>8</v>
      </c>
      <c r="AK9" s="59" t="s">
        <v>24</v>
      </c>
      <c r="AL9" s="200" t="s">
        <v>1</v>
      </c>
      <c r="AM9" s="22" t="s">
        <v>26</v>
      </c>
      <c r="AN9" s="59" t="s">
        <v>8</v>
      </c>
      <c r="AO9" s="59" t="s">
        <v>24</v>
      </c>
      <c r="AP9" s="200" t="s">
        <v>1</v>
      </c>
      <c r="AQ9" s="22" t="s">
        <v>26</v>
      </c>
      <c r="AR9" s="59" t="s">
        <v>8</v>
      </c>
      <c r="AS9" s="59" t="s">
        <v>24</v>
      </c>
      <c r="AT9" s="200" t="s">
        <v>1</v>
      </c>
      <c r="AU9" s="22" t="s">
        <v>26</v>
      </c>
      <c r="AV9" s="59" t="s">
        <v>8</v>
      </c>
      <c r="AW9" s="59" t="s">
        <v>24</v>
      </c>
      <c r="AX9" s="200" t="s">
        <v>1</v>
      </c>
      <c r="AY9" s="22" t="s">
        <v>26</v>
      </c>
      <c r="AZ9" s="59" t="s">
        <v>8</v>
      </c>
      <c r="BA9" s="59" t="s">
        <v>24</v>
      </c>
      <c r="BB9" s="200" t="s">
        <v>1</v>
      </c>
      <c r="BC9" s="22" t="s">
        <v>26</v>
      </c>
      <c r="BE9" s="22" t="s">
        <v>27</v>
      </c>
      <c r="BG9" s="59" t="s">
        <v>8</v>
      </c>
      <c r="BH9" s="59" t="s">
        <v>24</v>
      </c>
      <c r="BI9" s="200" t="s">
        <v>1</v>
      </c>
    </row>
    <row r="10" spans="1:61" x14ac:dyDescent="0.2">
      <c r="N10" s="198" t="s">
        <v>28</v>
      </c>
      <c r="X10" s="47"/>
      <c r="Y10" s="47"/>
      <c r="Z10" s="47"/>
      <c r="AA10" s="47"/>
      <c r="AB10" s="47"/>
      <c r="AC10" s="47"/>
      <c r="AD10" s="47"/>
      <c r="AE10" s="47"/>
      <c r="AF10" s="47"/>
      <c r="AG10" s="47"/>
      <c r="AH10" s="47"/>
      <c r="AI10" s="47"/>
      <c r="AJ10" s="47"/>
      <c r="AK10" s="47"/>
      <c r="AL10" s="47"/>
      <c r="AM10" s="47"/>
      <c r="AN10" s="49"/>
      <c r="AO10" s="47"/>
      <c r="AP10" s="47"/>
      <c r="AQ10" s="47"/>
      <c r="AR10" s="49"/>
      <c r="AS10" s="47"/>
      <c r="AT10" s="47"/>
      <c r="AU10" s="47"/>
      <c r="AV10" s="49"/>
      <c r="AW10" s="47"/>
      <c r="AX10" s="47"/>
      <c r="AY10" s="47"/>
      <c r="AZ10" s="49"/>
      <c r="BA10" s="47"/>
      <c r="BB10" s="47"/>
      <c r="BC10" s="47"/>
      <c r="BG10" s="16"/>
      <c r="BH10" s="16"/>
      <c r="BI10" s="16"/>
    </row>
    <row r="11" spans="1:61" x14ac:dyDescent="0.2">
      <c r="A11" s="23" t="s">
        <v>29</v>
      </c>
      <c r="B11" s="135"/>
      <c r="C11" s="47"/>
      <c r="D11" s="47"/>
      <c r="E11" s="47"/>
      <c r="F11" s="47">
        <f>H11+L11+P11+T11+X11+AB11+AF11+AJ11+AN11+AR11+AV11+AZ11</f>
        <v>27189474.674620166</v>
      </c>
      <c r="G11" s="78"/>
      <c r="H11" s="47">
        <f>SUM(H14:H23)</f>
        <v>2263097.8412868339</v>
      </c>
      <c r="I11" s="159">
        <f>SUM(I14:I23)</f>
        <v>1375722.5699999998</v>
      </c>
      <c r="J11" s="152">
        <f>+I11-H11</f>
        <v>-887375.27128683403</v>
      </c>
      <c r="K11" s="47"/>
      <c r="L11" s="47">
        <f t="shared" ref="L11:AZ11" si="0">SUM(L14:L23)</f>
        <v>2193476.8333333335</v>
      </c>
      <c r="M11" s="159">
        <f>SUM(M14:M23)</f>
        <v>1708668</v>
      </c>
      <c r="N11" s="152">
        <f>+M11-L11</f>
        <v>-484808.83333333349</v>
      </c>
      <c r="O11" s="47"/>
      <c r="P11" s="47">
        <f t="shared" si="0"/>
        <v>2167400</v>
      </c>
      <c r="Q11" s="212">
        <f>SUM(Q14:Q23)</f>
        <v>1256746</v>
      </c>
      <c r="R11" s="47">
        <f>+Q11-P11</f>
        <v>-910654</v>
      </c>
      <c r="S11" s="47"/>
      <c r="T11" s="47">
        <f t="shared" si="0"/>
        <v>2193700</v>
      </c>
      <c r="U11" s="158">
        <f>SUM(U14:U23)</f>
        <v>1740436</v>
      </c>
      <c r="V11" s="47">
        <f>+U11-T11</f>
        <v>-453264</v>
      </c>
      <c r="W11" s="47"/>
      <c r="X11" s="47">
        <f t="shared" si="0"/>
        <v>2215400</v>
      </c>
      <c r="Y11" s="166">
        <f>SUM(Y14:Y23)</f>
        <v>1510467</v>
      </c>
      <c r="Z11" s="158">
        <f>+Y11-X11</f>
        <v>-704933</v>
      </c>
      <c r="AA11" s="47"/>
      <c r="AB11" s="47">
        <f t="shared" si="0"/>
        <v>2258900</v>
      </c>
      <c r="AC11" s="166">
        <f>SUM(AC14:AC23)</f>
        <v>2578281</v>
      </c>
      <c r="AD11" s="158">
        <f>+AC11-AB11</f>
        <v>319381</v>
      </c>
      <c r="AE11" s="47"/>
      <c r="AF11" s="47">
        <f t="shared" si="0"/>
        <v>2278300</v>
      </c>
      <c r="AG11" s="166">
        <f>SUM(AG14:AG23)</f>
        <v>2399002</v>
      </c>
      <c r="AH11" s="158">
        <f>+AG11-AF11</f>
        <v>120702</v>
      </c>
      <c r="AI11" s="47"/>
      <c r="AJ11" s="47">
        <f t="shared" si="0"/>
        <v>2289100</v>
      </c>
      <c r="AK11" s="166">
        <f>SUM(AK14:AK23)</f>
        <v>2786533</v>
      </c>
      <c r="AL11" s="158">
        <f>+AK11-AJ11</f>
        <v>497433</v>
      </c>
      <c r="AM11" s="47"/>
      <c r="AN11" s="47">
        <f t="shared" si="0"/>
        <v>2304800</v>
      </c>
      <c r="AO11" s="166">
        <f>SUM(AO14:AO23)</f>
        <v>1407338</v>
      </c>
      <c r="AP11" s="158">
        <f>+AO11-AN11</f>
        <v>-897462</v>
      </c>
      <c r="AQ11" s="47"/>
      <c r="AR11" s="47">
        <f t="shared" si="0"/>
        <v>2324400</v>
      </c>
      <c r="AS11" s="166">
        <f>SUM(AS14:AS23)</f>
        <v>1520174</v>
      </c>
      <c r="AT11" s="158">
        <f>+AS11-AR11</f>
        <v>-804226</v>
      </c>
      <c r="AU11" s="47"/>
      <c r="AV11" s="47">
        <f t="shared" si="0"/>
        <v>2340800</v>
      </c>
      <c r="AW11" s="166">
        <f>SUM(AW14:AW23)</f>
        <v>1802062</v>
      </c>
      <c r="AX11" s="158">
        <f>+AW11-AV11</f>
        <v>-538738</v>
      </c>
      <c r="AY11" s="47"/>
      <c r="AZ11" s="47">
        <f t="shared" si="0"/>
        <v>2360100</v>
      </c>
      <c r="BA11" s="166">
        <f>SUM(BA14:BA23)</f>
        <v>1196916</v>
      </c>
      <c r="BB11" s="158">
        <f>+BA11-AZ11</f>
        <v>-1163184</v>
      </c>
      <c r="BC11" s="47"/>
      <c r="BG11" s="47">
        <f>+P11+L11+H11+T11+X11+AB11+AF11+AJ11+AN11+AR11+AV11+AZ11</f>
        <v>27189474.674620166</v>
      </c>
      <c r="BH11" s="166">
        <f>+Q11+M11+I11+U11+Y11+AC11+AG11+AK11+AO11+AS11+AW11+BA11</f>
        <v>21282345.57</v>
      </c>
      <c r="BI11" s="47">
        <f>+BH11-BG11</f>
        <v>-5907129.1046201661</v>
      </c>
    </row>
    <row r="12" spans="1:61" x14ac:dyDescent="0.2">
      <c r="I12" s="154"/>
      <c r="M12" s="154"/>
      <c r="N12" s="16"/>
      <c r="Z12" s="154"/>
      <c r="BG12" s="16"/>
      <c r="BH12" s="16"/>
      <c r="BI12" s="16"/>
    </row>
    <row r="13" spans="1:61" x14ac:dyDescent="0.2">
      <c r="A13" s="24" t="s">
        <v>30</v>
      </c>
      <c r="B13" s="136"/>
      <c r="I13" s="154"/>
      <c r="M13" s="154"/>
      <c r="N13" s="16"/>
      <c r="Z13" s="154"/>
      <c r="BG13" s="16"/>
      <c r="BH13" s="16"/>
      <c r="BI13" s="16"/>
    </row>
    <row r="14" spans="1:61" ht="46.5" customHeight="1" x14ac:dyDescent="0.2">
      <c r="A14" t="s">
        <v>31</v>
      </c>
      <c r="F14" s="44">
        <f>H14+L14+P14+T14+X14+AB14+AF14+AJ14+AN14+AR14+AV14+AZ14</f>
        <v>7002837.9709920008</v>
      </c>
      <c r="H14" s="43">
        <f>+'2024  Bdg vs Actual-CA'!O14+'2024 Bdg vs Actual -OH'!O14</f>
        <v>607265.97099200031</v>
      </c>
      <c r="I14" s="160">
        <v>519442</v>
      </c>
      <c r="J14" s="152">
        <f>+I14-H14</f>
        <v>-87823.970992000308</v>
      </c>
      <c r="K14" s="184" t="s">
        <v>32</v>
      </c>
      <c r="L14" s="191">
        <f>+'2024  Bdg vs Actual-CA'!S14+'2024 Bdg vs Actual -OH'!S14</f>
        <v>519372</v>
      </c>
      <c r="M14" s="160">
        <v>533709</v>
      </c>
      <c r="N14" s="152">
        <f>+M14-L14</f>
        <v>14337</v>
      </c>
      <c r="O14" s="288" t="s">
        <v>33</v>
      </c>
      <c r="P14" s="17">
        <f>ROUND(+'2024  Bdg vs Actual-CA'!W14+'2024 Bdg vs Actual -OH'!W14,-2)</f>
        <v>516400</v>
      </c>
      <c r="Q14" s="160">
        <v>522308</v>
      </c>
      <c r="R14" s="152">
        <f t="shared" ref="R14:R18" si="1">+Q14-P14</f>
        <v>5908</v>
      </c>
      <c r="S14" s="288" t="s">
        <v>34</v>
      </c>
      <c r="T14" s="17">
        <f>ROUND(+'2024  Bdg vs Actual-CA'!AA14+'2024 Bdg vs Actual -OH'!AA14,-2)</f>
        <v>534200</v>
      </c>
      <c r="U14" s="160">
        <v>514855</v>
      </c>
      <c r="V14" s="152">
        <f>+U14-T14</f>
        <v>-19345</v>
      </c>
      <c r="X14" s="17">
        <f>ROUND(+'2024  Bdg vs Actual-CA'!AE14+'2024 Bdg vs Actual -OH'!AE14,-2)</f>
        <v>546000</v>
      </c>
      <c r="Y14" s="160">
        <v>444256</v>
      </c>
      <c r="Z14" s="152">
        <f>+Y14-X14</f>
        <v>-101744</v>
      </c>
      <c r="AA14" s="287" t="s">
        <v>35</v>
      </c>
      <c r="AB14" s="17">
        <f>ROUND(+'2024  Bdg vs Actual-CA'!AI14+'2024 Bdg vs Actual -OH'!AI14,-2)</f>
        <v>575100</v>
      </c>
      <c r="AC14" s="160">
        <v>513444</v>
      </c>
      <c r="AD14" s="152">
        <f>+AC14-AB14</f>
        <v>-61656</v>
      </c>
      <c r="AE14" s="287" t="s">
        <v>35</v>
      </c>
      <c r="AF14" s="17">
        <f>ROUND(+'2024  Bdg vs Actual-CA'!AM14+'2024 Bdg vs Actual -OH'!AM14,-2)</f>
        <v>590000</v>
      </c>
      <c r="AG14" s="160">
        <v>505165</v>
      </c>
      <c r="AH14" s="152">
        <f>+AG14-AF14</f>
        <v>-84835</v>
      </c>
      <c r="AI14" s="287" t="s">
        <v>35</v>
      </c>
      <c r="AJ14" s="17">
        <f>ROUND(+'2024  Bdg vs Actual-CA'!AQ14+'2024 Bdg vs Actual -OH'!AQ14,-2)</f>
        <v>596300</v>
      </c>
      <c r="AK14" s="160">
        <v>534210</v>
      </c>
      <c r="AL14" s="152">
        <f>+AK14-AJ14</f>
        <v>-62090</v>
      </c>
      <c r="AM14" s="287" t="s">
        <v>35</v>
      </c>
      <c r="AN14" s="17">
        <f>ROUND(+'2024  Bdg vs Actual-CA'!AU14+'2024 Bdg vs Actual -OH'!AU14,-2)</f>
        <v>608000</v>
      </c>
      <c r="AO14" s="160">
        <v>521714</v>
      </c>
      <c r="AP14" s="152">
        <f>+AO14-AN14</f>
        <v>-86286</v>
      </c>
      <c r="AQ14" s="287" t="s">
        <v>35</v>
      </c>
      <c r="AR14" s="17">
        <f>ROUND(+'2024  Bdg vs Actual-CA'!AY14+'2024 Bdg vs Actual -OH'!AY14,-2)</f>
        <v>623400</v>
      </c>
      <c r="AS14" s="160">
        <v>507617</v>
      </c>
      <c r="AT14" s="152">
        <f>+AS14-AR14</f>
        <v>-115783</v>
      </c>
      <c r="AU14" s="287" t="s">
        <v>35</v>
      </c>
      <c r="AV14" s="17">
        <f>ROUND(+'2024  Bdg vs Actual-CA'!BC14+'2024 Bdg vs Actual -OH'!BC14,-2)</f>
        <v>636300</v>
      </c>
      <c r="AW14" s="160">
        <v>551943</v>
      </c>
      <c r="AX14" s="152">
        <f>+AW14-AV14</f>
        <v>-84357</v>
      </c>
      <c r="AY14" s="17"/>
      <c r="AZ14" s="17">
        <f>ROUND(+'2024  Bdg vs Actual-CA'!BG14+'2024 Bdg vs Actual -OH'!BG14,-2)</f>
        <v>650500</v>
      </c>
      <c r="BA14" s="160">
        <v>577780</v>
      </c>
      <c r="BB14" s="152">
        <f>+BA14-AZ14</f>
        <v>-72720</v>
      </c>
      <c r="BC14" s="287" t="s">
        <v>35</v>
      </c>
      <c r="BF14" s="186"/>
      <c r="BG14" s="17">
        <f t="shared" ref="BG14:BG18" si="2">+P14+L14+H14+T14+X14+AB14+AF14+AJ14+AN14+AR14+AV14+AZ14</f>
        <v>7002837.9709920008</v>
      </c>
      <c r="BH14" s="160">
        <f t="shared" ref="BH14:BH18" si="3">+Q14+M14+I14+U14+Y14+AC14+AG14+AK14+AO14+AS14+AW14+BA14</f>
        <v>6246443</v>
      </c>
      <c r="BI14" s="152">
        <f t="shared" ref="BI14:BI18" si="4">+BH14-BG14</f>
        <v>-756394.97099200077</v>
      </c>
    </row>
    <row r="15" spans="1:61" x14ac:dyDescent="0.2">
      <c r="A15" t="s">
        <v>36</v>
      </c>
      <c r="F15" s="44">
        <f>H15+L15+P15+T15+X15+AB15+AF15+AJ15+AN15+AR15+AV15+AZ15</f>
        <v>255753.83504999999</v>
      </c>
      <c r="H15" s="43">
        <f>+'2024  Bdg vs Actual-CA'!O15+'2024 Bdg vs Actual -OH'!O15</f>
        <v>26611.835049999998</v>
      </c>
      <c r="I15" s="160">
        <v>21937</v>
      </c>
      <c r="J15" s="152">
        <f t="shared" ref="J15:J18" si="5">+I15-H15</f>
        <v>-4674.8350499999979</v>
      </c>
      <c r="K15" s="43"/>
      <c r="L15" s="191">
        <f>+'2024  Bdg vs Actual-CA'!S15+'2024 Bdg vs Actual -OH'!S15</f>
        <v>18042</v>
      </c>
      <c r="M15" s="160">
        <v>24564</v>
      </c>
      <c r="N15" s="152">
        <f t="shared" ref="N15:N18" si="6">+M15-L15</f>
        <v>6522</v>
      </c>
      <c r="O15" s="288"/>
      <c r="P15" s="17">
        <f>ROUND(+'2024  Bdg vs Actual-CA'!W15+'2024 Bdg vs Actual -OH'!W15,-2)</f>
        <v>18000</v>
      </c>
      <c r="Q15" s="160">
        <v>18807</v>
      </c>
      <c r="R15" s="152">
        <f t="shared" si="1"/>
        <v>807</v>
      </c>
      <c r="S15" s="288"/>
      <c r="T15" s="17">
        <f>ROUND(+'2024  Bdg vs Actual-CA'!AA15+'2024 Bdg vs Actual -OH'!AA15,-2)</f>
        <v>18500</v>
      </c>
      <c r="U15" s="160">
        <v>20511</v>
      </c>
      <c r="V15" s="152">
        <f>+U15-T15</f>
        <v>2011</v>
      </c>
      <c r="X15" s="17">
        <f>ROUND(+'2024  Bdg vs Actual-CA'!AE15+'2024 Bdg vs Actual -OH'!AE15,-2)</f>
        <v>18000</v>
      </c>
      <c r="Y15" s="160">
        <v>20275</v>
      </c>
      <c r="Z15" s="152">
        <f>+Y15-X15</f>
        <v>2275</v>
      </c>
      <c r="AA15" s="287"/>
      <c r="AB15" s="17">
        <f>ROUND(+'2024  Bdg vs Actual-CA'!AI15+'2024 Bdg vs Actual -OH'!AI15,-2)</f>
        <v>20900</v>
      </c>
      <c r="AC15" s="160">
        <v>18128</v>
      </c>
      <c r="AD15" s="152">
        <f>+AC15-AB15</f>
        <v>-2772</v>
      </c>
      <c r="AE15" s="287"/>
      <c r="AF15" s="17">
        <f>ROUND(+'2024  Bdg vs Actual-CA'!AM15+'2024 Bdg vs Actual -OH'!AM15,-2)</f>
        <v>21400</v>
      </c>
      <c r="AG15" s="160">
        <v>18272</v>
      </c>
      <c r="AH15" s="152">
        <f>+AG15-AF15</f>
        <v>-3128</v>
      </c>
      <c r="AI15" s="287"/>
      <c r="AJ15" s="17">
        <f>ROUND(+'2024  Bdg vs Actual-CA'!AQ15+'2024 Bdg vs Actual -OH'!AQ15,-2)</f>
        <v>21800</v>
      </c>
      <c r="AK15" s="160">
        <v>18250</v>
      </c>
      <c r="AL15" s="152">
        <f>+AK15-AJ15</f>
        <v>-3550</v>
      </c>
      <c r="AM15" s="287"/>
      <c r="AN15" s="17">
        <f>ROUND(+'2024  Bdg vs Actual-CA'!AU15+'2024 Bdg vs Actual -OH'!AU15,-2)</f>
        <v>22300</v>
      </c>
      <c r="AO15" s="160">
        <v>22059</v>
      </c>
      <c r="AP15" s="152">
        <f>+AO15-AN15</f>
        <v>-241</v>
      </c>
      <c r="AQ15" s="287"/>
      <c r="AR15" s="17">
        <f>ROUND(+'2024  Bdg vs Actual-CA'!AY15+'2024 Bdg vs Actual -OH'!AY15,-2)</f>
        <v>22700</v>
      </c>
      <c r="AS15" s="160">
        <v>26554</v>
      </c>
      <c r="AT15" s="152">
        <f>+AS15-AR15</f>
        <v>3854</v>
      </c>
      <c r="AU15" s="287"/>
      <c r="AV15" s="17">
        <f>ROUND(+'2024  Bdg vs Actual-CA'!BC15+'2024 Bdg vs Actual -OH'!BC15,-2)</f>
        <v>23200</v>
      </c>
      <c r="AW15" s="160">
        <v>17924</v>
      </c>
      <c r="AX15" s="152">
        <f>+AW15-AV15</f>
        <v>-5276</v>
      </c>
      <c r="AY15" s="17"/>
      <c r="AZ15" s="17">
        <f>ROUND(+'2024  Bdg vs Actual-CA'!BG15+'2024 Bdg vs Actual -OH'!BG15,-2)</f>
        <v>24300</v>
      </c>
      <c r="BA15" s="160">
        <v>21850</v>
      </c>
      <c r="BB15" s="152">
        <f>+BA15-AZ15</f>
        <v>-2450</v>
      </c>
      <c r="BC15" s="287"/>
      <c r="BG15" s="17">
        <f t="shared" si="2"/>
        <v>255753.83504999999</v>
      </c>
      <c r="BH15" s="160">
        <f t="shared" si="3"/>
        <v>249131</v>
      </c>
      <c r="BI15" s="152">
        <f t="shared" si="4"/>
        <v>-6622.8350499999942</v>
      </c>
    </row>
    <row r="16" spans="1:61" x14ac:dyDescent="0.2">
      <c r="A16" t="s">
        <v>37</v>
      </c>
      <c r="F16" s="44">
        <f>H16+L16+P16+T16+X16+AB16+AF16+AJ16+AN16+AR16+AV16+AZ16</f>
        <v>2768443.7019114997</v>
      </c>
      <c r="H16" s="43">
        <f>+'2024  Bdg vs Actual-CA'!O16+'2024 Bdg vs Actual -OH'!O16</f>
        <v>199886.70191149987</v>
      </c>
      <c r="I16" s="160">
        <v>226368</v>
      </c>
      <c r="J16" s="152">
        <f t="shared" si="5"/>
        <v>26481.298088500131</v>
      </c>
      <c r="K16" s="43"/>
      <c r="L16" s="191">
        <f>+'2024  Bdg vs Actual-CA'!S16+'2024 Bdg vs Actual -OH'!S16</f>
        <v>216957</v>
      </c>
      <c r="M16" s="160">
        <v>220002</v>
      </c>
      <c r="N16" s="152">
        <f t="shared" si="6"/>
        <v>3045</v>
      </c>
      <c r="O16" s="288"/>
      <c r="P16" s="17">
        <f>ROUND(+'2024  Bdg vs Actual-CA'!W16+'2024 Bdg vs Actual -OH'!W16,-2)</f>
        <v>203600</v>
      </c>
      <c r="Q16" s="160">
        <v>206276</v>
      </c>
      <c r="R16" s="152">
        <f t="shared" si="1"/>
        <v>2676</v>
      </c>
      <c r="S16" s="288"/>
      <c r="T16" s="17">
        <f>ROUND(+'2024  Bdg vs Actual-CA'!AA16+'2024 Bdg vs Actual -OH'!AA16,-2)</f>
        <v>211600</v>
      </c>
      <c r="U16" s="160">
        <v>218674</v>
      </c>
      <c r="V16" s="152">
        <f>+U16-T16</f>
        <v>7074</v>
      </c>
      <c r="X16" s="17">
        <f>ROUND(+'2024  Bdg vs Actual-CA'!AE16+'2024 Bdg vs Actual -OH'!AE16,-2)</f>
        <v>222000</v>
      </c>
      <c r="Y16" s="160">
        <v>216193</v>
      </c>
      <c r="Z16" s="152">
        <f>+Y16-X16</f>
        <v>-5807</v>
      </c>
      <c r="AA16" s="287"/>
      <c r="AB16" s="17">
        <f>ROUND(+'2024  Bdg vs Actual-CA'!AI16+'2024 Bdg vs Actual -OH'!AI16,-2)</f>
        <v>233500</v>
      </c>
      <c r="AC16" s="160">
        <v>221605</v>
      </c>
      <c r="AD16" s="152">
        <f>+AC16-AB16</f>
        <v>-11895</v>
      </c>
      <c r="AE16" s="287"/>
      <c r="AF16" s="17">
        <f>ROUND(+'2024  Bdg vs Actual-CA'!AM16+'2024 Bdg vs Actual -OH'!AM16,-2)</f>
        <v>237500</v>
      </c>
      <c r="AG16" s="160">
        <v>221399</v>
      </c>
      <c r="AH16" s="152">
        <f>+AG16-AF16</f>
        <v>-16101</v>
      </c>
      <c r="AI16" s="287"/>
      <c r="AJ16" s="17">
        <f>ROUND(+'2024  Bdg vs Actual-CA'!AQ16+'2024 Bdg vs Actual -OH'!AQ16,-2)</f>
        <v>241600</v>
      </c>
      <c r="AK16" s="160">
        <v>219968</v>
      </c>
      <c r="AL16" s="152">
        <f>+AK16-AJ16</f>
        <v>-21632</v>
      </c>
      <c r="AM16" s="287"/>
      <c r="AN16" s="17">
        <f>ROUND(+'2024  Bdg vs Actual-CA'!AU16+'2024 Bdg vs Actual -OH'!AU16,-2)</f>
        <v>245100</v>
      </c>
      <c r="AO16" s="160">
        <v>225338</v>
      </c>
      <c r="AP16" s="152">
        <f>+AO16-AN16</f>
        <v>-19762</v>
      </c>
      <c r="AQ16" s="287"/>
      <c r="AR16" s="17">
        <f>ROUND(+'2024  Bdg vs Actual-CA'!AY16+'2024 Bdg vs Actual -OH'!AY16,-2)</f>
        <v>248900</v>
      </c>
      <c r="AS16" s="160">
        <v>234350</v>
      </c>
      <c r="AT16" s="152">
        <f>+AS16-AR16</f>
        <v>-14550</v>
      </c>
      <c r="AU16" s="287"/>
      <c r="AV16" s="17">
        <f>ROUND(+'2024  Bdg vs Actual-CA'!BC16+'2024 Bdg vs Actual -OH'!BC16,-2)</f>
        <v>251900</v>
      </c>
      <c r="AW16" s="160">
        <v>238967</v>
      </c>
      <c r="AX16" s="152">
        <f>+AW16-AV16</f>
        <v>-12933</v>
      </c>
      <c r="AY16" s="17"/>
      <c r="AZ16" s="17">
        <f>ROUND(+'2024  Bdg vs Actual-CA'!BG16+'2024 Bdg vs Actual -OH'!BG16,-2)</f>
        <v>255900</v>
      </c>
      <c r="BA16" s="160">
        <v>241544</v>
      </c>
      <c r="BB16" s="152">
        <f>+BA16-AZ16</f>
        <v>-14356</v>
      </c>
      <c r="BC16" s="287"/>
      <c r="BG16" s="17">
        <f t="shared" si="2"/>
        <v>2768443.7019114997</v>
      </c>
      <c r="BH16" s="160">
        <f t="shared" si="3"/>
        <v>2690684</v>
      </c>
      <c r="BI16" s="152">
        <f t="shared" si="4"/>
        <v>-77759.701911499724</v>
      </c>
    </row>
    <row r="17" spans="1:61" ht="34" x14ac:dyDescent="0.2">
      <c r="A17" t="s">
        <v>38</v>
      </c>
      <c r="E17" s="33"/>
      <c r="F17" s="44">
        <f>H17+L17+P17+T17+X17+AB17+AF17+AJ17+AN17+AR17+AV17+AZ17</f>
        <v>1447392.5</v>
      </c>
      <c r="H17" s="43">
        <f>+'2024  Bdg vs Actual-CA'!O17+'2024 Bdg vs Actual -OH'!O17</f>
        <v>120784.5</v>
      </c>
      <c r="I17" s="160">
        <v>47765.57</v>
      </c>
      <c r="J17" s="152">
        <f t="shared" si="5"/>
        <v>-73018.929999999993</v>
      </c>
      <c r="K17" s="43"/>
      <c r="L17" s="43">
        <f>+'2024  Bdg vs Actual-CA'!S17+'2024 Bdg vs Actual -OH'!S17</f>
        <v>118608</v>
      </c>
      <c r="M17" s="160">
        <v>91984</v>
      </c>
      <c r="N17" s="152">
        <f t="shared" si="6"/>
        <v>-26624</v>
      </c>
      <c r="O17" s="197" t="s">
        <v>39</v>
      </c>
      <c r="P17" s="17">
        <f>ROUND(+'2024  Bdg vs Actual-CA'!W17+'2024 Bdg vs Actual -OH'!W17,-2)</f>
        <v>120800</v>
      </c>
      <c r="Q17" s="160">
        <v>85429</v>
      </c>
      <c r="R17" s="152">
        <f t="shared" si="1"/>
        <v>-35371</v>
      </c>
      <c r="S17" s="197" t="s">
        <v>39</v>
      </c>
      <c r="T17" s="43">
        <f>ROUND(+'2024  Bdg vs Actual-CA'!AA17+'2024 Bdg vs Actual -OH'!AA17,-2)</f>
        <v>120800</v>
      </c>
      <c r="U17" s="160">
        <v>185976</v>
      </c>
      <c r="V17" s="152">
        <f>+U17-T17</f>
        <v>65176</v>
      </c>
      <c r="W17" s="43"/>
      <c r="X17" s="43">
        <f>ROUND(+'2024  Bdg vs Actual-CA'!AE17+'2024 Bdg vs Actual -OH'!AE17,-2)</f>
        <v>120800</v>
      </c>
      <c r="Y17" s="160">
        <v>173843</v>
      </c>
      <c r="Z17" s="152">
        <f>+Y17-X17</f>
        <v>53043</v>
      </c>
      <c r="AA17" s="287"/>
      <c r="AB17" s="43">
        <f>ROUND(+'2024  Bdg vs Actual-CA'!AI17+'2024 Bdg vs Actual -OH'!AI17,-2)</f>
        <v>120800</v>
      </c>
      <c r="AC17" s="160">
        <v>148908</v>
      </c>
      <c r="AD17" s="152">
        <f>+AC17-AB17</f>
        <v>28108</v>
      </c>
      <c r="AE17" s="287"/>
      <c r="AF17" s="43">
        <f>ROUND(+'2024  Bdg vs Actual-CA'!AM17+'2024 Bdg vs Actual -OH'!AM17,-2)</f>
        <v>120800</v>
      </c>
      <c r="AG17" s="160">
        <v>190189</v>
      </c>
      <c r="AH17" s="152">
        <f>+AG17-AF17</f>
        <v>69389</v>
      </c>
      <c r="AI17" s="287"/>
      <c r="AJ17" s="43">
        <f>ROUND(+'2024  Bdg vs Actual-CA'!AQ17+'2024 Bdg vs Actual -OH'!AQ17,-2)</f>
        <v>120800</v>
      </c>
      <c r="AK17" s="160">
        <v>344196</v>
      </c>
      <c r="AL17" s="152">
        <f>+AK17-AJ17</f>
        <v>223396</v>
      </c>
      <c r="AM17" s="287"/>
      <c r="AN17" s="43">
        <f>ROUND(+'2024  Bdg vs Actual-CA'!AU17+'2024 Bdg vs Actual -OH'!AU17,-2)</f>
        <v>120800</v>
      </c>
      <c r="AO17" s="160">
        <v>100536</v>
      </c>
      <c r="AP17" s="152">
        <f>+AO17-AN17</f>
        <v>-20264</v>
      </c>
      <c r="AQ17" s="287"/>
      <c r="AR17" s="43">
        <f>ROUND(+'2024  Bdg vs Actual-CA'!AY17+'2024 Bdg vs Actual -OH'!AY17,-2)</f>
        <v>120800</v>
      </c>
      <c r="AS17" s="160">
        <v>90248</v>
      </c>
      <c r="AT17" s="152">
        <f>+AS17-AR17</f>
        <v>-30552</v>
      </c>
      <c r="AU17" s="287"/>
      <c r="AV17" s="43">
        <f>ROUND(+'2024  Bdg vs Actual-CA'!BC17+'2024 Bdg vs Actual -OH'!BC17,-2)</f>
        <v>120800</v>
      </c>
      <c r="AW17" s="160">
        <v>46132</v>
      </c>
      <c r="AX17" s="152">
        <f>+AW17-AV17</f>
        <v>-74668</v>
      </c>
      <c r="AY17" s="43"/>
      <c r="AZ17" s="43">
        <f>ROUND(+'2024  Bdg vs Actual-CA'!BG17+'2024 Bdg vs Actual -OH'!BG17,-2)</f>
        <v>120800</v>
      </c>
      <c r="BA17" s="160">
        <v>39163</v>
      </c>
      <c r="BB17" s="152">
        <f>+BA17-AZ17</f>
        <v>-81637</v>
      </c>
      <c r="BC17" s="287"/>
      <c r="BG17" s="17">
        <f t="shared" si="2"/>
        <v>1447392.5</v>
      </c>
      <c r="BH17" s="160">
        <f t="shared" si="3"/>
        <v>1544369.57</v>
      </c>
      <c r="BI17" s="152">
        <f t="shared" si="4"/>
        <v>96977.070000000065</v>
      </c>
    </row>
    <row r="18" spans="1:61" x14ac:dyDescent="0.2">
      <c r="A18" t="s">
        <v>40</v>
      </c>
      <c r="E18" s="33"/>
      <c r="F18" s="44">
        <f>H18+L18+P18+T18+X18+AB18+AF18+AJ18+AN18+AR18+AV18+AZ18</f>
        <v>696225</v>
      </c>
      <c r="H18" s="43">
        <f>+'2024  Bdg vs Actual-CA'!O18+'2024 Bdg vs Actual -OH'!O18</f>
        <v>56763.000000000007</v>
      </c>
      <c r="I18" s="160">
        <v>5809</v>
      </c>
      <c r="J18" s="152">
        <f t="shared" si="5"/>
        <v>-50954.000000000007</v>
      </c>
      <c r="K18" s="43"/>
      <c r="L18" s="43">
        <f>+'2024  Bdg vs Actual-CA'!S18+'2024 Bdg vs Actual -OH'!S18</f>
        <v>71462</v>
      </c>
      <c r="M18" s="160">
        <v>74654</v>
      </c>
      <c r="N18" s="152">
        <f t="shared" si="6"/>
        <v>3192</v>
      </c>
      <c r="O18" s="194"/>
      <c r="P18" s="17">
        <f>ROUND(+'2024  Bdg vs Actual-CA'!W18+'2024 Bdg vs Actual -OH'!W18,-2)</f>
        <v>56800</v>
      </c>
      <c r="Q18" s="160">
        <v>16220</v>
      </c>
      <c r="R18" s="152">
        <f t="shared" si="1"/>
        <v>-40580</v>
      </c>
      <c r="S18" s="43"/>
      <c r="T18" s="43">
        <f>ROUND(+'2024  Bdg vs Actual-CA'!AA18+'2024 Bdg vs Actual -OH'!AA18,-2)</f>
        <v>56800</v>
      </c>
      <c r="U18" s="160">
        <v>10805</v>
      </c>
      <c r="V18" s="152">
        <f>+U18-T18</f>
        <v>-45995</v>
      </c>
      <c r="W18" s="43"/>
      <c r="X18" s="43">
        <f>ROUND(+'2024  Bdg vs Actual-CA'!AE18+'2024 Bdg vs Actual -OH'!AE18,-2)</f>
        <v>56800</v>
      </c>
      <c r="Y18" s="160">
        <v>14230</v>
      </c>
      <c r="Z18" s="152">
        <f>+Y18-X18</f>
        <v>-42570</v>
      </c>
      <c r="AA18" s="287"/>
      <c r="AB18" s="43">
        <f>ROUND(+'2024  Bdg vs Actual-CA'!AI18+'2024 Bdg vs Actual -OH'!AI18,-2)</f>
        <v>56800</v>
      </c>
      <c r="AC18" s="160">
        <v>19715</v>
      </c>
      <c r="AD18" s="152">
        <f>+AC18-AB18</f>
        <v>-37085</v>
      </c>
      <c r="AE18" s="287"/>
      <c r="AF18" s="43">
        <f>ROUND(+'2024  Bdg vs Actual-CA'!AM18+'2024 Bdg vs Actual -OH'!AM18,-2)</f>
        <v>56800</v>
      </c>
      <c r="AG18" s="160">
        <v>295714</v>
      </c>
      <c r="AH18" s="152">
        <f>+AG18-AF18</f>
        <v>238914</v>
      </c>
      <c r="AI18" s="287"/>
      <c r="AJ18" s="43">
        <f>ROUND(+'2024  Bdg vs Actual-CA'!AQ18+'2024 Bdg vs Actual -OH'!AQ18,-2)</f>
        <v>56800</v>
      </c>
      <c r="AK18" s="160">
        <v>132645</v>
      </c>
      <c r="AL18" s="152">
        <f>+AK18-AJ18</f>
        <v>75845</v>
      </c>
      <c r="AM18" s="287"/>
      <c r="AN18" s="43">
        <f>ROUND(+'2024  Bdg vs Actual-CA'!AU18+'2024 Bdg vs Actual -OH'!AU18,-2)</f>
        <v>56800</v>
      </c>
      <c r="AO18" s="160">
        <v>24969</v>
      </c>
      <c r="AP18" s="152">
        <f>+AO18-AN18</f>
        <v>-31831</v>
      </c>
      <c r="AQ18" s="287"/>
      <c r="AR18" s="43">
        <f>ROUND(+'2024  Bdg vs Actual-CA'!AY18+'2024 Bdg vs Actual -OH'!AY18,-2)</f>
        <v>56800</v>
      </c>
      <c r="AS18" s="160">
        <v>32496</v>
      </c>
      <c r="AT18" s="152">
        <f>+AS18-AR18</f>
        <v>-24304</v>
      </c>
      <c r="AU18" s="287"/>
      <c r="AV18" s="43">
        <f>ROUND(+'2024  Bdg vs Actual-CA'!BC18+'2024 Bdg vs Actual -OH'!BC18,-2)</f>
        <v>56800</v>
      </c>
      <c r="AW18" s="160">
        <v>12751</v>
      </c>
      <c r="AX18" s="152">
        <f>+AW18-AV18</f>
        <v>-44049</v>
      </c>
      <c r="AY18" s="43"/>
      <c r="AZ18" s="43">
        <f>ROUND(+'2024  Bdg vs Actual-CA'!BG18+'2024 Bdg vs Actual -OH'!BG18,-2)</f>
        <v>56800</v>
      </c>
      <c r="BA18" s="160">
        <v>25687</v>
      </c>
      <c r="BB18" s="152">
        <f>+BA18-AZ18</f>
        <v>-31113</v>
      </c>
      <c r="BC18" s="287"/>
      <c r="BG18" s="17">
        <f t="shared" si="2"/>
        <v>696225</v>
      </c>
      <c r="BH18" s="160">
        <f t="shared" si="3"/>
        <v>665695</v>
      </c>
      <c r="BI18" s="152">
        <f t="shared" si="4"/>
        <v>-30530</v>
      </c>
    </row>
    <row r="19" spans="1:61" x14ac:dyDescent="0.2">
      <c r="F19" s="15"/>
      <c r="H19" s="43"/>
      <c r="I19" s="160"/>
      <c r="J19" s="43"/>
      <c r="K19" s="43"/>
      <c r="L19" s="43"/>
      <c r="M19" s="160"/>
      <c r="N19" s="43"/>
      <c r="O19" s="43"/>
      <c r="P19" s="17"/>
      <c r="Q19" s="160"/>
      <c r="R19" s="43"/>
      <c r="S19" s="43"/>
      <c r="T19" s="43"/>
      <c r="U19" s="160"/>
      <c r="V19" s="152"/>
      <c r="W19" s="43"/>
      <c r="X19" s="43"/>
      <c r="Y19" s="43"/>
      <c r="Z19" s="154"/>
      <c r="AA19" s="43"/>
      <c r="AB19" s="43"/>
      <c r="AC19" s="160"/>
      <c r="AD19" s="43"/>
      <c r="AE19" s="43"/>
      <c r="AF19" s="43"/>
      <c r="AG19" s="43"/>
      <c r="AH19" s="43"/>
      <c r="AI19" s="43"/>
      <c r="AJ19" s="43"/>
      <c r="AK19" s="160"/>
      <c r="AL19" s="43"/>
      <c r="AM19" s="43"/>
      <c r="AN19" s="43"/>
      <c r="AO19" s="160"/>
      <c r="AP19" s="43"/>
      <c r="AQ19" s="43"/>
      <c r="AR19" s="43"/>
      <c r="AS19" s="160"/>
      <c r="AT19" s="43"/>
      <c r="AU19" s="43"/>
      <c r="AV19" s="43"/>
      <c r="AW19" s="160"/>
      <c r="AX19" s="43"/>
      <c r="AY19" s="43"/>
      <c r="AZ19" s="43"/>
      <c r="BA19" s="160"/>
      <c r="BB19" s="43"/>
      <c r="BC19" s="43"/>
      <c r="BG19" s="17"/>
      <c r="BH19" s="160"/>
      <c r="BI19" s="43"/>
    </row>
    <row r="20" spans="1:61" x14ac:dyDescent="0.2">
      <c r="H20" s="43"/>
      <c r="I20" s="160"/>
      <c r="J20" s="43"/>
      <c r="K20" s="43"/>
      <c r="L20" s="43"/>
      <c r="M20" s="160"/>
      <c r="N20" s="43"/>
      <c r="O20" s="43"/>
      <c r="P20" s="17"/>
      <c r="Q20" s="160"/>
      <c r="R20" s="43"/>
      <c r="S20" s="43"/>
      <c r="T20" s="43"/>
      <c r="U20" s="160"/>
      <c r="V20" s="152"/>
      <c r="W20" s="43"/>
      <c r="X20" s="43"/>
      <c r="Y20" s="43"/>
      <c r="Z20" s="154"/>
      <c r="AA20" s="43"/>
      <c r="AB20" s="43"/>
      <c r="AC20" s="160"/>
      <c r="AD20" s="43"/>
      <c r="AE20" s="43"/>
      <c r="AF20" s="43"/>
      <c r="AG20" s="43"/>
      <c r="AH20" s="43"/>
      <c r="AI20" s="43"/>
      <c r="AJ20" s="43"/>
      <c r="AK20" s="160"/>
      <c r="AL20" s="43"/>
      <c r="AM20" s="43"/>
      <c r="AN20" s="43"/>
      <c r="AO20" s="160"/>
      <c r="AP20" s="43"/>
      <c r="AQ20" s="43"/>
      <c r="AR20" s="43"/>
      <c r="AS20" s="160"/>
      <c r="AT20" s="43"/>
      <c r="AU20" s="43"/>
      <c r="AV20" s="43"/>
      <c r="AW20" s="160"/>
      <c r="AX20" s="43"/>
      <c r="AY20" s="43"/>
      <c r="AZ20" s="43"/>
      <c r="BA20" s="160"/>
      <c r="BB20" s="43"/>
      <c r="BC20" s="43"/>
      <c r="BG20" s="17"/>
      <c r="BH20" s="160"/>
      <c r="BI20" s="43"/>
    </row>
    <row r="21" spans="1:61" x14ac:dyDescent="0.2">
      <c r="A21" s="24" t="s">
        <v>41</v>
      </c>
      <c r="B21" s="136"/>
      <c r="H21" s="43"/>
      <c r="I21" s="160"/>
      <c r="J21" s="43"/>
      <c r="K21" s="43"/>
      <c r="L21" s="43"/>
      <c r="M21" s="160"/>
      <c r="N21" s="43"/>
      <c r="O21" s="43"/>
      <c r="P21" s="17"/>
      <c r="Q21" s="160"/>
      <c r="R21" s="43"/>
      <c r="S21" s="43"/>
      <c r="T21" s="43"/>
      <c r="U21" s="160"/>
      <c r="V21" s="152"/>
      <c r="W21" s="43"/>
      <c r="X21" s="43"/>
      <c r="Y21" s="43"/>
      <c r="Z21" s="154"/>
      <c r="AA21" s="43"/>
      <c r="AB21" s="43"/>
      <c r="AC21" s="160"/>
      <c r="AD21" s="43"/>
      <c r="AE21" s="43"/>
      <c r="AF21" s="43"/>
      <c r="AG21" s="43"/>
      <c r="AH21" s="43"/>
      <c r="AI21" s="43"/>
      <c r="AJ21" s="43"/>
      <c r="AK21" s="160"/>
      <c r="AL21" s="43"/>
      <c r="AM21" s="43"/>
      <c r="AN21" s="43"/>
      <c r="AO21" s="160"/>
      <c r="AP21" s="43"/>
      <c r="AQ21" s="43"/>
      <c r="AR21" s="43"/>
      <c r="AS21" s="160"/>
      <c r="AT21" s="43"/>
      <c r="AU21" s="43"/>
      <c r="AV21" s="43"/>
      <c r="AW21" s="160"/>
      <c r="AX21" s="43"/>
      <c r="AY21" s="43"/>
      <c r="AZ21" s="43"/>
      <c r="BA21" s="160"/>
      <c r="BB21" s="43"/>
      <c r="BC21" s="43"/>
      <c r="BG21" s="17"/>
      <c r="BH21" s="160"/>
      <c r="BI21" s="43"/>
    </row>
    <row r="22" spans="1:61" ht="34" x14ac:dyDescent="0.2">
      <c r="A22" t="s">
        <v>42</v>
      </c>
      <c r="C22" s="44"/>
      <c r="D22" s="44"/>
      <c r="E22" s="33"/>
      <c r="F22" s="44">
        <f>H22+L22+P22+T22+X22+AB22+AF22+AJ22+AN22+AR22+AV22+AZ22</f>
        <v>14789905</v>
      </c>
      <c r="H22" s="43">
        <f>+'2024  Bdg vs Actual-CA'!O22+'2024 Bdg vs Actual -OH'!O22</f>
        <v>1232452.5</v>
      </c>
      <c r="I22" s="160">
        <v>542234</v>
      </c>
      <c r="J22" s="152">
        <f t="shared" ref="J22:J23" si="7">+I22-H22</f>
        <v>-690218.5</v>
      </c>
      <c r="K22" s="43"/>
      <c r="L22" s="43">
        <f>+'2024  Bdg vs Actual-CA'!S22+'2024 Bdg vs Actual -OH'!S22</f>
        <v>1232452.5</v>
      </c>
      <c r="M22" s="160">
        <v>756837</v>
      </c>
      <c r="N22" s="152">
        <f t="shared" ref="N22:N23" si="8">+M22-L22</f>
        <v>-475615.5</v>
      </c>
      <c r="O22" s="197" t="s">
        <v>43</v>
      </c>
      <c r="P22" s="17">
        <f>ROUND(+'2024  Bdg vs Actual-CA'!W22+'2024 Bdg vs Actual -OH'!W22,-2)</f>
        <v>1232500</v>
      </c>
      <c r="Q22" s="160">
        <v>392152</v>
      </c>
      <c r="R22" s="152">
        <f t="shared" ref="R22:R23" si="9">+Q22-P22</f>
        <v>-840348</v>
      </c>
      <c r="S22" s="197" t="s">
        <v>43</v>
      </c>
      <c r="T22" s="43">
        <f>ROUND(+'2024  Bdg vs Actual-CA'!AA22+'2024 Bdg vs Actual -OH'!AA22,-2)</f>
        <v>1232500</v>
      </c>
      <c r="U22" s="160">
        <v>784945</v>
      </c>
      <c r="V22" s="152">
        <f>+U22-T22</f>
        <v>-447555</v>
      </c>
      <c r="W22" s="43"/>
      <c r="X22" s="43">
        <f>ROUND(+'2024  Bdg vs Actual-CA'!AE22+'2024 Bdg vs Actual -OH'!AE22,-2)</f>
        <v>1232500</v>
      </c>
      <c r="Y22" s="160">
        <v>629848</v>
      </c>
      <c r="Z22" s="152">
        <f>+Y22-X22</f>
        <v>-602652</v>
      </c>
      <c r="AA22" s="43"/>
      <c r="AB22" s="43">
        <f>ROUND(+'2024  Bdg vs Actual-CA'!AI22+'2024 Bdg vs Actual -OH'!AI22,-2)</f>
        <v>1232500</v>
      </c>
      <c r="AC22" s="160">
        <v>1645749</v>
      </c>
      <c r="AD22" s="152">
        <f>+AC22-AB22</f>
        <v>413249</v>
      </c>
      <c r="AE22" s="43"/>
      <c r="AF22" s="43">
        <f>ROUND(+'2024  Bdg vs Actual-CA'!AM22+'2024 Bdg vs Actual -OH'!AM22,-2)</f>
        <v>1232500</v>
      </c>
      <c r="AG22" s="160">
        <v>1162232</v>
      </c>
      <c r="AH22" s="152">
        <f>+AG22-AF22</f>
        <v>-70268</v>
      </c>
      <c r="AI22" s="43"/>
      <c r="AJ22" s="43">
        <f>ROUND(+'2024  Bdg vs Actual-CA'!AQ22+'2024 Bdg vs Actual -OH'!AQ22,-2)</f>
        <v>1232500</v>
      </c>
      <c r="AK22" s="160">
        <v>1529705</v>
      </c>
      <c r="AL22" s="152">
        <f>+AK22-AJ22</f>
        <v>297205</v>
      </c>
      <c r="AM22" s="43"/>
      <c r="AN22" s="43">
        <f>ROUND(+'2024  Bdg vs Actual-CA'!AU22+'2024 Bdg vs Actual -OH'!AU22,-2)</f>
        <v>1232500</v>
      </c>
      <c r="AO22" s="160">
        <v>494557</v>
      </c>
      <c r="AP22" s="152">
        <f>+AO22-AN22</f>
        <v>-737943</v>
      </c>
      <c r="AQ22" s="43"/>
      <c r="AR22" s="43">
        <f>ROUND(+'2024  Bdg vs Actual-CA'!AY22+'2024 Bdg vs Actual -OH'!AY22,-2)</f>
        <v>1232500</v>
      </c>
      <c r="AS22" s="160">
        <v>621149</v>
      </c>
      <c r="AT22" s="152">
        <f>+AS22-AR22</f>
        <v>-611351</v>
      </c>
      <c r="AU22" s="43"/>
      <c r="AV22" s="43">
        <f>ROUND(+'2024  Bdg vs Actual-CA'!BC22+'2024 Bdg vs Actual -OH'!BC22,-2)</f>
        <v>1232500</v>
      </c>
      <c r="AW22" s="160">
        <v>927230</v>
      </c>
      <c r="AX22" s="152">
        <f>+AW22-AV22</f>
        <v>-305270</v>
      </c>
      <c r="AY22" s="43"/>
      <c r="AZ22" s="43">
        <f>ROUND(+'2024  Bdg vs Actual-CA'!BG22+'2024 Bdg vs Actual -OH'!BG22,-2)</f>
        <v>1232500</v>
      </c>
      <c r="BA22" s="160">
        <v>263714</v>
      </c>
      <c r="BB22" s="152">
        <f>+BA22-AZ22</f>
        <v>-968786</v>
      </c>
      <c r="BC22" s="43"/>
      <c r="BG22" s="17">
        <f t="shared" ref="BG22:BG23" si="10">+P22+L22+H22+T22+X22+AB22+AF22+AJ22+AN22+AR22+AV22+AZ22</f>
        <v>14789905</v>
      </c>
      <c r="BH22" s="160">
        <f t="shared" ref="BH22:BH23" si="11">+Q22+M22+I22+U22+Y22+AC22+AG22+AK22+AO22+AS22+AW22+BA22</f>
        <v>9750352</v>
      </c>
      <c r="BI22" s="152">
        <f t="shared" ref="BI22:BI23" si="12">+BH22-BG22</f>
        <v>-5039553</v>
      </c>
    </row>
    <row r="23" spans="1:61" x14ac:dyDescent="0.2">
      <c r="A23" t="s">
        <v>44</v>
      </c>
      <c r="C23" s="44"/>
      <c r="D23" s="44"/>
      <c r="E23" s="44"/>
      <c r="F23" s="44">
        <f>H23+L23+P23+T23+X23+AB23+AF23+AJ23+AN23+AR23+AV23+AZ23</f>
        <v>228916.66666666666</v>
      </c>
      <c r="H23" s="43">
        <f>+'2024  Bdg vs Actual-CA'!O23+'2024 Bdg vs Actual -OH'!O23</f>
        <v>19333.333333333332</v>
      </c>
      <c r="I23" s="160">
        <v>12167</v>
      </c>
      <c r="J23" s="152">
        <f t="shared" si="7"/>
        <v>-7166.3333333333321</v>
      </c>
      <c r="K23" s="43"/>
      <c r="L23" s="43">
        <f>+'2024  Bdg vs Actual-CA'!S23+'2024 Bdg vs Actual -OH'!S23</f>
        <v>16583.333333333332</v>
      </c>
      <c r="M23" s="160">
        <v>6918</v>
      </c>
      <c r="N23" s="152">
        <f t="shared" si="8"/>
        <v>-9665.3333333333321</v>
      </c>
      <c r="O23" s="43"/>
      <c r="P23" s="17">
        <f>ROUND(+'2024  Bdg vs Actual-CA'!W23+'2024 Bdg vs Actual -OH'!W23,-2)</f>
        <v>19300</v>
      </c>
      <c r="Q23" s="160">
        <v>15554</v>
      </c>
      <c r="R23" s="152">
        <f t="shared" si="9"/>
        <v>-3746</v>
      </c>
      <c r="S23" s="43"/>
      <c r="T23" s="43">
        <f>ROUND(+'2024  Bdg vs Actual-CA'!AA23+'2024 Bdg vs Actual -OH'!AA23,-2)</f>
        <v>19300</v>
      </c>
      <c r="U23" s="160">
        <v>4670</v>
      </c>
      <c r="V23" s="152">
        <f>+U23-T23</f>
        <v>-14630</v>
      </c>
      <c r="W23" s="43"/>
      <c r="X23" s="43">
        <f>ROUND(+'2024  Bdg vs Actual-CA'!AE23+'2024 Bdg vs Actual -OH'!AE23,-2)</f>
        <v>19300</v>
      </c>
      <c r="Y23" s="160">
        <f>102670-90848</f>
        <v>11822</v>
      </c>
      <c r="Z23" s="152">
        <f>+Y23-X23</f>
        <v>-7478</v>
      </c>
      <c r="AA23" s="43"/>
      <c r="AB23" s="43">
        <f>ROUND(+'2024  Bdg vs Actual-CA'!AI23+'2024 Bdg vs Actual -OH'!AI23,-2)</f>
        <v>19300</v>
      </c>
      <c r="AC23" s="160">
        <v>10732</v>
      </c>
      <c r="AD23" s="152">
        <f>+AC23-AB23</f>
        <v>-8568</v>
      </c>
      <c r="AE23" s="43"/>
      <c r="AF23" s="43">
        <f>ROUND(+'2024  Bdg vs Actual-CA'!AM23+'2024 Bdg vs Actual -OH'!AM23,-2)</f>
        <v>19300</v>
      </c>
      <c r="AG23" s="160">
        <v>6031</v>
      </c>
      <c r="AH23" s="152">
        <f>+AG23-AF23</f>
        <v>-13269</v>
      </c>
      <c r="AI23" s="43"/>
      <c r="AJ23" s="43">
        <f>ROUND(+'2024  Bdg vs Actual-CA'!AQ23+'2024 Bdg vs Actual -OH'!AQ23,-2)</f>
        <v>19300</v>
      </c>
      <c r="AK23" s="160">
        <v>7559</v>
      </c>
      <c r="AL23" s="152">
        <f>+AK23-AJ23</f>
        <v>-11741</v>
      </c>
      <c r="AM23" s="43"/>
      <c r="AN23" s="43">
        <f>ROUND(+'2024  Bdg vs Actual-CA'!AU23+'2024 Bdg vs Actual -OH'!AU23,-2)</f>
        <v>19300</v>
      </c>
      <c r="AO23" s="160">
        <v>18165</v>
      </c>
      <c r="AP23" s="152">
        <f>+AO23-AN23</f>
        <v>-1135</v>
      </c>
      <c r="AQ23" s="43"/>
      <c r="AR23" s="43">
        <f>ROUND(+'2024  Bdg vs Actual-CA'!AY23+'2024 Bdg vs Actual -OH'!AY23,-2)</f>
        <v>19300</v>
      </c>
      <c r="AS23" s="160">
        <v>7760</v>
      </c>
      <c r="AT23" s="152">
        <f>+AS23-AR23</f>
        <v>-11540</v>
      </c>
      <c r="AU23" s="43"/>
      <c r="AV23" s="43">
        <f>ROUND(+'2024  Bdg vs Actual-CA'!BC23+'2024 Bdg vs Actual -OH'!BC23,-2)</f>
        <v>19300</v>
      </c>
      <c r="AW23" s="160">
        <v>7115</v>
      </c>
      <c r="AX23" s="152">
        <f>+AW23-AV23</f>
        <v>-12185</v>
      </c>
      <c r="AY23" s="43"/>
      <c r="AZ23" s="43">
        <f>ROUND(+'2024  Bdg vs Actual-CA'!BG23+'2024 Bdg vs Actual -OH'!BG23,-2)</f>
        <v>19300</v>
      </c>
      <c r="BA23" s="160">
        <v>27178</v>
      </c>
      <c r="BB23" s="152">
        <f>+BA23-AZ23</f>
        <v>7878</v>
      </c>
      <c r="BC23" s="43"/>
      <c r="BG23" s="17">
        <f t="shared" si="10"/>
        <v>228916.66666666666</v>
      </c>
      <c r="BH23" s="160">
        <f t="shared" si="11"/>
        <v>135671</v>
      </c>
      <c r="BI23" s="152">
        <f t="shared" si="12"/>
        <v>-93245.666666666657</v>
      </c>
    </row>
    <row r="24" spans="1:61" x14ac:dyDescent="0.2">
      <c r="F24" s="15"/>
      <c r="H24" s="43"/>
      <c r="I24" s="160"/>
      <c r="J24" s="43"/>
      <c r="K24" s="43"/>
      <c r="L24" s="43"/>
      <c r="M24" s="160"/>
      <c r="N24" s="43"/>
      <c r="O24" s="43"/>
      <c r="P24" s="17"/>
      <c r="Q24" s="160"/>
      <c r="R24" s="152"/>
      <c r="S24" s="43"/>
      <c r="T24" s="43"/>
      <c r="U24" s="43"/>
      <c r="V24" s="152"/>
      <c r="W24" s="43"/>
      <c r="X24" s="43"/>
      <c r="Y24" s="43"/>
      <c r="Z24" s="152"/>
      <c r="AA24" s="43"/>
      <c r="AB24" s="43"/>
      <c r="AC24" s="160"/>
      <c r="AD24" s="43"/>
      <c r="AE24" s="43"/>
      <c r="AF24" s="43"/>
      <c r="AG24" s="43"/>
      <c r="AH24" s="43"/>
      <c r="AI24" s="43"/>
      <c r="AJ24" s="43"/>
      <c r="AK24" s="43"/>
      <c r="AL24" s="43"/>
      <c r="AM24" s="43"/>
      <c r="AN24" s="43"/>
      <c r="AO24" s="43"/>
      <c r="AP24" s="43"/>
      <c r="AQ24" s="43"/>
      <c r="AR24" s="43"/>
      <c r="AS24" s="43"/>
      <c r="AT24" s="43"/>
      <c r="AU24" s="43"/>
      <c r="AV24" s="43"/>
      <c r="AW24" s="160"/>
      <c r="AX24" s="43"/>
      <c r="AY24" s="43"/>
      <c r="AZ24" s="43"/>
      <c r="BA24" s="160"/>
      <c r="BB24" s="43"/>
      <c r="BC24" s="43"/>
      <c r="BG24" s="17"/>
      <c r="BH24" s="160"/>
      <c r="BI24" s="152"/>
    </row>
    <row r="25" spans="1:61" x14ac:dyDescent="0.2">
      <c r="A25" s="24" t="s">
        <v>45</v>
      </c>
      <c r="B25" s="136"/>
      <c r="F25" s="15"/>
      <c r="H25" s="43"/>
      <c r="I25" s="160"/>
      <c r="J25" s="43"/>
      <c r="K25" s="43"/>
      <c r="L25" s="43"/>
      <c r="M25" s="160"/>
      <c r="N25" s="43"/>
      <c r="O25" s="43"/>
      <c r="P25" s="17"/>
      <c r="Q25" s="160"/>
      <c r="R25" s="152"/>
      <c r="S25" s="43"/>
      <c r="T25" s="43"/>
      <c r="U25" s="43"/>
      <c r="V25" s="152"/>
      <c r="W25" s="43"/>
      <c r="X25" s="43"/>
      <c r="Y25" s="43"/>
      <c r="Z25" s="152"/>
      <c r="AA25" s="43"/>
      <c r="AB25" s="43"/>
      <c r="AC25" s="160"/>
      <c r="AD25" s="43"/>
      <c r="AE25" s="43"/>
      <c r="AF25" s="43"/>
      <c r="AG25" s="43"/>
      <c r="AH25" s="43"/>
      <c r="AI25" s="43"/>
      <c r="AJ25" s="43"/>
      <c r="AK25" s="43"/>
      <c r="AL25" s="43"/>
      <c r="AM25" s="43"/>
      <c r="AN25" s="43"/>
      <c r="AO25" s="43"/>
      <c r="AP25" s="43"/>
      <c r="AQ25" s="43"/>
      <c r="AR25" s="43"/>
      <c r="AS25" s="43"/>
      <c r="AT25" s="43"/>
      <c r="AU25" s="43"/>
      <c r="AV25" s="43"/>
      <c r="AW25" s="160"/>
      <c r="AX25" s="43"/>
      <c r="AY25" s="43"/>
      <c r="AZ25" s="43"/>
      <c r="BA25" s="160"/>
      <c r="BB25" s="43"/>
      <c r="BC25" s="43"/>
      <c r="BG25" s="17"/>
      <c r="BH25" s="160"/>
      <c r="BI25" s="152"/>
    </row>
    <row r="26" spans="1:61" x14ac:dyDescent="0.2">
      <c r="A26" t="s">
        <v>46</v>
      </c>
      <c r="C26" s="44"/>
      <c r="D26" s="44"/>
      <c r="E26" s="44"/>
      <c r="F26" s="44">
        <f t="shared" ref="F26:F31" si="13">H26+L26+P26+T26+X26+AB26+AF26+AJ26+AN26+AR26+AV26+AZ26</f>
        <v>231439.77704273601</v>
      </c>
      <c r="H26" s="44">
        <f t="shared" ref="H26" si="14">H14*0.033</f>
        <v>20039.777042736012</v>
      </c>
      <c r="I26" s="160">
        <v>18726</v>
      </c>
      <c r="J26" s="152">
        <f>H26-I26</f>
        <v>1313.7770427360119</v>
      </c>
      <c r="K26" s="44"/>
      <c r="L26" s="43">
        <f>+'2024  Bdg vs Actual-CA'!S26+'2024 Bdg vs Actual -OH'!S26</f>
        <v>17400</v>
      </c>
      <c r="M26" s="160">
        <v>21728</v>
      </c>
      <c r="N26" s="152">
        <f>L26-M26</f>
        <v>-4328</v>
      </c>
      <c r="O26" s="44"/>
      <c r="P26" s="17">
        <f>ROUND(+'2024  Bdg vs Actual-CA'!W26+'2024 Bdg vs Actual -OH'!W26,-2)</f>
        <v>17200</v>
      </c>
      <c r="Q26" s="213">
        <v>23839</v>
      </c>
      <c r="R26" s="152">
        <f>P26-Q26</f>
        <v>-6639</v>
      </c>
      <c r="S26" s="44"/>
      <c r="T26" s="44">
        <f>ROUND('2024  Bdg vs Actual-CA'!AA26+'2024 Bdg vs Actual -OH'!AA26,-2)</f>
        <v>17600</v>
      </c>
      <c r="U26" s="160">
        <v>31075</v>
      </c>
      <c r="V26" s="152">
        <f t="shared" ref="V26:V31" si="15">T26-U26</f>
        <v>-13475</v>
      </c>
      <c r="W26" s="44"/>
      <c r="X26" s="44">
        <f>ROUND('2024  Bdg vs Actual-CA'!AE26+'2024 Bdg vs Actual -OH'!AE26,-2)</f>
        <v>18000</v>
      </c>
      <c r="Y26" s="160">
        <v>21136</v>
      </c>
      <c r="Z26" s="152">
        <f t="shared" ref="Z26:Z31" si="16">X26-Y26</f>
        <v>-3136</v>
      </c>
      <c r="AA26" s="44"/>
      <c r="AB26" s="44">
        <f>ROUND('2024  Bdg vs Actual-CA'!AI26+'2024 Bdg vs Actual -OH'!AI26,-2)</f>
        <v>19000</v>
      </c>
      <c r="AC26" s="160">
        <v>21363</v>
      </c>
      <c r="AD26" s="152">
        <f t="shared" ref="AD26:AD31" si="17">AB26-AC26</f>
        <v>-2363</v>
      </c>
      <c r="AE26" s="44"/>
      <c r="AF26" s="44">
        <f>ROUND('2024  Bdg vs Actual-CA'!AM26+'2024 Bdg vs Actual -OH'!AM26,-2)</f>
        <v>19500</v>
      </c>
      <c r="AG26" s="160">
        <v>22325</v>
      </c>
      <c r="AH26" s="152">
        <f t="shared" ref="AH26:AH31" si="18">AF26-AG26</f>
        <v>-2825</v>
      </c>
      <c r="AI26" s="44"/>
      <c r="AJ26" s="44">
        <f>ROUND('2024  Bdg vs Actual-CA'!AQ26+'2024 Bdg vs Actual -OH'!AQ26,-2)</f>
        <v>19700</v>
      </c>
      <c r="AK26" s="160">
        <v>16009</v>
      </c>
      <c r="AL26" s="152">
        <f t="shared" ref="AL26:AL31" si="19">AJ26-AK26</f>
        <v>3691</v>
      </c>
      <c r="AM26" s="44"/>
      <c r="AN26" s="44">
        <f>ROUND('2024  Bdg vs Actual-CA'!AU26+'2024 Bdg vs Actual -OH'!AU26,-2)</f>
        <v>20000</v>
      </c>
      <c r="AO26" s="160">
        <v>17427</v>
      </c>
      <c r="AP26" s="152">
        <f t="shared" ref="AP26:AP31" si="20">AN26-AO26</f>
        <v>2573</v>
      </c>
      <c r="AQ26" s="44"/>
      <c r="AR26" s="44">
        <f>ROUND('2024  Bdg vs Actual-CA'!AY26+'2024 Bdg vs Actual -OH'!AY26,-2)</f>
        <v>20600</v>
      </c>
      <c r="AS26" s="160">
        <v>13618</v>
      </c>
      <c r="AT26" s="152">
        <f t="shared" ref="AT26:AT31" si="21">AR26-AS26</f>
        <v>6982</v>
      </c>
      <c r="AU26" s="44"/>
      <c r="AV26" s="44">
        <f>ROUND('2024  Bdg vs Actual-CA'!BC26+'2024 Bdg vs Actual -OH'!BC26,-2)</f>
        <v>21000</v>
      </c>
      <c r="AW26" s="160">
        <v>20756</v>
      </c>
      <c r="AX26" s="152">
        <f t="shared" ref="AX26:AX31" si="22">AV26-AW26</f>
        <v>244</v>
      </c>
      <c r="AY26" s="44"/>
      <c r="AZ26" s="44">
        <f>ROUND('2024  Bdg vs Actual-CA'!BG26+'2024 Bdg vs Actual -OH'!BG26,-2)</f>
        <v>21400</v>
      </c>
      <c r="BA26" s="160">
        <v>16438</v>
      </c>
      <c r="BB26" s="152">
        <f t="shared" ref="BB26:BB31" si="23">AZ26-BA26</f>
        <v>4962</v>
      </c>
      <c r="BC26" s="44"/>
      <c r="BG26" s="17">
        <f t="shared" ref="BG26:BG31" si="24">+P26+L26+H26+T26+X26+AB26+AF26+AJ26+AN26+AR26+AV26+AZ26</f>
        <v>231439.77704273601</v>
      </c>
      <c r="BH26" s="160">
        <f t="shared" ref="BH26:BH31" si="25">+Q26+M26+I26+U26+Y26+AC26+AG26+AK26+AO26+AS26+AW26+BA26</f>
        <v>244440</v>
      </c>
      <c r="BI26" s="152">
        <f>BG26-BH26</f>
        <v>-13000.222957263992</v>
      </c>
    </row>
    <row r="27" spans="1:61" x14ac:dyDescent="0.2">
      <c r="A27" t="s">
        <v>47</v>
      </c>
      <c r="C27" s="44"/>
      <c r="D27" s="44"/>
      <c r="E27" s="44"/>
      <c r="F27" s="44">
        <f t="shared" si="13"/>
        <v>185593.58041125</v>
      </c>
      <c r="H27" s="44">
        <f t="shared" ref="H27" si="26">H15*0.725</f>
        <v>19293.580411249997</v>
      </c>
      <c r="I27" s="160">
        <v>13334</v>
      </c>
      <c r="J27" s="152">
        <f t="shared" ref="J27:J31" si="27">H27-I27</f>
        <v>5959.5804112499973</v>
      </c>
      <c r="K27" s="44"/>
      <c r="L27" s="43">
        <f>+'2024  Bdg vs Actual-CA'!S27+'2024 Bdg vs Actual -OH'!S27</f>
        <v>13100</v>
      </c>
      <c r="M27" s="160">
        <v>12968</v>
      </c>
      <c r="N27" s="152">
        <f t="shared" ref="N27:N31" si="28">L27-M27</f>
        <v>132</v>
      </c>
      <c r="O27" s="44"/>
      <c r="P27" s="17">
        <f>ROUND(+'2024  Bdg vs Actual-CA'!W27+'2024 Bdg vs Actual -OH'!W27,-2)</f>
        <v>13100</v>
      </c>
      <c r="Q27" s="213">
        <v>8745</v>
      </c>
      <c r="R27" s="152">
        <f t="shared" ref="R27:R31" si="29">P27-Q27</f>
        <v>4355</v>
      </c>
      <c r="S27" s="44"/>
      <c r="T27" s="44">
        <f>ROUND('2024  Bdg vs Actual-CA'!AA27+'2024 Bdg vs Actual -OH'!AA27,-2)</f>
        <v>13400</v>
      </c>
      <c r="U27" s="160">
        <v>5436</v>
      </c>
      <c r="V27" s="152">
        <f t="shared" si="15"/>
        <v>7964</v>
      </c>
      <c r="W27" s="44"/>
      <c r="X27" s="44">
        <f>ROUND('2024  Bdg vs Actual-CA'!AE27+'2024 Bdg vs Actual -OH'!AE27,-2)</f>
        <v>13100</v>
      </c>
      <c r="Y27" s="160">
        <v>9138</v>
      </c>
      <c r="Z27" s="152">
        <f t="shared" si="16"/>
        <v>3962</v>
      </c>
      <c r="AA27" s="44"/>
      <c r="AB27" s="44">
        <f>ROUND('2024  Bdg vs Actual-CA'!AI27+'2024 Bdg vs Actual -OH'!AI27,-2)</f>
        <v>15200</v>
      </c>
      <c r="AC27" s="160">
        <v>7867</v>
      </c>
      <c r="AD27" s="152">
        <f t="shared" si="17"/>
        <v>7333</v>
      </c>
      <c r="AE27" s="44"/>
      <c r="AF27" s="44">
        <f>ROUND('2024  Bdg vs Actual-CA'!AM27+'2024 Bdg vs Actual -OH'!AM27,-2)</f>
        <v>15500</v>
      </c>
      <c r="AG27" s="160">
        <v>8470</v>
      </c>
      <c r="AH27" s="152">
        <f t="shared" si="18"/>
        <v>7030</v>
      </c>
      <c r="AI27" s="44"/>
      <c r="AJ27" s="44">
        <f>ROUND('2024  Bdg vs Actual-CA'!AQ27+'2024 Bdg vs Actual -OH'!AQ27,-2)</f>
        <v>15800</v>
      </c>
      <c r="AK27" s="160">
        <v>7841</v>
      </c>
      <c r="AL27" s="152">
        <f t="shared" si="19"/>
        <v>7959</v>
      </c>
      <c r="AM27" s="44"/>
      <c r="AN27" s="44">
        <f>ROUND('2024  Bdg vs Actual-CA'!AU27+'2024 Bdg vs Actual -OH'!AU27,-2)</f>
        <v>16200</v>
      </c>
      <c r="AO27" s="160">
        <v>9617</v>
      </c>
      <c r="AP27" s="152">
        <f t="shared" si="20"/>
        <v>6583</v>
      </c>
      <c r="AQ27" s="44"/>
      <c r="AR27" s="44">
        <f>ROUND('2024  Bdg vs Actual-CA'!AY27+'2024 Bdg vs Actual -OH'!AY27,-2)</f>
        <v>16500</v>
      </c>
      <c r="AS27" s="160">
        <v>10737</v>
      </c>
      <c r="AT27" s="152">
        <f t="shared" si="21"/>
        <v>5763</v>
      </c>
      <c r="AU27" s="44"/>
      <c r="AV27" s="44">
        <f>ROUND('2024  Bdg vs Actual-CA'!BC27+'2024 Bdg vs Actual -OH'!BC27,-2)</f>
        <v>16800</v>
      </c>
      <c r="AW27" s="160">
        <v>7273</v>
      </c>
      <c r="AX27" s="152">
        <f t="shared" si="22"/>
        <v>9527</v>
      </c>
      <c r="AY27" s="44"/>
      <c r="AZ27" s="44">
        <f>ROUND('2024  Bdg vs Actual-CA'!BG27+'2024 Bdg vs Actual -OH'!BG27,-2)</f>
        <v>17600</v>
      </c>
      <c r="BA27" s="160">
        <v>9786</v>
      </c>
      <c r="BB27" s="152">
        <f t="shared" si="23"/>
        <v>7814</v>
      </c>
      <c r="BC27" s="44"/>
      <c r="BG27" s="17">
        <f t="shared" si="24"/>
        <v>185593.58041125</v>
      </c>
      <c r="BH27" s="160">
        <f t="shared" si="25"/>
        <v>111212</v>
      </c>
      <c r="BI27" s="152">
        <f t="shared" ref="BI27:BI31" si="30">BG27-BH27</f>
        <v>74381.580411250005</v>
      </c>
    </row>
    <row r="28" spans="1:61" x14ac:dyDescent="0.2">
      <c r="A28" t="s">
        <v>48</v>
      </c>
      <c r="C28" s="44"/>
      <c r="D28" s="44"/>
      <c r="E28" s="44"/>
      <c r="F28" s="44">
        <f t="shared" si="13"/>
        <v>1788426.6961367405</v>
      </c>
      <c r="H28" s="44">
        <f t="shared" ref="H28" si="31">H16*0.647</f>
        <v>129326.69613674041</v>
      </c>
      <c r="I28" s="160">
        <v>151839</v>
      </c>
      <c r="J28" s="152">
        <f t="shared" si="27"/>
        <v>-22512.303863259585</v>
      </c>
      <c r="K28" s="44"/>
      <c r="L28" s="43">
        <f>+'2024  Bdg vs Actual-CA'!S28+'2024 Bdg vs Actual -OH'!S28</f>
        <v>139800</v>
      </c>
      <c r="M28" s="160">
        <v>162704</v>
      </c>
      <c r="N28" s="152">
        <f t="shared" si="28"/>
        <v>-22904</v>
      </c>
      <c r="O28" s="44"/>
      <c r="P28" s="17">
        <f>ROUND(+'2024  Bdg vs Actual-CA'!W28+'2024 Bdg vs Actual -OH'!W28,-2)</f>
        <v>129600</v>
      </c>
      <c r="Q28" s="213">
        <v>153411</v>
      </c>
      <c r="R28" s="152">
        <f t="shared" si="29"/>
        <v>-23811</v>
      </c>
      <c r="S28" s="44"/>
      <c r="T28" s="44">
        <f>ROUND('2024  Bdg vs Actual-CA'!AA28+'2024 Bdg vs Actual -OH'!AA28,-2)</f>
        <v>136900</v>
      </c>
      <c r="U28" s="160">
        <v>150078</v>
      </c>
      <c r="V28" s="152">
        <f t="shared" si="15"/>
        <v>-13178</v>
      </c>
      <c r="W28" s="44"/>
      <c r="X28" s="44">
        <f>ROUND('2024  Bdg vs Actual-CA'!AE28+'2024 Bdg vs Actual -OH'!AE28,-2)</f>
        <v>143600</v>
      </c>
      <c r="Y28" s="160">
        <v>150744</v>
      </c>
      <c r="Z28" s="152">
        <f t="shared" si="16"/>
        <v>-7144</v>
      </c>
      <c r="AA28" s="44"/>
      <c r="AB28" s="44">
        <f>ROUND('2024  Bdg vs Actual-CA'!AI28+'2024 Bdg vs Actual -OH'!AI28,-2)</f>
        <v>151100</v>
      </c>
      <c r="AC28" s="160">
        <v>147044</v>
      </c>
      <c r="AD28" s="152">
        <f t="shared" si="17"/>
        <v>4056</v>
      </c>
      <c r="AE28" s="44"/>
      <c r="AF28" s="44">
        <f>ROUND('2024  Bdg vs Actual-CA'!AM28+'2024 Bdg vs Actual -OH'!AM28,-2)</f>
        <v>153700</v>
      </c>
      <c r="AG28" s="160">
        <v>143293</v>
      </c>
      <c r="AH28" s="152">
        <f t="shared" si="18"/>
        <v>10407</v>
      </c>
      <c r="AI28" s="44"/>
      <c r="AJ28" s="44">
        <f>ROUND('2024  Bdg vs Actual-CA'!AQ28+'2024 Bdg vs Actual -OH'!AQ28,-2)</f>
        <v>156300</v>
      </c>
      <c r="AK28" s="160">
        <v>145211</v>
      </c>
      <c r="AL28" s="152">
        <f t="shared" si="19"/>
        <v>11089</v>
      </c>
      <c r="AM28" s="44"/>
      <c r="AN28" s="44">
        <f>ROUND('2024  Bdg vs Actual-CA'!AU28+'2024 Bdg vs Actual -OH'!AU28,-2)</f>
        <v>158600</v>
      </c>
      <c r="AO28" s="160">
        <v>156493</v>
      </c>
      <c r="AP28" s="152">
        <f t="shared" si="20"/>
        <v>2107</v>
      </c>
      <c r="AQ28" s="44"/>
      <c r="AR28" s="44">
        <f>ROUND('2024  Bdg vs Actual-CA'!AY28+'2024 Bdg vs Actual -OH'!AY28,-2)</f>
        <v>161000</v>
      </c>
      <c r="AS28" s="160">
        <v>155761</v>
      </c>
      <c r="AT28" s="152">
        <f t="shared" si="21"/>
        <v>5239</v>
      </c>
      <c r="AU28" s="44"/>
      <c r="AV28" s="44">
        <f>ROUND('2024  Bdg vs Actual-CA'!BC28+'2024 Bdg vs Actual -OH'!BC28,-2)</f>
        <v>163000</v>
      </c>
      <c r="AW28" s="160">
        <v>165048</v>
      </c>
      <c r="AX28" s="152">
        <f t="shared" si="22"/>
        <v>-2048</v>
      </c>
      <c r="AY28" s="44"/>
      <c r="AZ28" s="44">
        <f>ROUND('2024  Bdg vs Actual-CA'!BG28+'2024 Bdg vs Actual -OH'!BG28,-2)</f>
        <v>165500</v>
      </c>
      <c r="BA28" s="160">
        <v>166833</v>
      </c>
      <c r="BB28" s="152">
        <f t="shared" si="23"/>
        <v>-1333</v>
      </c>
      <c r="BC28" s="44"/>
      <c r="BG28" s="17">
        <f t="shared" si="24"/>
        <v>1788426.6961367405</v>
      </c>
      <c r="BH28" s="160">
        <f t="shared" si="25"/>
        <v>1848459</v>
      </c>
      <c r="BI28" s="152">
        <f t="shared" si="30"/>
        <v>-60032.303863259498</v>
      </c>
    </row>
    <row r="29" spans="1:61" x14ac:dyDescent="0.2">
      <c r="A29" t="s">
        <v>49</v>
      </c>
      <c r="C29" s="44"/>
      <c r="D29" s="44"/>
      <c r="E29" s="44"/>
      <c r="F29" s="44">
        <f t="shared" si="13"/>
        <v>16944.414000000001</v>
      </c>
      <c r="H29" s="44">
        <f t="shared" ref="H29" si="32">H17*0.012</f>
        <v>1449.414</v>
      </c>
      <c r="I29" s="160">
        <v>2444</v>
      </c>
      <c r="J29" s="152">
        <f t="shared" si="27"/>
        <v>-994.58600000000001</v>
      </c>
      <c r="K29" s="44"/>
      <c r="L29" s="43">
        <f>+'2024  Bdg vs Actual-CA'!S29+'2024 Bdg vs Actual -OH'!S29</f>
        <v>1495</v>
      </c>
      <c r="M29" s="160">
        <v>371</v>
      </c>
      <c r="N29" s="152">
        <f t="shared" si="28"/>
        <v>1124</v>
      </c>
      <c r="O29" s="44"/>
      <c r="P29" s="17">
        <f>ROUND(+'2024  Bdg vs Actual-CA'!W29+'2024 Bdg vs Actual -OH'!W29,-2)</f>
        <v>1400</v>
      </c>
      <c r="Q29" s="160">
        <v>270</v>
      </c>
      <c r="R29" s="152">
        <f t="shared" si="29"/>
        <v>1130</v>
      </c>
      <c r="S29" s="44"/>
      <c r="T29" s="44">
        <f>ROUND('2024  Bdg vs Actual-CA'!AA29+'2024 Bdg vs Actual -OH'!AA29,-2)</f>
        <v>1400</v>
      </c>
      <c r="U29" s="160">
        <v>3310</v>
      </c>
      <c r="V29" s="152">
        <f t="shared" si="15"/>
        <v>-1910</v>
      </c>
      <c r="W29" s="44"/>
      <c r="X29" s="44">
        <f>ROUND('2024  Bdg vs Actual-CA'!AE29+'2024 Bdg vs Actual -OH'!AE29,-2)</f>
        <v>1400</v>
      </c>
      <c r="Y29" s="160">
        <v>367</v>
      </c>
      <c r="Z29" s="152">
        <f t="shared" si="16"/>
        <v>1033</v>
      </c>
      <c r="AA29" s="44"/>
      <c r="AB29" s="44">
        <f>ROUND('2024  Bdg vs Actual-CA'!AI29+'2024 Bdg vs Actual -OH'!AI29,-2)</f>
        <v>1400</v>
      </c>
      <c r="AC29" s="160">
        <v>19990</v>
      </c>
      <c r="AD29" s="152">
        <f t="shared" si="17"/>
        <v>-18590</v>
      </c>
      <c r="AE29" s="44"/>
      <c r="AF29" s="44">
        <f>ROUND('2024  Bdg vs Actual-CA'!AM29+'2024 Bdg vs Actual -OH'!AM29,-2)</f>
        <v>1400</v>
      </c>
      <c r="AG29" s="160">
        <v>794</v>
      </c>
      <c r="AH29" s="152">
        <f t="shared" si="18"/>
        <v>606</v>
      </c>
      <c r="AI29" s="44"/>
      <c r="AJ29" s="44">
        <f>ROUND('2024  Bdg vs Actual-CA'!AQ29+'2024 Bdg vs Actual -OH'!AQ29,-2)</f>
        <v>1400</v>
      </c>
      <c r="AK29" s="160">
        <v>245</v>
      </c>
      <c r="AL29" s="152">
        <f t="shared" si="19"/>
        <v>1155</v>
      </c>
      <c r="AM29" s="44"/>
      <c r="AN29" s="44">
        <f>ROUND('2024  Bdg vs Actual-CA'!AU29+'2024 Bdg vs Actual -OH'!AU29,-2)</f>
        <v>1400</v>
      </c>
      <c r="AO29" s="160">
        <v>0</v>
      </c>
      <c r="AP29" s="152">
        <f t="shared" si="20"/>
        <v>1400</v>
      </c>
      <c r="AQ29" s="44"/>
      <c r="AR29" s="44">
        <f>ROUND('2024  Bdg vs Actual-CA'!AY29+'2024 Bdg vs Actual -OH'!AY29,-2)</f>
        <v>1400</v>
      </c>
      <c r="AS29" s="160">
        <v>0</v>
      </c>
      <c r="AT29" s="152">
        <f t="shared" si="21"/>
        <v>1400</v>
      </c>
      <c r="AU29" s="44"/>
      <c r="AV29" s="44">
        <f>ROUND('2024  Bdg vs Actual-CA'!BC29+'2024 Bdg vs Actual -OH'!BC29,-2)</f>
        <v>1400</v>
      </c>
      <c r="AW29" s="160">
        <v>562</v>
      </c>
      <c r="AX29" s="152">
        <f t="shared" si="22"/>
        <v>838</v>
      </c>
      <c r="AY29" s="44"/>
      <c r="AZ29" s="44">
        <f>ROUND('2024  Bdg vs Actual-CA'!BG29+'2024 Bdg vs Actual -OH'!BG29,-2)</f>
        <v>1400</v>
      </c>
      <c r="BA29" s="160">
        <v>0</v>
      </c>
      <c r="BB29" s="152">
        <f t="shared" si="23"/>
        <v>1400</v>
      </c>
      <c r="BC29" s="44"/>
      <c r="BG29" s="17">
        <f t="shared" si="24"/>
        <v>16944.414000000001</v>
      </c>
      <c r="BH29" s="160">
        <f t="shared" si="25"/>
        <v>28353</v>
      </c>
      <c r="BI29" s="152">
        <f t="shared" si="30"/>
        <v>-11408.585999999999</v>
      </c>
    </row>
    <row r="30" spans="1:61" x14ac:dyDescent="0.2">
      <c r="A30" t="s">
        <v>50</v>
      </c>
      <c r="C30" s="44"/>
      <c r="D30" s="44"/>
      <c r="E30" s="44"/>
      <c r="F30" s="44">
        <f t="shared" si="13"/>
        <v>621646.12199999997</v>
      </c>
      <c r="H30" s="44">
        <f t="shared" ref="H30" si="33">H18*0.894</f>
        <v>50746.12200000001</v>
      </c>
      <c r="I30" s="160">
        <v>4581</v>
      </c>
      <c r="J30" s="152">
        <f t="shared" si="27"/>
        <v>46165.12200000001</v>
      </c>
      <c r="K30" s="44"/>
      <c r="L30" s="43">
        <f>+'2024  Bdg vs Actual-CA'!S30+'2024 Bdg vs Actual -OH'!S30</f>
        <v>63900</v>
      </c>
      <c r="M30" s="160">
        <v>62562</v>
      </c>
      <c r="N30" s="152">
        <f t="shared" si="28"/>
        <v>1338</v>
      </c>
      <c r="O30" s="44"/>
      <c r="P30" s="17">
        <f>ROUND(+'2024  Bdg vs Actual-CA'!W30+'2024 Bdg vs Actual -OH'!W30,-2)</f>
        <v>50700</v>
      </c>
      <c r="Q30" s="160">
        <v>13434</v>
      </c>
      <c r="R30" s="152">
        <f t="shared" si="29"/>
        <v>37266</v>
      </c>
      <c r="S30" s="44"/>
      <c r="T30" s="44">
        <f>ROUND('2024  Bdg vs Actual-CA'!AA30+'2024 Bdg vs Actual -OH'!AA30,-2)</f>
        <v>50700</v>
      </c>
      <c r="U30" s="160">
        <v>9004</v>
      </c>
      <c r="V30" s="152">
        <f t="shared" si="15"/>
        <v>41696</v>
      </c>
      <c r="W30" s="44"/>
      <c r="X30" s="44">
        <f>ROUND('2024  Bdg vs Actual-CA'!AE30+'2024 Bdg vs Actual -OH'!AE30,-2)</f>
        <v>50700</v>
      </c>
      <c r="Y30" s="160">
        <v>11858</v>
      </c>
      <c r="Z30" s="152">
        <f t="shared" si="16"/>
        <v>38842</v>
      </c>
      <c r="AA30" s="44"/>
      <c r="AB30" s="44">
        <f>ROUND('2024  Bdg vs Actual-CA'!AI30+'2024 Bdg vs Actual -OH'!AI30,-2)</f>
        <v>50700</v>
      </c>
      <c r="AC30" s="160">
        <v>13738</v>
      </c>
      <c r="AD30" s="152">
        <f t="shared" si="17"/>
        <v>36962</v>
      </c>
      <c r="AE30" s="44"/>
      <c r="AF30" s="44">
        <f>ROUND('2024  Bdg vs Actual-CA'!AM30+'2024 Bdg vs Actual -OH'!AM30,-2)</f>
        <v>50700</v>
      </c>
      <c r="AG30" s="160">
        <v>246428</v>
      </c>
      <c r="AH30" s="152">
        <f t="shared" si="18"/>
        <v>-195728</v>
      </c>
      <c r="AI30" s="44"/>
      <c r="AJ30" s="44">
        <f>ROUND('2024  Bdg vs Actual-CA'!AQ30+'2024 Bdg vs Actual -OH'!AQ30,-2)</f>
        <v>50700</v>
      </c>
      <c r="AK30" s="160">
        <v>111796</v>
      </c>
      <c r="AL30" s="152">
        <f t="shared" si="19"/>
        <v>-61096</v>
      </c>
      <c r="AM30" s="44"/>
      <c r="AN30" s="44">
        <f>ROUND('2024  Bdg vs Actual-CA'!AU30+'2024 Bdg vs Actual -OH'!AU30,-2)</f>
        <v>50700</v>
      </c>
      <c r="AO30" s="160">
        <v>22771</v>
      </c>
      <c r="AP30" s="152">
        <f t="shared" si="20"/>
        <v>27929</v>
      </c>
      <c r="AQ30" s="44"/>
      <c r="AR30" s="44">
        <f>ROUND('2024  Bdg vs Actual-CA'!AY30+'2024 Bdg vs Actual -OH'!AY30,-2)</f>
        <v>50700</v>
      </c>
      <c r="AS30" s="160">
        <v>27250</v>
      </c>
      <c r="AT30" s="152">
        <f t="shared" si="21"/>
        <v>23450</v>
      </c>
      <c r="AU30" s="44"/>
      <c r="AV30" s="44">
        <f>ROUND('2024  Bdg vs Actual-CA'!BC30+'2024 Bdg vs Actual -OH'!BC30,-2)</f>
        <v>50700</v>
      </c>
      <c r="AW30" s="160">
        <v>10575</v>
      </c>
      <c r="AX30" s="152">
        <f t="shared" si="22"/>
        <v>40125</v>
      </c>
      <c r="AY30" s="44"/>
      <c r="AZ30" s="44">
        <f>ROUND('2024  Bdg vs Actual-CA'!BG30+'2024 Bdg vs Actual -OH'!BG30,-2)</f>
        <v>50700</v>
      </c>
      <c r="BA30" s="160">
        <v>22708</v>
      </c>
      <c r="BB30" s="152">
        <f t="shared" si="23"/>
        <v>27992</v>
      </c>
      <c r="BC30" s="44"/>
      <c r="BG30" s="17">
        <f t="shared" si="24"/>
        <v>621646.12199999997</v>
      </c>
      <c r="BH30" s="160">
        <f t="shared" si="25"/>
        <v>556705</v>
      </c>
      <c r="BI30" s="152">
        <f t="shared" si="30"/>
        <v>64941.121999999974</v>
      </c>
    </row>
    <row r="31" spans="1:61" x14ac:dyDescent="0.2">
      <c r="A31" t="s">
        <v>51</v>
      </c>
      <c r="C31" s="44"/>
      <c r="D31" s="44"/>
      <c r="E31" s="44"/>
      <c r="F31" s="44">
        <f t="shared" si="13"/>
        <v>12571184.625</v>
      </c>
      <c r="H31" s="44">
        <f t="shared" ref="H31" si="34">H22*0.85</f>
        <v>1047584.625</v>
      </c>
      <c r="I31" s="160">
        <v>454504</v>
      </c>
      <c r="J31" s="152">
        <f t="shared" si="27"/>
        <v>593080.625</v>
      </c>
      <c r="K31" s="44"/>
      <c r="L31" s="43">
        <f>+'2024  Bdg vs Actual-CA'!S31+'2024 Bdg vs Actual -OH'!S31</f>
        <v>1047600</v>
      </c>
      <c r="M31" s="160">
        <v>619534</v>
      </c>
      <c r="N31" s="152">
        <f t="shared" si="28"/>
        <v>428066</v>
      </c>
      <c r="O31" s="44"/>
      <c r="P31" s="17">
        <f>ROUND(+'2024  Bdg vs Actual-CA'!W31+'2024 Bdg vs Actual -OH'!W31,-2)</f>
        <v>1047600</v>
      </c>
      <c r="Q31" s="160">
        <v>322796</v>
      </c>
      <c r="R31" s="152">
        <f t="shared" si="29"/>
        <v>724804</v>
      </c>
      <c r="S31" s="44"/>
      <c r="T31" s="44">
        <f>ROUND('2024  Bdg vs Actual-CA'!AA31+'2024 Bdg vs Actual -OH'!AA31,-2)</f>
        <v>1047600</v>
      </c>
      <c r="U31" s="160">
        <v>633077</v>
      </c>
      <c r="V31" s="152">
        <f t="shared" si="15"/>
        <v>414523</v>
      </c>
      <c r="W31" s="44"/>
      <c r="X31" s="44">
        <f>ROUND('2024  Bdg vs Actual-CA'!AE31+'2024 Bdg vs Actual -OH'!AE31,-2)</f>
        <v>1047600</v>
      </c>
      <c r="Y31" s="160">
        <v>529476</v>
      </c>
      <c r="Z31" s="152">
        <f t="shared" si="16"/>
        <v>518124</v>
      </c>
      <c r="AA31" s="44"/>
      <c r="AB31" s="44">
        <f>ROUND('2024  Bdg vs Actual-CA'!AI31+'2024 Bdg vs Actual -OH'!AI31,-2)</f>
        <v>1047600</v>
      </c>
      <c r="AC31" s="160">
        <v>1363102</v>
      </c>
      <c r="AD31" s="152">
        <f t="shared" si="17"/>
        <v>-315502</v>
      </c>
      <c r="AE31" s="44"/>
      <c r="AF31" s="44">
        <f>ROUND('2024  Bdg vs Actual-CA'!AM31+'2024 Bdg vs Actual -OH'!AM31,-2)</f>
        <v>1047600</v>
      </c>
      <c r="AG31" s="160">
        <v>980082</v>
      </c>
      <c r="AH31" s="152">
        <f t="shared" si="18"/>
        <v>67518</v>
      </c>
      <c r="AI31" s="44"/>
      <c r="AJ31" s="44">
        <f>ROUND('2024  Bdg vs Actual-CA'!AQ31+'2024 Bdg vs Actual -OH'!AQ31,-2)</f>
        <v>1047600</v>
      </c>
      <c r="AK31" s="160">
        <v>1197545</v>
      </c>
      <c r="AL31" s="152">
        <f t="shared" si="19"/>
        <v>-149945</v>
      </c>
      <c r="AM31" s="44"/>
      <c r="AN31" s="44">
        <f>ROUND('2024  Bdg vs Actual-CA'!AU31+'2024 Bdg vs Actual -OH'!AU31,-2)</f>
        <v>1047600</v>
      </c>
      <c r="AO31" s="160">
        <v>413028</v>
      </c>
      <c r="AP31" s="152">
        <f t="shared" si="20"/>
        <v>634572</v>
      </c>
      <c r="AQ31" s="44"/>
      <c r="AR31" s="44">
        <f>ROUND('2024  Bdg vs Actual-CA'!AY31+'2024 Bdg vs Actual -OH'!AY31,-2)</f>
        <v>1047600</v>
      </c>
      <c r="AS31" s="160">
        <v>521483</v>
      </c>
      <c r="AT31" s="152">
        <f t="shared" si="21"/>
        <v>526117</v>
      </c>
      <c r="AU31" s="44"/>
      <c r="AV31" s="44">
        <f>ROUND('2024  Bdg vs Actual-CA'!BC31+'2024 Bdg vs Actual -OH'!BC31,-2)</f>
        <v>1047600</v>
      </c>
      <c r="AW31" s="160">
        <v>768618</v>
      </c>
      <c r="AX31" s="152">
        <f t="shared" si="22"/>
        <v>278982</v>
      </c>
      <c r="AY31" s="44"/>
      <c r="AZ31" s="44">
        <f>ROUND('2024  Bdg vs Actual-CA'!BG31+'2024 Bdg vs Actual -OH'!BG31,-2)</f>
        <v>1047600</v>
      </c>
      <c r="BA31" s="160">
        <v>218840</v>
      </c>
      <c r="BB31" s="152">
        <f t="shared" si="23"/>
        <v>828760</v>
      </c>
      <c r="BC31" s="44"/>
      <c r="BG31" s="17">
        <f t="shared" si="24"/>
        <v>12571184.625</v>
      </c>
      <c r="BH31" s="160">
        <f t="shared" si="25"/>
        <v>8022085</v>
      </c>
      <c r="BI31" s="152">
        <f t="shared" si="30"/>
        <v>4549099.625</v>
      </c>
    </row>
    <row r="32" spans="1:61" x14ac:dyDescent="0.2">
      <c r="C32" s="44"/>
      <c r="D32" s="44"/>
      <c r="E32" s="44"/>
      <c r="F32" s="44"/>
      <c r="G32" s="119"/>
      <c r="H32" s="43"/>
      <c r="I32" s="160"/>
      <c r="J32" s="43"/>
      <c r="K32" s="43"/>
      <c r="L32" s="43"/>
      <c r="M32" s="160"/>
      <c r="N32" s="43"/>
      <c r="O32" s="43"/>
      <c r="P32" s="43"/>
      <c r="Q32" s="43"/>
      <c r="R32" s="152"/>
      <c r="S32" s="43"/>
      <c r="T32" s="43"/>
      <c r="U32" s="43"/>
      <c r="V32" s="43"/>
      <c r="W32" s="43"/>
      <c r="X32" s="43"/>
      <c r="Y32" s="258"/>
      <c r="Z32" s="154"/>
      <c r="AA32" s="43"/>
      <c r="AB32" s="43"/>
      <c r="AC32" s="258"/>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160"/>
      <c r="BB32" s="43"/>
      <c r="BC32" s="43"/>
      <c r="BG32" s="43"/>
      <c r="BH32" s="43"/>
      <c r="BI32" s="152"/>
    </row>
    <row r="33" spans="1:61" ht="68" x14ac:dyDescent="0.2">
      <c r="A33" t="s">
        <v>52</v>
      </c>
      <c r="C33" s="44"/>
      <c r="D33" s="44"/>
      <c r="E33" s="44"/>
      <c r="F33" s="44">
        <f>H33+L33+P33+T33+X33+AB33+AF33+AJ33+AN33+AR33+AV33+AZ33</f>
        <v>4169565.1924999999</v>
      </c>
      <c r="G33" s="120"/>
      <c r="H33" s="43">
        <f>'2024  Bdg vs Actual-CA'!O33+'2024 Bdg vs Actual -OH'!O33</f>
        <v>361700</v>
      </c>
      <c r="I33" s="160">
        <f>313241+15170+3640+21873</f>
        <v>353924</v>
      </c>
      <c r="J33" s="152">
        <f>H33-I33</f>
        <v>7776</v>
      </c>
      <c r="K33" s="43"/>
      <c r="L33" s="191">
        <f>+'2024  Bdg vs Actual-CA'!S33+'2024 Bdg vs Actual -OH'!S33</f>
        <v>348865.1925</v>
      </c>
      <c r="M33" s="160">
        <v>333332</v>
      </c>
      <c r="N33" s="152">
        <f>L33-M33</f>
        <v>15533.192500000005</v>
      </c>
      <c r="O33" s="196" t="s">
        <v>53</v>
      </c>
      <c r="P33" s="17">
        <f>ROUND(+'2024  Bdg vs Actual-CA'!W33+'2024 Bdg vs Actual -OH'!W33,-2)</f>
        <v>345200</v>
      </c>
      <c r="Q33" s="160">
        <v>333234</v>
      </c>
      <c r="R33" s="152">
        <f>P33-Q33</f>
        <v>11966</v>
      </c>
      <c r="S33" s="43"/>
      <c r="T33" s="43">
        <f>ROUND('2024  Bdg vs Actual-CA'!AA33+'2024 Bdg vs Actual -OH'!AA33,-2)</f>
        <v>341000</v>
      </c>
      <c r="U33" s="162">
        <v>345633</v>
      </c>
      <c r="V33" s="152">
        <f>T33-U33</f>
        <v>-4633</v>
      </c>
      <c r="W33" s="43"/>
      <c r="X33" s="43">
        <f>ROUND('2024  Bdg vs Actual-CA'!AE33+'2024 Bdg vs Actual -OH'!AE33,-2)</f>
        <v>346600</v>
      </c>
      <c r="Y33" s="162">
        <v>357329</v>
      </c>
      <c r="Z33" s="152">
        <f>X33-Y33</f>
        <v>-10729</v>
      </c>
      <c r="AA33" s="43"/>
      <c r="AB33" s="43">
        <f>ROUND('2024  Bdg vs Actual-CA'!AI33+'2024 Bdg vs Actual -OH'!AI33,-2)</f>
        <v>346600</v>
      </c>
      <c r="AC33" s="160">
        <v>346405</v>
      </c>
      <c r="AD33" s="152">
        <f>AB33-AC33</f>
        <v>195</v>
      </c>
      <c r="AE33" s="43"/>
      <c r="AF33" s="43">
        <f>ROUND('2024  Bdg vs Actual-CA'!AM33+'2024 Bdg vs Actual -OH'!AM33,-2)</f>
        <v>346600</v>
      </c>
      <c r="AG33" s="160">
        <v>340442</v>
      </c>
      <c r="AH33" s="152">
        <f>AF33-AG33</f>
        <v>6158</v>
      </c>
      <c r="AI33" s="43"/>
      <c r="AJ33" s="43">
        <f>ROUND('2024  Bdg vs Actual-CA'!AQ33+'2024 Bdg vs Actual -OH'!AQ33,-2)</f>
        <v>346600</v>
      </c>
      <c r="AK33" s="160">
        <v>349505</v>
      </c>
      <c r="AL33" s="152">
        <f>AJ33-AK33</f>
        <v>-2905</v>
      </c>
      <c r="AM33" s="43"/>
      <c r="AN33" s="43">
        <f>ROUND('2024  Bdg vs Actual-CA'!AU33+'2024 Bdg vs Actual -OH'!AU33,-2)</f>
        <v>346600</v>
      </c>
      <c r="AO33" s="160">
        <v>325154</v>
      </c>
      <c r="AP33" s="152">
        <f>AN33-AO33</f>
        <v>21446</v>
      </c>
      <c r="AQ33" s="43"/>
      <c r="AR33" s="43">
        <f>ROUND('2024  Bdg vs Actual-CA'!AY33+'2024 Bdg vs Actual -OH'!AY33,-2)</f>
        <v>346600</v>
      </c>
      <c r="AS33" s="160">
        <v>333772</v>
      </c>
      <c r="AT33" s="152">
        <f>AR33-AS33</f>
        <v>12828</v>
      </c>
      <c r="AU33" s="43"/>
      <c r="AV33" s="43">
        <f>ROUND('2024  Bdg vs Actual-CA'!BC33+'2024 Bdg vs Actual -OH'!BC33,-2)</f>
        <v>346600</v>
      </c>
      <c r="AW33" s="160">
        <v>359057</v>
      </c>
      <c r="AX33" s="152">
        <f>AV33-AW33</f>
        <v>-12457</v>
      </c>
      <c r="AY33" s="43"/>
      <c r="AZ33" s="43">
        <f>ROUND('2024  Bdg vs Actual-CA'!BG33+'2024 Bdg vs Actual -OH'!BG33,-2)</f>
        <v>346600</v>
      </c>
      <c r="BA33" s="160">
        <v>333778</v>
      </c>
      <c r="BB33" s="152">
        <f>AZ33-BA33</f>
        <v>12822</v>
      </c>
      <c r="BC33" s="43"/>
      <c r="BG33" s="17">
        <f t="shared" ref="BG33:BG34" si="35">+P33+L33+H33+T33+X33+AB33+AF33+AJ33+AN33+AR33+AV33+AZ33</f>
        <v>4169565.1924999999</v>
      </c>
      <c r="BH33" s="160">
        <f t="shared" ref="BH33:BH34" si="36">+Q33+M33+I33+U33+Y33+AC33+AG33+AK33+AO33+AS33+AW33+BA33</f>
        <v>4111565</v>
      </c>
      <c r="BI33" s="152">
        <f>BG33-BH33</f>
        <v>58000.192499999888</v>
      </c>
    </row>
    <row r="34" spans="1:61" x14ac:dyDescent="0.2">
      <c r="A34" s="21" t="s">
        <v>54</v>
      </c>
      <c r="B34" s="134"/>
      <c r="C34" s="45"/>
      <c r="D34" s="45"/>
      <c r="E34" s="45"/>
      <c r="F34" s="45">
        <f>H34+L34+P34+T34+X34+AB34+AF34+AJ34+AN34+AR34+AV34+AZ34</f>
        <v>19584800.407090727</v>
      </c>
      <c r="H34" s="43">
        <f>SUM(H26:H33)</f>
        <v>1630140.2145907264</v>
      </c>
      <c r="I34" s="160">
        <f>SUM(I26:I33)</f>
        <v>999352</v>
      </c>
      <c r="J34" s="153">
        <f>H34-I34</f>
        <v>630788.21459072642</v>
      </c>
      <c r="K34" s="43"/>
      <c r="L34" s="43">
        <f t="shared" ref="L34:BA34" si="37">SUM(L26:L33)</f>
        <v>1632160.1924999999</v>
      </c>
      <c r="M34" s="160">
        <f>SUM(M26:M33)</f>
        <v>1213199</v>
      </c>
      <c r="N34" s="153">
        <f>L34-M34</f>
        <v>418961.19249999989</v>
      </c>
      <c r="O34" s="43"/>
      <c r="P34" s="17">
        <f t="shared" si="37"/>
        <v>1604800</v>
      </c>
      <c r="Q34" s="160">
        <f>SUM(Q26:Q33)</f>
        <v>855729</v>
      </c>
      <c r="R34" s="152">
        <f>P34-Q34</f>
        <v>749071</v>
      </c>
      <c r="S34" s="43"/>
      <c r="T34" s="43">
        <f t="shared" si="37"/>
        <v>1608600</v>
      </c>
      <c r="U34" s="162">
        <f>SUM(U26:U33)</f>
        <v>1177613</v>
      </c>
      <c r="V34" s="152">
        <f>T34-U34</f>
        <v>430987</v>
      </c>
      <c r="W34" s="43"/>
      <c r="X34" s="43">
        <f t="shared" si="37"/>
        <v>1621000</v>
      </c>
      <c r="Y34" s="162">
        <f>SUM(Y26:Y33)</f>
        <v>1080048</v>
      </c>
      <c r="Z34" s="152">
        <f>X34-Y34</f>
        <v>540952</v>
      </c>
      <c r="AA34" s="43"/>
      <c r="AB34" s="43">
        <f t="shared" si="37"/>
        <v>1631600</v>
      </c>
      <c r="AC34" s="160">
        <f>SUM(AC26:AC33)</f>
        <v>1919509</v>
      </c>
      <c r="AD34" s="152">
        <f>AB34-AC34</f>
        <v>-287909</v>
      </c>
      <c r="AE34" s="43"/>
      <c r="AF34" s="43">
        <f t="shared" si="37"/>
        <v>1635000</v>
      </c>
      <c r="AG34" s="160">
        <f>SUM(AG26:AG33)</f>
        <v>1741834</v>
      </c>
      <c r="AH34" s="152">
        <f>AF34-AG34</f>
        <v>-106834</v>
      </c>
      <c r="AI34" s="43"/>
      <c r="AJ34" s="43">
        <f t="shared" si="37"/>
        <v>1638100</v>
      </c>
      <c r="AK34" s="160">
        <f>SUM(AK26:AK33)</f>
        <v>1828152</v>
      </c>
      <c r="AL34" s="152">
        <f>AJ34-AK34</f>
        <v>-190052</v>
      </c>
      <c r="AM34" s="43"/>
      <c r="AN34" s="43">
        <f t="shared" si="37"/>
        <v>1641100</v>
      </c>
      <c r="AO34" s="43">
        <f t="shared" si="37"/>
        <v>944490</v>
      </c>
      <c r="AP34" s="152">
        <f>AN34-AO34</f>
        <v>696610</v>
      </c>
      <c r="AQ34" s="43"/>
      <c r="AR34" s="43">
        <f t="shared" si="37"/>
        <v>1644400</v>
      </c>
      <c r="AS34" s="43">
        <f t="shared" si="37"/>
        <v>1062621</v>
      </c>
      <c r="AT34" s="152">
        <f>AR34-AS34</f>
        <v>581779</v>
      </c>
      <c r="AU34" s="43"/>
      <c r="AV34" s="43">
        <f t="shared" si="37"/>
        <v>1647100</v>
      </c>
      <c r="AW34" s="160">
        <f t="shared" si="37"/>
        <v>1331889</v>
      </c>
      <c r="AX34" s="152">
        <f>AV34-AW34</f>
        <v>315211</v>
      </c>
      <c r="AY34" s="43"/>
      <c r="AZ34" s="43">
        <f t="shared" si="37"/>
        <v>1650800</v>
      </c>
      <c r="BA34" s="160">
        <f t="shared" si="37"/>
        <v>768383</v>
      </c>
      <c r="BB34" s="152">
        <f>AZ34-BA34</f>
        <v>882417</v>
      </c>
      <c r="BC34" s="43"/>
      <c r="BG34" s="17">
        <f t="shared" si="35"/>
        <v>19584800.407090727</v>
      </c>
      <c r="BH34" s="160">
        <f t="shared" si="36"/>
        <v>14922819</v>
      </c>
      <c r="BI34" s="152">
        <f>BG34-BH34</f>
        <v>4661981.4070907272</v>
      </c>
    </row>
    <row r="35" spans="1:61" x14ac:dyDescent="0.2">
      <c r="A35" s="23" t="s">
        <v>55</v>
      </c>
      <c r="B35" s="135"/>
      <c r="C35" s="47"/>
      <c r="D35" s="47"/>
      <c r="E35" s="47"/>
      <c r="F35" s="47">
        <f>F11-F34</f>
        <v>7604674.2675294392</v>
      </c>
      <c r="G35" s="78"/>
      <c r="H35" s="49">
        <f>H11-H34</f>
        <v>632957.62669610744</v>
      </c>
      <c r="I35" s="161">
        <f>I11-I34</f>
        <v>376370.56999999983</v>
      </c>
      <c r="J35" s="152">
        <f>I35-H35</f>
        <v>-256587.05669610761</v>
      </c>
      <c r="K35" s="49"/>
      <c r="L35" s="49">
        <f t="shared" ref="L35:AZ35" si="38">L11-L34</f>
        <v>561316.6408333336</v>
      </c>
      <c r="M35" s="161">
        <f>M11-M34</f>
        <v>495469</v>
      </c>
      <c r="N35" s="152">
        <f>M35-L35</f>
        <v>-65847.6408333336</v>
      </c>
      <c r="O35" s="49"/>
      <c r="P35" s="210">
        <f t="shared" si="38"/>
        <v>562600</v>
      </c>
      <c r="Q35" s="161">
        <f>Q11-Q34</f>
        <v>401017</v>
      </c>
      <c r="R35" s="202">
        <f>Q35-P35</f>
        <v>-161583</v>
      </c>
      <c r="S35" s="49"/>
      <c r="T35" s="210">
        <f t="shared" si="38"/>
        <v>585100</v>
      </c>
      <c r="U35" s="210">
        <f>U11-U34</f>
        <v>562823</v>
      </c>
      <c r="V35" s="202">
        <f>U35-T35</f>
        <v>-22277</v>
      </c>
      <c r="W35" s="210"/>
      <c r="X35" s="49">
        <f t="shared" si="38"/>
        <v>594400</v>
      </c>
      <c r="Y35" s="161">
        <f>Y11-Y34</f>
        <v>430419</v>
      </c>
      <c r="Z35" s="155">
        <f>Y35-X35</f>
        <v>-163981</v>
      </c>
      <c r="AA35" s="49"/>
      <c r="AB35" s="49">
        <f t="shared" si="38"/>
        <v>627300</v>
      </c>
      <c r="AC35" s="161">
        <f>AC11-AC34</f>
        <v>658772</v>
      </c>
      <c r="AD35" s="155">
        <f>AC35-AB35</f>
        <v>31472</v>
      </c>
      <c r="AE35" s="49"/>
      <c r="AF35" s="49">
        <f t="shared" si="38"/>
        <v>643300</v>
      </c>
      <c r="AG35" s="161">
        <f>AG11-AG34</f>
        <v>657168</v>
      </c>
      <c r="AH35" s="155">
        <f>AG35-AF35</f>
        <v>13868</v>
      </c>
      <c r="AI35" s="49"/>
      <c r="AJ35" s="49">
        <f t="shared" si="38"/>
        <v>651000</v>
      </c>
      <c r="AK35" s="161">
        <f>AK11-AK34</f>
        <v>958381</v>
      </c>
      <c r="AL35" s="155">
        <f>AK35-AJ35</f>
        <v>307381</v>
      </c>
      <c r="AM35" s="49"/>
      <c r="AN35" s="49">
        <f t="shared" si="38"/>
        <v>663700</v>
      </c>
      <c r="AO35" s="161">
        <f>AO11-AO34</f>
        <v>462848</v>
      </c>
      <c r="AP35" s="155">
        <f>AO35-AN35</f>
        <v>-200852</v>
      </c>
      <c r="AQ35" s="49"/>
      <c r="AR35" s="49">
        <f t="shared" si="38"/>
        <v>680000</v>
      </c>
      <c r="AS35" s="161">
        <f>AS11-AS34</f>
        <v>457553</v>
      </c>
      <c r="AT35" s="155">
        <f>AS35-AR35</f>
        <v>-222447</v>
      </c>
      <c r="AU35" s="49"/>
      <c r="AV35" s="49">
        <f t="shared" si="38"/>
        <v>693700</v>
      </c>
      <c r="AW35" s="161">
        <f>AW11-AW34</f>
        <v>470173</v>
      </c>
      <c r="AX35" s="155">
        <f>AW35-AV35</f>
        <v>-223527</v>
      </c>
      <c r="AY35" s="49"/>
      <c r="AZ35" s="49">
        <f t="shared" si="38"/>
        <v>709300</v>
      </c>
      <c r="BA35" s="161">
        <f>BA11-BA34</f>
        <v>428533</v>
      </c>
      <c r="BB35" s="155">
        <f>BA35-AZ35</f>
        <v>-280767</v>
      </c>
      <c r="BC35" s="49"/>
      <c r="BG35" s="210">
        <f t="shared" ref="BG35" si="39">BG11-BG34</f>
        <v>7604674.2675294392</v>
      </c>
      <c r="BH35" s="161">
        <f>BH11-BH34</f>
        <v>6359526.5700000003</v>
      </c>
      <c r="BI35" s="202">
        <f>BH35-BG35</f>
        <v>-1245147.6975294389</v>
      </c>
    </row>
    <row r="36" spans="1:61" ht="15" customHeight="1" x14ac:dyDescent="0.2">
      <c r="C36" s="44"/>
      <c r="D36" s="44"/>
      <c r="E36" s="44"/>
      <c r="F36" s="44"/>
      <c r="H36" s="43"/>
      <c r="I36" s="162"/>
      <c r="J36" s="43"/>
      <c r="K36" s="43"/>
      <c r="L36" s="43"/>
      <c r="M36" s="162"/>
      <c r="N36" s="43"/>
      <c r="O36" s="43"/>
      <c r="P36" s="43"/>
      <c r="Q36" s="43"/>
      <c r="R36" s="43"/>
      <c r="S36" s="43"/>
      <c r="T36" s="43"/>
      <c r="U36" s="43"/>
      <c r="V36" s="43"/>
      <c r="W36" s="43"/>
      <c r="X36" s="43"/>
      <c r="Y36" s="43"/>
      <c r="Z36" s="154"/>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G36" s="43"/>
      <c r="BH36" s="43"/>
      <c r="BI36" s="43"/>
    </row>
    <row r="37" spans="1:61" ht="15" customHeight="1" x14ac:dyDescent="0.2">
      <c r="A37" t="s">
        <v>56</v>
      </c>
      <c r="C37" s="44"/>
      <c r="D37" s="44"/>
      <c r="E37" s="44"/>
      <c r="F37" s="44"/>
      <c r="H37" s="43"/>
      <c r="I37" s="162"/>
      <c r="J37" s="43"/>
      <c r="K37" s="43"/>
      <c r="L37" s="43"/>
      <c r="M37" s="162"/>
      <c r="N37" s="43"/>
      <c r="O37" s="43"/>
      <c r="P37" s="43"/>
      <c r="Q37" s="43"/>
      <c r="R37" s="43"/>
      <c r="S37" s="43"/>
      <c r="T37" s="43"/>
      <c r="U37" s="43"/>
      <c r="V37" s="43"/>
      <c r="W37" s="43"/>
      <c r="X37" s="43"/>
      <c r="Y37" s="43"/>
      <c r="Z37" s="154"/>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G37" s="43"/>
      <c r="BH37" s="43"/>
      <c r="BI37" s="43"/>
    </row>
    <row r="38" spans="1:61" ht="15" customHeight="1" x14ac:dyDescent="0.2">
      <c r="C38" s="44"/>
      <c r="D38" s="44"/>
      <c r="E38" s="44"/>
      <c r="F38" s="44"/>
      <c r="H38" s="43"/>
      <c r="I38" s="162"/>
      <c r="J38" s="43"/>
      <c r="K38" s="43"/>
      <c r="L38" s="43"/>
      <c r="M38" s="162"/>
      <c r="N38" s="43"/>
      <c r="O38" s="43"/>
      <c r="P38" s="43"/>
      <c r="Q38" s="43"/>
      <c r="R38" s="43"/>
      <c r="S38" s="43"/>
      <c r="T38" s="43"/>
      <c r="U38" s="43"/>
      <c r="V38" s="43"/>
      <c r="W38" s="43"/>
      <c r="X38" s="43"/>
      <c r="Y38" s="43"/>
      <c r="Z38" s="154"/>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G38" s="43"/>
      <c r="BH38" s="43"/>
      <c r="BI38" s="43"/>
    </row>
    <row r="39" spans="1:61" ht="40.5" customHeight="1" x14ac:dyDescent="0.2">
      <c r="A39" t="s">
        <v>57</v>
      </c>
      <c r="C39" s="44"/>
      <c r="D39" s="44"/>
      <c r="E39" s="44"/>
      <c r="F39" s="44">
        <f>H39+L39+P39+T39+X39+AB39+AF39+AJ39+AN39+AR39+AV39+AZ39</f>
        <v>603000</v>
      </c>
      <c r="H39" s="43">
        <f>+'2024  Bdg vs Actual-CA'!O39+'2024 Bdg vs Actual -OH'!O39</f>
        <v>66600</v>
      </c>
      <c r="I39" s="162">
        <v>2772</v>
      </c>
      <c r="J39" s="154">
        <f>H39-I39</f>
        <v>63828</v>
      </c>
      <c r="K39" s="43"/>
      <c r="L39" s="43">
        <f>+'2024  Bdg vs Actual-CA'!S39+'2024 Bdg vs Actual -OH'!S39</f>
        <v>19300</v>
      </c>
      <c r="M39" s="162">
        <v>30348</v>
      </c>
      <c r="N39" s="154">
        <f>L39-M39</f>
        <v>-11048</v>
      </c>
      <c r="O39" s="201" t="s">
        <v>58</v>
      </c>
      <c r="P39" s="17">
        <f>ROUND(+'2024  Bdg vs Actual-CA'!W39+'2024 Bdg vs Actual -OH'!W39,-2)</f>
        <v>28900</v>
      </c>
      <c r="Q39" s="43">
        <v>0</v>
      </c>
      <c r="R39" s="152">
        <f>P39-Q39</f>
        <v>28900</v>
      </c>
      <c r="S39" s="197"/>
      <c r="T39" s="17">
        <f>+'2024  Bdg vs Actual-CA'!AA39+'2024 Bdg vs Actual -OH'!AA39</f>
        <v>51700</v>
      </c>
      <c r="U39" s="160">
        <v>26145</v>
      </c>
      <c r="V39" s="152">
        <f>T39-U39</f>
        <v>25555</v>
      </c>
      <c r="X39" s="17">
        <f>+'2024  Bdg vs Actual-CA'!AE39+'2024 Bdg vs Actual -OH'!AE39</f>
        <v>51700</v>
      </c>
      <c r="Y39" s="160">
        <v>15741.92</v>
      </c>
      <c r="Z39" s="154">
        <f>X39-Y39</f>
        <v>35958.080000000002</v>
      </c>
      <c r="AA39" s="17"/>
      <c r="AB39" s="17">
        <f>+'2024  Bdg vs Actual-CA'!AI39+'2024 Bdg vs Actual -OH'!AI39</f>
        <v>101600</v>
      </c>
      <c r="AC39" s="160">
        <v>31323</v>
      </c>
      <c r="AD39" s="154">
        <f>AB39-AC39</f>
        <v>70277</v>
      </c>
      <c r="AF39" s="17">
        <f>+'2024  Bdg vs Actual-CA'!AM39+'2024 Bdg vs Actual -OH'!AM39</f>
        <v>47200</v>
      </c>
      <c r="AG39" s="160">
        <v>22987</v>
      </c>
      <c r="AH39" s="154">
        <f>AF39-AG39</f>
        <v>24213</v>
      </c>
      <c r="AI39" s="17"/>
      <c r="AJ39" s="17">
        <f>+'2024  Bdg vs Actual-CA'!AQ39+'2024 Bdg vs Actual -OH'!AQ39</f>
        <v>47200</v>
      </c>
      <c r="AK39" s="160">
        <f>31335</f>
        <v>31335</v>
      </c>
      <c r="AL39" s="154">
        <f>AJ39-AK39</f>
        <v>15865</v>
      </c>
      <c r="AM39" s="17"/>
      <c r="AN39" s="17">
        <f>+'2024  Bdg vs Actual-CA'!AU39+'2024 Bdg vs Actual -OH'!AU39</f>
        <v>47200</v>
      </c>
      <c r="AO39" s="160">
        <v>29868</v>
      </c>
      <c r="AP39" s="154">
        <f>AN39-AO39</f>
        <v>17332</v>
      </c>
      <c r="AQ39" s="17"/>
      <c r="AR39" s="17">
        <f>+'2024  Bdg vs Actual-CA'!AY39+'2024 Bdg vs Actual -OH'!AY39</f>
        <v>47200</v>
      </c>
      <c r="AS39" s="160">
        <v>41573</v>
      </c>
      <c r="AT39" s="154">
        <f>AR39-AS39</f>
        <v>5627</v>
      </c>
      <c r="AU39" s="17"/>
      <c r="AV39" s="17">
        <f>+'2024  Bdg vs Actual-CA'!BC39+'2024 Bdg vs Actual -OH'!BC39</f>
        <v>47200</v>
      </c>
      <c r="AW39" s="160">
        <v>22190</v>
      </c>
      <c r="AX39" s="154">
        <f>AV39-AW39</f>
        <v>25010</v>
      </c>
      <c r="AY39" s="17"/>
      <c r="AZ39" s="17">
        <f>+'2024  Bdg vs Actual-CA'!BG39+'2024 Bdg vs Actual -OH'!BG39</f>
        <v>47200</v>
      </c>
      <c r="BA39" s="160">
        <v>26793</v>
      </c>
      <c r="BB39" s="154">
        <f>AZ39-BA39</f>
        <v>20407</v>
      </c>
      <c r="BC39" s="17"/>
      <c r="BG39" s="17">
        <f t="shared" ref="BG39:BG40" si="40">+P39+L39+H39+T39+X39+AB39+AF39+AJ39+AN39+AR39+AV39+AZ39</f>
        <v>603000</v>
      </c>
      <c r="BH39" s="160">
        <f t="shared" ref="BH39:BH40" si="41">+Q39+M39+I39+U39+Y39+AC39+AG39+AK39+AO39+AS39+AW39+BA39</f>
        <v>281075.92</v>
      </c>
      <c r="BI39" s="152">
        <f>BG39-BH39</f>
        <v>321924.08</v>
      </c>
    </row>
    <row r="40" spans="1:61" ht="62.25" customHeight="1" x14ac:dyDescent="0.2">
      <c r="A40" t="s">
        <v>59</v>
      </c>
      <c r="C40" s="44"/>
      <c r="D40" s="44"/>
      <c r="E40" s="44"/>
      <c r="F40" s="51">
        <f>H40+L40+P40+T40+X40+AB40+AF40+AJ40+AN40+AR40+AV40+AZ40</f>
        <v>1414731.49</v>
      </c>
      <c r="G40" s="79"/>
      <c r="H40" s="43">
        <f>'2024  Bdg vs Actual-CA'!O40+'2024 Bdg vs Actual -OH'!O40</f>
        <v>110400</v>
      </c>
      <c r="I40" s="160">
        <v>118582</v>
      </c>
      <c r="J40" s="154">
        <f>H40-I40</f>
        <v>-8182</v>
      </c>
      <c r="K40" s="185" t="s">
        <v>60</v>
      </c>
      <c r="L40" s="191">
        <f>+'2024  Bdg vs Actual-CA'!S40+'2024 Bdg vs Actual -OH'!S40</f>
        <v>130631.48999999999</v>
      </c>
      <c r="M40" s="160">
        <v>127279</v>
      </c>
      <c r="N40" s="154">
        <f>L40-M40</f>
        <v>3352.4899999999907</v>
      </c>
      <c r="O40" s="196" t="s">
        <v>53</v>
      </c>
      <c r="P40" s="17">
        <f>ROUND(+'2024  Bdg vs Actual-CA'!W40+'2024 Bdg vs Actual -OH'!W40,-2)</f>
        <v>130600</v>
      </c>
      <c r="Q40" s="160">
        <v>132452</v>
      </c>
      <c r="R40" s="152">
        <f>P40-Q40</f>
        <v>-1852</v>
      </c>
      <c r="S40" s="43"/>
      <c r="T40" s="17">
        <f>ROUND('2024  Bdg vs Actual-CA'!AA40+'2024 Bdg vs Actual -OH'!AA40,-2)</f>
        <v>120700</v>
      </c>
      <c r="U40" s="160">
        <f>157259-26145</f>
        <v>131114</v>
      </c>
      <c r="V40" s="152">
        <f>T40-U40</f>
        <v>-10414</v>
      </c>
      <c r="X40" s="17">
        <f>ROUND('2024  Bdg vs Actual-CA'!AE40+'2024 Bdg vs Actual -OH'!AE40,-2)</f>
        <v>115300</v>
      </c>
      <c r="Y40" s="160">
        <v>147392</v>
      </c>
      <c r="Z40" s="154">
        <f>X40-Y40</f>
        <v>-32092</v>
      </c>
      <c r="AA40" s="17"/>
      <c r="AB40" s="17">
        <f>ROUND('2024  Bdg vs Actual-CA'!AI40+'2024 Bdg vs Actual -OH'!AI40,-2)</f>
        <v>115300</v>
      </c>
      <c r="AC40" s="160">
        <f>141685-31323</f>
        <v>110362</v>
      </c>
      <c r="AD40" s="154">
        <f>AB40-AC40</f>
        <v>4938</v>
      </c>
      <c r="AF40" s="17">
        <f>ROUND('2024  Bdg vs Actual-CA'!AM40+'2024 Bdg vs Actual -OH'!AM40,-2)</f>
        <v>115300</v>
      </c>
      <c r="AG40" s="160">
        <f>108853+10617+2430+4607</f>
        <v>126507</v>
      </c>
      <c r="AH40" s="154">
        <f>AF40-AG40</f>
        <v>-11207</v>
      </c>
      <c r="AI40" s="17"/>
      <c r="AJ40" s="17">
        <f>ROUND('2024  Bdg vs Actual-CA'!AQ40+'2024 Bdg vs Actual -OH'!AQ40,-2)</f>
        <v>115300</v>
      </c>
      <c r="AK40" s="160">
        <f>130111-31335</f>
        <v>98776</v>
      </c>
      <c r="AL40" s="154">
        <f>AJ40-AK40</f>
        <v>16524</v>
      </c>
      <c r="AM40" s="17"/>
      <c r="AN40" s="17">
        <f>ROUND('2024  Bdg vs Actual-CA'!AU40+'2024 Bdg vs Actual -OH'!AU40,-2)</f>
        <v>115300</v>
      </c>
      <c r="AO40" s="160">
        <f>119660-AO39</f>
        <v>89792</v>
      </c>
      <c r="AP40" s="154">
        <f>AN40-AO40</f>
        <v>25508</v>
      </c>
      <c r="AQ40" s="17"/>
      <c r="AR40" s="17">
        <f>ROUND('2024  Bdg vs Actual-CA'!AY40+'2024 Bdg vs Actual -OH'!AY40,-2)</f>
        <v>115300</v>
      </c>
      <c r="AS40" s="160">
        <f>115290+12667+1692+4023+6460</f>
        <v>140132</v>
      </c>
      <c r="AT40" s="154">
        <f>AR40-AS40</f>
        <v>-24832</v>
      </c>
      <c r="AU40" s="17"/>
      <c r="AV40" s="17">
        <f>ROUND('2024  Bdg vs Actual-CA'!BC40+'2024 Bdg vs Actual -OH'!BC40,-2)</f>
        <v>115300</v>
      </c>
      <c r="AW40" s="160">
        <f>84308+7906+1531+3339+6007</f>
        <v>103091</v>
      </c>
      <c r="AX40" s="154">
        <f>AV40-AW40</f>
        <v>12209</v>
      </c>
      <c r="AY40" s="17"/>
      <c r="AZ40" s="17">
        <f>ROUND('2024  Bdg vs Actual-CA'!BG40+'2024 Bdg vs Actual -OH'!BG40,-2)</f>
        <v>115300</v>
      </c>
      <c r="BA40" s="160">
        <f>126880.26-26793</f>
        <v>100087.26</v>
      </c>
      <c r="BB40" s="154">
        <f>AZ40-BA40</f>
        <v>15212.740000000005</v>
      </c>
      <c r="BC40" s="17"/>
      <c r="BG40" s="17">
        <f t="shared" si="40"/>
        <v>1414731.49</v>
      </c>
      <c r="BH40" s="160">
        <f t="shared" si="41"/>
        <v>1425566.26</v>
      </c>
      <c r="BI40" s="152">
        <f>BG40-BH40</f>
        <v>-10834.770000000019</v>
      </c>
    </row>
    <row r="41" spans="1:61" ht="30.75" customHeight="1" x14ac:dyDescent="0.2">
      <c r="A41" s="41" t="s">
        <v>61</v>
      </c>
      <c r="B41" s="137"/>
      <c r="C41" s="48"/>
      <c r="D41" s="48"/>
      <c r="E41" s="48"/>
      <c r="F41" s="49">
        <f>F35-F39-F40</f>
        <v>5586942.777529439</v>
      </c>
      <c r="G41" s="76"/>
      <c r="H41" s="49">
        <f t="shared" ref="H41:AZ41" si="42">H35-H39-H40</f>
        <v>455957.62669610744</v>
      </c>
      <c r="I41" s="163">
        <f t="shared" si="42"/>
        <v>255016.56999999983</v>
      </c>
      <c r="J41" s="155">
        <f>I41-H41</f>
        <v>-200941.05669610761</v>
      </c>
      <c r="K41" s="185" t="s">
        <v>62</v>
      </c>
      <c r="L41" s="49">
        <f t="shared" si="42"/>
        <v>411385.15083333361</v>
      </c>
      <c r="M41" s="163">
        <f t="shared" ref="M41" si="43">M35-M39-M40</f>
        <v>337842</v>
      </c>
      <c r="N41" s="155">
        <f>M41-L41</f>
        <v>-73543.15083333361</v>
      </c>
      <c r="O41" s="49"/>
      <c r="P41" s="210">
        <f t="shared" si="42"/>
        <v>403100</v>
      </c>
      <c r="Q41" s="49">
        <f t="shared" si="42"/>
        <v>268565</v>
      </c>
      <c r="R41" s="155">
        <f>Q41-P41</f>
        <v>-134535</v>
      </c>
      <c r="S41" s="49"/>
      <c r="T41" s="210">
        <f t="shared" si="42"/>
        <v>412700</v>
      </c>
      <c r="U41" s="210">
        <f t="shared" si="42"/>
        <v>405564</v>
      </c>
      <c r="V41" s="155">
        <f>U41-T41</f>
        <v>-7136</v>
      </c>
      <c r="W41" s="210"/>
      <c r="X41" s="210">
        <f t="shared" si="42"/>
        <v>427400</v>
      </c>
      <c r="Y41" s="210">
        <f t="shared" si="42"/>
        <v>267285.08</v>
      </c>
      <c r="Z41" s="155">
        <f>Y41-X41</f>
        <v>-160114.91999999998</v>
      </c>
      <c r="AA41" s="210"/>
      <c r="AB41" s="210">
        <f t="shared" si="42"/>
        <v>410400</v>
      </c>
      <c r="AC41" s="210">
        <f>AC35-AC39-AC40</f>
        <v>517087</v>
      </c>
      <c r="AD41" s="155">
        <f>AC41-AB41</f>
        <v>106687</v>
      </c>
      <c r="AE41" s="210"/>
      <c r="AF41" s="210">
        <f t="shared" si="42"/>
        <v>480800</v>
      </c>
      <c r="AG41" s="210">
        <f>AG35-AG39-AG40</f>
        <v>507674</v>
      </c>
      <c r="AH41" s="155">
        <f>AG41-AF41</f>
        <v>26874</v>
      </c>
      <c r="AI41" s="210"/>
      <c r="AJ41" s="210">
        <f t="shared" si="42"/>
        <v>488500</v>
      </c>
      <c r="AK41" s="210">
        <f>AK35-AK39-AK40</f>
        <v>828270</v>
      </c>
      <c r="AL41" s="155">
        <f>AK41-AJ41</f>
        <v>339770</v>
      </c>
      <c r="AM41" s="210"/>
      <c r="AN41" s="210">
        <f t="shared" si="42"/>
        <v>501200</v>
      </c>
      <c r="AO41" s="210">
        <f>AO35-AO39-AO40</f>
        <v>343188</v>
      </c>
      <c r="AP41" s="155">
        <f>AO41-AN41</f>
        <v>-158012</v>
      </c>
      <c r="AQ41" s="210"/>
      <c r="AR41" s="210">
        <f t="shared" si="42"/>
        <v>517500</v>
      </c>
      <c r="AS41" s="210">
        <f>AS35-AS39-AS40</f>
        <v>275848</v>
      </c>
      <c r="AT41" s="155">
        <f>AS41-AR41</f>
        <v>-241652</v>
      </c>
      <c r="AU41" s="210"/>
      <c r="AV41" s="210">
        <f t="shared" si="42"/>
        <v>531200</v>
      </c>
      <c r="AW41" s="210">
        <f>AW35-AW39-AW40</f>
        <v>344892</v>
      </c>
      <c r="AX41" s="155">
        <f>AW41-AV41</f>
        <v>-186308</v>
      </c>
      <c r="AY41" s="210"/>
      <c r="AZ41" s="210">
        <f t="shared" si="42"/>
        <v>546800</v>
      </c>
      <c r="BA41" s="210">
        <f>BA35-BA39-BA40</f>
        <v>301652.74</v>
      </c>
      <c r="BB41" s="155">
        <f>BA41-AZ41</f>
        <v>-245147.26</v>
      </c>
      <c r="BC41" s="210"/>
      <c r="BG41" s="210">
        <f t="shared" ref="BG41:BH41" si="44">BG35-BG39-BG40</f>
        <v>5586942.777529439</v>
      </c>
      <c r="BH41" s="49">
        <f t="shared" si="44"/>
        <v>4652884.3900000006</v>
      </c>
      <c r="BI41" s="155">
        <f>BH41-BG41</f>
        <v>-934058.38752943836</v>
      </c>
    </row>
    <row r="42" spans="1:61" x14ac:dyDescent="0.2">
      <c r="C42" s="44"/>
      <c r="D42" s="44"/>
      <c r="E42" s="44"/>
      <c r="F42" s="44"/>
      <c r="H42" s="43"/>
      <c r="I42" s="162"/>
      <c r="J42" s="43"/>
      <c r="K42" s="43"/>
      <c r="L42" s="43"/>
      <c r="M42" s="162"/>
      <c r="N42" s="43"/>
      <c r="O42" s="43"/>
      <c r="P42" s="43"/>
      <c r="Q42" s="43"/>
      <c r="R42" s="43"/>
      <c r="S42" s="43"/>
      <c r="T42" s="43"/>
      <c r="U42" s="43"/>
      <c r="V42" s="43"/>
      <c r="W42" s="43"/>
      <c r="X42" s="43"/>
      <c r="Y42" s="43"/>
      <c r="Z42" s="154"/>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G42" s="43"/>
      <c r="BH42" s="43"/>
      <c r="BI42" s="43"/>
    </row>
    <row r="43" spans="1:61" x14ac:dyDescent="0.2">
      <c r="A43" s="23" t="s">
        <v>63</v>
      </c>
      <c r="B43" s="135"/>
      <c r="H43" s="43"/>
      <c r="I43" s="162"/>
      <c r="J43" s="43"/>
      <c r="K43" s="43"/>
      <c r="L43" s="43"/>
      <c r="M43" s="162"/>
      <c r="N43" s="43"/>
      <c r="O43" s="43"/>
      <c r="P43" s="43"/>
      <c r="Q43" s="43"/>
      <c r="R43" s="43"/>
      <c r="S43" s="43"/>
      <c r="T43" s="43"/>
      <c r="U43" s="43"/>
      <c r="V43" s="43"/>
      <c r="W43" s="43"/>
      <c r="X43" s="43"/>
      <c r="Y43" s="43"/>
      <c r="Z43" s="154"/>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G43" s="43"/>
      <c r="BH43" s="43"/>
      <c r="BI43" s="43"/>
    </row>
    <row r="44" spans="1:61" x14ac:dyDescent="0.2">
      <c r="H44" s="43"/>
      <c r="I44" s="162"/>
      <c r="J44" s="43"/>
      <c r="K44" s="43"/>
      <c r="L44" s="43"/>
      <c r="M44" s="162"/>
      <c r="N44" s="43"/>
      <c r="O44" s="43"/>
      <c r="P44" s="43"/>
      <c r="Q44" s="43"/>
      <c r="R44" s="43"/>
      <c r="S44" s="43"/>
      <c r="T44" s="43"/>
      <c r="U44" s="43"/>
      <c r="V44" s="43"/>
      <c r="W44" s="43"/>
      <c r="X44" s="43"/>
      <c r="Y44" s="43"/>
      <c r="Z44" s="154"/>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G44" s="43"/>
      <c r="BH44" s="43"/>
      <c r="BI44" s="43"/>
    </row>
    <row r="45" spans="1:61" x14ac:dyDescent="0.2">
      <c r="A45" s="24" t="s">
        <v>64</v>
      </c>
      <c r="B45" s="136"/>
      <c r="E45" s="146"/>
      <c r="H45" s="43"/>
      <c r="I45" s="162"/>
      <c r="J45" s="43"/>
      <c r="K45" s="43"/>
      <c r="L45" s="43"/>
      <c r="M45" s="162"/>
      <c r="N45" s="43"/>
      <c r="O45" s="43"/>
      <c r="P45" s="43"/>
      <c r="Q45" s="43"/>
      <c r="R45" s="43"/>
      <c r="S45" s="43"/>
      <c r="T45" s="43"/>
      <c r="U45" s="43"/>
      <c r="V45" s="43"/>
      <c r="W45" s="43"/>
      <c r="X45" s="43"/>
      <c r="Y45" s="43"/>
      <c r="Z45" s="154"/>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G45" s="43"/>
      <c r="BH45" s="43"/>
      <c r="BI45" s="43"/>
    </row>
    <row r="46" spans="1:61" ht="68" x14ac:dyDescent="0.2">
      <c r="A46" t="s">
        <v>65</v>
      </c>
      <c r="C46" s="44"/>
      <c r="D46" s="44"/>
      <c r="E46" s="44"/>
      <c r="F46" s="51">
        <f>H46+L46+P46+T46+X46+AB46+AF46+AJ46+AN46+AR46+AV46+AZ46</f>
        <v>1395000</v>
      </c>
      <c r="G46" s="79"/>
      <c r="H46" s="43">
        <f>'2024  Bdg vs Actual-CA'!O46+'2024 Bdg vs Actual -OH'!O46</f>
        <v>109100</v>
      </c>
      <c r="I46" s="162">
        <v>132611</v>
      </c>
      <c r="J46" s="154">
        <f>H46-I46</f>
        <v>-23511</v>
      </c>
      <c r="K46" s="43"/>
      <c r="L46" s="191">
        <f>+'2024  Bdg vs Actual-CA'!S46+'2024 Bdg vs Actual -OH'!S46</f>
        <v>109100</v>
      </c>
      <c r="M46" s="162">
        <v>111986</v>
      </c>
      <c r="N46" s="154">
        <f>L46-M46</f>
        <v>-2886</v>
      </c>
      <c r="O46" s="196" t="s">
        <v>53</v>
      </c>
      <c r="P46" s="17">
        <f>ROUND(+'2024  Bdg vs Actual-CA'!W46+'2024 Bdg vs Actual -OH'!W46,-2)</f>
        <v>110300</v>
      </c>
      <c r="Q46" s="162">
        <v>115934</v>
      </c>
      <c r="R46" s="152">
        <f>P46-Q46</f>
        <v>-5634</v>
      </c>
      <c r="S46" s="43"/>
      <c r="T46" s="17">
        <f>ROUND('2024  Bdg vs Actual-CA'!AA46+'2024 Bdg vs Actual -OH'!AA46,-2)</f>
        <v>118500</v>
      </c>
      <c r="U46" s="162">
        <v>130035</v>
      </c>
      <c r="V46" s="152">
        <f>T46-U46</f>
        <v>-11535</v>
      </c>
      <c r="X46" s="17">
        <f>ROUND('2024  Bdg vs Actual-CA'!AE46+'2024 Bdg vs Actual -OH'!AE46,-2)</f>
        <v>118500</v>
      </c>
      <c r="Y46" s="162">
        <v>132946</v>
      </c>
      <c r="Z46" s="152">
        <f>X46-Y46</f>
        <v>-14446</v>
      </c>
      <c r="AA46" s="17"/>
      <c r="AB46" s="17">
        <f>ROUND('2024  Bdg vs Actual-CA'!AI46+'2024 Bdg vs Actual -OH'!AI46,-2)</f>
        <v>118500</v>
      </c>
      <c r="AC46" s="162">
        <v>110799</v>
      </c>
      <c r="AD46" s="152">
        <f>AB46-AC46</f>
        <v>7701</v>
      </c>
      <c r="AF46" s="17">
        <f>ROUND('2024  Bdg vs Actual-CA'!AM46+'2024 Bdg vs Actual -OH'!AM46,-2)</f>
        <v>118500</v>
      </c>
      <c r="AG46" s="162">
        <v>104268</v>
      </c>
      <c r="AH46" s="152">
        <f t="shared" ref="AH46:AH47" si="45">AF46-AG46</f>
        <v>14232</v>
      </c>
      <c r="AI46" s="17"/>
      <c r="AJ46" s="17">
        <f>ROUND('2024  Bdg vs Actual-CA'!AQ46+'2024 Bdg vs Actual -OH'!AQ46,-2)</f>
        <v>118500</v>
      </c>
      <c r="AK46" s="162">
        <v>110147</v>
      </c>
      <c r="AL46" s="152">
        <f t="shared" ref="AL46:AL47" si="46">AJ46-AK46</f>
        <v>8353</v>
      </c>
      <c r="AM46" s="17"/>
      <c r="AN46" s="17">
        <f>ROUND('2024  Bdg vs Actual-CA'!AU46+'2024 Bdg vs Actual -OH'!AU46,-2)</f>
        <v>118500</v>
      </c>
      <c r="AO46" s="162">
        <v>105538</v>
      </c>
      <c r="AP46" s="152">
        <f t="shared" ref="AP46:AP47" si="47">AN46-AO46</f>
        <v>12962</v>
      </c>
      <c r="AQ46" s="17"/>
      <c r="AR46" s="17">
        <f>ROUND('2024  Bdg vs Actual-CA'!AY46+'2024 Bdg vs Actual -OH'!AY46,-2)</f>
        <v>118500</v>
      </c>
      <c r="AS46" s="162">
        <v>117800</v>
      </c>
      <c r="AT46" s="152">
        <f t="shared" ref="AT46:AT47" si="48">AR46-AS46</f>
        <v>700</v>
      </c>
      <c r="AU46" s="17"/>
      <c r="AV46" s="17">
        <f>ROUND('2024  Bdg vs Actual-CA'!BC46+'2024 Bdg vs Actual -OH'!BC46,-2)</f>
        <v>118500</v>
      </c>
      <c r="AW46" s="162">
        <v>109515</v>
      </c>
      <c r="AX46" s="152">
        <f t="shared" ref="AX46:AX47" si="49">AV46-AW46</f>
        <v>8985</v>
      </c>
      <c r="AY46" s="17"/>
      <c r="AZ46" s="17">
        <f>ROUND('2024  Bdg vs Actual-CA'!BG46+'2024 Bdg vs Actual -OH'!BG46,-2)</f>
        <v>118500</v>
      </c>
      <c r="BA46" s="160">
        <v>149557</v>
      </c>
      <c r="BB46" s="152">
        <f t="shared" ref="BB46:BB47" si="50">AZ46-BA46</f>
        <v>-31057</v>
      </c>
      <c r="BC46" s="17"/>
      <c r="BG46" s="17">
        <f t="shared" ref="BG46:BG47" si="51">+P46+L46+H46+T46+X46+AB46+AF46+AJ46+AN46+AR46+AV46+AZ46</f>
        <v>1395000</v>
      </c>
      <c r="BH46" s="160">
        <f t="shared" ref="BH46:BH47" si="52">+Q46+M46+I46+U46+Y46+AC46+AG46+AK46+AO46+AS46+AW46+BA46</f>
        <v>1431136</v>
      </c>
      <c r="BI46" s="152">
        <f>BG46-BH46</f>
        <v>-36136</v>
      </c>
    </row>
    <row r="47" spans="1:61" x14ac:dyDescent="0.2">
      <c r="A47" s="21" t="s">
        <v>66</v>
      </c>
      <c r="B47" s="134"/>
      <c r="C47" s="45"/>
      <c r="D47" s="45"/>
      <c r="E47" s="45"/>
      <c r="F47" s="51">
        <f>H47+L47+P47+T47+X47+AB47+AF47+AJ47+AN47+AR47+AV47+AZ47</f>
        <v>9000</v>
      </c>
      <c r="G47" s="79"/>
      <c r="H47" s="43">
        <f>'2024  Bdg vs Actual-CA'!O47+'2024 Bdg vs Actual -OH'!O47</f>
        <v>0</v>
      </c>
      <c r="I47" s="162">
        <v>0</v>
      </c>
      <c r="J47" s="154">
        <f>H47-I47</f>
        <v>0</v>
      </c>
      <c r="K47" s="43"/>
      <c r="L47" s="43">
        <f>'2024  Bdg vs Actual-CA'!S47+'2024 Bdg vs Actual -OH'!S47</f>
        <v>0</v>
      </c>
      <c r="M47" s="162">
        <v>0</v>
      </c>
      <c r="N47" s="154">
        <f>L47-M47</f>
        <v>0</v>
      </c>
      <c r="O47" s="43"/>
      <c r="P47" s="17">
        <f>ROUND(+'2024  Bdg vs Actual-CA'!W47+'2024 Bdg vs Actual -OH'!W47,-2)</f>
        <v>3000</v>
      </c>
      <c r="Q47" s="43">
        <v>0</v>
      </c>
      <c r="R47" s="152">
        <f>P47-Q47</f>
        <v>3000</v>
      </c>
      <c r="S47" s="43"/>
      <c r="T47" s="17">
        <f>'2024  Bdg vs Actual-CA'!AA47+'2024 Bdg vs Actual -OH'!AA47</f>
        <v>0</v>
      </c>
      <c r="U47" s="162"/>
      <c r="V47" s="152">
        <f>T47-U47</f>
        <v>0</v>
      </c>
      <c r="X47" s="17">
        <f>'2024  Bdg vs Actual-CA'!AE47+'2024 Bdg vs Actual -OH'!AE47</f>
        <v>0</v>
      </c>
      <c r="Y47" s="17"/>
      <c r="Z47" s="152">
        <f>X47-Y47</f>
        <v>0</v>
      </c>
      <c r="AA47" s="17"/>
      <c r="AB47" s="17">
        <f>'2024  Bdg vs Actual-CA'!AI47+'2024 Bdg vs Actual -OH'!AI47</f>
        <v>3000</v>
      </c>
      <c r="AC47" s="162"/>
      <c r="AD47" s="152">
        <f>AB47-AC47</f>
        <v>3000</v>
      </c>
      <c r="AF47" s="17">
        <f>'2024  Bdg vs Actual-CA'!AM47+'2024 Bdg vs Actual -OH'!AM47</f>
        <v>0</v>
      </c>
      <c r="AG47" s="17"/>
      <c r="AH47" s="152">
        <f t="shared" si="45"/>
        <v>0</v>
      </c>
      <c r="AI47" s="17"/>
      <c r="AJ47" s="17">
        <f>'2024  Bdg vs Actual-CA'!AQ47+'2024 Bdg vs Actual -OH'!AQ47</f>
        <v>0</v>
      </c>
      <c r="AK47" s="17"/>
      <c r="AL47" s="152">
        <f t="shared" si="46"/>
        <v>0</v>
      </c>
      <c r="AM47" s="17"/>
      <c r="AN47" s="17">
        <f>'2024  Bdg vs Actual-CA'!AU47+'2024 Bdg vs Actual -OH'!AU47</f>
        <v>0</v>
      </c>
      <c r="AO47" s="17"/>
      <c r="AP47" s="152">
        <f t="shared" si="47"/>
        <v>0</v>
      </c>
      <c r="AQ47" s="17"/>
      <c r="AR47" s="17">
        <f>'2024  Bdg vs Actual-CA'!AY47+'2024 Bdg vs Actual -OH'!AY47</f>
        <v>3000</v>
      </c>
      <c r="AS47" s="17">
        <v>0</v>
      </c>
      <c r="AT47" s="152">
        <f t="shared" si="48"/>
        <v>3000</v>
      </c>
      <c r="AU47" s="17"/>
      <c r="AV47" s="17">
        <f>'2024  Bdg vs Actual-CA'!BC47+'2024 Bdg vs Actual -OH'!BC47</f>
        <v>0</v>
      </c>
      <c r="AW47" s="162"/>
      <c r="AX47" s="152">
        <f t="shared" si="49"/>
        <v>0</v>
      </c>
      <c r="AY47" s="17"/>
      <c r="AZ47" s="17">
        <f>'2024  Bdg vs Actual-CA'!BG47+'2024 Bdg vs Actual -OH'!BG47</f>
        <v>0</v>
      </c>
      <c r="BA47" s="17"/>
      <c r="BB47" s="152">
        <f t="shared" si="50"/>
        <v>0</v>
      </c>
      <c r="BC47" s="17"/>
      <c r="BG47" s="17">
        <f t="shared" si="51"/>
        <v>9000</v>
      </c>
      <c r="BH47" s="160">
        <f t="shared" si="52"/>
        <v>0</v>
      </c>
      <c r="BI47" s="152">
        <f>BG47-BH47</f>
        <v>9000</v>
      </c>
    </row>
    <row r="48" spans="1:61" x14ac:dyDescent="0.2">
      <c r="A48" t="s">
        <v>67</v>
      </c>
      <c r="C48" s="44"/>
      <c r="D48" s="44"/>
      <c r="E48" s="44"/>
      <c r="F48" s="48">
        <f>SUM(H48:AZ48)</f>
        <v>2689500</v>
      </c>
      <c r="G48" s="30"/>
      <c r="H48" s="61">
        <f>H46+H47</f>
        <v>109100</v>
      </c>
      <c r="I48" s="164">
        <f>I46+I47</f>
        <v>132611</v>
      </c>
      <c r="J48" s="156">
        <f>H48-I48</f>
        <v>-23511</v>
      </c>
      <c r="K48" s="61"/>
      <c r="L48" s="61">
        <f t="shared" ref="L48:AZ48" si="53">L46+L47</f>
        <v>109100</v>
      </c>
      <c r="M48" s="164">
        <f>M46+M47</f>
        <v>111986</v>
      </c>
      <c r="N48" s="156">
        <f>L48-M48</f>
        <v>-2886</v>
      </c>
      <c r="O48" s="61"/>
      <c r="P48" s="28">
        <f t="shared" si="53"/>
        <v>113300</v>
      </c>
      <c r="Q48" s="164">
        <f>Q46+Q47</f>
        <v>115934</v>
      </c>
      <c r="R48" s="156">
        <f>P48-Q48</f>
        <v>-2634</v>
      </c>
      <c r="S48" s="61"/>
      <c r="T48" s="61">
        <f t="shared" si="53"/>
        <v>118500</v>
      </c>
      <c r="U48" s="164">
        <f>U46+U47</f>
        <v>130035</v>
      </c>
      <c r="V48" s="156">
        <f>T48-U48</f>
        <v>-11535</v>
      </c>
      <c r="W48" s="61"/>
      <c r="X48" s="61">
        <f t="shared" si="53"/>
        <v>118500</v>
      </c>
      <c r="Y48" s="164">
        <f>Y46+Y47</f>
        <v>132946</v>
      </c>
      <c r="Z48" s="202">
        <f>X48-Y48</f>
        <v>-14446</v>
      </c>
      <c r="AA48" s="61"/>
      <c r="AB48" s="61">
        <f t="shared" si="53"/>
        <v>121500</v>
      </c>
      <c r="AC48" s="164">
        <f>AC46+AC47</f>
        <v>110799</v>
      </c>
      <c r="AD48" s="202">
        <f>AB48-AC48</f>
        <v>10701</v>
      </c>
      <c r="AE48" s="61"/>
      <c r="AF48" s="61">
        <f t="shared" si="53"/>
        <v>118500</v>
      </c>
      <c r="AG48" s="164">
        <f>AG46+AG47</f>
        <v>104268</v>
      </c>
      <c r="AH48" s="202">
        <f>AF48-AG48</f>
        <v>14232</v>
      </c>
      <c r="AI48" s="61"/>
      <c r="AJ48" s="61">
        <f t="shared" si="53"/>
        <v>118500</v>
      </c>
      <c r="AK48" s="164">
        <f>AK46+AK47</f>
        <v>110147</v>
      </c>
      <c r="AL48" s="202">
        <f>AJ48-AK48</f>
        <v>8353</v>
      </c>
      <c r="AM48" s="61"/>
      <c r="AN48" s="61">
        <f t="shared" si="53"/>
        <v>118500</v>
      </c>
      <c r="AO48" s="164">
        <f>AO46+AO47</f>
        <v>105538</v>
      </c>
      <c r="AP48" s="202">
        <f>AN48-AO48</f>
        <v>12962</v>
      </c>
      <c r="AQ48" s="61"/>
      <c r="AR48" s="61">
        <f t="shared" si="53"/>
        <v>121500</v>
      </c>
      <c r="AS48" s="164">
        <f>AS46+AS47</f>
        <v>117800</v>
      </c>
      <c r="AT48" s="202">
        <f>AR48-AS48</f>
        <v>3700</v>
      </c>
      <c r="AU48" s="61"/>
      <c r="AV48" s="61">
        <f t="shared" si="53"/>
        <v>118500</v>
      </c>
      <c r="AW48" s="162">
        <f>AW46+AW47</f>
        <v>109515</v>
      </c>
      <c r="AX48" s="202">
        <f>AV48-AW48</f>
        <v>8985</v>
      </c>
      <c r="AY48" s="61"/>
      <c r="AZ48" s="61">
        <f t="shared" si="53"/>
        <v>118500</v>
      </c>
      <c r="BA48" s="278">
        <f>BA46+BA47</f>
        <v>149557</v>
      </c>
      <c r="BB48" s="202">
        <f>AZ48-BA48</f>
        <v>-31057</v>
      </c>
      <c r="BC48" s="61"/>
      <c r="BG48" s="28">
        <f t="shared" ref="BG48" si="54">BG46+BG47</f>
        <v>1404000</v>
      </c>
      <c r="BH48" s="164">
        <f>BH46+BH47</f>
        <v>1431136</v>
      </c>
      <c r="BI48" s="156">
        <f>BG48-BH48</f>
        <v>-27136</v>
      </c>
    </row>
    <row r="49" spans="1:61" x14ac:dyDescent="0.2">
      <c r="H49" s="43"/>
      <c r="I49" s="162"/>
      <c r="J49" s="154"/>
      <c r="K49" s="43"/>
      <c r="L49" s="43"/>
      <c r="M49" s="162"/>
      <c r="N49" s="154"/>
      <c r="O49" s="43"/>
      <c r="P49" s="43"/>
      <c r="Q49" s="43"/>
      <c r="R49" s="43"/>
      <c r="S49" s="43"/>
      <c r="T49" s="43"/>
      <c r="U49" s="43"/>
      <c r="V49" s="43"/>
      <c r="W49" s="43"/>
      <c r="X49" s="43"/>
      <c r="Y49" s="43"/>
      <c r="Z49" s="152"/>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G49" s="43"/>
      <c r="BH49" s="43"/>
      <c r="BI49" s="43"/>
    </row>
    <row r="50" spans="1:61" x14ac:dyDescent="0.2">
      <c r="H50" s="43"/>
      <c r="I50" s="162"/>
      <c r="J50" s="154"/>
      <c r="K50" s="43"/>
      <c r="L50" s="43"/>
      <c r="M50" s="162"/>
      <c r="N50" s="154"/>
      <c r="O50" s="43"/>
      <c r="P50" s="43"/>
      <c r="Q50" s="43"/>
      <c r="R50" s="43"/>
      <c r="S50" s="43"/>
      <c r="T50" s="43"/>
      <c r="U50" s="43"/>
      <c r="V50" s="43"/>
      <c r="W50" s="43"/>
      <c r="X50" s="43"/>
      <c r="Y50" s="43"/>
      <c r="Z50" s="152"/>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G50" s="43"/>
      <c r="BH50" s="43"/>
      <c r="BI50" s="43"/>
    </row>
    <row r="51" spans="1:61" x14ac:dyDescent="0.2">
      <c r="A51" s="24" t="s">
        <v>68</v>
      </c>
      <c r="B51" s="136"/>
      <c r="H51" s="43"/>
      <c r="I51" s="162"/>
      <c r="J51" s="154"/>
      <c r="K51" s="43"/>
      <c r="L51" s="43"/>
      <c r="M51" s="162"/>
      <c r="N51" s="154"/>
      <c r="O51" s="43"/>
      <c r="P51" s="43"/>
      <c r="Q51" s="43"/>
      <c r="R51" s="43"/>
      <c r="S51" s="43"/>
      <c r="T51" s="43"/>
      <c r="U51" s="43"/>
      <c r="V51" s="43"/>
      <c r="W51" s="43"/>
      <c r="X51" s="43"/>
      <c r="Y51" s="43"/>
      <c r="Z51" s="152"/>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G51" s="43"/>
      <c r="BH51" s="43"/>
      <c r="BI51" s="43"/>
    </row>
    <row r="52" spans="1:61" x14ac:dyDescent="0.2">
      <c r="A52" t="s">
        <v>69</v>
      </c>
      <c r="C52" s="44"/>
      <c r="D52" s="44"/>
      <c r="E52" s="44"/>
      <c r="F52" s="44">
        <f t="shared" ref="F52:F57" si="55">H52+L52+P52+T52+X52+AB52+AF52+AJ52+AN52+AR52+AV52+AZ52</f>
        <v>321500</v>
      </c>
      <c r="H52" s="43">
        <f>'2024  Bdg vs Actual-CA'!O52+'2024 Bdg vs Actual -OH'!O52</f>
        <v>26200</v>
      </c>
      <c r="I52" s="162">
        <f>27952-1700</f>
        <v>26252</v>
      </c>
      <c r="J52" s="154">
        <f>H52-I52</f>
        <v>-52</v>
      </c>
      <c r="K52" s="43"/>
      <c r="L52" s="43">
        <f>+'2024  Bdg vs Actual-CA'!S52+'2024 Bdg vs Actual -OH'!S52</f>
        <v>26200</v>
      </c>
      <c r="M52" s="162">
        <v>27157</v>
      </c>
      <c r="N52" s="154">
        <f>L52-M52</f>
        <v>-957</v>
      </c>
      <c r="O52" s="43"/>
      <c r="P52" s="17">
        <f>ROUND(+'2024  Bdg vs Actual-CA'!W52+'2024 Bdg vs Actual -OH'!W52,-2)</f>
        <v>26600</v>
      </c>
      <c r="Q52" s="162">
        <v>31350</v>
      </c>
      <c r="R52" s="152">
        <f t="shared" ref="R52:R57" si="56">P52-Q52</f>
        <v>-4750</v>
      </c>
      <c r="S52" s="43"/>
      <c r="T52" s="17">
        <f>+'2024  Bdg vs Actual-CA'!AA52+'2024 Bdg vs Actual -OH'!AA52</f>
        <v>26600</v>
      </c>
      <c r="U52" s="162">
        <v>26358</v>
      </c>
      <c r="V52" s="152">
        <f t="shared" ref="V52:V58" si="57">T52-U52</f>
        <v>242</v>
      </c>
      <c r="X52" s="17">
        <f>+'2024  Bdg vs Actual-CA'!AE52+'2024 Bdg vs Actual -OH'!AE52</f>
        <v>26600</v>
      </c>
      <c r="Y52" s="162">
        <v>25407</v>
      </c>
      <c r="Z52" s="152">
        <f t="shared" ref="Z52:Z58" si="58">X52-Y52</f>
        <v>1193</v>
      </c>
      <c r="AA52" s="17"/>
      <c r="AB52" s="17">
        <f>+'2024  Bdg vs Actual-CA'!AI52+'2024 Bdg vs Actual -OH'!AI52</f>
        <v>26600</v>
      </c>
      <c r="AC52" s="162">
        <v>25212</v>
      </c>
      <c r="AD52" s="152">
        <f t="shared" ref="AD52:AD58" si="59">AB52-AC52</f>
        <v>1388</v>
      </c>
      <c r="AF52" s="17">
        <f>+'2024  Bdg vs Actual-CA'!AM52+'2024 Bdg vs Actual -OH'!AM52</f>
        <v>26700</v>
      </c>
      <c r="AG52" s="162">
        <v>27192</v>
      </c>
      <c r="AH52" s="152">
        <f t="shared" ref="AH52:AH58" si="60">AF52-AG52</f>
        <v>-492</v>
      </c>
      <c r="AI52" s="17"/>
      <c r="AJ52" s="17">
        <f>+'2024  Bdg vs Actual-CA'!AQ52+'2024 Bdg vs Actual -OH'!AQ52</f>
        <v>27200</v>
      </c>
      <c r="AK52" s="162">
        <v>26310</v>
      </c>
      <c r="AL52" s="152">
        <f t="shared" ref="AL52:AL58" si="61">AJ52-AK52</f>
        <v>890</v>
      </c>
      <c r="AM52" s="17"/>
      <c r="AN52" s="17">
        <f>+'2024  Bdg vs Actual-CA'!AU52+'2024 Bdg vs Actual -OH'!AU52</f>
        <v>27200</v>
      </c>
      <c r="AO52" s="162">
        <v>28017</v>
      </c>
      <c r="AP52" s="152">
        <f t="shared" ref="AP52:AP58" si="62">AN52-AO52</f>
        <v>-817</v>
      </c>
      <c r="AQ52" s="17"/>
      <c r="AR52" s="17">
        <f>+'2024  Bdg vs Actual-CA'!AY52+'2024 Bdg vs Actual -OH'!AY52</f>
        <v>27200</v>
      </c>
      <c r="AS52" s="162">
        <v>27465</v>
      </c>
      <c r="AT52" s="152">
        <f t="shared" ref="AT52:AT58" si="63">AR52-AS52</f>
        <v>-265</v>
      </c>
      <c r="AU52" s="17"/>
      <c r="AV52" s="17">
        <f>+'2024  Bdg vs Actual-CA'!BC52+'2024 Bdg vs Actual -OH'!BC52</f>
        <v>27200</v>
      </c>
      <c r="AW52" s="162">
        <v>26216</v>
      </c>
      <c r="AX52" s="152">
        <f t="shared" ref="AX52:AX57" si="64">AV52-AW52</f>
        <v>984</v>
      </c>
      <c r="AY52" s="17"/>
      <c r="AZ52" s="17">
        <f>+'2024  Bdg vs Actual-CA'!BG52+'2024 Bdg vs Actual -OH'!BG52</f>
        <v>27200</v>
      </c>
      <c r="BA52" s="162">
        <v>26216</v>
      </c>
      <c r="BB52" s="152">
        <f t="shared" ref="BB52:BB58" si="65">AZ52-BA52</f>
        <v>984</v>
      </c>
      <c r="BC52" s="17"/>
      <c r="BG52" s="17">
        <f t="shared" ref="BG52:BG57" si="66">+P52+L52+H52+T52+X52+AB52+AF52+AJ52+AN52+AR52+AV52+AZ52</f>
        <v>321500</v>
      </c>
      <c r="BH52" s="160">
        <f t="shared" ref="BH52:BH57" si="67">+Q52+M52+I52+U52+Y52+AC52+AG52+AK52+AO52+AS52+AW52+BA52</f>
        <v>323152</v>
      </c>
      <c r="BI52" s="152">
        <f t="shared" ref="BI52:BI57" si="68">BG52-BH52</f>
        <v>-1652</v>
      </c>
    </row>
    <row r="53" spans="1:61" x14ac:dyDescent="0.2">
      <c r="A53" t="s">
        <v>70</v>
      </c>
      <c r="C53" s="44"/>
      <c r="D53" s="44"/>
      <c r="E53" s="44"/>
      <c r="F53" s="44">
        <f t="shared" si="55"/>
        <v>120000</v>
      </c>
      <c r="H53" s="43">
        <f>'2024  Bdg vs Actual-CA'!O53+'2024 Bdg vs Actual -OH'!O53</f>
        <v>9000</v>
      </c>
      <c r="I53" s="162">
        <v>7175</v>
      </c>
      <c r="J53" s="154">
        <f t="shared" ref="J53:J57" si="69">H53-I53</f>
        <v>1825</v>
      </c>
      <c r="K53" s="43"/>
      <c r="L53" s="43">
        <f>+'2024  Bdg vs Actual-CA'!S53+'2024 Bdg vs Actual -OH'!S53</f>
        <v>10000</v>
      </c>
      <c r="M53" s="162">
        <f>-32456+40000</f>
        <v>7544</v>
      </c>
      <c r="N53" s="154">
        <f t="shared" ref="N53:N57" si="70">L53-M53</f>
        <v>2456</v>
      </c>
      <c r="O53" s="43"/>
      <c r="P53" s="17">
        <f>ROUND(+'2024  Bdg vs Actual-CA'!W53+'2024 Bdg vs Actual -OH'!W53,-2)</f>
        <v>10000</v>
      </c>
      <c r="Q53" s="162">
        <v>8116</v>
      </c>
      <c r="R53" s="152">
        <f t="shared" si="56"/>
        <v>1884</v>
      </c>
      <c r="S53" s="43"/>
      <c r="T53" s="17">
        <f>+'2024  Bdg vs Actual-CA'!AA53+'2024 Bdg vs Actual -OH'!AA53</f>
        <v>10000</v>
      </c>
      <c r="U53" s="162">
        <v>4860</v>
      </c>
      <c r="V53" s="152">
        <f t="shared" si="57"/>
        <v>5140</v>
      </c>
      <c r="X53" s="17">
        <f>+'2024  Bdg vs Actual-CA'!AE53+'2024 Bdg vs Actual -OH'!AE53</f>
        <v>10000</v>
      </c>
      <c r="Y53" s="162">
        <v>5589</v>
      </c>
      <c r="Z53" s="152">
        <f t="shared" si="58"/>
        <v>4411</v>
      </c>
      <c r="AA53" s="17"/>
      <c r="AB53" s="17">
        <f>+'2024  Bdg vs Actual-CA'!AI53+'2024 Bdg vs Actual -OH'!AI53</f>
        <v>10000</v>
      </c>
      <c r="AC53" s="162">
        <v>7749</v>
      </c>
      <c r="AD53" s="152">
        <f t="shared" si="59"/>
        <v>2251</v>
      </c>
      <c r="AF53" s="17">
        <f>+'2024  Bdg vs Actual-CA'!AM53+'2024 Bdg vs Actual -OH'!AM53</f>
        <v>10000</v>
      </c>
      <c r="AG53" s="162">
        <v>5678</v>
      </c>
      <c r="AH53" s="152">
        <f t="shared" si="60"/>
        <v>4322</v>
      </c>
      <c r="AI53" s="17"/>
      <c r="AJ53" s="17">
        <f>+'2024  Bdg vs Actual-CA'!AQ53+'2024 Bdg vs Actual -OH'!AQ53</f>
        <v>10200</v>
      </c>
      <c r="AK53" s="162">
        <v>5936</v>
      </c>
      <c r="AL53" s="152">
        <f t="shared" si="61"/>
        <v>4264</v>
      </c>
      <c r="AM53" s="17"/>
      <c r="AN53" s="17">
        <f>+'2024  Bdg vs Actual-CA'!AU53+'2024 Bdg vs Actual -OH'!AU53</f>
        <v>10200</v>
      </c>
      <c r="AO53" s="162">
        <v>5581</v>
      </c>
      <c r="AP53" s="152">
        <f t="shared" si="62"/>
        <v>4619</v>
      </c>
      <c r="AQ53" s="17"/>
      <c r="AR53" s="17">
        <f>+'2024  Bdg vs Actual-CA'!AY53+'2024 Bdg vs Actual -OH'!AY53</f>
        <v>10200</v>
      </c>
      <c r="AS53" s="162">
        <v>7074</v>
      </c>
      <c r="AT53" s="152">
        <f t="shared" si="63"/>
        <v>3126</v>
      </c>
      <c r="AU53" s="17"/>
      <c r="AV53" s="17">
        <f>+'2024  Bdg vs Actual-CA'!BC53+'2024 Bdg vs Actual -OH'!BC53</f>
        <v>10200</v>
      </c>
      <c r="AW53" s="162">
        <v>6275</v>
      </c>
      <c r="AX53" s="152">
        <f t="shared" si="64"/>
        <v>3925</v>
      </c>
      <c r="AY53" s="17"/>
      <c r="AZ53" s="17">
        <f>+'2024  Bdg vs Actual-CA'!BG53+'2024 Bdg vs Actual -OH'!BG53</f>
        <v>10200</v>
      </c>
      <c r="BA53" s="162">
        <v>6513</v>
      </c>
      <c r="BB53" s="152">
        <f t="shared" si="65"/>
        <v>3687</v>
      </c>
      <c r="BC53" s="17"/>
      <c r="BG53" s="17">
        <f t="shared" si="66"/>
        <v>120000</v>
      </c>
      <c r="BH53" s="160">
        <f t="shared" si="67"/>
        <v>78090</v>
      </c>
      <c r="BI53" s="152">
        <f t="shared" si="68"/>
        <v>41910</v>
      </c>
    </row>
    <row r="54" spans="1:61" x14ac:dyDescent="0.2">
      <c r="A54" t="s">
        <v>71</v>
      </c>
      <c r="C54" s="44"/>
      <c r="D54" s="44"/>
      <c r="E54" s="44"/>
      <c r="F54" s="44">
        <f t="shared" si="55"/>
        <v>150000</v>
      </c>
      <c r="H54" s="43">
        <f>'2024  Bdg vs Actual-CA'!O54+'2024 Bdg vs Actual -OH'!O54</f>
        <v>12500</v>
      </c>
      <c r="I54" s="162">
        <v>6687</v>
      </c>
      <c r="J54" s="154">
        <f t="shared" si="69"/>
        <v>5813</v>
      </c>
      <c r="K54" s="43"/>
      <c r="L54" s="43">
        <f>+'2024  Bdg vs Actual-CA'!S54+'2024 Bdg vs Actual -OH'!S54</f>
        <v>12500</v>
      </c>
      <c r="M54" s="162">
        <v>15238</v>
      </c>
      <c r="N54" s="154">
        <f t="shared" si="70"/>
        <v>-2738</v>
      </c>
      <c r="O54" s="43"/>
      <c r="P54" s="17">
        <f>ROUND(+'2024  Bdg vs Actual-CA'!W54+'2024 Bdg vs Actual -OH'!W54,-2)</f>
        <v>12500</v>
      </c>
      <c r="Q54" s="162">
        <v>11351</v>
      </c>
      <c r="R54" s="152">
        <f t="shared" si="56"/>
        <v>1149</v>
      </c>
      <c r="S54" s="43"/>
      <c r="T54" s="17">
        <f>+'2024  Bdg vs Actual-CA'!AA54+'2024 Bdg vs Actual -OH'!AA54</f>
        <v>12500</v>
      </c>
      <c r="U54" s="162">
        <v>12240</v>
      </c>
      <c r="V54" s="152">
        <f t="shared" si="57"/>
        <v>260</v>
      </c>
      <c r="X54" s="17">
        <f>+'2024  Bdg vs Actual-CA'!AE54+'2024 Bdg vs Actual -OH'!AE54</f>
        <v>12500</v>
      </c>
      <c r="Y54" s="162">
        <v>11655</v>
      </c>
      <c r="Z54" s="152">
        <f t="shared" si="58"/>
        <v>845</v>
      </c>
      <c r="AA54" s="17"/>
      <c r="AB54" s="17">
        <f>+'2024  Bdg vs Actual-CA'!AI54+'2024 Bdg vs Actual -OH'!AI54</f>
        <v>12500</v>
      </c>
      <c r="AC54" s="162">
        <v>11543</v>
      </c>
      <c r="AD54" s="152">
        <f t="shared" si="59"/>
        <v>957</v>
      </c>
      <c r="AF54" s="17">
        <f>+'2024  Bdg vs Actual-CA'!AM54+'2024 Bdg vs Actual -OH'!AM54</f>
        <v>12500</v>
      </c>
      <c r="AG54" s="162">
        <v>10863</v>
      </c>
      <c r="AH54" s="152">
        <f t="shared" si="60"/>
        <v>1637</v>
      </c>
      <c r="AI54" s="17"/>
      <c r="AJ54" s="17">
        <f>+'2024  Bdg vs Actual-CA'!AQ54+'2024 Bdg vs Actual -OH'!AQ54</f>
        <v>12500</v>
      </c>
      <c r="AK54" s="162">
        <v>13779</v>
      </c>
      <c r="AL54" s="152">
        <f t="shared" si="61"/>
        <v>-1279</v>
      </c>
      <c r="AM54" s="17"/>
      <c r="AN54" s="17">
        <f>+'2024  Bdg vs Actual-CA'!AU54+'2024 Bdg vs Actual -OH'!AU54</f>
        <v>12500</v>
      </c>
      <c r="AO54" s="162">
        <v>15797</v>
      </c>
      <c r="AP54" s="152">
        <f t="shared" si="62"/>
        <v>-3297</v>
      </c>
      <c r="AQ54" s="17"/>
      <c r="AR54" s="17">
        <f>+'2024  Bdg vs Actual-CA'!AY54+'2024 Bdg vs Actual -OH'!AY54</f>
        <v>12500</v>
      </c>
      <c r="AS54" s="162">
        <v>11708</v>
      </c>
      <c r="AT54" s="152">
        <f t="shared" si="63"/>
        <v>792</v>
      </c>
      <c r="AU54" s="17"/>
      <c r="AV54" s="17">
        <f>+'2024  Bdg vs Actual-CA'!BC54+'2024 Bdg vs Actual -OH'!BC54</f>
        <v>12500</v>
      </c>
      <c r="AW54" s="162">
        <v>12706</v>
      </c>
      <c r="AX54" s="152">
        <f t="shared" si="64"/>
        <v>-206</v>
      </c>
      <c r="AY54" s="17"/>
      <c r="AZ54" s="17">
        <f>+'2024  Bdg vs Actual-CA'!BG54+'2024 Bdg vs Actual -OH'!BG54</f>
        <v>12500</v>
      </c>
      <c r="BA54" s="162">
        <v>12272</v>
      </c>
      <c r="BB54" s="152">
        <f t="shared" si="65"/>
        <v>228</v>
      </c>
      <c r="BC54" s="17"/>
      <c r="BG54" s="17">
        <f t="shared" si="66"/>
        <v>150000</v>
      </c>
      <c r="BH54" s="160">
        <f t="shared" si="67"/>
        <v>145839</v>
      </c>
      <c r="BI54" s="152">
        <f t="shared" si="68"/>
        <v>4161</v>
      </c>
    </row>
    <row r="55" spans="1:61" x14ac:dyDescent="0.2">
      <c r="A55" t="s">
        <v>72</v>
      </c>
      <c r="C55" s="44"/>
      <c r="D55" s="44"/>
      <c r="E55" s="44"/>
      <c r="F55" s="44">
        <f t="shared" si="55"/>
        <v>18000</v>
      </c>
      <c r="H55" s="43">
        <f>'2024  Bdg vs Actual-CA'!O55+'2024 Bdg vs Actual -OH'!O55</f>
        <v>1500</v>
      </c>
      <c r="I55" s="162">
        <v>8164</v>
      </c>
      <c r="J55" s="154">
        <f t="shared" si="69"/>
        <v>-6664</v>
      </c>
      <c r="K55" s="43"/>
      <c r="L55" s="43">
        <f>+'2024  Bdg vs Actual-CA'!S55+'2024 Bdg vs Actual -OH'!S55</f>
        <v>1500</v>
      </c>
      <c r="M55" s="162">
        <v>839</v>
      </c>
      <c r="N55" s="154">
        <f t="shared" si="70"/>
        <v>661</v>
      </c>
      <c r="O55" s="43"/>
      <c r="P55" s="17">
        <f>ROUND(+'2024  Bdg vs Actual-CA'!W55+'2024 Bdg vs Actual -OH'!W55,-2)</f>
        <v>1500</v>
      </c>
      <c r="Q55" s="162">
        <v>300</v>
      </c>
      <c r="R55" s="152">
        <f t="shared" si="56"/>
        <v>1200</v>
      </c>
      <c r="S55" s="43"/>
      <c r="T55" s="17">
        <f>+'2024  Bdg vs Actual-CA'!AA55+'2024 Bdg vs Actual -OH'!AA55</f>
        <v>1500</v>
      </c>
      <c r="U55" s="162">
        <v>324</v>
      </c>
      <c r="V55" s="152">
        <f t="shared" si="57"/>
        <v>1176</v>
      </c>
      <c r="X55" s="17">
        <f>+'2024  Bdg vs Actual-CA'!AE55+'2024 Bdg vs Actual -OH'!AE55</f>
        <v>1500</v>
      </c>
      <c r="Y55" s="162">
        <v>1004</v>
      </c>
      <c r="Z55" s="152">
        <f t="shared" si="58"/>
        <v>496</v>
      </c>
      <c r="AA55" s="17"/>
      <c r="AB55" s="17">
        <f>+'2024  Bdg vs Actual-CA'!AI55+'2024 Bdg vs Actual -OH'!AI55</f>
        <v>1500</v>
      </c>
      <c r="AC55" s="162">
        <v>100</v>
      </c>
      <c r="AD55" s="152">
        <f t="shared" si="59"/>
        <v>1400</v>
      </c>
      <c r="AF55" s="17">
        <f>+'2024  Bdg vs Actual-CA'!AM55+'2024 Bdg vs Actual -OH'!AM55</f>
        <v>1500</v>
      </c>
      <c r="AG55" s="162">
        <v>200</v>
      </c>
      <c r="AH55" s="152">
        <f t="shared" si="60"/>
        <v>1300</v>
      </c>
      <c r="AI55" s="17"/>
      <c r="AJ55" s="17">
        <f>+'2024  Bdg vs Actual-CA'!AQ55+'2024 Bdg vs Actual -OH'!AQ55</f>
        <v>1500</v>
      </c>
      <c r="AK55" s="162">
        <v>225</v>
      </c>
      <c r="AL55" s="152">
        <f t="shared" si="61"/>
        <v>1275</v>
      </c>
      <c r="AM55" s="17"/>
      <c r="AN55" s="17">
        <f>+'2024  Bdg vs Actual-CA'!AU55+'2024 Bdg vs Actual -OH'!AU55</f>
        <v>1500</v>
      </c>
      <c r="AO55" s="162">
        <v>3123</v>
      </c>
      <c r="AP55" s="152">
        <f t="shared" si="62"/>
        <v>-1623</v>
      </c>
      <c r="AQ55" s="17"/>
      <c r="AR55" s="17">
        <f>+'2024  Bdg vs Actual-CA'!AY55+'2024 Bdg vs Actual -OH'!AY55</f>
        <v>1500</v>
      </c>
      <c r="AS55" s="162">
        <v>3960</v>
      </c>
      <c r="AT55" s="152">
        <f t="shared" si="63"/>
        <v>-2460</v>
      </c>
      <c r="AU55" s="17"/>
      <c r="AV55" s="17">
        <f>+'2024  Bdg vs Actual-CA'!BC55+'2024 Bdg vs Actual -OH'!BC55</f>
        <v>1500</v>
      </c>
      <c r="AW55" s="162">
        <v>2053</v>
      </c>
      <c r="AX55" s="152">
        <f t="shared" si="64"/>
        <v>-553</v>
      </c>
      <c r="AY55" s="17"/>
      <c r="AZ55" s="17">
        <f>+'2024  Bdg vs Actual-CA'!BG55+'2024 Bdg vs Actual -OH'!BG55</f>
        <v>1500</v>
      </c>
      <c r="BA55" s="162">
        <v>0</v>
      </c>
      <c r="BB55" s="152">
        <f t="shared" si="65"/>
        <v>1500</v>
      </c>
      <c r="BC55" s="17"/>
      <c r="BG55" s="17">
        <f t="shared" si="66"/>
        <v>18000</v>
      </c>
      <c r="BH55" s="160">
        <f t="shared" si="67"/>
        <v>20292</v>
      </c>
      <c r="BI55" s="152">
        <f t="shared" si="68"/>
        <v>-2292</v>
      </c>
    </row>
    <row r="56" spans="1:61" x14ac:dyDescent="0.2">
      <c r="A56" t="s">
        <v>73</v>
      </c>
      <c r="C56" s="44"/>
      <c r="D56" s="44"/>
      <c r="E56" s="44"/>
      <c r="F56" s="44">
        <f t="shared" si="55"/>
        <v>233000</v>
      </c>
      <c r="H56" s="43">
        <f>'2024  Bdg vs Actual-CA'!O56+'2024 Bdg vs Actual -OH'!O56</f>
        <v>15500</v>
      </c>
      <c r="I56" s="162">
        <v>18816</v>
      </c>
      <c r="J56" s="154">
        <f t="shared" si="69"/>
        <v>-3316</v>
      </c>
      <c r="K56" s="43"/>
      <c r="L56" s="43">
        <f>'2024  Bdg vs Actual-CA'!S56+'2024 Bdg vs Actual -OH'!S56</f>
        <v>15500</v>
      </c>
      <c r="M56" s="162">
        <v>25015</v>
      </c>
      <c r="N56" s="154">
        <f t="shared" si="70"/>
        <v>-9515</v>
      </c>
      <c r="O56" s="43"/>
      <c r="P56" s="17">
        <f>ROUND(+'2024  Bdg vs Actual-CA'!W56+'2024 Bdg vs Actual -OH'!W56,-2)</f>
        <v>16600</v>
      </c>
      <c r="Q56" s="162">
        <v>26440</v>
      </c>
      <c r="R56" s="152">
        <f t="shared" si="56"/>
        <v>-9840</v>
      </c>
      <c r="S56" s="43"/>
      <c r="T56" s="17">
        <f>'2024  Bdg vs Actual-CA'!AA56+'2024 Bdg vs Actual -OH'!AA56</f>
        <v>20600</v>
      </c>
      <c r="U56" s="162">
        <v>23064</v>
      </c>
      <c r="V56" s="152">
        <f t="shared" si="57"/>
        <v>-2464</v>
      </c>
      <c r="X56" s="17">
        <f>'2024  Bdg vs Actual-CA'!AE56+'2024 Bdg vs Actual -OH'!AE56</f>
        <v>20600</v>
      </c>
      <c r="Y56" s="162">
        <v>27635</v>
      </c>
      <c r="Z56" s="152">
        <f t="shared" si="58"/>
        <v>-7035</v>
      </c>
      <c r="AA56" s="17"/>
      <c r="AB56" s="17">
        <f>'2024  Bdg vs Actual-CA'!AI56+'2024 Bdg vs Actual -OH'!AI56</f>
        <v>20600</v>
      </c>
      <c r="AC56" s="162">
        <v>21565</v>
      </c>
      <c r="AD56" s="152">
        <f t="shared" si="59"/>
        <v>-965</v>
      </c>
      <c r="AF56" s="17">
        <f>'2024  Bdg vs Actual-CA'!AM56+'2024 Bdg vs Actual -OH'!AM56</f>
        <v>20600</v>
      </c>
      <c r="AG56" s="162">
        <v>25718</v>
      </c>
      <c r="AH56" s="152">
        <f t="shared" si="60"/>
        <v>-5118</v>
      </c>
      <c r="AI56" s="17"/>
      <c r="AJ56" s="17">
        <f>'2024  Bdg vs Actual-CA'!AQ56+'2024 Bdg vs Actual -OH'!AQ56</f>
        <v>20600</v>
      </c>
      <c r="AK56" s="162">
        <v>27694</v>
      </c>
      <c r="AL56" s="152">
        <f t="shared" si="61"/>
        <v>-7094</v>
      </c>
      <c r="AM56" s="17"/>
      <c r="AN56" s="17">
        <f>'2024  Bdg vs Actual-CA'!AU56+'2024 Bdg vs Actual -OH'!AU56</f>
        <v>20600</v>
      </c>
      <c r="AO56" s="162">
        <v>25409</v>
      </c>
      <c r="AP56" s="152">
        <f t="shared" si="62"/>
        <v>-4809</v>
      </c>
      <c r="AQ56" s="17"/>
      <c r="AR56" s="17">
        <f>'2024  Bdg vs Actual-CA'!AY56+'2024 Bdg vs Actual -OH'!AY56</f>
        <v>20600</v>
      </c>
      <c r="AS56" s="162">
        <v>19695</v>
      </c>
      <c r="AT56" s="152">
        <f t="shared" si="63"/>
        <v>905</v>
      </c>
      <c r="AU56" s="17"/>
      <c r="AV56" s="17">
        <f>'2024  Bdg vs Actual-CA'!BC56+'2024 Bdg vs Actual -OH'!BC56</f>
        <v>20600</v>
      </c>
      <c r="AW56" s="162">
        <v>29417</v>
      </c>
      <c r="AX56" s="152">
        <f t="shared" si="64"/>
        <v>-8817</v>
      </c>
      <c r="AY56" s="17"/>
      <c r="AZ56" s="17">
        <f>'2024  Bdg vs Actual-CA'!BG56+'2024 Bdg vs Actual -OH'!BG56</f>
        <v>20600</v>
      </c>
      <c r="BA56" s="162">
        <v>30329</v>
      </c>
      <c r="BB56" s="152">
        <f t="shared" si="65"/>
        <v>-9729</v>
      </c>
      <c r="BC56" s="17"/>
      <c r="BG56" s="17">
        <f t="shared" si="66"/>
        <v>233000</v>
      </c>
      <c r="BH56" s="160">
        <f t="shared" si="67"/>
        <v>300797</v>
      </c>
      <c r="BI56" s="152">
        <f t="shared" si="68"/>
        <v>-67797</v>
      </c>
    </row>
    <row r="57" spans="1:61" x14ac:dyDescent="0.2">
      <c r="A57" s="21" t="s">
        <v>74</v>
      </c>
      <c r="B57" s="134"/>
      <c r="C57" s="45"/>
      <c r="D57" s="45"/>
      <c r="E57" s="45"/>
      <c r="F57" s="44">
        <f t="shared" si="55"/>
        <v>126100</v>
      </c>
      <c r="H57" s="43">
        <f>'2024  Bdg vs Actual-CA'!O57+'2024 Bdg vs Actual -OH'!O57</f>
        <v>12300</v>
      </c>
      <c r="I57" s="162">
        <v>6387</v>
      </c>
      <c r="J57" s="154">
        <f t="shared" si="69"/>
        <v>5913</v>
      </c>
      <c r="K57" s="43"/>
      <c r="L57" s="43">
        <f>+'2024  Bdg vs Actual-CA'!S57+'2024 Bdg vs Actual -OH'!S57</f>
        <v>12300</v>
      </c>
      <c r="M57" s="162">
        <v>7131</v>
      </c>
      <c r="N57" s="154">
        <f t="shared" si="70"/>
        <v>5169</v>
      </c>
      <c r="O57" s="43"/>
      <c r="P57" s="17">
        <f>ROUND(+'2024  Bdg vs Actual-CA'!W57+'2024 Bdg vs Actual -OH'!W57,-2)</f>
        <v>10000</v>
      </c>
      <c r="Q57" s="162">
        <v>5421</v>
      </c>
      <c r="R57" s="152">
        <f t="shared" si="56"/>
        <v>4579</v>
      </c>
      <c r="S57" s="43"/>
      <c r="T57" s="17">
        <f>+'2024  Bdg vs Actual-CA'!AA57+'2024 Bdg vs Actual -OH'!AA57</f>
        <v>10000</v>
      </c>
      <c r="U57" s="162">
        <v>7310</v>
      </c>
      <c r="V57" s="152">
        <f t="shared" si="57"/>
        <v>2690</v>
      </c>
      <c r="X57" s="17">
        <f>+'2024  Bdg vs Actual-CA'!AE57+'2024 Bdg vs Actual -OH'!AE57</f>
        <v>10000</v>
      </c>
      <c r="Y57" s="162">
        <v>7708</v>
      </c>
      <c r="Z57" s="152">
        <f t="shared" si="58"/>
        <v>2292</v>
      </c>
      <c r="AA57" s="17"/>
      <c r="AB57" s="17">
        <f>+'2024  Bdg vs Actual-CA'!AI57+'2024 Bdg vs Actual -OH'!AI57</f>
        <v>10500</v>
      </c>
      <c r="AC57" s="162">
        <v>8439</v>
      </c>
      <c r="AD57" s="152">
        <f t="shared" si="59"/>
        <v>2061</v>
      </c>
      <c r="AF57" s="17">
        <f>+'2024  Bdg vs Actual-CA'!AM57+'2024 Bdg vs Actual -OH'!AM57</f>
        <v>10500</v>
      </c>
      <c r="AG57" s="162">
        <v>6835</v>
      </c>
      <c r="AH57" s="152">
        <f t="shared" si="60"/>
        <v>3665</v>
      </c>
      <c r="AI57" s="17"/>
      <c r="AJ57" s="17">
        <f>+'2024  Bdg vs Actual-CA'!AQ57+'2024 Bdg vs Actual -OH'!AQ57</f>
        <v>10500</v>
      </c>
      <c r="AK57" s="162">
        <v>10690</v>
      </c>
      <c r="AL57" s="152">
        <f t="shared" si="61"/>
        <v>-190</v>
      </c>
      <c r="AM57" s="17"/>
      <c r="AN57" s="17">
        <f>+'2024  Bdg vs Actual-CA'!AU57+'2024 Bdg vs Actual -OH'!AU57</f>
        <v>10000</v>
      </c>
      <c r="AO57" s="162">
        <v>12177</v>
      </c>
      <c r="AP57" s="152">
        <f t="shared" si="62"/>
        <v>-2177</v>
      </c>
      <c r="AQ57" s="17"/>
      <c r="AR57" s="17">
        <f>+'2024  Bdg vs Actual-CA'!AY57+'2024 Bdg vs Actual -OH'!AY57</f>
        <v>10000</v>
      </c>
      <c r="AS57" s="162">
        <v>9305</v>
      </c>
      <c r="AT57" s="152">
        <f t="shared" si="63"/>
        <v>695</v>
      </c>
      <c r="AU57" s="17"/>
      <c r="AV57" s="17">
        <f>+'2024  Bdg vs Actual-CA'!BC57+'2024 Bdg vs Actual -OH'!BC57</f>
        <v>10000</v>
      </c>
      <c r="AW57" s="162">
        <v>4929</v>
      </c>
      <c r="AX57" s="152">
        <f t="shared" si="64"/>
        <v>5071</v>
      </c>
      <c r="AY57" s="17"/>
      <c r="AZ57" s="17">
        <f>+'2024  Bdg vs Actual-CA'!BG57+'2024 Bdg vs Actual -OH'!BG57</f>
        <v>10000</v>
      </c>
      <c r="BA57" s="162">
        <v>6232</v>
      </c>
      <c r="BB57" s="152">
        <f t="shared" si="65"/>
        <v>3768</v>
      </c>
      <c r="BC57" s="17"/>
      <c r="BG57" s="17">
        <f t="shared" si="66"/>
        <v>126100</v>
      </c>
      <c r="BH57" s="160">
        <f t="shared" si="67"/>
        <v>92564</v>
      </c>
      <c r="BI57" s="152">
        <f t="shared" si="68"/>
        <v>33536</v>
      </c>
    </row>
    <row r="58" spans="1:61" x14ac:dyDescent="0.2">
      <c r="A58" t="s">
        <v>75</v>
      </c>
      <c r="C58" s="44"/>
      <c r="D58" s="44"/>
      <c r="E58" s="44"/>
      <c r="F58" s="48">
        <f>SUM(F52:F57)</f>
        <v>968600</v>
      </c>
      <c r="G58" s="30"/>
      <c r="H58" s="61">
        <f t="shared" ref="H58:AZ58" si="71">SUM(H52:H57)</f>
        <v>77000</v>
      </c>
      <c r="I58" s="164">
        <f t="shared" si="71"/>
        <v>73481</v>
      </c>
      <c r="J58" s="156">
        <f>H58-I58</f>
        <v>3519</v>
      </c>
      <c r="K58" s="61"/>
      <c r="L58" s="61">
        <f t="shared" si="71"/>
        <v>78000</v>
      </c>
      <c r="M58" s="164">
        <f t="shared" ref="M58" si="72">SUM(M52:M57)</f>
        <v>82924</v>
      </c>
      <c r="N58" s="156">
        <f>L58-M58</f>
        <v>-4924</v>
      </c>
      <c r="O58" s="61"/>
      <c r="P58" s="28">
        <f t="shared" si="71"/>
        <v>77200</v>
      </c>
      <c r="Q58" s="164">
        <f t="shared" ref="Q58" si="73">SUM(Q52:Q57)</f>
        <v>82978</v>
      </c>
      <c r="R58" s="202">
        <f>P58-Q58</f>
        <v>-5778</v>
      </c>
      <c r="S58" s="61"/>
      <c r="T58" s="28">
        <f t="shared" si="71"/>
        <v>81200</v>
      </c>
      <c r="U58" s="164">
        <f>SUM(U52:U57)</f>
        <v>74156</v>
      </c>
      <c r="V58" s="202">
        <f t="shared" si="57"/>
        <v>7044</v>
      </c>
      <c r="W58" s="28"/>
      <c r="X58" s="28">
        <f t="shared" si="71"/>
        <v>81200</v>
      </c>
      <c r="Y58" s="164">
        <f>SUM(Y52:Y57)</f>
        <v>78998</v>
      </c>
      <c r="Z58" s="202">
        <f t="shared" si="58"/>
        <v>2202</v>
      </c>
      <c r="AA58" s="28"/>
      <c r="AB58" s="28">
        <f t="shared" si="71"/>
        <v>81700</v>
      </c>
      <c r="AC58" s="164">
        <f>SUM(AC52:AC57)</f>
        <v>74608</v>
      </c>
      <c r="AD58" s="202">
        <f t="shared" si="59"/>
        <v>7092</v>
      </c>
      <c r="AE58" s="28"/>
      <c r="AF58" s="28">
        <f t="shared" si="71"/>
        <v>81800</v>
      </c>
      <c r="AG58" s="164">
        <f>SUM(AG52:AG57)</f>
        <v>76486</v>
      </c>
      <c r="AH58" s="202">
        <f t="shared" si="60"/>
        <v>5314</v>
      </c>
      <c r="AI58" s="28"/>
      <c r="AJ58" s="28">
        <f t="shared" si="71"/>
        <v>82500</v>
      </c>
      <c r="AK58" s="164">
        <f>SUM(AK52:AK57)</f>
        <v>84634</v>
      </c>
      <c r="AL58" s="202">
        <f t="shared" si="61"/>
        <v>-2134</v>
      </c>
      <c r="AM58" s="28"/>
      <c r="AN58" s="28">
        <f t="shared" si="71"/>
        <v>82000</v>
      </c>
      <c r="AO58" s="164">
        <f>SUM(AO52:AO57)</f>
        <v>90104</v>
      </c>
      <c r="AP58" s="202">
        <f t="shared" si="62"/>
        <v>-8104</v>
      </c>
      <c r="AQ58" s="28"/>
      <c r="AR58" s="28">
        <f t="shared" si="71"/>
        <v>82000</v>
      </c>
      <c r="AS58" s="164">
        <f>SUM(AS52:AS57)</f>
        <v>79207</v>
      </c>
      <c r="AT58" s="202">
        <f t="shared" si="63"/>
        <v>2793</v>
      </c>
      <c r="AU58" s="28"/>
      <c r="AV58" s="28">
        <f t="shared" si="71"/>
        <v>82000</v>
      </c>
      <c r="AW58" s="164">
        <f>SUM(AW52:AW57)</f>
        <v>81596</v>
      </c>
      <c r="AX58" s="202">
        <f t="shared" ref="AX58" si="74">AV58-AW58</f>
        <v>404</v>
      </c>
      <c r="AY58" s="28"/>
      <c r="AZ58" s="28">
        <f t="shared" si="71"/>
        <v>82000</v>
      </c>
      <c r="BA58" s="164">
        <f>SUM(BA52:BA57)</f>
        <v>81562</v>
      </c>
      <c r="BB58" s="202">
        <f t="shared" si="65"/>
        <v>438</v>
      </c>
      <c r="BC58" s="28"/>
      <c r="BG58" s="28">
        <f t="shared" ref="BG58:BH58" si="75">SUM(BG52:BG57)</f>
        <v>968600</v>
      </c>
      <c r="BH58" s="164">
        <f t="shared" si="75"/>
        <v>960734</v>
      </c>
      <c r="BI58" s="202">
        <f>BG58-BH58</f>
        <v>7866</v>
      </c>
    </row>
    <row r="59" spans="1:61" x14ac:dyDescent="0.2">
      <c r="H59" s="43"/>
      <c r="I59" s="162"/>
      <c r="J59" s="154"/>
      <c r="K59" s="43"/>
      <c r="L59" s="43"/>
      <c r="M59" s="162"/>
      <c r="N59" s="154"/>
      <c r="O59" s="43"/>
      <c r="P59" s="43"/>
      <c r="Q59" s="43"/>
      <c r="R59" s="43"/>
      <c r="S59" s="43"/>
      <c r="T59" s="43"/>
      <c r="U59" s="43"/>
      <c r="V59" s="43"/>
      <c r="W59" s="43"/>
      <c r="X59" s="43"/>
      <c r="Y59" s="43"/>
      <c r="Z59" s="154"/>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G59" s="43"/>
      <c r="BH59" s="43"/>
      <c r="BI59" s="43"/>
    </row>
    <row r="60" spans="1:61" x14ac:dyDescent="0.2">
      <c r="H60" s="43"/>
      <c r="I60" s="162"/>
      <c r="J60" s="154"/>
      <c r="K60" s="43"/>
      <c r="L60" s="43"/>
      <c r="M60" s="162"/>
      <c r="N60" s="154"/>
      <c r="O60" s="43"/>
      <c r="P60" s="43"/>
      <c r="Q60" s="43"/>
      <c r="R60" s="43"/>
      <c r="S60" s="43"/>
      <c r="T60" s="43"/>
      <c r="U60" s="43"/>
      <c r="V60" s="43"/>
      <c r="W60" s="43"/>
      <c r="X60" s="43"/>
      <c r="Y60" s="43"/>
      <c r="Z60" s="154"/>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G60" s="43"/>
      <c r="BH60" s="43"/>
      <c r="BI60" s="43"/>
    </row>
    <row r="61" spans="1:61" x14ac:dyDescent="0.2">
      <c r="A61" s="24" t="s">
        <v>76</v>
      </c>
      <c r="B61" s="136"/>
      <c r="H61" s="43"/>
      <c r="I61" s="162"/>
      <c r="J61" s="154"/>
      <c r="K61" s="43"/>
      <c r="L61" s="43"/>
      <c r="M61" s="162"/>
      <c r="N61" s="154"/>
      <c r="O61" s="43"/>
      <c r="P61" s="43"/>
      <c r="Q61" s="43"/>
      <c r="R61" s="43"/>
      <c r="S61" s="43"/>
      <c r="T61" s="43"/>
      <c r="U61" s="43"/>
      <c r="V61" s="43"/>
      <c r="W61" s="43"/>
      <c r="X61" s="43"/>
      <c r="Y61" s="43"/>
      <c r="Z61" s="154"/>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G61" s="43"/>
      <c r="BH61" s="43"/>
      <c r="BI61" s="43"/>
    </row>
    <row r="62" spans="1:61" ht="34" x14ac:dyDescent="0.2">
      <c r="A62" t="s">
        <v>77</v>
      </c>
      <c r="C62" s="44"/>
      <c r="D62" s="44"/>
      <c r="E62" s="44"/>
      <c r="F62" s="44">
        <f>H62+L62+P62+T62+X62+AB62+AF62+AJ62+AN62+AR62+AV62+AZ62</f>
        <v>254800</v>
      </c>
      <c r="H62" s="43">
        <f>'2024  Bdg vs Actual-CA'!O62+'2024 Bdg vs Actual -OH'!O62</f>
        <v>23400</v>
      </c>
      <c r="I62" s="162">
        <f>15147-525-525-27-25-350</f>
        <v>13695</v>
      </c>
      <c r="J62" s="154">
        <f t="shared" ref="J62:J66" si="76">H62-I62</f>
        <v>9705</v>
      </c>
      <c r="K62" s="43"/>
      <c r="L62" s="43">
        <f>'2024  Bdg vs Actual-CA'!S62+'2024 Bdg vs Actual -OH'!S62</f>
        <v>23400</v>
      </c>
      <c r="M62" s="162">
        <v>3458</v>
      </c>
      <c r="N62" s="192">
        <f t="shared" ref="N62:N66" si="77">L62-M62</f>
        <v>19942</v>
      </c>
      <c r="O62" s="183" t="s">
        <v>78</v>
      </c>
      <c r="P62" s="17">
        <f>ROUND(+'2024  Bdg vs Actual-CA'!W62+'2024 Bdg vs Actual -OH'!W62,-2)</f>
        <v>20800</v>
      </c>
      <c r="Q62" s="162">
        <v>25620</v>
      </c>
      <c r="R62" s="152">
        <f t="shared" ref="R62:R66" si="78">P62-Q62</f>
        <v>-4820</v>
      </c>
      <c r="S62" s="43"/>
      <c r="T62" s="17">
        <f>'2024  Bdg vs Actual-CA'!AA62+'2024 Bdg vs Actual -OH'!AA62</f>
        <v>20800</v>
      </c>
      <c r="U62" s="162">
        <f>18193.41+18960</f>
        <v>37153.410000000003</v>
      </c>
      <c r="V62" s="152">
        <f>T62-U62</f>
        <v>-16353.410000000003</v>
      </c>
      <c r="X62" s="17">
        <f>'2024  Bdg vs Actual-CA'!AE62+'2024 Bdg vs Actual -OH'!AE62</f>
        <v>20800</v>
      </c>
      <c r="Y62" s="162">
        <v>12614.34</v>
      </c>
      <c r="Z62" s="152">
        <f>X62-Y62</f>
        <v>8185.66</v>
      </c>
      <c r="AA62" s="17"/>
      <c r="AB62" s="17">
        <f>'2024  Bdg vs Actual-CA'!AI62+'2024 Bdg vs Actual -OH'!AI62</f>
        <v>20800</v>
      </c>
      <c r="AC62" s="162">
        <f>21985-350-2531</f>
        <v>19104</v>
      </c>
      <c r="AD62" s="152">
        <f>AB62-AC62</f>
        <v>1696</v>
      </c>
      <c r="AF62" s="17">
        <f>'2024  Bdg vs Actual-CA'!AM62+'2024 Bdg vs Actual -OH'!AM62</f>
        <v>20800</v>
      </c>
      <c r="AG62" s="162">
        <v>30131</v>
      </c>
      <c r="AH62" s="152">
        <f>AF62-AG62</f>
        <v>-9331</v>
      </c>
      <c r="AI62" s="17"/>
      <c r="AJ62" s="17">
        <f>'2024  Bdg vs Actual-CA'!AQ62+'2024 Bdg vs Actual -OH'!AQ62</f>
        <v>20800</v>
      </c>
      <c r="AK62" s="162">
        <f>39581-350-860</f>
        <v>38371</v>
      </c>
      <c r="AL62" s="152">
        <f>AJ62-AK62</f>
        <v>-17571</v>
      </c>
      <c r="AM62" s="17"/>
      <c r="AN62" s="17">
        <f>'2024  Bdg vs Actual-CA'!AU62+'2024 Bdg vs Actual -OH'!AU62</f>
        <v>20800</v>
      </c>
      <c r="AO62" s="162">
        <v>30771</v>
      </c>
      <c r="AP62" s="152">
        <f>AN62-AO62</f>
        <v>-9971</v>
      </c>
      <c r="AQ62" s="17"/>
      <c r="AR62" s="17">
        <f>'2024  Bdg vs Actual-CA'!AY62+'2024 Bdg vs Actual -OH'!AY62</f>
        <v>20800</v>
      </c>
      <c r="AS62" s="162">
        <v>52423.78</v>
      </c>
      <c r="AT62" s="152">
        <f>AR62-AS62</f>
        <v>-31623.78</v>
      </c>
      <c r="AU62" s="17"/>
      <c r="AV62" s="17">
        <f>'2024  Bdg vs Actual-CA'!BC62+'2024 Bdg vs Actual -OH'!BC62</f>
        <v>20800</v>
      </c>
      <c r="AW62" s="17">
        <v>44520.06</v>
      </c>
      <c r="AX62" s="152">
        <f>AV62-AW62</f>
        <v>-23720.059999999998</v>
      </c>
      <c r="AY62" s="17"/>
      <c r="AZ62" s="17">
        <f>'2024  Bdg vs Actual-CA'!BG62+'2024 Bdg vs Actual -OH'!BG62</f>
        <v>20800</v>
      </c>
      <c r="BA62" s="17">
        <f>15870.27+25000</f>
        <v>40870.270000000004</v>
      </c>
      <c r="BB62" s="152">
        <f>AZ62-BA62</f>
        <v>-20070.270000000004</v>
      </c>
      <c r="BC62" s="17"/>
      <c r="BG62" s="17">
        <f t="shared" ref="BG62:BG65" si="79">+P62+L62+H62+T62+X62+AB62+AF62+AJ62+AN62+AR62+AV62+AZ62</f>
        <v>254800</v>
      </c>
      <c r="BH62" s="160">
        <f t="shared" ref="BH62:BH65" si="80">+Q62+M62+I62+U62+Y62+AC62+AG62+AK62+AO62+AS62+AW62+BA62</f>
        <v>348731.86000000004</v>
      </c>
      <c r="BI62" s="152">
        <f t="shared" ref="BI62:BI66" si="81">BG62-BH62</f>
        <v>-93931.860000000044</v>
      </c>
    </row>
    <row r="63" spans="1:61" x14ac:dyDescent="0.2">
      <c r="A63" t="s">
        <v>79</v>
      </c>
      <c r="C63" s="44"/>
      <c r="D63" s="44"/>
      <c r="E63" s="44"/>
      <c r="F63" s="44">
        <f>H63+L63+P63+T63+X63+AB63+AF63+AJ63+AN63+AR63+AV63+AZ63</f>
        <v>13100</v>
      </c>
      <c r="H63" s="17">
        <f>'2024  Bdg vs Actual-CA'!O63+'2024 Bdg vs Actual -OH'!O63</f>
        <v>0</v>
      </c>
      <c r="I63" s="162">
        <v>350</v>
      </c>
      <c r="J63" s="154">
        <f t="shared" si="76"/>
        <v>-350</v>
      </c>
      <c r="K63" s="17"/>
      <c r="L63" s="17">
        <f>'2024  Bdg vs Actual-CA'!S63+'2024 Bdg vs Actual -OH'!S63</f>
        <v>0</v>
      </c>
      <c r="M63" s="162"/>
      <c r="N63" s="154">
        <f t="shared" si="77"/>
        <v>0</v>
      </c>
      <c r="P63" s="17">
        <f>ROUND(+'2024  Bdg vs Actual-CA'!W63+'2024 Bdg vs Actual -OH'!W63,-2)</f>
        <v>6800</v>
      </c>
      <c r="Q63" s="162"/>
      <c r="R63" s="152">
        <f t="shared" si="78"/>
        <v>6800</v>
      </c>
      <c r="S63" s="43"/>
      <c r="T63" s="17">
        <f>'2024  Bdg vs Actual-CA'!AA63+'2024 Bdg vs Actual -OH'!AA63</f>
        <v>6300</v>
      </c>
      <c r="U63" s="162">
        <v>23069</v>
      </c>
      <c r="V63" s="152">
        <f>T63-U63</f>
        <v>-16769</v>
      </c>
      <c r="X63" s="17">
        <f>'2024  Bdg vs Actual-CA'!AE63+'2024 Bdg vs Actual -OH'!AE63</f>
        <v>0</v>
      </c>
      <c r="Y63" s="162">
        <v>350</v>
      </c>
      <c r="Z63" s="152">
        <f>X63-Y63</f>
        <v>-350</v>
      </c>
      <c r="AA63" s="17"/>
      <c r="AB63" s="17">
        <f>'2024  Bdg vs Actual-CA'!AI63+'2024 Bdg vs Actual -OH'!AI63</f>
        <v>0</v>
      </c>
      <c r="AC63" s="162">
        <v>350</v>
      </c>
      <c r="AD63" s="152">
        <f>AB63-AC63</f>
        <v>-350</v>
      </c>
      <c r="AF63" s="17">
        <f>'2024  Bdg vs Actual-CA'!AM63+'2024 Bdg vs Actual -OH'!AM63</f>
        <v>0</v>
      </c>
      <c r="AG63" s="162">
        <v>350</v>
      </c>
      <c r="AH63" s="152">
        <f>AF63-AG63</f>
        <v>-350</v>
      </c>
      <c r="AI63" s="17"/>
      <c r="AJ63" s="17">
        <f>'2024  Bdg vs Actual-CA'!AQ63+'2024 Bdg vs Actual -OH'!AQ63</f>
        <v>0</v>
      </c>
      <c r="AK63" s="162">
        <v>350</v>
      </c>
      <c r="AL63" s="152">
        <f>AJ63-AK63</f>
        <v>-350</v>
      </c>
      <c r="AM63" s="17"/>
      <c r="AN63" s="17">
        <f>'2024  Bdg vs Actual-CA'!AU63+'2024 Bdg vs Actual -OH'!AU63</f>
        <v>0</v>
      </c>
      <c r="AO63" s="162">
        <v>350</v>
      </c>
      <c r="AP63" s="152">
        <f>AN63-AO63</f>
        <v>-350</v>
      </c>
      <c r="AQ63" s="17"/>
      <c r="AR63" s="17">
        <f>'2024  Bdg vs Actual-CA'!AY63+'2024 Bdg vs Actual -OH'!AY63</f>
        <v>0</v>
      </c>
      <c r="AS63" s="162">
        <v>400</v>
      </c>
      <c r="AT63" s="152">
        <f>AR63-AS63</f>
        <v>-400</v>
      </c>
      <c r="AU63" s="17"/>
      <c r="AV63" s="17">
        <f>'2024  Bdg vs Actual-CA'!BC63+'2024 Bdg vs Actual -OH'!BC63</f>
        <v>0</v>
      </c>
      <c r="AW63" s="17">
        <v>400</v>
      </c>
      <c r="AX63" s="152">
        <f>AV63-AW63</f>
        <v>-400</v>
      </c>
      <c r="AY63" s="17"/>
      <c r="AZ63" s="17">
        <f>'2024  Bdg vs Actual-CA'!BG63+'2024 Bdg vs Actual -OH'!BG63</f>
        <v>0</v>
      </c>
      <c r="BA63" s="17">
        <v>400</v>
      </c>
      <c r="BB63" s="152">
        <f>AZ63-BA63</f>
        <v>-400</v>
      </c>
      <c r="BC63" s="17"/>
      <c r="BG63" s="17">
        <f t="shared" si="79"/>
        <v>13100</v>
      </c>
      <c r="BH63" s="160">
        <f t="shared" si="80"/>
        <v>26369</v>
      </c>
      <c r="BI63" s="152">
        <f t="shared" si="81"/>
        <v>-13269</v>
      </c>
    </row>
    <row r="64" spans="1:61" x14ac:dyDescent="0.2">
      <c r="A64" t="s">
        <v>80</v>
      </c>
      <c r="C64" s="44"/>
      <c r="D64" s="44"/>
      <c r="E64" s="44"/>
      <c r="F64" s="44">
        <f>H64+L64+P64+T64+X64+AB64+AF64+AJ64+AN64+AR64+AV64+AZ64</f>
        <v>8500</v>
      </c>
      <c r="H64" s="43">
        <f>'2024  Bdg vs Actual-CA'!O64+'2024 Bdg vs Actual -OH'!O64</f>
        <v>700</v>
      </c>
      <c r="I64" s="162">
        <f>525+525+25+27</f>
        <v>1102</v>
      </c>
      <c r="J64" s="154">
        <f t="shared" si="76"/>
        <v>-402</v>
      </c>
      <c r="K64" s="43"/>
      <c r="L64" s="43">
        <f>'2024  Bdg vs Actual-CA'!S64+'2024 Bdg vs Actual -OH'!S64</f>
        <v>0</v>
      </c>
      <c r="M64" s="162"/>
      <c r="N64" s="154">
        <f t="shared" si="77"/>
        <v>0</v>
      </c>
      <c r="O64" s="43"/>
      <c r="P64" s="17">
        <f>ROUND(+'2024  Bdg vs Actual-CA'!W64+'2024 Bdg vs Actual -OH'!W64,-2)</f>
        <v>1400</v>
      </c>
      <c r="Q64" s="162"/>
      <c r="R64" s="152">
        <f t="shared" si="78"/>
        <v>1400</v>
      </c>
      <c r="S64" s="43"/>
      <c r="T64" s="17">
        <f>'2024  Bdg vs Actual-CA'!AA64+'2024 Bdg vs Actual -OH'!AA64</f>
        <v>0</v>
      </c>
      <c r="U64" s="162">
        <v>110.18</v>
      </c>
      <c r="V64" s="152">
        <f>T64-U64</f>
        <v>-110.18</v>
      </c>
      <c r="X64" s="17">
        <f>'2024  Bdg vs Actual-CA'!AE64+'2024 Bdg vs Actual -OH'!AE64</f>
        <v>900</v>
      </c>
      <c r="Y64" s="162">
        <v>671.89</v>
      </c>
      <c r="Z64" s="152">
        <f>X64-Y64</f>
        <v>228.11</v>
      </c>
      <c r="AA64" s="17"/>
      <c r="AB64" s="17">
        <f>'2024  Bdg vs Actual-CA'!AI64+'2024 Bdg vs Actual -OH'!AI64</f>
        <v>900</v>
      </c>
      <c r="AC64" s="259">
        <v>2531.23</v>
      </c>
      <c r="AD64" s="152">
        <f>AB64-AC64</f>
        <v>-1631.23</v>
      </c>
      <c r="AF64" s="17">
        <f>'2024  Bdg vs Actual-CA'!AM64+'2024 Bdg vs Actual -OH'!AM64</f>
        <v>0</v>
      </c>
      <c r="AG64" s="162">
        <v>2275</v>
      </c>
      <c r="AH64" s="152">
        <f>AF64-AG64</f>
        <v>-2275</v>
      </c>
      <c r="AI64" s="17"/>
      <c r="AJ64" s="17">
        <f>'2024  Bdg vs Actual-CA'!AQ64+'2024 Bdg vs Actual -OH'!AQ64</f>
        <v>1900</v>
      </c>
      <c r="AK64" s="162">
        <v>860</v>
      </c>
      <c r="AL64" s="152">
        <f>AJ64-AK64</f>
        <v>1040</v>
      </c>
      <c r="AM64" s="17"/>
      <c r="AN64" s="17">
        <f>'2024  Bdg vs Actual-CA'!AU64+'2024 Bdg vs Actual -OH'!AU64</f>
        <v>0</v>
      </c>
      <c r="AO64" s="162">
        <v>1643.5</v>
      </c>
      <c r="AP64" s="152">
        <f>AN64-AO64</f>
        <v>-1643.5</v>
      </c>
      <c r="AQ64" s="17"/>
      <c r="AR64" s="17">
        <f>'2024  Bdg vs Actual-CA'!AY64+'2024 Bdg vs Actual -OH'!AY64</f>
        <v>900</v>
      </c>
      <c r="AS64" s="162">
        <v>20</v>
      </c>
      <c r="AT64" s="152">
        <f>AR64-AS64</f>
        <v>880</v>
      </c>
      <c r="AU64" s="17"/>
      <c r="AV64" s="17">
        <f>'2024  Bdg vs Actual-CA'!BC64+'2024 Bdg vs Actual -OH'!BC64</f>
        <v>900</v>
      </c>
      <c r="AW64" s="17">
        <v>1102.6199999999999</v>
      </c>
      <c r="AX64" s="152">
        <f>AV64-AW64</f>
        <v>-202.61999999999989</v>
      </c>
      <c r="AY64" s="17"/>
      <c r="AZ64" s="17">
        <f>'2024  Bdg vs Actual-CA'!BG64+'2024 Bdg vs Actual -OH'!BG64</f>
        <v>900</v>
      </c>
      <c r="BA64" s="17">
        <v>1140</v>
      </c>
      <c r="BB64" s="152">
        <f>AZ64-BA64</f>
        <v>-240</v>
      </c>
      <c r="BC64" s="17"/>
      <c r="BG64" s="17">
        <f t="shared" si="79"/>
        <v>8500</v>
      </c>
      <c r="BH64" s="160">
        <f t="shared" si="80"/>
        <v>11456.419999999998</v>
      </c>
      <c r="BI64" s="152">
        <f t="shared" si="81"/>
        <v>-2956.4199999999983</v>
      </c>
    </row>
    <row r="65" spans="1:61" x14ac:dyDescent="0.2">
      <c r="A65" s="21" t="s">
        <v>81</v>
      </c>
      <c r="B65" s="134"/>
      <c r="C65" s="45"/>
      <c r="D65" s="45"/>
      <c r="E65" s="45"/>
      <c r="F65" s="44">
        <f>H65+L65+P65+T65+X65+AB65+AF65+AJ65+AN65+AR65+AV65+AZ65</f>
        <v>33000</v>
      </c>
      <c r="H65" s="17">
        <f>'2024  Bdg vs Actual-CA'!O65+'2024 Bdg vs Actual -OH'!O65</f>
        <v>0</v>
      </c>
      <c r="I65" s="162"/>
      <c r="J65" s="154">
        <f t="shared" si="76"/>
        <v>0</v>
      </c>
      <c r="K65" s="17"/>
      <c r="L65" s="17">
        <f>'2024  Bdg vs Actual-CA'!S65+'2024 Bdg vs Actual -OH'!S65</f>
        <v>0</v>
      </c>
      <c r="M65" s="162"/>
      <c r="N65" s="154">
        <f t="shared" si="77"/>
        <v>0</v>
      </c>
      <c r="P65" s="66">
        <f>ROUND(+'2024  Bdg vs Actual-CA'!W65+'2024 Bdg vs Actual -OH'!W65,-2)</f>
        <v>0</v>
      </c>
      <c r="Q65" s="162"/>
      <c r="R65" s="152">
        <f t="shared" si="78"/>
        <v>0</v>
      </c>
      <c r="S65" s="17"/>
      <c r="T65" s="17">
        <f>'2024  Bdg vs Actual-CA'!AA65+'2024 Bdg vs Actual -OH'!AA65</f>
        <v>0</v>
      </c>
      <c r="U65" s="162">
        <v>7500</v>
      </c>
      <c r="V65" s="152">
        <f>T65-U65</f>
        <v>-7500</v>
      </c>
      <c r="X65" s="17">
        <f>'2024  Bdg vs Actual-CA'!AE65+'2024 Bdg vs Actual -OH'!AE65</f>
        <v>0</v>
      </c>
      <c r="Y65" s="162"/>
      <c r="Z65" s="152">
        <f>X65-Y65</f>
        <v>0</v>
      </c>
      <c r="AA65" s="17"/>
      <c r="AB65" s="17">
        <f>'2024  Bdg vs Actual-CA'!AI65+'2024 Bdg vs Actual -OH'!AI65</f>
        <v>0</v>
      </c>
      <c r="AC65" s="162"/>
      <c r="AF65" s="17">
        <f>'2024  Bdg vs Actual-CA'!AM65+'2024 Bdg vs Actual -OH'!AM65</f>
        <v>0</v>
      </c>
      <c r="AG65" s="162"/>
      <c r="AH65" s="17"/>
      <c r="AI65" s="17"/>
      <c r="AJ65" s="17">
        <f>'2024  Bdg vs Actual-CA'!AQ65+'2024 Bdg vs Actual -OH'!AQ65</f>
        <v>0</v>
      </c>
      <c r="AK65" s="162"/>
      <c r="AL65" s="17"/>
      <c r="AM65" s="17"/>
      <c r="AN65" s="17">
        <f>'2024  Bdg vs Actual-CA'!AU65+'2024 Bdg vs Actual -OH'!AU65</f>
        <v>33000</v>
      </c>
      <c r="AO65" s="162"/>
      <c r="AP65" s="17"/>
      <c r="AQ65" s="17"/>
      <c r="AR65" s="17">
        <f>'2024  Bdg vs Actual-CA'!AY65+'2024 Bdg vs Actual -OH'!AY65</f>
        <v>0</v>
      </c>
      <c r="AS65" s="162"/>
      <c r="AT65" s="17"/>
      <c r="AU65" s="17"/>
      <c r="AV65" s="17">
        <f>'2024  Bdg vs Actual-CA'!BC65+'2024 Bdg vs Actual -OH'!BC65</f>
        <v>0</v>
      </c>
      <c r="AW65" s="17"/>
      <c r="AX65" s="152">
        <f>AV65-AW65</f>
        <v>0</v>
      </c>
      <c r="AY65" s="17"/>
      <c r="AZ65" s="17">
        <f>'2024  Bdg vs Actual-CA'!BG65+'2024 Bdg vs Actual -OH'!BG65</f>
        <v>0</v>
      </c>
      <c r="BA65" s="17"/>
      <c r="BB65" s="152">
        <f>AZ65-BA65</f>
        <v>0</v>
      </c>
      <c r="BC65" s="17"/>
      <c r="BG65" s="17">
        <f t="shared" si="79"/>
        <v>33000</v>
      </c>
      <c r="BH65" s="160">
        <f t="shared" si="80"/>
        <v>7500</v>
      </c>
      <c r="BI65" s="152">
        <f t="shared" si="81"/>
        <v>25500</v>
      </c>
    </row>
    <row r="66" spans="1:61" x14ac:dyDescent="0.2">
      <c r="A66" t="s">
        <v>82</v>
      </c>
      <c r="C66" s="44"/>
      <c r="D66" s="44"/>
      <c r="E66" s="44"/>
      <c r="F66" s="48">
        <f>SUM(F62:F65)</f>
        <v>309400</v>
      </c>
      <c r="G66" s="30"/>
      <c r="H66" s="61">
        <f t="shared" ref="H66:AZ66" si="82">SUM(H62:H65)</f>
        <v>24100</v>
      </c>
      <c r="I66" s="164">
        <f t="shared" si="82"/>
        <v>15147</v>
      </c>
      <c r="J66" s="156">
        <f t="shared" si="76"/>
        <v>8953</v>
      </c>
      <c r="K66" s="61"/>
      <c r="L66" s="61">
        <f t="shared" si="82"/>
        <v>23400</v>
      </c>
      <c r="M66" s="164">
        <f t="shared" ref="M66" si="83">SUM(M62:M65)</f>
        <v>3458</v>
      </c>
      <c r="N66" s="156">
        <f t="shared" si="77"/>
        <v>19942</v>
      </c>
      <c r="O66" s="61"/>
      <c r="P66" s="28">
        <f t="shared" si="82"/>
        <v>29000</v>
      </c>
      <c r="Q66" s="164">
        <f t="shared" si="82"/>
        <v>25620</v>
      </c>
      <c r="R66" s="156">
        <f t="shared" si="78"/>
        <v>3380</v>
      </c>
      <c r="S66" s="61"/>
      <c r="T66" s="28">
        <f t="shared" si="82"/>
        <v>27100</v>
      </c>
      <c r="U66" s="164">
        <f>SUM(U62:U65)</f>
        <v>67832.59</v>
      </c>
      <c r="V66" s="156">
        <f>T66-U66</f>
        <v>-40732.589999999997</v>
      </c>
      <c r="W66" s="28"/>
      <c r="X66" s="28">
        <f t="shared" si="82"/>
        <v>21700</v>
      </c>
      <c r="Y66" s="164">
        <f>SUM(Y62:Y65)</f>
        <v>13636.23</v>
      </c>
      <c r="Z66" s="202">
        <f>X66-Y66</f>
        <v>8063.77</v>
      </c>
      <c r="AA66" s="28"/>
      <c r="AB66" s="28">
        <f t="shared" si="82"/>
        <v>21700</v>
      </c>
      <c r="AC66" s="164">
        <f>SUM(AC62:AC65)</f>
        <v>21985.23</v>
      </c>
      <c r="AD66" s="202">
        <f>AB66-AC66</f>
        <v>-285.22999999999956</v>
      </c>
      <c r="AE66" s="28"/>
      <c r="AF66" s="28">
        <f t="shared" si="82"/>
        <v>20800</v>
      </c>
      <c r="AG66" s="164">
        <f>SUM(AG62:AG65)</f>
        <v>32756</v>
      </c>
      <c r="AH66" s="202">
        <f>AF66-AG66</f>
        <v>-11956</v>
      </c>
      <c r="AI66" s="28"/>
      <c r="AJ66" s="28">
        <f t="shared" si="82"/>
        <v>22700</v>
      </c>
      <c r="AK66" s="164">
        <f>SUM(AK62:AK65)</f>
        <v>39581</v>
      </c>
      <c r="AL66" s="202">
        <f>AJ66-AK66</f>
        <v>-16881</v>
      </c>
      <c r="AM66" s="28"/>
      <c r="AN66" s="28">
        <f t="shared" si="82"/>
        <v>53800</v>
      </c>
      <c r="AO66" s="164">
        <f>SUM(AO62:AO65)</f>
        <v>32764.5</v>
      </c>
      <c r="AP66" s="202">
        <f>AN66-AO66</f>
        <v>21035.5</v>
      </c>
      <c r="AQ66" s="28"/>
      <c r="AR66" s="28">
        <f t="shared" si="82"/>
        <v>21700</v>
      </c>
      <c r="AS66" s="164">
        <f>SUM(AS62:AS65)</f>
        <v>52843.78</v>
      </c>
      <c r="AT66" s="202">
        <f>AR66-AS66</f>
        <v>-31143.78</v>
      </c>
      <c r="AU66" s="28"/>
      <c r="AV66" s="28">
        <f t="shared" si="82"/>
        <v>21700</v>
      </c>
      <c r="AW66" s="164">
        <f>SUM(AW62:AW65)</f>
        <v>46022.68</v>
      </c>
      <c r="AX66" s="202">
        <f>AV66-AW66</f>
        <v>-24322.68</v>
      </c>
      <c r="AY66" s="28"/>
      <c r="AZ66" s="28">
        <f t="shared" si="82"/>
        <v>21700</v>
      </c>
      <c r="BA66" s="164">
        <f>SUM(BA62:BA65)</f>
        <v>42410.270000000004</v>
      </c>
      <c r="BB66" s="202">
        <f>AZ66-BA66</f>
        <v>-20710.270000000004</v>
      </c>
      <c r="BC66" s="28"/>
      <c r="BG66" s="28">
        <f t="shared" ref="BG66:BH66" si="84">SUM(BG62:BG65)</f>
        <v>309400</v>
      </c>
      <c r="BH66" s="164">
        <f t="shared" si="84"/>
        <v>394057.28</v>
      </c>
      <c r="BI66" s="156">
        <f t="shared" si="81"/>
        <v>-84657.280000000028</v>
      </c>
    </row>
    <row r="67" spans="1:61" x14ac:dyDescent="0.2">
      <c r="C67" s="44"/>
      <c r="D67" s="44"/>
      <c r="E67" s="44"/>
      <c r="F67" s="44"/>
      <c r="H67" s="43"/>
      <c r="I67" s="162"/>
      <c r="J67" s="154"/>
      <c r="K67" s="43"/>
      <c r="L67" s="43"/>
      <c r="M67" s="162"/>
      <c r="N67" s="154"/>
      <c r="O67" s="43"/>
      <c r="P67" s="17"/>
      <c r="Q67" s="43"/>
      <c r="R67" s="43"/>
      <c r="S67" s="43"/>
      <c r="T67" s="43"/>
      <c r="U67" s="43"/>
      <c r="V67" s="43"/>
      <c r="W67" s="43"/>
      <c r="X67" s="43"/>
      <c r="Y67" s="43"/>
      <c r="Z67" s="154"/>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G67" s="17"/>
      <c r="BH67" s="43"/>
      <c r="BI67" s="43"/>
    </row>
    <row r="68" spans="1:61" x14ac:dyDescent="0.2">
      <c r="A68" s="24" t="s">
        <v>83</v>
      </c>
      <c r="B68" s="136"/>
      <c r="C68" s="44"/>
      <c r="D68" s="44"/>
      <c r="E68" s="44"/>
      <c r="F68" s="44"/>
      <c r="H68" s="43"/>
      <c r="I68" s="162"/>
      <c r="J68" s="154"/>
      <c r="K68" s="43"/>
      <c r="L68" s="43"/>
      <c r="M68" s="162"/>
      <c r="N68" s="154"/>
      <c r="O68" s="43"/>
      <c r="P68" s="17"/>
      <c r="Q68" s="43"/>
      <c r="R68" s="43"/>
      <c r="S68" s="43"/>
      <c r="T68" s="43"/>
      <c r="U68" s="43"/>
      <c r="V68" s="43"/>
      <c r="W68" s="43"/>
      <c r="X68" s="43"/>
      <c r="Y68" s="43"/>
      <c r="Z68" s="154"/>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G68" s="17"/>
      <c r="BH68" s="43"/>
      <c r="BI68" s="43"/>
    </row>
    <row r="69" spans="1:61" x14ac:dyDescent="0.2">
      <c r="A69" t="s">
        <v>84</v>
      </c>
      <c r="C69" s="44"/>
      <c r="D69" s="44"/>
      <c r="E69" s="44"/>
      <c r="F69" s="44">
        <f>H69+L69+P69+T69+X69+AB69+AF69+AJ69+AN69+AR69+AV69+AZ69</f>
        <v>35100</v>
      </c>
      <c r="H69" s="43">
        <f>'2024  Bdg vs Actual-CA'!O69+'2024 Bdg vs Actual -OH'!O69</f>
        <v>1000</v>
      </c>
      <c r="I69" s="162">
        <v>1000</v>
      </c>
      <c r="J69" s="154">
        <f t="shared" ref="J69:J72" si="85">H69-I69</f>
        <v>0</v>
      </c>
      <c r="K69" s="43"/>
      <c r="L69" s="43">
        <f>'2024  Bdg vs Actual-CA'!S69+'2024 Bdg vs Actual -OH'!S69</f>
        <v>1500</v>
      </c>
      <c r="M69" s="162">
        <v>1250</v>
      </c>
      <c r="N69" s="154">
        <f t="shared" ref="N69:N72" si="86">L69-M69</f>
        <v>250</v>
      </c>
      <c r="O69" s="43"/>
      <c r="P69" s="17">
        <f>ROUND(+'2024  Bdg vs Actual-CA'!W69+'2024 Bdg vs Actual -OH'!W69,-2)</f>
        <v>2300</v>
      </c>
      <c r="Q69" s="162">
        <v>6181</v>
      </c>
      <c r="R69" s="152">
        <f t="shared" ref="R69:R72" si="87">P69-Q69</f>
        <v>-3881</v>
      </c>
      <c r="S69" s="43"/>
      <c r="T69" s="17">
        <f>'2024  Bdg vs Actual-CA'!AA69+'2024 Bdg vs Actual -OH'!AA69</f>
        <v>5100</v>
      </c>
      <c r="U69" s="162">
        <v>1250</v>
      </c>
      <c r="V69" s="152">
        <f>T69-U69</f>
        <v>3850</v>
      </c>
      <c r="X69" s="17">
        <f>'2024  Bdg vs Actual-CA'!AE69+'2024 Bdg vs Actual -OH'!AE69</f>
        <v>3000</v>
      </c>
      <c r="Y69" s="162">
        <v>3613</v>
      </c>
      <c r="Z69" s="152">
        <f>X69-Y69</f>
        <v>-613</v>
      </c>
      <c r="AA69" s="17"/>
      <c r="AB69" s="17">
        <f>'2024  Bdg vs Actual-CA'!AI69+'2024 Bdg vs Actual -OH'!AI69</f>
        <v>5100</v>
      </c>
      <c r="AC69" s="162">
        <v>1000</v>
      </c>
      <c r="AD69" s="152">
        <f>AB69-AC69</f>
        <v>4100</v>
      </c>
      <c r="AF69" s="17">
        <f>'2024  Bdg vs Actual-CA'!AM69+'2024 Bdg vs Actual -OH'!AM69</f>
        <v>2000</v>
      </c>
      <c r="AG69" s="162">
        <v>11000</v>
      </c>
      <c r="AH69" s="152">
        <f>AF69-AG69</f>
        <v>-9000</v>
      </c>
      <c r="AI69" s="17"/>
      <c r="AJ69" s="17">
        <f>'2024  Bdg vs Actual-CA'!AQ69+'2024 Bdg vs Actual -OH'!AQ69</f>
        <v>2000</v>
      </c>
      <c r="AK69" s="17">
        <v>6098</v>
      </c>
      <c r="AL69" s="152">
        <f>AJ69-AK69</f>
        <v>-4098</v>
      </c>
      <c r="AM69" s="17"/>
      <c r="AN69" s="17">
        <f>'2024  Bdg vs Actual-CA'!AU69+'2024 Bdg vs Actual -OH'!AU69</f>
        <v>2000</v>
      </c>
      <c r="AO69" s="17">
        <v>3700</v>
      </c>
      <c r="AP69" s="152">
        <f>AN69-AO69</f>
        <v>-1700</v>
      </c>
      <c r="AQ69" s="17"/>
      <c r="AR69" s="17">
        <f>'2024  Bdg vs Actual-CA'!AY69+'2024 Bdg vs Actual -OH'!AY69</f>
        <v>4000</v>
      </c>
      <c r="AS69" s="17">
        <v>1180</v>
      </c>
      <c r="AT69" s="152">
        <f>AR69-AS69</f>
        <v>2820</v>
      </c>
      <c r="AU69" s="17"/>
      <c r="AV69" s="17">
        <f>'2024  Bdg vs Actual-CA'!BC69+'2024 Bdg vs Actual -OH'!BC69</f>
        <v>2000</v>
      </c>
      <c r="AW69" s="162">
        <v>1000</v>
      </c>
      <c r="AX69" s="152">
        <f>AV69-AW69</f>
        <v>1000</v>
      </c>
      <c r="AY69" s="17"/>
      <c r="AZ69" s="17">
        <f>'2024  Bdg vs Actual-CA'!BG69+'2024 Bdg vs Actual -OH'!BG69</f>
        <v>5100</v>
      </c>
      <c r="BA69" s="162">
        <v>1100</v>
      </c>
      <c r="BB69" s="152">
        <f>AZ69-BA69</f>
        <v>4000</v>
      </c>
      <c r="BC69" s="17"/>
      <c r="BG69" s="17">
        <f t="shared" ref="BG69:BG71" si="88">+P69+L69+H69+T69+X69+AB69+AF69+AJ69+AN69+AR69+AV69+AZ69</f>
        <v>35100</v>
      </c>
      <c r="BH69" s="160">
        <f t="shared" ref="BH69:BH71" si="89">+Q69+M69+I69+U69+Y69+AC69+AG69+AK69+AO69+AS69+AW69+BA69</f>
        <v>38372</v>
      </c>
      <c r="BI69" s="152">
        <f t="shared" ref="BI69:BI72" si="90">BG69-BH69</f>
        <v>-3272</v>
      </c>
    </row>
    <row r="70" spans="1:61" ht="34" x14ac:dyDescent="0.2">
      <c r="A70" s="42" t="s">
        <v>85</v>
      </c>
      <c r="B70" s="138"/>
      <c r="C70" s="44"/>
      <c r="D70" s="44"/>
      <c r="E70" s="44"/>
      <c r="F70" s="44">
        <f>H70+L70+P70+T70+X70+AB70+AF70+AJ70+AN70+AR70+AV70+AZ70</f>
        <v>97411.9</v>
      </c>
      <c r="H70" s="43">
        <f>'2024  Bdg vs Actual-CA'!O70+'2024 Bdg vs Actual -OH'!O70</f>
        <v>7200</v>
      </c>
      <c r="I70" s="162">
        <v>9098</v>
      </c>
      <c r="J70" s="154">
        <f t="shared" si="85"/>
        <v>-1898</v>
      </c>
      <c r="K70" s="43"/>
      <c r="L70" s="43">
        <v>7211.9000000000005</v>
      </c>
      <c r="M70" s="162">
        <v>10745</v>
      </c>
      <c r="N70" s="154">
        <f t="shared" si="86"/>
        <v>-3533.0999999999995</v>
      </c>
      <c r="O70" s="183" t="s">
        <v>86</v>
      </c>
      <c r="P70" s="17">
        <f>ROUND(+'2024  Bdg vs Actual-CA'!W70+'2024 Bdg vs Actual -OH'!W70,-2)</f>
        <v>8300</v>
      </c>
      <c r="Q70" s="162">
        <v>8518</v>
      </c>
      <c r="R70" s="152">
        <f t="shared" si="87"/>
        <v>-218</v>
      </c>
      <c r="S70" s="43"/>
      <c r="T70" s="17">
        <f>'2024  Bdg vs Actual-CA'!AA70+'2024 Bdg vs Actual -OH'!AA70</f>
        <v>8300</v>
      </c>
      <c r="U70" s="162">
        <v>6314</v>
      </c>
      <c r="V70" s="152">
        <f>T70-U70</f>
        <v>1986</v>
      </c>
      <c r="X70" s="17">
        <f>'2024  Bdg vs Actual-CA'!AE70+'2024 Bdg vs Actual -OH'!AE70</f>
        <v>8300</v>
      </c>
      <c r="Y70" s="162">
        <v>15860</v>
      </c>
      <c r="Z70" s="152">
        <f>X70-Y70</f>
        <v>-7560</v>
      </c>
      <c r="AA70" s="17"/>
      <c r="AB70" s="17">
        <f>'2024  Bdg vs Actual-CA'!AI70+'2024 Bdg vs Actual -OH'!AI70</f>
        <v>8300</v>
      </c>
      <c r="AC70" s="162">
        <v>8253</v>
      </c>
      <c r="AD70" s="152">
        <f>AB70-AC70</f>
        <v>47</v>
      </c>
      <c r="AF70" s="17">
        <f>'2024  Bdg vs Actual-CA'!AM70+'2024 Bdg vs Actual -OH'!AM70</f>
        <v>8300</v>
      </c>
      <c r="AG70" s="162">
        <v>7388</v>
      </c>
      <c r="AH70" s="152">
        <f>AF70-AG70</f>
        <v>912</v>
      </c>
      <c r="AI70" s="17"/>
      <c r="AJ70" s="17">
        <f>'2024  Bdg vs Actual-CA'!AQ70+'2024 Bdg vs Actual -OH'!AQ70</f>
        <v>8300</v>
      </c>
      <c r="AK70" s="17">
        <v>9686</v>
      </c>
      <c r="AL70" s="152">
        <f>AJ70-AK70</f>
        <v>-1386</v>
      </c>
      <c r="AM70" s="17"/>
      <c r="AN70" s="17">
        <f>'2024  Bdg vs Actual-CA'!AU70+'2024 Bdg vs Actual -OH'!AU70</f>
        <v>8300</v>
      </c>
      <c r="AO70" s="17">
        <v>12243</v>
      </c>
      <c r="AP70" s="152">
        <f>AN70-AO70</f>
        <v>-3943</v>
      </c>
      <c r="AQ70" s="17"/>
      <c r="AR70" s="17">
        <f>'2024  Bdg vs Actual-CA'!AY70+'2024 Bdg vs Actual -OH'!AY70</f>
        <v>8300</v>
      </c>
      <c r="AS70" s="17">
        <v>17257</v>
      </c>
      <c r="AT70" s="152">
        <f>AR70-AS70</f>
        <v>-8957</v>
      </c>
      <c r="AU70" s="17"/>
      <c r="AV70" s="17">
        <f>'2024  Bdg vs Actual-CA'!BC70+'2024 Bdg vs Actual -OH'!BC70</f>
        <v>8300</v>
      </c>
      <c r="AW70" s="162">
        <v>13742</v>
      </c>
      <c r="AX70" s="152">
        <f>AV70-AW70</f>
        <v>-5442</v>
      </c>
      <c r="AY70" s="17"/>
      <c r="AZ70" s="17">
        <f>'2024  Bdg vs Actual-CA'!BG70+'2024 Bdg vs Actual -OH'!BG70</f>
        <v>8300</v>
      </c>
      <c r="BA70" s="162">
        <v>13146</v>
      </c>
      <c r="BB70" s="152">
        <f>AZ70-BA70</f>
        <v>-4846</v>
      </c>
      <c r="BC70" s="17"/>
      <c r="BG70" s="17">
        <f t="shared" si="88"/>
        <v>97411.9</v>
      </c>
      <c r="BH70" s="160">
        <f t="shared" si="89"/>
        <v>132250</v>
      </c>
      <c r="BI70" s="152">
        <f t="shared" si="90"/>
        <v>-34838.100000000006</v>
      </c>
    </row>
    <row r="71" spans="1:61" x14ac:dyDescent="0.2">
      <c r="A71" s="42" t="s">
        <v>87</v>
      </c>
      <c r="B71" s="138"/>
      <c r="C71" s="44"/>
      <c r="D71" s="44"/>
      <c r="E71" s="44"/>
      <c r="F71" s="44">
        <f>H71+L71+P71+T71+X71+AB71+AF71+AJ71+AN71+AR71+AV71+AZ71</f>
        <v>16200</v>
      </c>
      <c r="H71" s="43">
        <f>'2024  Bdg vs Actual-CA'!O71+'2024 Bdg vs Actual -OH'!O71</f>
        <v>1000</v>
      </c>
      <c r="I71" s="162">
        <v>1072</v>
      </c>
      <c r="J71" s="154">
        <f t="shared" si="85"/>
        <v>-72</v>
      </c>
      <c r="K71" s="43"/>
      <c r="L71" s="43">
        <v>1500</v>
      </c>
      <c r="M71" s="162">
        <v>1304</v>
      </c>
      <c r="N71" s="154">
        <f t="shared" si="86"/>
        <v>196</v>
      </c>
      <c r="O71" s="43"/>
      <c r="P71" s="17">
        <f>ROUND(+'2024  Bdg vs Actual-CA'!W71+'2024 Bdg vs Actual -OH'!W71,-2)</f>
        <v>1300</v>
      </c>
      <c r="Q71" s="162">
        <v>340</v>
      </c>
      <c r="R71" s="152">
        <f t="shared" si="87"/>
        <v>960</v>
      </c>
      <c r="S71" s="43"/>
      <c r="T71" s="17">
        <f>'2024  Bdg vs Actual-CA'!AA71+'2024 Bdg vs Actual -OH'!AA71</f>
        <v>1500</v>
      </c>
      <c r="U71" s="162">
        <v>342</v>
      </c>
      <c r="V71" s="152">
        <f>T71-U71</f>
        <v>1158</v>
      </c>
      <c r="X71" s="17">
        <f>'2024  Bdg vs Actual-CA'!AE71+'2024 Bdg vs Actual -OH'!AE71</f>
        <v>1300</v>
      </c>
      <c r="Y71" s="162">
        <v>1846</v>
      </c>
      <c r="Z71" s="152">
        <f>X71-Y71</f>
        <v>-546</v>
      </c>
      <c r="AA71" s="17"/>
      <c r="AB71" s="17">
        <f>'2024  Bdg vs Actual-CA'!AI71+'2024 Bdg vs Actual -OH'!AI71</f>
        <v>1500</v>
      </c>
      <c r="AC71" s="162">
        <v>880</v>
      </c>
      <c r="AD71" s="152">
        <f>AB71-AC71</f>
        <v>620</v>
      </c>
      <c r="AF71" s="17">
        <f>'2024  Bdg vs Actual-CA'!AM71+'2024 Bdg vs Actual -OH'!AM71</f>
        <v>1300</v>
      </c>
      <c r="AG71" s="162">
        <v>310</v>
      </c>
      <c r="AH71" s="152">
        <f>AF71-AG71</f>
        <v>990</v>
      </c>
      <c r="AI71" s="17"/>
      <c r="AJ71" s="17">
        <f>'2024  Bdg vs Actual-CA'!AQ71+'2024 Bdg vs Actual -OH'!AQ71</f>
        <v>1500</v>
      </c>
      <c r="AK71" s="17">
        <v>2291</v>
      </c>
      <c r="AL71" s="152">
        <f>AJ71-AK71</f>
        <v>-791</v>
      </c>
      <c r="AM71" s="17"/>
      <c r="AN71" s="17">
        <f>'2024  Bdg vs Actual-CA'!AU71+'2024 Bdg vs Actual -OH'!AU71</f>
        <v>1300</v>
      </c>
      <c r="AO71" s="17">
        <v>644</v>
      </c>
      <c r="AP71" s="152">
        <f>AN71-AO71</f>
        <v>656</v>
      </c>
      <c r="AQ71" s="17"/>
      <c r="AR71" s="17">
        <f>'2024  Bdg vs Actual-CA'!AY71+'2024 Bdg vs Actual -OH'!AY71</f>
        <v>1500</v>
      </c>
      <c r="AS71" s="17">
        <v>156</v>
      </c>
      <c r="AT71" s="152">
        <f>AR71-AS71</f>
        <v>1344</v>
      </c>
      <c r="AU71" s="17"/>
      <c r="AV71" s="17">
        <f>'2024  Bdg vs Actual-CA'!BC71+'2024 Bdg vs Actual -OH'!BC71</f>
        <v>1000</v>
      </c>
      <c r="AW71" s="162">
        <v>45</v>
      </c>
      <c r="AX71" s="152">
        <f>AV71-AW71</f>
        <v>955</v>
      </c>
      <c r="AY71" s="17"/>
      <c r="AZ71" s="17">
        <f>'2024  Bdg vs Actual-CA'!BG71+'2024 Bdg vs Actual -OH'!BG71</f>
        <v>1500</v>
      </c>
      <c r="BA71" s="162">
        <v>273</v>
      </c>
      <c r="BB71" s="152">
        <f>AZ71-BA71</f>
        <v>1227</v>
      </c>
      <c r="BC71" s="17"/>
      <c r="BG71" s="17">
        <f t="shared" si="88"/>
        <v>16200</v>
      </c>
      <c r="BH71" s="160">
        <f t="shared" si="89"/>
        <v>9503</v>
      </c>
      <c r="BI71" s="152">
        <f t="shared" si="90"/>
        <v>6697</v>
      </c>
    </row>
    <row r="72" spans="1:61" x14ac:dyDescent="0.2">
      <c r="A72" s="18" t="s">
        <v>88</v>
      </c>
      <c r="B72" s="133"/>
      <c r="C72" s="48"/>
      <c r="D72" s="48"/>
      <c r="E72" s="48"/>
      <c r="F72" s="48">
        <f>SUM(F69:F71)</f>
        <v>148711.9</v>
      </c>
      <c r="G72" s="30"/>
      <c r="H72" s="61">
        <f t="shared" ref="H72:AZ72" si="91">SUM(H69:H71)</f>
        <v>9200</v>
      </c>
      <c r="I72" s="164">
        <f t="shared" si="91"/>
        <v>11170</v>
      </c>
      <c r="J72" s="156">
        <f t="shared" si="85"/>
        <v>-1970</v>
      </c>
      <c r="K72" s="61"/>
      <c r="L72" s="61">
        <f t="shared" si="91"/>
        <v>10211.900000000001</v>
      </c>
      <c r="M72" s="164">
        <f t="shared" ref="M72" si="92">SUM(M69:M71)</f>
        <v>13299</v>
      </c>
      <c r="N72" s="156">
        <f t="shared" si="86"/>
        <v>-3087.0999999999985</v>
      </c>
      <c r="O72" s="61"/>
      <c r="P72" s="28">
        <f t="shared" si="91"/>
        <v>11900</v>
      </c>
      <c r="Q72" s="164">
        <f t="shared" si="91"/>
        <v>15039</v>
      </c>
      <c r="R72" s="156">
        <f t="shared" si="87"/>
        <v>-3139</v>
      </c>
      <c r="S72" s="61"/>
      <c r="T72" s="28">
        <f t="shared" si="91"/>
        <v>14900</v>
      </c>
      <c r="U72" s="164">
        <f>SUM(U69:U71)</f>
        <v>7906</v>
      </c>
      <c r="V72" s="156">
        <f>T72-U72</f>
        <v>6994</v>
      </c>
      <c r="W72" s="28"/>
      <c r="X72" s="28">
        <f t="shared" si="91"/>
        <v>12600</v>
      </c>
      <c r="Y72" s="164">
        <f>SUM(Y69:Y71)</f>
        <v>21319</v>
      </c>
      <c r="Z72" s="202">
        <f>X72-Y72</f>
        <v>-8719</v>
      </c>
      <c r="AA72" s="28"/>
      <c r="AB72" s="28">
        <f t="shared" si="91"/>
        <v>14900</v>
      </c>
      <c r="AC72" s="164">
        <f>SUM(AC69:AC71)</f>
        <v>10133</v>
      </c>
      <c r="AD72" s="202">
        <f>AB72-AC72</f>
        <v>4767</v>
      </c>
      <c r="AE72" s="28"/>
      <c r="AF72" s="28">
        <f t="shared" si="91"/>
        <v>11600</v>
      </c>
      <c r="AG72" s="164">
        <f>SUM(AG69:AG71)</f>
        <v>18698</v>
      </c>
      <c r="AH72" s="202">
        <f>AF72-AG72</f>
        <v>-7098</v>
      </c>
      <c r="AI72" s="28"/>
      <c r="AJ72" s="28">
        <f t="shared" si="91"/>
        <v>11800</v>
      </c>
      <c r="AK72" s="164">
        <f>SUM(AK69:AK71)</f>
        <v>18075</v>
      </c>
      <c r="AL72" s="202">
        <f>AJ72-AK72</f>
        <v>-6275</v>
      </c>
      <c r="AM72" s="28"/>
      <c r="AN72" s="28">
        <f t="shared" si="91"/>
        <v>11600</v>
      </c>
      <c r="AO72" s="164">
        <f>SUM(AO69:AO71)</f>
        <v>16587</v>
      </c>
      <c r="AP72" s="202">
        <f>AN72-AO72</f>
        <v>-4987</v>
      </c>
      <c r="AQ72" s="28"/>
      <c r="AR72" s="28">
        <f t="shared" si="91"/>
        <v>13800</v>
      </c>
      <c r="AS72" s="164">
        <f>SUM(AS69:AS71)</f>
        <v>18593</v>
      </c>
      <c r="AT72" s="202">
        <f>AR72-AS72</f>
        <v>-4793</v>
      </c>
      <c r="AU72" s="28"/>
      <c r="AV72" s="28">
        <f t="shared" si="91"/>
        <v>11300</v>
      </c>
      <c r="AW72" s="164">
        <f>SUM(AW69:AW71)</f>
        <v>14787</v>
      </c>
      <c r="AX72" s="202">
        <f>AV72-AW72</f>
        <v>-3487</v>
      </c>
      <c r="AY72" s="28"/>
      <c r="AZ72" s="28">
        <f t="shared" si="91"/>
        <v>14900</v>
      </c>
      <c r="BA72" s="164">
        <f>SUM(BA69:BA71)</f>
        <v>14519</v>
      </c>
      <c r="BB72" s="202">
        <f>AZ72-BA72</f>
        <v>381</v>
      </c>
      <c r="BC72" s="28"/>
      <c r="BG72" s="28">
        <f>SUM(BG69:BG71)</f>
        <v>148711.9</v>
      </c>
      <c r="BH72" s="164">
        <f>SUM(BH69:BH71)</f>
        <v>180125</v>
      </c>
      <c r="BI72" s="156">
        <f t="shared" si="90"/>
        <v>-31413.100000000006</v>
      </c>
    </row>
    <row r="73" spans="1:61" x14ac:dyDescent="0.2">
      <c r="C73" s="44"/>
      <c r="D73" s="44"/>
      <c r="E73" s="44"/>
      <c r="F73" s="44"/>
      <c r="H73" s="43"/>
      <c r="I73" s="162"/>
      <c r="J73" s="154"/>
      <c r="K73" s="43"/>
      <c r="L73" s="43"/>
      <c r="M73" s="162"/>
      <c r="N73" s="154"/>
      <c r="O73" s="43"/>
      <c r="P73" s="17"/>
      <c r="Q73" s="43"/>
      <c r="R73" s="43"/>
      <c r="S73" s="43"/>
      <c r="T73" s="43"/>
      <c r="U73" s="43"/>
      <c r="V73" s="43"/>
      <c r="W73" s="43"/>
      <c r="X73" s="43"/>
      <c r="Y73" s="43"/>
      <c r="Z73" s="154"/>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G73" s="17"/>
      <c r="BH73" s="43"/>
      <c r="BI73" s="43"/>
    </row>
    <row r="74" spans="1:61" s="3" customFormat="1" x14ac:dyDescent="0.2">
      <c r="A74" s="24" t="s">
        <v>89</v>
      </c>
      <c r="B74" s="136"/>
      <c r="C74" s="44"/>
      <c r="D74" s="44"/>
      <c r="E74" s="44"/>
      <c r="F74" s="44"/>
      <c r="H74" s="43"/>
      <c r="I74" s="162"/>
      <c r="J74" s="154"/>
      <c r="K74" s="43"/>
      <c r="L74" s="43"/>
      <c r="M74" s="162"/>
      <c r="N74" s="154"/>
      <c r="O74" s="43"/>
      <c r="P74" s="17"/>
      <c r="Q74" s="43"/>
      <c r="R74" s="43"/>
      <c r="S74" s="43"/>
      <c r="T74" s="43"/>
      <c r="U74" s="43"/>
      <c r="V74" s="43"/>
      <c r="W74" s="43"/>
      <c r="X74" s="43"/>
      <c r="Y74" s="43"/>
      <c r="Z74" s="154"/>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E74" s="119"/>
      <c r="BG74" s="17"/>
      <c r="BH74" s="43"/>
      <c r="BI74" s="43"/>
    </row>
    <row r="75" spans="1:61" s="3" customFormat="1" x14ac:dyDescent="0.2">
      <c r="A75" s="121" t="s">
        <v>90</v>
      </c>
      <c r="B75" s="138"/>
      <c r="C75" s="44"/>
      <c r="D75" s="44"/>
      <c r="E75" s="44"/>
      <c r="F75" s="44">
        <f>H75+L75+P75+T75+X75+AB75+AF75+AJ75+AN75+AR75+AV75+AZ75</f>
        <v>209600</v>
      </c>
      <c r="H75" s="43">
        <f>'2024  Bdg vs Actual-CA'!O75+'2024 Bdg vs Actual -OH'!O75</f>
        <v>18300</v>
      </c>
      <c r="I75" s="162">
        <v>16872</v>
      </c>
      <c r="J75" s="154">
        <f t="shared" ref="J75:J79" si="93">H75-I75</f>
        <v>1428</v>
      </c>
      <c r="K75" s="43"/>
      <c r="L75" s="43">
        <f>'2024  Bdg vs Actual-CA'!S75+'2024 Bdg vs Actual -OH'!S75</f>
        <v>18300</v>
      </c>
      <c r="M75" s="162">
        <v>13450</v>
      </c>
      <c r="N75" s="154">
        <f t="shared" ref="N75:N79" si="94">L75-M75</f>
        <v>4850</v>
      </c>
      <c r="O75" s="43"/>
      <c r="P75" s="17">
        <f>ROUND(+'2024  Bdg vs Actual-CA'!W75+'2024 Bdg vs Actual -OH'!W75,-2)</f>
        <v>17300</v>
      </c>
      <c r="Q75" s="162">
        <v>13237</v>
      </c>
      <c r="R75" s="152">
        <f t="shared" ref="R75:R79" si="95">P75-Q75</f>
        <v>4063</v>
      </c>
      <c r="S75" s="43"/>
      <c r="T75" s="17">
        <f>'2024  Bdg vs Actual-CA'!AA75+'2024 Bdg vs Actual -OH'!AA75</f>
        <v>17300</v>
      </c>
      <c r="U75" s="162">
        <v>14195</v>
      </c>
      <c r="V75" s="152">
        <f>T75-U75</f>
        <v>3105</v>
      </c>
      <c r="W75" s="17"/>
      <c r="X75" s="17">
        <f>'2024  Bdg vs Actual-CA'!AE75+'2024 Bdg vs Actual -OH'!AE75</f>
        <v>17300</v>
      </c>
      <c r="Y75" s="162">
        <v>14233</v>
      </c>
      <c r="Z75" s="154">
        <f>X75-Y75</f>
        <v>3067</v>
      </c>
      <c r="AA75" s="17"/>
      <c r="AB75" s="17">
        <f>'2024  Bdg vs Actual-CA'!AI75+'2024 Bdg vs Actual -OH'!AI75</f>
        <v>17300</v>
      </c>
      <c r="AC75" s="162">
        <v>16055</v>
      </c>
      <c r="AD75" s="154">
        <f>AB75-AC75</f>
        <v>1245</v>
      </c>
      <c r="AE75" s="17"/>
      <c r="AF75" s="17">
        <f>'2024  Bdg vs Actual-CA'!AM75+'2024 Bdg vs Actual -OH'!AM75</f>
        <v>17300</v>
      </c>
      <c r="AG75" s="162">
        <v>18327</v>
      </c>
      <c r="AH75" s="154">
        <f>AF75-AG75</f>
        <v>-1027</v>
      </c>
      <c r="AI75" s="17"/>
      <c r="AJ75" s="17">
        <f>'2024  Bdg vs Actual-CA'!AQ75+'2024 Bdg vs Actual -OH'!AQ75</f>
        <v>17300</v>
      </c>
      <c r="AK75" s="17">
        <v>16513</v>
      </c>
      <c r="AL75" s="154">
        <f>AJ75-AK75</f>
        <v>787</v>
      </c>
      <c r="AM75" s="17"/>
      <c r="AN75" s="17">
        <f>'2024  Bdg vs Actual-CA'!AU75+'2024 Bdg vs Actual -OH'!AU75</f>
        <v>17300</v>
      </c>
      <c r="AO75" s="17">
        <v>14728</v>
      </c>
      <c r="AP75" s="154">
        <f>AN75-AO75</f>
        <v>2572</v>
      </c>
      <c r="AQ75" s="17"/>
      <c r="AR75" s="17">
        <f>'2024  Bdg vs Actual-CA'!AY75+'2024 Bdg vs Actual -OH'!AY75</f>
        <v>17300</v>
      </c>
      <c r="AS75" s="17">
        <v>10429</v>
      </c>
      <c r="AT75" s="154">
        <f>AR75-AS75</f>
        <v>6871</v>
      </c>
      <c r="AU75" s="17"/>
      <c r="AV75" s="17">
        <f>'2024  Bdg vs Actual-CA'!BC75+'2024 Bdg vs Actual -OH'!BC75</f>
        <v>17300</v>
      </c>
      <c r="AW75" s="162">
        <v>7015</v>
      </c>
      <c r="AX75" s="154">
        <f>AV75-AW75</f>
        <v>10285</v>
      </c>
      <c r="AY75" s="17"/>
      <c r="AZ75" s="17">
        <f>'2024  Bdg vs Actual-CA'!BG75+'2024 Bdg vs Actual -OH'!BG75</f>
        <v>17300</v>
      </c>
      <c r="BA75" s="162">
        <v>6104</v>
      </c>
      <c r="BB75" s="154">
        <f>AZ75-BA75</f>
        <v>11196</v>
      </c>
      <c r="BC75" s="17"/>
      <c r="BE75" s="119"/>
      <c r="BG75" s="17">
        <f t="shared" ref="BG75:BG78" si="96">+P75+L75+H75+T75+X75+AB75+AF75+AJ75+AN75+AR75+AV75+AZ75</f>
        <v>209600</v>
      </c>
      <c r="BH75" s="160">
        <f t="shared" ref="BH75:BH78" si="97">+Q75+M75+I75+U75+Y75+AC75+AG75+AK75+AO75+AS75+AW75+BA75</f>
        <v>161158</v>
      </c>
      <c r="BI75" s="152">
        <f t="shared" ref="BI75:BI79" si="98">BG75-BH75</f>
        <v>48442</v>
      </c>
    </row>
    <row r="76" spans="1:61" s="3" customFormat="1" ht="34" x14ac:dyDescent="0.2">
      <c r="A76" s="121" t="s">
        <v>91</v>
      </c>
      <c r="B76" s="138"/>
      <c r="C76" s="44"/>
      <c r="D76" s="44"/>
      <c r="E76" s="44"/>
      <c r="F76" s="44">
        <f>H76+L76+P76+T76+X76+AB76+AF76+AJ76+AN76+AR76+AV76+AZ76</f>
        <v>171600</v>
      </c>
      <c r="H76" s="43">
        <f>'2024  Bdg vs Actual-CA'!O76+'2024 Bdg vs Actual -OH'!O76</f>
        <v>14300</v>
      </c>
      <c r="I76" s="162">
        <v>12398</v>
      </c>
      <c r="J76" s="154">
        <f t="shared" si="93"/>
        <v>1902</v>
      </c>
      <c r="K76" s="43"/>
      <c r="L76" s="43">
        <f>'2024  Bdg vs Actual-CA'!S76+'2024 Bdg vs Actual -OH'!S76</f>
        <v>14300</v>
      </c>
      <c r="M76" s="162">
        <v>31751</v>
      </c>
      <c r="N76" s="192">
        <f t="shared" si="94"/>
        <v>-17451</v>
      </c>
      <c r="O76" s="197" t="s">
        <v>92</v>
      </c>
      <c r="P76" s="17">
        <f>ROUND(+'2024  Bdg vs Actual-CA'!W76+'2024 Bdg vs Actual -OH'!W76,-2)</f>
        <v>14300</v>
      </c>
      <c r="Q76" s="162">
        <v>20716</v>
      </c>
      <c r="R76" s="152">
        <f t="shared" si="95"/>
        <v>-6416</v>
      </c>
      <c r="S76" s="43"/>
      <c r="T76" s="17">
        <f>'2024  Bdg vs Actual-CA'!AA76+'2024 Bdg vs Actual -OH'!AA76</f>
        <v>14300</v>
      </c>
      <c r="U76" s="162">
        <v>14774</v>
      </c>
      <c r="V76" s="152">
        <f>T76-U76</f>
        <v>-474</v>
      </c>
      <c r="W76" s="17"/>
      <c r="X76" s="17">
        <f>'2024  Bdg vs Actual-CA'!AE76+'2024 Bdg vs Actual -OH'!AE76</f>
        <v>14300</v>
      </c>
      <c r="Y76" s="162">
        <v>16372</v>
      </c>
      <c r="Z76" s="154">
        <f>X76-Y76</f>
        <v>-2072</v>
      </c>
      <c r="AA76" s="17"/>
      <c r="AB76" s="17">
        <f>'2024  Bdg vs Actual-CA'!AI76+'2024 Bdg vs Actual -OH'!AI76</f>
        <v>14300</v>
      </c>
      <c r="AC76" s="162">
        <f>40277+2689</f>
        <v>42966</v>
      </c>
      <c r="AD76" s="154">
        <f>AB76-AC76</f>
        <v>-28666</v>
      </c>
      <c r="AE76" s="17"/>
      <c r="AF76" s="17">
        <f>'2024  Bdg vs Actual-CA'!AM76+'2024 Bdg vs Actual -OH'!AM76</f>
        <v>14300</v>
      </c>
      <c r="AG76" s="162">
        <v>7590</v>
      </c>
      <c r="AH76" s="154">
        <f>AF76-AG76</f>
        <v>6710</v>
      </c>
      <c r="AI76" s="17"/>
      <c r="AJ76" s="17">
        <f>'2024  Bdg vs Actual-CA'!AQ76+'2024 Bdg vs Actual -OH'!AQ76</f>
        <v>14300</v>
      </c>
      <c r="AK76" s="17">
        <v>13797</v>
      </c>
      <c r="AL76" s="154">
        <f>AJ76-AK76</f>
        <v>503</v>
      </c>
      <c r="AM76" s="17"/>
      <c r="AN76" s="17">
        <f>'2024  Bdg vs Actual-CA'!AU76+'2024 Bdg vs Actual -OH'!AU76</f>
        <v>14300</v>
      </c>
      <c r="AO76" s="17">
        <v>6220</v>
      </c>
      <c r="AP76" s="154">
        <f>AN76-AO76</f>
        <v>8080</v>
      </c>
      <c r="AQ76" s="17"/>
      <c r="AR76" s="17">
        <f>'2024  Bdg vs Actual-CA'!AY76+'2024 Bdg vs Actual -OH'!AY76</f>
        <v>14300</v>
      </c>
      <c r="AS76" s="17">
        <f>12724+2570</f>
        <v>15294</v>
      </c>
      <c r="AT76" s="154">
        <f>AR76-AS76</f>
        <v>-994</v>
      </c>
      <c r="AU76" s="17"/>
      <c r="AV76" s="17">
        <f>'2024  Bdg vs Actual-CA'!BC76+'2024 Bdg vs Actual -OH'!BC76</f>
        <v>14300</v>
      </c>
      <c r="AW76" s="162">
        <v>18897</v>
      </c>
      <c r="AX76" s="154">
        <f>AV76-AW76</f>
        <v>-4597</v>
      </c>
      <c r="AY76" s="17"/>
      <c r="AZ76" s="17">
        <f>'2024  Bdg vs Actual-CA'!BG76+'2024 Bdg vs Actual -OH'!BG76</f>
        <v>14300</v>
      </c>
      <c r="BA76" s="162">
        <v>22743</v>
      </c>
      <c r="BB76" s="154">
        <f>AZ76-BA76</f>
        <v>-8443</v>
      </c>
      <c r="BC76" s="17"/>
      <c r="BE76" s="119"/>
      <c r="BG76" s="17">
        <f t="shared" si="96"/>
        <v>171600</v>
      </c>
      <c r="BH76" s="160">
        <f t="shared" si="97"/>
        <v>223518</v>
      </c>
      <c r="BI76" s="152">
        <f t="shared" si="98"/>
        <v>-51918</v>
      </c>
    </row>
    <row r="77" spans="1:61" s="3" customFormat="1" x14ac:dyDescent="0.2">
      <c r="A77" t="s">
        <v>93</v>
      </c>
      <c r="B77" s="14"/>
      <c r="C77" s="44"/>
      <c r="D77" s="44"/>
      <c r="E77" s="44"/>
      <c r="F77" s="44">
        <f>H77+L77+P77+T77+X77+AB77+AF77+AJ77+AN77+AR77+AV77+AZ77</f>
        <v>60300</v>
      </c>
      <c r="H77" s="43">
        <f>'2024  Bdg vs Actual-CA'!O77+'2024 Bdg vs Actual -OH'!O77</f>
        <v>7400</v>
      </c>
      <c r="I77" s="162">
        <v>0</v>
      </c>
      <c r="J77" s="154">
        <f t="shared" si="93"/>
        <v>7400</v>
      </c>
      <c r="K77" s="43"/>
      <c r="L77" s="43">
        <f>'2024  Bdg vs Actual-CA'!S77+'2024 Bdg vs Actual -OH'!S77</f>
        <v>0</v>
      </c>
      <c r="M77" s="162">
        <v>0</v>
      </c>
      <c r="N77" s="154">
        <f t="shared" si="94"/>
        <v>0</v>
      </c>
      <c r="O77" s="43"/>
      <c r="P77" s="17">
        <f>ROUND(+'2024  Bdg vs Actual-CA'!W77+'2024 Bdg vs Actual -OH'!W77,-2)</f>
        <v>300</v>
      </c>
      <c r="Q77" s="162">
        <v>864</v>
      </c>
      <c r="R77" s="152">
        <f t="shared" si="95"/>
        <v>-564</v>
      </c>
      <c r="S77" s="43"/>
      <c r="T77" s="17">
        <f>'2024  Bdg vs Actual-CA'!AA77+'2024 Bdg vs Actual -OH'!AA77</f>
        <v>0</v>
      </c>
      <c r="U77" s="162">
        <v>640</v>
      </c>
      <c r="V77" s="152">
        <f>T77-U77</f>
        <v>-640</v>
      </c>
      <c r="W77" s="17"/>
      <c r="X77" s="17">
        <f>'2024  Bdg vs Actual-CA'!AE77+'2024 Bdg vs Actual -OH'!AE77</f>
        <v>0</v>
      </c>
      <c r="Y77" s="162">
        <v>0</v>
      </c>
      <c r="Z77" s="154">
        <f>X77-Y77</f>
        <v>0</v>
      </c>
      <c r="AA77" s="17"/>
      <c r="AB77" s="17">
        <f>'2024  Bdg vs Actual-CA'!AI77+'2024 Bdg vs Actual -OH'!AI77</f>
        <v>0</v>
      </c>
      <c r="AC77" s="162">
        <v>0</v>
      </c>
      <c r="AD77" s="154">
        <f>AB77-AC77</f>
        <v>0</v>
      </c>
      <c r="AE77" s="17"/>
      <c r="AF77" s="17">
        <f>'2024  Bdg vs Actual-CA'!AM77+'2024 Bdg vs Actual -OH'!AM77</f>
        <v>8600</v>
      </c>
      <c r="AG77" s="162">
        <v>6263</v>
      </c>
      <c r="AH77" s="154">
        <f>AF77-AG77</f>
        <v>2337</v>
      </c>
      <c r="AI77" s="17"/>
      <c r="AJ77" s="17">
        <f>'2024  Bdg vs Actual-CA'!AQ77+'2024 Bdg vs Actual -OH'!AQ77</f>
        <v>0</v>
      </c>
      <c r="AK77" s="17">
        <v>298</v>
      </c>
      <c r="AL77" s="154">
        <f>AJ77-AK77</f>
        <v>-298</v>
      </c>
      <c r="AM77" s="17"/>
      <c r="AN77" s="17">
        <f>'2024  Bdg vs Actual-CA'!AU77+'2024 Bdg vs Actual -OH'!AU77</f>
        <v>3800</v>
      </c>
      <c r="AO77" s="17">
        <v>129</v>
      </c>
      <c r="AP77" s="154">
        <f>AN77-AO77</f>
        <v>3671</v>
      </c>
      <c r="AQ77" s="17"/>
      <c r="AR77" s="17">
        <f>'2024  Bdg vs Actual-CA'!AY77+'2024 Bdg vs Actual -OH'!AY77</f>
        <v>1000</v>
      </c>
      <c r="AS77" s="17">
        <v>0</v>
      </c>
      <c r="AT77" s="154">
        <f>AR77-AS77</f>
        <v>1000</v>
      </c>
      <c r="AU77" s="17"/>
      <c r="AV77" s="17">
        <f>'2024  Bdg vs Actual-CA'!BC77+'2024 Bdg vs Actual -OH'!BC77</f>
        <v>15500</v>
      </c>
      <c r="AW77" s="162">
        <v>0</v>
      </c>
      <c r="AX77" s="154">
        <f>AV77-AW77</f>
        <v>15500</v>
      </c>
      <c r="AY77" s="17"/>
      <c r="AZ77" s="17">
        <f>'2024  Bdg vs Actual-CA'!BG77+'2024 Bdg vs Actual -OH'!BG77</f>
        <v>23700</v>
      </c>
      <c r="BA77" s="162">
        <v>0</v>
      </c>
      <c r="BB77" s="154">
        <f>AZ77-BA77</f>
        <v>23700</v>
      </c>
      <c r="BC77" s="17"/>
      <c r="BE77" s="119"/>
      <c r="BG77" s="17">
        <f t="shared" si="96"/>
        <v>60300</v>
      </c>
      <c r="BH77" s="160">
        <f t="shared" si="97"/>
        <v>8194</v>
      </c>
      <c r="BI77" s="152">
        <f t="shared" si="98"/>
        <v>52106</v>
      </c>
    </row>
    <row r="78" spans="1:61" s="3" customFormat="1" x14ac:dyDescent="0.2">
      <c r="A78" t="s">
        <v>94</v>
      </c>
      <c r="B78" s="14"/>
      <c r="C78" s="44"/>
      <c r="D78" s="44"/>
      <c r="E78" s="44"/>
      <c r="F78" s="44">
        <f>H78+L78+P78+T78+X78+AB78+AF78+AJ78+AN78+AR78+AV78+AZ78</f>
        <v>91400</v>
      </c>
      <c r="H78" s="43">
        <f>'2024  Bdg vs Actual-CA'!O78+'2024 Bdg vs Actual -OH'!O78</f>
        <v>7700</v>
      </c>
      <c r="I78" s="162">
        <v>8055</v>
      </c>
      <c r="J78" s="154">
        <f t="shared" si="93"/>
        <v>-355</v>
      </c>
      <c r="K78" s="43"/>
      <c r="L78" s="43">
        <f>'2024  Bdg vs Actual-CA'!S78+'2024 Bdg vs Actual -OH'!S78</f>
        <v>12600</v>
      </c>
      <c r="M78" s="162">
        <v>5245</v>
      </c>
      <c r="N78" s="154">
        <f t="shared" si="94"/>
        <v>7355</v>
      </c>
      <c r="O78" s="43"/>
      <c r="P78" s="17">
        <f>ROUND(+'2024  Bdg vs Actual-CA'!W78+'2024 Bdg vs Actual -OH'!W78,-2)</f>
        <v>6600</v>
      </c>
      <c r="Q78" s="162">
        <v>4393</v>
      </c>
      <c r="R78" s="152">
        <f t="shared" si="95"/>
        <v>2207</v>
      </c>
      <c r="S78" s="43"/>
      <c r="T78" s="17">
        <f>'2024  Bdg vs Actual-CA'!AA78+'2024 Bdg vs Actual -OH'!AA78</f>
        <v>6900</v>
      </c>
      <c r="U78" s="162">
        <v>5004</v>
      </c>
      <c r="V78" s="152">
        <f>T78-U78</f>
        <v>1896</v>
      </c>
      <c r="W78" s="17"/>
      <c r="X78" s="17">
        <f>'2024  Bdg vs Actual-CA'!AE78+'2024 Bdg vs Actual -OH'!AE78</f>
        <v>7000</v>
      </c>
      <c r="Y78" s="162">
        <v>4091</v>
      </c>
      <c r="Z78" s="154">
        <f>X78-Y78</f>
        <v>2909</v>
      </c>
      <c r="AA78" s="17"/>
      <c r="AB78" s="17">
        <f>'2024  Bdg vs Actual-CA'!AI78+'2024 Bdg vs Actual -OH'!AI78</f>
        <v>7000</v>
      </c>
      <c r="AC78" s="162">
        <v>4971</v>
      </c>
      <c r="AD78" s="154">
        <f>AB78-AC78</f>
        <v>2029</v>
      </c>
      <c r="AE78" s="17"/>
      <c r="AF78" s="17">
        <f>'2024  Bdg vs Actual-CA'!AM78+'2024 Bdg vs Actual -OH'!AM78</f>
        <v>8000</v>
      </c>
      <c r="AG78" s="162">
        <v>5373</v>
      </c>
      <c r="AH78" s="154">
        <f>AF78-AG78</f>
        <v>2627</v>
      </c>
      <c r="AI78" s="17"/>
      <c r="AJ78" s="17">
        <f>'2024  Bdg vs Actual-CA'!AQ78+'2024 Bdg vs Actual -OH'!AQ78</f>
        <v>7700</v>
      </c>
      <c r="AK78" s="17">
        <v>5321</v>
      </c>
      <c r="AL78" s="154">
        <f>AJ78-AK78</f>
        <v>2379</v>
      </c>
      <c r="AM78" s="17"/>
      <c r="AN78" s="17">
        <f>'2024  Bdg vs Actual-CA'!AU78+'2024 Bdg vs Actual -OH'!AU78</f>
        <v>5500</v>
      </c>
      <c r="AO78" s="17">
        <v>4803</v>
      </c>
      <c r="AP78" s="154">
        <f>AN78-AO78</f>
        <v>697</v>
      </c>
      <c r="AQ78" s="17"/>
      <c r="AR78" s="17">
        <f>'2024  Bdg vs Actual-CA'!AY78+'2024 Bdg vs Actual -OH'!AY78</f>
        <v>5100</v>
      </c>
      <c r="AS78" s="17">
        <f>4953+249</f>
        <v>5202</v>
      </c>
      <c r="AT78" s="154">
        <f>AR78-AS78</f>
        <v>-102</v>
      </c>
      <c r="AU78" s="17"/>
      <c r="AV78" s="17">
        <f>'2024  Bdg vs Actual-CA'!BC78+'2024 Bdg vs Actual -OH'!BC78</f>
        <v>7800</v>
      </c>
      <c r="AW78" s="162">
        <v>5353</v>
      </c>
      <c r="AX78" s="154">
        <f>AV78-AW78</f>
        <v>2447</v>
      </c>
      <c r="AY78" s="17"/>
      <c r="AZ78" s="17">
        <f>'2024  Bdg vs Actual-CA'!BG78+'2024 Bdg vs Actual -OH'!BG78</f>
        <v>9500</v>
      </c>
      <c r="BA78" s="162">
        <v>6945</v>
      </c>
      <c r="BB78" s="154">
        <f>AZ78-BA78</f>
        <v>2555</v>
      </c>
      <c r="BC78" s="17"/>
      <c r="BE78" s="119"/>
      <c r="BG78" s="17">
        <f t="shared" si="96"/>
        <v>91400</v>
      </c>
      <c r="BH78" s="160">
        <f t="shared" si="97"/>
        <v>64756</v>
      </c>
      <c r="BI78" s="152">
        <f t="shared" si="98"/>
        <v>26644</v>
      </c>
    </row>
    <row r="79" spans="1:61" s="3" customFormat="1" x14ac:dyDescent="0.2">
      <c r="A79" s="18" t="s">
        <v>95</v>
      </c>
      <c r="B79" s="133"/>
      <c r="C79" s="48"/>
      <c r="D79" s="48"/>
      <c r="E79" s="48"/>
      <c r="F79" s="48">
        <f>SUM(F75:F78)</f>
        <v>532900</v>
      </c>
      <c r="G79" s="30"/>
      <c r="H79" s="61">
        <f>SUM(H75:H78)</f>
        <v>47700</v>
      </c>
      <c r="I79" s="164">
        <f>SUM(I75:I78)</f>
        <v>37325</v>
      </c>
      <c r="J79" s="156">
        <f t="shared" si="93"/>
        <v>10375</v>
      </c>
      <c r="K79" s="61"/>
      <c r="L79" s="61">
        <f>SUM(L75:L78)</f>
        <v>45200</v>
      </c>
      <c r="M79" s="164">
        <f>SUM(M75:M78)</f>
        <v>50446</v>
      </c>
      <c r="N79" s="156">
        <f t="shared" si="94"/>
        <v>-5246</v>
      </c>
      <c r="O79" s="61"/>
      <c r="P79" s="28">
        <f>SUM(P75:P78)</f>
        <v>38500</v>
      </c>
      <c r="Q79" s="164">
        <f>SUM(Q75:Q78)</f>
        <v>39210</v>
      </c>
      <c r="R79" s="156">
        <f t="shared" si="95"/>
        <v>-710</v>
      </c>
      <c r="S79" s="61"/>
      <c r="T79" s="28">
        <f>SUM(T75:T78)</f>
        <v>38500</v>
      </c>
      <c r="U79" s="164">
        <f>SUM(U75:U78)</f>
        <v>34613</v>
      </c>
      <c r="V79" s="156">
        <f>T79-U79</f>
        <v>3887</v>
      </c>
      <c r="W79" s="28"/>
      <c r="X79" s="28">
        <f t="shared" ref="X79:AZ79" si="99">SUM(X75:X78)</f>
        <v>38600</v>
      </c>
      <c r="Y79" s="164">
        <f>SUM(Y75:Y78)</f>
        <v>34696</v>
      </c>
      <c r="Z79" s="156">
        <f>X79-Y79</f>
        <v>3904</v>
      </c>
      <c r="AA79" s="28"/>
      <c r="AB79" s="28">
        <f t="shared" si="99"/>
        <v>38600</v>
      </c>
      <c r="AC79" s="164">
        <f>SUM(AC75:AC78)</f>
        <v>63992</v>
      </c>
      <c r="AD79" s="156">
        <f>AB79-AC79</f>
        <v>-25392</v>
      </c>
      <c r="AE79" s="28"/>
      <c r="AF79" s="28">
        <f t="shared" si="99"/>
        <v>48200</v>
      </c>
      <c r="AG79" s="164">
        <f>SUM(AG75:AG78)</f>
        <v>37553</v>
      </c>
      <c r="AH79" s="156">
        <f>AF79-AG79</f>
        <v>10647</v>
      </c>
      <c r="AI79" s="28"/>
      <c r="AJ79" s="28">
        <f t="shared" si="99"/>
        <v>39300</v>
      </c>
      <c r="AK79" s="164">
        <f>SUM(AK75:AK78)</f>
        <v>35929</v>
      </c>
      <c r="AL79" s="156">
        <f>AJ79-AK79</f>
        <v>3371</v>
      </c>
      <c r="AM79" s="28"/>
      <c r="AN79" s="28">
        <f t="shared" si="99"/>
        <v>40900</v>
      </c>
      <c r="AO79" s="164">
        <f>SUM(AO75:AO78)</f>
        <v>25880</v>
      </c>
      <c r="AP79" s="156">
        <f>AN79-AO79</f>
        <v>15020</v>
      </c>
      <c r="AQ79" s="28"/>
      <c r="AR79" s="28">
        <f t="shared" si="99"/>
        <v>37700</v>
      </c>
      <c r="AS79" s="164">
        <f>SUM(AS75:AS78)</f>
        <v>30925</v>
      </c>
      <c r="AT79" s="156">
        <f>AR79-AS79</f>
        <v>6775</v>
      </c>
      <c r="AU79" s="28"/>
      <c r="AV79" s="28">
        <f t="shared" si="99"/>
        <v>54900</v>
      </c>
      <c r="AW79" s="164">
        <f>SUM(AW75:AW78)</f>
        <v>31265</v>
      </c>
      <c r="AX79" s="156">
        <f>AV79-AW79</f>
        <v>23635</v>
      </c>
      <c r="AY79" s="28"/>
      <c r="AZ79" s="28">
        <f t="shared" si="99"/>
        <v>64800</v>
      </c>
      <c r="BA79" s="164">
        <f>SUM(BA75:BA78)</f>
        <v>35792</v>
      </c>
      <c r="BB79" s="156">
        <f>AZ79-BA79</f>
        <v>29008</v>
      </c>
      <c r="BC79" s="28"/>
      <c r="BE79" s="119"/>
      <c r="BG79" s="28">
        <f>SUM(BG75:BG78)</f>
        <v>532900</v>
      </c>
      <c r="BH79" s="164">
        <f>SUM(BH75:BH78)</f>
        <v>457626</v>
      </c>
      <c r="BI79" s="156">
        <f t="shared" si="98"/>
        <v>75274</v>
      </c>
    </row>
    <row r="80" spans="1:61" s="3" customFormat="1" x14ac:dyDescent="0.2">
      <c r="A80"/>
      <c r="B80" s="14"/>
      <c r="C80" s="44"/>
      <c r="D80" s="44"/>
      <c r="E80" s="44"/>
      <c r="F80" s="44"/>
      <c r="H80" s="43"/>
      <c r="I80" s="162"/>
      <c r="J80" s="154"/>
      <c r="K80" s="43"/>
      <c r="L80" s="43"/>
      <c r="M80" s="162"/>
      <c r="N80" s="154"/>
      <c r="O80" s="43"/>
      <c r="P80" s="17"/>
      <c r="Q80" s="43"/>
      <c r="R80" s="43"/>
      <c r="S80" s="43"/>
      <c r="T80" s="43"/>
      <c r="U80" s="43"/>
      <c r="V80" s="43"/>
      <c r="W80" s="43"/>
      <c r="X80" s="43"/>
      <c r="Y80" s="43"/>
      <c r="Z80" s="154"/>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E80" s="119"/>
      <c r="BG80" s="17"/>
      <c r="BH80" s="43"/>
      <c r="BI80" s="43"/>
    </row>
    <row r="81" spans="1:61" s="3" customFormat="1" x14ac:dyDescent="0.2">
      <c r="A81" t="s">
        <v>96</v>
      </c>
      <c r="B81" s="14"/>
      <c r="C81" s="44"/>
      <c r="D81" s="44"/>
      <c r="E81" s="44"/>
      <c r="F81" s="44">
        <f>F48+F58+F66+F72+F79</f>
        <v>4649111.9000000004</v>
      </c>
      <c r="H81" s="43">
        <f>H48+H58+H66+H72+H79</f>
        <v>267100</v>
      </c>
      <c r="I81" s="162">
        <f>I48+I58+I66+I72+I79</f>
        <v>269734</v>
      </c>
      <c r="J81" s="154">
        <f>H81-I81</f>
        <v>-2634</v>
      </c>
      <c r="K81" s="43"/>
      <c r="L81" s="43">
        <f t="shared" ref="L81:AZ81" si="100">L48+L58+L66+L72+L79</f>
        <v>265911.90000000002</v>
      </c>
      <c r="M81" s="162">
        <f>M48+M58+M66+M72+M79</f>
        <v>262113</v>
      </c>
      <c r="N81" s="154">
        <f>L81-M81</f>
        <v>3798.9000000000233</v>
      </c>
      <c r="O81" s="43"/>
      <c r="P81" s="17">
        <f>ROUND(+'2024  Bdg vs Actual-CA'!W81+'2024 Bdg vs Actual -OH'!W81,-2)</f>
        <v>269900</v>
      </c>
      <c r="Q81" s="162">
        <f>Q48+Q58+Q66+Q72+Q79</f>
        <v>278781</v>
      </c>
      <c r="R81" s="154">
        <f>P81-Q81</f>
        <v>-8881</v>
      </c>
      <c r="S81" s="43"/>
      <c r="T81" s="17">
        <f t="shared" si="100"/>
        <v>280200</v>
      </c>
      <c r="U81" s="162">
        <f>U48+U58+U66+U72+U79</f>
        <v>314542.58999999997</v>
      </c>
      <c r="V81" s="154">
        <f>T81-U81</f>
        <v>-34342.589999999967</v>
      </c>
      <c r="W81" s="17"/>
      <c r="X81" s="17">
        <f t="shared" si="100"/>
        <v>272600</v>
      </c>
      <c r="Y81" s="162">
        <f>Y48+Y58+Y66+Y72+Y79</f>
        <v>281595.23</v>
      </c>
      <c r="Z81" s="154">
        <f>X81-Y81</f>
        <v>-8995.2299999999814</v>
      </c>
      <c r="AA81" s="17"/>
      <c r="AB81" s="17">
        <f t="shared" si="100"/>
        <v>278400</v>
      </c>
      <c r="AC81" s="162">
        <f>AC48+AC58+AC66+AC72+AC79</f>
        <v>281517.23</v>
      </c>
      <c r="AD81" s="154">
        <f>AB81-AC81</f>
        <v>-3117.2299999999814</v>
      </c>
      <c r="AE81" s="17"/>
      <c r="AF81" s="17">
        <f t="shared" si="100"/>
        <v>280900</v>
      </c>
      <c r="AG81" s="162">
        <f>AG48+AG58+AG66+AG72+AG79</f>
        <v>269761</v>
      </c>
      <c r="AH81" s="154">
        <f>AF81-AG81</f>
        <v>11139</v>
      </c>
      <c r="AI81" s="17"/>
      <c r="AJ81" s="17">
        <f t="shared" si="100"/>
        <v>274800</v>
      </c>
      <c r="AK81" s="162">
        <f>AK48+AK58+AK66+AK72+AK79</f>
        <v>288366</v>
      </c>
      <c r="AL81" s="154">
        <f>AJ81-AK81</f>
        <v>-13566</v>
      </c>
      <c r="AM81" s="17"/>
      <c r="AN81" s="17">
        <f t="shared" si="100"/>
        <v>306800</v>
      </c>
      <c r="AO81" s="162">
        <f>AO48+AO58+AO66+AO72+AO79</f>
        <v>270873.5</v>
      </c>
      <c r="AP81" s="154">
        <f>AN81-AO81</f>
        <v>35926.5</v>
      </c>
      <c r="AQ81" s="17"/>
      <c r="AR81" s="17">
        <f t="shared" si="100"/>
        <v>276700</v>
      </c>
      <c r="AS81" s="162">
        <f>AS48+AS58+AS66+AS72+AS79</f>
        <v>299368.78000000003</v>
      </c>
      <c r="AT81" s="154">
        <f>AR81-AS81</f>
        <v>-22668.780000000028</v>
      </c>
      <c r="AU81" s="17"/>
      <c r="AV81" s="17">
        <f t="shared" si="100"/>
        <v>288400</v>
      </c>
      <c r="AW81" s="162">
        <f>AW48+AW58+AW66+AW72+AW79</f>
        <v>283185.68</v>
      </c>
      <c r="AX81" s="154">
        <f>AV81-AW81</f>
        <v>5214.320000000007</v>
      </c>
      <c r="AY81" s="17"/>
      <c r="AZ81" s="17">
        <f t="shared" si="100"/>
        <v>301900</v>
      </c>
      <c r="BA81" s="162">
        <f>BA48+BA58+BA66+BA72+BA79</f>
        <v>323840.27</v>
      </c>
      <c r="BB81" s="154">
        <f>AZ81-BA81</f>
        <v>-21940.270000000019</v>
      </c>
      <c r="BC81" s="17"/>
      <c r="BE81" s="119"/>
      <c r="BG81" s="17">
        <f t="shared" ref="BG81" si="101">BG48+BG58+BG66+BG72+BG79</f>
        <v>3363611.9</v>
      </c>
      <c r="BH81" s="160">
        <f t="shared" ref="BH81" si="102">+Q81+M81+I81+U81+Y81+AC81+AG81+AK81+AO81+AS81+AW81+BA81</f>
        <v>3423678.2800000003</v>
      </c>
      <c r="BI81" s="154">
        <f>BG81-BH81</f>
        <v>-60066.380000000354</v>
      </c>
    </row>
    <row r="82" spans="1:61" s="3" customFormat="1" x14ac:dyDescent="0.2">
      <c r="A82"/>
      <c r="B82" s="14"/>
      <c r="C82" s="44"/>
      <c r="D82" s="44"/>
      <c r="E82" s="44"/>
      <c r="F82" s="44"/>
      <c r="H82" s="43"/>
      <c r="I82" s="162"/>
      <c r="J82" s="154"/>
      <c r="K82" s="43"/>
      <c r="L82" s="43"/>
      <c r="M82" s="162"/>
      <c r="N82" s="154"/>
      <c r="O82" s="43"/>
      <c r="P82" s="43"/>
      <c r="Q82" s="43"/>
      <c r="R82" s="43"/>
      <c r="S82" s="43"/>
      <c r="T82" s="43"/>
      <c r="U82" s="43"/>
      <c r="V82" s="43"/>
      <c r="W82" s="43"/>
      <c r="X82" s="43"/>
      <c r="Y82" s="43"/>
      <c r="Z82" s="154"/>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E82" s="119"/>
      <c r="BG82" s="43"/>
      <c r="BH82" s="43"/>
      <c r="BI82" s="43"/>
    </row>
    <row r="83" spans="1:61" s="3" customFormat="1" x14ac:dyDescent="0.2">
      <c r="A83" s="25" t="s">
        <v>97</v>
      </c>
      <c r="B83" s="139"/>
      <c r="C83" s="54"/>
      <c r="D83" s="54"/>
      <c r="E83" s="54"/>
      <c r="F83" s="54">
        <f>F41-F81</f>
        <v>937830.87752943859</v>
      </c>
      <c r="G83" s="80"/>
      <c r="H83" s="54">
        <f>H41-H81</f>
        <v>188857.62669610744</v>
      </c>
      <c r="I83" s="165">
        <f>I41-I81</f>
        <v>-14717.430000000168</v>
      </c>
      <c r="J83" s="157">
        <f>I83-H83</f>
        <v>-203575.05669610761</v>
      </c>
      <c r="K83" s="54"/>
      <c r="L83" s="54">
        <f t="shared" ref="L83:AZ83" si="103">L41-L81</f>
        <v>145473.25083333359</v>
      </c>
      <c r="M83" s="165">
        <f>M41-M81</f>
        <v>75729</v>
      </c>
      <c r="N83" s="157">
        <f>M83-L83</f>
        <v>-69744.250833333586</v>
      </c>
      <c r="O83" s="54"/>
      <c r="P83" s="211">
        <f t="shared" si="103"/>
        <v>133200</v>
      </c>
      <c r="Q83" s="165">
        <f>Q41-Q81</f>
        <v>-10216</v>
      </c>
      <c r="R83" s="157">
        <f>Q83-P83</f>
        <v>-143416</v>
      </c>
      <c r="S83" s="54"/>
      <c r="T83" s="211">
        <f t="shared" si="103"/>
        <v>132500</v>
      </c>
      <c r="U83" s="165">
        <f>U41-U81</f>
        <v>91021.410000000033</v>
      </c>
      <c r="V83" s="211">
        <f>U83-T83</f>
        <v>-41478.589999999967</v>
      </c>
      <c r="W83" s="211"/>
      <c r="X83" s="211">
        <f t="shared" si="103"/>
        <v>154800</v>
      </c>
      <c r="Y83" s="165">
        <f>Y41-Y81</f>
        <v>-14310.149999999965</v>
      </c>
      <c r="Z83" s="157">
        <f>Y83-X83</f>
        <v>-169110.14999999997</v>
      </c>
      <c r="AA83" s="211"/>
      <c r="AB83" s="211">
        <f t="shared" si="103"/>
        <v>132000</v>
      </c>
      <c r="AC83" s="165">
        <f>AC41-AC81</f>
        <v>235569.77000000002</v>
      </c>
      <c r="AD83" s="157">
        <f>AC83-AB83</f>
        <v>103569.77000000002</v>
      </c>
      <c r="AE83" s="211"/>
      <c r="AF83" s="211">
        <f t="shared" si="103"/>
        <v>199900</v>
      </c>
      <c r="AG83" s="165">
        <f>AG41-AG81</f>
        <v>237913</v>
      </c>
      <c r="AH83" s="157">
        <f>AG83-AF83</f>
        <v>38013</v>
      </c>
      <c r="AI83" s="211"/>
      <c r="AJ83" s="211">
        <f t="shared" si="103"/>
        <v>213700</v>
      </c>
      <c r="AK83" s="165">
        <f>AK41-AK81</f>
        <v>539904</v>
      </c>
      <c r="AL83" s="157">
        <f>AK83-AJ83</f>
        <v>326204</v>
      </c>
      <c r="AM83" s="211"/>
      <c r="AN83" s="211">
        <f t="shared" si="103"/>
        <v>194400</v>
      </c>
      <c r="AO83" s="165">
        <f>AO41-AO81</f>
        <v>72314.5</v>
      </c>
      <c r="AP83" s="157">
        <f>AO83-AN83</f>
        <v>-122085.5</v>
      </c>
      <c r="AQ83" s="211"/>
      <c r="AR83" s="211">
        <f t="shared" si="103"/>
        <v>240800</v>
      </c>
      <c r="AS83" s="165">
        <f>AS41-AS81</f>
        <v>-23520.780000000028</v>
      </c>
      <c r="AT83" s="157">
        <f>AS83-AR83</f>
        <v>-264320.78000000003</v>
      </c>
      <c r="AU83" s="211"/>
      <c r="AV83" s="211">
        <f t="shared" si="103"/>
        <v>242800</v>
      </c>
      <c r="AW83" s="165">
        <f>AW41-AW81</f>
        <v>61706.320000000007</v>
      </c>
      <c r="AX83" s="157">
        <f>AW83-AV83</f>
        <v>-181093.68</v>
      </c>
      <c r="AY83" s="211"/>
      <c r="AZ83" s="211">
        <f t="shared" si="103"/>
        <v>244900</v>
      </c>
      <c r="BA83" s="165">
        <f>BA41-BA81</f>
        <v>-22187.530000000028</v>
      </c>
      <c r="BB83" s="157">
        <f>BA83-AZ83</f>
        <v>-267087.53000000003</v>
      </c>
      <c r="BC83" s="211"/>
      <c r="BE83" s="119"/>
      <c r="BG83" s="211">
        <f t="shared" ref="BG83" si="104">BG41-BG81</f>
        <v>2223330.8775294391</v>
      </c>
      <c r="BH83" s="165">
        <f>BH41-BH81</f>
        <v>1229206.1100000003</v>
      </c>
      <c r="BI83" s="157">
        <f>BH83-BG83</f>
        <v>-994124.76752943872</v>
      </c>
    </row>
    <row r="84" spans="1:61" s="3" customFormat="1" x14ac:dyDescent="0.2">
      <c r="A84" s="27" t="s">
        <v>98</v>
      </c>
      <c r="B84" s="140"/>
      <c r="C84" s="12"/>
      <c r="D84" s="12"/>
      <c r="E84" s="12"/>
      <c r="F84" s="12">
        <f>F83/F11</f>
        <v>3.4492423584956224E-2</v>
      </c>
      <c r="G84" s="81"/>
      <c r="H84" s="12">
        <f>H83/H11</f>
        <v>8.3450933163685029E-2</v>
      </c>
      <c r="I84" s="148">
        <f>I83/I11</f>
        <v>-1.0697963616312676E-2</v>
      </c>
      <c r="J84" s="12"/>
      <c r="K84" s="12"/>
      <c r="L84" s="12">
        <f>L83/L11</f>
        <v>6.6320851272572631E-2</v>
      </c>
      <c r="M84" s="148">
        <f>M83/M11</f>
        <v>4.4320488239962354E-2</v>
      </c>
      <c r="N84" s="12"/>
      <c r="O84" s="47"/>
      <c r="P84" s="12">
        <f>P83/P11</f>
        <v>6.1456122543139244E-2</v>
      </c>
      <c r="Q84" s="148">
        <f>Q83/Q11</f>
        <v>-8.1289297917001534E-3</v>
      </c>
      <c r="R84" s="12"/>
      <c r="S84" s="47"/>
      <c r="T84" s="12">
        <f>T83/T11</f>
        <v>6.0400237042439714E-2</v>
      </c>
      <c r="U84" s="148">
        <f>U83/U11</f>
        <v>5.2298050603412034E-2</v>
      </c>
      <c r="V84" s="12"/>
      <c r="W84" s="47"/>
      <c r="X84" s="12">
        <f>X83/X11</f>
        <v>6.9874514760314171E-2</v>
      </c>
      <c r="Y84" s="148">
        <f>Y83/Y11</f>
        <v>-9.4739904943305382E-3</v>
      </c>
      <c r="Z84" s="256"/>
      <c r="AA84" s="47"/>
      <c r="AB84" s="12">
        <f>AB83/AB11</f>
        <v>5.8435521714108637E-2</v>
      </c>
      <c r="AC84" s="148">
        <f>AC83/AC11</f>
        <v>9.1366988315082803E-2</v>
      </c>
      <c r="AD84" s="47"/>
      <c r="AE84" s="47"/>
      <c r="AF84" s="12">
        <f>AF83/AF11</f>
        <v>8.7740859412720015E-2</v>
      </c>
      <c r="AG84" s="148">
        <f>AG83/AG11</f>
        <v>9.9171655546764867E-2</v>
      </c>
      <c r="AH84" s="47"/>
      <c r="AI84" s="47"/>
      <c r="AJ84" s="12">
        <f>AJ83/AJ11</f>
        <v>9.3355467214188984E-2</v>
      </c>
      <c r="AK84" s="148">
        <f>AK83/AK11</f>
        <v>0.19375474828397871</v>
      </c>
      <c r="AL84" s="47"/>
      <c r="AM84" s="47"/>
      <c r="AN84" s="47"/>
      <c r="AO84" s="148">
        <f>AO83/AO11</f>
        <v>5.1383889300224965E-2</v>
      </c>
      <c r="AP84" s="47"/>
      <c r="AQ84" s="47"/>
      <c r="AR84" s="47"/>
      <c r="AS84" s="148">
        <f>AS83/AS11</f>
        <v>-1.5472426182792251E-2</v>
      </c>
      <c r="AT84" s="47"/>
      <c r="AU84" s="47"/>
      <c r="AV84" s="47"/>
      <c r="AW84" s="148">
        <f>AW83/AW11</f>
        <v>3.4242062703724957E-2</v>
      </c>
      <c r="AX84" s="47"/>
      <c r="AY84" s="47"/>
      <c r="AZ84" s="47"/>
      <c r="BA84" s="47"/>
      <c r="BB84" s="47"/>
      <c r="BC84" s="47"/>
      <c r="BE84" s="119"/>
      <c r="BG84" s="12">
        <f>BG83/BG11</f>
        <v>8.1771748227441571E-2</v>
      </c>
      <c r="BH84" s="148">
        <f>BH83/BH11</f>
        <v>5.7757078793641649E-2</v>
      </c>
      <c r="BI84" s="12"/>
    </row>
    <row r="85" spans="1:61" s="3" customFormat="1" x14ac:dyDescent="0.2">
      <c r="A85" s="23"/>
      <c r="B85" s="135"/>
      <c r="C85" s="47"/>
      <c r="D85" s="47"/>
      <c r="E85" s="47"/>
      <c r="F85" s="47"/>
      <c r="G85" s="78"/>
      <c r="H85" s="47"/>
      <c r="I85" s="166"/>
      <c r="J85" s="158"/>
      <c r="K85" s="47"/>
      <c r="L85" s="47"/>
      <c r="M85" s="166"/>
      <c r="N85" s="158"/>
      <c r="O85" s="47"/>
      <c r="P85" s="47"/>
      <c r="Q85" s="47"/>
      <c r="R85" s="47"/>
      <c r="S85" s="47"/>
      <c r="T85" s="47"/>
      <c r="U85" s="47"/>
      <c r="V85" s="47"/>
      <c r="W85" s="47"/>
      <c r="X85" s="47"/>
      <c r="Y85" s="47"/>
      <c r="Z85" s="158"/>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c r="BC85" s="47"/>
      <c r="BE85" s="119"/>
      <c r="BG85" s="47"/>
      <c r="BH85" s="47"/>
      <c r="BI85" s="47"/>
    </row>
    <row r="86" spans="1:61" s="3" customFormat="1" x14ac:dyDescent="0.2">
      <c r="A86" s="23" t="s">
        <v>99</v>
      </c>
      <c r="B86" s="135"/>
      <c r="C86" s="47"/>
      <c r="D86" s="47"/>
      <c r="E86" s="47"/>
      <c r="F86" s="47"/>
      <c r="G86" s="78"/>
      <c r="H86" s="47"/>
      <c r="I86" s="166"/>
      <c r="J86" s="158"/>
      <c r="K86" s="47"/>
      <c r="L86" s="47"/>
      <c r="M86" s="166"/>
      <c r="N86" s="158"/>
      <c r="O86" s="47"/>
      <c r="P86" s="47"/>
      <c r="Q86" s="47"/>
      <c r="R86" s="47"/>
      <c r="S86" s="47"/>
      <c r="T86" s="47"/>
      <c r="U86" s="47"/>
      <c r="V86" s="47"/>
      <c r="W86" s="47"/>
      <c r="X86" s="47"/>
      <c r="Y86" s="47"/>
      <c r="Z86" s="158"/>
      <c r="AA86" s="47"/>
      <c r="AB86" s="47"/>
      <c r="AC86" s="47"/>
      <c r="AD86" s="47"/>
      <c r="AE86" s="47"/>
      <c r="AF86" s="47"/>
      <c r="AG86" s="47"/>
      <c r="AH86" s="47"/>
      <c r="AI86" s="47"/>
      <c r="AJ86" s="47"/>
      <c r="AK86" s="264"/>
      <c r="AL86" s="47"/>
      <c r="AM86" s="47"/>
      <c r="AN86" s="47"/>
      <c r="AO86" s="264"/>
      <c r="AP86" s="47"/>
      <c r="AQ86" s="47"/>
      <c r="AR86" s="47"/>
      <c r="AS86" s="264"/>
      <c r="AT86" s="47"/>
      <c r="AU86" s="47"/>
      <c r="AV86" s="47"/>
      <c r="AW86" s="47"/>
      <c r="AX86" s="47"/>
      <c r="AY86" s="47"/>
      <c r="AZ86" s="47"/>
      <c r="BA86" s="47"/>
      <c r="BB86" s="47"/>
      <c r="BC86" s="47"/>
      <c r="BE86" s="119"/>
      <c r="BG86" s="47"/>
      <c r="BH86" s="47"/>
      <c r="BI86" s="47"/>
    </row>
    <row r="87" spans="1:61" s="3" customFormat="1" x14ac:dyDescent="0.2">
      <c r="A87" t="s">
        <v>100</v>
      </c>
      <c r="B87" s="135"/>
      <c r="C87" s="47"/>
      <c r="D87" s="47"/>
      <c r="E87" s="47"/>
      <c r="F87" s="47"/>
      <c r="G87" s="78"/>
      <c r="H87" s="47"/>
      <c r="I87" s="162">
        <v>1028</v>
      </c>
      <c r="J87" s="158"/>
      <c r="K87" s="47"/>
      <c r="L87" s="47"/>
      <c r="M87" s="162"/>
      <c r="N87" s="158"/>
      <c r="O87" s="47"/>
      <c r="P87" s="17">
        <f>ROUND(+'2024  Bdg vs Actual-CA'!W87+'2024 Bdg vs Actual -OH'!W87,-2)</f>
        <v>0</v>
      </c>
      <c r="Q87" s="47"/>
      <c r="R87" s="152"/>
      <c r="S87" s="47"/>
      <c r="T87" s="17">
        <v>0</v>
      </c>
      <c r="U87" s="47"/>
      <c r="V87" s="154">
        <f>U87-T87</f>
        <v>0</v>
      </c>
      <c r="W87" s="47"/>
      <c r="X87" s="17">
        <v>0</v>
      </c>
      <c r="Y87" s="162">
        <v>0</v>
      </c>
      <c r="Z87" s="154">
        <f t="shared" ref="Z87:Z88" si="105">Y87-X87</f>
        <v>0</v>
      </c>
      <c r="AA87" s="47"/>
      <c r="AB87" s="47"/>
      <c r="AC87" s="47"/>
      <c r="AD87" s="47"/>
      <c r="AE87" s="47"/>
      <c r="AF87" s="47"/>
      <c r="AG87" s="47"/>
      <c r="AH87" s="47"/>
      <c r="AI87" s="47"/>
      <c r="AJ87" s="47"/>
      <c r="AK87" s="47"/>
      <c r="AL87" s="47"/>
      <c r="AM87" s="47"/>
      <c r="AN87" s="47"/>
      <c r="AO87" s="162">
        <v>1090</v>
      </c>
      <c r="AP87" s="47"/>
      <c r="AQ87" s="47"/>
      <c r="AR87" s="47"/>
      <c r="AS87" s="162">
        <v>2411</v>
      </c>
      <c r="AT87" s="47"/>
      <c r="AU87" s="47"/>
      <c r="AV87" s="47"/>
      <c r="AW87" s="162">
        <v>1801</v>
      </c>
      <c r="AX87" s="47"/>
      <c r="AY87" s="47"/>
      <c r="AZ87" s="47"/>
      <c r="BA87" s="162">
        <v>1994</v>
      </c>
      <c r="BB87" s="47"/>
      <c r="BC87" s="47"/>
      <c r="BE87" s="119"/>
      <c r="BG87" s="17">
        <f t="shared" ref="BG87:BG88" si="106">+P87+L87+H87+T87+X87+AB87+AF87+AJ87+AN87+AR87</f>
        <v>0</v>
      </c>
      <c r="BH87" s="160">
        <f t="shared" ref="BH87:BH88" si="107">+Q87+M87+I87+U87+Y87+AC87+AG87+AK87+AO87+AS87+AW87+BA87</f>
        <v>8324</v>
      </c>
      <c r="BI87" s="152">
        <f t="shared" ref="BI87:BI88" si="108">+BH87-BG87</f>
        <v>8324</v>
      </c>
    </row>
    <row r="88" spans="1:61" ht="51" x14ac:dyDescent="0.2">
      <c r="A88" t="s">
        <v>99</v>
      </c>
      <c r="C88" s="44"/>
      <c r="D88" s="44"/>
      <c r="E88" s="44"/>
      <c r="F88" s="44"/>
      <c r="H88" s="43"/>
      <c r="I88" s="162">
        <v>600000</v>
      </c>
      <c r="J88" s="154"/>
      <c r="K88" s="43"/>
      <c r="L88" s="43"/>
      <c r="M88" s="162"/>
      <c r="N88" s="154"/>
      <c r="O88" s="43"/>
      <c r="P88" s="17">
        <f>ROUND(+'2024  Bdg vs Actual-CA'!W88+'2024 Bdg vs Actual -OH'!W88,-2)</f>
        <v>0</v>
      </c>
      <c r="Q88" s="162">
        <v>35</v>
      </c>
      <c r="R88" s="152"/>
      <c r="S88" s="43"/>
      <c r="T88" s="17">
        <v>0</v>
      </c>
      <c r="U88" s="162">
        <v>19789</v>
      </c>
      <c r="V88" s="154">
        <f>U88-T88</f>
        <v>19789</v>
      </c>
      <c r="W88" s="43"/>
      <c r="X88" s="17">
        <v>0</v>
      </c>
      <c r="Y88" s="162">
        <v>90848</v>
      </c>
      <c r="Z88" s="154">
        <f t="shared" si="105"/>
        <v>90848</v>
      </c>
      <c r="AA88" s="255" t="s">
        <v>101</v>
      </c>
      <c r="AB88" s="43">
        <v>0</v>
      </c>
      <c r="AC88" s="162">
        <v>3246</v>
      </c>
      <c r="AD88" s="154">
        <f>AC88-AB88</f>
        <v>3246</v>
      </c>
      <c r="AE88" s="43"/>
      <c r="AF88" s="43">
        <v>0</v>
      </c>
      <c r="AG88" s="162">
        <v>0</v>
      </c>
      <c r="AH88" s="154">
        <f>AG88-AF88</f>
        <v>0</v>
      </c>
      <c r="AI88" s="43"/>
      <c r="AJ88" s="43">
        <v>0</v>
      </c>
      <c r="AK88" s="162">
        <v>0</v>
      </c>
      <c r="AL88" s="154">
        <f>AK88-AJ88</f>
        <v>0</v>
      </c>
      <c r="AM88" s="43"/>
      <c r="AN88" s="43">
        <v>0</v>
      </c>
      <c r="AO88" s="162">
        <v>0</v>
      </c>
      <c r="AP88" s="154">
        <f>AO88-AN88</f>
        <v>0</v>
      </c>
      <c r="AQ88" s="43"/>
      <c r="AR88" s="43"/>
      <c r="AS88" s="162">
        <v>9520</v>
      </c>
      <c r="AT88" s="154">
        <f>AS88-AR88</f>
        <v>9520</v>
      </c>
      <c r="AU88" s="43"/>
      <c r="AV88" s="43"/>
      <c r="AW88" s="43"/>
      <c r="AX88" s="154">
        <f>AW88-AV88</f>
        <v>0</v>
      </c>
      <c r="AY88" s="43"/>
      <c r="AZ88" s="43"/>
      <c r="BA88" s="43"/>
      <c r="BB88" s="154">
        <f>BA88-AZ88</f>
        <v>0</v>
      </c>
      <c r="BC88" s="43"/>
      <c r="BG88" s="17">
        <f t="shared" si="106"/>
        <v>0</v>
      </c>
      <c r="BH88" s="160">
        <f t="shared" si="107"/>
        <v>723438</v>
      </c>
      <c r="BI88" s="152">
        <f t="shared" si="108"/>
        <v>723438</v>
      </c>
    </row>
    <row r="89" spans="1:61" x14ac:dyDescent="0.2">
      <c r="A89" s="167" t="s">
        <v>102</v>
      </c>
      <c r="B89" s="135"/>
      <c r="C89" s="47"/>
      <c r="D89" s="47"/>
      <c r="E89" s="47"/>
      <c r="F89" s="47"/>
      <c r="G89" s="78"/>
      <c r="H89" s="168"/>
      <c r="I89" s="163">
        <f>I87+I88</f>
        <v>601028</v>
      </c>
      <c r="J89" s="156"/>
      <c r="K89" s="43"/>
      <c r="L89" s="43"/>
      <c r="M89" s="163">
        <f>M87+M88</f>
        <v>0</v>
      </c>
      <c r="N89" s="156"/>
      <c r="O89" s="43"/>
      <c r="P89" s="61">
        <f>SUM(P87:P88)</f>
        <v>0</v>
      </c>
      <c r="Q89" s="164">
        <f>SUM(Q87:Q88)</f>
        <v>35</v>
      </c>
      <c r="R89" s="202">
        <f>Q89-P89</f>
        <v>35</v>
      </c>
      <c r="S89" s="43"/>
      <c r="T89" s="61">
        <f>SUM(T87:T88)</f>
        <v>0</v>
      </c>
      <c r="U89" s="202">
        <f>SUM(U87:U88)</f>
        <v>19789</v>
      </c>
      <c r="V89" s="202">
        <f>U89-T89</f>
        <v>19789</v>
      </c>
      <c r="W89" s="43"/>
      <c r="X89" s="61">
        <f>SUM(X87:X88)</f>
        <v>0</v>
      </c>
      <c r="Y89" s="164">
        <f>SUM(Y87:Y88)</f>
        <v>90848</v>
      </c>
      <c r="Z89" s="202">
        <f>Y89-X89</f>
        <v>90848</v>
      </c>
      <c r="AA89" s="43"/>
      <c r="AB89" s="61">
        <f>SUM(AB87:AB88)</f>
        <v>0</v>
      </c>
      <c r="AC89" s="164">
        <f>SUM(AC87:AC88)</f>
        <v>3246</v>
      </c>
      <c r="AD89" s="202">
        <f>AC89-AB89</f>
        <v>3246</v>
      </c>
      <c r="AE89" s="43"/>
      <c r="AF89" s="61">
        <f>SUM(AF87:AF88)</f>
        <v>0</v>
      </c>
      <c r="AG89" s="164">
        <f>SUM(AG87:AG88)</f>
        <v>0</v>
      </c>
      <c r="AH89" s="202">
        <f>AG89-AF89</f>
        <v>0</v>
      </c>
      <c r="AI89" s="43"/>
      <c r="AJ89" s="61">
        <f>SUM(AJ87:AJ88)</f>
        <v>0</v>
      </c>
      <c r="AK89" s="164">
        <f>SUM(AK87:AK88)</f>
        <v>0</v>
      </c>
      <c r="AL89" s="202">
        <f>AK89-AJ89</f>
        <v>0</v>
      </c>
      <c r="AM89" s="43"/>
      <c r="AN89" s="61">
        <f>SUM(AN87:AN88)</f>
        <v>0</v>
      </c>
      <c r="AO89" s="164">
        <f>SUM(AO87:AO88)</f>
        <v>1090</v>
      </c>
      <c r="AP89" s="202">
        <f>AO89-AN89</f>
        <v>1090</v>
      </c>
      <c r="AQ89" s="43"/>
      <c r="AR89" s="43"/>
      <c r="AS89" s="164">
        <f>SUM(AS87:AS88)</f>
        <v>11931</v>
      </c>
      <c r="AT89" s="202">
        <f>AS89-AR89</f>
        <v>11931</v>
      </c>
      <c r="AU89" s="43"/>
      <c r="AV89" s="43"/>
      <c r="AW89" s="164">
        <f>SUM(AW87:AW88)</f>
        <v>1801</v>
      </c>
      <c r="AX89" s="202">
        <f>AW89-AV89</f>
        <v>1801</v>
      </c>
      <c r="AY89" s="43"/>
      <c r="AZ89" s="43"/>
      <c r="BA89" s="164">
        <f>SUM(BA87:BA88)</f>
        <v>1994</v>
      </c>
      <c r="BB89" s="202">
        <f>BA89-AZ89</f>
        <v>1994</v>
      </c>
      <c r="BC89" s="43"/>
      <c r="BG89" s="61">
        <f>SUM(BG87:BG88)</f>
        <v>0</v>
      </c>
      <c r="BH89" s="164">
        <f>SUM(BH87:BH88)</f>
        <v>731762</v>
      </c>
      <c r="BI89" s="202">
        <f>BH89-BG89</f>
        <v>731762</v>
      </c>
    </row>
    <row r="90" spans="1:61" x14ac:dyDescent="0.2">
      <c r="A90" s="23" t="s">
        <v>103</v>
      </c>
      <c r="C90" s="44"/>
      <c r="D90" s="44"/>
      <c r="E90" s="44"/>
      <c r="F90" s="44"/>
      <c r="H90" s="43"/>
      <c r="I90" s="162"/>
      <c r="J90" s="154"/>
      <c r="K90" s="43"/>
      <c r="L90" s="43"/>
      <c r="M90" s="162"/>
      <c r="N90" s="154"/>
      <c r="O90" s="43"/>
      <c r="P90" s="43"/>
      <c r="Q90" s="43"/>
      <c r="R90" s="152"/>
      <c r="S90" s="43"/>
      <c r="T90" s="43"/>
      <c r="U90" s="43"/>
      <c r="V90" s="43"/>
      <c r="W90" s="43"/>
      <c r="X90" s="43"/>
      <c r="Y90" s="43"/>
      <c r="Z90" s="154"/>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G90" s="43"/>
      <c r="BH90" s="43"/>
      <c r="BI90" s="152"/>
    </row>
    <row r="91" spans="1:61" s="3" customFormat="1" x14ac:dyDescent="0.2">
      <c r="A91" t="s">
        <v>104</v>
      </c>
      <c r="B91" s="14"/>
      <c r="C91" s="44"/>
      <c r="D91" s="44"/>
      <c r="E91" s="44"/>
      <c r="F91" s="44">
        <f>H91+L91+P91+T91+X91+AB91+AF91+AJ91+AN91+AR91+AV91+AZ91</f>
        <v>92900</v>
      </c>
      <c r="H91" s="43">
        <f>'2024  Bdg vs Actual-CA'!O91+'2024 Bdg vs Actual -OH'!O91</f>
        <v>10800</v>
      </c>
      <c r="I91" s="162">
        <v>11201</v>
      </c>
      <c r="J91" s="154">
        <f>H91-I91</f>
        <v>-401</v>
      </c>
      <c r="K91" s="43"/>
      <c r="L91" s="43">
        <f>'2024  Bdg vs Actual-CA'!S92+'2024 Bdg vs Actual -OH'!S91</f>
        <v>8600</v>
      </c>
      <c r="M91" s="162">
        <v>10191</v>
      </c>
      <c r="N91" s="154">
        <f>L91-M91</f>
        <v>-1591</v>
      </c>
      <c r="O91" s="43"/>
      <c r="P91" s="17">
        <f>ROUND(+'2024  Bdg vs Actual-CA'!W91+'2024 Bdg vs Actual -OH'!W91,-2)</f>
        <v>10600</v>
      </c>
      <c r="Q91" s="162">
        <v>10597</v>
      </c>
      <c r="R91" s="152">
        <f t="shared" ref="R91:R93" si="109">P91-Q91</f>
        <v>3</v>
      </c>
      <c r="S91" s="43"/>
      <c r="T91" s="17">
        <f>'2024  Bdg vs Actual-CA'!AA91+'2024 Bdg vs Actual -OH'!AA91</f>
        <v>9100</v>
      </c>
      <c r="U91" s="162">
        <v>9419</v>
      </c>
      <c r="V91" s="181">
        <f>T91-U91</f>
        <v>-319</v>
      </c>
      <c r="W91" s="17"/>
      <c r="X91" s="17">
        <f>'2024  Bdg vs Actual-CA'!AE92+'2024 Bdg vs Actual -OH'!AE91</f>
        <v>7200</v>
      </c>
      <c r="Y91" s="162">
        <v>9109</v>
      </c>
      <c r="Z91" s="181">
        <f>X91-Y91</f>
        <v>-1909</v>
      </c>
      <c r="AA91" s="17"/>
      <c r="AB91" s="17">
        <f>'2024  Bdg vs Actual-CA'!AI92+'2024 Bdg vs Actual -OH'!AI91</f>
        <v>7100</v>
      </c>
      <c r="AC91" s="162">
        <v>8905</v>
      </c>
      <c r="AD91" s="152">
        <f>AB91-AC91</f>
        <v>-1805</v>
      </c>
      <c r="AE91" s="17"/>
      <c r="AF91" s="17">
        <f>'2024  Bdg vs Actual-CA'!AM92+'2024 Bdg vs Actual -OH'!AM91</f>
        <v>6900</v>
      </c>
      <c r="AG91" s="162">
        <v>8816</v>
      </c>
      <c r="AH91" s="152">
        <f>AF91-AG91</f>
        <v>-1916</v>
      </c>
      <c r="AI91" s="17"/>
      <c r="AJ91" s="17">
        <f>'2024  Bdg vs Actual-CA'!AQ92+'2024 Bdg vs Actual -OH'!AQ91</f>
        <v>6800</v>
      </c>
      <c r="AK91" s="17">
        <v>8753</v>
      </c>
      <c r="AL91" s="152">
        <f>AJ91-AK91</f>
        <v>-1953</v>
      </c>
      <c r="AM91" s="17"/>
      <c r="AN91" s="17">
        <f>'2024  Bdg vs Actual-CA'!AU92+'2024 Bdg vs Actual -OH'!AU91</f>
        <v>6700</v>
      </c>
      <c r="AO91" s="17">
        <v>8541</v>
      </c>
      <c r="AP91" s="152">
        <f>AN91-AO91</f>
        <v>-1841</v>
      </c>
      <c r="AQ91" s="17"/>
      <c r="AR91" s="17">
        <f>'2024  Bdg vs Actual-CA'!AY92+'2024 Bdg vs Actual -OH'!AY91</f>
        <v>6500</v>
      </c>
      <c r="AS91" s="17">
        <v>8212</v>
      </c>
      <c r="AT91" s="152">
        <f>AR91-AS91</f>
        <v>-1712</v>
      </c>
      <c r="AU91" s="17"/>
      <c r="AV91" s="17">
        <f>'2024  Bdg vs Actual-CA'!BC92+'2024 Bdg vs Actual -OH'!BC91</f>
        <v>6400</v>
      </c>
      <c r="AW91" s="162">
        <v>8053</v>
      </c>
      <c r="AX91" s="152">
        <f>AV91-AW91</f>
        <v>-1653</v>
      </c>
      <c r="AY91" s="17"/>
      <c r="AZ91" s="17">
        <f>'2024  Bdg vs Actual-CA'!BG92+'2024 Bdg vs Actual -OH'!BG91</f>
        <v>6200</v>
      </c>
      <c r="BA91" s="17">
        <v>7787</v>
      </c>
      <c r="BB91" s="152">
        <f>AZ91-BA91</f>
        <v>-1587</v>
      </c>
      <c r="BC91" s="17"/>
      <c r="BE91" s="166"/>
      <c r="BG91" s="17">
        <f t="shared" ref="BG91:BG93" si="110">+P91+L91+H91+T91+X91+AB91+AF91+AJ91+AN91+AR91+AV91+AZ91</f>
        <v>92900</v>
      </c>
      <c r="BH91" s="160">
        <f t="shared" ref="BH91:BH93" si="111">+Q91+M91+I91+U91+Y91+AC91+AG91+AK91+AO91+AS91+AW91+BA91</f>
        <v>109584</v>
      </c>
      <c r="BI91" s="152">
        <f t="shared" ref="BI91:BI93" si="112">BG91-BH91</f>
        <v>-16684</v>
      </c>
    </row>
    <row r="92" spans="1:61" s="3" customFormat="1" x14ac:dyDescent="0.2">
      <c r="A92" t="s">
        <v>105</v>
      </c>
      <c r="B92" s="135"/>
      <c r="C92" s="47"/>
      <c r="D92" s="47"/>
      <c r="E92" s="47"/>
      <c r="F92" s="47">
        <v>77300</v>
      </c>
      <c r="G92" s="78"/>
      <c r="H92" s="43">
        <v>7400</v>
      </c>
      <c r="I92" s="162">
        <v>6327</v>
      </c>
      <c r="J92" s="154">
        <f>H92-I92</f>
        <v>1073</v>
      </c>
      <c r="K92" s="47"/>
      <c r="L92" s="47">
        <v>0</v>
      </c>
      <c r="M92" s="162">
        <v>52</v>
      </c>
      <c r="N92" s="154">
        <f>L92-M92</f>
        <v>-52</v>
      </c>
      <c r="O92" s="47"/>
      <c r="P92" s="17">
        <f>ROUND(+'2024  Bdg vs Actual-CA'!W92+'2024 Bdg vs Actual -OH'!W92,-2)</f>
        <v>17000</v>
      </c>
      <c r="Q92" s="162">
        <v>3171</v>
      </c>
      <c r="R92" s="152">
        <f t="shared" si="109"/>
        <v>13829</v>
      </c>
      <c r="S92" s="47"/>
      <c r="T92" s="17">
        <f>ROUND(+'2024  Bdg vs Actual-CA'!AA92+'2024 Bdg vs Actual -OH'!AA92,-2)</f>
        <v>0</v>
      </c>
      <c r="U92" s="162">
        <v>9351</v>
      </c>
      <c r="V92" s="181">
        <f>T92-U92</f>
        <v>-9351</v>
      </c>
      <c r="W92" s="17"/>
      <c r="X92" s="17">
        <v>0</v>
      </c>
      <c r="Y92" s="162">
        <v>1257</v>
      </c>
      <c r="Z92" s="181">
        <f>X92-Y92</f>
        <v>-1257</v>
      </c>
      <c r="AA92" s="17"/>
      <c r="AB92" s="17">
        <v>0</v>
      </c>
      <c r="AC92" s="162">
        <v>0</v>
      </c>
      <c r="AD92" s="152">
        <f>AB92-AC92</f>
        <v>0</v>
      </c>
      <c r="AE92" s="17"/>
      <c r="AF92" s="17">
        <v>8600</v>
      </c>
      <c r="AG92" s="162">
        <v>4450</v>
      </c>
      <c r="AH92" s="152">
        <f>AF92-AG92</f>
        <v>4150</v>
      </c>
      <c r="AI92" s="17"/>
      <c r="AJ92" s="17">
        <v>0</v>
      </c>
      <c r="AK92" s="17">
        <v>1538</v>
      </c>
      <c r="AL92" s="152">
        <f>AJ92-AK92</f>
        <v>-1538</v>
      </c>
      <c r="AM92" s="17"/>
      <c r="AN92" s="17">
        <v>3800</v>
      </c>
      <c r="AO92" s="17">
        <v>4118</v>
      </c>
      <c r="AP92" s="152">
        <f>AN92-AO92</f>
        <v>-318</v>
      </c>
      <c r="AQ92" s="17"/>
      <c r="AR92" s="17">
        <v>1000</v>
      </c>
      <c r="AS92" s="17">
        <v>7291</v>
      </c>
      <c r="AT92" s="152">
        <f>AR92-AS92</f>
        <v>-6291</v>
      </c>
      <c r="AU92" s="17"/>
      <c r="AV92" s="17">
        <v>15500</v>
      </c>
      <c r="AW92" s="162">
        <v>12733</v>
      </c>
      <c r="AX92" s="152">
        <f t="shared" ref="AX92:AX93" si="113">AV92-AW92</f>
        <v>2767</v>
      </c>
      <c r="AY92" s="17"/>
      <c r="AZ92" s="17">
        <v>23700</v>
      </c>
      <c r="BA92" s="17">
        <v>4718</v>
      </c>
      <c r="BB92" s="152">
        <f>AZ92-BA92</f>
        <v>18982</v>
      </c>
      <c r="BC92" s="17"/>
      <c r="BE92" s="166"/>
      <c r="BG92" s="17">
        <f t="shared" si="110"/>
        <v>77000</v>
      </c>
      <c r="BH92" s="160">
        <f t="shared" si="111"/>
        <v>55006</v>
      </c>
      <c r="BI92" s="152">
        <f t="shared" si="112"/>
        <v>21994</v>
      </c>
    </row>
    <row r="93" spans="1:61" s="3" customFormat="1" x14ac:dyDescent="0.2">
      <c r="A93" t="s">
        <v>106</v>
      </c>
      <c r="B93" s="135"/>
      <c r="C93" s="47"/>
      <c r="D93" s="47"/>
      <c r="E93" s="47"/>
      <c r="F93" s="47"/>
      <c r="G93" s="78"/>
      <c r="H93" s="47"/>
      <c r="I93" s="162">
        <v>27972</v>
      </c>
      <c r="J93" s="154">
        <f>H93-I93</f>
        <v>-27972</v>
      </c>
      <c r="K93" s="47"/>
      <c r="L93" s="205"/>
      <c r="M93" s="162">
        <v>34196</v>
      </c>
      <c r="N93" s="154">
        <f>L93-M93</f>
        <v>-34196</v>
      </c>
      <c r="O93" s="47" t="s">
        <v>107</v>
      </c>
      <c r="P93" s="17">
        <f>ROUND(+'2024  Bdg vs Actual-CA'!W93+'2024 Bdg vs Actual -OH'!W93,-2)</f>
        <v>0</v>
      </c>
      <c r="Q93" s="162">
        <v>43552</v>
      </c>
      <c r="R93" s="152">
        <f t="shared" si="109"/>
        <v>-43552</v>
      </c>
      <c r="S93" s="47"/>
      <c r="T93" s="17">
        <v>0</v>
      </c>
      <c r="U93" s="162">
        <v>28488</v>
      </c>
      <c r="V93" s="153">
        <f>T93-U93</f>
        <v>-28488</v>
      </c>
      <c r="W93" s="17"/>
      <c r="X93" s="17">
        <v>0</v>
      </c>
      <c r="Y93" s="162">
        <v>13250</v>
      </c>
      <c r="Z93" s="153">
        <f>X93-Y93</f>
        <v>-13250</v>
      </c>
      <c r="AA93" s="17"/>
      <c r="AB93" s="17">
        <v>0</v>
      </c>
      <c r="AC93" s="162">
        <v>28699</v>
      </c>
      <c r="AD93" s="153">
        <f>AB93-AC93</f>
        <v>-28699</v>
      </c>
      <c r="AE93" s="17"/>
      <c r="AF93" s="17">
        <v>0</v>
      </c>
      <c r="AG93" s="162">
        <v>20831</v>
      </c>
      <c r="AH93" s="153">
        <f>AF93-AG93</f>
        <v>-20831</v>
      </c>
      <c r="AI93" s="17"/>
      <c r="AJ93" s="17">
        <v>0</v>
      </c>
      <c r="AK93" s="17">
        <v>15612</v>
      </c>
      <c r="AL93" s="153">
        <f>AJ93-AK93</f>
        <v>-15612</v>
      </c>
      <c r="AM93" s="17"/>
      <c r="AN93" s="17">
        <v>0</v>
      </c>
      <c r="AO93" s="17">
        <v>16576</v>
      </c>
      <c r="AP93" s="153">
        <f>AN93-AO93</f>
        <v>-16576</v>
      </c>
      <c r="AQ93" s="17"/>
      <c r="AR93" s="17">
        <v>0</v>
      </c>
      <c r="AS93" s="17">
        <v>15462</v>
      </c>
      <c r="AT93" s="153">
        <f>AR93-AS93</f>
        <v>-15462</v>
      </c>
      <c r="AU93" s="17"/>
      <c r="AV93" s="17">
        <v>0</v>
      </c>
      <c r="AW93" s="162">
        <v>15308</v>
      </c>
      <c r="AX93" s="152">
        <f t="shared" si="113"/>
        <v>-15308</v>
      </c>
      <c r="AY93" s="17"/>
      <c r="AZ93" s="17">
        <v>0</v>
      </c>
      <c r="BA93" s="17">
        <v>18050</v>
      </c>
      <c r="BB93" s="153">
        <f>AZ93-BA93</f>
        <v>-18050</v>
      </c>
      <c r="BC93" s="17"/>
      <c r="BE93" s="119"/>
      <c r="BG93" s="17">
        <f t="shared" si="110"/>
        <v>0</v>
      </c>
      <c r="BH93" s="160">
        <f t="shared" si="111"/>
        <v>277996</v>
      </c>
      <c r="BI93" s="152">
        <f t="shared" si="112"/>
        <v>-277996</v>
      </c>
    </row>
    <row r="94" spans="1:61" s="3" customFormat="1" x14ac:dyDescent="0.2">
      <c r="A94" s="23" t="s">
        <v>108</v>
      </c>
      <c r="B94" s="135"/>
      <c r="C94" s="47"/>
      <c r="D94" s="47"/>
      <c r="E94" s="47"/>
      <c r="F94" s="47">
        <f>SUM(F91:F93)</f>
        <v>170200</v>
      </c>
      <c r="G94" s="78"/>
      <c r="H94" s="49">
        <f>SUM(H91:H93)</f>
        <v>18200</v>
      </c>
      <c r="I94" s="163">
        <f>SUM(I91:I93)</f>
        <v>45500</v>
      </c>
      <c r="J94" s="155">
        <f>H94-I94</f>
        <v>-27300</v>
      </c>
      <c r="K94" s="47"/>
      <c r="L94" s="47">
        <f>SUM(L91:L93)</f>
        <v>8600</v>
      </c>
      <c r="M94" s="163">
        <f>SUM(M91:M93)</f>
        <v>44439</v>
      </c>
      <c r="N94" s="155">
        <f>L94-M94</f>
        <v>-35839</v>
      </c>
      <c r="O94" s="47"/>
      <c r="P94" s="49">
        <f t="shared" ref="P94:Q94" si="114">SUM(P91:P93)</f>
        <v>27600</v>
      </c>
      <c r="Q94" s="163">
        <f t="shared" si="114"/>
        <v>57320</v>
      </c>
      <c r="R94" s="202">
        <f>P94-Q94</f>
        <v>-29720</v>
      </c>
      <c r="S94" s="47"/>
      <c r="T94" s="210">
        <f>SUM(T91:T93)</f>
        <v>9100</v>
      </c>
      <c r="U94" s="163">
        <f>SUM(U91:U93)</f>
        <v>47258</v>
      </c>
      <c r="V94" s="181">
        <f>T94-U94</f>
        <v>-38158</v>
      </c>
      <c r="W94" s="49"/>
      <c r="X94" s="49">
        <f t="shared" ref="X94:AZ94" si="115">SUM(X91:X93)</f>
        <v>7200</v>
      </c>
      <c r="Y94" s="163">
        <f>SUM(Y91:Y93)</f>
        <v>23616</v>
      </c>
      <c r="Z94" s="181">
        <f>X94-Y94</f>
        <v>-16416</v>
      </c>
      <c r="AA94" s="49"/>
      <c r="AB94" s="49">
        <f t="shared" si="115"/>
        <v>7100</v>
      </c>
      <c r="AC94" s="163">
        <f>SUM(AC91:AC93)</f>
        <v>37604</v>
      </c>
      <c r="AD94" s="152">
        <f>AB94-AC94</f>
        <v>-30504</v>
      </c>
      <c r="AE94" s="49"/>
      <c r="AF94" s="49">
        <f t="shared" si="115"/>
        <v>15500</v>
      </c>
      <c r="AG94" s="163">
        <f>SUM(AG91:AG93)</f>
        <v>34097</v>
      </c>
      <c r="AH94" s="152">
        <f>AF94-AG94</f>
        <v>-18597</v>
      </c>
      <c r="AI94" s="49"/>
      <c r="AJ94" s="49">
        <f t="shared" si="115"/>
        <v>6800</v>
      </c>
      <c r="AK94" s="163">
        <f>SUM(AK91:AK93)</f>
        <v>25903</v>
      </c>
      <c r="AL94" s="152">
        <f>AJ94-AK94</f>
        <v>-19103</v>
      </c>
      <c r="AM94" s="49"/>
      <c r="AN94" s="49">
        <f t="shared" si="115"/>
        <v>10500</v>
      </c>
      <c r="AO94" s="163">
        <f>SUM(AO91:AO93)</f>
        <v>29235</v>
      </c>
      <c r="AP94" s="152">
        <f>AN94-AO94</f>
        <v>-18735</v>
      </c>
      <c r="AQ94" s="49"/>
      <c r="AR94" s="49">
        <f t="shared" si="115"/>
        <v>7500</v>
      </c>
      <c r="AS94" s="163">
        <f>SUM(AS91:AS93)</f>
        <v>30965</v>
      </c>
      <c r="AT94" s="152">
        <f>AR94-AS94</f>
        <v>-23465</v>
      </c>
      <c r="AU94" s="49"/>
      <c r="AV94" s="49">
        <f t="shared" si="115"/>
        <v>21900</v>
      </c>
      <c r="AW94" s="163">
        <f>SUM(AW91:AW93)</f>
        <v>36094</v>
      </c>
      <c r="AX94" s="152">
        <f>AV94-AW94</f>
        <v>-14194</v>
      </c>
      <c r="AY94" s="49"/>
      <c r="AZ94" s="49">
        <f t="shared" si="115"/>
        <v>29900</v>
      </c>
      <c r="BA94" s="163">
        <f>SUM(BA91:BA93)</f>
        <v>30555</v>
      </c>
      <c r="BB94" s="152">
        <f>AZ94-BA94</f>
        <v>-655</v>
      </c>
      <c r="BC94" s="49"/>
      <c r="BE94" s="119"/>
      <c r="BG94" s="49">
        <f t="shared" ref="BG94" si="116">SUM(BG91:BG93)</f>
        <v>169900</v>
      </c>
      <c r="BH94" s="163">
        <f>SUM(BH91:BH93)</f>
        <v>442586</v>
      </c>
      <c r="BI94" s="202">
        <f>BG94-BH94</f>
        <v>-272686</v>
      </c>
    </row>
    <row r="95" spans="1:61" s="3" customFormat="1" x14ac:dyDescent="0.2">
      <c r="A95" s="23"/>
      <c r="B95" s="135"/>
      <c r="C95" s="47"/>
      <c r="D95" s="47"/>
      <c r="E95" s="47"/>
      <c r="F95" s="47"/>
      <c r="G95" s="78"/>
      <c r="H95" s="47"/>
      <c r="I95" s="166"/>
      <c r="J95" s="158"/>
      <c r="K95" s="47"/>
      <c r="L95" s="47"/>
      <c r="M95" s="166"/>
      <c r="N95" s="158"/>
      <c r="O95" s="47"/>
      <c r="P95" s="47"/>
      <c r="Q95" s="47"/>
      <c r="R95" s="152"/>
      <c r="S95" s="47"/>
      <c r="T95" s="47"/>
      <c r="U95" s="47"/>
      <c r="V95" s="47"/>
      <c r="W95" s="47"/>
      <c r="X95" s="47"/>
      <c r="Y95" s="47"/>
      <c r="Z95" s="158"/>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c r="BB95" s="47"/>
      <c r="BC95" s="47"/>
      <c r="BE95" s="119"/>
      <c r="BG95" s="47"/>
      <c r="BH95" s="47"/>
      <c r="BI95" s="152"/>
    </row>
    <row r="96" spans="1:61" s="3" customFormat="1" x14ac:dyDescent="0.2">
      <c r="A96" s="23" t="s">
        <v>109</v>
      </c>
      <c r="B96" s="135"/>
      <c r="C96" s="47"/>
      <c r="D96" s="47"/>
      <c r="E96" s="47"/>
      <c r="F96" s="47">
        <f>F83+F89-F94</f>
        <v>767630.87752943859</v>
      </c>
      <c r="G96" s="78"/>
      <c r="H96" s="54">
        <f>H83+H89-H94</f>
        <v>170657.62669610744</v>
      </c>
      <c r="I96" s="165">
        <f>I83+I89-I94</f>
        <v>540810.56999999983</v>
      </c>
      <c r="J96" s="157">
        <f>I96-H96</f>
        <v>370152.94330389239</v>
      </c>
      <c r="K96" s="47"/>
      <c r="L96" s="54">
        <f>L83+L89-L94</f>
        <v>136873.25083333359</v>
      </c>
      <c r="M96" s="165">
        <f>M83+M89-M94</f>
        <v>31290</v>
      </c>
      <c r="N96" s="157">
        <f>M96-L96</f>
        <v>-105583.25083333359</v>
      </c>
      <c r="O96" s="47"/>
      <c r="P96" s="211">
        <f>P83+P89-P94</f>
        <v>105600</v>
      </c>
      <c r="Q96" s="165">
        <f>Q83+Q89-Q94</f>
        <v>-67501</v>
      </c>
      <c r="R96" s="203">
        <f>Q96-P96</f>
        <v>-173101</v>
      </c>
      <c r="S96" s="47"/>
      <c r="T96" s="54">
        <f>T83+T89-T94</f>
        <v>123400</v>
      </c>
      <c r="U96" s="165">
        <f>U83+U89-U94</f>
        <v>63552.410000000033</v>
      </c>
      <c r="V96" s="203">
        <f>U96-T96</f>
        <v>-59847.589999999967</v>
      </c>
      <c r="W96" s="54"/>
      <c r="X96" s="54">
        <f t="shared" ref="X96:AZ96" si="117">X83+X89-X94</f>
        <v>147600</v>
      </c>
      <c r="Y96" s="165">
        <f>Y83+Y89-Y94</f>
        <v>52921.850000000035</v>
      </c>
      <c r="Z96" s="203">
        <f>Y96-X96</f>
        <v>-94678.149999999965</v>
      </c>
      <c r="AA96" s="54"/>
      <c r="AB96" s="54">
        <f t="shared" si="117"/>
        <v>124900</v>
      </c>
      <c r="AC96" s="165">
        <f>AC83+AC89-AC94</f>
        <v>201211.77000000002</v>
      </c>
      <c r="AD96" s="203">
        <f>AC96-AB96</f>
        <v>76311.770000000019</v>
      </c>
      <c r="AE96" s="54"/>
      <c r="AF96" s="54">
        <f t="shared" si="117"/>
        <v>184400</v>
      </c>
      <c r="AG96" s="165">
        <f>AG83+AG89-AG94</f>
        <v>203816</v>
      </c>
      <c r="AH96" s="203">
        <f>AG96-AF96</f>
        <v>19416</v>
      </c>
      <c r="AI96" s="54"/>
      <c r="AJ96" s="54">
        <f t="shared" si="117"/>
        <v>206900</v>
      </c>
      <c r="AK96" s="165">
        <f>AK83+AK89-AK94</f>
        <v>514001</v>
      </c>
      <c r="AL96" s="203">
        <f>AK96-AJ96</f>
        <v>307101</v>
      </c>
      <c r="AM96" s="54"/>
      <c r="AN96" s="54">
        <f t="shared" si="117"/>
        <v>183900</v>
      </c>
      <c r="AO96" s="165">
        <f>AO83+AO89-AO94</f>
        <v>44169.5</v>
      </c>
      <c r="AP96" s="203">
        <f>AO96-AN96</f>
        <v>-139730.5</v>
      </c>
      <c r="AQ96" s="54"/>
      <c r="AR96" s="54">
        <f t="shared" si="117"/>
        <v>233300</v>
      </c>
      <c r="AS96" s="165">
        <f>AS83+AS89-AS94</f>
        <v>-42554.780000000028</v>
      </c>
      <c r="AT96" s="203">
        <f>AS96-AR96</f>
        <v>-275854.78000000003</v>
      </c>
      <c r="AU96" s="54"/>
      <c r="AV96" s="54">
        <f t="shared" si="117"/>
        <v>220900</v>
      </c>
      <c r="AW96" s="165">
        <f>AW83+AW89-AW94</f>
        <v>27413.320000000007</v>
      </c>
      <c r="AX96" s="203">
        <f>AW96-AV96</f>
        <v>-193486.68</v>
      </c>
      <c r="AY96" s="54"/>
      <c r="AZ96" s="54">
        <f t="shared" si="117"/>
        <v>215000</v>
      </c>
      <c r="BA96" s="165">
        <f>BA83+BA89-BA94</f>
        <v>-50748.530000000028</v>
      </c>
      <c r="BB96" s="203">
        <f>BA96-AZ96</f>
        <v>-265748.53000000003</v>
      </c>
      <c r="BC96" s="54"/>
      <c r="BE96" s="119"/>
      <c r="BG96" s="211">
        <f>BG83+BG89-BG94</f>
        <v>2053430.8775294391</v>
      </c>
      <c r="BH96" s="165">
        <f>BH83+BH89-BH94</f>
        <v>1518382.1100000003</v>
      </c>
      <c r="BI96" s="203">
        <f>BH96-BG96</f>
        <v>-535048.76752943872</v>
      </c>
    </row>
    <row r="97" spans="1:61" s="3" customFormat="1" ht="17" thickTop="1" x14ac:dyDescent="0.2">
      <c r="A97"/>
      <c r="B97" s="14"/>
      <c r="C97" s="16"/>
      <c r="D97" s="16"/>
      <c r="E97" s="16"/>
      <c r="F97" s="26"/>
      <c r="H97" s="16"/>
      <c r="I97" s="162">
        <f>'[1]2024 Bdg vs Actual All'!$I$96-I96</f>
        <v>-1</v>
      </c>
      <c r="J97" s="16"/>
      <c r="K97" s="16"/>
      <c r="L97" s="26"/>
      <c r="M97" s="162">
        <f>'[1]2024 Bdg vs Actual All'!$M$96-M96</f>
        <v>0</v>
      </c>
      <c r="N97" s="26"/>
      <c r="O97" s="26"/>
      <c r="P97" s="16"/>
      <c r="Q97" s="16"/>
      <c r="R97" s="16"/>
      <c r="S97" s="16"/>
      <c r="T97" s="26"/>
      <c r="U97" s="26"/>
      <c r="V97" s="26"/>
      <c r="W97" s="26"/>
      <c r="X97" s="16"/>
      <c r="Y97" s="16"/>
      <c r="Z97" s="16"/>
      <c r="AA97" s="16"/>
      <c r="AB97" s="26"/>
      <c r="AC97" s="26"/>
      <c r="AD97" s="26"/>
      <c r="AE97" s="26"/>
      <c r="AJ97" s="16"/>
      <c r="AN97" s="16"/>
      <c r="BE97" s="119"/>
    </row>
    <row r="98" spans="1:61" x14ac:dyDescent="0.2">
      <c r="A98" s="27" t="s">
        <v>110</v>
      </c>
      <c r="G98" s="27"/>
      <c r="H98" s="12">
        <f>+H96/H11</f>
        <v>7.5408859300165637E-2</v>
      </c>
      <c r="I98" s="12">
        <f>+I96/I11</f>
        <v>0.39311019662925201</v>
      </c>
      <c r="J98" s="12"/>
      <c r="L98" s="12">
        <f>+L96/L11</f>
        <v>6.2400135143133986E-2</v>
      </c>
      <c r="M98" s="12">
        <f>+M96/M11</f>
        <v>1.8312510095583226E-2</v>
      </c>
      <c r="N98" s="12"/>
      <c r="P98" s="12">
        <f>+P96/P11</f>
        <v>4.8721971025191477E-2</v>
      </c>
      <c r="Q98" s="12">
        <f>+Q96/Q11</f>
        <v>-5.3710932837661707E-2</v>
      </c>
      <c r="R98" s="12"/>
      <c r="T98" s="12">
        <f>+T96/T11</f>
        <v>5.6251994347449513E-2</v>
      </c>
      <c r="U98" s="12">
        <f>+U96/U11</f>
        <v>3.651522377151474E-2</v>
      </c>
      <c r="V98" s="12"/>
      <c r="X98" s="12">
        <f>+X96/X11</f>
        <v>6.6624537329601871E-2</v>
      </c>
      <c r="Y98" s="12">
        <f>+Y96/Y11</f>
        <v>3.5036746913371851E-2</v>
      </c>
      <c r="Z98" s="12"/>
      <c r="AB98" s="12">
        <f>+AB96/AB11</f>
        <v>5.5292398955243703E-2</v>
      </c>
      <c r="AC98" s="12">
        <f>+AC96/AC11</f>
        <v>7.8041055261238015E-2</v>
      </c>
      <c r="AD98" s="12"/>
      <c r="AE98" s="16"/>
      <c r="AF98" s="12">
        <f>+AF96/AF11</f>
        <v>8.0937541149102399E-2</v>
      </c>
      <c r="AG98" s="12">
        <f>+AG96/AG11</f>
        <v>8.4958661976938743E-2</v>
      </c>
      <c r="AH98" s="12"/>
      <c r="AJ98" s="12">
        <f>+AJ96/AJ11</f>
        <v>9.0384867415141318E-2</v>
      </c>
      <c r="AK98" s="12">
        <f>+AK96/AK11</f>
        <v>0.18445896746961188</v>
      </c>
      <c r="AL98" s="12"/>
      <c r="AN98" s="12">
        <f>+AN96/AN11</f>
        <v>7.9790003471017001E-2</v>
      </c>
      <c r="AO98" s="12">
        <f>+AO96/AO11</f>
        <v>3.1385139888214487E-2</v>
      </c>
      <c r="AP98" s="12"/>
      <c r="AS98" s="12">
        <f>+AS96/AS11</f>
        <v>-2.7993361286273825E-2</v>
      </c>
      <c r="AT98" s="12"/>
      <c r="AW98" s="12">
        <f>+AW96/AW11</f>
        <v>1.5212195806803544E-2</v>
      </c>
      <c r="AX98" s="12"/>
      <c r="BA98" s="12">
        <f>+BA96/BA11</f>
        <v>-4.2399408145600885E-2</v>
      </c>
      <c r="BG98" s="12">
        <f>+BG96/BG11</f>
        <v>7.552300668192756E-2</v>
      </c>
      <c r="BH98" s="12">
        <f>+BH96/BH11</f>
        <v>7.1344678856278917E-2</v>
      </c>
      <c r="BI98" s="12"/>
    </row>
    <row r="99" spans="1:61" x14ac:dyDescent="0.2">
      <c r="I99" s="17"/>
      <c r="P99" s="44"/>
      <c r="Q99" s="17"/>
      <c r="AK99" s="181"/>
      <c r="BA99" s="218"/>
      <c r="BH99" s="17"/>
    </row>
    <row r="100" spans="1:61" x14ac:dyDescent="0.2">
      <c r="AO100" s="166"/>
      <c r="BA100" s="218"/>
      <c r="BG100" s="276">
        <f>AZ96+AV96+AR96+AN96+AJ96+AF96+AB96+X96+T96+P96+L96+H96</f>
        <v>2053430.8775294409</v>
      </c>
      <c r="BI100" s="275">
        <f>BI96/BG96</f>
        <v>-0.26056332033595225</v>
      </c>
    </row>
    <row r="101" spans="1:61" x14ac:dyDescent="0.2">
      <c r="Y101" s="154"/>
      <c r="AO101" s="218"/>
      <c r="BH101" s="169"/>
    </row>
    <row r="102" spans="1:61" x14ac:dyDescent="0.2">
      <c r="AZ102" s="154"/>
    </row>
  </sheetData>
  <mergeCells count="22">
    <mergeCell ref="BG8:BI8"/>
    <mergeCell ref="S14:S16"/>
    <mergeCell ref="T8:V8"/>
    <mergeCell ref="AA14:AA18"/>
    <mergeCell ref="X8:Z8"/>
    <mergeCell ref="AE14:AE18"/>
    <mergeCell ref="AB8:AD8"/>
    <mergeCell ref="AF8:AH8"/>
    <mergeCell ref="AJ8:AL8"/>
    <mergeCell ref="AN8:AP8"/>
    <mergeCell ref="AR8:AT8"/>
    <mergeCell ref="AV8:AX8"/>
    <mergeCell ref="AZ8:BB8"/>
    <mergeCell ref="AM14:AM18"/>
    <mergeCell ref="AQ14:AQ18"/>
    <mergeCell ref="AU14:AU18"/>
    <mergeCell ref="BC14:BC18"/>
    <mergeCell ref="H8:J8"/>
    <mergeCell ref="L8:N8"/>
    <mergeCell ref="O14:O16"/>
    <mergeCell ref="P8:R8"/>
    <mergeCell ref="AI14:AI18"/>
  </mergeCells>
  <pageMargins left="0.75" right="0.75" top="1" bottom="1" header="0.5" footer="0.5"/>
  <pageSetup scale="10" orientation="landscape" horizontalDpi="4294967292" verticalDpi="4294967292"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C92C0-E86E-4C4C-9535-86C0CFAB35A8}">
  <sheetPr>
    <tabColor rgb="FF92D050"/>
    <pageSetUpPr fitToPage="1"/>
  </sheetPr>
  <dimension ref="A1:CJ103"/>
  <sheetViews>
    <sheetView zoomScaleNormal="100" workbookViewId="0">
      <pane xSplit="14" ySplit="9" topLeftCell="AF76" activePane="bottomRight" state="frozen"/>
      <selection pane="topRight" activeCell="Y30" sqref="Y30"/>
      <selection pane="bottomLeft" activeCell="Y30" sqref="Y30"/>
      <selection pane="bottomRight" activeCell="AH79" sqref="AH79"/>
    </sheetView>
  </sheetViews>
  <sheetFormatPr baseColWidth="10" defaultColWidth="11" defaultRowHeight="16" x14ac:dyDescent="0.2"/>
  <cols>
    <col min="1" max="1" width="45.6640625" customWidth="1"/>
    <col min="2" max="2" width="7.1640625" hidden="1" customWidth="1"/>
    <col min="3" max="3" width="3.33203125" style="16" hidden="1" customWidth="1"/>
    <col min="4" max="4" width="13.33203125" style="16" hidden="1" customWidth="1"/>
    <col min="5" max="5" width="19.33203125" style="17" hidden="1" customWidth="1"/>
    <col min="6" max="6" width="3.1640625" style="17" hidden="1" customWidth="1"/>
    <col min="7" max="7" width="14.6640625" style="17" hidden="1" customWidth="1"/>
    <col min="8" max="8" width="3.1640625" style="17" hidden="1" customWidth="1"/>
    <col min="9" max="9" width="14.6640625" style="17" hidden="1" customWidth="1"/>
    <col min="10" max="10" width="3.1640625" style="17" hidden="1" customWidth="1"/>
    <col min="11" max="11" width="14.6640625" style="17" hidden="1" customWidth="1"/>
    <col min="12" max="12" width="3.1640625" style="17" hidden="1" customWidth="1"/>
    <col min="13" max="13" width="14.6640625" style="16" hidden="1" customWidth="1"/>
    <col min="14" max="14" width="3.1640625" style="16" hidden="1" customWidth="1"/>
    <col min="15" max="17" width="13.6640625" style="17" customWidth="1"/>
    <col min="18" max="18" width="17" style="17" customWidth="1"/>
    <col min="19" max="21" width="13.6640625" style="16" customWidth="1"/>
    <col min="22" max="22" width="14.6640625" style="16" customWidth="1"/>
    <col min="23" max="23" width="11.6640625" style="17" customWidth="1"/>
    <col min="24" max="24" width="10.33203125" style="17" customWidth="1"/>
    <col min="25" max="25" width="9.33203125" style="17" customWidth="1"/>
    <col min="26" max="26" width="21" style="17" customWidth="1"/>
    <col min="27" max="29" width="13.6640625" style="16" customWidth="1"/>
    <col min="30" max="30" width="19.5" style="16" customWidth="1"/>
    <col min="31" max="33" width="13.6640625" style="17" customWidth="1"/>
    <col min="34" max="34" width="22.5" style="17" customWidth="1"/>
    <col min="35" max="37" width="13.6640625" style="3" customWidth="1"/>
    <col min="38" max="38" width="30.33203125" style="3" customWidth="1"/>
    <col min="39" max="41" width="12.33203125" customWidth="1"/>
    <col min="42" max="42" width="25.5" customWidth="1"/>
    <col min="43" max="43" width="13.33203125" customWidth="1"/>
    <col min="44" max="45" width="10.1640625" customWidth="1"/>
    <col min="46" max="46" width="27.1640625" customWidth="1"/>
    <col min="47" max="49" width="10.1640625" customWidth="1"/>
    <col min="50" max="50" width="16.1640625" customWidth="1"/>
    <col min="51" max="53" width="10.1640625" customWidth="1"/>
    <col min="54" max="54" width="16.5" customWidth="1"/>
    <col min="55" max="62" width="10.1640625" customWidth="1"/>
    <col min="63" max="74" width="12.1640625" style="74" hidden="1" customWidth="1"/>
    <col min="75" max="84" width="11" hidden="1" customWidth="1"/>
    <col min="86" max="86" width="17.6640625" bestFit="1" customWidth="1"/>
  </cols>
  <sheetData>
    <row r="1" spans="1:87" x14ac:dyDescent="0.2">
      <c r="A1" s="23"/>
      <c r="B1" s="23"/>
      <c r="C1" s="23"/>
      <c r="D1" s="23"/>
      <c r="E1" s="23"/>
      <c r="F1" s="23"/>
      <c r="G1" s="23"/>
      <c r="H1" s="23"/>
      <c r="I1" s="23"/>
      <c r="J1" s="23"/>
      <c r="M1" s="1" t="s">
        <v>111</v>
      </c>
      <c r="N1" s="1"/>
      <c r="P1" s="1" t="s">
        <v>0</v>
      </c>
      <c r="T1" s="199" t="s">
        <v>1</v>
      </c>
      <c r="U1" s="198" t="s">
        <v>2</v>
      </c>
      <c r="V1" s="198" t="s">
        <v>3</v>
      </c>
      <c r="X1" s="1" t="s">
        <v>0</v>
      </c>
    </row>
    <row r="2" spans="1:87" x14ac:dyDescent="0.2">
      <c r="A2" s="291"/>
      <c r="B2" s="291"/>
      <c r="C2" s="291"/>
      <c r="D2" s="291"/>
      <c r="E2" s="291"/>
      <c r="F2" s="291"/>
      <c r="G2" s="291"/>
      <c r="H2" s="291"/>
      <c r="I2" s="291"/>
      <c r="J2" s="291"/>
      <c r="M2" s="1" t="s">
        <v>112</v>
      </c>
      <c r="N2" s="1"/>
      <c r="P2" s="1" t="s">
        <v>113</v>
      </c>
      <c r="T2" s="17"/>
      <c r="U2" s="17" t="s">
        <v>5</v>
      </c>
      <c r="V2" s="17" t="s">
        <v>6</v>
      </c>
      <c r="X2" s="199" t="s">
        <v>113</v>
      </c>
    </row>
    <row r="3" spans="1:87" ht="17" x14ac:dyDescent="0.2">
      <c r="A3" s="291"/>
      <c r="B3" s="291"/>
      <c r="C3" s="291"/>
      <c r="D3" s="291"/>
      <c r="E3" s="291"/>
      <c r="F3" s="291"/>
      <c r="G3" s="291"/>
      <c r="H3" s="291"/>
      <c r="I3" s="291"/>
      <c r="J3" s="291"/>
      <c r="K3" s="60"/>
      <c r="L3" s="60"/>
      <c r="M3" s="60"/>
      <c r="N3" s="60"/>
      <c r="O3" s="60"/>
      <c r="P3" s="1">
        <v>2024</v>
      </c>
      <c r="Q3" s="60"/>
      <c r="R3" s="60"/>
      <c r="S3" s="206"/>
      <c r="T3" s="206"/>
      <c r="U3" s="206"/>
      <c r="V3" s="206"/>
      <c r="W3" s="206"/>
      <c r="X3" s="1">
        <v>2024</v>
      </c>
      <c r="Y3" s="206"/>
      <c r="Z3" s="206"/>
      <c r="AA3" s="206"/>
      <c r="AB3" s="206"/>
      <c r="AC3" s="206"/>
      <c r="AD3" s="206"/>
      <c r="AE3" s="206"/>
      <c r="AF3" s="206"/>
      <c r="AG3" s="206"/>
      <c r="AH3" s="206"/>
      <c r="AI3" s="206"/>
      <c r="AJ3" s="206"/>
      <c r="AK3" s="206"/>
      <c r="AL3" s="206"/>
      <c r="AM3" s="206"/>
      <c r="AN3" s="206"/>
      <c r="AO3" s="206"/>
      <c r="AP3" s="206"/>
      <c r="AQ3" s="206"/>
      <c r="AR3" s="206"/>
      <c r="AS3" s="206"/>
      <c r="AT3" s="206"/>
    </row>
    <row r="4" spans="1:87" x14ac:dyDescent="0.2">
      <c r="E4" s="60"/>
      <c r="F4" s="60"/>
      <c r="G4" s="60"/>
      <c r="H4" s="60"/>
      <c r="I4" s="60"/>
      <c r="J4" s="60"/>
      <c r="K4" s="60"/>
      <c r="L4" s="60"/>
      <c r="M4" s="60"/>
      <c r="N4" s="60"/>
      <c r="O4" s="60"/>
      <c r="P4" s="60"/>
      <c r="Q4" s="60"/>
      <c r="R4" s="60"/>
    </row>
    <row r="5" spans="1:87" ht="19" x14ac:dyDescent="0.25">
      <c r="M5" s="1"/>
      <c r="N5" s="1"/>
      <c r="W5" s="289"/>
      <c r="X5" s="289"/>
      <c r="Y5" s="289"/>
      <c r="Z5" s="289"/>
      <c r="AA5" s="290"/>
      <c r="AB5" s="290"/>
      <c r="AC5" s="290"/>
      <c r="AD5" s="290"/>
      <c r="AE5" s="290"/>
      <c r="AF5" s="290"/>
      <c r="AG5" s="290"/>
      <c r="AH5" s="290"/>
      <c r="AI5" s="290"/>
      <c r="AJ5" s="257"/>
      <c r="AK5" s="257"/>
      <c r="AL5" s="257"/>
      <c r="AM5" s="17"/>
      <c r="AN5" s="17"/>
      <c r="AO5" s="17"/>
      <c r="AP5" s="17"/>
    </row>
    <row r="6" spans="1:87" ht="19" x14ac:dyDescent="0.25">
      <c r="W6" s="290"/>
      <c r="X6" s="290"/>
      <c r="Y6" s="290"/>
      <c r="Z6" s="290"/>
      <c r="AA6" s="290"/>
      <c r="AB6" s="290"/>
      <c r="AC6" s="290"/>
      <c r="AD6" s="290"/>
      <c r="AE6" s="290"/>
      <c r="AF6" s="290"/>
      <c r="AG6" s="290"/>
      <c r="AH6" s="290"/>
      <c r="AI6" s="290"/>
      <c r="AJ6" s="257"/>
      <c r="AK6" s="257"/>
      <c r="AL6" s="257"/>
      <c r="AM6" s="17"/>
      <c r="AN6" s="17"/>
      <c r="AO6" s="17"/>
      <c r="AP6" s="17"/>
    </row>
    <row r="8" spans="1:87" ht="19" x14ac:dyDescent="0.25">
      <c r="A8" s="18"/>
      <c r="B8" s="18"/>
      <c r="C8" s="19"/>
      <c r="D8" s="19"/>
      <c r="E8" s="20" t="s">
        <v>9</v>
      </c>
      <c r="F8" s="20"/>
      <c r="G8" s="20" t="s">
        <v>114</v>
      </c>
      <c r="H8" s="20"/>
      <c r="I8" s="20" t="s">
        <v>115</v>
      </c>
      <c r="J8" s="20"/>
      <c r="K8" s="20" t="s">
        <v>116</v>
      </c>
      <c r="L8" s="5"/>
      <c r="M8" s="20" t="s">
        <v>117</v>
      </c>
      <c r="N8" s="20"/>
      <c r="O8" s="279" t="s">
        <v>10</v>
      </c>
      <c r="P8" s="279"/>
      <c r="Q8" s="279"/>
      <c r="R8" s="20"/>
      <c r="S8" s="279" t="s">
        <v>118</v>
      </c>
      <c r="T8" s="279"/>
      <c r="U8" s="279"/>
      <c r="V8" s="20"/>
      <c r="W8" s="279" t="s">
        <v>12</v>
      </c>
      <c r="X8" s="279"/>
      <c r="Y8" s="279"/>
      <c r="Z8" s="20"/>
      <c r="AA8" s="279" t="s">
        <v>13</v>
      </c>
      <c r="AB8" s="279"/>
      <c r="AC8" s="279"/>
      <c r="AD8" s="20"/>
      <c r="AE8" s="20" t="s">
        <v>14</v>
      </c>
      <c r="AF8" s="20"/>
      <c r="AG8" s="20"/>
      <c r="AH8" s="20"/>
      <c r="AI8" s="279" t="s">
        <v>15</v>
      </c>
      <c r="AJ8" s="279"/>
      <c r="AK8" s="279"/>
      <c r="AL8" s="20"/>
      <c r="AM8" s="279" t="s">
        <v>16</v>
      </c>
      <c r="AN8" s="279"/>
      <c r="AO8" s="279"/>
      <c r="AP8" s="20"/>
      <c r="AQ8" s="279" t="s">
        <v>17</v>
      </c>
      <c r="AR8" s="279"/>
      <c r="AS8" s="279"/>
      <c r="AT8" s="20"/>
      <c r="AU8" s="279" t="s">
        <v>18</v>
      </c>
      <c r="AV8" s="279"/>
      <c r="AW8" s="279"/>
      <c r="AX8" s="20"/>
      <c r="AY8" s="279" t="s">
        <v>19</v>
      </c>
      <c r="AZ8" s="279"/>
      <c r="BA8" s="279"/>
      <c r="BB8" s="20"/>
      <c r="BC8" s="279" t="s">
        <v>20</v>
      </c>
      <c r="BD8" s="279"/>
      <c r="BE8" s="279"/>
      <c r="BF8" s="20"/>
      <c r="BG8" s="279" t="s">
        <v>21</v>
      </c>
      <c r="BH8" s="279"/>
      <c r="BI8" s="279"/>
      <c r="BJ8" s="279"/>
      <c r="BK8" s="279"/>
      <c r="BL8" s="20"/>
      <c r="CG8" s="279" t="s">
        <v>22</v>
      </c>
      <c r="CH8" s="279"/>
      <c r="CI8" s="279"/>
    </row>
    <row r="9" spans="1:87" x14ac:dyDescent="0.2">
      <c r="A9" s="21"/>
      <c r="B9" s="21"/>
      <c r="C9" s="7"/>
      <c r="D9" s="7"/>
      <c r="E9" s="22">
        <v>45657</v>
      </c>
      <c r="F9" s="22"/>
      <c r="G9" s="22"/>
      <c r="H9" s="22"/>
      <c r="I9" s="22"/>
      <c r="J9" s="22"/>
      <c r="K9" s="22"/>
      <c r="L9" s="22"/>
      <c r="M9" s="22"/>
      <c r="N9" s="22"/>
      <c r="O9" s="22" t="s">
        <v>8</v>
      </c>
      <c r="P9" s="22" t="s">
        <v>24</v>
      </c>
      <c r="Q9" s="22" t="s">
        <v>25</v>
      </c>
      <c r="R9" s="22" t="s">
        <v>26</v>
      </c>
      <c r="S9" s="22" t="s">
        <v>8</v>
      </c>
      <c r="T9" s="22" t="s">
        <v>24</v>
      </c>
      <c r="U9" s="22" t="s">
        <v>25</v>
      </c>
      <c r="V9" s="22" t="s">
        <v>26</v>
      </c>
      <c r="W9" s="22" t="s">
        <v>8</v>
      </c>
      <c r="X9" s="22" t="s">
        <v>24</v>
      </c>
      <c r="Y9" s="22" t="s">
        <v>119</v>
      </c>
      <c r="Z9" s="22" t="s">
        <v>26</v>
      </c>
      <c r="AA9" s="59" t="s">
        <v>8</v>
      </c>
      <c r="AB9" s="59" t="s">
        <v>24</v>
      </c>
      <c r="AC9" s="200" t="s">
        <v>1</v>
      </c>
      <c r="AD9" s="22" t="s">
        <v>26</v>
      </c>
      <c r="AE9" s="59" t="s">
        <v>8</v>
      </c>
      <c r="AF9" s="59" t="s">
        <v>24</v>
      </c>
      <c r="AG9" s="200" t="s">
        <v>1</v>
      </c>
      <c r="AH9" s="22" t="s">
        <v>26</v>
      </c>
      <c r="AI9" s="59" t="s">
        <v>8</v>
      </c>
      <c r="AJ9" s="59" t="s">
        <v>24</v>
      </c>
      <c r="AK9" s="200" t="s">
        <v>1</v>
      </c>
      <c r="AL9" s="22" t="s">
        <v>26</v>
      </c>
      <c r="AM9" s="59" t="s">
        <v>8</v>
      </c>
      <c r="AN9" s="59" t="s">
        <v>24</v>
      </c>
      <c r="AO9" s="200" t="s">
        <v>1</v>
      </c>
      <c r="AP9" s="22" t="s">
        <v>26</v>
      </c>
      <c r="AQ9" s="59" t="s">
        <v>8</v>
      </c>
      <c r="AR9" s="59" t="s">
        <v>24</v>
      </c>
      <c r="AS9" s="200" t="s">
        <v>1</v>
      </c>
      <c r="AT9" s="22" t="s">
        <v>26</v>
      </c>
      <c r="AU9" s="59" t="s">
        <v>8</v>
      </c>
      <c r="AV9" s="59" t="s">
        <v>24</v>
      </c>
      <c r="AW9" s="200" t="s">
        <v>1</v>
      </c>
      <c r="AX9" s="22" t="s">
        <v>26</v>
      </c>
      <c r="AY9" s="59" t="s">
        <v>8</v>
      </c>
      <c r="AZ9" s="59" t="s">
        <v>24</v>
      </c>
      <c r="BA9" s="200" t="s">
        <v>1</v>
      </c>
      <c r="BB9" s="22" t="s">
        <v>26</v>
      </c>
      <c r="BC9" s="59" t="s">
        <v>8</v>
      </c>
      <c r="BD9" s="59" t="s">
        <v>24</v>
      </c>
      <c r="BE9" s="200" t="s">
        <v>1</v>
      </c>
      <c r="BF9" s="22" t="s">
        <v>26</v>
      </c>
      <c r="BG9" s="59" t="s">
        <v>8</v>
      </c>
      <c r="BH9" s="59" t="s">
        <v>24</v>
      </c>
      <c r="BI9" s="200" t="s">
        <v>1</v>
      </c>
      <c r="BJ9" s="22" t="s">
        <v>26</v>
      </c>
      <c r="BK9" s="200" t="s">
        <v>1</v>
      </c>
      <c r="BL9" s="22" t="s">
        <v>26</v>
      </c>
      <c r="CG9" s="59" t="s">
        <v>8</v>
      </c>
      <c r="CH9" s="59" t="s">
        <v>24</v>
      </c>
      <c r="CI9" s="200" t="s">
        <v>1</v>
      </c>
    </row>
    <row r="10" spans="1:87" x14ac:dyDescent="0.2">
      <c r="D10" s="44"/>
      <c r="E10" s="44"/>
      <c r="F10" s="44"/>
      <c r="G10" s="44"/>
      <c r="H10" s="44"/>
      <c r="I10" s="44"/>
      <c r="J10" s="44"/>
      <c r="K10" s="44"/>
      <c r="L10" s="44"/>
      <c r="AN10" s="3"/>
      <c r="AR10" s="3"/>
      <c r="AV10" s="3"/>
      <c r="AZ10" s="3"/>
      <c r="BD10" s="3"/>
      <c r="BH10" s="3"/>
    </row>
    <row r="11" spans="1:87" x14ac:dyDescent="0.2">
      <c r="A11" s="23" t="s">
        <v>29</v>
      </c>
      <c r="B11" s="23"/>
      <c r="C11" s="1"/>
      <c r="D11" s="47"/>
      <c r="E11" s="47">
        <f>SUM(E14:E23)</f>
        <v>18200700</v>
      </c>
      <c r="F11" s="47"/>
      <c r="G11" s="47"/>
      <c r="H11" s="47"/>
      <c r="I11" s="47"/>
      <c r="J11" s="47"/>
      <c r="K11" s="47"/>
      <c r="L11" s="47"/>
      <c r="M11" s="1"/>
      <c r="N11" s="1"/>
      <c r="O11" s="47">
        <f t="shared" ref="O11:BG11" si="0">SUM(O14:O23)</f>
        <v>1542998.9702233335</v>
      </c>
      <c r="P11" s="159">
        <f>+'2024 Bdg vs Actual All'!I11-'2024 Bdg vs Actual -OH'!P11</f>
        <v>840269.56999999983</v>
      </c>
      <c r="Q11" s="180">
        <f>+P11-O11</f>
        <v>-702729.40022333362</v>
      </c>
      <c r="R11" s="47"/>
      <c r="S11" s="47">
        <f t="shared" si="0"/>
        <v>1478678.8333333333</v>
      </c>
      <c r="T11" s="159">
        <f>+'2024 Bdg vs Actual All'!M11-'2024 Bdg vs Actual -OH'!T11</f>
        <v>1238032</v>
      </c>
      <c r="U11" s="180">
        <f>+T11-S11</f>
        <v>-240646.83333333326</v>
      </c>
      <c r="V11" s="47"/>
      <c r="W11" s="47">
        <f t="shared" si="0"/>
        <v>1442217.2253333332</v>
      </c>
      <c r="X11" s="159">
        <f>+'2024 Bdg vs Actual All'!Q11-'2024 Bdg vs Actual -OH'!X11</f>
        <v>837354</v>
      </c>
      <c r="Y11" s="180">
        <f>+X11-W11</f>
        <v>-604863.22533333325</v>
      </c>
      <c r="Z11" s="47"/>
      <c r="AA11" s="47">
        <f t="shared" si="0"/>
        <v>1455488.3345333331</v>
      </c>
      <c r="AB11" s="159">
        <f>SUM(AB14:AB23)</f>
        <v>947573</v>
      </c>
      <c r="AC11" s="180">
        <f>+AB11-AA11</f>
        <v>-507915.33453333308</v>
      </c>
      <c r="AD11" s="47"/>
      <c r="AE11" s="47">
        <f t="shared" si="0"/>
        <v>1469333.3333333333</v>
      </c>
      <c r="AF11" s="159">
        <f t="shared" si="0"/>
        <v>851142</v>
      </c>
      <c r="AG11" s="180">
        <f>+AF11-AE11</f>
        <v>-618191.33333333326</v>
      </c>
      <c r="AH11" s="47"/>
      <c r="AI11" s="47">
        <f t="shared" si="0"/>
        <v>1519264.9933333332</v>
      </c>
      <c r="AJ11" s="159">
        <f>SUM(AJ14:AJ23)</f>
        <v>1863270</v>
      </c>
      <c r="AK11" s="180">
        <f>+AJ11-AI11</f>
        <v>344005.00666666683</v>
      </c>
      <c r="AL11" s="47"/>
      <c r="AM11" s="47">
        <f t="shared" si="0"/>
        <v>1526714.9933333332</v>
      </c>
      <c r="AN11" s="159">
        <f>SUM(AN14:AN23)</f>
        <v>1324908</v>
      </c>
      <c r="AO11" s="180">
        <f>+AN11-AM11</f>
        <v>-201806.99333333317</v>
      </c>
      <c r="AP11" s="47"/>
      <c r="AQ11" s="47">
        <f t="shared" si="0"/>
        <v>1530164.9933333332</v>
      </c>
      <c r="AR11" s="159">
        <f>SUM(AR14:AR23)</f>
        <v>1360378</v>
      </c>
      <c r="AS11" s="180">
        <f>+AR11-AQ11</f>
        <v>-169786.99333333317</v>
      </c>
      <c r="AT11" s="47"/>
      <c r="AU11" s="47">
        <f t="shared" si="0"/>
        <v>1541614.9933333332</v>
      </c>
      <c r="AV11" s="159">
        <f>SUM(AV14:AV23)</f>
        <v>939557</v>
      </c>
      <c r="AW11" s="180">
        <f>+AV11-AU11</f>
        <v>-602057.99333333317</v>
      </c>
      <c r="AX11" s="47"/>
      <c r="AY11" s="47">
        <f t="shared" si="0"/>
        <v>1553064.9933333332</v>
      </c>
      <c r="AZ11" s="159">
        <f>SUM(AZ14:AZ23)</f>
        <v>914158</v>
      </c>
      <c r="BA11" s="180">
        <f>+AZ11-AY11</f>
        <v>-638906.99333333317</v>
      </c>
      <c r="BB11" s="47"/>
      <c r="BC11" s="47">
        <f t="shared" si="0"/>
        <v>1564514.9933333332</v>
      </c>
      <c r="BD11" s="159">
        <f>SUM(BD14:BD23)</f>
        <v>1324777</v>
      </c>
      <c r="BE11" s="180">
        <f>+BD11-BC11</f>
        <v>-239737.99333333317</v>
      </c>
      <c r="BF11" s="47"/>
      <c r="BG11" s="47">
        <f t="shared" si="0"/>
        <v>1576601.8333333333</v>
      </c>
      <c r="BH11" s="159">
        <f>SUM(BH14:BH23)</f>
        <v>839015</v>
      </c>
      <c r="BI11" s="180">
        <f>+BH11-BG11</f>
        <v>-737586.83333333326</v>
      </c>
      <c r="BJ11" s="47"/>
      <c r="CG11" s="47">
        <f>+W11+S11+O11+AA11+AE11+AI11+AM11+AQ11+AU11+AY11+BC11+BG11</f>
        <v>18200658.490089994</v>
      </c>
      <c r="CH11" s="159">
        <f>+X11+T11+P11+AB11+AF11+AJ11+AN11+AR11+AV11+AZ11+BD11+BH11</f>
        <v>13280433.57</v>
      </c>
      <c r="CI11" s="180">
        <f>+CH11-CG11</f>
        <v>-4920224.9200899936</v>
      </c>
    </row>
    <row r="12" spans="1:87" x14ac:dyDescent="0.2">
      <c r="D12" s="44"/>
      <c r="E12" s="44"/>
      <c r="F12" s="44"/>
      <c r="G12" s="44"/>
      <c r="H12" s="44"/>
      <c r="I12" s="44"/>
      <c r="J12" s="44"/>
      <c r="K12" s="44"/>
      <c r="L12" s="44"/>
      <c r="S12" s="143"/>
      <c r="T12" s="17"/>
      <c r="U12" s="17"/>
      <c r="V12" s="143"/>
      <c r="X12" s="154"/>
      <c r="Y12" s="154"/>
      <c r="AN12" s="3"/>
      <c r="AR12" s="3"/>
      <c r="AV12" s="3"/>
      <c r="AZ12" s="3"/>
      <c r="BD12" s="3"/>
      <c r="BH12" s="3"/>
      <c r="CG12" s="17"/>
      <c r="CH12" s="154"/>
      <c r="CI12" s="154"/>
    </row>
    <row r="13" spans="1:87" x14ac:dyDescent="0.2">
      <c r="A13" s="24" t="s">
        <v>30</v>
      </c>
      <c r="B13" s="24"/>
      <c r="D13" s="44"/>
      <c r="E13" s="44"/>
      <c r="F13" s="44"/>
      <c r="G13" s="44"/>
      <c r="H13" s="44"/>
      <c r="I13" s="44"/>
      <c r="J13" s="44"/>
      <c r="K13" s="44"/>
      <c r="L13" s="44"/>
      <c r="M13" s="16" t="s">
        <v>120</v>
      </c>
      <c r="T13" s="17"/>
      <c r="U13" s="17"/>
      <c r="X13" s="154"/>
      <c r="Y13" s="154"/>
      <c r="AN13" s="3"/>
      <c r="AR13" s="3"/>
      <c r="AV13" s="3"/>
      <c r="AZ13" s="3"/>
      <c r="BD13" s="3"/>
      <c r="BH13" s="3"/>
      <c r="CG13" s="17"/>
      <c r="CH13" s="154"/>
      <c r="CI13" s="154"/>
    </row>
    <row r="14" spans="1:87" ht="91.5" customHeight="1" x14ac:dyDescent="0.2">
      <c r="A14" t="s">
        <v>31</v>
      </c>
      <c r="C14" s="144"/>
      <c r="D14" s="144" t="s">
        <v>121</v>
      </c>
      <c r="E14" s="52">
        <f>ROUND(O14+S14+W14+AA14+AE14+AI14+AM14+AQ14+AU14+AY14+BC14+BG14,-2)</f>
        <v>5276000</v>
      </c>
      <c r="F14" s="44"/>
      <c r="G14" s="44"/>
      <c r="H14" s="44"/>
      <c r="I14" s="44"/>
      <c r="J14" s="44"/>
      <c r="K14" s="44"/>
      <c r="L14" s="44"/>
      <c r="M14" s="83">
        <v>5.0000000000000001E-3</v>
      </c>
      <c r="N14" s="83"/>
      <c r="O14" s="44">
        <v>484784.11484600027</v>
      </c>
      <c r="P14" s="160">
        <f>'2024 Bdg vs Actual All'!I14-'2024 Bdg vs Actual -OH'!P14</f>
        <v>401933.48</v>
      </c>
      <c r="Q14" s="152">
        <f>P14-O14</f>
        <v>-82850.634846000292</v>
      </c>
      <c r="R14" s="44"/>
      <c r="S14" s="44">
        <v>400334</v>
      </c>
      <c r="T14" s="160">
        <f>'2024 Bdg vs Actual All'!M14-'2024 Bdg vs Actual -OH'!T14</f>
        <v>404034</v>
      </c>
      <c r="U14" s="152">
        <f>T14-S14</f>
        <v>3700</v>
      </c>
      <c r="V14" s="240" t="s">
        <v>122</v>
      </c>
      <c r="W14" s="44">
        <v>393866.89080000011</v>
      </c>
      <c r="X14" s="160">
        <f>'2024 Bdg vs Actual All'!Q14-'2024 Bdg vs Actual -OH'!X14</f>
        <v>394718</v>
      </c>
      <c r="Y14" s="154">
        <f t="shared" ref="Y14:Y18" si="1">X14-W14</f>
        <v>851.10919999988982</v>
      </c>
      <c r="Z14" s="44"/>
      <c r="AA14" s="44">
        <v>400000</v>
      </c>
      <c r="AB14" s="160">
        <f>'2024 Bdg vs Actual All'!U14-'2024 Bdg vs Actual -OH'!AB14</f>
        <v>388414</v>
      </c>
      <c r="AC14" s="154">
        <f>AB14-AA14</f>
        <v>-11586</v>
      </c>
      <c r="AD14" s="240" t="s">
        <v>123</v>
      </c>
      <c r="AE14" s="44">
        <v>406000</v>
      </c>
      <c r="AF14" s="160">
        <f>'2024 Bdg vs Actual All'!Y14-'2024 Bdg vs Actual -OH'!AF14</f>
        <v>312110</v>
      </c>
      <c r="AG14" s="154">
        <f>AF14-AE14</f>
        <v>-93890</v>
      </c>
      <c r="AH14" s="240" t="s">
        <v>124</v>
      </c>
      <c r="AI14" s="44">
        <v>441000</v>
      </c>
      <c r="AJ14" s="160">
        <f>'2024 Bdg vs Actual All'!AC14-'2024 Bdg vs Actual -OH'!AJ14</f>
        <v>387467</v>
      </c>
      <c r="AK14" s="154">
        <f>AJ14-AI14</f>
        <v>-53533</v>
      </c>
      <c r="AL14" s="240" t="s">
        <v>125</v>
      </c>
      <c r="AM14" s="44">
        <v>445000</v>
      </c>
      <c r="AN14" s="160">
        <f>'2024 Bdg vs Actual All'!AG14-'2024 Bdg vs Actual -OH'!AN14</f>
        <v>409430</v>
      </c>
      <c r="AO14" s="154">
        <f>AN14-AM14</f>
        <v>-35570</v>
      </c>
      <c r="AP14" s="240" t="s">
        <v>126</v>
      </c>
      <c r="AQ14" s="44">
        <v>445000</v>
      </c>
      <c r="AR14" s="160">
        <f>'2024 Bdg vs Actual All'!AK14-'2024 Bdg vs Actual -OH'!AR14</f>
        <v>383691</v>
      </c>
      <c r="AS14" s="154">
        <f>AR14-AQ14</f>
        <v>-61309</v>
      </c>
      <c r="AT14" s="266" t="s">
        <v>127</v>
      </c>
      <c r="AU14" s="44">
        <v>453000</v>
      </c>
      <c r="AV14" s="160">
        <f>'2024 Bdg vs Actual All'!AO14-'2024 Bdg vs Actual -OH'!AV14</f>
        <v>385274</v>
      </c>
      <c r="AW14" s="154">
        <f>AV14-AU14</f>
        <v>-67726</v>
      </c>
      <c r="AX14" s="284" t="s">
        <v>128</v>
      </c>
      <c r="AY14" s="44">
        <v>461000</v>
      </c>
      <c r="AZ14" s="160">
        <f>'2024 Bdg vs Actual All'!AS14-'2024 Bdg vs Actual -OH'!AZ14</f>
        <v>386945</v>
      </c>
      <c r="BA14" s="154">
        <f>AZ14-AY14</f>
        <v>-74055</v>
      </c>
      <c r="BB14" s="284" t="s">
        <v>128</v>
      </c>
      <c r="BC14" s="44">
        <v>469000</v>
      </c>
      <c r="BD14" s="160">
        <f>'2024 Bdg vs Actual All'!AW14-'2024 Bdg vs Actual -OH'!BD14</f>
        <v>414555</v>
      </c>
      <c r="BE14" s="154">
        <f>BD14-BC14</f>
        <v>-54445</v>
      </c>
      <c r="BF14" s="44"/>
      <c r="BG14" s="44">
        <v>477000</v>
      </c>
      <c r="BH14" s="160">
        <f>'2024 Bdg vs Actual All'!BA14-'2024 Bdg vs Actual -OH'!BH14</f>
        <v>437673</v>
      </c>
      <c r="BI14" s="154">
        <f>BH14-BG14</f>
        <v>-39327</v>
      </c>
      <c r="BJ14" s="284" t="s">
        <v>129</v>
      </c>
      <c r="BK14" s="14"/>
      <c r="BL14" s="14"/>
      <c r="BM14" s="14"/>
      <c r="BN14" s="14"/>
      <c r="BO14" s="14"/>
      <c r="BP14" s="14"/>
      <c r="BQ14" s="14"/>
      <c r="BR14" s="14"/>
      <c r="BS14" s="14"/>
      <c r="BT14" s="14"/>
      <c r="BU14" s="14"/>
      <c r="BV14" s="14"/>
      <c r="CG14" s="44">
        <f t="shared" ref="CG14:CG18" si="2">+W14+S14+O14+AA14+AE14+AI14+AM14+AQ14+AU14+AY14+BC14+BG14</f>
        <v>5275985.0056460006</v>
      </c>
      <c r="CH14" s="160">
        <f t="shared" ref="CH14:CH18" si="3">+X14+T14+P14+AB14+AF14+AJ14+AN14+AR14+AV14+AZ14+BD14+BH14</f>
        <v>4706244.4800000004</v>
      </c>
      <c r="CI14" s="154">
        <f t="shared" ref="CI14:CI18" si="4">CH14-CG14</f>
        <v>-569740.52564600017</v>
      </c>
    </row>
    <row r="15" spans="1:87" ht="93.75" customHeight="1" x14ac:dyDescent="0.2">
      <c r="A15" t="s">
        <v>36</v>
      </c>
      <c r="C15" s="144"/>
      <c r="D15" s="144" t="s">
        <v>121</v>
      </c>
      <c r="E15" s="44">
        <f>ROUND(O15+S15+W15+AA15+AE15+AI15+AM15+AQ15+AU15+AY15+BC15+BG15,-2)</f>
        <v>255800</v>
      </c>
      <c r="F15" s="44"/>
      <c r="G15" s="44"/>
      <c r="H15" s="44"/>
      <c r="I15" s="44"/>
      <c r="J15" s="44"/>
      <c r="K15" s="44"/>
      <c r="L15" s="44"/>
      <c r="O15" s="44">
        <v>26611.835049999998</v>
      </c>
      <c r="P15" s="160">
        <f>'2024 Bdg vs Actual All'!I15-'2024 Bdg vs Actual -OH'!P15</f>
        <v>21937</v>
      </c>
      <c r="Q15" s="152">
        <f t="shared" ref="Q15:Q18" si="5">P15-O15</f>
        <v>-4674.8350499999979</v>
      </c>
      <c r="R15" s="44"/>
      <c r="S15" s="44">
        <v>18042</v>
      </c>
      <c r="T15" s="160">
        <f>'2024 Bdg vs Actual All'!M15-'2024 Bdg vs Actual -OH'!T15</f>
        <v>24564</v>
      </c>
      <c r="U15" s="152">
        <f t="shared" ref="U15:U18" si="6">T15-S15</f>
        <v>6522</v>
      </c>
      <c r="V15" s="240" t="s">
        <v>122</v>
      </c>
      <c r="W15" s="44">
        <v>18041.66</v>
      </c>
      <c r="X15" s="160">
        <f>'2024 Bdg vs Actual All'!Q15-'2024 Bdg vs Actual -OH'!X15</f>
        <v>18807</v>
      </c>
      <c r="Y15" s="154">
        <f t="shared" si="1"/>
        <v>765.34000000000015</v>
      </c>
      <c r="Z15" s="44"/>
      <c r="AA15" s="44">
        <v>18491.66</v>
      </c>
      <c r="AB15" s="160">
        <f>'2024 Bdg vs Actual All'!U15-'2024 Bdg vs Actual -OH'!AB15</f>
        <v>20511</v>
      </c>
      <c r="AC15" s="154">
        <f>AB15-AA15</f>
        <v>2019.3400000000001</v>
      </c>
      <c r="AD15" s="44"/>
      <c r="AE15" s="44">
        <v>18000</v>
      </c>
      <c r="AF15" s="160">
        <f>'2024 Bdg vs Actual All'!Y15-'2024 Bdg vs Actual -OH'!AF15</f>
        <v>20275</v>
      </c>
      <c r="AG15" s="154">
        <f>AF15-AE15</f>
        <v>2275</v>
      </c>
      <c r="AH15" s="240" t="s">
        <v>130</v>
      </c>
      <c r="AI15" s="44">
        <v>20931.66</v>
      </c>
      <c r="AJ15" s="160">
        <f>'2024 Bdg vs Actual All'!AC15-'2024 Bdg vs Actual -OH'!AJ15</f>
        <v>18128</v>
      </c>
      <c r="AK15" s="154">
        <f>AJ15-AI15</f>
        <v>-2803.66</v>
      </c>
      <c r="AL15" s="240" t="s">
        <v>131</v>
      </c>
      <c r="AM15" s="44">
        <v>21381.66</v>
      </c>
      <c r="AN15" s="160">
        <f>'2024 Bdg vs Actual All'!AG15-'2024 Bdg vs Actual -OH'!AN15</f>
        <v>18272</v>
      </c>
      <c r="AO15" s="154">
        <f>AN15-AM15</f>
        <v>-3109.66</v>
      </c>
      <c r="AP15" s="240" t="s">
        <v>132</v>
      </c>
      <c r="AQ15" s="44">
        <v>21831.66</v>
      </c>
      <c r="AR15" s="160">
        <f>'2024 Bdg vs Actual All'!AK15-'2024 Bdg vs Actual -OH'!AR15</f>
        <v>18250</v>
      </c>
      <c r="AS15" s="154">
        <f>AR15-AQ15</f>
        <v>-3581.66</v>
      </c>
      <c r="AT15" s="266" t="s">
        <v>133</v>
      </c>
      <c r="AU15" s="44">
        <v>22281.66</v>
      </c>
      <c r="AV15" s="160">
        <f>'2024 Bdg vs Actual All'!AO15-'2024 Bdg vs Actual -OH'!AV15</f>
        <v>22059</v>
      </c>
      <c r="AW15" s="154">
        <f>AV15-AU15</f>
        <v>-222.65999999999985</v>
      </c>
      <c r="AX15" s="284"/>
      <c r="AY15" s="44">
        <v>22731.66</v>
      </c>
      <c r="AZ15" s="160">
        <f>'2024 Bdg vs Actual All'!AS15-'2024 Bdg vs Actual -OH'!AZ15</f>
        <v>26554</v>
      </c>
      <c r="BA15" s="154">
        <f>AZ15-AY15</f>
        <v>3822.34</v>
      </c>
      <c r="BB15" s="284"/>
      <c r="BC15" s="44">
        <v>23181.66</v>
      </c>
      <c r="BD15" s="160">
        <f>'2024 Bdg vs Actual All'!AW15-'2024 Bdg vs Actual -OH'!BD15</f>
        <v>17924</v>
      </c>
      <c r="BE15" s="154">
        <f>BD15-BC15</f>
        <v>-5257.66</v>
      </c>
      <c r="BF15" s="44"/>
      <c r="BG15" s="44">
        <v>24268.5</v>
      </c>
      <c r="BH15" s="160">
        <f>'2024 Bdg vs Actual All'!BA15-'2024 Bdg vs Actual -OH'!BH15</f>
        <v>21850</v>
      </c>
      <c r="BI15" s="154">
        <f>BH15-BG15</f>
        <v>-2418.5</v>
      </c>
      <c r="BJ15" s="284"/>
      <c r="BK15" s="14"/>
      <c r="BL15" s="14"/>
      <c r="BM15" s="14"/>
      <c r="BN15" s="14"/>
      <c r="BO15" s="14"/>
      <c r="BP15" s="14"/>
      <c r="BQ15" s="14"/>
      <c r="BR15" s="14"/>
      <c r="BS15" s="14"/>
      <c r="BT15" s="14"/>
      <c r="BU15" s="14"/>
      <c r="BV15" s="14"/>
      <c r="CG15" s="44">
        <f t="shared" si="2"/>
        <v>255795.61505000002</v>
      </c>
      <c r="CH15" s="160">
        <f t="shared" si="3"/>
        <v>249131</v>
      </c>
      <c r="CI15" s="154">
        <f t="shared" si="4"/>
        <v>-6664.6150500000222</v>
      </c>
    </row>
    <row r="16" spans="1:87" ht="150" x14ac:dyDescent="0.2">
      <c r="A16" t="s">
        <v>37</v>
      </c>
      <c r="C16" s="144"/>
      <c r="D16" s="144" t="s">
        <v>121</v>
      </c>
      <c r="E16" s="44">
        <f>ROUND(O16+S16+W16+AA16+AE16+AI16+AM16+AQ16+AU16+AY16+BC16+BG16,-2)</f>
        <v>2440300</v>
      </c>
      <c r="F16" s="44"/>
      <c r="G16" s="44"/>
      <c r="H16" s="44"/>
      <c r="I16" s="44"/>
      <c r="J16" s="44"/>
      <c r="K16" s="44"/>
      <c r="L16" s="44"/>
      <c r="O16" s="44">
        <v>180269.68699399987</v>
      </c>
      <c r="P16" s="160">
        <f>'2024 Bdg vs Actual All'!I16-'2024 Bdg vs Actual -OH'!P16</f>
        <v>199323.86</v>
      </c>
      <c r="Q16" s="152">
        <f t="shared" si="5"/>
        <v>19054.173006000114</v>
      </c>
      <c r="R16" s="44"/>
      <c r="S16" s="44">
        <v>196417</v>
      </c>
      <c r="T16" s="160">
        <f>'2024 Bdg vs Actual All'!M16-'2024 Bdg vs Actual -OH'!T16</f>
        <v>196648</v>
      </c>
      <c r="U16" s="152">
        <f t="shared" si="6"/>
        <v>231</v>
      </c>
      <c r="V16" s="44"/>
      <c r="W16" s="44">
        <v>178975.3412</v>
      </c>
      <c r="X16" s="160">
        <f>'2024 Bdg vs Actual All'!Q16-'2024 Bdg vs Actual -OH'!X16</f>
        <v>181582</v>
      </c>
      <c r="Y16" s="192">
        <f t="shared" si="1"/>
        <v>2606.6588000000047</v>
      </c>
      <c r="Z16" s="240" t="s">
        <v>134</v>
      </c>
      <c r="AA16" s="44">
        <v>185663.3412</v>
      </c>
      <c r="AB16" s="160">
        <f>'2024 Bdg vs Actual All'!U16-'2024 Bdg vs Actual -OH'!AB16</f>
        <v>195163</v>
      </c>
      <c r="AC16" s="154">
        <f>AB16-AA16</f>
        <v>9499.6588000000047</v>
      </c>
      <c r="AD16" s="240" t="s">
        <v>135</v>
      </c>
      <c r="AE16" s="44">
        <v>194000</v>
      </c>
      <c r="AF16" s="160">
        <f>'2024 Bdg vs Actual All'!Y16-'2024 Bdg vs Actual -OH'!AF16</f>
        <v>193173</v>
      </c>
      <c r="AG16" s="154">
        <f>AF16-AE16</f>
        <v>-827</v>
      </c>
      <c r="AH16" s="240" t="s">
        <v>136</v>
      </c>
      <c r="AI16" s="44">
        <v>206000</v>
      </c>
      <c r="AJ16" s="160">
        <f>'2024 Bdg vs Actual All'!AC16-'2024 Bdg vs Actual -OH'!AJ16</f>
        <v>198029</v>
      </c>
      <c r="AK16" s="154">
        <f>AJ16-AI16</f>
        <v>-7971</v>
      </c>
      <c r="AL16" s="240" t="s">
        <v>137</v>
      </c>
      <c r="AM16" s="44">
        <v>209000</v>
      </c>
      <c r="AN16" s="160">
        <f>'2024 Bdg vs Actual All'!AG16-'2024 Bdg vs Actual -OH'!AN16</f>
        <v>199828</v>
      </c>
      <c r="AO16" s="154">
        <f>AN16-AM16</f>
        <v>-9172</v>
      </c>
      <c r="AP16" s="240" t="s">
        <v>138</v>
      </c>
      <c r="AQ16" s="44">
        <v>212000</v>
      </c>
      <c r="AR16" s="160">
        <f>'2024 Bdg vs Actual All'!AK16-'2024 Bdg vs Actual -OH'!AR16</f>
        <v>197654</v>
      </c>
      <c r="AS16" s="154">
        <f>AR16-AQ16</f>
        <v>-14346</v>
      </c>
      <c r="AT16" s="266" t="s">
        <v>139</v>
      </c>
      <c r="AU16" s="44">
        <v>215000</v>
      </c>
      <c r="AV16" s="160">
        <f>'2024 Bdg vs Actual All'!AO16-'2024 Bdg vs Actual -OH'!AV16</f>
        <v>205177</v>
      </c>
      <c r="AW16" s="154">
        <f>AV16-AU16</f>
        <v>-9823</v>
      </c>
      <c r="AX16" s="284"/>
      <c r="AY16" s="44">
        <v>218000</v>
      </c>
      <c r="AZ16" s="160">
        <f>'2024 Bdg vs Actual All'!AS16-'2024 Bdg vs Actual -OH'!AZ16</f>
        <v>212080</v>
      </c>
      <c r="BA16" s="154">
        <f>AZ16-AY16</f>
        <v>-5920</v>
      </c>
      <c r="BB16" s="284"/>
      <c r="BC16" s="44">
        <v>221000</v>
      </c>
      <c r="BD16" s="160">
        <f>'2024 Bdg vs Actual All'!AW16-'2024 Bdg vs Actual -OH'!BD16</f>
        <v>212141</v>
      </c>
      <c r="BE16" s="154">
        <f>BD16-BC16</f>
        <v>-8859</v>
      </c>
      <c r="BF16" s="44"/>
      <c r="BG16" s="44">
        <v>224000</v>
      </c>
      <c r="BH16" s="160">
        <f>'2024 Bdg vs Actual All'!BA16-'2024 Bdg vs Actual -OH'!BH16</f>
        <v>217770</v>
      </c>
      <c r="BI16" s="154">
        <f>BH16-BG16</f>
        <v>-6230</v>
      </c>
      <c r="BJ16" s="284"/>
      <c r="BK16" s="14"/>
      <c r="BL16" s="14"/>
      <c r="BM16" s="14"/>
      <c r="BN16" s="14"/>
      <c r="BO16" s="14"/>
      <c r="BP16" s="14"/>
      <c r="BQ16" s="14"/>
      <c r="BR16" s="14"/>
      <c r="BS16" s="14"/>
      <c r="BT16" s="14"/>
      <c r="BU16" s="14"/>
      <c r="BV16" s="14"/>
      <c r="CG16" s="44">
        <f t="shared" si="2"/>
        <v>2440325.3693939997</v>
      </c>
      <c r="CH16" s="160">
        <f t="shared" si="3"/>
        <v>2408568.86</v>
      </c>
      <c r="CI16" s="154">
        <f t="shared" si="4"/>
        <v>-31756.509393999819</v>
      </c>
    </row>
    <row r="17" spans="1:88" ht="39.75" customHeight="1" x14ac:dyDescent="0.2">
      <c r="A17" t="s">
        <v>38</v>
      </c>
      <c r="D17" s="16" t="s">
        <v>140</v>
      </c>
      <c r="E17" s="52">
        <f>ROUND(O17+S17+W17+AA17+AE17+AI17+AM17+AQ17+AU17+AY17+BC17+BG17,-2)</f>
        <v>618900</v>
      </c>
      <c r="F17" s="44"/>
      <c r="G17" s="44"/>
      <c r="H17" s="44"/>
      <c r="I17" s="44"/>
      <c r="J17" s="44"/>
      <c r="K17" s="44"/>
      <c r="L17" s="44"/>
      <c r="O17" s="44">
        <v>51754.499999999993</v>
      </c>
      <c r="P17" s="160">
        <f>'2024 Bdg vs Actual All'!I17-'2024 Bdg vs Actual -OH'!P17</f>
        <v>27228.23</v>
      </c>
      <c r="Q17" s="152">
        <f t="shared" si="5"/>
        <v>-24526.269999999993</v>
      </c>
      <c r="R17" s="44"/>
      <c r="S17" s="44">
        <v>49608</v>
      </c>
      <c r="T17" s="160">
        <f>'2024 Bdg vs Actual All'!M17-'2024 Bdg vs Actual -OH'!T17</f>
        <v>49608</v>
      </c>
      <c r="U17" s="152">
        <f t="shared" si="6"/>
        <v>0</v>
      </c>
      <c r="V17" s="44"/>
      <c r="W17" s="44">
        <v>51754.499999999993</v>
      </c>
      <c r="X17" s="160">
        <f>'2024 Bdg vs Actual All'!Q17-'2024 Bdg vs Actual -OH'!X17</f>
        <v>44366</v>
      </c>
      <c r="Y17" s="154">
        <f t="shared" si="1"/>
        <v>-7388.4999999999927</v>
      </c>
      <c r="Z17" s="44"/>
      <c r="AA17" s="44">
        <v>51754.499999999993</v>
      </c>
      <c r="AB17" s="160">
        <f>'2024 Bdg vs Actual All'!U17-'2024 Bdg vs Actual -OH'!AB17</f>
        <v>131293</v>
      </c>
      <c r="AC17" s="154">
        <f>AB17-AA17</f>
        <v>79538.5</v>
      </c>
      <c r="AD17" s="240" t="s">
        <v>141</v>
      </c>
      <c r="AE17" s="44">
        <v>51754.499999999993</v>
      </c>
      <c r="AF17" s="160">
        <f>'2024 Bdg vs Actual All'!Y17-'2024 Bdg vs Actual -OH'!AF17</f>
        <v>148275</v>
      </c>
      <c r="AG17" s="154">
        <f>AF17-AE17</f>
        <v>96520.5</v>
      </c>
      <c r="AH17" s="240" t="s">
        <v>142</v>
      </c>
      <c r="AI17" s="44">
        <v>51754.499999999993</v>
      </c>
      <c r="AJ17" s="160">
        <f>'2024 Bdg vs Actual All'!AC17-'2024 Bdg vs Actual -OH'!AJ17</f>
        <v>71950</v>
      </c>
      <c r="AK17" s="154">
        <f>AJ17-AI17</f>
        <v>20195.500000000007</v>
      </c>
      <c r="AL17" s="44"/>
      <c r="AM17" s="44">
        <v>51754.499999999993</v>
      </c>
      <c r="AN17" s="160">
        <f>'2024 Bdg vs Actual All'!AG17-'2024 Bdg vs Actual -OH'!AN17</f>
        <v>23582</v>
      </c>
      <c r="AO17" s="154">
        <f>AN17-AM17</f>
        <v>-28172.499999999993</v>
      </c>
      <c r="AP17" s="44"/>
      <c r="AQ17" s="44">
        <v>51754.499999999993</v>
      </c>
      <c r="AR17" s="160">
        <f>'2024 Bdg vs Actual All'!AK17-'2024 Bdg vs Actual -OH'!AR17</f>
        <v>171887</v>
      </c>
      <c r="AS17" s="154">
        <f>AR17-AQ17</f>
        <v>120132.5</v>
      </c>
      <c r="AT17" s="266" t="s">
        <v>143</v>
      </c>
      <c r="AU17" s="44">
        <v>51754.499999999993</v>
      </c>
      <c r="AV17" s="160">
        <f>'2024 Bdg vs Actual All'!AO17-'2024 Bdg vs Actual -OH'!AV17</f>
        <v>34501</v>
      </c>
      <c r="AW17" s="154">
        <f>AV17-AU17</f>
        <v>-17253.499999999993</v>
      </c>
      <c r="AX17" s="285" t="s">
        <v>144</v>
      </c>
      <c r="AY17" s="44">
        <v>51754.499999999993</v>
      </c>
      <c r="AZ17" s="160">
        <f>'2024 Bdg vs Actual All'!AS17-'2024 Bdg vs Actual -OH'!AZ17</f>
        <v>41200</v>
      </c>
      <c r="BA17" s="154">
        <f>AZ17-AY17</f>
        <v>-10554.499999999993</v>
      </c>
      <c r="BB17" s="285" t="s">
        <v>144</v>
      </c>
      <c r="BC17" s="44">
        <v>51754.499999999993</v>
      </c>
      <c r="BD17" s="160">
        <f>'2024 Bdg vs Actual All'!AW17-'2024 Bdg vs Actual -OH'!BD17</f>
        <v>30800</v>
      </c>
      <c r="BE17" s="154">
        <f>BD17-BC17</f>
        <v>-20954.499999999993</v>
      </c>
      <c r="BF17" s="44"/>
      <c r="BG17" s="44">
        <v>51754.499999999993</v>
      </c>
      <c r="BH17" s="160">
        <f>'2024 Bdg vs Actual All'!BA17-'2024 Bdg vs Actual -OH'!BH17</f>
        <v>33100</v>
      </c>
      <c r="BI17" s="154">
        <f>BH17-BG17</f>
        <v>-18654.499999999993</v>
      </c>
      <c r="BJ17" s="44"/>
      <c r="BK17" s="14"/>
      <c r="BL17" s="14"/>
      <c r="BM17" s="14"/>
      <c r="BN17" s="14"/>
      <c r="BO17" s="14"/>
      <c r="BP17" s="14"/>
      <c r="BQ17" s="14"/>
      <c r="BR17" s="14"/>
      <c r="BS17" s="14"/>
      <c r="BT17" s="14"/>
      <c r="BU17" s="14"/>
      <c r="BV17" s="14"/>
      <c r="CG17" s="44">
        <f t="shared" si="2"/>
        <v>618907.5</v>
      </c>
      <c r="CH17" s="160">
        <f t="shared" si="3"/>
        <v>807790.23</v>
      </c>
      <c r="CI17" s="154">
        <f t="shared" si="4"/>
        <v>188882.72999999998</v>
      </c>
    </row>
    <row r="18" spans="1:88" ht="28.25" customHeight="1" x14ac:dyDescent="0.2">
      <c r="A18" t="s">
        <v>40</v>
      </c>
      <c r="D18" s="16" t="s">
        <v>140</v>
      </c>
      <c r="E18" s="44">
        <f>ROUND(O18+S18+W18+AA18+AE18+AI18+AM18+AQ18+AU18+AY18+BC18+BG18,-2)</f>
        <v>695900</v>
      </c>
      <c r="F18" s="44"/>
      <c r="G18" s="44"/>
      <c r="H18" s="44"/>
      <c r="I18" s="44"/>
      <c r="J18" s="44"/>
      <c r="K18" s="44"/>
      <c r="L18" s="44"/>
      <c r="O18" s="44">
        <v>56763.000000000007</v>
      </c>
      <c r="P18" s="160">
        <f>'2024 Bdg vs Actual All'!I18-'2024 Bdg vs Actual -OH'!P18</f>
        <v>5209</v>
      </c>
      <c r="Q18" s="152">
        <f t="shared" si="5"/>
        <v>-51554.000000000007</v>
      </c>
      <c r="R18" s="44"/>
      <c r="S18" s="44">
        <v>71462</v>
      </c>
      <c r="T18" s="160">
        <f>'2024 Bdg vs Actual All'!M18-'2024 Bdg vs Actual -OH'!T18</f>
        <v>71462</v>
      </c>
      <c r="U18" s="152">
        <f t="shared" si="6"/>
        <v>0</v>
      </c>
      <c r="V18" s="44"/>
      <c r="W18" s="44">
        <v>56763.000000000007</v>
      </c>
      <c r="X18" s="160">
        <f>'2024 Bdg vs Actual All'!Q18-'2024 Bdg vs Actual -OH'!X18</f>
        <v>15971</v>
      </c>
      <c r="Y18" s="154">
        <f t="shared" si="1"/>
        <v>-40792.000000000007</v>
      </c>
      <c r="Z18" s="44"/>
      <c r="AA18" s="44">
        <v>56763.000000000007</v>
      </c>
      <c r="AB18" s="160">
        <f>'2024 Bdg vs Actual All'!U18-'2024 Bdg vs Actual -OH'!AB18</f>
        <v>10805</v>
      </c>
      <c r="AC18" s="154">
        <f>AB18-AA18</f>
        <v>-45958.000000000007</v>
      </c>
      <c r="AD18" s="44"/>
      <c r="AE18" s="44">
        <v>56763.000000000007</v>
      </c>
      <c r="AF18" s="160">
        <f>'2024 Bdg vs Actual All'!Y18-'2024 Bdg vs Actual -OH'!AF18</f>
        <v>14230</v>
      </c>
      <c r="AG18" s="154">
        <f>AF18-AE18</f>
        <v>-42533.000000000007</v>
      </c>
      <c r="AH18" s="241"/>
      <c r="AI18" s="44">
        <v>56763.000000000007</v>
      </c>
      <c r="AJ18" s="160">
        <f>'2024 Bdg vs Actual All'!AC18-'2024 Bdg vs Actual -OH'!AJ18</f>
        <v>5640</v>
      </c>
      <c r="AK18" s="154">
        <f>AJ18-AI18</f>
        <v>-51123.000000000007</v>
      </c>
      <c r="AL18" s="44"/>
      <c r="AM18" s="44">
        <v>56763.000000000007</v>
      </c>
      <c r="AN18" s="160">
        <f>'2024 Bdg vs Actual All'!AG18-'2024 Bdg vs Actual -OH'!AN18</f>
        <v>14851</v>
      </c>
      <c r="AO18" s="154">
        <f>AN18-AM18</f>
        <v>-41912.000000000007</v>
      </c>
      <c r="AP18" s="44"/>
      <c r="AQ18" s="44">
        <v>56763.000000000007</v>
      </c>
      <c r="AR18" s="160">
        <f>'2024 Bdg vs Actual All'!AK18-'2024 Bdg vs Actual -OH'!AR18</f>
        <v>109670</v>
      </c>
      <c r="AS18" s="154">
        <f>AR18-AQ18</f>
        <v>52906.999999999993</v>
      </c>
      <c r="AT18" s="266" t="s">
        <v>145</v>
      </c>
      <c r="AU18" s="44">
        <v>56763.000000000007</v>
      </c>
      <c r="AV18" s="160">
        <f>'2024 Bdg vs Actual All'!AO18-'2024 Bdg vs Actual -OH'!AV18</f>
        <v>24969</v>
      </c>
      <c r="AW18" s="154">
        <f>AV18-AU18</f>
        <v>-31794.000000000007</v>
      </c>
      <c r="AX18" s="285"/>
      <c r="AY18" s="44">
        <v>56763.000000000007</v>
      </c>
      <c r="AZ18" s="160">
        <f>'2024 Bdg vs Actual All'!AS18-'2024 Bdg vs Actual -OH'!AZ18</f>
        <v>32496</v>
      </c>
      <c r="BA18" s="154">
        <f>AZ18-AY18</f>
        <v>-24267.000000000007</v>
      </c>
      <c r="BB18" s="285"/>
      <c r="BC18" s="44">
        <v>56763.000000000007</v>
      </c>
      <c r="BD18" s="160">
        <f>'2024 Bdg vs Actual All'!AW18-'2024 Bdg vs Actual -OH'!BD18</f>
        <v>12751</v>
      </c>
      <c r="BE18" s="154">
        <f>BD18-BC18</f>
        <v>-44012.000000000007</v>
      </c>
      <c r="BF18" s="44"/>
      <c r="BG18" s="44">
        <v>56763.000000000007</v>
      </c>
      <c r="BH18" s="160">
        <f>'2024 Bdg vs Actual All'!BA18-'2024 Bdg vs Actual -OH'!BH18</f>
        <v>25687</v>
      </c>
      <c r="BI18" s="154">
        <f>BH18-BG18</f>
        <v>-31076.000000000007</v>
      </c>
      <c r="BJ18" s="44"/>
      <c r="BK18" s="14"/>
      <c r="BL18" s="14"/>
      <c r="BM18" s="14"/>
      <c r="BN18" s="14"/>
      <c r="BO18" s="14"/>
      <c r="BP18" s="14"/>
      <c r="BQ18" s="14"/>
      <c r="BR18" s="14"/>
      <c r="BS18" s="14"/>
      <c r="BT18" s="14"/>
      <c r="BU18" s="14"/>
      <c r="BV18" s="14"/>
      <c r="CG18" s="44">
        <f t="shared" si="2"/>
        <v>695855</v>
      </c>
      <c r="CH18" s="160">
        <f t="shared" si="3"/>
        <v>343741</v>
      </c>
      <c r="CI18" s="154">
        <f t="shared" si="4"/>
        <v>-352114</v>
      </c>
    </row>
    <row r="19" spans="1:88" x14ac:dyDescent="0.2">
      <c r="E19" s="44"/>
      <c r="F19" s="44"/>
      <c r="G19" s="44"/>
      <c r="H19" s="44"/>
      <c r="I19" s="44"/>
      <c r="J19" s="44"/>
      <c r="K19" s="44"/>
      <c r="L19" s="44"/>
      <c r="O19" s="66"/>
      <c r="P19" s="160"/>
      <c r="Q19" s="66"/>
      <c r="R19" s="66"/>
      <c r="S19" s="66"/>
      <c r="T19" s="160"/>
      <c r="U19" s="66"/>
      <c r="V19" s="66"/>
      <c r="W19" s="66"/>
      <c r="X19" s="160"/>
      <c r="Y19" s="154"/>
      <c r="Z19" s="66"/>
      <c r="AA19" s="66"/>
      <c r="AB19" s="160"/>
      <c r="AC19" s="154"/>
      <c r="AD19" s="66"/>
      <c r="AE19" s="66"/>
      <c r="AF19" s="66"/>
      <c r="AG19" s="66"/>
      <c r="AH19" s="66"/>
      <c r="AI19" s="66"/>
      <c r="AJ19" s="66"/>
      <c r="AK19" s="66"/>
      <c r="AL19" s="66"/>
      <c r="AM19" s="68"/>
      <c r="AN19" s="66"/>
      <c r="AO19" s="68"/>
      <c r="AP19" s="68"/>
      <c r="AQ19" s="68"/>
      <c r="AR19" s="66"/>
      <c r="AS19" s="68"/>
      <c r="AT19" s="68"/>
      <c r="AU19" s="68"/>
      <c r="AV19" s="66"/>
      <c r="AW19" s="68"/>
      <c r="AX19" s="68"/>
      <c r="AY19" s="68"/>
      <c r="AZ19" s="66"/>
      <c r="BA19" s="68"/>
      <c r="BB19" s="68"/>
      <c r="BC19" s="68"/>
      <c r="BD19" s="66"/>
      <c r="BE19" s="68"/>
      <c r="BF19" s="68"/>
      <c r="BG19" s="68"/>
      <c r="BH19" s="66"/>
      <c r="BI19" s="68"/>
      <c r="BJ19" s="68"/>
      <c r="CG19" s="66"/>
      <c r="CH19" s="160"/>
      <c r="CI19" s="154"/>
    </row>
    <row r="20" spans="1:88" x14ac:dyDescent="0.2">
      <c r="E20" s="44"/>
      <c r="F20" s="44"/>
      <c r="G20" s="44"/>
      <c r="H20" s="44"/>
      <c r="I20" s="44"/>
      <c r="J20" s="44"/>
      <c r="K20" s="44"/>
      <c r="L20" s="44"/>
      <c r="O20" s="66"/>
      <c r="P20" s="160"/>
      <c r="Q20" s="66"/>
      <c r="R20" s="66"/>
      <c r="S20" s="66"/>
      <c r="T20" s="160"/>
      <c r="U20" s="66"/>
      <c r="V20" s="66"/>
      <c r="W20" s="66"/>
      <c r="X20" s="160"/>
      <c r="Y20" s="154"/>
      <c r="Z20" s="66"/>
      <c r="AA20" s="66"/>
      <c r="AB20" s="160"/>
      <c r="AC20" s="154"/>
      <c r="AD20" s="66"/>
      <c r="AE20" s="66"/>
      <c r="AF20" s="66"/>
      <c r="AG20" s="66"/>
      <c r="AH20" s="66"/>
      <c r="AI20" s="66"/>
      <c r="AJ20" s="66"/>
      <c r="AK20" s="66"/>
      <c r="AL20" s="66"/>
      <c r="AM20" s="68"/>
      <c r="AN20" s="66"/>
      <c r="AO20" s="68"/>
      <c r="AP20" s="68"/>
      <c r="AQ20" s="68"/>
      <c r="AR20" s="66"/>
      <c r="AS20" s="68"/>
      <c r="AT20" s="68"/>
      <c r="AU20" s="68"/>
      <c r="AV20" s="66"/>
      <c r="AW20" s="68"/>
      <c r="AX20" s="68"/>
      <c r="AY20" s="68"/>
      <c r="AZ20" s="66"/>
      <c r="BA20" s="68"/>
      <c r="BB20" s="68"/>
      <c r="BC20" s="68"/>
      <c r="BD20" s="66"/>
      <c r="BE20" s="68"/>
      <c r="BF20" s="68"/>
      <c r="BG20" s="68"/>
      <c r="BH20" s="66"/>
      <c r="BI20" s="68"/>
      <c r="BJ20" s="68"/>
      <c r="CG20" s="66"/>
      <c r="CH20" s="160"/>
      <c r="CI20" s="154"/>
    </row>
    <row r="21" spans="1:88" x14ac:dyDescent="0.2">
      <c r="A21" s="24" t="s">
        <v>41</v>
      </c>
      <c r="B21" s="24"/>
      <c r="E21" s="44"/>
      <c r="F21" s="44"/>
      <c r="G21" s="44"/>
      <c r="H21" s="44"/>
      <c r="I21" s="44"/>
      <c r="J21" s="44"/>
      <c r="K21" s="44"/>
      <c r="L21" s="44"/>
      <c r="O21" s="66"/>
      <c r="P21" s="160"/>
      <c r="Q21" s="66"/>
      <c r="R21" s="66"/>
      <c r="S21" s="66"/>
      <c r="T21" s="160"/>
      <c r="U21" s="66"/>
      <c r="V21" s="66"/>
      <c r="W21" s="66"/>
      <c r="X21" s="160"/>
      <c r="Y21" s="154"/>
      <c r="Z21" s="66"/>
      <c r="AA21" s="66"/>
      <c r="AB21" s="160"/>
      <c r="AC21" s="154"/>
      <c r="AD21" s="66"/>
      <c r="AE21" s="66"/>
      <c r="AF21" s="66"/>
      <c r="AG21" s="66"/>
      <c r="AH21" s="66"/>
      <c r="AI21" s="66"/>
      <c r="AJ21" s="66"/>
      <c r="AK21" s="66"/>
      <c r="AL21" s="66"/>
      <c r="AM21" s="68"/>
      <c r="AN21" s="66"/>
      <c r="AO21" s="68"/>
      <c r="AP21" s="68"/>
      <c r="AQ21" s="68"/>
      <c r="AR21" s="66"/>
      <c r="AS21" s="68"/>
      <c r="AT21" s="68"/>
      <c r="AU21" s="68"/>
      <c r="AV21" s="66"/>
      <c r="AW21" s="68"/>
      <c r="AX21" s="68"/>
      <c r="AY21" s="68"/>
      <c r="AZ21" s="66"/>
      <c r="BA21" s="68"/>
      <c r="BB21" s="68"/>
      <c r="BC21" s="68"/>
      <c r="BD21" s="66"/>
      <c r="BE21" s="68"/>
      <c r="BF21" s="68"/>
      <c r="BG21" s="68"/>
      <c r="BH21" s="66"/>
      <c r="BI21" s="68"/>
      <c r="BJ21" s="68"/>
      <c r="CG21" s="66"/>
      <c r="CH21" s="160"/>
      <c r="CI21" s="154"/>
    </row>
    <row r="22" spans="1:88" ht="61" x14ac:dyDescent="0.2">
      <c r="A22" t="s">
        <v>42</v>
      </c>
      <c r="D22" s="16" t="s">
        <v>140</v>
      </c>
      <c r="E22" s="44">
        <f>ROUND(O22+S22+W22+AA22+AE22+AI22+AM22+AQ22+AU22+AY22+BC22+BG22,-2)</f>
        <v>8714800</v>
      </c>
      <c r="F22" s="44"/>
      <c r="G22" s="44"/>
      <c r="H22" s="44"/>
      <c r="I22" s="44"/>
      <c r="J22" s="44"/>
      <c r="K22" s="44"/>
      <c r="L22" s="44"/>
      <c r="O22" s="44">
        <v>726232.5</v>
      </c>
      <c r="P22" s="160">
        <f>'2024 Bdg vs Actual All'!I22-'2024 Bdg vs Actual -OH'!P22</f>
        <v>172471</v>
      </c>
      <c r="Q22" s="152">
        <f t="shared" ref="Q22:Q23" si="7">P22-O22</f>
        <v>-553761.5</v>
      </c>
      <c r="R22" s="44"/>
      <c r="S22" s="44">
        <v>726232.5</v>
      </c>
      <c r="T22" s="160">
        <f>'2024 Bdg vs Actual All'!M22-'2024 Bdg vs Actual -OH'!T22</f>
        <v>484798</v>
      </c>
      <c r="U22" s="152">
        <f t="shared" ref="U22:U23" si="8">T22-S22</f>
        <v>-241434.5</v>
      </c>
      <c r="V22" s="240" t="s">
        <v>146</v>
      </c>
      <c r="W22" s="44">
        <v>726232.5</v>
      </c>
      <c r="X22" s="160">
        <f>'2024 Bdg vs Actual All'!Q22-'2024 Bdg vs Actual -OH'!X22</f>
        <v>166933</v>
      </c>
      <c r="Y22" s="154">
        <f t="shared" ref="Y22:Y23" si="9">X22-W22</f>
        <v>-559299.5</v>
      </c>
      <c r="Z22" s="33"/>
      <c r="AA22" s="44">
        <v>726232.5</v>
      </c>
      <c r="AB22" s="160">
        <f>'2024 Bdg vs Actual All'!U22-'2024 Bdg vs Actual -OH'!AB22</f>
        <v>196717</v>
      </c>
      <c r="AC22" s="154">
        <f>AB22-AA22</f>
        <v>-529515.5</v>
      </c>
      <c r="AD22" s="44"/>
      <c r="AE22" s="44">
        <v>726232.5</v>
      </c>
      <c r="AF22" s="160">
        <f>'2024 Bdg vs Actual All'!Y22-'2024 Bdg vs Actual -OH'!AF22</f>
        <v>155736</v>
      </c>
      <c r="AG22" s="154">
        <f>AF22-AE22</f>
        <v>-570496.5</v>
      </c>
      <c r="AH22" s="241"/>
      <c r="AI22" s="44">
        <v>726232.5</v>
      </c>
      <c r="AJ22" s="160">
        <f>'2024 Bdg vs Actual All'!AC22-'2024 Bdg vs Actual -OH'!AJ22</f>
        <v>1175975</v>
      </c>
      <c r="AK22" s="154">
        <f>AJ22-AI22</f>
        <v>449742.5</v>
      </c>
      <c r="AL22" s="44"/>
      <c r="AM22" s="44">
        <v>726232.5</v>
      </c>
      <c r="AN22" s="160">
        <f>'2024 Bdg vs Actual All'!AG22-'2024 Bdg vs Actual -OH'!AN22</f>
        <v>652914</v>
      </c>
      <c r="AO22" s="154">
        <f>AN22-AM22</f>
        <v>-73318.5</v>
      </c>
      <c r="AP22" s="44"/>
      <c r="AQ22" s="44">
        <v>726232.5</v>
      </c>
      <c r="AR22" s="160">
        <f>'2024 Bdg vs Actual All'!AK22-'2024 Bdg vs Actual -OH'!AR22</f>
        <v>471667</v>
      </c>
      <c r="AS22" s="154">
        <f>AR22-AQ22</f>
        <v>-254565.5</v>
      </c>
      <c r="AT22" s="266" t="s">
        <v>147</v>
      </c>
      <c r="AU22" s="44">
        <v>726232.5</v>
      </c>
      <c r="AV22" s="160">
        <f>'2024 Bdg vs Actual All'!AO22-'2024 Bdg vs Actual -OH'!AV22</f>
        <v>249412</v>
      </c>
      <c r="AW22" s="154">
        <f>AV22-AU22</f>
        <v>-476820.5</v>
      </c>
      <c r="AX22" s="271" t="s">
        <v>144</v>
      </c>
      <c r="AY22" s="44">
        <v>726232.5</v>
      </c>
      <c r="AZ22" s="160">
        <f>'2024 Bdg vs Actual All'!AS22-'2024 Bdg vs Actual -OH'!AZ22</f>
        <v>207123</v>
      </c>
      <c r="BA22" s="154">
        <f>AZ22-AY22</f>
        <v>-519109.5</v>
      </c>
      <c r="BB22" s="271" t="s">
        <v>144</v>
      </c>
      <c r="BC22" s="44">
        <v>726232.5</v>
      </c>
      <c r="BD22" s="160">
        <f>'2024 Bdg vs Actual All'!AW22-'2024 Bdg vs Actual -OH'!BD22</f>
        <v>630352</v>
      </c>
      <c r="BE22" s="154">
        <f>BD22-BC22</f>
        <v>-95880.5</v>
      </c>
      <c r="BF22" s="271" t="s">
        <v>144</v>
      </c>
      <c r="BG22" s="44">
        <v>726232.5</v>
      </c>
      <c r="BH22" s="160">
        <f>'2024 Bdg vs Actual All'!BA22-'2024 Bdg vs Actual -OH'!BH22</f>
        <v>96681</v>
      </c>
      <c r="BI22" s="154">
        <f>BH22-BG22</f>
        <v>-629551.5</v>
      </c>
      <c r="BJ22" s="270"/>
      <c r="BK22" s="14"/>
      <c r="CG22" s="44">
        <f t="shared" ref="CG22:CG23" si="10">+W22+S22+O22+AA22+AE22+AI22+AM22+AQ22+AU22+AY22+BC22+BG22</f>
        <v>8714790</v>
      </c>
      <c r="CH22" s="160">
        <f t="shared" ref="CH22:CH23" si="11">+X22+T22+P22+AB22+AF22+AJ22+AN22+AR22+AV22+AZ22+BD22+BH22</f>
        <v>4660779</v>
      </c>
      <c r="CI22" s="154">
        <f t="shared" ref="CI22:CI23" si="12">CH22-CG22</f>
        <v>-4054011</v>
      </c>
    </row>
    <row r="23" spans="1:88" x14ac:dyDescent="0.2">
      <c r="A23" t="s">
        <v>44</v>
      </c>
      <c r="D23" s="44"/>
      <c r="E23" s="44">
        <f>ROUND(O23+S23+W23+AA23+AE23+AI23+AM23+AQ23+AU23+AY23+BC23+BG23,-2)</f>
        <v>199000</v>
      </c>
      <c r="F23" s="44"/>
      <c r="G23" s="44"/>
      <c r="H23" s="44"/>
      <c r="I23" s="44"/>
      <c r="J23" s="44"/>
      <c r="K23" s="44"/>
      <c r="L23" s="44"/>
      <c r="O23" s="44">
        <v>16583.333333333332</v>
      </c>
      <c r="P23" s="160">
        <f>'2024 Bdg vs Actual All'!I23-'2024 Bdg vs Actual -OH'!P23</f>
        <v>12167</v>
      </c>
      <c r="Q23" s="152">
        <f t="shared" si="7"/>
        <v>-4416.3333333333321</v>
      </c>
      <c r="R23" s="44"/>
      <c r="S23" s="44">
        <v>16583.333333333332</v>
      </c>
      <c r="T23" s="160">
        <f>'2024 Bdg vs Actual All'!M23-'2024 Bdg vs Actual -OH'!T23</f>
        <v>6918</v>
      </c>
      <c r="U23" s="152">
        <f t="shared" si="8"/>
        <v>-9665.3333333333321</v>
      </c>
      <c r="V23" s="44"/>
      <c r="W23" s="44">
        <v>16583.333333333332</v>
      </c>
      <c r="X23" s="160">
        <f>'2024 Bdg vs Actual All'!Q23-'2024 Bdg vs Actual -OH'!X23</f>
        <v>14977</v>
      </c>
      <c r="Y23" s="154">
        <f t="shared" si="9"/>
        <v>-1606.3333333333321</v>
      </c>
      <c r="Z23" s="44"/>
      <c r="AA23" s="44">
        <v>16583.333333333332</v>
      </c>
      <c r="AB23" s="160">
        <f>'2024 Bdg vs Actual All'!U23-'2024 Bdg vs Actual -OH'!AB23</f>
        <v>4670</v>
      </c>
      <c r="AC23" s="154">
        <f>AB23-AA23</f>
        <v>-11913.333333333332</v>
      </c>
      <c r="AD23" s="44"/>
      <c r="AE23" s="44">
        <v>16583.333333333332</v>
      </c>
      <c r="AF23" s="160">
        <f>'2024 Bdg vs Actual All'!Y23-'2024 Bdg vs Actual -OH'!AF23</f>
        <v>7343</v>
      </c>
      <c r="AG23" s="154">
        <f>AF23-AE23</f>
        <v>-9240.3333333333321</v>
      </c>
      <c r="AH23" s="241"/>
      <c r="AI23" s="44">
        <v>16583.333333333332</v>
      </c>
      <c r="AJ23" s="160">
        <f>'2024 Bdg vs Actual All'!AC23-'2024 Bdg vs Actual -OH'!AJ23</f>
        <v>6081</v>
      </c>
      <c r="AK23" s="154">
        <f>AJ23-AI23</f>
        <v>-10502.333333333332</v>
      </c>
      <c r="AL23" s="44"/>
      <c r="AM23" s="44">
        <v>16583.333333333332</v>
      </c>
      <c r="AN23" s="160">
        <f>'2024 Bdg vs Actual All'!AG23-'2024 Bdg vs Actual -OH'!AN23</f>
        <v>6031</v>
      </c>
      <c r="AO23" s="154">
        <f>AN23-AM23</f>
        <v>-10552.333333333332</v>
      </c>
      <c r="AP23" s="44"/>
      <c r="AQ23" s="44">
        <v>16583.333333333332</v>
      </c>
      <c r="AR23" s="160">
        <f>'2024 Bdg vs Actual All'!AK23-'2024 Bdg vs Actual -OH'!AR23</f>
        <v>7559</v>
      </c>
      <c r="AS23" s="154">
        <f>AR23-AQ23</f>
        <v>-9024.3333333333321</v>
      </c>
      <c r="AT23" s="44"/>
      <c r="AU23" s="44">
        <v>16583.333333333332</v>
      </c>
      <c r="AV23" s="160">
        <f>'2024 Bdg vs Actual All'!AO23-'2024 Bdg vs Actual -OH'!AV23</f>
        <v>18165</v>
      </c>
      <c r="AW23" s="154">
        <f>AV23-AU23</f>
        <v>1581.6666666666679</v>
      </c>
      <c r="AX23" s="270"/>
      <c r="AY23" s="44">
        <v>16583.333333333332</v>
      </c>
      <c r="AZ23" s="160">
        <f>'2024 Bdg vs Actual All'!AS23-'2024 Bdg vs Actual -OH'!AZ23</f>
        <v>7760</v>
      </c>
      <c r="BA23" s="154">
        <f>AZ23-AY23</f>
        <v>-8823.3333333333321</v>
      </c>
      <c r="BB23" s="44"/>
      <c r="BC23" s="44">
        <v>16583.333333333332</v>
      </c>
      <c r="BD23" s="160">
        <f>'2024 Bdg vs Actual All'!AW23-'2024 Bdg vs Actual -OH'!BD23</f>
        <v>6254</v>
      </c>
      <c r="BE23" s="154">
        <f>BD23-BC23</f>
        <v>-10329.333333333332</v>
      </c>
      <c r="BF23" s="44"/>
      <c r="BG23" s="44">
        <v>16583.333333333332</v>
      </c>
      <c r="BH23" s="160">
        <f>'2024 Bdg vs Actual All'!BA23-'2024 Bdg vs Actual -OH'!BH23</f>
        <v>6254</v>
      </c>
      <c r="BI23" s="154">
        <f>BH23-BG23</f>
        <v>-10329.333333333332</v>
      </c>
      <c r="BJ23" s="44"/>
      <c r="BK23" s="14"/>
      <c r="CG23" s="44">
        <f t="shared" si="10"/>
        <v>199000.00000000003</v>
      </c>
      <c r="CH23" s="160">
        <f t="shared" si="11"/>
        <v>104179</v>
      </c>
      <c r="CI23" s="154">
        <f t="shared" si="12"/>
        <v>-94821.000000000029</v>
      </c>
    </row>
    <row r="24" spans="1:88" x14ac:dyDescent="0.2">
      <c r="D24" s="44"/>
      <c r="E24" s="44"/>
      <c r="F24" s="44"/>
      <c r="G24" s="44"/>
      <c r="H24" s="44"/>
      <c r="I24" s="44"/>
      <c r="J24" s="44"/>
      <c r="K24" s="44"/>
      <c r="L24" s="44"/>
      <c r="O24" s="66"/>
      <c r="P24" s="160"/>
      <c r="Q24" s="66"/>
      <c r="R24" s="66"/>
      <c r="S24" s="66"/>
      <c r="T24" s="160"/>
      <c r="U24" s="66"/>
      <c r="V24" s="66"/>
      <c r="W24" s="66"/>
      <c r="X24" s="160"/>
      <c r="Y24" s="154"/>
      <c r="Z24" s="66"/>
      <c r="AA24" s="66"/>
      <c r="AB24" s="160"/>
      <c r="AC24" s="154"/>
      <c r="AD24" s="66"/>
      <c r="AE24" s="66"/>
      <c r="AF24" s="160"/>
      <c r="AG24" s="154"/>
      <c r="AH24" s="66"/>
      <c r="AI24" s="66"/>
      <c r="AJ24" s="160"/>
      <c r="AK24" s="66"/>
      <c r="AL24" s="66"/>
      <c r="AM24" s="66"/>
      <c r="AN24" s="160"/>
      <c r="AO24" s="154"/>
      <c r="AP24" s="66"/>
      <c r="AQ24" s="66"/>
      <c r="AR24" s="160"/>
      <c r="AS24" s="154"/>
      <c r="AT24" s="66"/>
      <c r="AU24" s="66"/>
      <c r="AV24" s="160"/>
      <c r="AW24" s="154"/>
      <c r="AX24" s="66"/>
      <c r="AY24" s="66"/>
      <c r="AZ24" s="160"/>
      <c r="BA24" s="154"/>
      <c r="BB24" s="66"/>
      <c r="BC24" s="66"/>
      <c r="BD24" s="160"/>
      <c r="BE24" s="154"/>
      <c r="BF24" s="66"/>
      <c r="BG24" s="44"/>
      <c r="BH24" s="160"/>
      <c r="BI24" s="154"/>
      <c r="BJ24" s="66"/>
      <c r="CG24" s="66"/>
      <c r="CH24" s="160"/>
      <c r="CI24" s="154"/>
    </row>
    <row r="25" spans="1:88" x14ac:dyDescent="0.2">
      <c r="A25" s="24" t="s">
        <v>45</v>
      </c>
      <c r="B25" s="24"/>
      <c r="D25" s="44"/>
      <c r="E25" s="44"/>
      <c r="F25" s="44"/>
      <c r="G25" s="44"/>
      <c r="H25" s="44"/>
      <c r="I25" s="44"/>
      <c r="J25" s="44"/>
      <c r="K25" s="44"/>
      <c r="L25" s="44"/>
      <c r="O25" s="66"/>
      <c r="P25" s="160"/>
      <c r="Q25" s="66"/>
      <c r="R25" s="66"/>
      <c r="S25" s="66"/>
      <c r="T25" s="160"/>
      <c r="U25" s="66"/>
      <c r="V25" s="66"/>
      <c r="W25" s="66"/>
      <c r="X25" s="160"/>
      <c r="Y25" s="154"/>
      <c r="Z25" s="66"/>
      <c r="AA25" s="66"/>
      <c r="AB25" s="160"/>
      <c r="AC25" s="154"/>
      <c r="AD25" s="66"/>
      <c r="AE25" s="66"/>
      <c r="AF25" s="160"/>
      <c r="AG25" s="154"/>
      <c r="AH25" s="66"/>
      <c r="AI25" s="66"/>
      <c r="AJ25" s="160"/>
      <c r="AK25" s="66"/>
      <c r="AL25" s="66"/>
      <c r="AM25" s="66"/>
      <c r="AN25" s="160"/>
      <c r="AO25" s="154"/>
      <c r="AP25" s="66"/>
      <c r="AQ25" s="66"/>
      <c r="AR25" s="160"/>
      <c r="AS25" s="154"/>
      <c r="AT25" s="66"/>
      <c r="AU25" s="66"/>
      <c r="AV25" s="160"/>
      <c r="AW25" s="154"/>
      <c r="AX25" s="66"/>
      <c r="AY25" s="66"/>
      <c r="AZ25" s="160"/>
      <c r="BA25" s="154"/>
      <c r="BB25" s="66"/>
      <c r="BC25" s="66"/>
      <c r="BD25" s="160"/>
      <c r="BE25" s="154"/>
      <c r="BF25" s="66"/>
      <c r="BG25" s="66"/>
      <c r="BH25" s="160"/>
      <c r="BI25" s="154"/>
      <c r="BJ25" s="66"/>
      <c r="CG25" s="66"/>
      <c r="CH25" s="160"/>
      <c r="CI25" s="154"/>
    </row>
    <row r="26" spans="1:88" x14ac:dyDescent="0.2">
      <c r="A26" t="s">
        <v>46</v>
      </c>
      <c r="D26" s="44"/>
      <c r="E26" s="44">
        <f t="shared" ref="E26:E31" si="13">ROUND(O26+S26+W26+AA26+AE26+AI26+AM26+AQ26+AU26+AY26+BC26+BG26,-2)</f>
        <v>174100</v>
      </c>
      <c r="F26" s="44"/>
      <c r="G26" s="44"/>
      <c r="H26" s="44"/>
      <c r="I26" s="44"/>
      <c r="J26" s="44"/>
      <c r="K26" s="44"/>
      <c r="L26" s="44"/>
      <c r="O26" s="66">
        <f t="shared" ref="O26:BG26" si="14">ROUND(O14*0.033, -2)</f>
        <v>16000</v>
      </c>
      <c r="P26" s="160">
        <f>'2024 Bdg vs Actual All'!I26-'2024 Bdg vs Actual -OH'!P26</f>
        <v>13219</v>
      </c>
      <c r="Q26" s="152">
        <f>O26-P26</f>
        <v>2781</v>
      </c>
      <c r="R26" s="66"/>
      <c r="S26" s="66">
        <f t="shared" si="14"/>
        <v>13200</v>
      </c>
      <c r="T26" s="160">
        <f>'2024 Bdg vs Actual All'!M26-'2024 Bdg vs Actual -OH'!T26</f>
        <v>15915</v>
      </c>
      <c r="U26" s="152">
        <f>S26-T26</f>
        <v>-2715</v>
      </c>
      <c r="V26" s="66"/>
      <c r="W26" s="66">
        <f t="shared" si="14"/>
        <v>13000</v>
      </c>
      <c r="X26" s="160">
        <f>'2024 Bdg vs Actual All'!Q26-'2024 Bdg vs Actual -OH'!X26</f>
        <v>18585</v>
      </c>
      <c r="Y26" s="152">
        <f>W26-X26</f>
        <v>-5585</v>
      </c>
      <c r="Z26" s="66"/>
      <c r="AA26" s="66">
        <f t="shared" si="14"/>
        <v>13200</v>
      </c>
      <c r="AB26" s="160">
        <f>'2024 Bdg vs Actual All'!U26-'2024 Bdg vs Actual -OH'!AB26</f>
        <v>25820</v>
      </c>
      <c r="AC26" s="154">
        <f t="shared" ref="AC26:AC31" si="15">AA26-AB26</f>
        <v>-12620</v>
      </c>
      <c r="AD26" s="66"/>
      <c r="AE26" s="66">
        <f t="shared" si="14"/>
        <v>13400</v>
      </c>
      <c r="AF26" s="160">
        <f>'2024 Bdg vs Actual All'!Y26-'2024 Bdg vs Actual -OH'!AF26</f>
        <v>15838</v>
      </c>
      <c r="AG26" s="154">
        <f t="shared" ref="AG26:AG31" si="16">AE26-AF26</f>
        <v>-2438</v>
      </c>
      <c r="AH26" s="66"/>
      <c r="AI26" s="66">
        <f t="shared" si="14"/>
        <v>14600</v>
      </c>
      <c r="AJ26" s="160">
        <f>'2024 Bdg vs Actual All'!AC26-'2024 Bdg vs Actual -OH'!AJ26</f>
        <v>15995</v>
      </c>
      <c r="AK26" s="154">
        <f t="shared" ref="AK26:AK31" si="17">AI26-AJ26</f>
        <v>-1395</v>
      </c>
      <c r="AL26" s="66"/>
      <c r="AM26" s="66">
        <f t="shared" si="14"/>
        <v>14700</v>
      </c>
      <c r="AN26" s="160">
        <f>'2024 Bdg vs Actual All'!AG26-'2024 Bdg vs Actual -OH'!AN26</f>
        <v>17768</v>
      </c>
      <c r="AO26" s="154">
        <f t="shared" ref="AO26:AO31" si="18">AM26-AN26</f>
        <v>-3068</v>
      </c>
      <c r="AP26" s="66"/>
      <c r="AQ26" s="66">
        <f t="shared" si="14"/>
        <v>14700</v>
      </c>
      <c r="AR26" s="160">
        <f>'2024 Bdg vs Actual All'!AK26-'2024 Bdg vs Actual -OH'!AR26</f>
        <v>11472</v>
      </c>
      <c r="AS26" s="154">
        <f t="shared" ref="AS26:AS31" si="19">AQ26-AR26</f>
        <v>3228</v>
      </c>
      <c r="AT26" s="66"/>
      <c r="AU26" s="66">
        <f t="shared" si="14"/>
        <v>14900</v>
      </c>
      <c r="AV26" s="160">
        <f>'2024 Bdg vs Actual All'!AO26-'2024 Bdg vs Actual -OH'!AV26</f>
        <v>11644</v>
      </c>
      <c r="AW26" s="154">
        <f t="shared" ref="AW26:AW31" si="20">AU26-AV26</f>
        <v>3256</v>
      </c>
      <c r="AX26" s="66"/>
      <c r="AY26" s="66">
        <f t="shared" si="14"/>
        <v>15200</v>
      </c>
      <c r="AZ26" s="160">
        <f>'2024 Bdg vs Actual All'!AS26-'2024 Bdg vs Actual -OH'!AZ26</f>
        <v>11122</v>
      </c>
      <c r="BA26" s="154">
        <f t="shared" ref="BA26:BA31" si="21">AY26-AZ26</f>
        <v>4078</v>
      </c>
      <c r="BB26" s="66"/>
      <c r="BC26" s="66">
        <f t="shared" si="14"/>
        <v>15500</v>
      </c>
      <c r="BD26" s="160">
        <f>'2024 Bdg vs Actual All'!AW26-'2024 Bdg vs Actual -OH'!BD26</f>
        <v>14702</v>
      </c>
      <c r="BE26" s="154">
        <f t="shared" ref="BE26:BE31" si="22">BC26-BD26</f>
        <v>798</v>
      </c>
      <c r="BF26" s="66"/>
      <c r="BG26" s="66">
        <f t="shared" si="14"/>
        <v>15700</v>
      </c>
      <c r="BH26" s="160">
        <f>'2024 Bdg vs Actual All'!BA26-'2024 Bdg vs Actual -OH'!BH26</f>
        <v>10598</v>
      </c>
      <c r="BI26" s="154">
        <f t="shared" ref="BI26:BI31" si="23">BG26-BH26</f>
        <v>5102</v>
      </c>
      <c r="BJ26" s="66"/>
      <c r="BK26" s="14"/>
      <c r="CG26" s="66">
        <f t="shared" ref="CG26:CG31" si="24">+W26+S26+O26+AA26+AE26+AI26+AM26+AQ26+AU26+AY26+BC26+BG26</f>
        <v>174100</v>
      </c>
      <c r="CH26" s="160">
        <f t="shared" ref="CH26:CH31" si="25">+X26+T26+P26+AB26+AF26+AJ26+AN26+AR26+AV26+AZ26+BD26+BH26</f>
        <v>182678</v>
      </c>
      <c r="CI26" s="152">
        <f>CG26-CH26</f>
        <v>-8578</v>
      </c>
      <c r="CJ26">
        <f>CH26/CH14</f>
        <v>3.8816088024394346E-2</v>
      </c>
    </row>
    <row r="27" spans="1:88" x14ac:dyDescent="0.2">
      <c r="A27" t="s">
        <v>47</v>
      </c>
      <c r="D27" s="44"/>
      <c r="E27" s="44">
        <f t="shared" si="13"/>
        <v>185600</v>
      </c>
      <c r="F27" s="44"/>
      <c r="G27" s="44"/>
      <c r="H27" s="44"/>
      <c r="I27" s="44"/>
      <c r="J27" s="44"/>
      <c r="K27" s="44"/>
      <c r="L27" s="44"/>
      <c r="O27" s="66">
        <f t="shared" ref="O27:BG27" si="26">ROUND(O15*0.725, -2)</f>
        <v>19300</v>
      </c>
      <c r="P27" s="160">
        <f>'2024 Bdg vs Actual All'!I27-'2024 Bdg vs Actual -OH'!P27</f>
        <v>13334</v>
      </c>
      <c r="Q27" s="152">
        <f t="shared" ref="Q27:Q34" si="27">O27-P27</f>
        <v>5966</v>
      </c>
      <c r="R27" s="66"/>
      <c r="S27" s="66">
        <f t="shared" si="26"/>
        <v>13100</v>
      </c>
      <c r="T27" s="160">
        <f>'2024 Bdg vs Actual All'!M27-'2024 Bdg vs Actual -OH'!T27</f>
        <v>12968</v>
      </c>
      <c r="U27" s="152">
        <f t="shared" ref="U27:U31" si="28">S27-T27</f>
        <v>132</v>
      </c>
      <c r="V27" s="66"/>
      <c r="W27" s="66">
        <f t="shared" si="26"/>
        <v>13100</v>
      </c>
      <c r="X27" s="160">
        <f>'2024 Bdg vs Actual All'!Q27-'2024 Bdg vs Actual -OH'!X27</f>
        <v>8745</v>
      </c>
      <c r="Y27" s="152">
        <f t="shared" ref="Y27:Y31" si="29">W27-X27</f>
        <v>4355</v>
      </c>
      <c r="Z27" s="66"/>
      <c r="AA27" s="66">
        <f t="shared" si="26"/>
        <v>13400</v>
      </c>
      <c r="AB27" s="160">
        <f>'2024 Bdg vs Actual All'!U27-'2024 Bdg vs Actual -OH'!AB27</f>
        <v>5436</v>
      </c>
      <c r="AC27" s="154">
        <f t="shared" si="15"/>
        <v>7964</v>
      </c>
      <c r="AD27" s="66"/>
      <c r="AE27" s="66">
        <f t="shared" si="26"/>
        <v>13100</v>
      </c>
      <c r="AF27" s="160">
        <f>'2024 Bdg vs Actual All'!Y27-'2024 Bdg vs Actual -OH'!AF27</f>
        <v>9138</v>
      </c>
      <c r="AG27" s="154">
        <f t="shared" si="16"/>
        <v>3962</v>
      </c>
      <c r="AH27" s="66"/>
      <c r="AI27" s="66">
        <f t="shared" si="26"/>
        <v>15200</v>
      </c>
      <c r="AJ27" s="160">
        <f>'2024 Bdg vs Actual All'!AC27-'2024 Bdg vs Actual -OH'!AJ27</f>
        <v>7867</v>
      </c>
      <c r="AK27" s="154">
        <f t="shared" si="17"/>
        <v>7333</v>
      </c>
      <c r="AL27" s="66"/>
      <c r="AM27" s="66">
        <f t="shared" si="26"/>
        <v>15500</v>
      </c>
      <c r="AN27" s="160">
        <f>'2024 Bdg vs Actual All'!AG27-'2024 Bdg vs Actual -OH'!AN27</f>
        <v>8470</v>
      </c>
      <c r="AO27" s="154">
        <f t="shared" si="18"/>
        <v>7030</v>
      </c>
      <c r="AP27" s="66"/>
      <c r="AQ27" s="66">
        <f t="shared" si="26"/>
        <v>15800</v>
      </c>
      <c r="AR27" s="160">
        <f>'2024 Bdg vs Actual All'!AK27-'2024 Bdg vs Actual -OH'!AR27</f>
        <v>7841</v>
      </c>
      <c r="AS27" s="154">
        <f t="shared" si="19"/>
        <v>7959</v>
      </c>
      <c r="AT27" s="66"/>
      <c r="AU27" s="66">
        <f t="shared" si="26"/>
        <v>16200</v>
      </c>
      <c r="AV27" s="160">
        <f>'2024 Bdg vs Actual All'!AO27-'2024 Bdg vs Actual -OH'!AV27</f>
        <v>9617</v>
      </c>
      <c r="AW27" s="154">
        <f t="shared" si="20"/>
        <v>6583</v>
      </c>
      <c r="AX27" s="66"/>
      <c r="AY27" s="66">
        <f t="shared" si="26"/>
        <v>16500</v>
      </c>
      <c r="AZ27" s="160">
        <f>'2024 Bdg vs Actual All'!AS27-'2024 Bdg vs Actual -OH'!AZ27</f>
        <v>10737</v>
      </c>
      <c r="BA27" s="154">
        <f t="shared" si="21"/>
        <v>5763</v>
      </c>
      <c r="BB27" s="66"/>
      <c r="BC27" s="66">
        <f t="shared" si="26"/>
        <v>16800</v>
      </c>
      <c r="BD27" s="160">
        <f>'2024 Bdg vs Actual All'!AW27-'2024 Bdg vs Actual -OH'!BD27</f>
        <v>7273</v>
      </c>
      <c r="BE27" s="154">
        <f t="shared" si="22"/>
        <v>9527</v>
      </c>
      <c r="BF27" s="66"/>
      <c r="BG27" s="66">
        <f t="shared" si="26"/>
        <v>17600</v>
      </c>
      <c r="BH27" s="160">
        <f>'2024 Bdg vs Actual All'!BA27-'2024 Bdg vs Actual -OH'!BH27</f>
        <v>9786</v>
      </c>
      <c r="BI27" s="154">
        <f t="shared" si="23"/>
        <v>7814</v>
      </c>
      <c r="BJ27" s="66"/>
      <c r="BK27" s="14"/>
      <c r="CG27" s="66">
        <f t="shared" si="24"/>
        <v>185600</v>
      </c>
      <c r="CH27" s="160">
        <f t="shared" si="25"/>
        <v>111212</v>
      </c>
      <c r="CI27" s="152">
        <f t="shared" ref="CI27:CI31" si="30">CG27-CH27</f>
        <v>74388</v>
      </c>
      <c r="CJ27">
        <f t="shared" ref="CJ27:CJ28" si="31">CH27/CH15</f>
        <v>0.44639968530612406</v>
      </c>
    </row>
    <row r="28" spans="1:88" x14ac:dyDescent="0.2">
      <c r="A28" t="s">
        <v>48</v>
      </c>
      <c r="D28" s="44"/>
      <c r="E28" s="44">
        <f t="shared" si="13"/>
        <v>1578800</v>
      </c>
      <c r="F28" s="44"/>
      <c r="G28" s="44"/>
      <c r="H28" s="44"/>
      <c r="I28" s="44"/>
      <c r="J28" s="44"/>
      <c r="K28" s="44"/>
      <c r="L28" s="44"/>
      <c r="O28" s="66">
        <f>ROUND(O16*0.647, -2)</f>
        <v>116600</v>
      </c>
      <c r="P28" s="160">
        <f>'2024 Bdg vs Actual All'!I28-'2024 Bdg vs Actual -OH'!P28</f>
        <v>136650</v>
      </c>
      <c r="Q28" s="152">
        <f t="shared" si="27"/>
        <v>-20050</v>
      </c>
      <c r="R28" s="66"/>
      <c r="S28" s="66">
        <f t="shared" ref="S28:BG28" si="32">ROUND(S16*0.647, -2)</f>
        <v>127100</v>
      </c>
      <c r="T28" s="160">
        <f>'2024 Bdg vs Actual All'!M28-'2024 Bdg vs Actual -OH'!T28</f>
        <v>150388</v>
      </c>
      <c r="U28" s="152">
        <f t="shared" si="28"/>
        <v>-23288</v>
      </c>
      <c r="V28" s="66"/>
      <c r="W28" s="66">
        <f t="shared" si="32"/>
        <v>115800</v>
      </c>
      <c r="X28" s="160">
        <f>'2024 Bdg vs Actual All'!Q28-'2024 Bdg vs Actual -OH'!X28</f>
        <v>139780</v>
      </c>
      <c r="Y28" s="152">
        <f t="shared" si="29"/>
        <v>-23980</v>
      </c>
      <c r="Z28" s="66"/>
      <c r="AA28" s="66">
        <f t="shared" si="32"/>
        <v>120100</v>
      </c>
      <c r="AB28" s="160">
        <f>'2024 Bdg vs Actual All'!U28-'2024 Bdg vs Actual -OH'!AB28</f>
        <v>137295</v>
      </c>
      <c r="AC28" s="154">
        <f t="shared" si="15"/>
        <v>-17195</v>
      </c>
      <c r="AD28" s="66"/>
      <c r="AE28" s="66">
        <f t="shared" si="32"/>
        <v>125500</v>
      </c>
      <c r="AF28" s="160">
        <f>'2024 Bdg vs Actual All'!Y28-'2024 Bdg vs Actual -OH'!AF28</f>
        <v>139422</v>
      </c>
      <c r="AG28" s="154">
        <f t="shared" si="16"/>
        <v>-13922</v>
      </c>
      <c r="AH28" s="66"/>
      <c r="AI28" s="66">
        <f t="shared" si="32"/>
        <v>133300</v>
      </c>
      <c r="AJ28" s="160">
        <f>'2024 Bdg vs Actual All'!AC28-'2024 Bdg vs Actual -OH'!AJ28</f>
        <v>133576</v>
      </c>
      <c r="AK28" s="154">
        <f t="shared" si="17"/>
        <v>-276</v>
      </c>
      <c r="AL28" s="66"/>
      <c r="AM28" s="66">
        <f t="shared" si="32"/>
        <v>135200</v>
      </c>
      <c r="AN28" s="160">
        <f>'2024 Bdg vs Actual All'!AG28-'2024 Bdg vs Actual -OH'!AN28</f>
        <v>130556</v>
      </c>
      <c r="AO28" s="154">
        <f t="shared" si="18"/>
        <v>4644</v>
      </c>
      <c r="AP28" s="66"/>
      <c r="AQ28" s="66">
        <f t="shared" si="32"/>
        <v>137200</v>
      </c>
      <c r="AR28" s="160">
        <f>'2024 Bdg vs Actual All'!AK28-'2024 Bdg vs Actual -OH'!AR28</f>
        <v>131785</v>
      </c>
      <c r="AS28" s="154">
        <f t="shared" si="19"/>
        <v>5415</v>
      </c>
      <c r="AT28" s="66"/>
      <c r="AU28" s="66">
        <f t="shared" si="32"/>
        <v>139100</v>
      </c>
      <c r="AV28" s="160">
        <f>'2024 Bdg vs Actual All'!AO28-'2024 Bdg vs Actual -OH'!AV28</f>
        <v>146220</v>
      </c>
      <c r="AW28" s="154">
        <f t="shared" si="20"/>
        <v>-7120</v>
      </c>
      <c r="AX28" s="66"/>
      <c r="AY28" s="66">
        <f t="shared" si="32"/>
        <v>141000</v>
      </c>
      <c r="AZ28" s="160">
        <f>'2024 Bdg vs Actual All'!AS28-'2024 Bdg vs Actual -OH'!AZ28</f>
        <v>145713</v>
      </c>
      <c r="BA28" s="154">
        <f t="shared" si="21"/>
        <v>-4713</v>
      </c>
      <c r="BB28" s="66"/>
      <c r="BC28" s="66">
        <f t="shared" si="32"/>
        <v>143000</v>
      </c>
      <c r="BD28" s="160">
        <f>'2024 Bdg vs Actual All'!AW28-'2024 Bdg vs Actual -OH'!BD28</f>
        <v>151204</v>
      </c>
      <c r="BE28" s="154">
        <f t="shared" si="22"/>
        <v>-8204</v>
      </c>
      <c r="BF28" s="66"/>
      <c r="BG28" s="66">
        <f t="shared" si="32"/>
        <v>144900</v>
      </c>
      <c r="BH28" s="160">
        <f>'2024 Bdg vs Actual All'!BA28-'2024 Bdg vs Actual -OH'!BH28</f>
        <v>152553</v>
      </c>
      <c r="BI28" s="154">
        <f t="shared" si="23"/>
        <v>-7653</v>
      </c>
      <c r="BJ28" s="66"/>
      <c r="BK28" s="14"/>
      <c r="CG28" s="66">
        <f t="shared" si="24"/>
        <v>1578800</v>
      </c>
      <c r="CH28" s="160">
        <f t="shared" si="25"/>
        <v>1695142</v>
      </c>
      <c r="CI28" s="152">
        <f t="shared" si="30"/>
        <v>-116342</v>
      </c>
      <c r="CJ28">
        <f t="shared" si="31"/>
        <v>0.7037963614625492</v>
      </c>
    </row>
    <row r="29" spans="1:88" x14ac:dyDescent="0.2">
      <c r="A29" t="s">
        <v>49</v>
      </c>
      <c r="D29" s="44"/>
      <c r="E29" s="44">
        <f t="shared" si="13"/>
        <v>7200</v>
      </c>
      <c r="F29" s="44"/>
      <c r="G29" s="44"/>
      <c r="H29" s="44"/>
      <c r="I29" s="44"/>
      <c r="J29" s="44"/>
      <c r="K29" s="44"/>
      <c r="L29" s="44"/>
      <c r="O29" s="66">
        <f t="shared" ref="O29:BG29" si="33">ROUND(O17*0.012, -2)</f>
        <v>600</v>
      </c>
      <c r="P29" s="160">
        <f>'2024 Bdg vs Actual All'!I29-'2024 Bdg vs Actual -OH'!P29</f>
        <v>567</v>
      </c>
      <c r="Q29" s="152">
        <f t="shared" si="27"/>
        <v>33</v>
      </c>
      <c r="R29" s="66"/>
      <c r="S29" s="66">
        <f t="shared" si="33"/>
        <v>600</v>
      </c>
      <c r="T29" s="160">
        <f>'2024 Bdg vs Actual All'!M29-'2024 Bdg vs Actual -OH'!T29</f>
        <v>-76</v>
      </c>
      <c r="U29" s="152">
        <f t="shared" si="28"/>
        <v>676</v>
      </c>
      <c r="V29" s="66"/>
      <c r="W29" s="66">
        <f t="shared" si="33"/>
        <v>600</v>
      </c>
      <c r="X29" s="160">
        <f>'2024 Bdg vs Actual All'!Q29-'2024 Bdg vs Actual -OH'!X29</f>
        <v>-1</v>
      </c>
      <c r="Y29" s="152">
        <f t="shared" si="29"/>
        <v>601</v>
      </c>
      <c r="Z29" s="66"/>
      <c r="AA29" s="66">
        <f t="shared" si="33"/>
        <v>600</v>
      </c>
      <c r="AB29" s="160">
        <f>'2024 Bdg vs Actual All'!U29-'2024 Bdg vs Actual -OH'!AB29</f>
        <v>1</v>
      </c>
      <c r="AC29" s="154">
        <f t="shared" si="15"/>
        <v>599</v>
      </c>
      <c r="AD29" s="66"/>
      <c r="AE29" s="66">
        <f t="shared" si="33"/>
        <v>600</v>
      </c>
      <c r="AF29" s="160">
        <v>0</v>
      </c>
      <c r="AG29" s="154">
        <f t="shared" si="16"/>
        <v>600</v>
      </c>
      <c r="AH29" s="66"/>
      <c r="AI29" s="66">
        <f t="shared" si="33"/>
        <v>600</v>
      </c>
      <c r="AJ29" s="160">
        <f>'2024 Bdg vs Actual All'!AC29-'2024 Bdg vs Actual -OH'!AJ29</f>
        <v>1</v>
      </c>
      <c r="AK29" s="154">
        <f t="shared" si="17"/>
        <v>599</v>
      </c>
      <c r="AL29" s="66"/>
      <c r="AM29" s="66">
        <f t="shared" si="33"/>
        <v>600</v>
      </c>
      <c r="AN29" s="160">
        <f>'2024 Bdg vs Actual All'!AG29-'2024 Bdg vs Actual -OH'!AN29</f>
        <v>0</v>
      </c>
      <c r="AO29" s="154">
        <f t="shared" si="18"/>
        <v>600</v>
      </c>
      <c r="AP29" s="66"/>
      <c r="AQ29" s="66">
        <f t="shared" si="33"/>
        <v>600</v>
      </c>
      <c r="AR29" s="160">
        <f>'2024 Bdg vs Actual All'!AK29-'2024 Bdg vs Actual -OH'!AR29</f>
        <v>0</v>
      </c>
      <c r="AS29" s="154">
        <f t="shared" si="19"/>
        <v>600</v>
      </c>
      <c r="AT29" s="66"/>
      <c r="AU29" s="66">
        <f t="shared" si="33"/>
        <v>600</v>
      </c>
      <c r="AV29" s="160">
        <f>'2024 Bdg vs Actual All'!AO29-'2024 Bdg vs Actual -OH'!AV29</f>
        <v>0</v>
      </c>
      <c r="AW29" s="154">
        <f t="shared" si="20"/>
        <v>600</v>
      </c>
      <c r="AX29" s="66"/>
      <c r="AY29" s="66">
        <f t="shared" si="33"/>
        <v>600</v>
      </c>
      <c r="AZ29" s="160">
        <f>'2024 Bdg vs Actual All'!AS29-'2024 Bdg vs Actual -OH'!AZ29</f>
        <v>0</v>
      </c>
      <c r="BA29" s="154">
        <f t="shared" si="21"/>
        <v>600</v>
      </c>
      <c r="BB29" s="66"/>
      <c r="BC29" s="66">
        <f t="shared" si="33"/>
        <v>600</v>
      </c>
      <c r="BD29" s="160">
        <f>'2024 Bdg vs Actual All'!AW29-'2024 Bdg vs Actual -OH'!BD29</f>
        <v>562</v>
      </c>
      <c r="BE29" s="154">
        <f t="shared" si="22"/>
        <v>38</v>
      </c>
      <c r="BF29" s="66"/>
      <c r="BG29" s="66">
        <f t="shared" si="33"/>
        <v>600</v>
      </c>
      <c r="BH29" s="160">
        <f>'2024 Bdg vs Actual All'!BA29-'2024 Bdg vs Actual -OH'!BH29</f>
        <v>0</v>
      </c>
      <c r="BI29" s="154">
        <f t="shared" si="23"/>
        <v>600</v>
      </c>
      <c r="BJ29" s="66"/>
      <c r="BK29" s="14"/>
      <c r="CG29" s="66">
        <f t="shared" si="24"/>
        <v>7200</v>
      </c>
      <c r="CH29" s="160">
        <f t="shared" si="25"/>
        <v>1054</v>
      </c>
      <c r="CI29" s="152">
        <f t="shared" si="30"/>
        <v>6146</v>
      </c>
    </row>
    <row r="30" spans="1:88" x14ac:dyDescent="0.2">
      <c r="A30" t="s">
        <v>50</v>
      </c>
      <c r="D30" s="44"/>
      <c r="E30" s="44">
        <f t="shared" si="13"/>
        <v>621600</v>
      </c>
      <c r="F30" s="44"/>
      <c r="G30" s="44"/>
      <c r="H30" s="44"/>
      <c r="I30" s="44"/>
      <c r="J30" s="44"/>
      <c r="K30" s="44"/>
      <c r="L30" s="44"/>
      <c r="O30" s="66">
        <f t="shared" ref="O30:BG30" si="34">ROUND(O18*0.894, -2)</f>
        <v>50700</v>
      </c>
      <c r="P30" s="160">
        <f>'2024 Bdg vs Actual All'!I30-'2024 Bdg vs Actual -OH'!P30</f>
        <v>4341</v>
      </c>
      <c r="Q30" s="152">
        <f t="shared" si="27"/>
        <v>46359</v>
      </c>
      <c r="R30" s="66"/>
      <c r="S30" s="66">
        <f t="shared" si="34"/>
        <v>63900</v>
      </c>
      <c r="T30" s="160">
        <f>'2024 Bdg vs Actual All'!M30-'2024 Bdg vs Actual -OH'!T30</f>
        <v>61066</v>
      </c>
      <c r="U30" s="152">
        <f t="shared" si="28"/>
        <v>2834</v>
      </c>
      <c r="V30" s="66"/>
      <c r="W30" s="66">
        <f t="shared" si="34"/>
        <v>50700</v>
      </c>
      <c r="X30" s="160">
        <f>'2024 Bdg vs Actual All'!Q30-'2024 Bdg vs Actual -OH'!X30</f>
        <v>13310</v>
      </c>
      <c r="Y30" s="152">
        <f t="shared" si="29"/>
        <v>37390</v>
      </c>
      <c r="Z30" s="66"/>
      <c r="AA30" s="66">
        <f t="shared" si="34"/>
        <v>50700</v>
      </c>
      <c r="AB30" s="160">
        <f>'2024 Bdg vs Actual All'!U30-'2024 Bdg vs Actual -OH'!AB30</f>
        <v>9004</v>
      </c>
      <c r="AC30" s="154">
        <f t="shared" si="15"/>
        <v>41696</v>
      </c>
      <c r="AD30" s="66"/>
      <c r="AE30" s="66">
        <f t="shared" si="34"/>
        <v>50700</v>
      </c>
      <c r="AF30" s="160">
        <f>'2024 Bdg vs Actual All'!Y30-'2024 Bdg vs Actual -OH'!AF30</f>
        <v>11858</v>
      </c>
      <c r="AG30" s="154">
        <f t="shared" si="16"/>
        <v>38842</v>
      </c>
      <c r="AH30" s="66"/>
      <c r="AI30" s="66">
        <f t="shared" si="34"/>
        <v>50700</v>
      </c>
      <c r="AJ30" s="160">
        <f>'2024 Bdg vs Actual All'!AC30-'2024 Bdg vs Actual -OH'!AJ30</f>
        <v>4701</v>
      </c>
      <c r="AK30" s="154">
        <f t="shared" si="17"/>
        <v>45999</v>
      </c>
      <c r="AL30" s="66"/>
      <c r="AM30" s="66">
        <f t="shared" si="34"/>
        <v>50700</v>
      </c>
      <c r="AN30" s="160">
        <f>'2024 Bdg vs Actual All'!AG30-'2024 Bdg vs Actual -OH'!AN30</f>
        <v>12376</v>
      </c>
      <c r="AO30" s="154">
        <f t="shared" si="18"/>
        <v>38324</v>
      </c>
      <c r="AP30" s="66"/>
      <c r="AQ30" s="66">
        <f t="shared" si="34"/>
        <v>50700</v>
      </c>
      <c r="AR30" s="160">
        <f>'2024 Bdg vs Actual All'!AK30-'2024 Bdg vs Actual -OH'!AR30</f>
        <v>108550</v>
      </c>
      <c r="AS30" s="154">
        <f t="shared" si="19"/>
        <v>-57850</v>
      </c>
      <c r="AT30" s="66"/>
      <c r="AU30" s="66">
        <f t="shared" si="34"/>
        <v>50700</v>
      </c>
      <c r="AV30" s="160">
        <f>'2024 Bdg vs Actual All'!AO30-'2024 Bdg vs Actual -OH'!AV30</f>
        <v>20808</v>
      </c>
      <c r="AW30" s="154">
        <f t="shared" si="20"/>
        <v>29892</v>
      </c>
      <c r="AX30" s="66"/>
      <c r="AY30" s="66">
        <f t="shared" si="34"/>
        <v>50700</v>
      </c>
      <c r="AZ30" s="160">
        <f>'2024 Bdg vs Actual All'!AS30-'2024 Bdg vs Actual -OH'!AZ30</f>
        <v>27250</v>
      </c>
      <c r="BA30" s="154">
        <f t="shared" si="21"/>
        <v>23450</v>
      </c>
      <c r="BB30" s="66"/>
      <c r="BC30" s="66">
        <f t="shared" si="34"/>
        <v>50700</v>
      </c>
      <c r="BD30" s="160">
        <f>'2024 Bdg vs Actual All'!AW30-'2024 Bdg vs Actual -OH'!BD30</f>
        <v>10575</v>
      </c>
      <c r="BE30" s="154">
        <f t="shared" si="22"/>
        <v>40125</v>
      </c>
      <c r="BF30" s="66"/>
      <c r="BG30" s="66">
        <f t="shared" si="34"/>
        <v>50700</v>
      </c>
      <c r="BH30" s="160">
        <f>'2024 Bdg vs Actual All'!BA30-'2024 Bdg vs Actual -OH'!BH30</f>
        <v>22708</v>
      </c>
      <c r="BI30" s="154">
        <f t="shared" si="23"/>
        <v>27992</v>
      </c>
      <c r="BJ30" s="66"/>
      <c r="BK30" s="14"/>
      <c r="CG30" s="66">
        <f t="shared" si="24"/>
        <v>621600</v>
      </c>
      <c r="CH30" s="160">
        <f t="shared" si="25"/>
        <v>306547</v>
      </c>
      <c r="CI30" s="152">
        <f t="shared" si="30"/>
        <v>315053</v>
      </c>
    </row>
    <row r="31" spans="1:88" x14ac:dyDescent="0.2">
      <c r="A31" t="s">
        <v>51</v>
      </c>
      <c r="D31" s="44"/>
      <c r="E31" s="44">
        <f t="shared" si="13"/>
        <v>7407600</v>
      </c>
      <c r="F31" s="44"/>
      <c r="G31" s="44"/>
      <c r="H31" s="44"/>
      <c r="I31" s="44"/>
      <c r="J31" s="44"/>
      <c r="K31" s="44"/>
      <c r="L31" s="44"/>
      <c r="O31" s="66">
        <f t="shared" ref="O31:BG31" si="35">ROUND(O22*0.85, -2)</f>
        <v>617300</v>
      </c>
      <c r="P31" s="160">
        <f>'2024 Bdg vs Actual All'!I31-'2024 Bdg vs Actual -OH'!P31</f>
        <v>148950</v>
      </c>
      <c r="Q31" s="152">
        <f t="shared" si="27"/>
        <v>468350</v>
      </c>
      <c r="R31" s="66"/>
      <c r="S31" s="66">
        <f t="shared" si="35"/>
        <v>617300</v>
      </c>
      <c r="T31" s="160">
        <f>'2024 Bdg vs Actual All'!M31-'2024 Bdg vs Actual -OH'!T31</f>
        <v>411509</v>
      </c>
      <c r="U31" s="152">
        <f t="shared" si="28"/>
        <v>205791</v>
      </c>
      <c r="V31" s="66"/>
      <c r="W31" s="66">
        <f t="shared" si="35"/>
        <v>617300</v>
      </c>
      <c r="X31" s="160">
        <f>'2024 Bdg vs Actual All'!Q31-'2024 Bdg vs Actual -OH'!X31</f>
        <v>139679</v>
      </c>
      <c r="Y31" s="152">
        <f t="shared" si="29"/>
        <v>477621</v>
      </c>
      <c r="Z31" s="66"/>
      <c r="AA31" s="66">
        <f t="shared" si="35"/>
        <v>617300</v>
      </c>
      <c r="AB31" s="160">
        <f>'2024 Bdg vs Actual All'!U31-'2024 Bdg vs Actual -OH'!AB31</f>
        <v>161107</v>
      </c>
      <c r="AC31" s="154">
        <f t="shared" si="15"/>
        <v>456193</v>
      </c>
      <c r="AD31" s="66"/>
      <c r="AE31" s="66">
        <f t="shared" si="35"/>
        <v>617300</v>
      </c>
      <c r="AF31" s="160">
        <f>'2024 Bdg vs Actual All'!Y31-'2024 Bdg vs Actual -OH'!AF31</f>
        <v>130716</v>
      </c>
      <c r="AG31" s="154">
        <f t="shared" si="16"/>
        <v>486584</v>
      </c>
      <c r="AH31" s="66"/>
      <c r="AI31" s="66">
        <f t="shared" si="35"/>
        <v>617300</v>
      </c>
      <c r="AJ31" s="160">
        <f>'2024 Bdg vs Actual All'!AC31-'2024 Bdg vs Actual -OH'!AJ31</f>
        <v>991300</v>
      </c>
      <c r="AK31" s="154">
        <f t="shared" si="17"/>
        <v>-374000</v>
      </c>
      <c r="AL31" s="66"/>
      <c r="AM31" s="66">
        <f t="shared" si="35"/>
        <v>617300</v>
      </c>
      <c r="AN31" s="160">
        <f>'2024 Bdg vs Actual All'!AG31-'2024 Bdg vs Actual -OH'!AN31</f>
        <v>542848</v>
      </c>
      <c r="AO31" s="154">
        <f t="shared" si="18"/>
        <v>74452</v>
      </c>
      <c r="AP31" s="66"/>
      <c r="AQ31" s="66">
        <f t="shared" si="35"/>
        <v>617300</v>
      </c>
      <c r="AR31" s="160">
        <f>'2024 Bdg vs Actual All'!AK31-'2024 Bdg vs Actual -OH'!AR31</f>
        <v>384028</v>
      </c>
      <c r="AS31" s="154">
        <f t="shared" si="19"/>
        <v>233272</v>
      </c>
      <c r="AT31" s="66"/>
      <c r="AU31" s="66">
        <f t="shared" si="35"/>
        <v>617300</v>
      </c>
      <c r="AV31" s="160">
        <f>'2024 Bdg vs Actual All'!AO31-'2024 Bdg vs Actual -OH'!AV31</f>
        <v>205407</v>
      </c>
      <c r="AW31" s="154">
        <f t="shared" si="20"/>
        <v>411893</v>
      </c>
      <c r="AX31" s="66"/>
      <c r="AY31" s="66">
        <f t="shared" si="35"/>
        <v>617300</v>
      </c>
      <c r="AZ31" s="160">
        <f>'2024 Bdg vs Actual All'!AS31-'2024 Bdg vs Actual -OH'!AZ31</f>
        <v>169673</v>
      </c>
      <c r="BA31" s="154">
        <f t="shared" si="21"/>
        <v>447627</v>
      </c>
      <c r="BB31" s="66"/>
      <c r="BC31" s="66">
        <f t="shared" si="35"/>
        <v>617300</v>
      </c>
      <c r="BD31" s="160">
        <f>'2024 Bdg vs Actual All'!AW31-'2024 Bdg vs Actual -OH'!BD31</f>
        <v>528287</v>
      </c>
      <c r="BE31" s="154">
        <f t="shared" si="22"/>
        <v>89013</v>
      </c>
      <c r="BF31" s="66"/>
      <c r="BG31" s="66">
        <f t="shared" si="35"/>
        <v>617300</v>
      </c>
      <c r="BH31" s="160">
        <f>'2024 Bdg vs Actual All'!BA31-'2024 Bdg vs Actual -OH'!BH31</f>
        <v>81059</v>
      </c>
      <c r="BI31" s="154">
        <f t="shared" si="23"/>
        <v>536241</v>
      </c>
      <c r="BJ31" s="66"/>
      <c r="BK31" s="14"/>
      <c r="CG31" s="66">
        <f t="shared" si="24"/>
        <v>7407600</v>
      </c>
      <c r="CH31" s="160">
        <f t="shared" si="25"/>
        <v>3894563</v>
      </c>
      <c r="CI31" s="152">
        <f t="shared" si="30"/>
        <v>3513037</v>
      </c>
    </row>
    <row r="32" spans="1:88" x14ac:dyDescent="0.2">
      <c r="D32" s="44"/>
      <c r="E32" s="44"/>
      <c r="F32" s="44"/>
      <c r="G32" s="44"/>
      <c r="H32" s="44"/>
      <c r="I32" s="44"/>
      <c r="J32" s="44"/>
      <c r="K32" s="44"/>
      <c r="L32" s="44"/>
      <c r="O32" s="66"/>
      <c r="P32" s="160"/>
      <c r="Q32" s="66"/>
      <c r="R32" s="66"/>
      <c r="S32" s="66"/>
      <c r="T32" s="160"/>
      <c r="U32" s="66"/>
      <c r="V32" s="66"/>
      <c r="W32" s="66"/>
      <c r="X32" s="258">
        <f>(X22-X31)/X22</f>
        <v>0.1632631055573194</v>
      </c>
      <c r="Y32" s="154"/>
      <c r="Z32" s="66">
        <f>+AA33+AA40+AA46</f>
        <v>392566.4956944444</v>
      </c>
      <c r="AA32" s="66"/>
      <c r="AB32" s="258">
        <f>(AB22-AB31)/AB22</f>
        <v>0.18102146738716024</v>
      </c>
      <c r="AC32" s="154"/>
      <c r="AD32" s="66"/>
      <c r="AE32" s="66"/>
      <c r="AF32" s="258">
        <f>(AF22-AF31)/AF22</f>
        <v>0.16065649560795192</v>
      </c>
      <c r="AG32" s="154"/>
      <c r="AH32" s="66"/>
      <c r="AI32" s="66"/>
      <c r="AJ32" s="258"/>
      <c r="AK32" s="66"/>
      <c r="AL32" s="66"/>
      <c r="AM32" s="66"/>
      <c r="AN32" s="258"/>
      <c r="AO32" s="154"/>
      <c r="AP32" s="66"/>
      <c r="AQ32" s="68"/>
      <c r="AR32" s="33"/>
      <c r="AS32" s="154"/>
      <c r="AT32" s="68"/>
      <c r="AU32" s="68"/>
      <c r="AV32" s="33"/>
      <c r="AW32" s="154"/>
      <c r="AX32" s="68"/>
      <c r="AY32" s="33"/>
      <c r="AZ32" s="33"/>
      <c r="BA32" s="154"/>
      <c r="BB32" s="68"/>
      <c r="BC32" s="68"/>
      <c r="BD32" s="258"/>
      <c r="BE32" s="154"/>
      <c r="BF32" s="68"/>
      <c r="BG32" s="68"/>
      <c r="BH32" s="258"/>
      <c r="BI32" s="154"/>
      <c r="BJ32" s="68"/>
      <c r="CG32" s="66"/>
      <c r="CH32" s="160"/>
      <c r="CI32" s="154"/>
    </row>
    <row r="33" spans="1:87" ht="30" x14ac:dyDescent="0.2">
      <c r="A33" t="s">
        <v>52</v>
      </c>
      <c r="D33" s="33"/>
      <c r="E33" s="52">
        <f>ROUND(O33+S33+W33+AA33+AE33+AI33+AM33+AQ33+AU33+AY33+BC33+BG33,-2)</f>
        <v>2643500</v>
      </c>
      <c r="F33" s="44"/>
      <c r="G33" s="63"/>
      <c r="H33" s="63"/>
      <c r="I33" s="63"/>
      <c r="J33" s="63"/>
      <c r="K33" s="63"/>
      <c r="L33" s="63"/>
      <c r="O33" s="66">
        <v>230700</v>
      </c>
      <c r="P33" s="160">
        <f>'2024 Bdg vs Actual All'!I33-'2024 Bdg vs Actual -OH'!P33</f>
        <v>222614</v>
      </c>
      <c r="Q33" s="152">
        <f t="shared" si="27"/>
        <v>8086</v>
      </c>
      <c r="R33" s="66"/>
      <c r="S33" s="66">
        <v>221417</v>
      </c>
      <c r="T33" s="160">
        <f>'2024 Bdg vs Actual All'!M33-'2024 Bdg vs Actual -OH'!T33</f>
        <v>207622</v>
      </c>
      <c r="U33" s="152">
        <f t="shared" ref="U33:U34" si="36">S33-T33</f>
        <v>13795</v>
      </c>
      <c r="V33" s="66"/>
      <c r="W33" s="66">
        <v>222958.14</v>
      </c>
      <c r="X33" s="160">
        <f>'2024 Bdg vs Actual All'!Q33-'2024 Bdg vs Actual -OH'!X33</f>
        <v>217505</v>
      </c>
      <c r="Y33" s="152">
        <f t="shared" ref="Y33:Y34" si="37">W33-X33</f>
        <v>5453.140000000014</v>
      </c>
      <c r="Z33" s="33">
        <f>+$AA$33/Z32</f>
        <v>0.55713999562683436</v>
      </c>
      <c r="AA33" s="66">
        <v>218714.49569444443</v>
      </c>
      <c r="AB33" s="160">
        <f>'2024 Bdg vs Actual All'!U33-'2024 Bdg vs Actual -OH'!AB33</f>
        <v>230301</v>
      </c>
      <c r="AC33" s="154">
        <f>AA33-AB33</f>
        <v>-11586.504305555573</v>
      </c>
      <c r="AD33" s="240" t="s">
        <v>148</v>
      </c>
      <c r="AE33" s="66">
        <v>218714.49569444443</v>
      </c>
      <c r="AF33" s="160">
        <f>'2024 Bdg vs Actual All'!Y33-'2024 Bdg vs Actual -OH'!AF33</f>
        <v>227582</v>
      </c>
      <c r="AG33" s="154">
        <f>AE33-AF33</f>
        <v>-8867.5043055555725</v>
      </c>
      <c r="AH33" s="66"/>
      <c r="AI33" s="66">
        <v>218714.49569444443</v>
      </c>
      <c r="AJ33" s="160">
        <f>'2024 Bdg vs Actual All'!AC33-'2024 Bdg vs Actual -OH'!AJ33</f>
        <v>218433</v>
      </c>
      <c r="AK33" s="154">
        <f>AI33-AJ33</f>
        <v>281.4956944444275</v>
      </c>
      <c r="AL33" s="66"/>
      <c r="AM33" s="66">
        <v>218714.49569444443</v>
      </c>
      <c r="AN33" s="160">
        <f>'2024 Bdg vs Actual All'!AG33-'2024 Bdg vs Actual -OH'!AN33</f>
        <v>217252</v>
      </c>
      <c r="AO33" s="154">
        <f>AM33-AN33</f>
        <v>1462.4956944444275</v>
      </c>
      <c r="AP33" s="66"/>
      <c r="AQ33" s="66">
        <v>218714.49569444443</v>
      </c>
      <c r="AR33" s="160">
        <f>'2024 Bdg vs Actual All'!AK33-'2024 Bdg vs Actual -OH'!AR33</f>
        <v>225229</v>
      </c>
      <c r="AS33" s="154">
        <f>AQ33-AR33</f>
        <v>-6514.5043055555725</v>
      </c>
      <c r="AT33" s="66"/>
      <c r="AU33" s="66">
        <v>218714.49569444443</v>
      </c>
      <c r="AV33" s="160">
        <f>'2024 Bdg vs Actual All'!AO33-'2024 Bdg vs Actual -OH'!AV33</f>
        <v>196278</v>
      </c>
      <c r="AW33" s="154">
        <f>AU33-AV33</f>
        <v>22436.495694444427</v>
      </c>
      <c r="AX33" s="66"/>
      <c r="AY33" s="66">
        <v>218714.49569444443</v>
      </c>
      <c r="AZ33" s="160">
        <f>'2024 Bdg vs Actual All'!AS33-'2024 Bdg vs Actual -OH'!AZ33</f>
        <v>228050</v>
      </c>
      <c r="BA33" s="154">
        <f>AY33-AZ33</f>
        <v>-9335.5043055555725</v>
      </c>
      <c r="BB33" s="66"/>
      <c r="BC33" s="66">
        <v>218714.49569444443</v>
      </c>
      <c r="BD33" s="160">
        <f>'2024 Bdg vs Actual All'!AW33-'2024 Bdg vs Actual -OH'!BD33</f>
        <v>224445</v>
      </c>
      <c r="BE33" s="154">
        <f>BC33-BD33</f>
        <v>-5730.5043055555725</v>
      </c>
      <c r="BF33" s="66"/>
      <c r="BG33" s="66">
        <v>218714.49569444443</v>
      </c>
      <c r="BH33" s="160">
        <f>'2024 Bdg vs Actual All'!BA33-'2024 Bdg vs Actual -OH'!BH33</f>
        <v>213015</v>
      </c>
      <c r="BI33" s="154">
        <f>BG33-BH33</f>
        <v>5699.4956944444275</v>
      </c>
      <c r="BJ33" s="66"/>
      <c r="BK33" s="14"/>
      <c r="CG33" s="66">
        <f t="shared" ref="CG33:CG34" si="38">+W33+S33+O33+AA33+AE33+AI33+AM33+AQ33+AU33+AY33+BC33+BG33</f>
        <v>2643505.6012500003</v>
      </c>
      <c r="CH33" s="160">
        <f t="shared" ref="CH33:CH34" si="39">+X33+T33+P33+AB33+AF33+AJ33+AN33+AR33+AV33+AZ33+BD33+BH33</f>
        <v>2628326</v>
      </c>
      <c r="CI33" s="152">
        <f t="shared" ref="CI33:CI34" si="40">CG33-CH33</f>
        <v>15179.601250000298</v>
      </c>
    </row>
    <row r="34" spans="1:87" x14ac:dyDescent="0.2">
      <c r="A34" s="21" t="s">
        <v>54</v>
      </c>
      <c r="B34" s="21"/>
      <c r="C34" s="7"/>
      <c r="D34" s="45"/>
      <c r="E34" s="45">
        <f>ROUND(O34+S34+W34+AA34+AE34+AI34+AM34+AQ34+AU34+AY34+BC34+BG34,-2)</f>
        <v>12618400</v>
      </c>
      <c r="F34" s="45"/>
      <c r="G34" s="45"/>
      <c r="H34" s="45"/>
      <c r="I34" s="45"/>
      <c r="J34" s="45"/>
      <c r="K34" s="45"/>
      <c r="L34" s="45"/>
      <c r="M34" s="7"/>
      <c r="O34" s="66">
        <f t="shared" ref="O34:BG34" si="41">SUM(O26:O33)</f>
        <v>1051200</v>
      </c>
      <c r="P34" s="160">
        <f t="shared" si="41"/>
        <v>539675</v>
      </c>
      <c r="Q34" s="152">
        <f t="shared" si="27"/>
        <v>511525</v>
      </c>
      <c r="R34" s="66"/>
      <c r="S34" s="66">
        <f t="shared" si="41"/>
        <v>1056617</v>
      </c>
      <c r="T34" s="160">
        <f t="shared" ref="T34" si="42">SUM(T26:T33)</f>
        <v>859392</v>
      </c>
      <c r="U34" s="152">
        <f t="shared" si="36"/>
        <v>197225</v>
      </c>
      <c r="V34" s="66"/>
      <c r="W34" s="66">
        <f t="shared" si="41"/>
        <v>1033458.14</v>
      </c>
      <c r="X34" s="160">
        <f t="shared" ref="X34" si="43">SUM(X26:X33)</f>
        <v>537603.16326310555</v>
      </c>
      <c r="Y34" s="152">
        <f t="shared" si="37"/>
        <v>495854.97673689446</v>
      </c>
      <c r="Z34" s="66"/>
      <c r="AA34" s="66">
        <f t="shared" si="41"/>
        <v>1034014.4956944444</v>
      </c>
      <c r="AB34" s="160">
        <f>SUM(AB26:AB33)</f>
        <v>568964.18102146732</v>
      </c>
      <c r="AC34" s="154">
        <f>AA34-AB34</f>
        <v>465050.31467297708</v>
      </c>
      <c r="AD34" s="66"/>
      <c r="AE34" s="66">
        <f t="shared" si="41"/>
        <v>1039314.4956944444</v>
      </c>
      <c r="AF34" s="160">
        <f>'2024 Bdg vs Actual All'!Y34-'2024 Bdg vs Actual -OH'!AF34</f>
        <v>534553.8410670897</v>
      </c>
      <c r="AG34" s="154">
        <f>AE34-AF34</f>
        <v>504760.6546273547</v>
      </c>
      <c r="AH34" s="66"/>
      <c r="AI34" s="66">
        <f t="shared" si="41"/>
        <v>1050414.4956944445</v>
      </c>
      <c r="AJ34" s="160">
        <f>'2024 Bdg vs Actual All'!AC34-'2024 Bdg vs Actual -OH'!AJ34</f>
        <v>1371872.7914486541</v>
      </c>
      <c r="AK34" s="154">
        <f>AI34-AJ34</f>
        <v>-321458.29575420963</v>
      </c>
      <c r="AL34" s="66"/>
      <c r="AM34" s="66">
        <f t="shared" si="41"/>
        <v>1052714.4956944445</v>
      </c>
      <c r="AN34" s="160">
        <f>'2024 Bdg vs Actual All'!AG34-'2024 Bdg vs Actual -OH'!AN34</f>
        <v>929269.85846956121</v>
      </c>
      <c r="AO34" s="154">
        <f>AM34-AN34</f>
        <v>123444.63722488331</v>
      </c>
      <c r="AP34" s="66"/>
      <c r="AQ34" s="66">
        <f t="shared" si="41"/>
        <v>1055014.4956944445</v>
      </c>
      <c r="AR34" s="160">
        <f>'2024 Bdg vs Actual All'!AK34-'2024 Bdg vs Actual -OH'!AR34</f>
        <v>868904.76889204362</v>
      </c>
      <c r="AS34" s="154">
        <f>AQ34-AR34</f>
        <v>186109.7268024009</v>
      </c>
      <c r="AT34" s="66"/>
      <c r="AU34" s="66">
        <f t="shared" si="41"/>
        <v>1057514.4956944445</v>
      </c>
      <c r="AV34" s="160">
        <f>'2024 Bdg vs Actual All'!AO34-'2024 Bdg vs Actual -OH'!AV34</f>
        <v>589973.84693140793</v>
      </c>
      <c r="AW34" s="154">
        <f>AU34-AV34</f>
        <v>467540.64876303659</v>
      </c>
      <c r="AX34" s="66"/>
      <c r="AY34" s="66">
        <f t="shared" si="41"/>
        <v>1060014.4956944445</v>
      </c>
      <c r="AZ34" s="160">
        <f>'2024 Bdg vs Actual All'!AS34-'2024 Bdg vs Actual -OH'!AZ34</f>
        <v>592544.84972924413</v>
      </c>
      <c r="BA34" s="154">
        <f>AY34-AZ34</f>
        <v>467469.64596520038</v>
      </c>
      <c r="BB34" s="66"/>
      <c r="BC34" s="66">
        <f t="shared" si="41"/>
        <v>1062614.4956944445</v>
      </c>
      <c r="BD34" s="160">
        <f>'2024 Bdg vs Actual All'!AW34-'2024 Bdg vs Actual -OH'!BD34</f>
        <v>937048</v>
      </c>
      <c r="BE34" s="154">
        <f>BC34-BD34</f>
        <v>125566.49569444451</v>
      </c>
      <c r="BF34" s="66"/>
      <c r="BG34" s="66">
        <f t="shared" si="41"/>
        <v>1065514.4956944445</v>
      </c>
      <c r="BH34" s="160">
        <f>'2024 Bdg vs Actual All'!BA34-'2024 Bdg vs Actual -OH'!BH34</f>
        <v>489719</v>
      </c>
      <c r="BI34" s="154">
        <f>BG34-BH34</f>
        <v>575795.49569444451</v>
      </c>
      <c r="BJ34" s="66"/>
      <c r="BK34" s="14"/>
      <c r="CC34" s="169"/>
      <c r="CG34" s="66">
        <f t="shared" si="38"/>
        <v>12618405.601249997</v>
      </c>
      <c r="CH34" s="160">
        <f t="shared" si="39"/>
        <v>8819521.3008225728</v>
      </c>
      <c r="CI34" s="152">
        <f t="shared" si="40"/>
        <v>3798884.3004274238</v>
      </c>
    </row>
    <row r="35" spans="1:87" x14ac:dyDescent="0.2">
      <c r="A35" s="23" t="s">
        <v>55</v>
      </c>
      <c r="B35" s="23"/>
      <c r="C35" s="1"/>
      <c r="D35" s="47"/>
      <c r="E35" s="47">
        <f>E11-E34</f>
        <v>5582300</v>
      </c>
      <c r="F35" s="47"/>
      <c r="G35" s="47"/>
      <c r="H35" s="47"/>
      <c r="I35" s="47"/>
      <c r="J35" s="47"/>
      <c r="K35" s="47"/>
      <c r="L35" s="47"/>
      <c r="M35" s="1"/>
      <c r="N35" s="1"/>
      <c r="O35" s="71">
        <f t="shared" ref="O35:BG35" si="44">O11-O34</f>
        <v>491798.97022333345</v>
      </c>
      <c r="P35" s="161">
        <f t="shared" si="44"/>
        <v>300594.56999999983</v>
      </c>
      <c r="Q35" s="155">
        <f>P35-O35</f>
        <v>-191204.40022333362</v>
      </c>
      <c r="R35" s="71"/>
      <c r="S35" s="71">
        <f t="shared" si="44"/>
        <v>422061.83333333326</v>
      </c>
      <c r="T35" s="161">
        <f t="shared" ref="T35" si="45">T11-T34</f>
        <v>378640</v>
      </c>
      <c r="U35" s="155">
        <f>T35-S35</f>
        <v>-43421.833333333256</v>
      </c>
      <c r="V35" s="71"/>
      <c r="W35" s="71">
        <f t="shared" si="44"/>
        <v>408759.08533333323</v>
      </c>
      <c r="X35" s="161">
        <f t="shared" si="44"/>
        <v>299750.83673689445</v>
      </c>
      <c r="Y35" s="155">
        <f>X35-W35</f>
        <v>-109008.24859643879</v>
      </c>
      <c r="Z35" s="71"/>
      <c r="AA35" s="71">
        <f t="shared" si="44"/>
        <v>421473.83883888868</v>
      </c>
      <c r="AB35" s="161">
        <f>AB11-AB34</f>
        <v>378608.81897853268</v>
      </c>
      <c r="AC35" s="155">
        <f>AB35-AA35</f>
        <v>-42865.019860355998</v>
      </c>
      <c r="AD35" s="71"/>
      <c r="AE35" s="71">
        <f t="shared" si="44"/>
        <v>430018.83763888886</v>
      </c>
      <c r="AF35" s="161">
        <f>AF11-AF34</f>
        <v>316588.1589329103</v>
      </c>
      <c r="AG35" s="155">
        <f>AF35-AE35</f>
        <v>-113430.67870597856</v>
      </c>
      <c r="AH35" s="71"/>
      <c r="AI35" s="71">
        <f t="shared" si="44"/>
        <v>468850.49763888866</v>
      </c>
      <c r="AJ35" s="161">
        <f>AJ11-AJ34</f>
        <v>491397.20855134586</v>
      </c>
      <c r="AK35" s="155">
        <f>AJ35-AI35</f>
        <v>22546.710912457202</v>
      </c>
      <c r="AL35" s="71"/>
      <c r="AM35" s="71">
        <f t="shared" si="44"/>
        <v>474000.49763888866</v>
      </c>
      <c r="AN35" s="161">
        <f>AN11-AN34</f>
        <v>395638.14153043879</v>
      </c>
      <c r="AO35" s="155">
        <f>AN35-AM35</f>
        <v>-78362.356108449865</v>
      </c>
      <c r="AP35" s="71"/>
      <c r="AQ35" s="71">
        <f t="shared" si="44"/>
        <v>475150.49763888866</v>
      </c>
      <c r="AR35" s="161">
        <f>AR11-AR34</f>
        <v>491473.23110795638</v>
      </c>
      <c r="AS35" s="155">
        <f>AR35-AQ35</f>
        <v>16322.733469067723</v>
      </c>
      <c r="AT35" s="71"/>
      <c r="AU35" s="71">
        <f t="shared" si="44"/>
        <v>484100.49763888866</v>
      </c>
      <c r="AV35" s="161">
        <f>AV11-AV34</f>
        <v>349583.15306859207</v>
      </c>
      <c r="AW35" s="155">
        <f>AV35-AU35</f>
        <v>-134517.34457029658</v>
      </c>
      <c r="AX35" s="71"/>
      <c r="AY35" s="71">
        <f t="shared" si="44"/>
        <v>493050.49763888866</v>
      </c>
      <c r="AZ35" s="161">
        <f>AZ11-AZ34</f>
        <v>321613.15027075587</v>
      </c>
      <c r="BA35" s="155">
        <f>AZ35-AY35</f>
        <v>-171437.34736813279</v>
      </c>
      <c r="BB35" s="71"/>
      <c r="BC35" s="71">
        <f t="shared" si="44"/>
        <v>501900.49763888866</v>
      </c>
      <c r="BD35" s="161">
        <f>BD11-BD34</f>
        <v>387729</v>
      </c>
      <c r="BE35" s="155">
        <f>BD35-BC35</f>
        <v>-114171.49763888866</v>
      </c>
      <c r="BF35" s="71"/>
      <c r="BG35" s="71">
        <f t="shared" si="44"/>
        <v>511087.33763888874</v>
      </c>
      <c r="BH35" s="161">
        <f>BH11-BH34</f>
        <v>349296</v>
      </c>
      <c r="BI35" s="155">
        <f>BH35-BG35</f>
        <v>-161791.33763888874</v>
      </c>
      <c r="BJ35" s="71"/>
      <c r="BK35" s="14"/>
      <c r="CG35" s="71">
        <f t="shared" ref="CG35:CH35" si="46">CG11-CG34</f>
        <v>5582252.8888399974</v>
      </c>
      <c r="CH35" s="161">
        <f t="shared" si="46"/>
        <v>4460912.2691774275</v>
      </c>
      <c r="CI35" s="155">
        <f>CH35-CG35</f>
        <v>-1121340.6196625698</v>
      </c>
    </row>
    <row r="36" spans="1:87" x14ac:dyDescent="0.2">
      <c r="D36" s="44"/>
      <c r="E36" s="33">
        <f>+E35/E11</f>
        <v>0.30670798375886643</v>
      </c>
      <c r="F36" s="44"/>
      <c r="G36" s="44"/>
      <c r="H36" s="44"/>
      <c r="I36" s="44"/>
      <c r="J36" s="44"/>
      <c r="K36" s="44"/>
      <c r="L36" s="44"/>
      <c r="O36" s="66"/>
      <c r="P36" s="154"/>
      <c r="Q36" s="66"/>
      <c r="R36" s="66"/>
      <c r="S36" s="223">
        <f>(S22-S31)/S22</f>
        <v>0.14999672969744537</v>
      </c>
      <c r="T36" s="223">
        <f>(T22-T31)/T22</f>
        <v>0.15117430352435449</v>
      </c>
      <c r="U36" s="66"/>
      <c r="V36" s="66"/>
      <c r="W36" s="223">
        <f>(W22-W31)/W22</f>
        <v>0.14999672969744537</v>
      </c>
      <c r="X36" s="223">
        <f>(X22-X31)/X22</f>
        <v>0.1632631055573194</v>
      </c>
      <c r="Y36" s="154"/>
      <c r="Z36" s="66"/>
      <c r="AA36" s="223">
        <f>(AA22-AA31)/AA22</f>
        <v>0.14999672969744537</v>
      </c>
      <c r="AB36" s="223">
        <f>(AB22-AB31)/AB22</f>
        <v>0.18102146738716024</v>
      </c>
      <c r="AC36" s="66"/>
      <c r="AD36" s="66"/>
      <c r="AE36" s="66"/>
      <c r="AF36" s="66"/>
      <c r="AG36" s="66"/>
      <c r="AH36" s="66"/>
      <c r="AI36" s="66"/>
      <c r="AJ36" s="258"/>
      <c r="AK36" s="66"/>
      <c r="AL36" s="66"/>
      <c r="AM36" s="68"/>
      <c r="AN36" s="258"/>
      <c r="AO36" s="68"/>
      <c r="AP36" s="68"/>
      <c r="AQ36" s="68"/>
      <c r="AR36" s="258"/>
      <c r="AS36" s="68"/>
      <c r="AT36" s="68"/>
      <c r="AU36" s="68"/>
      <c r="AV36" s="258"/>
      <c r="AW36" s="68"/>
      <c r="AX36" s="68"/>
      <c r="AY36" s="68"/>
      <c r="AZ36" s="258"/>
      <c r="BA36" s="68"/>
      <c r="BB36" s="68"/>
      <c r="BC36" s="68"/>
      <c r="BD36" s="258"/>
      <c r="BE36" s="68"/>
      <c r="BF36" s="68"/>
      <c r="BG36" s="68"/>
      <c r="BH36" s="258"/>
      <c r="BI36" s="68"/>
      <c r="BJ36" s="68"/>
      <c r="CG36" s="66"/>
      <c r="CH36" s="154"/>
      <c r="CI36" s="154"/>
    </row>
    <row r="37" spans="1:87" x14ac:dyDescent="0.2">
      <c r="A37" t="s">
        <v>56</v>
      </c>
      <c r="C37"/>
      <c r="D37" s="50"/>
      <c r="E37" s="50"/>
      <c r="F37" s="50"/>
      <c r="G37" s="50"/>
      <c r="H37" s="50"/>
      <c r="I37" s="50"/>
      <c r="J37" s="50"/>
      <c r="K37" s="50"/>
      <c r="L37" s="50"/>
      <c r="M37"/>
      <c r="N37"/>
      <c r="O37" s="68"/>
      <c r="P37" s="169"/>
      <c r="Q37" s="68"/>
      <c r="R37" s="68"/>
      <c r="S37" s="68"/>
      <c r="T37" s="169"/>
      <c r="U37" s="68"/>
      <c r="V37" s="68"/>
      <c r="W37" s="68"/>
      <c r="X37" s="169"/>
      <c r="Y37" s="169"/>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c r="BG37" s="68"/>
      <c r="BH37" s="68"/>
      <c r="BI37" s="68"/>
      <c r="BJ37" s="68"/>
      <c r="CG37" s="68"/>
      <c r="CH37" s="169"/>
      <c r="CI37" s="169"/>
    </row>
    <row r="38" spans="1:87" x14ac:dyDescent="0.2">
      <c r="C38"/>
      <c r="D38" s="50"/>
      <c r="E38" s="50"/>
      <c r="F38" s="50"/>
      <c r="G38" s="50"/>
      <c r="H38" s="50"/>
      <c r="I38" s="50"/>
      <c r="J38" s="50"/>
      <c r="K38" s="50"/>
      <c r="L38" s="50"/>
      <c r="M38"/>
      <c r="N38"/>
      <c r="O38" s="68"/>
      <c r="P38" s="169"/>
      <c r="Q38" s="68"/>
      <c r="R38" s="68"/>
      <c r="S38" s="68"/>
      <c r="T38" s="169"/>
      <c r="U38" s="68"/>
      <c r="V38" s="68"/>
      <c r="W38" s="68"/>
      <c r="X38" s="169"/>
      <c r="Y38" s="169"/>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68"/>
      <c r="CG38" s="68"/>
      <c r="CH38" s="169"/>
      <c r="CI38" s="169"/>
    </row>
    <row r="39" spans="1:87" ht="47.5" customHeight="1" x14ac:dyDescent="0.2">
      <c r="A39" t="s">
        <v>57</v>
      </c>
      <c r="C39"/>
      <c r="D39" s="50"/>
      <c r="E39" s="44">
        <f>ROUND(O39+S39+W39+AA39+AE39+AI39+AM39+AQ39+AU39+AY39+BC39+BG39,-2)</f>
        <v>289400</v>
      </c>
      <c r="F39" s="50"/>
      <c r="G39" s="50"/>
      <c r="H39" s="50"/>
      <c r="I39" s="50"/>
      <c r="J39" s="50"/>
      <c r="K39" s="50"/>
      <c r="L39" s="50"/>
      <c r="M39"/>
      <c r="N39"/>
      <c r="O39" s="66">
        <v>39100</v>
      </c>
      <c r="P39" s="160">
        <f>'2024 Bdg vs Actual All'!I39-'2024 Bdg vs Actual -OH'!P39</f>
        <v>2772</v>
      </c>
      <c r="Q39" s="152">
        <f>O39-P39</f>
        <v>36328</v>
      </c>
      <c r="R39" s="66"/>
      <c r="S39" s="66">
        <v>0</v>
      </c>
      <c r="T39" s="160">
        <f>'2024 Bdg vs Actual All'!M39-'2024 Bdg vs Actual -OH'!T39</f>
        <v>252</v>
      </c>
      <c r="U39" s="152">
        <f>S39-T39</f>
        <v>-252</v>
      </c>
      <c r="V39" s="66"/>
      <c r="W39" s="66">
        <v>9600</v>
      </c>
      <c r="X39" s="160">
        <f>'2024 Bdg vs Actual All'!Q39-'2024 Bdg vs Actual -OH'!X39</f>
        <v>0</v>
      </c>
      <c r="Y39" s="152">
        <f>W39-X39</f>
        <v>9600</v>
      </c>
      <c r="Z39" s="66"/>
      <c r="AA39" s="66">
        <v>24200</v>
      </c>
      <c r="AB39" s="162">
        <f>'2024 Bdg vs Actual All'!U39-'2024 Bdg vs Actual -OH'!AB39</f>
        <v>3604</v>
      </c>
      <c r="AC39" s="154">
        <f>AA39-AB39</f>
        <v>20596</v>
      </c>
      <c r="AD39" s="66"/>
      <c r="AE39" s="66">
        <v>24200</v>
      </c>
      <c r="AF39" s="160">
        <f>'2024 Bdg vs Actual All'!Y39-'2024 Bdg vs Actual -OH'!AF39</f>
        <v>5758.92</v>
      </c>
      <c r="AG39" s="154">
        <f>AE39-AF39</f>
        <v>18441.080000000002</v>
      </c>
      <c r="AH39" s="66"/>
      <c r="AI39" s="66">
        <v>74100</v>
      </c>
      <c r="AJ39" s="160">
        <f>'2024 Bdg vs Actual All'!AC39-'2024 Bdg vs Actual -OH'!AJ39</f>
        <v>14626</v>
      </c>
      <c r="AK39" s="154">
        <f>AI39-AJ39</f>
        <v>59474</v>
      </c>
      <c r="AL39" s="66"/>
      <c r="AM39" s="66">
        <v>19700</v>
      </c>
      <c r="AN39" s="160">
        <f>'2024 Bdg vs Actual All'!AG39-'2024 Bdg vs Actual -OH'!AN39</f>
        <v>2689</v>
      </c>
      <c r="AO39" s="154">
        <f>AM39-AN39</f>
        <v>17011</v>
      </c>
      <c r="AP39" s="263" t="s">
        <v>149</v>
      </c>
      <c r="AQ39" s="66">
        <v>19700</v>
      </c>
      <c r="AR39" s="160">
        <f>'2024 Bdg vs Actual All'!AK39-'2024 Bdg vs Actual -OH'!AR39</f>
        <v>15036</v>
      </c>
      <c r="AS39" s="154">
        <f>AQ39-AR39</f>
        <v>4664</v>
      </c>
      <c r="AT39" s="263" t="s">
        <v>149</v>
      </c>
      <c r="AU39" s="66">
        <v>19700</v>
      </c>
      <c r="AV39" s="160">
        <f>'2024 Bdg vs Actual All'!AO39-'2024 Bdg vs Actual -OH'!AV39</f>
        <v>9905</v>
      </c>
      <c r="AW39" s="154">
        <f>AU39-AV39</f>
        <v>9795</v>
      </c>
      <c r="AX39" s="263" t="s">
        <v>149</v>
      </c>
      <c r="AY39" s="66">
        <v>19700</v>
      </c>
      <c r="AZ39" s="160">
        <f>'2024 Bdg vs Actual All'!AS39-'2024 Bdg vs Actual -OH'!AZ39</f>
        <v>8310</v>
      </c>
      <c r="BA39" s="154">
        <f>AY39-AZ39</f>
        <v>11390</v>
      </c>
      <c r="BB39" s="261"/>
      <c r="BC39" s="66">
        <v>19700</v>
      </c>
      <c r="BD39" s="160">
        <f>'2024 Bdg vs Actual All'!AW39-'2024 Bdg vs Actual -OH'!BD39</f>
        <v>4340</v>
      </c>
      <c r="BE39" s="154">
        <f>BC39-BD39</f>
        <v>15360</v>
      </c>
      <c r="BF39" s="66"/>
      <c r="BG39" s="66">
        <v>19700</v>
      </c>
      <c r="BH39" s="160">
        <f>'2024 Bdg vs Actual All'!BA39-'2024 Bdg vs Actual -OH'!BH39</f>
        <v>12997</v>
      </c>
      <c r="BI39" s="154">
        <f>BG39-BH39</f>
        <v>6703</v>
      </c>
      <c r="BJ39" s="66"/>
      <c r="CG39" s="66">
        <f t="shared" ref="CG39:CG40" si="47">+W39+S39+O39+AA39+AE39+AI39+AM39+AQ39+AU39+AY39+BC39+BG39</f>
        <v>289400</v>
      </c>
      <c r="CH39" s="160">
        <f t="shared" ref="CH39:CH40" si="48">+X39+T39+P39+AB39+AF39+AJ39+AN39+AR39+AV39+AZ39+BD39+BH39</f>
        <v>80289.919999999998</v>
      </c>
      <c r="CI39" s="152">
        <f>CG39-CH39</f>
        <v>209110.08000000002</v>
      </c>
    </row>
    <row r="40" spans="1:87" ht="51" x14ac:dyDescent="0.2">
      <c r="A40" t="s">
        <v>59</v>
      </c>
      <c r="C40"/>
      <c r="D40" s="50"/>
      <c r="E40" s="44">
        <f>ROUND(O40+S40+W40+AA40+AE40+AI40+AM40+AQ40+AU40+AY40+BC40+BG40,-2)</f>
        <v>914800</v>
      </c>
      <c r="F40" s="50"/>
      <c r="G40" s="64"/>
      <c r="H40" s="64"/>
      <c r="I40" s="64"/>
      <c r="J40" s="64"/>
      <c r="K40" s="64"/>
      <c r="L40" s="64"/>
      <c r="M40"/>
      <c r="N40"/>
      <c r="O40" s="66">
        <f>ROUND(896000/12,-2)</f>
        <v>74700</v>
      </c>
      <c r="P40" s="160">
        <f>'2024 Bdg vs Actual All'!I40-'2024 Bdg vs Actual -OH'!P40</f>
        <v>83908</v>
      </c>
      <c r="Q40" s="152">
        <f>O40-P40</f>
        <v>-9208</v>
      </c>
      <c r="R40" s="66"/>
      <c r="S40" s="66">
        <v>88442</v>
      </c>
      <c r="T40" s="160">
        <f>'2024 Bdg vs Actual All'!M40-'2024 Bdg vs Actual -OH'!T40</f>
        <v>89853</v>
      </c>
      <c r="U40" s="152">
        <f>S40-T40</f>
        <v>-1411</v>
      </c>
      <c r="V40" s="66"/>
      <c r="W40" s="66">
        <f>80326.7158333333+8115</f>
        <v>88441.715833333306</v>
      </c>
      <c r="X40" s="160">
        <f>'2024 Bdg vs Actual All'!Q40-'2024 Bdg vs Actual -OH'!X40</f>
        <v>91789</v>
      </c>
      <c r="Y40" s="152">
        <f>W40-X40</f>
        <v>-3347.2841666666936</v>
      </c>
      <c r="Z40" s="33">
        <f>+AA40/$Z$32</f>
        <v>0.20004763743548221</v>
      </c>
      <c r="AA40" s="66">
        <v>78532</v>
      </c>
      <c r="AB40" s="162">
        <f>'2024 Bdg vs Actual All'!U40-'2024 Bdg vs Actual -OH'!AB40</f>
        <v>87972</v>
      </c>
      <c r="AC40" s="154">
        <f>AA40-AB40</f>
        <v>-9440</v>
      </c>
      <c r="AD40" s="240" t="s">
        <v>150</v>
      </c>
      <c r="AE40" s="66">
        <v>73090</v>
      </c>
      <c r="AF40" s="213">
        <f>'2024 Bdg vs Actual All'!Y40-'2024 Bdg vs Actual -OH'!AF40</f>
        <v>102736</v>
      </c>
      <c r="AG40" s="154">
        <f>AE40-AF40</f>
        <v>-29646</v>
      </c>
      <c r="AH40" s="195" t="s">
        <v>151</v>
      </c>
      <c r="AI40" s="66">
        <v>73090</v>
      </c>
      <c r="AJ40" s="160">
        <f>'2024 Bdg vs Actual All'!AC40-'2024 Bdg vs Actual -OH'!AJ40</f>
        <v>68723</v>
      </c>
      <c r="AK40" s="154">
        <f>AI40-AJ40</f>
        <v>4367</v>
      </c>
      <c r="AL40" s="66"/>
      <c r="AM40" s="66">
        <v>73090</v>
      </c>
      <c r="AN40" s="160">
        <f>'2024 Bdg vs Actual All'!AG40-'2024 Bdg vs Actual -OH'!AN40</f>
        <v>58967</v>
      </c>
      <c r="AO40" s="154">
        <f>AM40-AN40</f>
        <v>14123</v>
      </c>
      <c r="AP40" s="66"/>
      <c r="AQ40" s="66">
        <v>73090</v>
      </c>
      <c r="AR40" s="160">
        <f>'2024 Bdg vs Actual All'!AK40-'2024 Bdg vs Actual -OH'!AR40</f>
        <v>62770</v>
      </c>
      <c r="AS40" s="154">
        <f>AQ40-AR40</f>
        <v>10320</v>
      </c>
      <c r="AT40" s="66"/>
      <c r="AU40" s="66">
        <v>73090</v>
      </c>
      <c r="AV40" s="160">
        <f>'2024 Bdg vs Actual All'!AO40-'2024 Bdg vs Actual -OH'!AV40</f>
        <v>54139</v>
      </c>
      <c r="AW40" s="154">
        <f>AU40-AV40</f>
        <v>18951</v>
      </c>
      <c r="AX40" s="66"/>
      <c r="AY40" s="66">
        <v>73090</v>
      </c>
      <c r="AZ40" s="160">
        <f>'2024 Bdg vs Actual All'!AS40-'2024 Bdg vs Actual -OH'!AZ40</f>
        <v>60117</v>
      </c>
      <c r="BA40" s="154">
        <f>AY40-AZ40</f>
        <v>12973</v>
      </c>
      <c r="BB40" s="66"/>
      <c r="BC40" s="66">
        <v>73090</v>
      </c>
      <c r="BD40" s="160">
        <f>'2024 Bdg vs Actual All'!AW40-'2024 Bdg vs Actual -OH'!BD40</f>
        <v>61208</v>
      </c>
      <c r="BE40" s="154">
        <f>BC40-BD40</f>
        <v>11882</v>
      </c>
      <c r="BF40" s="66"/>
      <c r="BG40" s="66">
        <v>73090</v>
      </c>
      <c r="BH40" s="160">
        <f>'2024 Bdg vs Actual All'!BA40-'2024 Bdg vs Actual -OH'!BH40</f>
        <v>60072.259999999995</v>
      </c>
      <c r="BI40" s="154">
        <f>BG40-BH40</f>
        <v>13017.740000000005</v>
      </c>
      <c r="BJ40" s="66"/>
      <c r="BK40" s="14" t="e" cm="1" vm="1">
        <f t="array" aca="1" ref="BK40" ca="1">ROUND(O40:BG40, -2)</f>
        <v>#VALUE!</v>
      </c>
      <c r="CG40" s="66">
        <f t="shared" si="47"/>
        <v>914835.71583333332</v>
      </c>
      <c r="CH40" s="160">
        <f t="shared" si="48"/>
        <v>882254.26</v>
      </c>
      <c r="CI40" s="152">
        <f>CG40-CH40</f>
        <v>32581.455833333312</v>
      </c>
    </row>
    <row r="41" spans="1:87" s="41" customFormat="1" x14ac:dyDescent="0.2">
      <c r="A41" s="41" t="s">
        <v>61</v>
      </c>
      <c r="D41" s="56"/>
      <c r="E41" s="56">
        <f>E35-E39-E40</f>
        <v>4378100</v>
      </c>
      <c r="F41" s="56"/>
      <c r="G41" s="56"/>
      <c r="H41" s="56"/>
      <c r="I41" s="56"/>
      <c r="J41" s="56"/>
      <c r="K41" s="56"/>
      <c r="L41" s="56"/>
      <c r="O41" s="71">
        <f>O35-O39-O40</f>
        <v>377998.97022333345</v>
      </c>
      <c r="P41" s="155">
        <f>P35-P39-P40</f>
        <v>213914.56999999983</v>
      </c>
      <c r="Q41" s="155">
        <f>P41-O41</f>
        <v>-164084.40022333362</v>
      </c>
      <c r="R41" s="71"/>
      <c r="S41" s="71">
        <f t="shared" ref="S41:BG41" si="49">S35-S39-S40</f>
        <v>333619.83333333326</v>
      </c>
      <c r="T41" s="155">
        <f>T35-T39-T40</f>
        <v>288535</v>
      </c>
      <c r="U41" s="155">
        <f>T41-S41</f>
        <v>-45084.833333333256</v>
      </c>
      <c r="V41" s="71"/>
      <c r="W41" s="71">
        <f t="shared" si="49"/>
        <v>310717.36949999991</v>
      </c>
      <c r="X41" s="155">
        <f t="shared" si="49"/>
        <v>207961.83673689445</v>
      </c>
      <c r="Y41" s="155">
        <f>X41-W41</f>
        <v>-102755.53276310547</v>
      </c>
      <c r="Z41" s="71"/>
      <c r="AA41" s="71">
        <f t="shared" si="49"/>
        <v>318741.83883888868</v>
      </c>
      <c r="AB41" s="155">
        <f t="shared" si="49"/>
        <v>287032.81897853268</v>
      </c>
      <c r="AC41" s="155">
        <f>AB41-AA41</f>
        <v>-31709.019860355998</v>
      </c>
      <c r="AD41" s="71"/>
      <c r="AE41" s="71">
        <f t="shared" si="49"/>
        <v>332728.83763888886</v>
      </c>
      <c r="AF41" s="155">
        <f t="shared" si="49"/>
        <v>208093.23893291032</v>
      </c>
      <c r="AG41" s="155">
        <f>AF41-AE41</f>
        <v>-124635.59870597854</v>
      </c>
      <c r="AH41" s="71"/>
      <c r="AI41" s="71">
        <f t="shared" si="49"/>
        <v>321660.49763888866</v>
      </c>
      <c r="AJ41" s="155">
        <f>AJ35-AJ39-AJ40</f>
        <v>408048.20855134586</v>
      </c>
      <c r="AK41" s="155">
        <f>AJ41-AI41</f>
        <v>86387.710912457202</v>
      </c>
      <c r="AL41" s="71"/>
      <c r="AM41" s="71">
        <f t="shared" si="49"/>
        <v>381210.49763888866</v>
      </c>
      <c r="AN41" s="155">
        <f>AN35-AN39-AN40</f>
        <v>333982.14153043879</v>
      </c>
      <c r="AO41" s="155">
        <f>AN41-AM41</f>
        <v>-47228.356108449865</v>
      </c>
      <c r="AP41" s="71"/>
      <c r="AQ41" s="71">
        <f t="shared" si="49"/>
        <v>382360.49763888866</v>
      </c>
      <c r="AR41" s="155">
        <f>AR35-AR39-AR40</f>
        <v>413667.23110795638</v>
      </c>
      <c r="AS41" s="155">
        <f>AR41-AQ41</f>
        <v>31306.733469067723</v>
      </c>
      <c r="AT41" s="71"/>
      <c r="AU41" s="71">
        <f t="shared" si="49"/>
        <v>391310.49763888866</v>
      </c>
      <c r="AV41" s="155">
        <f>AV35-AV39-AV40</f>
        <v>285539.15306859207</v>
      </c>
      <c r="AW41" s="155">
        <f>AV41-AU41</f>
        <v>-105771.34457029658</v>
      </c>
      <c r="AX41" s="71"/>
      <c r="AY41" s="71">
        <f t="shared" si="49"/>
        <v>400260.49763888866</v>
      </c>
      <c r="AZ41" s="155">
        <f>AZ35-AZ39-AZ40</f>
        <v>253186.15027075587</v>
      </c>
      <c r="BA41" s="155">
        <f>AZ41-AY41</f>
        <v>-147074.34736813279</v>
      </c>
      <c r="BB41" s="71"/>
      <c r="BC41" s="71">
        <f t="shared" si="49"/>
        <v>409110.49763888866</v>
      </c>
      <c r="BD41" s="155">
        <f>BD35-BD39-BD40</f>
        <v>322181</v>
      </c>
      <c r="BE41" s="155">
        <f>BD41-BC41</f>
        <v>-86929.497638888657</v>
      </c>
      <c r="BF41" s="71"/>
      <c r="BG41" s="71">
        <f t="shared" si="49"/>
        <v>418297.33763888874</v>
      </c>
      <c r="BH41" s="155">
        <f>BH35-BH39-BH40</f>
        <v>276226.74</v>
      </c>
      <c r="BI41" s="155">
        <f>BH41-BG41</f>
        <v>-142070.59763888875</v>
      </c>
      <c r="BJ41" s="71"/>
      <c r="BK41" s="14" t="e" cm="1" vm="1">
        <f t="array" aca="1" ref="BK41" ca="1">ROUND(O41:BG41, -2)</f>
        <v>#VALUE!</v>
      </c>
      <c r="BL41" s="74"/>
      <c r="BM41" s="74"/>
      <c r="BN41" s="74"/>
      <c r="BO41" s="74"/>
      <c r="BP41" s="74"/>
      <c r="BQ41" s="74"/>
      <c r="BR41" s="74"/>
      <c r="BS41" s="74"/>
      <c r="BT41" s="74"/>
      <c r="BU41" s="74"/>
      <c r="BV41" s="74"/>
      <c r="CG41" s="71">
        <f t="shared" ref="CG41:CH41" si="50">CG35-CG39-CG40</f>
        <v>4378017.173006664</v>
      </c>
      <c r="CH41" s="155">
        <f t="shared" si="50"/>
        <v>3498368.0891774278</v>
      </c>
      <c r="CI41" s="155">
        <f>CH41-CG41</f>
        <v>-879649.08382923622</v>
      </c>
    </row>
    <row r="42" spans="1:87" s="23" customFormat="1" x14ac:dyDescent="0.2">
      <c r="D42" s="57"/>
      <c r="E42" s="147">
        <f>+E41/E11</f>
        <v>0.24054569329751055</v>
      </c>
      <c r="F42" s="57"/>
      <c r="G42" s="57"/>
      <c r="H42" s="57"/>
      <c r="I42" s="57"/>
      <c r="J42" s="57"/>
      <c r="K42" s="57"/>
      <c r="L42" s="57"/>
      <c r="O42" s="72"/>
      <c r="P42" s="178"/>
      <c r="Q42" s="72"/>
      <c r="R42" s="72"/>
      <c r="S42" s="72"/>
      <c r="T42" s="178"/>
      <c r="U42" s="72"/>
      <c r="V42" s="72"/>
      <c r="W42" s="72"/>
      <c r="X42" s="178"/>
      <c r="Y42" s="178"/>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4"/>
      <c r="BL42" s="74"/>
      <c r="BM42" s="74"/>
      <c r="BN42" s="74"/>
      <c r="BO42" s="74"/>
      <c r="BP42" s="74"/>
      <c r="BQ42" s="74"/>
      <c r="BR42" s="74"/>
      <c r="BS42" s="74"/>
      <c r="BT42" s="74"/>
      <c r="BU42" s="74"/>
      <c r="BV42" s="74"/>
      <c r="CG42" s="72"/>
      <c r="CH42" s="178"/>
      <c r="CI42" s="178"/>
    </row>
    <row r="43" spans="1:87" x14ac:dyDescent="0.2">
      <c r="A43" s="23" t="s">
        <v>63</v>
      </c>
      <c r="B43" s="23"/>
      <c r="D43" s="44"/>
      <c r="E43" s="44"/>
      <c r="F43" s="44"/>
      <c r="G43" s="44"/>
      <c r="H43" s="44"/>
      <c r="I43" s="44"/>
      <c r="J43" s="44"/>
      <c r="K43" s="44"/>
      <c r="L43" s="44"/>
      <c r="O43" s="66"/>
      <c r="P43" s="154"/>
      <c r="Q43" s="66"/>
      <c r="R43" s="66"/>
      <c r="S43" s="66"/>
      <c r="T43" s="154"/>
      <c r="U43" s="66"/>
      <c r="V43" s="66"/>
      <c r="W43" s="66"/>
      <c r="X43" s="154"/>
      <c r="Y43" s="154"/>
      <c r="Z43" s="66"/>
      <c r="AA43" s="66"/>
      <c r="AB43" s="66"/>
      <c r="AC43" s="66"/>
      <c r="AD43" s="66"/>
      <c r="AE43" s="66"/>
      <c r="AF43" s="66"/>
      <c r="AG43" s="66"/>
      <c r="AH43" s="66"/>
      <c r="AI43" s="66"/>
      <c r="AJ43" s="66"/>
      <c r="AK43" s="66"/>
      <c r="AL43" s="66"/>
      <c r="AM43" s="68"/>
      <c r="AN43" s="66"/>
      <c r="AO43" s="68"/>
      <c r="AP43" s="68"/>
      <c r="AQ43" s="68"/>
      <c r="AR43" s="66"/>
      <c r="AS43" s="68"/>
      <c r="AT43" s="68"/>
      <c r="AU43" s="68"/>
      <c r="AV43" s="66"/>
      <c r="AW43" s="68"/>
      <c r="AX43" s="68"/>
      <c r="AY43" s="68"/>
      <c r="AZ43" s="66"/>
      <c r="BA43" s="68"/>
      <c r="BB43" s="68"/>
      <c r="BC43" s="68"/>
      <c r="BD43" s="66"/>
      <c r="BE43" s="68"/>
      <c r="BF43" s="68"/>
      <c r="BG43" s="68"/>
      <c r="BH43" s="66"/>
      <c r="BI43" s="68"/>
      <c r="BJ43" s="68"/>
      <c r="CG43" s="66"/>
      <c r="CH43" s="154"/>
      <c r="CI43" s="154"/>
    </row>
    <row r="44" spans="1:87" x14ac:dyDescent="0.2">
      <c r="D44" s="44"/>
      <c r="E44" s="44"/>
      <c r="F44" s="44"/>
      <c r="G44" s="44"/>
      <c r="H44" s="44"/>
      <c r="I44" s="44"/>
      <c r="J44" s="44"/>
      <c r="K44" s="44"/>
      <c r="L44" s="44"/>
      <c r="O44" s="66"/>
      <c r="P44" s="154"/>
      <c r="Q44" s="66"/>
      <c r="R44" s="66"/>
      <c r="S44" s="66"/>
      <c r="T44" s="154"/>
      <c r="U44" s="66"/>
      <c r="V44" s="66"/>
      <c r="W44" s="66"/>
      <c r="X44" s="154"/>
      <c r="Y44" s="154"/>
      <c r="Z44" s="66"/>
      <c r="AA44" s="66"/>
      <c r="AB44" s="66"/>
      <c r="AC44" s="66"/>
      <c r="AD44" s="66"/>
      <c r="AE44" s="66"/>
      <c r="AF44" s="66"/>
      <c r="AG44" s="66"/>
      <c r="AH44" s="66"/>
      <c r="AI44" s="66"/>
      <c r="AJ44" s="66"/>
      <c r="AK44" s="66"/>
      <c r="AL44" s="66"/>
      <c r="AM44" s="68"/>
      <c r="AN44" s="66"/>
      <c r="AO44" s="68"/>
      <c r="AP44" s="68"/>
      <c r="AQ44" s="68"/>
      <c r="AR44" s="66"/>
      <c r="AS44" s="68"/>
      <c r="AT44" s="68"/>
      <c r="AU44" s="68"/>
      <c r="AV44" s="66"/>
      <c r="AW44" s="68"/>
      <c r="AX44" s="68"/>
      <c r="AY44" s="68"/>
      <c r="AZ44" s="66"/>
      <c r="BA44" s="68"/>
      <c r="BB44" s="68"/>
      <c r="BC44" s="68"/>
      <c r="BD44" s="66"/>
      <c r="BE44" s="68"/>
      <c r="BF44" s="68"/>
      <c r="BG44" s="68"/>
      <c r="BH44" s="66"/>
      <c r="BI44" s="68"/>
      <c r="BJ44" s="68"/>
      <c r="CG44" s="66"/>
      <c r="CH44" s="154"/>
      <c r="CI44" s="154"/>
    </row>
    <row r="45" spans="1:87" x14ac:dyDescent="0.2">
      <c r="A45" s="24" t="s">
        <v>64</v>
      </c>
      <c r="B45" s="24"/>
      <c r="D45" s="44"/>
      <c r="E45" s="44"/>
      <c r="F45" s="44"/>
      <c r="G45" s="44"/>
      <c r="H45" s="44"/>
      <c r="I45" s="44"/>
      <c r="J45" s="44"/>
      <c r="K45" s="44"/>
      <c r="L45" s="44"/>
      <c r="O45" s="66"/>
      <c r="P45" s="160"/>
      <c r="Q45" s="66"/>
      <c r="R45" s="66"/>
      <c r="S45" s="66"/>
      <c r="T45" s="160"/>
      <c r="U45" s="66"/>
      <c r="V45" s="66"/>
      <c r="W45" s="66"/>
      <c r="X45" s="154"/>
      <c r="Y45" s="154"/>
      <c r="Z45" s="66"/>
      <c r="AA45" s="66"/>
      <c r="AB45" s="66"/>
      <c r="AC45" s="66"/>
      <c r="AD45" s="66"/>
      <c r="AE45" s="66"/>
      <c r="AF45" s="66"/>
      <c r="AG45" s="66"/>
      <c r="AH45" s="66"/>
      <c r="AI45" s="66"/>
      <c r="AJ45" s="66"/>
      <c r="AK45" s="66"/>
      <c r="AL45" s="66"/>
      <c r="AM45" s="68"/>
      <c r="AN45" s="66"/>
      <c r="AO45" s="68"/>
      <c r="AP45" s="68"/>
      <c r="AQ45" s="68"/>
      <c r="AR45" s="66"/>
      <c r="AS45" s="68"/>
      <c r="AT45" s="68"/>
      <c r="AU45" s="68"/>
      <c r="AV45" s="66"/>
      <c r="AW45" s="68"/>
      <c r="AX45" s="68"/>
      <c r="AY45" s="68"/>
      <c r="AZ45" s="66"/>
      <c r="BA45" s="68"/>
      <c r="BB45" s="68"/>
      <c r="BC45" s="68"/>
      <c r="BD45" s="66"/>
      <c r="BE45" s="68"/>
      <c r="BF45" s="68"/>
      <c r="BG45" s="68"/>
      <c r="BH45" s="66"/>
      <c r="BI45" s="68"/>
      <c r="BJ45" s="68"/>
      <c r="CG45" s="66"/>
      <c r="CH45" s="154"/>
      <c r="CI45" s="154"/>
    </row>
    <row r="46" spans="1:87" ht="34" x14ac:dyDescent="0.2">
      <c r="A46" t="s">
        <v>152</v>
      </c>
      <c r="D46" s="44"/>
      <c r="E46" s="51">
        <f>ROUND(O46+S46+W46+AA46+AE46+AI46+AM46+AQ46+AU46+AY46+BC46+BG46,-2)</f>
        <v>1115900</v>
      </c>
      <c r="F46" s="51"/>
      <c r="G46" s="65"/>
      <c r="H46" s="65"/>
      <c r="I46" s="65"/>
      <c r="J46" s="65"/>
      <c r="K46" s="65"/>
      <c r="L46" s="65"/>
      <c r="O46" s="73">
        <f>1026000/12</f>
        <v>85500</v>
      </c>
      <c r="P46" s="160">
        <f>'2024 Bdg vs Actual All'!I46-'2024 Bdg vs Actual -OH'!P46</f>
        <v>101949</v>
      </c>
      <c r="Q46" s="152">
        <f>O46-P46</f>
        <v>-16449</v>
      </c>
      <c r="R46" s="73"/>
      <c r="S46" s="73">
        <f t="shared" ref="S46" si="51">1026000/12</f>
        <v>85500</v>
      </c>
      <c r="T46" s="160">
        <f>'2024 Bdg vs Actual All'!M46-'2024 Bdg vs Actual -OH'!T46</f>
        <v>89256</v>
      </c>
      <c r="U46" s="152">
        <f>S46-T46</f>
        <v>-3756</v>
      </c>
      <c r="V46" s="73"/>
      <c r="W46" s="73">
        <v>87030.906666666648</v>
      </c>
      <c r="X46" s="160">
        <f>'2024 Bdg vs Actual All'!Q46-'2024 Bdg vs Actual -OH'!X46</f>
        <v>90173</v>
      </c>
      <c r="Y46" s="214">
        <f>W46-X46</f>
        <v>-3142.0933333333523</v>
      </c>
      <c r="Z46" s="33">
        <f>+AA46/$Z$32</f>
        <v>0.24281236693768354</v>
      </c>
      <c r="AA46" s="73">
        <v>95320</v>
      </c>
      <c r="AB46" s="162">
        <f>'2024 Bdg vs Actual All'!U46-'2024 Bdg vs Actual -OH'!AB46</f>
        <v>100765</v>
      </c>
      <c r="AC46" s="154">
        <f>AA46-AB46</f>
        <v>-5445</v>
      </c>
      <c r="AD46" s="240" t="s">
        <v>153</v>
      </c>
      <c r="AE46" s="73">
        <v>95320</v>
      </c>
      <c r="AF46" s="160">
        <f>'2024 Bdg vs Actual All'!Y46-'2024 Bdg vs Actual -OH'!AF46</f>
        <v>103272</v>
      </c>
      <c r="AG46" s="154">
        <f>AE46-AF46</f>
        <v>-7952</v>
      </c>
      <c r="AH46" s="243" t="s">
        <v>154</v>
      </c>
      <c r="AI46" s="73">
        <v>95320</v>
      </c>
      <c r="AJ46" s="160">
        <f>'2024 Bdg vs Actual All'!AC46-'2024 Bdg vs Actual -OH'!AJ46</f>
        <v>84968</v>
      </c>
      <c r="AK46" s="154">
        <f>AI46-AJ46</f>
        <v>10352</v>
      </c>
      <c r="AL46" s="73"/>
      <c r="AM46" s="73">
        <v>95320</v>
      </c>
      <c r="AN46" s="160">
        <f>'2024 Bdg vs Actual All'!AG46-'2024 Bdg vs Actual -OH'!AN46</f>
        <v>84847</v>
      </c>
      <c r="AO46" s="154">
        <f>AM46-AN46</f>
        <v>10473</v>
      </c>
      <c r="AP46" s="73"/>
      <c r="AQ46" s="73">
        <v>95320</v>
      </c>
      <c r="AR46" s="160">
        <f>'2024 Bdg vs Actual All'!AK46-'2024 Bdg vs Actual -OH'!AR46</f>
        <v>94211</v>
      </c>
      <c r="AS46" s="154">
        <f>AQ46-AR46</f>
        <v>1109</v>
      </c>
      <c r="AT46" s="73"/>
      <c r="AU46" s="73">
        <v>95320</v>
      </c>
      <c r="AV46" s="160">
        <f>'2024 Bdg vs Actual All'!AO46-'2024 Bdg vs Actual -OH'!AV46</f>
        <v>85294</v>
      </c>
      <c r="AW46" s="154">
        <f>AU46-AV46</f>
        <v>10026</v>
      </c>
      <c r="AX46" s="73"/>
      <c r="AY46" s="73">
        <v>95320</v>
      </c>
      <c r="AZ46" s="160">
        <f>'2024 Bdg vs Actual All'!AS46-'2024 Bdg vs Actual -OH'!AZ46</f>
        <v>96675</v>
      </c>
      <c r="BA46" s="154">
        <f>AY46-AZ46</f>
        <v>-1355</v>
      </c>
      <c r="BB46" s="73"/>
      <c r="BC46" s="73">
        <v>95320</v>
      </c>
      <c r="BD46" s="160">
        <f>'2024 Bdg vs Actual All'!AW46-'2024 Bdg vs Actual -OH'!BD46</f>
        <v>97457</v>
      </c>
      <c r="BE46" s="154">
        <f>BC46-BD46</f>
        <v>-2137</v>
      </c>
      <c r="BF46" s="73"/>
      <c r="BG46" s="73">
        <v>95320</v>
      </c>
      <c r="BH46" s="160">
        <f>'2024 Bdg vs Actual All'!BA46-'2024 Bdg vs Actual -OH'!BH46</f>
        <v>129935</v>
      </c>
      <c r="BI46" s="154">
        <f>BG46-BH46</f>
        <v>-34615</v>
      </c>
      <c r="BJ46" s="73"/>
      <c r="BK46" s="14" t="e" cm="1" vm="1">
        <f t="array" aca="1" ref="BK46" ca="1">ROUND(O46:BG46, -2)</f>
        <v>#VALUE!</v>
      </c>
      <c r="CG46" s="73">
        <f t="shared" ref="CG46:CG47" si="52">+W46+S46+O46+AA46+AE46+AI46+AM46+AQ46+AU46+AY46+BC46+BG46</f>
        <v>1115910.9066666667</v>
      </c>
      <c r="CH46" s="160">
        <f t="shared" ref="CH46:CH47" si="53">+X46+T46+P46+AB46+AF46+AJ46+AN46+AR46+AV46+AZ46+BD46+BH46</f>
        <v>1158802</v>
      </c>
      <c r="CI46" s="214">
        <f>CG46-CH46</f>
        <v>-42891.093333333265</v>
      </c>
    </row>
    <row r="47" spans="1:87" x14ac:dyDescent="0.2">
      <c r="A47" s="21" t="s">
        <v>66</v>
      </c>
      <c r="B47" s="21"/>
      <c r="C47" s="8"/>
      <c r="D47" s="45"/>
      <c r="E47" s="45">
        <f>ROUND(O47+S47+W47+AA47+AE47+AI47+AM47+AQ47+AU47+AY47+BC47+BG47,-2)</f>
        <v>6000</v>
      </c>
      <c r="F47" s="45"/>
      <c r="G47" s="45"/>
      <c r="H47" s="45"/>
      <c r="I47" s="45"/>
      <c r="J47" s="45"/>
      <c r="K47" s="45"/>
      <c r="L47" s="45"/>
      <c r="M47" s="8"/>
      <c r="N47" s="17"/>
      <c r="O47" s="66"/>
      <c r="P47" s="160"/>
      <c r="Q47" s="152">
        <f>O47-P47</f>
        <v>0</v>
      </c>
      <c r="R47" s="66"/>
      <c r="S47" s="66"/>
      <c r="T47" s="160"/>
      <c r="U47" s="152">
        <f>S47-T47</f>
        <v>0</v>
      </c>
      <c r="V47" s="66"/>
      <c r="W47" s="66">
        <v>2000</v>
      </c>
      <c r="X47" s="160">
        <f>'2024 Bdg vs Actual All'!Q47-'2024 Bdg vs Actual -OH'!X47</f>
        <v>0</v>
      </c>
      <c r="Y47" s="154">
        <f>W47-X47</f>
        <v>2000</v>
      </c>
      <c r="Z47" s="66"/>
      <c r="AA47" s="66"/>
      <c r="AB47" s="154"/>
      <c r="AC47" s="154">
        <f>AA47-AB47</f>
        <v>0</v>
      </c>
      <c r="AD47" s="66"/>
      <c r="AE47" s="66"/>
      <c r="AF47" s="160"/>
      <c r="AG47" s="66"/>
      <c r="AH47" s="66"/>
      <c r="AI47" s="66">
        <v>2000</v>
      </c>
      <c r="AJ47" s="66"/>
      <c r="AK47" s="66"/>
      <c r="AL47" s="66"/>
      <c r="AM47" s="73"/>
      <c r="AN47" s="66"/>
      <c r="AO47" s="66"/>
      <c r="AP47" s="73"/>
      <c r="AQ47" s="68"/>
      <c r="AR47" s="66"/>
      <c r="AS47" s="66"/>
      <c r="AT47" s="68"/>
      <c r="AU47" s="68"/>
      <c r="AV47" s="66"/>
      <c r="AW47" s="66"/>
      <c r="AX47" s="68"/>
      <c r="AY47" s="73">
        <v>2000</v>
      </c>
      <c r="AZ47" s="66"/>
      <c r="BA47" s="66"/>
      <c r="BB47" s="73"/>
      <c r="BC47" s="68"/>
      <c r="BD47" s="66"/>
      <c r="BE47" s="66"/>
      <c r="BF47" s="68"/>
      <c r="BG47" s="68"/>
      <c r="BH47" s="66"/>
      <c r="BI47" s="66"/>
      <c r="BJ47" s="68"/>
      <c r="BK47" s="14" t="e" cm="1" vm="1">
        <f t="array" aca="1" ref="BK47" ca="1">ROUND(O47:BG47, -2)</f>
        <v>#VALUE!</v>
      </c>
      <c r="CG47" s="66">
        <f t="shared" si="52"/>
        <v>6000</v>
      </c>
      <c r="CH47" s="160">
        <f t="shared" si="53"/>
        <v>0</v>
      </c>
      <c r="CI47" s="154">
        <f>CG47-CH47</f>
        <v>6000</v>
      </c>
    </row>
    <row r="48" spans="1:87" x14ac:dyDescent="0.2">
      <c r="A48" t="s">
        <v>67</v>
      </c>
      <c r="D48" s="44"/>
      <c r="E48" s="44">
        <f>SUM(E45:E47)</f>
        <v>1121900</v>
      </c>
      <c r="F48" s="44"/>
      <c r="G48" s="44"/>
      <c r="H48" s="44"/>
      <c r="I48" s="44"/>
      <c r="J48" s="44"/>
      <c r="K48" s="44"/>
      <c r="L48" s="44"/>
      <c r="O48" s="67">
        <f t="shared" ref="O48:BG48" si="54">SUM(O45:O47)</f>
        <v>85500</v>
      </c>
      <c r="P48" s="172">
        <f t="shared" si="54"/>
        <v>101949</v>
      </c>
      <c r="Q48" s="156">
        <f>O48-P48</f>
        <v>-16449</v>
      </c>
      <c r="R48" s="67"/>
      <c r="S48" s="67">
        <f t="shared" si="54"/>
        <v>85500</v>
      </c>
      <c r="T48" s="172">
        <f t="shared" ref="T48" si="55">SUM(T45:T47)</f>
        <v>89256</v>
      </c>
      <c r="U48" s="156">
        <f>S48-T48</f>
        <v>-3756</v>
      </c>
      <c r="V48" s="67"/>
      <c r="W48" s="67">
        <f t="shared" si="54"/>
        <v>89030.906666666648</v>
      </c>
      <c r="X48" s="172">
        <f t="shared" si="54"/>
        <v>90173</v>
      </c>
      <c r="Y48" s="156">
        <f>W48-X48</f>
        <v>-1142.0933333333523</v>
      </c>
      <c r="Z48" s="67"/>
      <c r="AA48" s="67">
        <f t="shared" si="54"/>
        <v>95320</v>
      </c>
      <c r="AB48" s="164">
        <f t="shared" si="54"/>
        <v>100765</v>
      </c>
      <c r="AC48" s="156">
        <f>AA48-AB48</f>
        <v>-5445</v>
      </c>
      <c r="AD48" s="67"/>
      <c r="AE48" s="67">
        <f t="shared" si="54"/>
        <v>95320</v>
      </c>
      <c r="AF48" s="164">
        <f t="shared" si="54"/>
        <v>103272</v>
      </c>
      <c r="AG48" s="156">
        <f>AE48-AF48</f>
        <v>-7952</v>
      </c>
      <c r="AH48" s="67"/>
      <c r="AI48" s="67">
        <f t="shared" si="54"/>
        <v>97320</v>
      </c>
      <c r="AJ48" s="164">
        <f>SUM(AJ45:AJ47)</f>
        <v>84968</v>
      </c>
      <c r="AK48" s="156">
        <f>AI48-AJ48</f>
        <v>12352</v>
      </c>
      <c r="AL48" s="67"/>
      <c r="AM48" s="67">
        <f t="shared" si="54"/>
        <v>95320</v>
      </c>
      <c r="AN48" s="164">
        <f>SUM(AN45:AN47)</f>
        <v>84847</v>
      </c>
      <c r="AO48" s="156">
        <f>AM48-AN48</f>
        <v>10473</v>
      </c>
      <c r="AP48" s="67"/>
      <c r="AQ48" s="67">
        <f t="shared" si="54"/>
        <v>95320</v>
      </c>
      <c r="AR48" s="164">
        <f>SUM(AR45:AR47)</f>
        <v>94211</v>
      </c>
      <c r="AS48" s="156">
        <f>AQ48-AR48</f>
        <v>1109</v>
      </c>
      <c r="AT48" s="67"/>
      <c r="AU48" s="67">
        <f t="shared" si="54"/>
        <v>95320</v>
      </c>
      <c r="AV48" s="164">
        <f>SUM(AV45:AV47)</f>
        <v>85294</v>
      </c>
      <c r="AW48" s="156">
        <f>AU48-AV48</f>
        <v>10026</v>
      </c>
      <c r="AX48" s="67"/>
      <c r="AY48" s="67">
        <f t="shared" si="54"/>
        <v>97320</v>
      </c>
      <c r="AZ48" s="164">
        <f>SUM(AZ45:AZ47)</f>
        <v>96675</v>
      </c>
      <c r="BA48" s="156">
        <f>AY48-AZ48</f>
        <v>645</v>
      </c>
      <c r="BB48" s="67"/>
      <c r="BC48" s="67">
        <f t="shared" si="54"/>
        <v>95320</v>
      </c>
      <c r="BD48" s="164">
        <f>SUM(BD45:BD47)</f>
        <v>97457</v>
      </c>
      <c r="BE48" s="156">
        <f>BC48-BD48</f>
        <v>-2137</v>
      </c>
      <c r="BF48" s="67"/>
      <c r="BG48" s="67">
        <f t="shared" si="54"/>
        <v>95320</v>
      </c>
      <c r="BH48" s="164">
        <f>SUM(BH45:BH47)</f>
        <v>129935</v>
      </c>
      <c r="BI48" s="156">
        <f>BG48-BH48</f>
        <v>-34615</v>
      </c>
      <c r="BJ48" s="67"/>
      <c r="BK48" s="14" t="e" cm="1" vm="1">
        <f t="array" aca="1" ref="BK48" ca="1">ROUND(O48:BG48, -2)</f>
        <v>#VALUE!</v>
      </c>
      <c r="CG48" s="67">
        <f t="shared" ref="CG48:CH48" si="56">SUM(CG45:CG47)</f>
        <v>1121910.9066666667</v>
      </c>
      <c r="CH48" s="172">
        <f t="shared" si="56"/>
        <v>1158802</v>
      </c>
      <c r="CI48" s="156">
        <f>CG48-CH48</f>
        <v>-36891.093333333265</v>
      </c>
    </row>
    <row r="49" spans="1:87" x14ac:dyDescent="0.2">
      <c r="D49" s="44"/>
      <c r="E49" s="44"/>
      <c r="F49" s="44"/>
      <c r="G49" s="44"/>
      <c r="H49" s="44"/>
      <c r="I49" s="44"/>
      <c r="J49" s="44"/>
      <c r="K49" s="44"/>
      <c r="L49" s="44"/>
      <c r="O49" s="66"/>
      <c r="P49" s="154"/>
      <c r="Q49" s="66"/>
      <c r="R49" s="66"/>
      <c r="S49" s="66"/>
      <c r="T49" s="154"/>
      <c r="U49" s="66"/>
      <c r="V49" s="66"/>
      <c r="W49" s="66"/>
      <c r="X49" s="154"/>
      <c r="Y49" s="154"/>
      <c r="Z49" s="66"/>
      <c r="AA49" s="66"/>
      <c r="AB49" s="66"/>
      <c r="AC49" s="66"/>
      <c r="AD49" s="66"/>
      <c r="AE49" s="66"/>
      <c r="AF49" s="66"/>
      <c r="AG49" s="66"/>
      <c r="AH49" s="66"/>
      <c r="AI49" s="66"/>
      <c r="AJ49" s="66"/>
      <c r="AK49" s="66"/>
      <c r="AL49" s="66"/>
      <c r="AM49" s="68"/>
      <c r="AN49" s="66"/>
      <c r="AO49" s="66"/>
      <c r="AP49" s="68"/>
      <c r="AQ49" s="68"/>
      <c r="AR49" s="66"/>
      <c r="AS49" s="66"/>
      <c r="AT49" s="68"/>
      <c r="AU49" s="68"/>
      <c r="AV49" s="66"/>
      <c r="AW49" s="66"/>
      <c r="AX49" s="68"/>
      <c r="AY49" s="68"/>
      <c r="AZ49" s="66"/>
      <c r="BA49" s="66"/>
      <c r="BB49" s="68"/>
      <c r="BC49" s="68"/>
      <c r="BD49" s="66"/>
      <c r="BE49" s="66"/>
      <c r="BF49" s="68"/>
      <c r="BG49" s="68"/>
      <c r="BH49" s="66"/>
      <c r="BI49" s="66"/>
      <c r="BJ49" s="68"/>
      <c r="CG49" s="66"/>
      <c r="CH49" s="154"/>
      <c r="CI49" s="154"/>
    </row>
    <row r="50" spans="1:87" x14ac:dyDescent="0.2">
      <c r="D50" s="44"/>
      <c r="E50" s="44"/>
      <c r="F50" s="44"/>
      <c r="G50" s="44"/>
      <c r="H50" s="44"/>
      <c r="I50" s="44"/>
      <c r="J50" s="44"/>
      <c r="K50" s="44"/>
      <c r="L50" s="44"/>
      <c r="O50" s="66"/>
      <c r="P50" s="154"/>
      <c r="Q50" s="66"/>
      <c r="R50" s="66"/>
      <c r="S50" s="66"/>
      <c r="T50" s="154"/>
      <c r="U50" s="66"/>
      <c r="V50" s="66"/>
      <c r="W50" s="66"/>
      <c r="X50" s="154"/>
      <c r="Y50" s="154"/>
      <c r="Z50" s="66"/>
      <c r="AA50" s="66"/>
      <c r="AB50" s="66"/>
      <c r="AC50" s="66"/>
      <c r="AD50" s="66"/>
      <c r="AE50" s="66"/>
      <c r="AF50" s="66"/>
      <c r="AG50" s="66"/>
      <c r="AH50" s="66"/>
      <c r="AI50" s="66"/>
      <c r="AJ50" s="66"/>
      <c r="AK50" s="66"/>
      <c r="AL50" s="66"/>
      <c r="AM50" s="68"/>
      <c r="AN50" s="66"/>
      <c r="AO50" s="66"/>
      <c r="AP50" s="68"/>
      <c r="AQ50" s="68"/>
      <c r="AR50" s="66"/>
      <c r="AS50" s="66"/>
      <c r="AT50" s="68"/>
      <c r="AU50" s="68"/>
      <c r="AV50" s="66"/>
      <c r="AW50" s="66"/>
      <c r="AX50" s="68"/>
      <c r="AY50" s="68"/>
      <c r="AZ50" s="66"/>
      <c r="BA50" s="66"/>
      <c r="BB50" s="68"/>
      <c r="BC50" s="68"/>
      <c r="BD50" s="66"/>
      <c r="BE50" s="66"/>
      <c r="BF50" s="68"/>
      <c r="BG50" s="68"/>
      <c r="BH50" s="66"/>
      <c r="BI50" s="66"/>
      <c r="BJ50" s="68"/>
      <c r="CG50" s="66"/>
      <c r="CH50" s="154"/>
      <c r="CI50" s="154"/>
    </row>
    <row r="51" spans="1:87" x14ac:dyDescent="0.2">
      <c r="A51" s="24" t="s">
        <v>68</v>
      </c>
      <c r="B51" s="24"/>
      <c r="D51" s="44"/>
      <c r="E51" s="44"/>
      <c r="F51" s="44"/>
      <c r="G51" s="44"/>
      <c r="H51" s="44"/>
      <c r="I51" s="44"/>
      <c r="J51" s="44"/>
      <c r="K51" s="44"/>
      <c r="L51" s="44"/>
      <c r="O51" s="66"/>
      <c r="P51" s="154"/>
      <c r="Q51" s="66"/>
      <c r="R51" s="66"/>
      <c r="S51" s="66"/>
      <c r="T51" s="154"/>
      <c r="U51" s="66"/>
      <c r="V51" s="66"/>
      <c r="W51" s="66"/>
      <c r="X51" s="154"/>
      <c r="Y51" s="154"/>
      <c r="Z51" s="66"/>
      <c r="AA51" s="66"/>
      <c r="AB51" s="66"/>
      <c r="AC51" s="66"/>
      <c r="AD51" s="66"/>
      <c r="AE51" s="66"/>
      <c r="AF51" s="66"/>
      <c r="AG51" s="66"/>
      <c r="AH51" s="66"/>
      <c r="AI51" s="66"/>
      <c r="AJ51" s="66"/>
      <c r="AK51" s="66"/>
      <c r="AL51" s="66"/>
      <c r="AM51" s="68"/>
      <c r="AN51" s="66"/>
      <c r="AO51" s="66"/>
      <c r="AP51" s="68"/>
      <c r="AQ51" s="68"/>
      <c r="AR51" s="66"/>
      <c r="AS51" s="66"/>
      <c r="AT51" s="68"/>
      <c r="AU51" s="68"/>
      <c r="AV51" s="66"/>
      <c r="AW51" s="66"/>
      <c r="AX51" s="68"/>
      <c r="AY51" s="68"/>
      <c r="AZ51" s="66"/>
      <c r="BA51" s="66"/>
      <c r="BB51" s="68"/>
      <c r="BC51" s="68"/>
      <c r="BD51" s="66"/>
      <c r="BE51" s="66"/>
      <c r="BF51" s="68"/>
      <c r="BG51" s="68"/>
      <c r="BH51" s="66"/>
      <c r="BI51" s="66"/>
      <c r="BJ51" s="68"/>
      <c r="CG51" s="66"/>
      <c r="CH51" s="154"/>
      <c r="CI51" s="154"/>
    </row>
    <row r="52" spans="1:87" ht="25" x14ac:dyDescent="0.2">
      <c r="A52" t="s">
        <v>69</v>
      </c>
      <c r="D52" s="44"/>
      <c r="E52" s="44">
        <f t="shared" ref="E52:E57" si="57">ROUND(O52+S52+W52+AA52+AE52+AI52+AM52+AQ52+AU52+AY52+BC52+BG52,-2)</f>
        <v>206400</v>
      </c>
      <c r="F52" s="44"/>
      <c r="G52" s="44"/>
      <c r="H52" s="44"/>
      <c r="I52" s="44"/>
      <c r="J52" s="44"/>
      <c r="K52" s="44"/>
      <c r="L52" s="44"/>
      <c r="O52" s="66">
        <v>17200</v>
      </c>
      <c r="P52" s="160">
        <f>'2024 Bdg vs Actual All'!I52-'2024 Bdg vs Actual -OH'!P52</f>
        <v>17927</v>
      </c>
      <c r="Q52" s="181">
        <f t="shared" ref="Q52:Q58" si="58">O52-P52</f>
        <v>-727</v>
      </c>
      <c r="R52" s="66"/>
      <c r="S52" s="187">
        <v>17200</v>
      </c>
      <c r="T52" s="160">
        <f>'2024 Bdg vs Actual All'!M52-'2024 Bdg vs Actual -OH'!T52</f>
        <v>18504</v>
      </c>
      <c r="U52" s="181">
        <f t="shared" ref="U52:U58" si="59">S52-T52</f>
        <v>-1304</v>
      </c>
      <c r="V52" s="187"/>
      <c r="W52" s="66">
        <v>17200</v>
      </c>
      <c r="X52" s="160">
        <f>'2024 Bdg vs Actual All'!Q52-'2024 Bdg vs Actual -OH'!X52</f>
        <v>17536</v>
      </c>
      <c r="Y52" s="181">
        <f t="shared" ref="Y52:Y58" si="60">W52-X52</f>
        <v>-336</v>
      </c>
      <c r="Z52" s="66"/>
      <c r="AA52" s="66">
        <v>17200</v>
      </c>
      <c r="AB52" s="162">
        <f>'2024 Bdg vs Actual All'!U52-'2024 Bdg vs Actual -OH'!AB52</f>
        <v>16970</v>
      </c>
      <c r="AC52" s="154">
        <f t="shared" ref="AC52:AC58" si="61">AA52-AB52</f>
        <v>230</v>
      </c>
      <c r="AD52" s="66"/>
      <c r="AE52" s="66">
        <v>17200</v>
      </c>
      <c r="AF52" s="238">
        <f>'2024 Bdg vs Actual All'!Y52-'2024 Bdg vs Actual -OH'!AF52</f>
        <v>16003</v>
      </c>
      <c r="AG52" s="154">
        <f t="shared" ref="AG52:AG58" si="62">AE52-AF52</f>
        <v>1197</v>
      </c>
      <c r="AH52" s="66"/>
      <c r="AI52" s="66">
        <v>17200</v>
      </c>
      <c r="AJ52" s="160">
        <f>'2024 Bdg vs Actual All'!AC52-'2024 Bdg vs Actual -OH'!AJ52</f>
        <v>17254</v>
      </c>
      <c r="AK52" s="154">
        <f t="shared" ref="AK52:AK58" si="63">AI52-AJ52</f>
        <v>-54</v>
      </c>
      <c r="AL52" s="66"/>
      <c r="AM52" s="187">
        <v>17200</v>
      </c>
      <c r="AN52" s="160">
        <f>'2024 Bdg vs Actual All'!AG52-'2024 Bdg vs Actual -OH'!AN52</f>
        <v>17754</v>
      </c>
      <c r="AO52" s="154">
        <f t="shared" ref="AO52:AO58" si="64">AM52-AN52</f>
        <v>-554</v>
      </c>
      <c r="AP52" s="263" t="s">
        <v>155</v>
      </c>
      <c r="AQ52" s="187">
        <v>17200</v>
      </c>
      <c r="AR52" s="160">
        <f>'2024 Bdg vs Actual All'!AK52-'2024 Bdg vs Actual -OH'!AR52</f>
        <v>16753</v>
      </c>
      <c r="AS52" s="154">
        <f t="shared" ref="AS52:AS58" si="65">AQ52-AR52</f>
        <v>447</v>
      </c>
      <c r="AT52" s="187"/>
      <c r="AU52" s="187">
        <v>17200</v>
      </c>
      <c r="AV52" s="160">
        <v>18459</v>
      </c>
      <c r="AW52" s="154">
        <f t="shared" ref="AW52:AW58" si="66">AU52-AV52</f>
        <v>-1259</v>
      </c>
      <c r="AX52" s="268" t="s">
        <v>156</v>
      </c>
      <c r="AY52" s="187">
        <v>17200</v>
      </c>
      <c r="AZ52" s="160">
        <f>'2024 Bdg vs Actual All'!AS52-'2024 Bdg vs Actual -OH'!AZ52</f>
        <v>17908</v>
      </c>
      <c r="BA52" s="154">
        <f t="shared" ref="BA52:BA58" si="67">AY52-AZ52</f>
        <v>-708</v>
      </c>
      <c r="BB52" s="268" t="s">
        <v>157</v>
      </c>
      <c r="BC52" s="187">
        <v>17200</v>
      </c>
      <c r="BD52" s="160">
        <f>'2024 Bdg vs Actual All'!AW52-'2024 Bdg vs Actual -OH'!BD52</f>
        <v>16659</v>
      </c>
      <c r="BE52" s="154">
        <f t="shared" ref="BE52:BE58" si="68">BC52-BD52</f>
        <v>541</v>
      </c>
      <c r="BF52" s="187"/>
      <c r="BG52" s="187">
        <v>17200</v>
      </c>
      <c r="BH52" s="160">
        <f>'2024 Bdg vs Actual All'!BA52-'2024 Bdg vs Actual -OH'!BH52</f>
        <v>16659</v>
      </c>
      <c r="BI52" s="154">
        <f t="shared" ref="BI52:BI58" si="69">BG52-BH52</f>
        <v>541</v>
      </c>
      <c r="BJ52" s="268" t="s">
        <v>157</v>
      </c>
      <c r="BK52" s="14" t="e" cm="1" vm="1">
        <f t="array" aca="1" ref="BK52" ca="1">ROUND(O52:BG52, -2)</f>
        <v>#VALUE!</v>
      </c>
      <c r="CG52" s="66">
        <f t="shared" ref="CG52:CG57" si="70">+W52+S52+O52+AA52+AE52+AI52+AM52+AQ52+AU52+AY52+BC52+BG52</f>
        <v>206400</v>
      </c>
      <c r="CH52" s="160">
        <f t="shared" ref="CH52:CH57" si="71">+X52+T52+P52+AB52+AF52+AJ52+AN52+AR52+AV52+AZ52+BD52+BH52</f>
        <v>208386</v>
      </c>
      <c r="CI52" s="181">
        <f t="shared" ref="CI52:CI58" si="72">CG52-CH52</f>
        <v>-1986</v>
      </c>
    </row>
    <row r="53" spans="1:87" x14ac:dyDescent="0.2">
      <c r="A53" t="s">
        <v>70</v>
      </c>
      <c r="C53" s="17"/>
      <c r="D53" s="44"/>
      <c r="E53" s="44">
        <f t="shared" si="57"/>
        <v>95000</v>
      </c>
      <c r="F53" s="44"/>
      <c r="G53" s="44"/>
      <c r="H53" s="44"/>
      <c r="I53" s="44"/>
      <c r="J53" s="44"/>
      <c r="K53" s="44"/>
      <c r="L53" s="44"/>
      <c r="M53" s="17"/>
      <c r="N53" s="17"/>
      <c r="O53" s="66">
        <v>7000</v>
      </c>
      <c r="P53" s="160">
        <f>'2024 Bdg vs Actual All'!I53-'2024 Bdg vs Actual -OH'!P53</f>
        <v>5877</v>
      </c>
      <c r="Q53" s="181">
        <f t="shared" si="58"/>
        <v>1123</v>
      </c>
      <c r="R53" s="66"/>
      <c r="S53" s="187">
        <v>8000</v>
      </c>
      <c r="T53" s="160">
        <f>'2024 Bdg vs Actual All'!M53-'2024 Bdg vs Actual -OH'!T53</f>
        <v>5520</v>
      </c>
      <c r="U53" s="181">
        <f t="shared" si="59"/>
        <v>2480</v>
      </c>
      <c r="V53" s="187"/>
      <c r="W53" s="66">
        <v>8000</v>
      </c>
      <c r="X53" s="160">
        <f>'2024 Bdg vs Actual All'!Q53-'2024 Bdg vs Actual -OH'!X53</f>
        <v>6470</v>
      </c>
      <c r="Y53" s="181">
        <f t="shared" si="60"/>
        <v>1530</v>
      </c>
      <c r="Z53" s="66"/>
      <c r="AA53" s="66">
        <v>8000</v>
      </c>
      <c r="AB53" s="162">
        <f>'2024 Bdg vs Actual All'!U53-'2024 Bdg vs Actual -OH'!AB53</f>
        <v>3213</v>
      </c>
      <c r="AC53" s="154">
        <f t="shared" si="61"/>
        <v>4787</v>
      </c>
      <c r="AD53" s="66"/>
      <c r="AE53" s="66">
        <v>8000</v>
      </c>
      <c r="AF53" s="238">
        <f>'2024 Bdg vs Actual All'!Y53-'2024 Bdg vs Actual -OH'!AF53</f>
        <v>3941</v>
      </c>
      <c r="AG53" s="154">
        <f t="shared" si="62"/>
        <v>4059</v>
      </c>
      <c r="AH53" s="66"/>
      <c r="AI53" s="66">
        <v>8000</v>
      </c>
      <c r="AJ53" s="160">
        <f>'2024 Bdg vs Actual All'!AC53-'2024 Bdg vs Actual -OH'!AJ53</f>
        <v>6451</v>
      </c>
      <c r="AK53" s="154">
        <f t="shared" si="63"/>
        <v>1549</v>
      </c>
      <c r="AL53" s="66"/>
      <c r="AM53" s="187">
        <v>8000</v>
      </c>
      <c r="AN53" s="160">
        <f>'2024 Bdg vs Actual All'!AG53-'2024 Bdg vs Actual -OH'!AN53</f>
        <v>3658</v>
      </c>
      <c r="AO53" s="154">
        <f t="shared" si="64"/>
        <v>4342</v>
      </c>
      <c r="AP53" s="187"/>
      <c r="AQ53" s="187">
        <v>8000</v>
      </c>
      <c r="AR53" s="160">
        <f>'2024 Bdg vs Actual All'!AK53-'2024 Bdg vs Actual -OH'!AR53</f>
        <v>4296</v>
      </c>
      <c r="AS53" s="154">
        <f t="shared" si="65"/>
        <v>3704</v>
      </c>
      <c r="AT53" s="187"/>
      <c r="AU53" s="187">
        <v>8000</v>
      </c>
      <c r="AV53" s="160">
        <f>'2024 Bdg vs Actual All'!AO53-'2024 Bdg vs Actual -OH'!AV53</f>
        <v>4321</v>
      </c>
      <c r="AW53" s="154">
        <f t="shared" si="66"/>
        <v>3679</v>
      </c>
      <c r="AX53" s="187"/>
      <c r="AY53" s="187">
        <v>8000</v>
      </c>
      <c r="AZ53" s="160">
        <f>'2024 Bdg vs Actual All'!AS53-'2024 Bdg vs Actual -OH'!AZ53</f>
        <v>4333</v>
      </c>
      <c r="BA53" s="154">
        <f t="shared" si="67"/>
        <v>3667</v>
      </c>
      <c r="BB53" s="187"/>
      <c r="BC53" s="187">
        <v>8000</v>
      </c>
      <c r="BD53" s="160">
        <f>'2024 Bdg vs Actual All'!AW53-'2024 Bdg vs Actual -OH'!BD53</f>
        <v>4333</v>
      </c>
      <c r="BE53" s="154">
        <f t="shared" si="68"/>
        <v>3667</v>
      </c>
      <c r="BF53" s="187"/>
      <c r="BG53" s="187">
        <v>8000</v>
      </c>
      <c r="BH53" s="160">
        <f>'2024 Bdg vs Actual All'!BA53-'2024 Bdg vs Actual -OH'!BH53</f>
        <v>4571</v>
      </c>
      <c r="BI53" s="154">
        <f t="shared" si="69"/>
        <v>3429</v>
      </c>
      <c r="BJ53" s="187"/>
      <c r="BK53" s="14" t="e" cm="1" vm="1">
        <f t="array" aca="1" ref="BK53" ca="1">ROUND(O53:BG53, -2)</f>
        <v>#VALUE!</v>
      </c>
      <c r="CG53" s="66">
        <f t="shared" si="70"/>
        <v>95000</v>
      </c>
      <c r="CH53" s="160">
        <f t="shared" si="71"/>
        <v>56984</v>
      </c>
      <c r="CI53" s="181">
        <f t="shared" si="72"/>
        <v>38016</v>
      </c>
    </row>
    <row r="54" spans="1:87" ht="25" x14ac:dyDescent="0.2">
      <c r="A54" t="s">
        <v>71</v>
      </c>
      <c r="C54" s="17"/>
      <c r="D54" s="44"/>
      <c r="E54" s="44">
        <f t="shared" si="57"/>
        <v>105600</v>
      </c>
      <c r="F54" s="44"/>
      <c r="G54" s="44"/>
      <c r="H54" s="44"/>
      <c r="I54" s="44"/>
      <c r="J54" s="44"/>
      <c r="K54" s="44"/>
      <c r="L54" s="44"/>
      <c r="M54" s="17"/>
      <c r="N54" s="17"/>
      <c r="O54" s="66">
        <v>8800</v>
      </c>
      <c r="P54" s="160">
        <f>'2024 Bdg vs Actual All'!I54-'2024 Bdg vs Actual -OH'!P54</f>
        <v>4641</v>
      </c>
      <c r="Q54" s="181">
        <f t="shared" si="58"/>
        <v>4159</v>
      </c>
      <c r="R54" s="66"/>
      <c r="S54" s="187">
        <v>8800</v>
      </c>
      <c r="T54" s="160">
        <f>'2024 Bdg vs Actual All'!M54-'2024 Bdg vs Actual -OH'!T54</f>
        <v>12477</v>
      </c>
      <c r="U54" s="181">
        <f t="shared" si="59"/>
        <v>-3677</v>
      </c>
      <c r="V54" s="187"/>
      <c r="W54" s="66">
        <v>8800</v>
      </c>
      <c r="X54" s="160">
        <f>'2024 Bdg vs Actual All'!Q54-'2024 Bdg vs Actual -OH'!X54</f>
        <v>9225</v>
      </c>
      <c r="Y54" s="181">
        <f t="shared" si="60"/>
        <v>-425</v>
      </c>
      <c r="Z54" s="66"/>
      <c r="AA54" s="66">
        <v>8800</v>
      </c>
      <c r="AB54" s="162">
        <f>'2024 Bdg vs Actual All'!U54-'2024 Bdg vs Actual -OH'!AB54</f>
        <v>8735</v>
      </c>
      <c r="AC54" s="154">
        <f t="shared" si="61"/>
        <v>65</v>
      </c>
      <c r="AD54" s="66"/>
      <c r="AE54" s="66">
        <v>8800</v>
      </c>
      <c r="AF54" s="238">
        <f>'2024 Bdg vs Actual All'!Y54-'2024 Bdg vs Actual -OH'!AF54</f>
        <v>8393</v>
      </c>
      <c r="AG54" s="154">
        <f t="shared" si="62"/>
        <v>407</v>
      </c>
      <c r="AH54" s="66"/>
      <c r="AI54" s="66">
        <v>8800</v>
      </c>
      <c r="AJ54" s="160">
        <f>'2024 Bdg vs Actual All'!AC54-'2024 Bdg vs Actual -OH'!AJ54</f>
        <v>9709.34</v>
      </c>
      <c r="AK54" s="154">
        <f t="shared" si="63"/>
        <v>-909.34000000000015</v>
      </c>
      <c r="AL54" s="66"/>
      <c r="AM54" s="187">
        <v>8800</v>
      </c>
      <c r="AN54" s="160">
        <f>'2024 Bdg vs Actual All'!AG54-'2024 Bdg vs Actual -OH'!AN54</f>
        <v>8697</v>
      </c>
      <c r="AO54" s="154">
        <f t="shared" si="64"/>
        <v>103</v>
      </c>
      <c r="AP54" s="187"/>
      <c r="AQ54" s="187">
        <v>8800</v>
      </c>
      <c r="AR54" s="160">
        <f>'2024 Bdg vs Actual All'!AK54-'2024 Bdg vs Actual -OH'!AR54</f>
        <v>11526</v>
      </c>
      <c r="AS54" s="154">
        <f t="shared" si="65"/>
        <v>-2726</v>
      </c>
      <c r="AT54" s="268" t="s">
        <v>158</v>
      </c>
      <c r="AU54" s="187">
        <v>8800</v>
      </c>
      <c r="AV54" s="160">
        <f>'2024 Bdg vs Actual All'!AO54-'2024 Bdg vs Actual -OH'!AV54</f>
        <v>13285</v>
      </c>
      <c r="AW54" s="154">
        <f t="shared" si="66"/>
        <v>-4485</v>
      </c>
      <c r="AX54" s="268" t="s">
        <v>159</v>
      </c>
      <c r="AY54" s="187">
        <v>8800</v>
      </c>
      <c r="AZ54" s="160">
        <f>'2024 Bdg vs Actual All'!AS54-'2024 Bdg vs Actual -OH'!AZ54</f>
        <v>9016</v>
      </c>
      <c r="BA54" s="154">
        <f t="shared" si="67"/>
        <v>-216</v>
      </c>
      <c r="BB54" s="187"/>
      <c r="BC54" s="187">
        <v>8800</v>
      </c>
      <c r="BD54" s="160">
        <f>'2024 Bdg vs Actual All'!AW54-'2024 Bdg vs Actual -OH'!BD54</f>
        <v>10792</v>
      </c>
      <c r="BE54" s="154">
        <f t="shared" si="68"/>
        <v>-1992</v>
      </c>
      <c r="BF54" s="187"/>
      <c r="BG54" s="187">
        <v>8800</v>
      </c>
      <c r="BH54" s="160">
        <f>'2024 Bdg vs Actual All'!BA54-'2024 Bdg vs Actual -OH'!BH54</f>
        <v>9890</v>
      </c>
      <c r="BI54" s="154">
        <f t="shared" si="69"/>
        <v>-1090</v>
      </c>
      <c r="BJ54" s="187"/>
      <c r="BK54" s="14" t="e" cm="1" vm="1">
        <f t="array" aca="1" ref="BK54" ca="1">ROUND(O54:BG54, -2)</f>
        <v>#VALUE!</v>
      </c>
      <c r="CG54" s="66">
        <f t="shared" si="70"/>
        <v>105600</v>
      </c>
      <c r="CH54" s="160">
        <f t="shared" si="71"/>
        <v>116386.34</v>
      </c>
      <c r="CI54" s="181">
        <f t="shared" si="72"/>
        <v>-10786.339999999997</v>
      </c>
    </row>
    <row r="55" spans="1:87" x14ac:dyDescent="0.2">
      <c r="A55" t="s">
        <v>72</v>
      </c>
      <c r="C55" s="17"/>
      <c r="D55" s="44"/>
      <c r="E55" s="44">
        <f t="shared" si="57"/>
        <v>10800</v>
      </c>
      <c r="F55" s="44"/>
      <c r="G55" s="44"/>
      <c r="H55" s="44"/>
      <c r="I55" s="44"/>
      <c r="J55" s="44"/>
      <c r="K55" s="44"/>
      <c r="L55" s="44"/>
      <c r="M55" s="17"/>
      <c r="N55" s="17"/>
      <c r="O55" s="66">
        <v>900</v>
      </c>
      <c r="P55" s="160">
        <f>'2024 Bdg vs Actual All'!I55-'2024 Bdg vs Actual -OH'!P55</f>
        <v>8164</v>
      </c>
      <c r="Q55" s="181">
        <f t="shared" si="58"/>
        <v>-7264</v>
      </c>
      <c r="R55" s="66"/>
      <c r="S55" s="187">
        <v>900</v>
      </c>
      <c r="T55" s="160">
        <f>'2024 Bdg vs Actual All'!M55-'2024 Bdg vs Actual -OH'!T55</f>
        <v>839</v>
      </c>
      <c r="U55" s="181">
        <f t="shared" si="59"/>
        <v>61</v>
      </c>
      <c r="V55" s="187"/>
      <c r="W55" s="66">
        <v>900</v>
      </c>
      <c r="X55" s="160">
        <f>'2024 Bdg vs Actual All'!Q55-'2024 Bdg vs Actual -OH'!X55</f>
        <v>300</v>
      </c>
      <c r="Y55" s="181">
        <f t="shared" si="60"/>
        <v>600</v>
      </c>
      <c r="Z55" s="66"/>
      <c r="AA55" s="66">
        <v>900</v>
      </c>
      <c r="AB55" s="162">
        <f>'2024 Bdg vs Actual All'!U55-'2024 Bdg vs Actual -OH'!AB55</f>
        <v>324</v>
      </c>
      <c r="AC55" s="154">
        <f t="shared" si="61"/>
        <v>576</v>
      </c>
      <c r="AD55" s="66"/>
      <c r="AE55" s="66">
        <v>900</v>
      </c>
      <c r="AF55" s="238">
        <f>'2024 Bdg vs Actual All'!Y55-'2024 Bdg vs Actual -OH'!AF55</f>
        <v>1004</v>
      </c>
      <c r="AG55" s="154">
        <f t="shared" si="62"/>
        <v>-104</v>
      </c>
      <c r="AH55" s="66"/>
      <c r="AI55" s="66">
        <v>900</v>
      </c>
      <c r="AJ55" s="160">
        <f>'2024 Bdg vs Actual All'!AC55-'2024 Bdg vs Actual -OH'!AJ55</f>
        <v>100</v>
      </c>
      <c r="AK55" s="154">
        <f t="shared" si="63"/>
        <v>800</v>
      </c>
      <c r="AL55" s="66"/>
      <c r="AM55" s="187">
        <v>900</v>
      </c>
      <c r="AN55" s="160">
        <f>'2024 Bdg vs Actual All'!AG55-'2024 Bdg vs Actual -OH'!AN55</f>
        <v>200</v>
      </c>
      <c r="AO55" s="154">
        <f t="shared" si="64"/>
        <v>700</v>
      </c>
      <c r="AP55" s="187"/>
      <c r="AQ55" s="187">
        <v>900</v>
      </c>
      <c r="AR55" s="160">
        <f>'2024 Bdg vs Actual All'!AK55-'2024 Bdg vs Actual -OH'!AR55</f>
        <v>225</v>
      </c>
      <c r="AS55" s="154">
        <f t="shared" si="65"/>
        <v>675</v>
      </c>
      <c r="AT55" s="187"/>
      <c r="AU55" s="187">
        <v>900</v>
      </c>
      <c r="AV55" s="160">
        <f>'2024 Bdg vs Actual All'!AO55-'2024 Bdg vs Actual -OH'!AV55</f>
        <v>711</v>
      </c>
      <c r="AW55" s="154">
        <f t="shared" si="66"/>
        <v>189</v>
      </c>
      <c r="AX55" s="187"/>
      <c r="AY55" s="187">
        <v>900</v>
      </c>
      <c r="AZ55" s="160">
        <f>'2024 Bdg vs Actual All'!AS55-'2024 Bdg vs Actual -OH'!AZ55</f>
        <v>100</v>
      </c>
      <c r="BA55" s="154">
        <f t="shared" si="67"/>
        <v>800</v>
      </c>
      <c r="BB55" s="187"/>
      <c r="BC55" s="187">
        <v>900</v>
      </c>
      <c r="BD55" s="160">
        <f>'2024 Bdg vs Actual All'!AW55-'2024 Bdg vs Actual -OH'!BD55</f>
        <v>101</v>
      </c>
      <c r="BE55" s="154">
        <f t="shared" si="68"/>
        <v>799</v>
      </c>
      <c r="BF55" s="187"/>
      <c r="BG55" s="187">
        <v>900</v>
      </c>
      <c r="BH55" s="160">
        <f>'2024 Bdg vs Actual All'!BA55-'2024 Bdg vs Actual -OH'!BH55</f>
        <v>0</v>
      </c>
      <c r="BI55" s="154">
        <f t="shared" si="69"/>
        <v>900</v>
      </c>
      <c r="BJ55" s="187"/>
      <c r="BK55" s="14" t="e" cm="1" vm="1">
        <f t="array" aca="1" ref="BK55" ca="1">ROUND(O55:BG55, -2)</f>
        <v>#VALUE!</v>
      </c>
      <c r="CG55" s="66">
        <f t="shared" si="70"/>
        <v>10800</v>
      </c>
      <c r="CH55" s="160">
        <f t="shared" si="71"/>
        <v>12068</v>
      </c>
      <c r="CI55" s="181">
        <f t="shared" si="72"/>
        <v>-1268</v>
      </c>
    </row>
    <row r="56" spans="1:87" x14ac:dyDescent="0.2">
      <c r="A56" t="s">
        <v>73</v>
      </c>
      <c r="C56" s="17"/>
      <c r="D56" s="44"/>
      <c r="E56" s="44">
        <f t="shared" si="57"/>
        <v>188000</v>
      </c>
      <c r="F56" s="44"/>
      <c r="G56" s="44"/>
      <c r="H56" s="44"/>
      <c r="I56" s="44"/>
      <c r="J56" s="44"/>
      <c r="K56" s="44"/>
      <c r="L56" s="44"/>
      <c r="M56" s="17"/>
      <c r="N56" s="17"/>
      <c r="O56" s="66">
        <v>14000</v>
      </c>
      <c r="P56" s="160">
        <f>'2024 Bdg vs Actual All'!I56-'2024 Bdg vs Actual -OH'!P56</f>
        <v>15078</v>
      </c>
      <c r="Q56" s="181">
        <f t="shared" si="58"/>
        <v>-1078</v>
      </c>
      <c r="R56" s="66"/>
      <c r="S56" s="187">
        <v>14000</v>
      </c>
      <c r="T56" s="160">
        <f>'2024 Bdg vs Actual All'!M56-'2024 Bdg vs Actual -OH'!T56</f>
        <v>16845</v>
      </c>
      <c r="U56" s="181">
        <f t="shared" si="59"/>
        <v>-2845</v>
      </c>
      <c r="V56" s="187"/>
      <c r="W56" s="66">
        <v>14200</v>
      </c>
      <c r="X56" s="160">
        <f>'2024 Bdg vs Actual All'!Q56-'2024 Bdg vs Actual -OH'!X56</f>
        <v>16341</v>
      </c>
      <c r="Y56" s="181">
        <f t="shared" si="60"/>
        <v>-2141</v>
      </c>
      <c r="Z56" s="66"/>
      <c r="AA56" s="66">
        <v>16200</v>
      </c>
      <c r="AB56" s="162">
        <f>'2024 Bdg vs Actual All'!U56-'2024 Bdg vs Actual -OH'!AB56</f>
        <v>15871</v>
      </c>
      <c r="AC56" s="154">
        <f t="shared" si="61"/>
        <v>329</v>
      </c>
      <c r="AD56" s="66"/>
      <c r="AE56" s="66">
        <v>16200</v>
      </c>
      <c r="AF56" s="238">
        <f>'2024 Bdg vs Actual All'!Y56-'2024 Bdg vs Actual -OH'!AF56</f>
        <v>19784</v>
      </c>
      <c r="AG56" s="154">
        <f t="shared" si="62"/>
        <v>-3584</v>
      </c>
      <c r="AH56" s="66"/>
      <c r="AI56" s="66">
        <v>16200</v>
      </c>
      <c r="AJ56" s="160">
        <f>'2024 Bdg vs Actual All'!AC56-'2024 Bdg vs Actual -OH'!AJ56</f>
        <v>13034</v>
      </c>
      <c r="AK56" s="154">
        <f t="shared" si="63"/>
        <v>3166</v>
      </c>
      <c r="AL56" s="66"/>
      <c r="AM56" s="187">
        <v>16200</v>
      </c>
      <c r="AN56" s="160">
        <f>'2024 Bdg vs Actual All'!AG56-'2024 Bdg vs Actual -OH'!AN56</f>
        <v>16935</v>
      </c>
      <c r="AO56" s="154">
        <f t="shared" si="64"/>
        <v>-735</v>
      </c>
      <c r="AP56" s="187"/>
      <c r="AQ56" s="187">
        <v>16200</v>
      </c>
      <c r="AR56" s="160">
        <f>'2024 Bdg vs Actual All'!AK56-'2024 Bdg vs Actual -OH'!AR56</f>
        <v>19012</v>
      </c>
      <c r="AS56" s="154">
        <f t="shared" si="65"/>
        <v>-2812</v>
      </c>
      <c r="AT56" s="267" t="s">
        <v>160</v>
      </c>
      <c r="AU56" s="187">
        <v>16200</v>
      </c>
      <c r="AV56" s="160">
        <f>'2024 Bdg vs Actual All'!AO56-'2024 Bdg vs Actual -OH'!AV56</f>
        <v>18001</v>
      </c>
      <c r="AW56" s="154">
        <f t="shared" si="66"/>
        <v>-1801</v>
      </c>
      <c r="AX56" s="187"/>
      <c r="AY56" s="187">
        <v>16200</v>
      </c>
      <c r="AZ56" s="160">
        <f>'2024 Bdg vs Actual All'!AS56-'2024 Bdg vs Actual -OH'!AZ56</f>
        <v>13564</v>
      </c>
      <c r="BA56" s="154">
        <f t="shared" si="67"/>
        <v>2636</v>
      </c>
      <c r="BB56" s="187"/>
      <c r="BC56" s="187">
        <v>16200</v>
      </c>
      <c r="BD56" s="160">
        <f>'2024 Bdg vs Actual All'!AW56-'2024 Bdg vs Actual -OH'!BD56</f>
        <v>20496</v>
      </c>
      <c r="BE56" s="154">
        <f t="shared" si="68"/>
        <v>-4296</v>
      </c>
      <c r="BF56" s="187"/>
      <c r="BG56" s="187">
        <v>16200</v>
      </c>
      <c r="BH56" s="160">
        <f>'2024 Bdg vs Actual All'!BA56-'2024 Bdg vs Actual -OH'!BH56</f>
        <v>21168</v>
      </c>
      <c r="BI56" s="154">
        <f t="shared" si="69"/>
        <v>-4968</v>
      </c>
      <c r="BJ56" s="187"/>
      <c r="BK56" s="14" t="e" cm="1" vm="1">
        <f t="array" aca="1" ref="BK56" ca="1">ROUND(O56:BG56, -2)</f>
        <v>#VALUE!</v>
      </c>
      <c r="CG56" s="66">
        <f t="shared" si="70"/>
        <v>188000</v>
      </c>
      <c r="CH56" s="160">
        <f t="shared" si="71"/>
        <v>206129</v>
      </c>
      <c r="CI56" s="181">
        <f t="shared" si="72"/>
        <v>-18129</v>
      </c>
    </row>
    <row r="57" spans="1:87" x14ac:dyDescent="0.2">
      <c r="A57" s="21" t="s">
        <v>74</v>
      </c>
      <c r="B57" s="21"/>
      <c r="C57" s="8"/>
      <c r="D57" s="45"/>
      <c r="E57" s="44">
        <f t="shared" si="57"/>
        <v>94500</v>
      </c>
      <c r="F57" s="45"/>
      <c r="G57" s="45"/>
      <c r="H57" s="45"/>
      <c r="I57" s="45"/>
      <c r="J57" s="45"/>
      <c r="K57" s="45"/>
      <c r="L57" s="45"/>
      <c r="M57" s="8"/>
      <c r="N57" s="17"/>
      <c r="O57" s="69">
        <v>9000</v>
      </c>
      <c r="P57" s="160">
        <f>'2024 Bdg vs Actual All'!I57-'2024 Bdg vs Actual -OH'!P57</f>
        <v>5243</v>
      </c>
      <c r="Q57" s="153">
        <f t="shared" si="58"/>
        <v>3757</v>
      </c>
      <c r="R57" s="69"/>
      <c r="S57" s="188">
        <v>9000</v>
      </c>
      <c r="T57" s="160">
        <f>'2024 Bdg vs Actual All'!M57-'2024 Bdg vs Actual -OH'!T57</f>
        <v>5288</v>
      </c>
      <c r="U57" s="153">
        <f t="shared" si="59"/>
        <v>3712</v>
      </c>
      <c r="V57" s="188"/>
      <c r="W57" s="69">
        <v>7500</v>
      </c>
      <c r="X57" s="160">
        <f>'2024 Bdg vs Actual All'!Q57-'2024 Bdg vs Actual -OH'!X57</f>
        <v>4665</v>
      </c>
      <c r="Y57" s="153">
        <f t="shared" si="60"/>
        <v>2835</v>
      </c>
      <c r="Z57" s="69"/>
      <c r="AA57" s="69">
        <v>7500</v>
      </c>
      <c r="AB57" s="162">
        <f>'2024 Bdg vs Actual All'!U57-'2024 Bdg vs Actual -OH'!AB57</f>
        <v>5026</v>
      </c>
      <c r="AC57" s="154">
        <f t="shared" si="61"/>
        <v>2474</v>
      </c>
      <c r="AD57" s="69"/>
      <c r="AE57" s="69">
        <v>7500</v>
      </c>
      <c r="AF57" s="239">
        <f>'2024 Bdg vs Actual All'!Y57-'2024 Bdg vs Actual -OH'!AF57</f>
        <v>5399</v>
      </c>
      <c r="AG57" s="154">
        <f t="shared" si="62"/>
        <v>2101</v>
      </c>
      <c r="AH57" s="69"/>
      <c r="AI57" s="69">
        <v>8000</v>
      </c>
      <c r="AJ57" s="160">
        <f>'2024 Bdg vs Actual All'!AC57-'2024 Bdg vs Actual -OH'!AJ57</f>
        <v>4875</v>
      </c>
      <c r="AK57" s="154">
        <f t="shared" si="63"/>
        <v>3125</v>
      </c>
      <c r="AL57" s="69"/>
      <c r="AM57" s="188">
        <v>8000</v>
      </c>
      <c r="AN57" s="160">
        <f>'2024 Bdg vs Actual All'!AG57-'2024 Bdg vs Actual -OH'!AN57</f>
        <v>4600</v>
      </c>
      <c r="AO57" s="154">
        <f t="shared" si="64"/>
        <v>3400</v>
      </c>
      <c r="AP57" s="188"/>
      <c r="AQ57" s="188">
        <v>8000</v>
      </c>
      <c r="AR57" s="160">
        <f>'2024 Bdg vs Actual All'!AK57-'2024 Bdg vs Actual -OH'!AR57</f>
        <v>6953</v>
      </c>
      <c r="AS57" s="154">
        <f t="shared" si="65"/>
        <v>1047</v>
      </c>
      <c r="AT57" s="188"/>
      <c r="AU57" s="188">
        <v>7500</v>
      </c>
      <c r="AV57" s="160">
        <v>10530</v>
      </c>
      <c r="AW57" s="154">
        <f t="shared" si="66"/>
        <v>-3030</v>
      </c>
      <c r="AX57" s="188"/>
      <c r="AY57" s="188">
        <v>7500</v>
      </c>
      <c r="AZ57" s="160">
        <f>'2024 Bdg vs Actual All'!AS57-'2024 Bdg vs Actual -OH'!AZ57</f>
        <v>6932</v>
      </c>
      <c r="BA57" s="154">
        <f t="shared" si="67"/>
        <v>568</v>
      </c>
      <c r="BB57" s="188"/>
      <c r="BC57" s="188">
        <v>7500</v>
      </c>
      <c r="BD57" s="160">
        <f>'2024 Bdg vs Actual All'!AW57-'2024 Bdg vs Actual -OH'!BD57</f>
        <v>4221</v>
      </c>
      <c r="BE57" s="154">
        <f t="shared" si="68"/>
        <v>3279</v>
      </c>
      <c r="BF57" s="188"/>
      <c r="BG57" s="188">
        <v>7500</v>
      </c>
      <c r="BH57" s="160">
        <f>'2024 Bdg vs Actual All'!BA57-'2024 Bdg vs Actual -OH'!BH57</f>
        <v>4210</v>
      </c>
      <c r="BI57" s="154">
        <f t="shared" si="69"/>
        <v>3290</v>
      </c>
      <c r="BJ57" s="188"/>
      <c r="BK57" s="14" t="e" cm="1" vm="1">
        <f t="array" aca="1" ref="BK57" ca="1">ROUND(O57:BG57, -2)</f>
        <v>#VALUE!</v>
      </c>
      <c r="CG57" s="69">
        <f t="shared" si="70"/>
        <v>94500</v>
      </c>
      <c r="CH57" s="160">
        <f t="shared" si="71"/>
        <v>67942</v>
      </c>
      <c r="CI57" s="153">
        <f t="shared" si="72"/>
        <v>26558</v>
      </c>
    </row>
    <row r="58" spans="1:87" x14ac:dyDescent="0.2">
      <c r="A58" t="s">
        <v>75</v>
      </c>
      <c r="D58" s="44"/>
      <c r="E58" s="48">
        <f>SUM(E52:E57)</f>
        <v>700300</v>
      </c>
      <c r="F58" s="44"/>
      <c r="G58" s="44"/>
      <c r="H58" s="44"/>
      <c r="I58" s="44"/>
      <c r="J58" s="44"/>
      <c r="K58" s="44"/>
      <c r="L58" s="44"/>
      <c r="O58" s="67">
        <f t="shared" ref="O58:BG58" si="73">SUM(O52:O57)</f>
        <v>56900</v>
      </c>
      <c r="P58" s="156">
        <f t="shared" si="73"/>
        <v>56930</v>
      </c>
      <c r="Q58" s="156">
        <f t="shared" si="58"/>
        <v>-30</v>
      </c>
      <c r="R58" s="67"/>
      <c r="S58" s="67">
        <f t="shared" si="73"/>
        <v>57900</v>
      </c>
      <c r="T58" s="156">
        <f t="shared" ref="T58" si="74">SUM(T52:T57)</f>
        <v>59473</v>
      </c>
      <c r="U58" s="156">
        <f t="shared" si="59"/>
        <v>-1573</v>
      </c>
      <c r="V58" s="67"/>
      <c r="W58" s="67">
        <f t="shared" si="73"/>
        <v>56600</v>
      </c>
      <c r="X58" s="156">
        <f t="shared" si="73"/>
        <v>54537</v>
      </c>
      <c r="Y58" s="156">
        <f t="shared" si="60"/>
        <v>2063</v>
      </c>
      <c r="Z58" s="67"/>
      <c r="AA58" s="67">
        <f t="shared" si="73"/>
        <v>58600</v>
      </c>
      <c r="AB58" s="156">
        <f>SUM(AB52:AB57)</f>
        <v>50139</v>
      </c>
      <c r="AC58" s="156">
        <f t="shared" si="61"/>
        <v>8461</v>
      </c>
      <c r="AD58" s="67"/>
      <c r="AE58" s="67">
        <f t="shared" si="73"/>
        <v>58600</v>
      </c>
      <c r="AF58" s="156">
        <f>SUM(AF52:AF57)</f>
        <v>54524</v>
      </c>
      <c r="AG58" s="156">
        <f t="shared" si="62"/>
        <v>4076</v>
      </c>
      <c r="AH58" s="67"/>
      <c r="AI58" s="67">
        <f t="shared" si="73"/>
        <v>59100</v>
      </c>
      <c r="AJ58" s="156">
        <f>SUM(AJ52:AJ57)</f>
        <v>51423.34</v>
      </c>
      <c r="AK58" s="156">
        <f t="shared" si="63"/>
        <v>7676.6600000000035</v>
      </c>
      <c r="AL58" s="67"/>
      <c r="AM58" s="67">
        <f t="shared" si="73"/>
        <v>59100</v>
      </c>
      <c r="AN58" s="156">
        <f>SUM(AN52:AN57)</f>
        <v>51844</v>
      </c>
      <c r="AO58" s="156">
        <f t="shared" si="64"/>
        <v>7256</v>
      </c>
      <c r="AP58" s="67"/>
      <c r="AQ58" s="67">
        <f t="shared" si="73"/>
        <v>59100</v>
      </c>
      <c r="AR58" s="156">
        <f>SUM(AR52:AR57)</f>
        <v>58765</v>
      </c>
      <c r="AS58" s="156">
        <f t="shared" si="65"/>
        <v>335</v>
      </c>
      <c r="AT58" s="67"/>
      <c r="AU58" s="67">
        <f t="shared" si="73"/>
        <v>58600</v>
      </c>
      <c r="AV58" s="156">
        <f>SUM(AV52:AV57)</f>
        <v>65307</v>
      </c>
      <c r="AW58" s="156">
        <f t="shared" si="66"/>
        <v>-6707</v>
      </c>
      <c r="AX58" s="67"/>
      <c r="AY58" s="67">
        <f t="shared" si="73"/>
        <v>58600</v>
      </c>
      <c r="AZ58" s="156">
        <f>SUM(AZ52:AZ57)</f>
        <v>51853</v>
      </c>
      <c r="BA58" s="156">
        <f t="shared" si="67"/>
        <v>6747</v>
      </c>
      <c r="BB58" s="67"/>
      <c r="BC58" s="67">
        <f t="shared" si="73"/>
        <v>58600</v>
      </c>
      <c r="BD58" s="156">
        <f>SUM(BD52:BD57)</f>
        <v>56602</v>
      </c>
      <c r="BE58" s="156">
        <f t="shared" si="68"/>
        <v>1998</v>
      </c>
      <c r="BF58" s="67"/>
      <c r="BG58" s="67">
        <f t="shared" si="73"/>
        <v>58600</v>
      </c>
      <c r="BH58" s="156">
        <f>SUM(BH52:BH57)</f>
        <v>56498</v>
      </c>
      <c r="BI58" s="156">
        <f t="shared" si="69"/>
        <v>2102</v>
      </c>
      <c r="BJ58" s="67"/>
      <c r="BK58" s="14" t="e" cm="1" vm="1">
        <f t="array" aca="1" ref="BK58" ca="1">ROUND(O58:BG58, -2)</f>
        <v>#VALUE!</v>
      </c>
      <c r="CG58" s="67">
        <f t="shared" ref="CG58:CH58" si="75">SUM(CG52:CG57)</f>
        <v>700300</v>
      </c>
      <c r="CH58" s="156">
        <f t="shared" si="75"/>
        <v>667895.34</v>
      </c>
      <c r="CI58" s="156">
        <f t="shared" si="72"/>
        <v>32404.660000000033</v>
      </c>
    </row>
    <row r="59" spans="1:87" x14ac:dyDescent="0.2">
      <c r="D59" s="44"/>
      <c r="E59" s="44"/>
      <c r="F59" s="44"/>
      <c r="G59" s="44"/>
      <c r="H59" s="44"/>
      <c r="I59" s="44"/>
      <c r="J59" s="44"/>
      <c r="K59" s="44"/>
      <c r="L59" s="44"/>
      <c r="O59" s="66"/>
      <c r="P59" s="154"/>
      <c r="Q59" s="66"/>
      <c r="R59" s="66"/>
      <c r="S59" s="66"/>
      <c r="T59" s="154"/>
      <c r="U59" s="66"/>
      <c r="V59" s="66"/>
      <c r="W59" s="66"/>
      <c r="X59" s="154"/>
      <c r="Y59" s="154"/>
      <c r="Z59" s="66"/>
      <c r="AA59" s="66"/>
      <c r="AB59" s="66"/>
      <c r="AC59" s="66"/>
      <c r="AD59" s="66"/>
      <c r="AE59" s="66"/>
      <c r="AF59" s="66"/>
      <c r="AG59" s="66"/>
      <c r="AH59" s="66"/>
      <c r="AI59" s="66"/>
      <c r="AJ59" s="66"/>
      <c r="AK59" s="66"/>
      <c r="AL59" s="66"/>
      <c r="AM59" s="68"/>
      <c r="AN59" s="66"/>
      <c r="AO59" s="66"/>
      <c r="AP59" s="68"/>
      <c r="AQ59" s="68"/>
      <c r="AR59" s="66"/>
      <c r="AS59" s="66"/>
      <c r="AT59" s="68"/>
      <c r="AU59" s="68"/>
      <c r="AV59" s="66"/>
      <c r="AW59" s="66"/>
      <c r="AX59" s="68"/>
      <c r="AY59" s="68"/>
      <c r="AZ59" s="66"/>
      <c r="BA59" s="66"/>
      <c r="BB59" s="68"/>
      <c r="BC59" s="68"/>
      <c r="BD59" s="66"/>
      <c r="BE59" s="66"/>
      <c r="BF59" s="68"/>
      <c r="BG59" s="68"/>
      <c r="BH59" s="66"/>
      <c r="BI59" s="66"/>
      <c r="BJ59" s="68"/>
      <c r="CG59" s="66"/>
      <c r="CH59" s="154"/>
      <c r="CI59" s="154"/>
    </row>
    <row r="60" spans="1:87" x14ac:dyDescent="0.2">
      <c r="D60" s="44"/>
      <c r="E60" s="44"/>
      <c r="F60" s="44"/>
      <c r="G60" s="44"/>
      <c r="H60" s="44"/>
      <c r="I60" s="44"/>
      <c r="J60" s="44"/>
      <c r="K60" s="44"/>
      <c r="L60" s="44"/>
      <c r="O60" s="66"/>
      <c r="P60" s="154"/>
      <c r="Q60" s="66"/>
      <c r="R60" s="66"/>
      <c r="S60" s="66"/>
      <c r="T60" s="154"/>
      <c r="U60" s="66"/>
      <c r="V60" s="66"/>
      <c r="W60" s="66"/>
      <c r="X60" s="154"/>
      <c r="Y60" s="154"/>
      <c r="Z60" s="66"/>
      <c r="AA60" s="66"/>
      <c r="AB60" s="66"/>
      <c r="AC60" s="66"/>
      <c r="AD60" s="66"/>
      <c r="AE60" s="66"/>
      <c r="AF60" s="66"/>
      <c r="AG60" s="66"/>
      <c r="AH60" s="66"/>
      <c r="AI60" s="66"/>
      <c r="AJ60" s="66"/>
      <c r="AK60" s="66"/>
      <c r="AL60" s="66"/>
      <c r="AM60" s="68"/>
      <c r="AN60" s="66"/>
      <c r="AO60" s="66"/>
      <c r="AP60" s="68"/>
      <c r="AQ60" s="68"/>
      <c r="AR60" s="66"/>
      <c r="AS60" s="66"/>
      <c r="AT60" s="68"/>
      <c r="AU60" s="68"/>
      <c r="AV60" s="66"/>
      <c r="AW60" s="66"/>
      <c r="AX60" s="68"/>
      <c r="AY60" s="68"/>
      <c r="AZ60" s="66"/>
      <c r="BA60" s="66"/>
      <c r="BB60" s="68"/>
      <c r="BC60" s="68"/>
      <c r="BD60" s="66"/>
      <c r="BE60" s="66"/>
      <c r="BF60" s="68"/>
      <c r="BG60" s="68"/>
      <c r="BH60" s="66"/>
      <c r="BI60" s="66"/>
      <c r="BJ60" s="68"/>
      <c r="CG60" s="66"/>
      <c r="CH60" s="154"/>
      <c r="CI60" s="154"/>
    </row>
    <row r="61" spans="1:87" x14ac:dyDescent="0.2">
      <c r="A61" s="24" t="s">
        <v>76</v>
      </c>
      <c r="B61" s="24"/>
      <c r="D61" s="44"/>
      <c r="E61" s="44"/>
      <c r="F61" s="44"/>
      <c r="G61" s="44"/>
      <c r="H61" s="44"/>
      <c r="I61" s="44"/>
      <c r="J61" s="44"/>
      <c r="K61" s="44"/>
      <c r="L61" s="44"/>
      <c r="O61" s="66"/>
      <c r="P61" s="154"/>
      <c r="Q61" s="66"/>
      <c r="R61" s="66"/>
      <c r="S61" s="66"/>
      <c r="T61" s="154"/>
      <c r="U61" s="66"/>
      <c r="V61" s="66"/>
      <c r="W61" s="66"/>
      <c r="X61" s="154"/>
      <c r="Y61" s="154"/>
      <c r="Z61" s="66"/>
      <c r="AA61" s="66"/>
      <c r="AB61" s="66"/>
      <c r="AC61" s="66"/>
      <c r="AD61" s="66"/>
      <c r="AE61" s="66"/>
      <c r="AF61" s="66"/>
      <c r="AG61" s="66"/>
      <c r="AH61" s="66"/>
      <c r="AI61" s="66"/>
      <c r="AJ61" s="66"/>
      <c r="AK61" s="66"/>
      <c r="AL61" s="66"/>
      <c r="AM61" s="68"/>
      <c r="AN61" s="66"/>
      <c r="AO61" s="66"/>
      <c r="AP61" s="68"/>
      <c r="AQ61" s="68"/>
      <c r="AR61" s="66"/>
      <c r="AS61" s="66"/>
      <c r="AT61" s="68"/>
      <c r="AU61" s="68"/>
      <c r="AV61" s="66"/>
      <c r="AW61" s="66"/>
      <c r="AX61" s="68"/>
      <c r="AY61" s="68"/>
      <c r="AZ61" s="66"/>
      <c r="BA61" s="66"/>
      <c r="BB61" s="68"/>
      <c r="BC61" s="68"/>
      <c r="BD61" s="66"/>
      <c r="BE61" s="66"/>
      <c r="BF61" s="68"/>
      <c r="BG61" s="68"/>
      <c r="BH61" s="66"/>
      <c r="BI61" s="66"/>
      <c r="BJ61" s="68"/>
      <c r="CG61" s="66"/>
      <c r="CH61" s="154"/>
      <c r="CI61" s="154"/>
    </row>
    <row r="62" spans="1:87" ht="37" x14ac:dyDescent="0.2">
      <c r="A62" t="s">
        <v>77</v>
      </c>
      <c r="D62" s="44"/>
      <c r="E62" s="44">
        <f>ROUND(O62+S62+W62+AA62+AE62+AI62+AM62+AQ62+AU62+AY62+BC62+BG62,-2)</f>
        <v>238000</v>
      </c>
      <c r="F62" s="44"/>
      <c r="G62" s="44"/>
      <c r="H62" s="44"/>
      <c r="I62" s="44"/>
      <c r="J62" s="44"/>
      <c r="K62" s="44"/>
      <c r="L62" s="44"/>
      <c r="O62" s="66">
        <v>22000</v>
      </c>
      <c r="P62" s="154">
        <f>'2024 Bdg vs Actual All'!I62-'2024 Bdg vs Actual -OH'!P62</f>
        <v>13695</v>
      </c>
      <c r="Q62" s="152">
        <f>O62-P62</f>
        <v>8305</v>
      </c>
      <c r="R62" s="66"/>
      <c r="S62" s="66">
        <v>22000</v>
      </c>
      <c r="T62" s="154">
        <f>'2024 Bdg vs Actual All'!M62-'2024 Bdg vs Actual -OH'!T62</f>
        <v>3458</v>
      </c>
      <c r="U62" s="152">
        <f>S62-T62</f>
        <v>18542</v>
      </c>
      <c r="V62" s="66"/>
      <c r="W62" s="66">
        <v>19400</v>
      </c>
      <c r="X62" s="160">
        <f>'2024 Bdg vs Actual All'!Q62-'2024 Bdg vs Actual -OH'!X62</f>
        <v>25620</v>
      </c>
      <c r="Y62" s="181">
        <f t="shared" ref="Y62:Y65" si="76">W62-X62</f>
        <v>-6220</v>
      </c>
      <c r="Z62" s="240" t="s">
        <v>161</v>
      </c>
      <c r="AA62" s="66">
        <v>19400</v>
      </c>
      <c r="AB62" s="162">
        <f>'2024 Bdg vs Actual All'!U62-'2024 Bdg vs Actual -OH'!AB62</f>
        <v>37153.410000000003</v>
      </c>
      <c r="AC62" s="154">
        <f t="shared" ref="AC62:AC65" si="77">AA62-AB62</f>
        <v>-17753.410000000003</v>
      </c>
      <c r="AD62" s="226" t="s">
        <v>162</v>
      </c>
      <c r="AE62" s="66">
        <v>19400</v>
      </c>
      <c r="AF62" s="160">
        <f>'2024 Bdg vs Actual All'!Y62-'2024 Bdg vs Actual -OH'!AF62</f>
        <v>10999.83</v>
      </c>
      <c r="AG62" s="154">
        <f t="shared" ref="AG62:AG65" si="78">AE62-AF62</f>
        <v>8400.17</v>
      </c>
      <c r="AH62" s="195" t="s">
        <v>163</v>
      </c>
      <c r="AI62" s="66">
        <v>19400</v>
      </c>
      <c r="AJ62" s="160">
        <f>'2024 Bdg vs Actual All'!AC62-'2024 Bdg vs Actual -OH'!AJ62</f>
        <v>18342.5</v>
      </c>
      <c r="AK62" s="154">
        <f>AI62-AJ62</f>
        <v>1057.5</v>
      </c>
      <c r="AL62" s="66"/>
      <c r="AM62" s="66">
        <v>19400</v>
      </c>
      <c r="AN62" s="160">
        <f>'2024 Bdg vs Actual All'!AG62-'2024 Bdg vs Actual -OH'!AN62</f>
        <v>29369</v>
      </c>
      <c r="AO62" s="154">
        <f>AM62-AN62</f>
        <v>-9969</v>
      </c>
      <c r="AP62" s="262" t="s">
        <v>164</v>
      </c>
      <c r="AQ62" s="66">
        <v>19400</v>
      </c>
      <c r="AR62" s="160">
        <f>'2024 Bdg vs Actual All'!AK62-'2024 Bdg vs Actual -OH'!AR62</f>
        <v>37609.5</v>
      </c>
      <c r="AS62" s="154">
        <f>AQ62-AR62</f>
        <v>-18209.5</v>
      </c>
      <c r="AT62" s="267" t="s">
        <v>164</v>
      </c>
      <c r="AU62" s="66">
        <v>19400</v>
      </c>
      <c r="AV62" s="160">
        <f>'2024 Bdg vs Actual All'!AO62-'2024 Bdg vs Actual -OH'!AV62</f>
        <v>30010</v>
      </c>
      <c r="AW62" s="154">
        <f>AU62-AV62</f>
        <v>-10610</v>
      </c>
      <c r="AX62" s="267" t="s">
        <v>164</v>
      </c>
      <c r="AY62" s="66">
        <v>19400</v>
      </c>
      <c r="AZ62" s="160">
        <f>'2024 Bdg vs Actual All'!AS62-'2024 Bdg vs Actual -OH'!AZ62</f>
        <v>51661.78</v>
      </c>
      <c r="BA62" s="154">
        <f>AY62-AZ62</f>
        <v>-32261.78</v>
      </c>
      <c r="BB62" s="268" t="s">
        <v>165</v>
      </c>
      <c r="BC62" s="66">
        <v>19400</v>
      </c>
      <c r="BD62" s="160">
        <f>'2024 Bdg vs Actual All'!AW62-'2024 Bdg vs Actual -OH'!BD62</f>
        <v>43338.06</v>
      </c>
      <c r="BE62" s="154">
        <f>BC62-BD62</f>
        <v>-23938.059999999998</v>
      </c>
      <c r="BF62" s="66"/>
      <c r="BG62" s="66">
        <v>19400</v>
      </c>
      <c r="BH62" s="160">
        <f>'2024 Bdg vs Actual All'!BA62-'2024 Bdg vs Actual -OH'!BH62</f>
        <v>39687.440000000002</v>
      </c>
      <c r="BI62" s="154">
        <f>BG62-BH62</f>
        <v>-20287.440000000002</v>
      </c>
      <c r="BJ62" s="268" t="s">
        <v>165</v>
      </c>
      <c r="BK62" s="14"/>
      <c r="CG62" s="66">
        <f t="shared" ref="CG62:CG65" si="79">+W62+S62+O62+AA62+AE62+AI62+AM62+AQ62+AU62+AY62+BC62+BG62</f>
        <v>238000</v>
      </c>
      <c r="CH62" s="160">
        <f t="shared" ref="CH62:CH65" si="80">+X62+T62+P62+AB62+AF62+AJ62+AN62+AR62+AV62+AZ62+BD62+BH62</f>
        <v>340944.51999999996</v>
      </c>
      <c r="CI62" s="181">
        <f t="shared" ref="CI62:CI65" si="81">CG62-CH62</f>
        <v>-102944.51999999996</v>
      </c>
    </row>
    <row r="63" spans="1:87" x14ac:dyDescent="0.2">
      <c r="A63" t="s">
        <v>79</v>
      </c>
      <c r="D63" s="44"/>
      <c r="E63" s="44">
        <f>ROUND(O63+S63+W63+AA63+AE63+AI63+AM63+AQ63+AU63+AY63+BC63+BG63,-2)</f>
        <v>13100</v>
      </c>
      <c r="F63" s="44"/>
      <c r="G63" s="44"/>
      <c r="H63" s="44"/>
      <c r="I63" s="44"/>
      <c r="J63" s="44"/>
      <c r="K63" s="44"/>
      <c r="L63" s="44"/>
      <c r="O63" s="66">
        <v>0</v>
      </c>
      <c r="P63" s="154">
        <f>'2024 Bdg vs Actual All'!I63-'2024 Bdg vs Actual -OH'!P63</f>
        <v>350</v>
      </c>
      <c r="Q63" s="152">
        <f>O63-P63</f>
        <v>-350</v>
      </c>
      <c r="R63" s="66"/>
      <c r="S63" s="66">
        <v>0</v>
      </c>
      <c r="T63" s="154">
        <f>'2024 Bdg vs Actual All'!M63-'2024 Bdg vs Actual -OH'!T63</f>
        <v>0</v>
      </c>
      <c r="U63" s="152">
        <f>S63-T63</f>
        <v>0</v>
      </c>
      <c r="V63" s="66"/>
      <c r="W63" s="66">
        <v>6800</v>
      </c>
      <c r="X63" s="160">
        <f>'2024 Bdg vs Actual All'!Q63-'2024 Bdg vs Actual -OH'!X63</f>
        <v>0</v>
      </c>
      <c r="Y63" s="181">
        <f t="shared" si="76"/>
        <v>6800</v>
      </c>
      <c r="Z63" s="66"/>
      <c r="AA63" s="66">
        <v>6300</v>
      </c>
      <c r="AB63" s="162">
        <f>'2024 Bdg vs Actual All'!U63-'2024 Bdg vs Actual -OH'!AB63</f>
        <v>19769</v>
      </c>
      <c r="AC63" s="154">
        <f t="shared" si="77"/>
        <v>-13469</v>
      </c>
      <c r="AD63" s="226" t="s">
        <v>166</v>
      </c>
      <c r="AE63" s="66">
        <v>0</v>
      </c>
      <c r="AF63" s="160">
        <f>'2024 Bdg vs Actual All'!Y63-'2024 Bdg vs Actual -OH'!AF63</f>
        <v>350</v>
      </c>
      <c r="AG63" s="154">
        <f t="shared" si="78"/>
        <v>-350</v>
      </c>
      <c r="AH63" s="66"/>
      <c r="AI63" s="66">
        <v>0</v>
      </c>
      <c r="AJ63" s="160">
        <f>'2024 Bdg vs Actual All'!AC63-'2024 Bdg vs Actual -OH'!AJ63</f>
        <v>350</v>
      </c>
      <c r="AK63" s="154">
        <f>AI63-AJ63</f>
        <v>-350</v>
      </c>
      <c r="AL63" s="66"/>
      <c r="AM63" s="66">
        <v>0</v>
      </c>
      <c r="AN63" s="160">
        <f>'2024 Bdg vs Actual All'!AG63-'2024 Bdg vs Actual -OH'!AN63</f>
        <v>350</v>
      </c>
      <c r="AO63" s="154">
        <f>AM63-AN63</f>
        <v>-350</v>
      </c>
      <c r="AP63" s="66"/>
      <c r="AQ63" s="66">
        <v>0</v>
      </c>
      <c r="AR63" s="160">
        <f>'2024 Bdg vs Actual All'!AK63-'2024 Bdg vs Actual -OH'!AR63</f>
        <v>350</v>
      </c>
      <c r="AS63" s="154">
        <f>AQ63-AR63</f>
        <v>-350</v>
      </c>
      <c r="AT63" s="66"/>
      <c r="AU63" s="66">
        <v>0</v>
      </c>
      <c r="AV63" s="160">
        <f>'2024 Bdg vs Actual All'!AO63-'2024 Bdg vs Actual -OH'!AV63</f>
        <v>350</v>
      </c>
      <c r="AW63" s="154">
        <f>AU63-AV63</f>
        <v>-350</v>
      </c>
      <c r="AX63" s="66"/>
      <c r="AY63" s="66">
        <v>0</v>
      </c>
      <c r="AZ63" s="160">
        <f>'2024 Bdg vs Actual All'!AS63-'2024 Bdg vs Actual -OH'!AZ63</f>
        <v>400</v>
      </c>
      <c r="BA63" s="154">
        <f>AY63-AZ63</f>
        <v>-400</v>
      </c>
      <c r="BB63" s="66"/>
      <c r="BC63" s="66">
        <v>0</v>
      </c>
      <c r="BD63" s="160">
        <f>'2024 Bdg vs Actual All'!AW63-'2024 Bdg vs Actual -OH'!BD63</f>
        <v>400</v>
      </c>
      <c r="BE63" s="154">
        <f>BC63-BD63</f>
        <v>-400</v>
      </c>
      <c r="BF63" s="66"/>
      <c r="BG63" s="66">
        <v>0</v>
      </c>
      <c r="BH63" s="160">
        <f>'2024 Bdg vs Actual All'!BA63-'2024 Bdg vs Actual -OH'!BH63</f>
        <v>400</v>
      </c>
      <c r="BI63" s="154">
        <f>BG63-BH63</f>
        <v>-400</v>
      </c>
      <c r="BJ63" s="66"/>
      <c r="BK63" s="14"/>
      <c r="CG63" s="66">
        <f t="shared" si="79"/>
        <v>13100</v>
      </c>
      <c r="CH63" s="160">
        <f t="shared" si="80"/>
        <v>23069</v>
      </c>
      <c r="CI63" s="181">
        <f t="shared" si="81"/>
        <v>-9969</v>
      </c>
    </row>
    <row r="64" spans="1:87" x14ac:dyDescent="0.2">
      <c r="A64" t="s">
        <v>80</v>
      </c>
      <c r="D64" s="44"/>
      <c r="E64" s="44">
        <f>ROUND(O64+S64+W64+AA64+AE64+AI64+AM64+AQ64+AU64+AY64+BC64+BG64,-2)</f>
        <v>8500</v>
      </c>
      <c r="F64" s="44"/>
      <c r="G64" s="44"/>
      <c r="H64" s="44"/>
      <c r="I64" s="44"/>
      <c r="J64" s="44"/>
      <c r="K64" s="44"/>
      <c r="L64" s="44"/>
      <c r="O64" s="66">
        <v>700</v>
      </c>
      <c r="P64" s="154">
        <f>'2024 Bdg vs Actual All'!I64-'2024 Bdg vs Actual -OH'!P64</f>
        <v>1102</v>
      </c>
      <c r="Q64" s="152">
        <f>O64-P64</f>
        <v>-402</v>
      </c>
      <c r="R64" s="66"/>
      <c r="S64" s="66">
        <v>0</v>
      </c>
      <c r="T64" s="154">
        <f>'2024 Bdg vs Actual All'!M64-'2024 Bdg vs Actual -OH'!T64</f>
        <v>0</v>
      </c>
      <c r="U64" s="152">
        <f>S64-T64</f>
        <v>0</v>
      </c>
      <c r="V64" s="66"/>
      <c r="W64" s="66">
        <v>1400</v>
      </c>
      <c r="X64" s="160">
        <f>'2024 Bdg vs Actual All'!Q64-'2024 Bdg vs Actual -OH'!X64</f>
        <v>0</v>
      </c>
      <c r="Y64" s="181">
        <f t="shared" si="76"/>
        <v>1400</v>
      </c>
      <c r="Z64" s="66"/>
      <c r="AA64" s="66">
        <v>0</v>
      </c>
      <c r="AB64" s="162">
        <f>'2024 Bdg vs Actual All'!U64-'2024 Bdg vs Actual -OH'!AB64</f>
        <v>92.59</v>
      </c>
      <c r="AC64" s="154">
        <f t="shared" si="77"/>
        <v>-92.59</v>
      </c>
      <c r="AD64" s="66"/>
      <c r="AE64" s="66">
        <v>900</v>
      </c>
      <c r="AF64" s="160">
        <f>'2024 Bdg vs Actual All'!Y64-'2024 Bdg vs Actual -OH'!AF64</f>
        <v>569.09</v>
      </c>
      <c r="AG64" s="154">
        <f t="shared" si="78"/>
        <v>330.90999999999997</v>
      </c>
      <c r="AH64" s="66"/>
      <c r="AI64" s="66">
        <v>900</v>
      </c>
      <c r="AJ64" s="160">
        <f>'2024 Bdg vs Actual All'!AC64-'2024 Bdg vs Actual -OH'!AJ64</f>
        <v>2531.23</v>
      </c>
      <c r="AK64" s="154">
        <f>AI64-AJ64</f>
        <v>-1631.23</v>
      </c>
      <c r="AL64" s="66"/>
      <c r="AM64" s="66">
        <v>0</v>
      </c>
      <c r="AN64" s="160">
        <f>'2024 Bdg vs Actual All'!AG64-'2024 Bdg vs Actual -OH'!AN64</f>
        <v>2275</v>
      </c>
      <c r="AO64" s="154">
        <f>AM64-AN64</f>
        <v>-2275</v>
      </c>
      <c r="AP64" s="66"/>
      <c r="AQ64" s="66">
        <v>1900</v>
      </c>
      <c r="AR64" s="160">
        <f>'2024 Bdg vs Actual All'!AK64-'2024 Bdg vs Actual -OH'!AR64</f>
        <v>860</v>
      </c>
      <c r="AS64" s="154">
        <f>AQ64-AR64</f>
        <v>1040</v>
      </c>
      <c r="AT64" s="66"/>
      <c r="AU64" s="66">
        <v>0</v>
      </c>
      <c r="AV64" s="160">
        <f>'2024 Bdg vs Actual All'!AO64-'2024 Bdg vs Actual -OH'!AV64</f>
        <v>1643.5</v>
      </c>
      <c r="AW64" s="154">
        <f>AU64-AV64</f>
        <v>-1643.5</v>
      </c>
      <c r="AX64" s="66"/>
      <c r="AY64" s="66">
        <v>900</v>
      </c>
      <c r="AZ64" s="160">
        <f>'2024 Bdg vs Actual All'!AS64-'2024 Bdg vs Actual -OH'!AZ64</f>
        <v>20</v>
      </c>
      <c r="BA64" s="154">
        <f>AY64-AZ64</f>
        <v>880</v>
      </c>
      <c r="BB64" s="66"/>
      <c r="BC64" s="66">
        <v>900</v>
      </c>
      <c r="BD64" s="160">
        <f>'2024 Bdg vs Actual All'!AW64-'2024 Bdg vs Actual -OH'!BD64</f>
        <v>294.99999999999989</v>
      </c>
      <c r="BE64" s="154">
        <f>BC64-BD64</f>
        <v>605.00000000000011</v>
      </c>
      <c r="BF64" s="66"/>
      <c r="BG64" s="66">
        <v>900</v>
      </c>
      <c r="BH64" s="160">
        <f>'2024 Bdg vs Actual All'!BA64-'2024 Bdg vs Actual -OH'!BH64</f>
        <v>997.5</v>
      </c>
      <c r="BI64" s="154">
        <f>BG64-BH64</f>
        <v>-97.5</v>
      </c>
      <c r="BJ64" s="66"/>
      <c r="BK64" s="14"/>
      <c r="CG64" s="66">
        <f t="shared" si="79"/>
        <v>8500</v>
      </c>
      <c r="CH64" s="160">
        <f t="shared" si="80"/>
        <v>10385.91</v>
      </c>
      <c r="CI64" s="181">
        <f t="shared" si="81"/>
        <v>-1885.9099999999999</v>
      </c>
    </row>
    <row r="65" spans="1:87" x14ac:dyDescent="0.2">
      <c r="A65" s="21" t="s">
        <v>81</v>
      </c>
      <c r="B65" s="21"/>
      <c r="C65" s="7"/>
      <c r="D65" s="45"/>
      <c r="E65" s="44">
        <f>ROUND(O65+S65+W65+AA65+AE65+AI65+AM65+AQ65+AU65+AY65+BC65+BG65,-2)</f>
        <v>33000</v>
      </c>
      <c r="F65" s="44"/>
      <c r="G65" s="44"/>
      <c r="H65" s="44"/>
      <c r="I65" s="44"/>
      <c r="J65" s="44"/>
      <c r="K65" s="44"/>
      <c r="L65" s="44"/>
      <c r="M65" s="7"/>
      <c r="O65" s="66">
        <v>0</v>
      </c>
      <c r="P65" s="154">
        <f>'2024 Bdg vs Actual All'!I65-'2024 Bdg vs Actual -OH'!P65</f>
        <v>0</v>
      </c>
      <c r="Q65" s="153">
        <f>O65-P65</f>
        <v>0</v>
      </c>
      <c r="R65" s="66"/>
      <c r="S65" s="66">
        <v>0</v>
      </c>
      <c r="T65" s="154">
        <f>'2024 Bdg vs Actual All'!M65-'2024 Bdg vs Actual -OH'!T65</f>
        <v>0</v>
      </c>
      <c r="U65" s="153">
        <f>S65-T65</f>
        <v>0</v>
      </c>
      <c r="V65" s="66"/>
      <c r="W65" s="66">
        <v>0</v>
      </c>
      <c r="X65" s="160">
        <f>'2024 Bdg vs Actual All'!Q65-'2024 Bdg vs Actual -OH'!X65</f>
        <v>0</v>
      </c>
      <c r="Y65" s="154">
        <f t="shared" si="76"/>
        <v>0</v>
      </c>
      <c r="Z65" s="66"/>
      <c r="AA65" s="66">
        <v>0</v>
      </c>
      <c r="AB65" s="162">
        <f>'2024 Bdg vs Actual All'!U65-'2024 Bdg vs Actual -OH'!AB65</f>
        <v>7500</v>
      </c>
      <c r="AC65" s="154">
        <f t="shared" si="77"/>
        <v>-7500</v>
      </c>
      <c r="AD65" s="66"/>
      <c r="AE65" s="66">
        <v>0</v>
      </c>
      <c r="AF65" s="160">
        <f>'2024 Bdg vs Actual All'!Y65-'2024 Bdg vs Actual -OH'!AF65</f>
        <v>0</v>
      </c>
      <c r="AG65" s="154">
        <f t="shared" si="78"/>
        <v>0</v>
      </c>
      <c r="AH65" s="66"/>
      <c r="AI65" s="66">
        <v>0</v>
      </c>
      <c r="AJ65" s="160">
        <f>'2024 Bdg vs Actual All'!AC65-'2024 Bdg vs Actual -OH'!AJ65</f>
        <v>0</v>
      </c>
      <c r="AK65" s="154">
        <f>AI65-AJ65</f>
        <v>0</v>
      </c>
      <c r="AL65" s="66"/>
      <c r="AM65" s="66">
        <v>0</v>
      </c>
      <c r="AN65" s="160">
        <f>'2024 Bdg vs Actual All'!AG65-'2024 Bdg vs Actual -OH'!AN65</f>
        <v>0</v>
      </c>
      <c r="AO65" s="154">
        <f>AM65-AN65</f>
        <v>0</v>
      </c>
      <c r="AP65" s="66"/>
      <c r="AQ65" s="66">
        <v>0</v>
      </c>
      <c r="AR65" s="160">
        <f>'2024 Bdg vs Actual All'!AK65-'2024 Bdg vs Actual -OH'!AR65</f>
        <v>0</v>
      </c>
      <c r="AS65" s="154">
        <f>AQ65-AR65</f>
        <v>0</v>
      </c>
      <c r="AT65" s="66"/>
      <c r="AU65" s="66">
        <v>33000</v>
      </c>
      <c r="AV65" s="160">
        <f>'2024 Bdg vs Actual All'!AO65-'2024 Bdg vs Actual -OH'!AV65</f>
        <v>0</v>
      </c>
      <c r="AW65" s="154">
        <f>AU65-AV65</f>
        <v>33000</v>
      </c>
      <c r="AX65" s="66"/>
      <c r="AY65" s="66">
        <v>0</v>
      </c>
      <c r="AZ65" s="160">
        <f>'2024 Bdg vs Actual All'!AS65-'2024 Bdg vs Actual -OH'!AZ65</f>
        <v>0</v>
      </c>
      <c r="BA65" s="154">
        <f>AY65-AZ65</f>
        <v>0</v>
      </c>
      <c r="BB65" s="66"/>
      <c r="BC65" s="66">
        <v>0</v>
      </c>
      <c r="BD65" s="160">
        <f>'2024 Bdg vs Actual All'!AW65-'2024 Bdg vs Actual -OH'!BD65</f>
        <v>0</v>
      </c>
      <c r="BE65" s="154">
        <f>BC65-BD65</f>
        <v>0</v>
      </c>
      <c r="BF65" s="66"/>
      <c r="BG65" s="66">
        <v>0</v>
      </c>
      <c r="BH65" s="160">
        <f>'2024 Bdg vs Actual All'!BA65-'2024 Bdg vs Actual -OH'!BH65</f>
        <v>0</v>
      </c>
      <c r="BI65" s="154">
        <f>BG65-BH65</f>
        <v>0</v>
      </c>
      <c r="BJ65" s="66"/>
      <c r="BK65" s="14"/>
      <c r="CG65" s="66">
        <f t="shared" si="79"/>
        <v>33000</v>
      </c>
      <c r="CH65" s="160">
        <f t="shared" si="80"/>
        <v>7500</v>
      </c>
      <c r="CI65" s="154">
        <f t="shared" si="81"/>
        <v>25500</v>
      </c>
    </row>
    <row r="66" spans="1:87" x14ac:dyDescent="0.2">
      <c r="A66" t="s">
        <v>82</v>
      </c>
      <c r="D66" s="44"/>
      <c r="E66" s="48">
        <f>SUM(E62:E65)</f>
        <v>292600</v>
      </c>
      <c r="F66" s="44"/>
      <c r="G66" s="44"/>
      <c r="H66" s="44"/>
      <c r="I66" s="44"/>
      <c r="J66" s="44"/>
      <c r="K66" s="44"/>
      <c r="L66" s="44"/>
      <c r="O66" s="67">
        <f t="shared" ref="O66:BG66" si="82">SUM(O62:O65)</f>
        <v>22700</v>
      </c>
      <c r="P66" s="156">
        <f>SUM(P62:P65)</f>
        <v>15147</v>
      </c>
      <c r="Q66" s="152">
        <f>O66-P66</f>
        <v>7553</v>
      </c>
      <c r="R66" s="67"/>
      <c r="S66" s="67">
        <f t="shared" si="82"/>
        <v>22000</v>
      </c>
      <c r="T66" s="156">
        <f>SUM(T62:T65)</f>
        <v>3458</v>
      </c>
      <c r="U66" s="152">
        <f>S66-T66</f>
        <v>18542</v>
      </c>
      <c r="V66" s="67"/>
      <c r="W66" s="67">
        <f t="shared" si="82"/>
        <v>27600</v>
      </c>
      <c r="X66" s="156">
        <f>SUM(X62:X65)</f>
        <v>25620</v>
      </c>
      <c r="Y66" s="156">
        <f>W66-X66</f>
        <v>1980</v>
      </c>
      <c r="Z66" s="67"/>
      <c r="AA66" s="67">
        <f t="shared" si="82"/>
        <v>25700</v>
      </c>
      <c r="AB66" s="156">
        <f>SUM(AB62:AB65)</f>
        <v>64515</v>
      </c>
      <c r="AC66" s="156">
        <f>AA66-AB66</f>
        <v>-38815</v>
      </c>
      <c r="AD66" s="67"/>
      <c r="AE66" s="67">
        <f t="shared" si="82"/>
        <v>20300</v>
      </c>
      <c r="AF66" s="67">
        <f>SUM(AF62:AF65)</f>
        <v>11918.92</v>
      </c>
      <c r="AG66" s="156">
        <f>AE66-AF66</f>
        <v>8381.08</v>
      </c>
      <c r="AH66" s="67"/>
      <c r="AI66" s="67">
        <f t="shared" si="82"/>
        <v>20300</v>
      </c>
      <c r="AJ66" s="67">
        <f>SUM(AJ62:AJ65)</f>
        <v>21223.73</v>
      </c>
      <c r="AK66" s="156">
        <f>AI66-AJ66</f>
        <v>-923.72999999999956</v>
      </c>
      <c r="AL66" s="67"/>
      <c r="AM66" s="67">
        <f t="shared" si="82"/>
        <v>19400</v>
      </c>
      <c r="AN66" s="156">
        <f>SUM(AN62:AN65)</f>
        <v>31994</v>
      </c>
      <c r="AO66" s="156">
        <f>AM66-AN66</f>
        <v>-12594</v>
      </c>
      <c r="AP66" s="67"/>
      <c r="AQ66" s="67">
        <f t="shared" si="82"/>
        <v>21300</v>
      </c>
      <c r="AR66" s="67">
        <f>SUM(AR62:AR65)</f>
        <v>38819.5</v>
      </c>
      <c r="AS66" s="156">
        <f>AQ66-AR66</f>
        <v>-17519.5</v>
      </c>
      <c r="AT66" s="67"/>
      <c r="AU66" s="67">
        <f t="shared" si="82"/>
        <v>52400</v>
      </c>
      <c r="AV66" s="67">
        <f>SUM(AV62:AV65)</f>
        <v>32003.5</v>
      </c>
      <c r="AW66" s="156">
        <f>AU66-AV66</f>
        <v>20396.5</v>
      </c>
      <c r="AX66" s="67"/>
      <c r="AY66" s="67">
        <f t="shared" si="82"/>
        <v>20300</v>
      </c>
      <c r="AZ66" s="67">
        <f>SUM(AZ62:AZ65)</f>
        <v>52081.78</v>
      </c>
      <c r="BA66" s="156">
        <f>AY66-AZ66</f>
        <v>-31781.78</v>
      </c>
      <c r="BB66" s="67"/>
      <c r="BC66" s="67">
        <f t="shared" si="82"/>
        <v>20300</v>
      </c>
      <c r="BD66" s="67">
        <f>SUM(BD62:BD65)</f>
        <v>44033.06</v>
      </c>
      <c r="BE66" s="156">
        <f>BC66-BD66</f>
        <v>-23733.059999999998</v>
      </c>
      <c r="BF66" s="67"/>
      <c r="BG66" s="67">
        <f t="shared" si="82"/>
        <v>20300</v>
      </c>
      <c r="BH66" s="277">
        <f>SUM(BH62:BH65)</f>
        <v>41084.94</v>
      </c>
      <c r="BI66" s="156">
        <f>BG66-BH66</f>
        <v>-20784.940000000002</v>
      </c>
      <c r="BJ66" s="67"/>
      <c r="BK66" s="14"/>
      <c r="CG66" s="67">
        <f t="shared" ref="CG66" si="83">SUM(CG62:CG65)</f>
        <v>292600</v>
      </c>
      <c r="CH66" s="156">
        <f>SUM(CH62:CH65)</f>
        <v>381899.42999999993</v>
      </c>
      <c r="CI66" s="156">
        <f>CG66-CH66</f>
        <v>-89299.429999999935</v>
      </c>
    </row>
    <row r="67" spans="1:87" x14ac:dyDescent="0.2">
      <c r="D67" s="44"/>
      <c r="E67" s="44"/>
      <c r="F67" s="44"/>
      <c r="G67" s="44"/>
      <c r="H67" s="44"/>
      <c r="I67" s="44"/>
      <c r="J67" s="44"/>
      <c r="K67" s="44"/>
      <c r="L67" s="44"/>
      <c r="O67" s="66"/>
      <c r="P67" s="154"/>
      <c r="Q67" s="66"/>
      <c r="R67" s="66"/>
      <c r="S67" s="66"/>
      <c r="T67" s="154"/>
      <c r="U67" s="66"/>
      <c r="V67" s="66"/>
      <c r="W67" s="66"/>
      <c r="X67" s="154"/>
      <c r="Y67" s="154"/>
      <c r="Z67" s="66"/>
      <c r="AA67" s="66"/>
      <c r="AB67" s="66"/>
      <c r="AC67" s="66"/>
      <c r="AD67" s="66"/>
      <c r="AE67" s="66"/>
      <c r="AF67" s="66"/>
      <c r="AG67" s="66"/>
      <c r="AH67" s="66"/>
      <c r="AI67" s="66"/>
      <c r="AJ67" s="66"/>
      <c r="AK67" s="66"/>
      <c r="AL67" s="66"/>
      <c r="AM67" s="68"/>
      <c r="AN67" s="66"/>
      <c r="AO67" s="66"/>
      <c r="AP67" s="68"/>
      <c r="AQ67" s="68"/>
      <c r="AR67" s="66"/>
      <c r="AS67" s="66"/>
      <c r="AT67" s="68"/>
      <c r="AU67" s="68"/>
      <c r="AV67" s="66"/>
      <c r="AW67" s="66"/>
      <c r="AX67" s="68"/>
      <c r="AY67" s="68"/>
      <c r="AZ67" s="66"/>
      <c r="BA67" s="66"/>
      <c r="BB67" s="68"/>
      <c r="BC67" s="68"/>
      <c r="BD67" s="66"/>
      <c r="BE67" s="66"/>
      <c r="BF67" s="68"/>
      <c r="BG67" s="68"/>
      <c r="BH67" s="66"/>
      <c r="BI67" s="66"/>
      <c r="BJ67" s="68"/>
      <c r="CG67" s="66"/>
      <c r="CH67" s="154"/>
      <c r="CI67" s="154"/>
    </row>
    <row r="68" spans="1:87" x14ac:dyDescent="0.2">
      <c r="A68" s="24" t="s">
        <v>83</v>
      </c>
      <c r="B68" s="24"/>
      <c r="D68" s="44"/>
      <c r="E68" s="44"/>
      <c r="F68" s="44"/>
      <c r="G68" s="44"/>
      <c r="H68" s="44"/>
      <c r="I68" s="44"/>
      <c r="J68" s="44"/>
      <c r="K68" s="44"/>
      <c r="L68" s="44"/>
      <c r="O68" s="66"/>
      <c r="P68" s="154"/>
      <c r="Q68" s="66"/>
      <c r="R68" s="66"/>
      <c r="S68" s="66"/>
      <c r="T68" s="154"/>
      <c r="U68" s="66"/>
      <c r="V68" s="66"/>
      <c r="W68" s="66"/>
      <c r="X68" s="154"/>
      <c r="Y68" s="154"/>
      <c r="Z68" s="66"/>
      <c r="AA68" s="66"/>
      <c r="AB68" s="66"/>
      <c r="AC68" s="66"/>
      <c r="AD68" s="66"/>
      <c r="AE68" s="66"/>
      <c r="AF68" s="66"/>
      <c r="AG68" s="66"/>
      <c r="AH68" s="66"/>
      <c r="AI68" s="66"/>
      <c r="AJ68" s="66"/>
      <c r="AK68" s="66"/>
      <c r="AL68" s="66"/>
      <c r="AM68" s="68"/>
      <c r="AN68" s="66"/>
      <c r="AO68" s="66"/>
      <c r="AP68" s="68"/>
      <c r="AQ68" s="68"/>
      <c r="AR68" s="66"/>
      <c r="AS68" s="66"/>
      <c r="AT68" s="68"/>
      <c r="AU68" s="68"/>
      <c r="AV68" s="66"/>
      <c r="AW68" s="66"/>
      <c r="AX68" s="68"/>
      <c r="AY68" s="68"/>
      <c r="AZ68" s="66"/>
      <c r="BA68" s="66"/>
      <c r="BB68" s="68"/>
      <c r="BC68" s="68"/>
      <c r="BD68" s="66"/>
      <c r="BE68" s="66"/>
      <c r="BF68" s="68"/>
      <c r="BG68" s="68"/>
      <c r="BH68" s="66"/>
      <c r="BI68" s="66"/>
      <c r="BJ68" s="68"/>
      <c r="CG68" s="66"/>
      <c r="CH68" s="154"/>
      <c r="CI68" s="154"/>
    </row>
    <row r="69" spans="1:87" ht="27" x14ac:dyDescent="0.2">
      <c r="A69" t="s">
        <v>84</v>
      </c>
      <c r="D69" s="44"/>
      <c r="E69" s="44">
        <f>ROUND(O69+S69+W69+AA69+AE69+AI69+AM69+AQ69+AU69+AY69+BC69+BG69,-2)</f>
        <v>35100</v>
      </c>
      <c r="F69" s="44"/>
      <c r="G69" s="44"/>
      <c r="H69" s="44"/>
      <c r="I69" s="44"/>
      <c r="J69" s="44"/>
      <c r="K69" s="44"/>
      <c r="L69" s="44"/>
      <c r="O69" s="66">
        <v>1000</v>
      </c>
      <c r="P69" s="154">
        <f>'2024 Bdg vs Actual All'!I69-'2024 Bdg vs Actual -OH'!P69</f>
        <v>1000</v>
      </c>
      <c r="Q69" s="152">
        <f>O69-P69</f>
        <v>0</v>
      </c>
      <c r="R69" s="66"/>
      <c r="S69" s="66">
        <v>1500</v>
      </c>
      <c r="T69" s="154">
        <f>'2024 Bdg vs Actual All'!M69-'2024 Bdg vs Actual -OH'!T69</f>
        <v>1250</v>
      </c>
      <c r="U69" s="152">
        <f>S69-T69</f>
        <v>250</v>
      </c>
      <c r="V69" s="66"/>
      <c r="W69" s="66">
        <v>2300</v>
      </c>
      <c r="X69" s="154">
        <f>'2024 Bdg vs Actual All'!Q69-'2024 Bdg vs Actual -OH'!X69</f>
        <v>6181</v>
      </c>
      <c r="Y69" s="152">
        <f t="shared" ref="Y69:Y71" si="84">W69-X69</f>
        <v>-3881</v>
      </c>
      <c r="Z69" s="240" t="s">
        <v>167</v>
      </c>
      <c r="AA69" s="66">
        <v>5100</v>
      </c>
      <c r="AB69" s="162">
        <f>'2024 Bdg vs Actual All'!U69-'2024 Bdg vs Actual -OH'!AB69</f>
        <v>1250</v>
      </c>
      <c r="AC69" s="154">
        <f t="shared" ref="AC69:AC71" si="85">AA69-AB69</f>
        <v>3850</v>
      </c>
      <c r="AD69" s="66"/>
      <c r="AE69" s="66">
        <v>3000</v>
      </c>
      <c r="AF69" s="160">
        <f>'2024 Bdg vs Actual All'!Y69-'2024 Bdg vs Actual -OH'!AF69</f>
        <v>3613</v>
      </c>
      <c r="AG69" s="154">
        <f t="shared" ref="AG69:AG71" si="86">AE69-AF69</f>
        <v>-613</v>
      </c>
      <c r="AH69" s="66"/>
      <c r="AI69" s="66">
        <v>5100</v>
      </c>
      <c r="AJ69" s="160">
        <f>'2024 Bdg vs Actual All'!AC69-'2024 Bdg vs Actual -OH'!AJ69</f>
        <v>1000</v>
      </c>
      <c r="AK69" s="154">
        <f>AI69-AJ69</f>
        <v>4100</v>
      </c>
      <c r="AL69" s="66"/>
      <c r="AM69" s="66">
        <v>2000</v>
      </c>
      <c r="AN69" s="160">
        <f>'2024 Bdg vs Actual All'!AG69-'2024 Bdg vs Actual -OH'!AN69</f>
        <v>11000</v>
      </c>
      <c r="AO69" s="154">
        <f>AM69-AN69</f>
        <v>-9000</v>
      </c>
      <c r="AP69" s="263" t="s">
        <v>168</v>
      </c>
      <c r="AQ69" s="66">
        <v>2000</v>
      </c>
      <c r="AR69" s="160">
        <f>'2024 Bdg vs Actual All'!AK69-'2024 Bdg vs Actual -OH'!AR69</f>
        <v>6098</v>
      </c>
      <c r="AS69" s="154">
        <f>AQ69-AR69</f>
        <v>-4098</v>
      </c>
      <c r="AT69" s="66"/>
      <c r="AU69" s="66">
        <v>2000</v>
      </c>
      <c r="AV69" s="160">
        <f>'2024 Bdg vs Actual All'!AO69-'2024 Bdg vs Actual -OH'!AV69</f>
        <v>3700</v>
      </c>
      <c r="AW69" s="154">
        <f>AU69-AV69</f>
        <v>-1700</v>
      </c>
      <c r="AX69" s="66"/>
      <c r="AY69" s="66">
        <v>4000</v>
      </c>
      <c r="AZ69" s="160">
        <f>'2024 Bdg vs Actual All'!AS69-'2024 Bdg vs Actual -OH'!AZ69</f>
        <v>1180</v>
      </c>
      <c r="BA69" s="154">
        <f>AY69-AZ69</f>
        <v>2820</v>
      </c>
      <c r="BB69" s="66"/>
      <c r="BC69" s="66">
        <v>2000</v>
      </c>
      <c r="BD69" s="160">
        <f>'2024 Bdg vs Actual All'!AW69-'2024 Bdg vs Actual -OH'!BD69</f>
        <v>1000</v>
      </c>
      <c r="BE69" s="154">
        <f>BC69-BD69</f>
        <v>1000</v>
      </c>
      <c r="BF69" s="66"/>
      <c r="BG69" s="66">
        <v>5100</v>
      </c>
      <c r="BH69" s="160">
        <f>'2024 Bdg vs Actual All'!BA69-'2024 Bdg vs Actual -OH'!BH69</f>
        <v>1100</v>
      </c>
      <c r="BI69" s="154">
        <f>BG69-BH69</f>
        <v>4000</v>
      </c>
      <c r="BJ69" s="66"/>
      <c r="BK69" s="14"/>
      <c r="CG69" s="66">
        <f t="shared" ref="CG69:CG71" si="87">+W69+S69+O69+AA69+AE69+AI69+AM69+AQ69+AU69+AY69+BC69+BG69</f>
        <v>35100</v>
      </c>
      <c r="CH69" s="154">
        <f t="shared" ref="CH69:CH71" si="88">+X69+T69+P69+AB69+AF69+AJ69+AN69+AR69+AV69+AZ69+BD69+BH69</f>
        <v>38372</v>
      </c>
      <c r="CI69" s="152">
        <f t="shared" ref="CI69:CI71" si="89">CG69-CH69</f>
        <v>-3272</v>
      </c>
    </row>
    <row r="70" spans="1:87" ht="25" x14ac:dyDescent="0.2">
      <c r="A70" t="s">
        <v>85</v>
      </c>
      <c r="B70" s="121"/>
      <c r="D70" s="44"/>
      <c r="E70" s="44">
        <f>ROUND(O70+S70+W70+AA70+AE70+AI70+AM70+AQ70+AU70+AY70+BC70+BG70,-2)</f>
        <v>86600</v>
      </c>
      <c r="F70" s="44"/>
      <c r="G70" s="44"/>
      <c r="H70" s="44"/>
      <c r="I70" s="44"/>
      <c r="J70" s="44"/>
      <c r="K70" s="44"/>
      <c r="L70" s="44"/>
      <c r="O70" s="66">
        <v>6800</v>
      </c>
      <c r="P70" s="154">
        <f>'2024 Bdg vs Actual All'!I70-'2024 Bdg vs Actual -OH'!P70</f>
        <v>8944</v>
      </c>
      <c r="Q70" s="152">
        <f>O70-P70</f>
        <v>-2144</v>
      </c>
      <c r="R70" s="66"/>
      <c r="S70" s="66">
        <v>6800</v>
      </c>
      <c r="T70" s="154">
        <f>'2024 Bdg vs Actual All'!M70-'2024 Bdg vs Actual -OH'!T70</f>
        <v>8802</v>
      </c>
      <c r="U70" s="152">
        <f>S70-T70</f>
        <v>-2002</v>
      </c>
      <c r="V70" s="66"/>
      <c r="W70" s="66">
        <v>7300</v>
      </c>
      <c r="X70" s="154">
        <f>'2024 Bdg vs Actual All'!Q70-'2024 Bdg vs Actual -OH'!X70</f>
        <v>8618</v>
      </c>
      <c r="Y70" s="152">
        <f t="shared" si="84"/>
        <v>-1318</v>
      </c>
      <c r="Z70" s="66"/>
      <c r="AA70" s="66">
        <v>7300</v>
      </c>
      <c r="AB70" s="162">
        <f>'2024 Bdg vs Actual All'!U70-'2024 Bdg vs Actual -OH'!AB70</f>
        <v>5065</v>
      </c>
      <c r="AC70" s="154">
        <f t="shared" si="85"/>
        <v>2235</v>
      </c>
      <c r="AD70" s="66"/>
      <c r="AE70" s="66">
        <v>7300</v>
      </c>
      <c r="AF70" s="160">
        <f>'2024 Bdg vs Actual All'!Y70-'2024 Bdg vs Actual -OH'!AF70</f>
        <v>15188</v>
      </c>
      <c r="AG70" s="154">
        <f t="shared" si="86"/>
        <v>-7888</v>
      </c>
      <c r="AH70" s="66"/>
      <c r="AI70" s="66">
        <v>7300</v>
      </c>
      <c r="AJ70" s="160">
        <f>'2024 Bdg vs Actual All'!AC70-'2024 Bdg vs Actual -OH'!AJ70</f>
        <v>6842</v>
      </c>
      <c r="AK70" s="154">
        <f>AI70-AJ70</f>
        <v>458</v>
      </c>
      <c r="AL70" s="240" t="s">
        <v>169</v>
      </c>
      <c r="AM70" s="66">
        <v>7300</v>
      </c>
      <c r="AN70" s="160">
        <f>'2024 Bdg vs Actual All'!AG70-'2024 Bdg vs Actual -OH'!AN70</f>
        <v>7388</v>
      </c>
      <c r="AO70" s="154">
        <f>AM70-AN70</f>
        <v>-88</v>
      </c>
      <c r="AP70" s="66"/>
      <c r="AQ70" s="66">
        <v>7300</v>
      </c>
      <c r="AR70" s="160">
        <f>'2024 Bdg vs Actual All'!AK70-'2024 Bdg vs Actual -OH'!AR70</f>
        <v>9556</v>
      </c>
      <c r="AS70" s="154">
        <f>AQ70-AR70</f>
        <v>-2256</v>
      </c>
      <c r="AT70" s="226" t="s">
        <v>170</v>
      </c>
      <c r="AU70" s="66">
        <v>7300</v>
      </c>
      <c r="AV70" s="160">
        <v>12244</v>
      </c>
      <c r="AW70" s="154">
        <f>AU70-AV70</f>
        <v>-4944</v>
      </c>
      <c r="AX70" s="226" t="s">
        <v>171</v>
      </c>
      <c r="AY70" s="66">
        <v>7300</v>
      </c>
      <c r="AZ70" s="160">
        <f>'2024 Bdg vs Actual All'!AS70-'2024 Bdg vs Actual -OH'!AZ70</f>
        <v>15806</v>
      </c>
      <c r="BA70" s="154">
        <f>AY70-AZ70</f>
        <v>-8506</v>
      </c>
      <c r="BB70" s="228" t="s">
        <v>172</v>
      </c>
      <c r="BC70" s="66">
        <v>7300</v>
      </c>
      <c r="BD70" s="160">
        <f>'2024 Bdg vs Actual All'!AW70-'2024 Bdg vs Actual -OH'!BD70</f>
        <v>13702</v>
      </c>
      <c r="BE70" s="154">
        <f>BC70-BD70</f>
        <v>-6402</v>
      </c>
      <c r="BF70" s="66"/>
      <c r="BG70" s="66">
        <v>7300</v>
      </c>
      <c r="BH70" s="160">
        <f>'2024 Bdg vs Actual All'!BA70-'2024 Bdg vs Actual -OH'!BH70</f>
        <v>11392</v>
      </c>
      <c r="BI70" s="154">
        <f>BG70-BH70</f>
        <v>-4092</v>
      </c>
      <c r="BJ70" s="66"/>
      <c r="BK70" s="14"/>
      <c r="CG70" s="66">
        <f t="shared" si="87"/>
        <v>86600</v>
      </c>
      <c r="CH70" s="154">
        <f t="shared" si="88"/>
        <v>123547</v>
      </c>
      <c r="CI70" s="152">
        <f t="shared" si="89"/>
        <v>-36947</v>
      </c>
    </row>
    <row r="71" spans="1:87" x14ac:dyDescent="0.2">
      <c r="A71" t="s">
        <v>87</v>
      </c>
      <c r="B71" s="121"/>
      <c r="D71" s="44"/>
      <c r="E71" s="44">
        <f>ROUND(O71+S71+W71+AA71+AE71+AI71+AM71+AQ71+AU71+AY71+BC71+BG71,-2)</f>
        <v>12800</v>
      </c>
      <c r="F71" s="44"/>
      <c r="G71" s="44"/>
      <c r="H71" s="44"/>
      <c r="I71" s="44"/>
      <c r="J71" s="44"/>
      <c r="K71" s="44"/>
      <c r="L71" s="44"/>
      <c r="O71" s="66">
        <v>800</v>
      </c>
      <c r="P71" s="154">
        <f>'2024 Bdg vs Actual All'!I71-'2024 Bdg vs Actual -OH'!P71</f>
        <v>1009</v>
      </c>
      <c r="Q71" s="153">
        <f>O71-P71</f>
        <v>-209</v>
      </c>
      <c r="R71" s="66"/>
      <c r="S71" s="66">
        <v>1200</v>
      </c>
      <c r="T71" s="154">
        <f>'2024 Bdg vs Actual All'!M71-'2024 Bdg vs Actual -OH'!T71</f>
        <v>815</v>
      </c>
      <c r="U71" s="153">
        <f>S71-T71</f>
        <v>385</v>
      </c>
      <c r="V71" s="66"/>
      <c r="W71" s="66">
        <v>1000</v>
      </c>
      <c r="X71" s="154">
        <f>'2024 Bdg vs Actual All'!Q71-'2024 Bdg vs Actual -OH'!X71</f>
        <v>277</v>
      </c>
      <c r="Y71" s="152">
        <f t="shared" si="84"/>
        <v>723</v>
      </c>
      <c r="Z71" s="66"/>
      <c r="AA71" s="66">
        <v>1200</v>
      </c>
      <c r="AB71" s="162">
        <f>'2024 Bdg vs Actual All'!U71-'2024 Bdg vs Actual -OH'!AB71</f>
        <v>78</v>
      </c>
      <c r="AC71" s="154">
        <f t="shared" si="85"/>
        <v>1122</v>
      </c>
      <c r="AD71" s="66"/>
      <c r="AE71" s="66">
        <v>1000</v>
      </c>
      <c r="AF71" s="160">
        <f>'2024 Bdg vs Actual All'!Y71-'2024 Bdg vs Actual -OH'!AF71</f>
        <v>1633</v>
      </c>
      <c r="AG71" s="154">
        <f t="shared" si="86"/>
        <v>-633</v>
      </c>
      <c r="AH71" s="66"/>
      <c r="AI71" s="66">
        <v>1200</v>
      </c>
      <c r="AJ71" s="160">
        <f>'2024 Bdg vs Actual All'!AC71-'2024 Bdg vs Actual -OH'!AJ71</f>
        <v>880</v>
      </c>
      <c r="AK71" s="154">
        <f>AI71-AJ71</f>
        <v>320</v>
      </c>
      <c r="AL71" s="66"/>
      <c r="AM71" s="66">
        <v>1000</v>
      </c>
      <c r="AN71" s="160">
        <f>'2024 Bdg vs Actual All'!AG71-'2024 Bdg vs Actual -OH'!AN71</f>
        <v>310</v>
      </c>
      <c r="AO71" s="154">
        <f>AM71-AN71</f>
        <v>690</v>
      </c>
      <c r="AP71" s="66"/>
      <c r="AQ71" s="66">
        <v>1200</v>
      </c>
      <c r="AR71" s="160">
        <f>'2024 Bdg vs Actual All'!AK71-'2024 Bdg vs Actual -OH'!AR71</f>
        <v>1923</v>
      </c>
      <c r="AS71" s="154">
        <f>AQ71-AR71</f>
        <v>-723</v>
      </c>
      <c r="AT71" s="66"/>
      <c r="AU71" s="66">
        <v>1000</v>
      </c>
      <c r="AV71" s="160">
        <f>'2024 Bdg vs Actual All'!AO71-'2024 Bdg vs Actual -OH'!AV71</f>
        <v>631</v>
      </c>
      <c r="AW71" s="154">
        <f>AU71-AV71</f>
        <v>369</v>
      </c>
      <c r="AX71" s="66"/>
      <c r="AY71" s="66">
        <v>1200</v>
      </c>
      <c r="AZ71" s="160">
        <f>'2024 Bdg vs Actual All'!AS71-'2024 Bdg vs Actual -OH'!AZ71</f>
        <v>156</v>
      </c>
      <c r="BA71" s="154">
        <f>AY71-AZ71</f>
        <v>1044</v>
      </c>
      <c r="BB71" s="66"/>
      <c r="BC71" s="66">
        <v>800</v>
      </c>
      <c r="BD71" s="160">
        <f>'2024 Bdg vs Actual All'!AW71-'2024 Bdg vs Actual -OH'!BD71</f>
        <v>45</v>
      </c>
      <c r="BE71" s="154">
        <f>BC71-BD71</f>
        <v>755</v>
      </c>
      <c r="BF71" s="66"/>
      <c r="BG71" s="66">
        <v>1200</v>
      </c>
      <c r="BH71" s="160">
        <f>'2024 Bdg vs Actual All'!BA71-'2024 Bdg vs Actual -OH'!BH71</f>
        <v>250</v>
      </c>
      <c r="BI71" s="154">
        <f>BG71-BH71</f>
        <v>950</v>
      </c>
      <c r="BJ71" s="66"/>
      <c r="BK71" s="14"/>
      <c r="CG71" s="66">
        <f t="shared" si="87"/>
        <v>12800</v>
      </c>
      <c r="CH71" s="154">
        <f t="shared" si="88"/>
        <v>8007</v>
      </c>
      <c r="CI71" s="152">
        <f t="shared" si="89"/>
        <v>4793</v>
      </c>
    </row>
    <row r="72" spans="1:87" x14ac:dyDescent="0.2">
      <c r="A72" s="18" t="s">
        <v>88</v>
      </c>
      <c r="B72" s="18"/>
      <c r="C72" s="29"/>
      <c r="D72" s="48"/>
      <c r="E72" s="48">
        <f>SUM(E69:E71)</f>
        <v>134500</v>
      </c>
      <c r="F72" s="48"/>
      <c r="G72" s="48"/>
      <c r="H72" s="48"/>
      <c r="I72" s="48"/>
      <c r="J72" s="48"/>
      <c r="K72" s="48"/>
      <c r="L72" s="48"/>
      <c r="M72" s="29"/>
      <c r="N72" s="29"/>
      <c r="O72" s="67">
        <f t="shared" ref="O72:BG72" si="90">SUM(O69:O71)</f>
        <v>8600</v>
      </c>
      <c r="P72" s="156">
        <f t="shared" si="90"/>
        <v>10953</v>
      </c>
      <c r="Q72" s="152">
        <f>O72-P72</f>
        <v>-2353</v>
      </c>
      <c r="R72" s="67"/>
      <c r="S72" s="67">
        <f t="shared" si="90"/>
        <v>9500</v>
      </c>
      <c r="T72" s="156">
        <f t="shared" ref="T72" si="91">SUM(T69:T71)</f>
        <v>10867</v>
      </c>
      <c r="U72" s="152">
        <f>S72-T72</f>
        <v>-1367</v>
      </c>
      <c r="V72" s="67"/>
      <c r="W72" s="67">
        <f t="shared" si="90"/>
        <v>10600</v>
      </c>
      <c r="X72" s="156">
        <f>SUM(X69:X71)</f>
        <v>15076</v>
      </c>
      <c r="Y72" s="156">
        <f>W72-X72</f>
        <v>-4476</v>
      </c>
      <c r="Z72" s="67"/>
      <c r="AA72" s="67">
        <f t="shared" si="90"/>
        <v>13600</v>
      </c>
      <c r="AB72" s="156">
        <f>SUM(AB69:AB71)</f>
        <v>6393</v>
      </c>
      <c r="AC72" s="156">
        <f>AA72-AB72</f>
        <v>7207</v>
      </c>
      <c r="AD72" s="67"/>
      <c r="AE72" s="67">
        <f t="shared" si="90"/>
        <v>11300</v>
      </c>
      <c r="AF72" s="156">
        <f>SUM(AF69:AF71)</f>
        <v>20434</v>
      </c>
      <c r="AG72" s="156">
        <f>AE72-AF72</f>
        <v>-9134</v>
      </c>
      <c r="AH72" s="67"/>
      <c r="AI72" s="67">
        <f t="shared" si="90"/>
        <v>13600</v>
      </c>
      <c r="AJ72" s="156">
        <f>SUM(AJ69:AJ71)</f>
        <v>8722</v>
      </c>
      <c r="AK72" s="156">
        <f>AI72-AJ72</f>
        <v>4878</v>
      </c>
      <c r="AL72" s="67"/>
      <c r="AM72" s="67">
        <f t="shared" si="90"/>
        <v>10300</v>
      </c>
      <c r="AN72" s="156">
        <f>SUM(AN69:AN71)</f>
        <v>18698</v>
      </c>
      <c r="AO72" s="156">
        <f>AM72-AN72</f>
        <v>-8398</v>
      </c>
      <c r="AP72" s="67"/>
      <c r="AQ72" s="67">
        <f t="shared" si="90"/>
        <v>10500</v>
      </c>
      <c r="AR72" s="156">
        <f>SUM(AR69:AR71)</f>
        <v>17577</v>
      </c>
      <c r="AS72" s="156">
        <f>AQ72-AR72</f>
        <v>-7077</v>
      </c>
      <c r="AT72" s="67"/>
      <c r="AU72" s="67">
        <f t="shared" si="90"/>
        <v>10300</v>
      </c>
      <c r="AV72" s="156">
        <f>SUM(AV69:AV71)</f>
        <v>16575</v>
      </c>
      <c r="AW72" s="156">
        <f>AU72-AV72</f>
        <v>-6275</v>
      </c>
      <c r="AX72" s="67"/>
      <c r="AY72" s="67">
        <f t="shared" si="90"/>
        <v>12500</v>
      </c>
      <c r="AZ72" s="156">
        <f>SUM(AZ69:AZ71)</f>
        <v>17142</v>
      </c>
      <c r="BA72" s="156">
        <f>AY72-AZ72</f>
        <v>-4642</v>
      </c>
      <c r="BB72" s="67"/>
      <c r="BC72" s="67">
        <f t="shared" si="90"/>
        <v>10100</v>
      </c>
      <c r="BD72" s="156">
        <f>SUM(BD69:BD71)</f>
        <v>14747</v>
      </c>
      <c r="BE72" s="156">
        <f>BC72-BD72</f>
        <v>-4647</v>
      </c>
      <c r="BF72" s="67"/>
      <c r="BG72" s="67">
        <f t="shared" si="90"/>
        <v>13600</v>
      </c>
      <c r="BH72" s="164">
        <f>SUM(BH69:BH71)</f>
        <v>12742</v>
      </c>
      <c r="BI72" s="156">
        <f>BG72-BH72</f>
        <v>858</v>
      </c>
      <c r="BJ72" s="67"/>
      <c r="BK72" s="14"/>
      <c r="CG72" s="67">
        <f t="shared" ref="CG72" si="92">SUM(CG69:CG71)</f>
        <v>134500</v>
      </c>
      <c r="CH72" s="156">
        <f>SUM(CH69:CH71)</f>
        <v>169926</v>
      </c>
      <c r="CI72" s="156">
        <f>CG72-CH72</f>
        <v>-35426</v>
      </c>
    </row>
    <row r="73" spans="1:87" x14ac:dyDescent="0.2">
      <c r="D73" s="44"/>
      <c r="E73" s="44"/>
      <c r="F73" s="44"/>
      <c r="G73" s="44"/>
      <c r="H73" s="44"/>
      <c r="I73" s="44"/>
      <c r="J73" s="44"/>
      <c r="K73" s="44"/>
      <c r="L73" s="44"/>
      <c r="O73" s="66"/>
      <c r="P73" s="154"/>
      <c r="Q73" s="66"/>
      <c r="R73" s="66"/>
      <c r="S73" s="66"/>
      <c r="T73" s="154"/>
      <c r="U73" s="66"/>
      <c r="V73" s="66"/>
      <c r="W73" s="66"/>
      <c r="X73" s="154"/>
      <c r="Y73" s="154"/>
      <c r="Z73" s="66"/>
      <c r="AA73" s="66"/>
      <c r="AB73" s="66"/>
      <c r="AC73" s="66"/>
      <c r="AD73" s="66"/>
      <c r="AE73" s="66"/>
      <c r="AF73" s="66"/>
      <c r="AG73" s="66"/>
      <c r="AH73" s="66"/>
      <c r="AI73" s="66"/>
      <c r="AJ73" s="66"/>
      <c r="AK73" s="66"/>
      <c r="AL73" s="66"/>
      <c r="AM73" s="68"/>
      <c r="AN73" s="66"/>
      <c r="AO73" s="66"/>
      <c r="AP73" s="68"/>
      <c r="AQ73" s="68"/>
      <c r="AR73" s="66"/>
      <c r="AS73" s="66"/>
      <c r="AT73" s="68"/>
      <c r="AU73" s="68"/>
      <c r="AV73" s="66"/>
      <c r="AW73" s="66"/>
      <c r="AX73" s="68"/>
      <c r="AY73" s="68"/>
      <c r="AZ73" s="66"/>
      <c r="BA73" s="66"/>
      <c r="BB73" s="68"/>
      <c r="BC73" s="68"/>
      <c r="BD73" s="66"/>
      <c r="BE73" s="66"/>
      <c r="BF73" s="68"/>
      <c r="BG73" s="68"/>
      <c r="BH73" s="66"/>
      <c r="BI73" s="66"/>
      <c r="BJ73" s="68"/>
      <c r="CG73" s="66"/>
      <c r="CH73" s="154"/>
      <c r="CI73" s="154"/>
    </row>
    <row r="74" spans="1:87" s="3" customFormat="1" x14ac:dyDescent="0.2">
      <c r="A74" s="24" t="s">
        <v>89</v>
      </c>
      <c r="B74" s="24"/>
      <c r="C74" s="16"/>
      <c r="D74" s="44"/>
      <c r="E74" s="44"/>
      <c r="F74" s="44"/>
      <c r="G74" s="44"/>
      <c r="H74" s="44"/>
      <c r="I74" s="44"/>
      <c r="J74" s="44"/>
      <c r="K74" s="44"/>
      <c r="L74" s="44"/>
      <c r="M74" s="16"/>
      <c r="N74" s="16"/>
      <c r="O74" s="66"/>
      <c r="P74" s="154"/>
      <c r="Q74" s="66"/>
      <c r="R74" s="66"/>
      <c r="S74" s="66"/>
      <c r="T74" s="154"/>
      <c r="U74" s="66"/>
      <c r="V74" s="66"/>
      <c r="W74" s="66"/>
      <c r="X74" s="154"/>
      <c r="Y74" s="154"/>
      <c r="Z74" s="66"/>
      <c r="AA74" s="66"/>
      <c r="AB74" s="66"/>
      <c r="AC74" s="66"/>
      <c r="AD74" s="66"/>
      <c r="AE74" s="66"/>
      <c r="AF74" s="66"/>
      <c r="AG74" s="66"/>
      <c r="AH74" s="66"/>
      <c r="AI74" s="66"/>
      <c r="AJ74" s="66"/>
      <c r="AK74" s="66"/>
      <c r="AL74" s="66"/>
      <c r="AM74" s="68"/>
      <c r="AN74" s="66"/>
      <c r="AO74" s="66"/>
      <c r="AP74" s="68"/>
      <c r="AQ74" s="68"/>
      <c r="AR74" s="66"/>
      <c r="AS74" s="66"/>
      <c r="AT74" s="68"/>
      <c r="AU74" s="66"/>
      <c r="AV74" s="66"/>
      <c r="AW74" s="66"/>
      <c r="AX74" s="66"/>
      <c r="AY74" s="66"/>
      <c r="AZ74" s="66"/>
      <c r="BA74" s="66"/>
      <c r="BB74" s="66"/>
      <c r="BC74" s="66"/>
      <c r="BD74" s="66"/>
      <c r="BE74" s="66"/>
      <c r="BF74" s="66"/>
      <c r="BG74" s="66"/>
      <c r="BH74" s="66"/>
      <c r="BI74" s="66"/>
      <c r="BJ74" s="66"/>
      <c r="BK74" s="74"/>
      <c r="BL74" s="74"/>
      <c r="BM74" s="74"/>
      <c r="BN74" s="74"/>
      <c r="BO74" s="74"/>
      <c r="BP74" s="74"/>
      <c r="BQ74" s="74"/>
      <c r="BR74" s="74"/>
      <c r="BS74" s="74"/>
      <c r="BT74" s="74"/>
      <c r="BU74" s="74"/>
      <c r="BV74" s="74"/>
      <c r="CG74" s="66"/>
      <c r="CH74" s="154"/>
      <c r="CI74" s="154"/>
    </row>
    <row r="75" spans="1:87" s="3" customFormat="1" x14ac:dyDescent="0.2">
      <c r="A75" t="s">
        <v>90</v>
      </c>
      <c r="B75" s="121"/>
      <c r="C75" s="16"/>
      <c r="D75" s="44"/>
      <c r="E75" s="44">
        <f>ROUND(O75+S75+W75+AA75+AE75+AI75+AM75+AQ75+AU75+AY75+BC75+BG75,-2)</f>
        <v>107600</v>
      </c>
      <c r="F75" s="44"/>
      <c r="G75" s="44"/>
      <c r="H75" s="44"/>
      <c r="I75" s="44"/>
      <c r="J75" s="44"/>
      <c r="K75" s="44"/>
      <c r="L75" s="44"/>
      <c r="M75" s="16"/>
      <c r="N75" s="16"/>
      <c r="O75" s="66">
        <v>9800</v>
      </c>
      <c r="P75" s="154">
        <f>'2024 Bdg vs Actual All'!I75-'2024 Bdg vs Actual -OH'!P75</f>
        <v>8773</v>
      </c>
      <c r="Q75" s="152">
        <f>O75-P75</f>
        <v>1027</v>
      </c>
      <c r="R75" s="66"/>
      <c r="S75" s="66">
        <v>9800</v>
      </c>
      <c r="T75" s="154">
        <f>'2024 Bdg vs Actual All'!M75-'2024 Bdg vs Actual -OH'!T75</f>
        <v>5491</v>
      </c>
      <c r="U75" s="152">
        <f>S75-T75</f>
        <v>4309</v>
      </c>
      <c r="V75" s="66"/>
      <c r="W75" s="66">
        <v>8800</v>
      </c>
      <c r="X75" s="154">
        <f>'2024 Bdg vs Actual All'!Q75-'2024 Bdg vs Actual -OH'!X75</f>
        <v>5877</v>
      </c>
      <c r="Y75" s="152">
        <f t="shared" ref="Y75:Y78" si="93">W75-X75</f>
        <v>2923</v>
      </c>
      <c r="Z75" s="66"/>
      <c r="AA75" s="66">
        <v>8800</v>
      </c>
      <c r="AB75" s="162">
        <f>'2024 Bdg vs Actual All'!U75-'2024 Bdg vs Actual -OH'!AB75</f>
        <v>7265</v>
      </c>
      <c r="AC75" s="154">
        <f t="shared" ref="AC75:AC77" si="94">AA75-AB75</f>
        <v>1535</v>
      </c>
      <c r="AD75" s="66"/>
      <c r="AE75" s="66">
        <v>8800</v>
      </c>
      <c r="AF75" s="160">
        <f>'2024 Bdg vs Actual All'!Y75-'2024 Bdg vs Actual -OH'!AF75</f>
        <v>7112</v>
      </c>
      <c r="AG75" s="154">
        <f t="shared" ref="AG75:AG77" si="95">AE75-AF75</f>
        <v>1688</v>
      </c>
      <c r="AH75" s="66"/>
      <c r="AI75" s="66">
        <v>8800</v>
      </c>
      <c r="AJ75" s="160">
        <f>'2024 Bdg vs Actual All'!AC75-'2024 Bdg vs Actual -OH'!AJ75</f>
        <v>7913</v>
      </c>
      <c r="AK75" s="154">
        <f>AI75-AJ75</f>
        <v>887</v>
      </c>
      <c r="AL75" s="66"/>
      <c r="AM75" s="66">
        <v>8800</v>
      </c>
      <c r="AN75" s="160">
        <f>'2024 Bdg vs Actual All'!AG75-'2024 Bdg vs Actual -OH'!AN75</f>
        <v>8046</v>
      </c>
      <c r="AO75" s="154">
        <f>AM75-AN75</f>
        <v>754</v>
      </c>
      <c r="AP75" s="66"/>
      <c r="AQ75" s="66">
        <v>8800</v>
      </c>
      <c r="AR75" s="160">
        <f>'2024 Bdg vs Actual All'!AK75-'2024 Bdg vs Actual -OH'!AR75</f>
        <v>8123</v>
      </c>
      <c r="AS75" s="154">
        <f>AQ75-AR75</f>
        <v>677</v>
      </c>
      <c r="AT75" s="66"/>
      <c r="AU75" s="66">
        <v>8800</v>
      </c>
      <c r="AV75" s="160">
        <f>'2024 Bdg vs Actual All'!AO75-'2024 Bdg vs Actual -OH'!AV75</f>
        <v>9366</v>
      </c>
      <c r="AW75" s="154">
        <f>AU75-AV75</f>
        <v>-566</v>
      </c>
      <c r="AX75" s="66"/>
      <c r="AY75" s="66">
        <v>8800</v>
      </c>
      <c r="AZ75" s="160">
        <f>'2024 Bdg vs Actual All'!AS75-'2024 Bdg vs Actual -OH'!AZ75</f>
        <v>6711</v>
      </c>
      <c r="BA75" s="154">
        <f>AY75-AZ75</f>
        <v>2089</v>
      </c>
      <c r="BB75" s="66"/>
      <c r="BC75" s="66">
        <v>8800</v>
      </c>
      <c r="BD75" s="160">
        <f>'2024 Bdg vs Actual All'!AW75-'2024 Bdg vs Actual -OH'!BD75</f>
        <v>4607</v>
      </c>
      <c r="BE75" s="154">
        <f>BC75-BD75</f>
        <v>4193</v>
      </c>
      <c r="BF75" s="66"/>
      <c r="BG75" s="66">
        <v>8800</v>
      </c>
      <c r="BH75" s="160">
        <f>'2024 Bdg vs Actual All'!BA75-'2024 Bdg vs Actual -OH'!BH75</f>
        <v>4692</v>
      </c>
      <c r="BI75" s="154">
        <f>BG75-BH75</f>
        <v>4108</v>
      </c>
      <c r="BJ75" s="66"/>
      <c r="BK75" s="14"/>
      <c r="BL75" s="74"/>
      <c r="BM75" s="74"/>
      <c r="BN75" s="74"/>
      <c r="BO75" s="74"/>
      <c r="BP75" s="74"/>
      <c r="BQ75" s="74"/>
      <c r="BR75" s="74"/>
      <c r="BS75" s="74"/>
      <c r="BT75" s="74"/>
      <c r="BU75" s="74"/>
      <c r="BV75" s="74"/>
      <c r="CG75" s="66">
        <f t="shared" ref="CG75:CG78" si="96">+W75+S75+O75+AA75+AE75+AI75+AM75+AQ75+AU75+AY75+BC75+BG75</f>
        <v>107600</v>
      </c>
      <c r="CH75" s="154">
        <f t="shared" ref="CH75:CH78" si="97">+X75+T75+P75+AB75+AF75+AJ75+AN75+AR75+AV75+AZ75+BD75+BH75</f>
        <v>83976</v>
      </c>
      <c r="CI75" s="152">
        <f t="shared" ref="CI75:CI78" si="98">CG75-CH75</f>
        <v>23624</v>
      </c>
    </row>
    <row r="76" spans="1:87" s="3" customFormat="1" ht="51.75" customHeight="1" x14ac:dyDescent="0.2">
      <c r="A76" t="s">
        <v>91</v>
      </c>
      <c r="B76" s="121"/>
      <c r="C76" s="16"/>
      <c r="D76" s="44"/>
      <c r="E76" s="44">
        <f>ROUND(O76+S76+W76+AA76+AE76+AI76+AM76+AQ76+AU76+AY76+BC76+BG76,-2)</f>
        <v>147600</v>
      </c>
      <c r="F76" s="44"/>
      <c r="G76" s="44"/>
      <c r="H76" s="44"/>
      <c r="I76" s="44"/>
      <c r="J76" s="44"/>
      <c r="K76" s="44"/>
      <c r="L76" s="44"/>
      <c r="M76" s="16"/>
      <c r="N76" s="16"/>
      <c r="O76" s="66">
        <v>12300</v>
      </c>
      <c r="P76" s="154">
        <f>'2024 Bdg vs Actual All'!I76-'2024 Bdg vs Actual -OH'!P76</f>
        <v>11956</v>
      </c>
      <c r="Q76" s="152">
        <f>O76-P76</f>
        <v>344</v>
      </c>
      <c r="R76" s="66"/>
      <c r="S76" s="66">
        <v>12300</v>
      </c>
      <c r="T76" s="154">
        <f>'2024 Bdg vs Actual All'!M76-'2024 Bdg vs Actual -OH'!T76</f>
        <v>22497</v>
      </c>
      <c r="U76" s="152">
        <f>S76-T76</f>
        <v>-10197</v>
      </c>
      <c r="V76" s="240" t="s">
        <v>173</v>
      </c>
      <c r="W76" s="66">
        <v>12300</v>
      </c>
      <c r="X76" s="154">
        <f>'2024 Bdg vs Actual All'!Q76-'2024 Bdg vs Actual -OH'!X76</f>
        <v>18820</v>
      </c>
      <c r="Y76" s="152">
        <f t="shared" si="93"/>
        <v>-6520</v>
      </c>
      <c r="Z76" s="240" t="s">
        <v>174</v>
      </c>
      <c r="AA76" s="66">
        <v>12300</v>
      </c>
      <c r="AB76" s="162">
        <f>'2024 Bdg vs Actual All'!U76-'2024 Bdg vs Actual -OH'!AB76</f>
        <v>8807</v>
      </c>
      <c r="AC76" s="154">
        <f t="shared" si="94"/>
        <v>3493</v>
      </c>
      <c r="AD76" s="228" t="s">
        <v>175</v>
      </c>
      <c r="AE76" s="66">
        <v>12300</v>
      </c>
      <c r="AF76" s="160">
        <f>'2024 Bdg vs Actual All'!Y76-'2024 Bdg vs Actual -OH'!AF76</f>
        <v>13503</v>
      </c>
      <c r="AG76" s="154">
        <f t="shared" si="95"/>
        <v>-1203</v>
      </c>
      <c r="AH76" s="66"/>
      <c r="AI76" s="66">
        <v>12300</v>
      </c>
      <c r="AJ76" s="160">
        <f>'2024 Bdg vs Actual All'!AC76-'2024 Bdg vs Actual -OH'!AJ76</f>
        <v>42512</v>
      </c>
      <c r="AK76" s="154">
        <f>AI76-AJ76</f>
        <v>-30212</v>
      </c>
      <c r="AL76" s="240" t="s">
        <v>176</v>
      </c>
      <c r="AM76" s="66">
        <v>12300</v>
      </c>
      <c r="AN76" s="160">
        <f>'2024 Bdg vs Actual All'!AG76-'2024 Bdg vs Actual -OH'!AN76</f>
        <v>5588</v>
      </c>
      <c r="AO76" s="154">
        <f>AM76-AN76</f>
        <v>6712</v>
      </c>
      <c r="AP76" s="66" t="s">
        <v>177</v>
      </c>
      <c r="AQ76" s="66">
        <v>12300</v>
      </c>
      <c r="AR76" s="160">
        <f>'2024 Bdg vs Actual All'!AK76-'2024 Bdg vs Actual -OH'!AR76</f>
        <v>13670</v>
      </c>
      <c r="AS76" s="154">
        <f>AQ76-AR76</f>
        <v>-1370</v>
      </c>
      <c r="AT76" s="268" t="s">
        <v>178</v>
      </c>
      <c r="AU76" s="66">
        <v>12300</v>
      </c>
      <c r="AV76" s="160">
        <f>'2024 Bdg vs Actual All'!AO76-'2024 Bdg vs Actual -OH'!AV76</f>
        <v>4171</v>
      </c>
      <c r="AW76" s="154">
        <f>AU76-AV76</f>
        <v>8129</v>
      </c>
      <c r="AX76" s="66"/>
      <c r="AY76" s="66">
        <v>12300</v>
      </c>
      <c r="AZ76" s="160">
        <f>'2024 Bdg vs Actual All'!AS76-'2024 Bdg vs Actual -OH'!AZ76</f>
        <v>14816</v>
      </c>
      <c r="BA76" s="154">
        <f>AY76-AZ76</f>
        <v>-2516</v>
      </c>
      <c r="BB76" s="66"/>
      <c r="BC76" s="66">
        <v>12300</v>
      </c>
      <c r="BD76" s="160">
        <f>'2024 Bdg vs Actual All'!AW76-'2024 Bdg vs Actual -OH'!BD76</f>
        <v>18774</v>
      </c>
      <c r="BE76" s="154">
        <f>BC76-BD76</f>
        <v>-6474</v>
      </c>
      <c r="BF76" s="66"/>
      <c r="BG76" s="66">
        <v>12300</v>
      </c>
      <c r="BH76" s="160">
        <f>'2024 Bdg vs Actual All'!BA76-'2024 Bdg vs Actual -OH'!BH76</f>
        <v>16628</v>
      </c>
      <c r="BI76" s="154">
        <f>BG76-BH76</f>
        <v>-4328</v>
      </c>
      <c r="BJ76" s="228" t="s">
        <v>179</v>
      </c>
      <c r="BK76" s="14"/>
      <c r="BL76" s="74"/>
      <c r="BM76" s="74"/>
      <c r="BN76" s="74"/>
      <c r="BO76" s="74"/>
      <c r="BP76" s="74"/>
      <c r="BQ76" s="74"/>
      <c r="BR76" s="74"/>
      <c r="BS76" s="74"/>
      <c r="BT76" s="74"/>
      <c r="BU76" s="74"/>
      <c r="BV76" s="74"/>
      <c r="CG76" s="66">
        <f t="shared" si="96"/>
        <v>147600</v>
      </c>
      <c r="CH76" s="154">
        <f t="shared" si="97"/>
        <v>191742</v>
      </c>
      <c r="CI76" s="152">
        <f t="shared" si="98"/>
        <v>-44142</v>
      </c>
    </row>
    <row r="77" spans="1:87" s="3" customFormat="1" x14ac:dyDescent="0.2">
      <c r="A77" t="s">
        <v>93</v>
      </c>
      <c r="B77"/>
      <c r="C77" s="16"/>
      <c r="D77" s="44"/>
      <c r="E77" s="44">
        <f>ROUND(O77+S77+W77+AA77+AE77+AI77+AM77+AQ77+AU77+AY77+BC77+BG77,-2)</f>
        <v>59400</v>
      </c>
      <c r="F77" s="44"/>
      <c r="G77" s="44"/>
      <c r="H77" s="44"/>
      <c r="I77" s="44"/>
      <c r="J77" s="44"/>
      <c r="K77" s="44"/>
      <c r="L77" s="44"/>
      <c r="M77" s="16"/>
      <c r="N77" s="16"/>
      <c r="O77" s="66">
        <v>7300</v>
      </c>
      <c r="P77" s="154">
        <f>'2024 Bdg vs Actual All'!I77-'2024 Bdg vs Actual -OH'!P77</f>
        <v>0</v>
      </c>
      <c r="Q77" s="152">
        <f>O77-P77</f>
        <v>7300</v>
      </c>
      <c r="R77" s="66"/>
      <c r="S77" s="66">
        <v>0</v>
      </c>
      <c r="T77" s="154">
        <f>'2024 Bdg vs Actual All'!M77-'2024 Bdg vs Actual -OH'!T77</f>
        <v>0</v>
      </c>
      <c r="U77" s="152">
        <f>S77-T77</f>
        <v>0</v>
      </c>
      <c r="V77" s="66"/>
      <c r="W77" s="66">
        <v>100</v>
      </c>
      <c r="X77" s="154">
        <f>'2024 Bdg vs Actual All'!Q77-'2024 Bdg vs Actual -OH'!X77</f>
        <v>564</v>
      </c>
      <c r="Y77" s="152">
        <f t="shared" si="93"/>
        <v>-464</v>
      </c>
      <c r="Z77" s="66"/>
      <c r="AA77" s="66">
        <v>0</v>
      </c>
      <c r="AB77" s="162">
        <f>'2024 Bdg vs Actual All'!U77-'2024 Bdg vs Actual -OH'!AB77</f>
        <v>640</v>
      </c>
      <c r="AC77" s="154">
        <f t="shared" si="94"/>
        <v>-640</v>
      </c>
      <c r="AD77" s="66"/>
      <c r="AE77" s="66">
        <v>0</v>
      </c>
      <c r="AF77" s="160">
        <f>'2024 Bdg vs Actual All'!Y77-'2024 Bdg vs Actual -OH'!AF77</f>
        <v>0</v>
      </c>
      <c r="AG77" s="154">
        <f t="shared" si="95"/>
        <v>0</v>
      </c>
      <c r="AH77" s="66"/>
      <c r="AI77" s="66">
        <v>0</v>
      </c>
      <c r="AJ77" s="160">
        <f>'2024 Bdg vs Actual All'!AC77-'2024 Bdg vs Actual -OH'!AJ77</f>
        <v>0</v>
      </c>
      <c r="AK77" s="154">
        <f>AI77-AJ77</f>
        <v>0</v>
      </c>
      <c r="AL77" s="66"/>
      <c r="AM77" s="66">
        <v>8500</v>
      </c>
      <c r="AN77" s="160">
        <f>'2024 Bdg vs Actual All'!AG77-'2024 Bdg vs Actual -OH'!AN77</f>
        <v>6263</v>
      </c>
      <c r="AO77" s="154">
        <f>AM77-AN77</f>
        <v>2237</v>
      </c>
      <c r="AP77" s="66"/>
      <c r="AQ77" s="66">
        <v>0</v>
      </c>
      <c r="AR77" s="160">
        <f>'2024 Bdg vs Actual All'!AK77-'2024 Bdg vs Actual -OH'!AR77</f>
        <v>298</v>
      </c>
      <c r="AS77" s="154">
        <f>AQ77-AR77</f>
        <v>-298</v>
      </c>
      <c r="AT77" s="66"/>
      <c r="AU77" s="66">
        <v>3800</v>
      </c>
      <c r="AV77" s="160">
        <f>'2024 Bdg vs Actual All'!AO77-'2024 Bdg vs Actual -OH'!AV77</f>
        <v>25</v>
      </c>
      <c r="AW77" s="154">
        <f>AU77-AV77</f>
        <v>3775</v>
      </c>
      <c r="AX77" s="66"/>
      <c r="AY77" s="66">
        <v>1000</v>
      </c>
      <c r="AZ77" s="160">
        <f>'2024 Bdg vs Actual All'!AS77-'2024 Bdg vs Actual -OH'!AZ77</f>
        <v>0</v>
      </c>
      <c r="BA77" s="154">
        <f>AY77-AZ77</f>
        <v>1000</v>
      </c>
      <c r="BB77" s="66"/>
      <c r="BC77" s="66">
        <v>15300</v>
      </c>
      <c r="BD77" s="160">
        <f>'2024 Bdg vs Actual All'!AW77-'2024 Bdg vs Actual -OH'!BD77</f>
        <v>0</v>
      </c>
      <c r="BE77" s="154">
        <f>BC77-BD77</f>
        <v>15300</v>
      </c>
      <c r="BF77" s="66"/>
      <c r="BG77" s="66">
        <v>23400</v>
      </c>
      <c r="BH77" s="160">
        <f>'2024 Bdg vs Actual All'!BA77-'2024 Bdg vs Actual -OH'!BH77</f>
        <v>0</v>
      </c>
      <c r="BI77" s="154">
        <f>BG77-BH77</f>
        <v>23400</v>
      </c>
      <c r="BJ77" s="66"/>
      <c r="BK77" s="14"/>
      <c r="BL77" s="74"/>
      <c r="BM77" s="74"/>
      <c r="BN77" s="74"/>
      <c r="BO77" s="74"/>
      <c r="BP77" s="74"/>
      <c r="BQ77" s="74"/>
      <c r="BR77" s="74"/>
      <c r="BS77" s="74"/>
      <c r="BT77" s="74"/>
      <c r="BU77" s="74"/>
      <c r="BV77" s="74"/>
      <c r="CG77" s="66">
        <f t="shared" si="96"/>
        <v>59400</v>
      </c>
      <c r="CH77" s="154">
        <f t="shared" si="97"/>
        <v>7790</v>
      </c>
      <c r="CI77" s="152">
        <f t="shared" si="98"/>
        <v>51610</v>
      </c>
    </row>
    <row r="78" spans="1:87" s="3" customFormat="1" x14ac:dyDescent="0.2">
      <c r="A78" t="s">
        <v>94</v>
      </c>
      <c r="B78"/>
      <c r="C78" s="16"/>
      <c r="D78" s="44"/>
      <c r="E78" s="44">
        <f>ROUND(O78+S78+W78+AA78+AE78+AI78+AM78+AQ78+AU78+AY78+BC78+BG78,-2)</f>
        <v>85300</v>
      </c>
      <c r="F78" s="44"/>
      <c r="G78" s="44"/>
      <c r="H78" s="44"/>
      <c r="I78" s="44"/>
      <c r="J78" s="44"/>
      <c r="K78" s="44"/>
      <c r="L78" s="44"/>
      <c r="M78" s="16"/>
      <c r="N78" s="16"/>
      <c r="O78" s="66">
        <v>7200</v>
      </c>
      <c r="P78" s="154">
        <f>'2024 Bdg vs Actual All'!I78-'2024 Bdg vs Actual -OH'!P78</f>
        <v>7764</v>
      </c>
      <c r="Q78" s="153">
        <f>O78-P78</f>
        <v>-564</v>
      </c>
      <c r="R78" s="66"/>
      <c r="S78" s="66">
        <v>11800</v>
      </c>
      <c r="T78" s="154">
        <f>'2024 Bdg vs Actual All'!M78-'2024 Bdg vs Actual -OH'!T78</f>
        <v>5245</v>
      </c>
      <c r="U78" s="153">
        <f>S78-T78</f>
        <v>6555</v>
      </c>
      <c r="V78" s="66"/>
      <c r="W78" s="66">
        <v>6200</v>
      </c>
      <c r="X78" s="154">
        <f>'2024 Bdg vs Actual All'!Q78-'2024 Bdg vs Actual -OH'!X78</f>
        <v>4393</v>
      </c>
      <c r="Y78" s="152">
        <f t="shared" si="93"/>
        <v>1807</v>
      </c>
      <c r="Z78" s="66"/>
      <c r="AA78" s="66">
        <v>6500</v>
      </c>
      <c r="AB78" s="162">
        <f>'2024 Bdg vs Actual All'!U78-'2024 Bdg vs Actual -OH'!AB78</f>
        <v>5004</v>
      </c>
      <c r="AC78" s="152">
        <f>AA78-AB78</f>
        <v>1496</v>
      </c>
      <c r="AD78" s="66"/>
      <c r="AE78" s="66">
        <v>6600</v>
      </c>
      <c r="AF78" s="160">
        <f>'2024 Bdg vs Actual All'!Y78-'2024 Bdg vs Actual -OH'!AF78</f>
        <v>4091</v>
      </c>
      <c r="AG78" s="152">
        <f>AE78-AF78</f>
        <v>2509</v>
      </c>
      <c r="AH78" s="66"/>
      <c r="AI78" s="66">
        <v>6600</v>
      </c>
      <c r="AJ78" s="160">
        <f>'2024 Bdg vs Actual All'!AC78-'2024 Bdg vs Actual -OH'!AJ78</f>
        <v>4971</v>
      </c>
      <c r="AK78" s="154">
        <f>AI78-AJ78</f>
        <v>1629</v>
      </c>
      <c r="AL78" s="66"/>
      <c r="AM78" s="66">
        <v>7000</v>
      </c>
      <c r="AN78" s="160">
        <f>'2024 Bdg vs Actual All'!AG78-'2024 Bdg vs Actual -OH'!AN78</f>
        <v>5373</v>
      </c>
      <c r="AO78" s="154">
        <f>AM78-AN78</f>
        <v>1627</v>
      </c>
      <c r="AP78" s="66"/>
      <c r="AQ78" s="66">
        <v>7200</v>
      </c>
      <c r="AR78" s="160">
        <f>'2024 Bdg vs Actual All'!AK78-'2024 Bdg vs Actual -OH'!AR78</f>
        <v>5321</v>
      </c>
      <c r="AS78" s="154">
        <f>AQ78-AR78</f>
        <v>1879</v>
      </c>
      <c r="AT78" s="66"/>
      <c r="AU78" s="66">
        <v>5200</v>
      </c>
      <c r="AV78" s="160">
        <f>'2024 Bdg vs Actual All'!AO78-'2024 Bdg vs Actual -OH'!AV78</f>
        <v>4578</v>
      </c>
      <c r="AW78" s="154">
        <f>AU78-AV78</f>
        <v>622</v>
      </c>
      <c r="AX78" s="66"/>
      <c r="AY78" s="66">
        <v>4800</v>
      </c>
      <c r="AZ78" s="160">
        <f>'2024 Bdg vs Actual All'!AS78-'2024 Bdg vs Actual -OH'!AZ78</f>
        <v>5175</v>
      </c>
      <c r="BA78" s="154">
        <f>AY78-AZ78</f>
        <v>-375</v>
      </c>
      <c r="BB78" s="66"/>
      <c r="BC78" s="66">
        <v>7300</v>
      </c>
      <c r="BD78" s="160">
        <f>'2024 Bdg vs Actual All'!AW78-'2024 Bdg vs Actual -OH'!BD78</f>
        <v>5352</v>
      </c>
      <c r="BE78" s="154">
        <f>BC78-BD78</f>
        <v>1948</v>
      </c>
      <c r="BF78" s="66"/>
      <c r="BG78" s="66">
        <v>8900</v>
      </c>
      <c r="BH78" s="160">
        <f>'2024 Bdg vs Actual All'!BA78-'2024 Bdg vs Actual -OH'!BH78</f>
        <v>6945</v>
      </c>
      <c r="BI78" s="154">
        <f>BG78-BH78</f>
        <v>1955</v>
      </c>
      <c r="BJ78" s="66"/>
      <c r="BK78" s="14"/>
      <c r="BL78" s="74"/>
      <c r="BM78" s="74"/>
      <c r="BN78" s="74"/>
      <c r="BO78" s="74"/>
      <c r="BP78" s="74"/>
      <c r="BQ78" s="74"/>
      <c r="BR78" s="74"/>
      <c r="BS78" s="74"/>
      <c r="BT78" s="74"/>
      <c r="BU78" s="74"/>
      <c r="BV78" s="74"/>
      <c r="CG78" s="66">
        <f t="shared" si="96"/>
        <v>85300</v>
      </c>
      <c r="CH78" s="154">
        <f t="shared" si="97"/>
        <v>64212</v>
      </c>
      <c r="CI78" s="152">
        <f t="shared" si="98"/>
        <v>21088</v>
      </c>
    </row>
    <row r="79" spans="1:87" s="3" customFormat="1" x14ac:dyDescent="0.2">
      <c r="A79" s="18" t="s">
        <v>95</v>
      </c>
      <c r="B79"/>
      <c r="C79" s="16"/>
      <c r="D79" s="44"/>
      <c r="E79" s="48">
        <f>SUM(E75:E78)</f>
        <v>399900</v>
      </c>
      <c r="F79" s="44"/>
      <c r="G79" s="44"/>
      <c r="H79" s="44"/>
      <c r="I79" s="44"/>
      <c r="J79" s="44"/>
      <c r="K79" s="44"/>
      <c r="L79" s="44"/>
      <c r="M79" s="16"/>
      <c r="N79" s="16"/>
      <c r="O79" s="67">
        <f>SUM(O75:O78)</f>
        <v>36600</v>
      </c>
      <c r="P79" s="156">
        <f>SUM(P75:P78)</f>
        <v>28493</v>
      </c>
      <c r="Q79" s="152">
        <f>O79-P79</f>
        <v>8107</v>
      </c>
      <c r="R79" s="67"/>
      <c r="S79" s="67">
        <f>SUM(S75:S78)</f>
        <v>33900</v>
      </c>
      <c r="T79" s="156">
        <f>SUM(T75:T78)</f>
        <v>33233</v>
      </c>
      <c r="U79" s="152">
        <f>S79-T79</f>
        <v>667</v>
      </c>
      <c r="V79" s="67"/>
      <c r="W79" s="67">
        <f t="shared" ref="W79:BG79" si="99">SUM(W75:W78)</f>
        <v>27400</v>
      </c>
      <c r="X79" s="156">
        <f t="shared" si="99"/>
        <v>29654</v>
      </c>
      <c r="Y79" s="202">
        <f>W79-X79</f>
        <v>-2254</v>
      </c>
      <c r="Z79" s="67"/>
      <c r="AA79" s="67">
        <f t="shared" si="99"/>
        <v>27600</v>
      </c>
      <c r="AB79" s="164">
        <f t="shared" si="99"/>
        <v>21716</v>
      </c>
      <c r="AC79" s="156">
        <f>AA79-AB79</f>
        <v>5884</v>
      </c>
      <c r="AD79" s="67"/>
      <c r="AE79" s="67">
        <f t="shared" si="99"/>
        <v>27700</v>
      </c>
      <c r="AF79" s="164">
        <f t="shared" si="99"/>
        <v>24706</v>
      </c>
      <c r="AG79" s="156">
        <f>AE79-AF79</f>
        <v>2994</v>
      </c>
      <c r="AH79" s="67"/>
      <c r="AI79" s="67">
        <f t="shared" si="99"/>
        <v>27700</v>
      </c>
      <c r="AJ79" s="164">
        <f>SUM(AJ75:AJ78)</f>
        <v>55396</v>
      </c>
      <c r="AK79" s="156">
        <f>AI79-AJ79</f>
        <v>-27696</v>
      </c>
      <c r="AL79" s="67"/>
      <c r="AM79" s="67">
        <f t="shared" si="99"/>
        <v>36600</v>
      </c>
      <c r="AN79" s="164">
        <f>SUM(AN75:AN78)</f>
        <v>25270</v>
      </c>
      <c r="AO79" s="156">
        <f>AM79-AN79</f>
        <v>11330</v>
      </c>
      <c r="AP79" s="67"/>
      <c r="AQ79" s="67">
        <f t="shared" si="99"/>
        <v>28300</v>
      </c>
      <c r="AR79" s="164">
        <f>SUM(AR75:AR78)</f>
        <v>27412</v>
      </c>
      <c r="AS79" s="156">
        <f>AQ79-AR79</f>
        <v>888</v>
      </c>
      <c r="AT79" s="67"/>
      <c r="AU79" s="67">
        <f t="shared" si="99"/>
        <v>30100</v>
      </c>
      <c r="AV79" s="164">
        <f>SUM(AV75:AV78)</f>
        <v>18140</v>
      </c>
      <c r="AW79" s="156">
        <f>AU79-AV79</f>
        <v>11960</v>
      </c>
      <c r="AX79" s="67"/>
      <c r="AY79" s="67">
        <f t="shared" si="99"/>
        <v>26900</v>
      </c>
      <c r="AZ79" s="164">
        <f>SUM(AZ75:AZ78)</f>
        <v>26702</v>
      </c>
      <c r="BA79" s="156">
        <f>AY79-AZ79</f>
        <v>198</v>
      </c>
      <c r="BB79" s="67"/>
      <c r="BC79" s="67">
        <f t="shared" si="99"/>
        <v>43700</v>
      </c>
      <c r="BD79" s="164">
        <f>SUM(BD75:BD78)</f>
        <v>28733</v>
      </c>
      <c r="BE79" s="156">
        <f>BC79-BD79</f>
        <v>14967</v>
      </c>
      <c r="BF79" s="67"/>
      <c r="BG79" s="67">
        <f t="shared" si="99"/>
        <v>53400</v>
      </c>
      <c r="BH79" s="164">
        <f>SUM(BH75:BH78)</f>
        <v>28265</v>
      </c>
      <c r="BI79" s="156">
        <f>BG79-BH79</f>
        <v>25135</v>
      </c>
      <c r="BJ79" s="67"/>
      <c r="BK79" s="14"/>
      <c r="BL79" s="74"/>
      <c r="BM79" s="74"/>
      <c r="BN79" s="74"/>
      <c r="BO79" s="74"/>
      <c r="BP79" s="74"/>
      <c r="BQ79" s="74"/>
      <c r="BR79" s="74"/>
      <c r="BS79" s="74"/>
      <c r="BT79" s="74"/>
      <c r="BU79" s="74"/>
      <c r="BV79" s="74"/>
      <c r="CG79" s="67">
        <f t="shared" ref="CG79:CH79" si="100">SUM(CG75:CG78)</f>
        <v>399900</v>
      </c>
      <c r="CH79" s="156">
        <f t="shared" si="100"/>
        <v>347720</v>
      </c>
      <c r="CI79" s="202">
        <f>CG79-CH79</f>
        <v>52180</v>
      </c>
    </row>
    <row r="80" spans="1:87" s="3" customFormat="1" x14ac:dyDescent="0.2">
      <c r="A80"/>
      <c r="B80"/>
      <c r="C80" s="16"/>
      <c r="D80" s="44"/>
      <c r="E80" s="44"/>
      <c r="F80" s="44"/>
      <c r="G80" s="44"/>
      <c r="H80" s="44"/>
      <c r="I80" s="44"/>
      <c r="J80" s="44"/>
      <c r="K80" s="44"/>
      <c r="L80" s="44"/>
      <c r="M80" s="16"/>
      <c r="N80" s="16"/>
      <c r="O80" s="66"/>
      <c r="P80" s="154"/>
      <c r="Q80" s="66"/>
      <c r="R80" s="66"/>
      <c r="S80" s="66"/>
      <c r="T80" s="154"/>
      <c r="U80" s="66"/>
      <c r="V80" s="66"/>
      <c r="W80" s="66"/>
      <c r="X80" s="154"/>
      <c r="Y80" s="154"/>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14"/>
      <c r="BL80" s="74"/>
      <c r="BM80" s="74"/>
      <c r="BN80" s="74"/>
      <c r="BO80" s="74"/>
      <c r="BP80" s="74"/>
      <c r="BQ80" s="74"/>
      <c r="BR80" s="74"/>
      <c r="BS80" s="74"/>
      <c r="BT80" s="74"/>
      <c r="BU80" s="74"/>
      <c r="BV80" s="74"/>
      <c r="CG80" s="66"/>
      <c r="CH80" s="154"/>
      <c r="CI80" s="154"/>
    </row>
    <row r="81" spans="1:87" s="3" customFormat="1" x14ac:dyDescent="0.2">
      <c r="A81" t="s">
        <v>96</v>
      </c>
      <c r="B81"/>
      <c r="C81" s="16"/>
      <c r="D81" s="44"/>
      <c r="E81" s="44">
        <f>E48+E58+E66+E72+E79</f>
        <v>2649200</v>
      </c>
      <c r="F81" s="44"/>
      <c r="G81" s="44"/>
      <c r="H81" s="44"/>
      <c r="I81" s="44"/>
      <c r="J81" s="44"/>
      <c r="K81" s="44"/>
      <c r="L81" s="44"/>
      <c r="M81" s="16"/>
      <c r="N81" s="16"/>
      <c r="O81" s="66">
        <f>O48+O58+O66+O72+O79</f>
        <v>210300</v>
      </c>
      <c r="P81" s="154">
        <f>P48+P58+P66+P72+P79</f>
        <v>213472</v>
      </c>
      <c r="Q81" s="152">
        <f>O81-P81</f>
        <v>-3172</v>
      </c>
      <c r="R81" s="66"/>
      <c r="S81" s="66">
        <f t="shared" ref="S81:BG81" si="101">S48+S58+S66+S72+S79</f>
        <v>208800</v>
      </c>
      <c r="T81" s="154">
        <f>T48+T58+T66+T72+T79</f>
        <v>196287</v>
      </c>
      <c r="U81" s="152">
        <f>S81-T81</f>
        <v>12513</v>
      </c>
      <c r="V81" s="66"/>
      <c r="W81" s="66">
        <f t="shared" si="101"/>
        <v>211230.90666666665</v>
      </c>
      <c r="X81" s="154">
        <f t="shared" si="101"/>
        <v>215060</v>
      </c>
      <c r="Y81" s="154">
        <f>W81-X81</f>
        <v>-3829.0933333333523</v>
      </c>
      <c r="Z81" s="66"/>
      <c r="AA81" s="66">
        <f t="shared" si="101"/>
        <v>220820</v>
      </c>
      <c r="AB81" s="162">
        <f t="shared" si="101"/>
        <v>243528</v>
      </c>
      <c r="AC81" s="154">
        <f>AA81-AB81</f>
        <v>-22708</v>
      </c>
      <c r="AD81" s="66"/>
      <c r="AE81" s="66">
        <f t="shared" si="101"/>
        <v>213220</v>
      </c>
      <c r="AF81" s="160">
        <f>'2024 Bdg vs Actual All'!Y81-'2024 Bdg vs Actual -OH'!AF81</f>
        <v>214854.91999999998</v>
      </c>
      <c r="AG81" s="154">
        <f>AE81-AF81</f>
        <v>-1634.9199999999837</v>
      </c>
      <c r="AH81" s="66"/>
      <c r="AI81" s="66">
        <f t="shared" si="101"/>
        <v>218020</v>
      </c>
      <c r="AJ81" s="160">
        <f>'2024 Bdg vs Actual All'!AC81-'2024 Bdg vs Actual -OH'!AJ81</f>
        <v>221733.06999999998</v>
      </c>
      <c r="AK81" s="154">
        <f>AI81-AJ81</f>
        <v>-3713.0699999999779</v>
      </c>
      <c r="AL81" s="66"/>
      <c r="AM81" s="66">
        <f t="shared" si="101"/>
        <v>220720</v>
      </c>
      <c r="AN81" s="160">
        <f>'2024 Bdg vs Actual All'!AG81-'2024 Bdg vs Actual -OH'!AN81</f>
        <v>212653</v>
      </c>
      <c r="AO81" s="154">
        <f>AM81-AN81</f>
        <v>8067</v>
      </c>
      <c r="AP81" s="66"/>
      <c r="AQ81" s="66">
        <f t="shared" si="101"/>
        <v>214520</v>
      </c>
      <c r="AR81" s="160">
        <f>'2024 Bdg vs Actual All'!AK81-'2024 Bdg vs Actual -OH'!AR81</f>
        <v>236784.5</v>
      </c>
      <c r="AS81" s="154">
        <f>AQ81-AR81</f>
        <v>-22264.5</v>
      </c>
      <c r="AT81" s="66"/>
      <c r="AU81" s="66">
        <f t="shared" si="101"/>
        <v>246720</v>
      </c>
      <c r="AV81" s="160">
        <f>'2024 Bdg vs Actual All'!AO81-'2024 Bdg vs Actual -OH'!AV81</f>
        <v>217320.5</v>
      </c>
      <c r="AW81" s="154">
        <f>AU81-AV81</f>
        <v>29399.5</v>
      </c>
      <c r="AX81" s="66"/>
      <c r="AY81" s="66">
        <f t="shared" si="101"/>
        <v>215620</v>
      </c>
      <c r="AZ81" s="160">
        <f>'2024 Bdg vs Actual All'!AS81-'2024 Bdg vs Actual -OH'!AZ81</f>
        <v>244453.78000000003</v>
      </c>
      <c r="BA81" s="154">
        <f>AY81-AZ81</f>
        <v>-28833.780000000028</v>
      </c>
      <c r="BB81" s="66"/>
      <c r="BC81" s="66">
        <f t="shared" si="101"/>
        <v>228020</v>
      </c>
      <c r="BD81" s="160">
        <f>'2024 Bdg vs Actual All'!AW81-'2024 Bdg vs Actual -OH'!BD81</f>
        <v>241572.06</v>
      </c>
      <c r="BE81" s="154">
        <f>BC81-BD81</f>
        <v>-13552.059999999998</v>
      </c>
      <c r="BF81" s="66"/>
      <c r="BG81" s="66">
        <f t="shared" si="101"/>
        <v>241220</v>
      </c>
      <c r="BH81" s="160">
        <f>'2024 Bdg vs Actual All'!BA81-'2024 Bdg vs Actual -OH'!BH81</f>
        <v>268524.94</v>
      </c>
      <c r="BI81" s="154">
        <f>BG81-BH81</f>
        <v>-27304.940000000002</v>
      </c>
      <c r="BJ81" s="66"/>
      <c r="BK81" s="14"/>
      <c r="BL81" s="74"/>
      <c r="BM81" s="74"/>
      <c r="BN81" s="74"/>
      <c r="BO81" s="74"/>
      <c r="BP81" s="74"/>
      <c r="BQ81" s="74"/>
      <c r="BR81" s="74"/>
      <c r="BS81" s="74"/>
      <c r="BT81" s="74"/>
      <c r="BU81" s="74"/>
      <c r="BV81" s="74"/>
      <c r="CG81" s="66">
        <f>CG48+CG58+CG66+CG72+CG79</f>
        <v>2649210.9066666667</v>
      </c>
      <c r="CH81" s="154">
        <f t="shared" ref="CH81" si="102">CH48+CH58+CH66+CH72+CH79</f>
        <v>2726242.7699999996</v>
      </c>
      <c r="CI81" s="154">
        <f>CG81-CH81</f>
        <v>-77031.863333332818</v>
      </c>
    </row>
    <row r="82" spans="1:87" x14ac:dyDescent="0.2">
      <c r="D82" s="44"/>
      <c r="E82" s="44"/>
      <c r="F82" s="44"/>
      <c r="G82" s="44"/>
      <c r="H82" s="44"/>
      <c r="I82" s="44"/>
      <c r="J82" s="44"/>
      <c r="K82" s="44"/>
      <c r="L82" s="44"/>
      <c r="O82" s="66"/>
      <c r="P82" s="154"/>
      <c r="Q82" s="66"/>
      <c r="R82" s="66"/>
      <c r="S82" s="66"/>
      <c r="T82" s="154"/>
      <c r="U82" s="66"/>
      <c r="V82" s="66"/>
      <c r="W82" s="66"/>
      <c r="X82" s="154"/>
      <c r="Y82" s="154"/>
      <c r="Z82" s="66"/>
      <c r="AA82" s="66"/>
      <c r="AB82" s="66"/>
      <c r="AC82" s="66"/>
      <c r="AD82" s="66"/>
      <c r="AE82" s="66"/>
      <c r="AF82" s="66"/>
      <c r="AG82" s="66"/>
      <c r="AH82" s="66"/>
      <c r="AI82" s="66"/>
      <c r="AJ82" s="66"/>
      <c r="AK82" s="66"/>
      <c r="AL82" s="66"/>
      <c r="AM82" s="68"/>
      <c r="AN82" s="66"/>
      <c r="AO82" s="66"/>
      <c r="AP82" s="68"/>
      <c r="AQ82" s="68"/>
      <c r="AR82" s="66"/>
      <c r="AS82" s="66"/>
      <c r="AT82" s="68"/>
      <c r="AU82" s="68"/>
      <c r="AV82" s="66"/>
      <c r="AW82" s="66"/>
      <c r="AX82" s="68"/>
      <c r="AY82" s="68"/>
      <c r="AZ82" s="66"/>
      <c r="BA82" s="66"/>
      <c r="BB82" s="68"/>
      <c r="BC82" s="68"/>
      <c r="BD82" s="66"/>
      <c r="BE82" s="66"/>
      <c r="BF82" s="68"/>
      <c r="BG82" s="68"/>
      <c r="BH82" s="66"/>
      <c r="BI82" s="66"/>
      <c r="BJ82" s="68"/>
      <c r="CG82" s="66"/>
      <c r="CH82" s="154"/>
      <c r="CI82" s="154"/>
    </row>
    <row r="83" spans="1:87" s="3" customFormat="1" x14ac:dyDescent="0.2">
      <c r="A83" s="25" t="s">
        <v>97</v>
      </c>
      <c r="B83" s="25"/>
      <c r="C83" s="13"/>
      <c r="D83" s="54"/>
      <c r="E83" s="54">
        <f>E41-E81</f>
        <v>1728900</v>
      </c>
      <c r="F83" s="54"/>
      <c r="G83" s="54"/>
      <c r="H83" s="54"/>
      <c r="I83" s="54"/>
      <c r="J83" s="54"/>
      <c r="K83" s="54"/>
      <c r="L83" s="54"/>
      <c r="M83" s="13"/>
      <c r="N83" s="13"/>
      <c r="O83" s="54">
        <f>O41-O81</f>
        <v>167698.97022333345</v>
      </c>
      <c r="P83" s="157">
        <f>P41-P81</f>
        <v>442.56999999983236</v>
      </c>
      <c r="Q83" s="155">
        <f>P83-O83</f>
        <v>-167256.40022333362</v>
      </c>
      <c r="R83" s="70"/>
      <c r="S83" s="70">
        <f t="shared" ref="S83:BG83" si="103">S41-S81</f>
        <v>124819.83333333326</v>
      </c>
      <c r="T83" s="157">
        <f>T41-T81</f>
        <v>92248</v>
      </c>
      <c r="U83" s="155">
        <f>T83-S83</f>
        <v>-32571.833333333256</v>
      </c>
      <c r="V83" s="70"/>
      <c r="W83" s="70">
        <f t="shared" si="103"/>
        <v>99486.462833333266</v>
      </c>
      <c r="X83" s="157">
        <f>X41-X81</f>
        <v>-7098.1632631055545</v>
      </c>
      <c r="Y83" s="157">
        <f>X83-W83</f>
        <v>-106584.62609643882</v>
      </c>
      <c r="Z83" s="70"/>
      <c r="AA83" s="70">
        <f t="shared" si="103"/>
        <v>97921.838838888681</v>
      </c>
      <c r="AB83" s="165">
        <f>AB41-AB81</f>
        <v>43504.818978532683</v>
      </c>
      <c r="AC83" s="157">
        <f>AB83-AA83</f>
        <v>-54417.019860355998</v>
      </c>
      <c r="AD83" s="70"/>
      <c r="AE83" s="70">
        <f t="shared" si="103"/>
        <v>119508.83763888886</v>
      </c>
      <c r="AF83" s="165">
        <f>AF41-AF81</f>
        <v>-6761.6810670896666</v>
      </c>
      <c r="AG83" s="157">
        <f>AF83-AE83</f>
        <v>-126270.51870597852</v>
      </c>
      <c r="AH83" s="70"/>
      <c r="AI83" s="70">
        <f t="shared" si="103"/>
        <v>103640.49763888866</v>
      </c>
      <c r="AJ83" s="165">
        <f>AJ41-AJ81</f>
        <v>186315.13855134588</v>
      </c>
      <c r="AK83" s="157">
        <f>AJ83-AI83</f>
        <v>82674.640912457224</v>
      </c>
      <c r="AL83" s="70"/>
      <c r="AM83" s="70">
        <f t="shared" si="103"/>
        <v>160490.49763888866</v>
      </c>
      <c r="AN83" s="165">
        <f>AN41-AN81</f>
        <v>121329.14153043879</v>
      </c>
      <c r="AO83" s="157">
        <f>AN83-AM83</f>
        <v>-39161.356108449865</v>
      </c>
      <c r="AP83" s="70"/>
      <c r="AQ83" s="70">
        <f t="shared" si="103"/>
        <v>167840.49763888866</v>
      </c>
      <c r="AR83" s="165">
        <f>AR41-AR81</f>
        <v>176882.73110795638</v>
      </c>
      <c r="AS83" s="157">
        <f>AR83-AQ83</f>
        <v>9042.2334690677235</v>
      </c>
      <c r="AT83" s="70"/>
      <c r="AU83" s="70">
        <f t="shared" si="103"/>
        <v>144590.49763888866</v>
      </c>
      <c r="AV83" s="165">
        <f>AV41-AV81</f>
        <v>68218.653068592073</v>
      </c>
      <c r="AW83" s="157">
        <f>AV83-AU83</f>
        <v>-76371.844570296584</v>
      </c>
      <c r="AX83" s="70"/>
      <c r="AY83" s="70">
        <f t="shared" si="103"/>
        <v>184640.49763888866</v>
      </c>
      <c r="AZ83" s="165">
        <f>AZ41-AZ81</f>
        <v>8732.3702707558405</v>
      </c>
      <c r="BA83" s="157">
        <f>AZ83-AY83</f>
        <v>-175908.12736813282</v>
      </c>
      <c r="BB83" s="70"/>
      <c r="BC83" s="70">
        <f t="shared" si="103"/>
        <v>181090.49763888866</v>
      </c>
      <c r="BD83" s="165">
        <f>BD41-BD81</f>
        <v>80608.94</v>
      </c>
      <c r="BE83" s="157">
        <f>BD83-BC83</f>
        <v>-100481.55763888865</v>
      </c>
      <c r="BF83" s="70"/>
      <c r="BG83" s="70">
        <f t="shared" si="103"/>
        <v>177077.33763888874</v>
      </c>
      <c r="BH83" s="165">
        <f>BH41-BH81</f>
        <v>7701.7999999999884</v>
      </c>
      <c r="BI83" s="157">
        <f>BH83-BG83</f>
        <v>-169375.53763888875</v>
      </c>
      <c r="BJ83" s="70"/>
      <c r="BK83" s="14"/>
      <c r="BL83" s="74"/>
      <c r="BM83" s="74"/>
      <c r="BN83" s="74"/>
      <c r="BO83" s="74"/>
      <c r="BP83" s="74"/>
      <c r="BQ83" s="74"/>
      <c r="BR83" s="74"/>
      <c r="BS83" s="74"/>
      <c r="BT83" s="74"/>
      <c r="BU83" s="74"/>
      <c r="BV83" s="74"/>
      <c r="CG83" s="70">
        <f t="shared" ref="CG83" si="104">CG41-CG81</f>
        <v>1728806.2663399973</v>
      </c>
      <c r="CH83" s="157">
        <f>CH41-CH81</f>
        <v>772125.31917742826</v>
      </c>
      <c r="CI83" s="157">
        <f>CH83-CG83</f>
        <v>-956680.94716256903</v>
      </c>
    </row>
    <row r="84" spans="1:87" s="3" customFormat="1" x14ac:dyDescent="0.2">
      <c r="A84" s="27" t="s">
        <v>98</v>
      </c>
      <c r="B84" s="27"/>
      <c r="C84" s="12"/>
      <c r="D84" s="12"/>
      <c r="E84" s="12">
        <f>E83/E11</f>
        <v>9.4990852000197801E-2</v>
      </c>
      <c r="F84" s="12"/>
      <c r="G84" s="12"/>
      <c r="H84" s="12"/>
      <c r="I84" s="12"/>
      <c r="J84" s="12"/>
      <c r="K84" s="12"/>
      <c r="L84" s="12"/>
      <c r="M84" s="12"/>
      <c r="N84" s="12"/>
      <c r="O84" s="12">
        <f>O83/O11</f>
        <v>0.10868378622382407</v>
      </c>
      <c r="P84" s="12">
        <f>P83/P11</f>
        <v>5.2670002080383853E-4</v>
      </c>
      <c r="Q84" s="179"/>
      <c r="R84" s="12"/>
      <c r="S84" s="12">
        <f t="shared" ref="S84:BG84" si="105">S83/S11</f>
        <v>8.441307910789278E-2</v>
      </c>
      <c r="T84" s="12">
        <f>T83/T11</f>
        <v>7.4511805833774897E-2</v>
      </c>
      <c r="U84" s="179"/>
      <c r="V84" s="12"/>
      <c r="W84" s="12">
        <f t="shared" si="105"/>
        <v>6.89816076841957E-2</v>
      </c>
      <c r="X84" s="12">
        <f t="shared" si="105"/>
        <v>-8.4768965850829572E-3</v>
      </c>
      <c r="Y84" s="215"/>
      <c r="Z84" s="12"/>
      <c r="AA84" s="12">
        <f t="shared" si="105"/>
        <v>6.7277652809415986E-2</v>
      </c>
      <c r="AB84" s="12">
        <f>AB83/AB11</f>
        <v>4.5911838959671374E-2</v>
      </c>
      <c r="AC84" s="12"/>
      <c r="AD84" s="12"/>
      <c r="AE84" s="12">
        <f t="shared" si="105"/>
        <v>8.1335415815940698E-2</v>
      </c>
      <c r="AF84" s="12">
        <f>AF83/AF11</f>
        <v>-7.9442455748743052E-3</v>
      </c>
      <c r="AG84" s="12"/>
      <c r="AH84" s="12"/>
      <c r="AI84" s="12">
        <f t="shared" si="105"/>
        <v>6.8217524983246611E-2</v>
      </c>
      <c r="AJ84" s="12">
        <f>AJ83/AJ11</f>
        <v>9.9993634068785461E-2</v>
      </c>
      <c r="AK84" s="12"/>
      <c r="AL84" s="12"/>
      <c r="AM84" s="12">
        <f t="shared" si="105"/>
        <v>0.10512145249093535</v>
      </c>
      <c r="AN84" s="12">
        <f>AN83/AN11</f>
        <v>9.1575521870528961E-2</v>
      </c>
      <c r="AO84" s="12"/>
      <c r="AP84" s="12"/>
      <c r="AQ84" s="12">
        <f t="shared" si="105"/>
        <v>0.10968784305623312</v>
      </c>
      <c r="AR84" s="12">
        <f>AR83/AR11</f>
        <v>0.13002469248102835</v>
      </c>
      <c r="AS84" s="12"/>
      <c r="AT84" s="12"/>
      <c r="AU84" s="12">
        <f t="shared" si="105"/>
        <v>9.3791574591688479E-2</v>
      </c>
      <c r="AV84" s="12">
        <f>AV83/AV11</f>
        <v>7.260725327850473E-2</v>
      </c>
      <c r="AW84" s="12"/>
      <c r="AX84" s="12"/>
      <c r="AY84" s="12">
        <f t="shared" si="105"/>
        <v>0.11888781115502189</v>
      </c>
      <c r="AZ84" s="12">
        <f>AZ83/AZ11</f>
        <v>9.5523643295314827E-3</v>
      </c>
      <c r="BA84" s="12"/>
      <c r="BB84" s="12"/>
      <c r="BC84" s="12">
        <f t="shared" si="105"/>
        <v>0.11574864952432309</v>
      </c>
      <c r="BD84" s="12">
        <f>BD83/BD11</f>
        <v>6.08471765436749E-2</v>
      </c>
      <c r="BE84" s="12"/>
      <c r="BF84" s="12"/>
      <c r="BG84" s="12">
        <f t="shared" si="105"/>
        <v>0.112315826288558</v>
      </c>
      <c r="BH84" s="12">
        <f>BH83/BH11</f>
        <v>9.1795736667401508E-3</v>
      </c>
      <c r="BI84" s="12"/>
      <c r="BJ84" s="12"/>
      <c r="BK84" s="14"/>
      <c r="BL84" s="74"/>
      <c r="BM84" s="74"/>
      <c r="BN84" s="74"/>
      <c r="BO84" s="74"/>
      <c r="BP84" s="74"/>
      <c r="BQ84" s="74"/>
      <c r="BR84" s="74"/>
      <c r="BS84" s="74"/>
      <c r="BT84" s="74"/>
      <c r="BU84" s="74"/>
      <c r="BV84" s="74"/>
      <c r="CG84" s="12">
        <f t="shared" ref="CG84:CH84" si="106">CG83/CG11</f>
        <v>9.498591862933467E-2</v>
      </c>
      <c r="CH84" s="12">
        <f t="shared" si="106"/>
        <v>5.8140068628604893E-2</v>
      </c>
      <c r="CI84" s="215"/>
    </row>
    <row r="85" spans="1:87" s="3" customFormat="1" x14ac:dyDescent="0.2">
      <c r="A85" s="23"/>
      <c r="B85" s="23"/>
      <c r="C85" s="1"/>
      <c r="D85" s="47"/>
      <c r="E85" s="47"/>
      <c r="F85" s="47"/>
      <c r="G85" s="47"/>
      <c r="H85" s="47"/>
      <c r="I85" s="47"/>
      <c r="J85" s="47"/>
      <c r="K85" s="47"/>
      <c r="L85" s="47"/>
      <c r="M85" s="1"/>
      <c r="N85" s="1"/>
      <c r="O85" s="47"/>
      <c r="P85" s="149"/>
      <c r="Q85" s="149"/>
      <c r="R85" s="149"/>
      <c r="S85" s="149"/>
      <c r="T85" s="149">
        <f>+T41-T81</f>
        <v>92248</v>
      </c>
      <c r="U85" s="149"/>
      <c r="V85" s="149"/>
      <c r="W85" s="149"/>
      <c r="X85" s="158"/>
      <c r="Y85" s="158"/>
      <c r="Z85" s="149"/>
      <c r="AA85" s="149"/>
      <c r="AB85" s="149"/>
      <c r="AC85" s="149"/>
      <c r="AD85" s="149"/>
      <c r="AE85" s="149"/>
      <c r="AF85" s="149"/>
      <c r="AG85" s="149"/>
      <c r="AH85" s="149"/>
      <c r="AI85" s="149"/>
      <c r="AJ85" s="149"/>
      <c r="AK85" s="149"/>
      <c r="AL85" s="149"/>
      <c r="AM85" s="149"/>
      <c r="AN85" s="149"/>
      <c r="AO85" s="149"/>
      <c r="AP85" s="149"/>
      <c r="AQ85" s="149"/>
      <c r="AR85" s="149"/>
      <c r="AS85" s="149"/>
      <c r="AT85" s="149"/>
      <c r="AU85" s="149"/>
      <c r="AV85" s="149"/>
      <c r="AW85" s="149"/>
      <c r="AX85" s="149"/>
      <c r="AY85" s="149"/>
      <c r="AZ85" s="149"/>
      <c r="BA85" s="149"/>
      <c r="BB85" s="149"/>
      <c r="BC85" s="149"/>
      <c r="BD85" s="149"/>
      <c r="BE85" s="149"/>
      <c r="BF85" s="149"/>
      <c r="BG85" s="149"/>
      <c r="BH85" s="149"/>
      <c r="BI85" s="149"/>
      <c r="BJ85" s="149"/>
      <c r="BK85" s="14"/>
      <c r="BL85" s="74"/>
      <c r="BM85" s="74"/>
      <c r="BN85" s="74"/>
      <c r="BO85" s="74"/>
      <c r="BP85" s="74"/>
      <c r="BQ85" s="74"/>
      <c r="BR85" s="74"/>
      <c r="BS85" s="74"/>
      <c r="BT85" s="74"/>
      <c r="BU85" s="74"/>
      <c r="BV85" s="74"/>
      <c r="CG85" s="149"/>
      <c r="CH85" s="158"/>
      <c r="CI85" s="158"/>
    </row>
    <row r="86" spans="1:87" s="3" customFormat="1" x14ac:dyDescent="0.2">
      <c r="A86" s="23" t="s">
        <v>99</v>
      </c>
      <c r="B86" s="23"/>
      <c r="C86" s="1"/>
      <c r="D86" s="47"/>
      <c r="E86" s="47"/>
      <c r="F86" s="47"/>
      <c r="G86" s="47"/>
      <c r="H86" s="47"/>
      <c r="I86" s="47"/>
      <c r="J86" s="47"/>
      <c r="K86" s="47"/>
      <c r="L86" s="47"/>
      <c r="M86" s="1"/>
      <c r="N86" s="1"/>
      <c r="O86" s="150"/>
      <c r="P86" s="149"/>
      <c r="Q86" s="149"/>
      <c r="R86" s="149"/>
      <c r="S86" s="149"/>
      <c r="T86" s="149"/>
      <c r="U86" s="149"/>
      <c r="V86" s="149"/>
      <c r="W86" s="149"/>
      <c r="X86" s="158"/>
      <c r="Y86" s="158"/>
      <c r="Z86" s="149"/>
      <c r="AA86" s="149"/>
      <c r="AB86" s="149"/>
      <c r="AC86" s="149"/>
      <c r="AD86" s="149"/>
      <c r="AE86" s="149"/>
      <c r="AF86" s="149"/>
      <c r="AG86" s="149"/>
      <c r="AH86" s="149"/>
      <c r="AI86" s="149"/>
      <c r="AJ86" s="149"/>
      <c r="AK86" s="149"/>
      <c r="AL86" s="149"/>
      <c r="AM86" s="149"/>
      <c r="AN86" s="149"/>
      <c r="AO86" s="149"/>
      <c r="AP86" s="149"/>
      <c r="AQ86" s="149"/>
      <c r="AR86" s="149"/>
      <c r="AS86" s="149"/>
      <c r="AT86" s="149"/>
      <c r="AU86" s="149"/>
      <c r="AV86" s="149"/>
      <c r="AW86" s="149"/>
      <c r="AX86" s="149"/>
      <c r="AY86" s="149"/>
      <c r="AZ86" s="149"/>
      <c r="BA86" s="149"/>
      <c r="BB86" s="149"/>
      <c r="BC86" s="149"/>
      <c r="BD86" s="149"/>
      <c r="BE86" s="149"/>
      <c r="BF86" s="149"/>
      <c r="BG86" s="149"/>
      <c r="BH86" s="149"/>
      <c r="BI86" s="149"/>
      <c r="BJ86" s="149"/>
      <c r="BK86" s="14"/>
      <c r="BL86" s="74"/>
      <c r="BM86" s="74"/>
      <c r="BN86" s="74"/>
      <c r="BO86" s="74"/>
      <c r="BP86" s="74"/>
      <c r="BQ86" s="74"/>
      <c r="BR86" s="74"/>
      <c r="BS86" s="74"/>
      <c r="BT86" s="74"/>
      <c r="BU86" s="74"/>
      <c r="BV86" s="74"/>
      <c r="CG86" s="149"/>
      <c r="CH86" s="158"/>
      <c r="CI86" s="158"/>
    </row>
    <row r="87" spans="1:87" s="3" customFormat="1" x14ac:dyDescent="0.2">
      <c r="A87" t="s">
        <v>100</v>
      </c>
      <c r="B87"/>
      <c r="C87" s="16"/>
      <c r="D87" s="44"/>
      <c r="F87" s="44"/>
      <c r="G87" s="44"/>
      <c r="H87" s="44"/>
      <c r="I87" s="44"/>
      <c r="J87" s="44"/>
      <c r="K87" s="44"/>
      <c r="L87" s="44"/>
      <c r="M87" s="7"/>
      <c r="N87" s="7"/>
      <c r="O87" s="151"/>
      <c r="P87" s="66">
        <f>'2024 Bdg vs Actual All'!I87-'2024 Bdg vs Actual -OH'!P87</f>
        <v>1028</v>
      </c>
      <c r="Q87" s="152">
        <f>P87-O87</f>
        <v>1028</v>
      </c>
      <c r="R87" s="66"/>
      <c r="S87" s="149"/>
      <c r="T87" s="66">
        <f>'2024 Bdg vs Actual All'!M87-'2024 Bdg vs Actual -OH'!T87</f>
        <v>0</v>
      </c>
      <c r="U87" s="152">
        <f>T87-S87</f>
        <v>0</v>
      </c>
      <c r="V87" s="149"/>
      <c r="W87" s="149"/>
      <c r="X87" s="154">
        <f>'2024 Bdg vs Actual All'!Q87-'2024 Bdg vs Actual -OH'!X87</f>
        <v>0</v>
      </c>
      <c r="Y87" s="158">
        <f t="shared" ref="Y87:Y88" si="107">X87-W87</f>
        <v>0</v>
      </c>
      <c r="Z87" s="149"/>
      <c r="AA87" s="149"/>
      <c r="AB87" s="154">
        <f>'2024 Bdg vs Actual All'!U87-'2024 Bdg vs Actual -OH'!AB87</f>
        <v>0</v>
      </c>
      <c r="AC87" s="152">
        <f t="shared" ref="AC87:AC89" si="108">AB87-AA87</f>
        <v>0</v>
      </c>
      <c r="AD87" s="149"/>
      <c r="AE87" s="149"/>
      <c r="AF87" s="149">
        <f>'2024 Bdg vs Actual All'!Y87-'2024 Bdg vs Actual -OH'!AF87</f>
        <v>0</v>
      </c>
      <c r="AG87" s="152">
        <f t="shared" ref="AG87:AG88" si="109">AF87-AE87</f>
        <v>0</v>
      </c>
      <c r="AH87" s="149"/>
      <c r="AI87" s="149"/>
      <c r="AJ87" s="149"/>
      <c r="AK87" s="149"/>
      <c r="AL87" s="149"/>
      <c r="AM87" s="149"/>
      <c r="AN87" s="149"/>
      <c r="AO87" s="149"/>
      <c r="AP87" s="149"/>
      <c r="AQ87" s="149"/>
      <c r="AR87" s="149"/>
      <c r="AS87" s="149"/>
      <c r="AT87" s="149"/>
      <c r="AU87" s="149"/>
      <c r="AV87" s="160">
        <f>'2024 Bdg vs Actual All'!AO87-'2024 Bdg vs Actual -OH'!AV87</f>
        <v>1090</v>
      </c>
      <c r="AW87" s="149"/>
      <c r="AX87" s="149"/>
      <c r="AY87" s="149"/>
      <c r="AZ87" s="160">
        <f>'2024 Bdg vs Actual All'!AS87-'2024 Bdg vs Actual -OH'!AZ87</f>
        <v>2411</v>
      </c>
      <c r="BA87" s="149"/>
      <c r="BB87" s="228" t="s">
        <v>180</v>
      </c>
      <c r="BC87" s="149"/>
      <c r="BD87" s="160">
        <f>'2024 Bdg vs Actual All'!AW87-'2024 Bdg vs Actual -OH'!BD87</f>
        <v>1801</v>
      </c>
      <c r="BE87" s="149"/>
      <c r="BF87" s="149"/>
      <c r="BG87" s="149"/>
      <c r="BH87" s="160">
        <f>'2024 Bdg vs Actual All'!BA87-'2024 Bdg vs Actual -OH'!BH87</f>
        <v>1994</v>
      </c>
      <c r="BI87" s="149"/>
      <c r="BJ87" s="228" t="s">
        <v>180</v>
      </c>
      <c r="BK87" s="14"/>
      <c r="BL87" s="74"/>
      <c r="BM87" s="74"/>
      <c r="BN87" s="74"/>
      <c r="BO87" s="74"/>
      <c r="BP87" s="74"/>
      <c r="BQ87" s="74"/>
      <c r="BR87" s="74"/>
      <c r="BS87" s="74"/>
      <c r="BT87" s="74"/>
      <c r="BU87" s="74"/>
      <c r="BV87" s="74"/>
      <c r="CG87" s="66">
        <f t="shared" ref="CG87:CG88" si="110">+W87+S87+O87+AA87+AE87+AI87+AM87+AQ87+AU87+AY87+BC87+BG87</f>
        <v>0</v>
      </c>
      <c r="CH87" s="154">
        <f t="shared" ref="CH87:CH88" si="111">+X87+T87+P87+AB87+AF87+AJ87+AN87+AR87+AV87+AZ87+BD87+BH87</f>
        <v>8324</v>
      </c>
      <c r="CI87" s="158"/>
    </row>
    <row r="88" spans="1:87" s="3" customFormat="1" ht="34" x14ac:dyDescent="0.2">
      <c r="A88" s="21" t="s">
        <v>99</v>
      </c>
      <c r="B88"/>
      <c r="C88" s="16"/>
      <c r="D88" s="44"/>
      <c r="E88" s="44"/>
      <c r="F88" s="44"/>
      <c r="G88" s="44"/>
      <c r="H88" s="44"/>
      <c r="I88" s="44"/>
      <c r="J88" s="44"/>
      <c r="K88" s="44"/>
      <c r="L88" s="44"/>
      <c r="M88" s="7"/>
      <c r="N88" s="7"/>
      <c r="O88" s="151"/>
      <c r="P88" s="66">
        <f>'2024 Bdg vs Actual All'!I88-'2024 Bdg vs Actual -OH'!P88</f>
        <v>600000</v>
      </c>
      <c r="Q88" s="152">
        <f>P88-O88</f>
        <v>600000</v>
      </c>
      <c r="R88" s="66"/>
      <c r="S88" s="66"/>
      <c r="T88" s="66">
        <f>'2024 Bdg vs Actual All'!M88-'2024 Bdg vs Actual -OH'!T88</f>
        <v>0</v>
      </c>
      <c r="U88" s="152">
        <f>T88-S88</f>
        <v>0</v>
      </c>
      <c r="V88" s="66"/>
      <c r="W88" s="66"/>
      <c r="X88" s="154">
        <f>'2024 Bdg vs Actual All'!Q88-'2024 Bdg vs Actual -OH'!X88</f>
        <v>0</v>
      </c>
      <c r="Y88" s="154">
        <f t="shared" si="107"/>
        <v>0</v>
      </c>
      <c r="Z88" s="66"/>
      <c r="AA88" s="66"/>
      <c r="AB88" s="160">
        <f>'2024 Bdg vs Actual All'!U88-'2024 Bdg vs Actual -OH'!AB88</f>
        <v>15470</v>
      </c>
      <c r="AC88" s="152">
        <f t="shared" si="108"/>
        <v>15470</v>
      </c>
      <c r="AD88" s="225" t="s">
        <v>181</v>
      </c>
      <c r="AE88" s="66"/>
      <c r="AF88" s="160">
        <f>'2024 Bdg vs Actual All'!Y88-'2024 Bdg vs Actual -OH'!AF88</f>
        <v>90848</v>
      </c>
      <c r="AG88" s="152">
        <f t="shared" si="109"/>
        <v>90848</v>
      </c>
      <c r="AH88" s="255" t="s">
        <v>101</v>
      </c>
      <c r="AI88" s="66"/>
      <c r="AJ88" s="160">
        <f>'2024 Bdg vs Actual All'!AC88-'2024 Bdg vs Actual -OH'!AJ88</f>
        <v>3246</v>
      </c>
      <c r="AK88" s="152">
        <f>AJ88-AI88</f>
        <v>3246</v>
      </c>
      <c r="AL88" s="66"/>
      <c r="AM88" s="66"/>
      <c r="AN88" s="160">
        <f>'2024 Bdg vs Actual All'!AG88-'2024 Bdg vs Actual -OH'!AN88</f>
        <v>0</v>
      </c>
      <c r="AO88" s="152">
        <f>AN88-AM88</f>
        <v>0</v>
      </c>
      <c r="AP88" s="66"/>
      <c r="AQ88" s="66"/>
      <c r="AR88" s="160">
        <f>'2024 Bdg vs Actual All'!AK88-'2024 Bdg vs Actual -OH'!AR88</f>
        <v>0</v>
      </c>
      <c r="AS88" s="152">
        <f>AR88-AQ88</f>
        <v>0</v>
      </c>
      <c r="AT88" s="66"/>
      <c r="AU88" s="66"/>
      <c r="AV88" s="160">
        <f>'2024 Bdg vs Actual All'!AO88-'2024 Bdg vs Actual -OH'!AV88</f>
        <v>0</v>
      </c>
      <c r="AW88" s="152">
        <f>AV88-AU88</f>
        <v>0</v>
      </c>
      <c r="AX88" s="66"/>
      <c r="AY88" s="66"/>
      <c r="AZ88" s="160">
        <f>'2024 Bdg vs Actual All'!AS88-'2024 Bdg vs Actual -OH'!AZ88</f>
        <v>9520</v>
      </c>
      <c r="BA88" s="152">
        <f>AZ88-AY88</f>
        <v>9520</v>
      </c>
      <c r="BB88" s="228" t="s">
        <v>182</v>
      </c>
      <c r="BC88" s="66"/>
      <c r="BD88" s="160">
        <f>'2024 Bdg vs Actual All'!AW88-'2024 Bdg vs Actual -OH'!BD88</f>
        <v>0</v>
      </c>
      <c r="BE88" s="152">
        <f>BD88-BC88</f>
        <v>0</v>
      </c>
      <c r="BF88" s="66"/>
      <c r="BG88" s="66"/>
      <c r="BH88" s="160">
        <f>'2024 Bdg vs Actual All'!BA88-'2024 Bdg vs Actual -OH'!BH88</f>
        <v>0</v>
      </c>
      <c r="BI88" s="152">
        <f>BH88-BG88</f>
        <v>0</v>
      </c>
      <c r="BJ88" s="66"/>
      <c r="BK88" s="14"/>
      <c r="BL88" s="74"/>
      <c r="BM88" s="74"/>
      <c r="BN88" s="74"/>
      <c r="BO88" s="74"/>
      <c r="BP88" s="74"/>
      <c r="BQ88" s="74"/>
      <c r="BR88" s="74"/>
      <c r="BS88" s="74"/>
      <c r="BT88" s="74"/>
      <c r="BU88" s="74"/>
      <c r="BV88" s="74"/>
      <c r="CG88" s="66">
        <f t="shared" si="110"/>
        <v>0</v>
      </c>
      <c r="CH88" s="154">
        <f t="shared" si="111"/>
        <v>719084</v>
      </c>
      <c r="CI88" s="154">
        <f>CH88-CG88</f>
        <v>719084</v>
      </c>
    </row>
    <row r="89" spans="1:87" s="3" customFormat="1" x14ac:dyDescent="0.2">
      <c r="A89" s="141" t="s">
        <v>102</v>
      </c>
      <c r="B89" s="23"/>
      <c r="C89" s="1"/>
      <c r="D89" s="47"/>
      <c r="E89" s="49">
        <f>E87+E88</f>
        <v>0</v>
      </c>
      <c r="F89" s="47"/>
      <c r="G89" s="47"/>
      <c r="H89" s="47"/>
      <c r="I89" s="47"/>
      <c r="J89" s="47"/>
      <c r="K89" s="47"/>
      <c r="L89" s="47"/>
      <c r="M89" s="1"/>
      <c r="N89" s="1"/>
      <c r="O89" s="182">
        <f>O87+O88</f>
        <v>0</v>
      </c>
      <c r="P89" s="67">
        <f>P87+P88</f>
        <v>601028</v>
      </c>
      <c r="Q89" s="67">
        <f>Q87+Q88</f>
        <v>601028</v>
      </c>
      <c r="R89" s="149"/>
      <c r="S89" s="149"/>
      <c r="T89" s="67">
        <f>T87+T88</f>
        <v>0</v>
      </c>
      <c r="U89" s="67">
        <f>U87+U88</f>
        <v>0</v>
      </c>
      <c r="V89" s="149"/>
      <c r="W89" s="71"/>
      <c r="X89" s="156">
        <f>X87+X88</f>
        <v>0</v>
      </c>
      <c r="Y89" s="155"/>
      <c r="Z89" s="149"/>
      <c r="AA89" s="67">
        <f t="shared" ref="AA89:BG89" si="112">AA87+AA88</f>
        <v>0</v>
      </c>
      <c r="AB89" s="164">
        <f>AB87+AB88</f>
        <v>15470</v>
      </c>
      <c r="AC89" s="67">
        <f t="shared" si="108"/>
        <v>15470</v>
      </c>
      <c r="AD89" s="67"/>
      <c r="AE89" s="67">
        <f t="shared" si="112"/>
        <v>0</v>
      </c>
      <c r="AF89" s="164">
        <f>AF87+AF88</f>
        <v>90848</v>
      </c>
      <c r="AG89" s="67">
        <f t="shared" ref="AG89" si="113">AF89-AE89</f>
        <v>90848</v>
      </c>
      <c r="AH89" s="67"/>
      <c r="AI89" s="67">
        <f t="shared" si="112"/>
        <v>0</v>
      </c>
      <c r="AJ89" s="164">
        <f>AJ87+AJ88</f>
        <v>3246</v>
      </c>
      <c r="AK89" s="67">
        <f>AJ89-AI89</f>
        <v>3246</v>
      </c>
      <c r="AL89" s="67"/>
      <c r="AM89" s="67">
        <f t="shared" si="112"/>
        <v>0</v>
      </c>
      <c r="AN89" s="164">
        <f>AN87+AN88</f>
        <v>0</v>
      </c>
      <c r="AO89" s="67">
        <f>AN89-AM89</f>
        <v>0</v>
      </c>
      <c r="AP89" s="67"/>
      <c r="AQ89" s="67">
        <f t="shared" si="112"/>
        <v>0</v>
      </c>
      <c r="AR89" s="164">
        <f>AR87+AR88</f>
        <v>0</v>
      </c>
      <c r="AS89" s="67">
        <f>AR89-AQ89</f>
        <v>0</v>
      </c>
      <c r="AT89" s="67"/>
      <c r="AU89" s="67">
        <f t="shared" si="112"/>
        <v>0</v>
      </c>
      <c r="AV89" s="164">
        <f>AV87+AV88</f>
        <v>1090</v>
      </c>
      <c r="AW89" s="67">
        <f>AV89-AU89</f>
        <v>1090</v>
      </c>
      <c r="AX89" s="67"/>
      <c r="AY89" s="67">
        <f t="shared" si="112"/>
        <v>0</v>
      </c>
      <c r="AZ89" s="164">
        <f>AZ87+AZ88</f>
        <v>11931</v>
      </c>
      <c r="BA89" s="67">
        <f>AZ89-AY89</f>
        <v>11931</v>
      </c>
      <c r="BB89" s="67"/>
      <c r="BC89" s="67">
        <f t="shared" si="112"/>
        <v>0</v>
      </c>
      <c r="BD89" s="164">
        <f>BD87+BD88</f>
        <v>1801</v>
      </c>
      <c r="BE89" s="67">
        <f>BD89-BC89</f>
        <v>1801</v>
      </c>
      <c r="BF89" s="67"/>
      <c r="BG89" s="67">
        <f t="shared" si="112"/>
        <v>0</v>
      </c>
      <c r="BH89" s="164">
        <f>BH87+BH88</f>
        <v>1994</v>
      </c>
      <c r="BI89" s="67">
        <f>BH89-BG89</f>
        <v>1994</v>
      </c>
      <c r="BJ89" s="67"/>
      <c r="BK89" s="14"/>
      <c r="BL89" s="74"/>
      <c r="BM89" s="74"/>
      <c r="BN89" s="74"/>
      <c r="BO89" s="74"/>
      <c r="BP89" s="74"/>
      <c r="BQ89" s="74"/>
      <c r="BR89" s="74"/>
      <c r="BS89" s="74"/>
      <c r="BT89" s="74"/>
      <c r="BU89" s="74"/>
      <c r="BV89" s="74"/>
      <c r="CG89" s="71">
        <f>CG87+CG88</f>
        <v>0</v>
      </c>
      <c r="CH89" s="156">
        <f>CH87+CH88</f>
        <v>727408</v>
      </c>
      <c r="CI89" s="155"/>
    </row>
    <row r="90" spans="1:87" s="3" customFormat="1" x14ac:dyDescent="0.2">
      <c r="A90" s="23" t="s">
        <v>103</v>
      </c>
      <c r="B90" s="23"/>
      <c r="C90" s="1"/>
      <c r="D90" s="47"/>
      <c r="E90" s="47"/>
      <c r="F90" s="47"/>
      <c r="G90" s="47"/>
      <c r="H90" s="47"/>
      <c r="I90" s="47"/>
      <c r="J90" s="47"/>
      <c r="K90" s="47"/>
      <c r="L90" s="47"/>
      <c r="M90" s="1"/>
      <c r="N90" s="1"/>
      <c r="O90" s="150"/>
      <c r="P90" s="149"/>
      <c r="Q90" s="149"/>
      <c r="R90" s="149"/>
      <c r="S90" s="149"/>
      <c r="T90" s="149"/>
      <c r="U90" s="149"/>
      <c r="V90" s="149"/>
      <c r="W90" s="149"/>
      <c r="X90" s="158"/>
      <c r="Y90" s="158"/>
      <c r="Z90" s="149"/>
      <c r="AA90" s="149"/>
      <c r="AB90" s="149"/>
      <c r="AC90" s="149"/>
      <c r="AD90" s="149"/>
      <c r="AE90" s="149"/>
      <c r="AF90" s="149"/>
      <c r="AG90" s="149"/>
      <c r="AH90" s="149"/>
      <c r="AI90" s="149"/>
      <c r="AJ90" s="149"/>
      <c r="AK90" s="149"/>
      <c r="AL90" s="149"/>
      <c r="AM90" s="149"/>
      <c r="AN90" s="149"/>
      <c r="AO90" s="149"/>
      <c r="AP90" s="149"/>
      <c r="AQ90" s="149"/>
      <c r="AR90" s="149"/>
      <c r="AS90" s="149"/>
      <c r="AT90" s="149"/>
      <c r="AU90" s="149"/>
      <c r="AV90" s="149"/>
      <c r="AW90" s="149"/>
      <c r="AX90" s="149"/>
      <c r="AY90" s="149"/>
      <c r="AZ90" s="149"/>
      <c r="BA90" s="149"/>
      <c r="BB90" s="149"/>
      <c r="BC90" s="149"/>
      <c r="BD90" s="149"/>
      <c r="BE90" s="149"/>
      <c r="BF90" s="149"/>
      <c r="BG90" s="149"/>
      <c r="BH90" s="149"/>
      <c r="BI90" s="149"/>
      <c r="BJ90" s="149"/>
      <c r="BK90" s="14"/>
      <c r="BL90" s="74"/>
      <c r="BM90" s="74"/>
      <c r="BN90" s="74"/>
      <c r="BO90" s="74"/>
      <c r="BP90" s="74"/>
      <c r="BQ90" s="74"/>
      <c r="BR90" s="74"/>
      <c r="BS90" s="74"/>
      <c r="BT90" s="74"/>
      <c r="BU90" s="74"/>
      <c r="BV90" s="74"/>
      <c r="CG90" s="149"/>
      <c r="CH90" s="158"/>
      <c r="CI90" s="158"/>
    </row>
    <row r="91" spans="1:87" s="3" customFormat="1" x14ac:dyDescent="0.2">
      <c r="A91" t="s">
        <v>104</v>
      </c>
      <c r="B91" s="23"/>
      <c r="C91" s="1"/>
      <c r="D91" s="47"/>
      <c r="E91" s="44">
        <f>ROUND(O91+S92+W92+AA92+AE92+AI92+AM92+AQ92+AU92+AY92+BC92+BG92,-2)</f>
        <v>19100</v>
      </c>
      <c r="F91" s="47"/>
      <c r="G91" s="47"/>
      <c r="H91" s="47"/>
      <c r="I91" s="47"/>
      <c r="J91" s="47"/>
      <c r="K91" s="47"/>
      <c r="L91" s="47"/>
      <c r="M91" s="1"/>
      <c r="N91" s="1"/>
      <c r="O91" s="44">
        <v>2100</v>
      </c>
      <c r="P91" s="66">
        <f>'2024 Bdg vs Actual All'!I91-'2024 Bdg vs Actual -OH'!P91</f>
        <v>2024</v>
      </c>
      <c r="Q91" s="152">
        <f>P91-O91</f>
        <v>-76</v>
      </c>
      <c r="R91" s="149"/>
      <c r="S91" s="66">
        <v>2000</v>
      </c>
      <c r="T91" s="66">
        <f>'2024 Bdg vs Actual All'!M91-'2024 Bdg vs Actual -OH'!T91</f>
        <v>1995</v>
      </c>
      <c r="U91" s="152">
        <f>S91-T91</f>
        <v>5</v>
      </c>
      <c r="V91" s="66"/>
      <c r="W91" s="66">
        <v>2000</v>
      </c>
      <c r="X91" s="154">
        <f>'2024 Bdg vs Actual All'!Q91-'2024 Bdg vs Actual -OH'!X91</f>
        <v>1983</v>
      </c>
      <c r="Y91" s="152">
        <f>W91-X91</f>
        <v>17</v>
      </c>
      <c r="Z91" s="66"/>
      <c r="AA91" s="66">
        <v>1900</v>
      </c>
      <c r="AB91" s="160">
        <f>'2024 Bdg vs Actual All'!U91-'2024 Bdg vs Actual -OH'!AB91</f>
        <v>2211</v>
      </c>
      <c r="AC91" s="152">
        <f t="shared" ref="AC91:AC94" si="114">AA91-AB91</f>
        <v>-311</v>
      </c>
      <c r="AD91" s="66"/>
      <c r="AE91" s="66">
        <v>1800</v>
      </c>
      <c r="AF91" s="160">
        <f>'2024 Bdg vs Actual All'!Y91-'2024 Bdg vs Actual -OH'!AF91</f>
        <v>1900</v>
      </c>
      <c r="AG91" s="152">
        <f t="shared" ref="AG91:AG93" si="115">AE91-AF91</f>
        <v>-100</v>
      </c>
      <c r="AH91" s="66"/>
      <c r="AI91" s="66">
        <v>1800</v>
      </c>
      <c r="AJ91" s="160">
        <f>'2024 Bdg vs Actual All'!AC91-'2024 Bdg vs Actual -OH'!AJ91</f>
        <v>1697</v>
      </c>
      <c r="AK91" s="152">
        <f>AI91-AJ91</f>
        <v>103</v>
      </c>
      <c r="AL91" s="66"/>
      <c r="AM91" s="66">
        <v>1600</v>
      </c>
      <c r="AN91" s="160">
        <f>'2024 Bdg vs Actual All'!AG91-'2024 Bdg vs Actual -OH'!AN91</f>
        <v>1607</v>
      </c>
      <c r="AO91" s="152">
        <f>AM91-AN91</f>
        <v>-7</v>
      </c>
      <c r="AP91" s="66"/>
      <c r="AQ91" s="66">
        <v>1500</v>
      </c>
      <c r="AR91" s="160">
        <f>'2024 Bdg vs Actual All'!AK91-'2024 Bdg vs Actual -OH'!AR91</f>
        <v>1544</v>
      </c>
      <c r="AS91" s="152">
        <f>AQ91-AR91</f>
        <v>-44</v>
      </c>
      <c r="AT91" s="66"/>
      <c r="AU91" s="66">
        <v>1500</v>
      </c>
      <c r="AV91" s="160">
        <f>'2024 Bdg vs Actual All'!AO91-'2024 Bdg vs Actual -OH'!AV91</f>
        <v>1469</v>
      </c>
      <c r="AW91" s="152">
        <f>AU91-AV91</f>
        <v>31</v>
      </c>
      <c r="AX91" s="66"/>
      <c r="AY91" s="66">
        <v>1200</v>
      </c>
      <c r="AZ91" s="160">
        <f>'2024 Bdg vs Actual All'!AS91-'2024 Bdg vs Actual -OH'!AZ91</f>
        <v>1276</v>
      </c>
      <c r="BA91" s="152">
        <f>AY91-AZ91</f>
        <v>-76</v>
      </c>
      <c r="BB91" s="66"/>
      <c r="BC91" s="66">
        <v>1100</v>
      </c>
      <c r="BD91" s="160">
        <f>'2024 Bdg vs Actual All'!AW91-'2024 Bdg vs Actual -OH'!BD91</f>
        <v>1246</v>
      </c>
      <c r="BE91" s="152">
        <f>BC91-BD91</f>
        <v>-146</v>
      </c>
      <c r="BF91" s="66"/>
      <c r="BG91" s="66">
        <v>1100</v>
      </c>
      <c r="BH91" s="160">
        <f>'2024 Bdg vs Actual All'!BA91-'2024 Bdg vs Actual -OH'!BH91</f>
        <v>1126</v>
      </c>
      <c r="BI91" s="152">
        <f>BG91-BH91</f>
        <v>-26</v>
      </c>
      <c r="BJ91" s="66"/>
      <c r="BK91" s="14"/>
      <c r="BL91" s="74"/>
      <c r="BM91" s="74"/>
      <c r="BN91" s="74"/>
      <c r="BO91" s="74"/>
      <c r="BP91" s="74"/>
      <c r="BQ91" s="74"/>
      <c r="BR91" s="74"/>
      <c r="BS91" s="74"/>
      <c r="BT91" s="74"/>
      <c r="BU91" s="74"/>
      <c r="BV91" s="74"/>
      <c r="CG91" s="66">
        <f t="shared" ref="CG91:CG93" si="116">+W91+S91+O91+AA91+AE91+AI91+AM91+AQ91+AU91+AY91+BC91+BG91</f>
        <v>19600</v>
      </c>
      <c r="CH91" s="154">
        <f t="shared" ref="CH91:CH93" si="117">+X91+T91+P91+AB91+AF91+AJ91+AN91+AR91+AV91+AZ91+BD91+BH91</f>
        <v>20078</v>
      </c>
      <c r="CI91" s="152">
        <f>CG91-CH91</f>
        <v>-478</v>
      </c>
    </row>
    <row r="92" spans="1:87" s="3" customFormat="1" x14ac:dyDescent="0.2">
      <c r="A92" t="s">
        <v>105</v>
      </c>
      <c r="B92" s="23"/>
      <c r="C92" s="1"/>
      <c r="D92" s="47"/>
      <c r="E92" s="47"/>
      <c r="F92" s="47"/>
      <c r="G92" s="47"/>
      <c r="H92" s="47"/>
      <c r="I92" s="47"/>
      <c r="J92" s="47"/>
      <c r="K92" s="47"/>
      <c r="L92" s="47"/>
      <c r="M92" s="1"/>
      <c r="N92" s="1"/>
      <c r="O92" s="150"/>
      <c r="P92" s="66">
        <f>'2024 Bdg vs Actual All'!I92-'2024 Bdg vs Actual -OH'!P92</f>
        <v>6327</v>
      </c>
      <c r="Q92" s="152">
        <f>O92-P92</f>
        <v>-6327</v>
      </c>
      <c r="R92" s="149"/>
      <c r="S92" s="66"/>
      <c r="T92" s="66">
        <f>'2024 Bdg vs Actual All'!M92-'2024 Bdg vs Actual -OH'!T92</f>
        <v>52</v>
      </c>
      <c r="U92" s="152">
        <f t="shared" ref="U92:U94" si="118">S92-T92</f>
        <v>-52</v>
      </c>
      <c r="V92" s="66"/>
      <c r="W92" s="66">
        <v>17000</v>
      </c>
      <c r="X92" s="154">
        <f>'2024 Bdg vs Actual All'!Q92-'2024 Bdg vs Actual -OH'!X92</f>
        <v>4000</v>
      </c>
      <c r="Y92" s="152">
        <f t="shared" ref="Y92:Y94" si="119">W92-X92</f>
        <v>13000</v>
      </c>
      <c r="Z92" s="66"/>
      <c r="AA92" s="66"/>
      <c r="AB92" s="160">
        <f>'2024 Bdg vs Actual All'!U92-'2024 Bdg vs Actual -OH'!AB92</f>
        <v>4579</v>
      </c>
      <c r="AC92" s="152">
        <f t="shared" si="114"/>
        <v>-4579</v>
      </c>
      <c r="AD92" s="66"/>
      <c r="AE92" s="66"/>
      <c r="AF92" s="160">
        <f>'2024 Bdg vs Actual All'!Y92-'2024 Bdg vs Actual -OH'!AF92</f>
        <v>1257</v>
      </c>
      <c r="AG92" s="152">
        <f t="shared" si="115"/>
        <v>-1257</v>
      </c>
      <c r="AH92" s="66"/>
      <c r="AI92" s="66"/>
      <c r="AJ92" s="160">
        <f>'2024 Bdg vs Actual All'!AC92-'2024 Bdg vs Actual -OH'!AJ92</f>
        <v>0</v>
      </c>
      <c r="AK92" s="152">
        <f>AI92-AJ92</f>
        <v>0</v>
      </c>
      <c r="AL92" s="66"/>
      <c r="AM92" s="66"/>
      <c r="AN92" s="160">
        <f>'2024 Bdg vs Actual All'!AG92-'2024 Bdg vs Actual -OH'!AN92</f>
        <v>4450</v>
      </c>
      <c r="AO92" s="152">
        <f>AM92-AN92</f>
        <v>-4450</v>
      </c>
      <c r="AP92" s="66"/>
      <c r="AQ92" s="66"/>
      <c r="AR92" s="160">
        <f>'2024 Bdg vs Actual All'!AK92-'2024 Bdg vs Actual -OH'!AR92</f>
        <v>1</v>
      </c>
      <c r="AS92" s="152">
        <f>AQ92-AR92</f>
        <v>-1</v>
      </c>
      <c r="AT92" s="66"/>
      <c r="AU92" s="66"/>
      <c r="AV92" s="160">
        <f>'2024 Bdg vs Actual All'!AO92-'2024 Bdg vs Actual -OH'!AV92</f>
        <v>0</v>
      </c>
      <c r="AW92" s="152">
        <f>AU92-AV92</f>
        <v>0</v>
      </c>
      <c r="AX92" s="66"/>
      <c r="AY92" s="66"/>
      <c r="AZ92" s="160">
        <f>'2024 Bdg vs Actual All'!AS92-'2024 Bdg vs Actual -OH'!AZ92</f>
        <v>601</v>
      </c>
      <c r="BA92" s="152">
        <f>AY92-AZ92</f>
        <v>-601</v>
      </c>
      <c r="BB92" s="66"/>
      <c r="BC92" s="66"/>
      <c r="BD92" s="160">
        <f>'2024 Bdg vs Actual All'!AW92-'2024 Bdg vs Actual -OH'!BD92</f>
        <v>6042</v>
      </c>
      <c r="BE92" s="152">
        <f>BC92-BD92</f>
        <v>-6042</v>
      </c>
      <c r="BF92" s="66"/>
      <c r="BG92" s="66"/>
      <c r="BH92" s="160">
        <f>'2024 Bdg vs Actual All'!BA92-'2024 Bdg vs Actual -OH'!BH92</f>
        <v>600</v>
      </c>
      <c r="BI92" s="152">
        <f>BG92-BH92</f>
        <v>-600</v>
      </c>
      <c r="BJ92" s="66"/>
      <c r="BK92" s="14"/>
      <c r="BL92" s="74"/>
      <c r="BM92" s="74"/>
      <c r="BN92" s="74"/>
      <c r="BO92" s="74"/>
      <c r="BP92" s="74"/>
      <c r="BQ92" s="74"/>
      <c r="BR92" s="74"/>
      <c r="BS92" s="74"/>
      <c r="BT92" s="74"/>
      <c r="BU92" s="74"/>
      <c r="BV92" s="74"/>
      <c r="CG92" s="66">
        <f t="shared" si="116"/>
        <v>17000</v>
      </c>
      <c r="CH92" s="154">
        <f t="shared" si="117"/>
        <v>27909</v>
      </c>
      <c r="CI92" s="152">
        <f t="shared" ref="CI92:CI94" si="120">CG92-CH92</f>
        <v>-10909</v>
      </c>
    </row>
    <row r="93" spans="1:87" s="3" customFormat="1" x14ac:dyDescent="0.2">
      <c r="A93" t="s">
        <v>106</v>
      </c>
      <c r="B93" s="23"/>
      <c r="C93" s="1"/>
      <c r="D93" s="47"/>
      <c r="E93" s="47"/>
      <c r="F93" s="47"/>
      <c r="G93" s="47"/>
      <c r="H93" s="47"/>
      <c r="I93" s="47"/>
      <c r="J93" s="47"/>
      <c r="K93" s="47"/>
      <c r="L93" s="47"/>
      <c r="M93" s="1"/>
      <c r="N93" s="1"/>
      <c r="O93" s="150"/>
      <c r="P93" s="66">
        <f>'2024 Bdg vs Actual All'!I93-'2024 Bdg vs Actual -OH'!P93</f>
        <v>27972</v>
      </c>
      <c r="Q93" s="152">
        <f>O93-P93</f>
        <v>-27972</v>
      </c>
      <c r="R93" s="149"/>
      <c r="S93" s="149"/>
      <c r="T93" s="66">
        <f>'2024 Bdg vs Actual All'!M93-'2024 Bdg vs Actual -OH'!T93</f>
        <v>34196</v>
      </c>
      <c r="U93" s="152">
        <f t="shared" si="118"/>
        <v>-34196</v>
      </c>
      <c r="V93" s="149"/>
      <c r="W93" s="149"/>
      <c r="X93" s="154">
        <f>'2024 Bdg vs Actual All'!Q93-'2024 Bdg vs Actual -OH'!X93</f>
        <v>43552</v>
      </c>
      <c r="Y93" s="152">
        <f t="shared" si="119"/>
        <v>-43552</v>
      </c>
      <c r="Z93" s="149"/>
      <c r="AA93" s="149"/>
      <c r="AB93" s="160">
        <f>'2024 Bdg vs Actual All'!U93-'2024 Bdg vs Actual -OH'!AB93</f>
        <v>28488</v>
      </c>
      <c r="AC93" s="152">
        <f t="shared" si="114"/>
        <v>-28488</v>
      </c>
      <c r="AD93" s="149"/>
      <c r="AE93" s="149"/>
      <c r="AF93" s="160">
        <f>'2024 Bdg vs Actual All'!Y93-'2024 Bdg vs Actual -OH'!AF93</f>
        <v>13250</v>
      </c>
      <c r="AG93" s="152">
        <f t="shared" si="115"/>
        <v>-13250</v>
      </c>
      <c r="AH93" s="149"/>
      <c r="AI93" s="149"/>
      <c r="AJ93" s="160">
        <f>'2024 Bdg vs Actual All'!AC93-'2024 Bdg vs Actual -OH'!AJ93</f>
        <v>28699</v>
      </c>
      <c r="AK93" s="152">
        <f>AI93-AJ93</f>
        <v>-28699</v>
      </c>
      <c r="AL93" s="149"/>
      <c r="AM93" s="149"/>
      <c r="AN93" s="160">
        <f>'2024 Bdg vs Actual All'!AG93-'2024 Bdg vs Actual -OH'!AN93</f>
        <v>20831</v>
      </c>
      <c r="AO93" s="152">
        <f>AM93-AN93</f>
        <v>-20831</v>
      </c>
      <c r="AP93" s="149"/>
      <c r="AQ93" s="149"/>
      <c r="AR93" s="160">
        <f>'2024 Bdg vs Actual All'!AK93-'2024 Bdg vs Actual -OH'!AR93</f>
        <v>15612</v>
      </c>
      <c r="AS93" s="152">
        <f>AQ93-AR93</f>
        <v>-15612</v>
      </c>
      <c r="AT93" s="149"/>
      <c r="AU93" s="149"/>
      <c r="AV93" s="160">
        <f>'2024 Bdg vs Actual All'!AO93-'2024 Bdg vs Actual -OH'!AV93</f>
        <v>16576</v>
      </c>
      <c r="AW93" s="152">
        <f>AU93-AV93</f>
        <v>-16576</v>
      </c>
      <c r="AX93" s="149"/>
      <c r="AY93" s="149"/>
      <c r="AZ93" s="160">
        <f>'2024 Bdg vs Actual All'!AS93-'2024 Bdg vs Actual -OH'!AZ93</f>
        <v>15462</v>
      </c>
      <c r="BA93" s="152">
        <f>AY93-AZ93</f>
        <v>-15462</v>
      </c>
      <c r="BB93" s="149"/>
      <c r="BC93" s="149"/>
      <c r="BD93" s="160">
        <f>'2024 Bdg vs Actual All'!AW93-'2024 Bdg vs Actual -OH'!BD93</f>
        <v>15308</v>
      </c>
      <c r="BE93" s="152">
        <f>BC93-BD93</f>
        <v>-15308</v>
      </c>
      <c r="BF93" s="149"/>
      <c r="BG93" s="149"/>
      <c r="BH93" s="160">
        <f>'2024 Bdg vs Actual All'!BA93-'2024 Bdg vs Actual -OH'!BH93</f>
        <v>18050</v>
      </c>
      <c r="BI93" s="152">
        <f>BG93-BH93</f>
        <v>-18050</v>
      </c>
      <c r="BJ93" s="149"/>
      <c r="BK93" s="14"/>
      <c r="BL93" s="74"/>
      <c r="BM93" s="74"/>
      <c r="BN93" s="74"/>
      <c r="BO93" s="74"/>
      <c r="BP93" s="74"/>
      <c r="BQ93" s="74"/>
      <c r="BR93" s="74"/>
      <c r="BS93" s="74"/>
      <c r="BT93" s="74"/>
      <c r="BU93" s="74"/>
      <c r="BV93" s="74"/>
      <c r="CG93" s="66">
        <f t="shared" si="116"/>
        <v>0</v>
      </c>
      <c r="CH93" s="154">
        <f t="shared" si="117"/>
        <v>277996</v>
      </c>
      <c r="CI93" s="152">
        <f t="shared" si="120"/>
        <v>-277996</v>
      </c>
    </row>
    <row r="94" spans="1:87" s="3" customFormat="1" x14ac:dyDescent="0.2">
      <c r="A94" s="23" t="s">
        <v>108</v>
      </c>
      <c r="B94" s="23"/>
      <c r="C94" s="1"/>
      <c r="D94" s="47"/>
      <c r="E94" s="47">
        <f>SUM(E91:E93)</f>
        <v>19100</v>
      </c>
      <c r="F94" s="47"/>
      <c r="G94" s="47"/>
      <c r="H94" s="47"/>
      <c r="I94" s="47"/>
      <c r="J94" s="47"/>
      <c r="K94" s="47"/>
      <c r="L94" s="47"/>
      <c r="M94" s="1"/>
      <c r="N94" s="1"/>
      <c r="O94" s="48">
        <f>SUM(O91:O93)</f>
        <v>2100</v>
      </c>
      <c r="P94" s="67">
        <f>SUM(P91:P93)</f>
        <v>36323</v>
      </c>
      <c r="Q94" s="156">
        <f>SUM(Q91:Q93)</f>
        <v>-34375</v>
      </c>
      <c r="R94" s="149"/>
      <c r="S94" s="48">
        <f>SUM(S91:S93)</f>
        <v>2000</v>
      </c>
      <c r="T94" s="67">
        <f>SUM(T91:T93)</f>
        <v>36243</v>
      </c>
      <c r="U94" s="156">
        <f t="shared" si="118"/>
        <v>-34243</v>
      </c>
      <c r="V94" s="149"/>
      <c r="W94" s="48">
        <f>SUM(W91:W93)</f>
        <v>19000</v>
      </c>
      <c r="X94" s="156">
        <f>SUM(X91:X93)</f>
        <v>49535</v>
      </c>
      <c r="Y94" s="156">
        <f t="shared" si="119"/>
        <v>-30535</v>
      </c>
      <c r="Z94" s="149"/>
      <c r="AA94" s="67">
        <f t="shared" ref="AA94:BG94" si="121">SUM(AA91:AA93)</f>
        <v>1900</v>
      </c>
      <c r="AB94" s="164">
        <f>SUM(AB91:AB93)</f>
        <v>35278</v>
      </c>
      <c r="AC94" s="156">
        <f t="shared" si="114"/>
        <v>-33378</v>
      </c>
      <c r="AD94" s="67"/>
      <c r="AE94" s="67">
        <f t="shared" si="121"/>
        <v>1800</v>
      </c>
      <c r="AF94" s="164">
        <f>SUM(AF91:AF93)</f>
        <v>16407</v>
      </c>
      <c r="AG94" s="156">
        <f t="shared" ref="AG94" si="122">AE94-AF94</f>
        <v>-14607</v>
      </c>
      <c r="AH94" s="67"/>
      <c r="AI94" s="67">
        <f t="shared" si="121"/>
        <v>1800</v>
      </c>
      <c r="AJ94" s="164">
        <f>SUM(AJ91:AJ93)</f>
        <v>30396</v>
      </c>
      <c r="AK94" s="156">
        <f>AI94-AJ94</f>
        <v>-28596</v>
      </c>
      <c r="AL94" s="67"/>
      <c r="AM94" s="67">
        <f t="shared" si="121"/>
        <v>1600</v>
      </c>
      <c r="AN94" s="164">
        <f>SUM(AN91:AN93)</f>
        <v>26888</v>
      </c>
      <c r="AO94" s="156">
        <f>AM94-AN94</f>
        <v>-25288</v>
      </c>
      <c r="AP94" s="67"/>
      <c r="AQ94" s="67">
        <f t="shared" si="121"/>
        <v>1500</v>
      </c>
      <c r="AR94" s="164">
        <f>SUM(AR91:AR93)</f>
        <v>17157</v>
      </c>
      <c r="AS94" s="156">
        <f>AQ94-AR94</f>
        <v>-15657</v>
      </c>
      <c r="AT94" s="67"/>
      <c r="AU94" s="67">
        <f t="shared" si="121"/>
        <v>1500</v>
      </c>
      <c r="AV94" s="164">
        <f>SUM(AV91:AV93)</f>
        <v>18045</v>
      </c>
      <c r="AW94" s="156">
        <f>AU94-AV94</f>
        <v>-16545</v>
      </c>
      <c r="AX94" s="67"/>
      <c r="AY94" s="67">
        <f t="shared" si="121"/>
        <v>1200</v>
      </c>
      <c r="AZ94" s="164">
        <f>SUM(AZ91:AZ93)</f>
        <v>17339</v>
      </c>
      <c r="BA94" s="156">
        <f>AY94-AZ94</f>
        <v>-16139</v>
      </c>
      <c r="BB94" s="67"/>
      <c r="BC94" s="67">
        <f t="shared" si="121"/>
        <v>1100</v>
      </c>
      <c r="BD94" s="164">
        <f>SUM(BD91:BD93)</f>
        <v>22596</v>
      </c>
      <c r="BE94" s="156">
        <f>BC94-BD94</f>
        <v>-21496</v>
      </c>
      <c r="BF94" s="67"/>
      <c r="BG94" s="67">
        <f t="shared" si="121"/>
        <v>1100</v>
      </c>
      <c r="BH94" s="164">
        <f>SUM(BH91:BH93)</f>
        <v>19776</v>
      </c>
      <c r="BI94" s="156">
        <f>BG94-BH94</f>
        <v>-18676</v>
      </c>
      <c r="BJ94" s="67"/>
      <c r="BK94" s="14"/>
      <c r="BL94" s="74"/>
      <c r="BM94" s="74"/>
      <c r="BN94" s="74"/>
      <c r="BO94" s="74"/>
      <c r="BP94" s="74"/>
      <c r="BQ94" s="74"/>
      <c r="BR94" s="74"/>
      <c r="BS94" s="74"/>
      <c r="BT94" s="74"/>
      <c r="BU94" s="74"/>
      <c r="BV94" s="74"/>
      <c r="CG94" s="48">
        <f>SUM(CG91:CG93)</f>
        <v>36600</v>
      </c>
      <c r="CH94" s="156">
        <f>SUM(CH91:CH93)</f>
        <v>325983</v>
      </c>
      <c r="CI94" s="156">
        <f t="shared" si="120"/>
        <v>-289383</v>
      </c>
    </row>
    <row r="95" spans="1:87" s="3" customFormat="1" x14ac:dyDescent="0.2">
      <c r="A95" s="23"/>
      <c r="B95" s="23"/>
      <c r="C95" s="1"/>
      <c r="D95" s="47"/>
      <c r="E95" s="47">
        <f>E89-E94</f>
        <v>-19100</v>
      </c>
      <c r="F95" s="47"/>
      <c r="G95" s="47"/>
      <c r="H95" s="47"/>
      <c r="I95" s="47"/>
      <c r="J95" s="47"/>
      <c r="K95" s="47"/>
      <c r="L95" s="47"/>
      <c r="M95" s="1"/>
      <c r="N95" s="1"/>
      <c r="O95" s="150"/>
      <c r="P95" s="149"/>
      <c r="Q95" s="149"/>
      <c r="R95" s="149"/>
      <c r="S95" s="149"/>
      <c r="T95" s="149"/>
      <c r="U95" s="149"/>
      <c r="V95" s="149"/>
      <c r="W95" s="149"/>
      <c r="X95" s="158"/>
      <c r="Y95" s="158"/>
      <c r="Z95" s="149"/>
      <c r="AA95" s="149"/>
      <c r="AB95" s="149"/>
      <c r="AC95" s="149"/>
      <c r="AD95" s="149"/>
      <c r="AE95" s="149"/>
      <c r="AF95" s="149"/>
      <c r="AG95" s="149"/>
      <c r="AH95" s="149"/>
      <c r="AI95" s="149"/>
      <c r="AJ95" s="149"/>
      <c r="AK95" s="149"/>
      <c r="AL95" s="149"/>
      <c r="AM95" s="149"/>
      <c r="AN95" s="149"/>
      <c r="AO95" s="149"/>
      <c r="AP95" s="149"/>
      <c r="AQ95" s="149"/>
      <c r="AR95" s="149"/>
      <c r="AS95" s="149"/>
      <c r="AT95" s="149"/>
      <c r="AU95" s="149"/>
      <c r="AV95" s="149"/>
      <c r="AW95" s="149"/>
      <c r="AX95" s="149"/>
      <c r="AY95" s="149"/>
      <c r="AZ95" s="149"/>
      <c r="BA95" s="149"/>
      <c r="BB95" s="149"/>
      <c r="BC95" s="149"/>
      <c r="BD95" s="149"/>
      <c r="BE95" s="149"/>
      <c r="BF95" s="149"/>
      <c r="BG95" s="149"/>
      <c r="BH95" s="149"/>
      <c r="BI95" s="149"/>
      <c r="BJ95" s="149"/>
      <c r="BK95" s="14"/>
      <c r="BL95" s="74"/>
      <c r="BM95" s="74"/>
      <c r="BN95" s="74"/>
      <c r="BO95" s="74"/>
      <c r="BP95" s="74"/>
      <c r="BQ95" s="74"/>
      <c r="BR95" s="74"/>
      <c r="BS95" s="74"/>
      <c r="BT95" s="74"/>
      <c r="BU95" s="74"/>
      <c r="BV95" s="74"/>
      <c r="CG95" s="149"/>
      <c r="CH95" s="158"/>
      <c r="CI95" s="158"/>
    </row>
    <row r="96" spans="1:87" s="3" customFormat="1" x14ac:dyDescent="0.2">
      <c r="A96" s="23" t="s">
        <v>109</v>
      </c>
      <c r="B96" s="23"/>
      <c r="C96" s="1"/>
      <c r="D96" s="47"/>
      <c r="E96" s="47">
        <f>E83+E95</f>
        <v>1709800</v>
      </c>
      <c r="F96" s="47"/>
      <c r="G96" s="47"/>
      <c r="H96" s="47"/>
      <c r="I96" s="47"/>
      <c r="J96" s="47"/>
      <c r="K96" s="47"/>
      <c r="L96" s="47"/>
      <c r="M96" s="1"/>
      <c r="N96" s="1"/>
      <c r="O96" s="54">
        <f>O83+O89-O94</f>
        <v>165598.97022333345</v>
      </c>
      <c r="P96" s="70">
        <f>P83+P89-P94</f>
        <v>565147.56999999983</v>
      </c>
      <c r="Q96" s="70">
        <f>P96-O96</f>
        <v>399548.59977666638</v>
      </c>
      <c r="R96" s="149"/>
      <c r="S96" s="54">
        <f>S83+S89-S94</f>
        <v>122819.83333333326</v>
      </c>
      <c r="T96" s="70">
        <f>T83+T89-T94</f>
        <v>56005</v>
      </c>
      <c r="U96" s="70">
        <f>T96-S96</f>
        <v>-66814.833333333256</v>
      </c>
      <c r="V96" s="149"/>
      <c r="W96" s="70">
        <f t="shared" ref="W96:X96" si="123">W83+W89-W94</f>
        <v>80486.462833333266</v>
      </c>
      <c r="X96" s="157">
        <f t="shared" si="123"/>
        <v>-56633.163263105555</v>
      </c>
      <c r="Y96" s="157">
        <f>X96-W96</f>
        <v>-137119.62609643882</v>
      </c>
      <c r="Z96" s="149"/>
      <c r="AA96" s="70">
        <f t="shared" ref="AA96:BG96" si="124">AA83+AA89-AA94</f>
        <v>96021.838838888681</v>
      </c>
      <c r="AB96" s="165">
        <f t="shared" si="124"/>
        <v>23696.818978532683</v>
      </c>
      <c r="AC96" s="157">
        <f>AB96-AA96</f>
        <v>-72325.019860355998</v>
      </c>
      <c r="AD96" s="70"/>
      <c r="AE96" s="70">
        <f t="shared" si="124"/>
        <v>117708.83763888886</v>
      </c>
      <c r="AF96" s="165">
        <f t="shared" si="124"/>
        <v>67679.318932910333</v>
      </c>
      <c r="AG96" s="157">
        <f>AF96-AE96</f>
        <v>-50029.518705978524</v>
      </c>
      <c r="AH96" s="70"/>
      <c r="AI96" s="70">
        <f t="shared" si="124"/>
        <v>101840.49763888866</v>
      </c>
      <c r="AJ96" s="165">
        <f>AJ83+AJ89-AJ94</f>
        <v>159165.13855134588</v>
      </c>
      <c r="AK96" s="157">
        <f>AJ96-AI96</f>
        <v>57324.640912457224</v>
      </c>
      <c r="AL96" s="70"/>
      <c r="AM96" s="70">
        <f t="shared" si="124"/>
        <v>158890.49763888866</v>
      </c>
      <c r="AN96" s="165">
        <f>AN83+AN89-AN94</f>
        <v>94441.141530438792</v>
      </c>
      <c r="AO96" s="157">
        <f>AN96-AM96</f>
        <v>-64449.356108449865</v>
      </c>
      <c r="AP96" s="70"/>
      <c r="AQ96" s="70">
        <f t="shared" si="124"/>
        <v>166340.49763888866</v>
      </c>
      <c r="AR96" s="165">
        <f>AR83+AR89-AR94</f>
        <v>159725.73110795638</v>
      </c>
      <c r="AS96" s="157">
        <f>AR96-AQ96</f>
        <v>-6614.7665309322765</v>
      </c>
      <c r="AT96" s="70"/>
      <c r="AU96" s="70">
        <f t="shared" si="124"/>
        <v>143090.49763888866</v>
      </c>
      <c r="AV96" s="165">
        <f>AV83+AV89-AV94</f>
        <v>51263.653068592073</v>
      </c>
      <c r="AW96" s="157">
        <f>AV96-AU96</f>
        <v>-91826.844570296584</v>
      </c>
      <c r="AX96" s="70"/>
      <c r="AY96" s="70">
        <f t="shared" si="124"/>
        <v>183440.49763888866</v>
      </c>
      <c r="AZ96" s="165">
        <f>AZ83+AZ89-AZ94</f>
        <v>3324.3702707558405</v>
      </c>
      <c r="BA96" s="157">
        <f>AZ96-AY96</f>
        <v>-180116.12736813282</v>
      </c>
      <c r="BB96" s="70"/>
      <c r="BC96" s="70">
        <f t="shared" si="124"/>
        <v>179990.49763888866</v>
      </c>
      <c r="BD96" s="165">
        <f>BD83+BD89-BD94</f>
        <v>59813.94</v>
      </c>
      <c r="BE96" s="157">
        <f>BD96-BC96</f>
        <v>-120176.55763888865</v>
      </c>
      <c r="BF96" s="70"/>
      <c r="BG96" s="70">
        <f t="shared" si="124"/>
        <v>175977.33763888874</v>
      </c>
      <c r="BH96" s="165">
        <f>BH83+BH89-BH94</f>
        <v>-10080.200000000012</v>
      </c>
      <c r="BI96" s="157">
        <f>BH96-BG96</f>
        <v>-186057.53763888875</v>
      </c>
      <c r="BJ96" s="70"/>
      <c r="BK96" s="14"/>
      <c r="BL96" s="74"/>
      <c r="BM96" s="74"/>
      <c r="BN96" s="74"/>
      <c r="BO96" s="74"/>
      <c r="BP96" s="74"/>
      <c r="BQ96" s="74"/>
      <c r="BR96" s="74"/>
      <c r="BS96" s="74"/>
      <c r="BT96" s="74"/>
      <c r="BU96" s="74"/>
      <c r="BV96" s="74"/>
      <c r="CG96" s="70">
        <f t="shared" ref="CG96:CH96" si="125">CG83+CG89-CG94</f>
        <v>1692206.2663399973</v>
      </c>
      <c r="CH96" s="157">
        <f t="shared" si="125"/>
        <v>1173550.3191774283</v>
      </c>
      <c r="CI96" s="157">
        <f>CH96-CG96</f>
        <v>-518655.94716256903</v>
      </c>
    </row>
    <row r="97" spans="1:86" s="3" customFormat="1" x14ac:dyDescent="0.2">
      <c r="A97" s="23"/>
      <c r="B97"/>
      <c r="C97" s="16"/>
      <c r="D97" s="16"/>
      <c r="E97" s="26"/>
      <c r="F97" s="26"/>
      <c r="G97" s="26"/>
      <c r="H97" s="26"/>
      <c r="I97" s="26"/>
      <c r="J97" s="26"/>
      <c r="K97" s="26"/>
      <c r="L97" s="26"/>
      <c r="M97" s="16"/>
      <c r="N97" s="16"/>
      <c r="O97" s="26"/>
      <c r="P97" s="26"/>
      <c r="Q97" s="26"/>
      <c r="R97" s="26"/>
      <c r="S97" s="149"/>
      <c r="T97" s="149"/>
      <c r="U97" s="149"/>
      <c r="V97" s="149"/>
      <c r="W97" s="149"/>
      <c r="X97" s="149"/>
      <c r="Y97" s="149"/>
      <c r="Z97" s="149"/>
      <c r="AA97" s="149"/>
      <c r="AB97" s="149"/>
      <c r="AC97" s="149"/>
      <c r="AD97" s="149"/>
      <c r="AE97" s="149"/>
      <c r="AF97" s="149"/>
      <c r="AG97" s="149"/>
      <c r="AH97" s="149"/>
      <c r="AI97" s="149"/>
      <c r="AJ97" s="149"/>
      <c r="AK97" s="149"/>
      <c r="AL97" s="149"/>
      <c r="AM97" s="149"/>
      <c r="AN97" s="149"/>
      <c r="AO97" s="149"/>
      <c r="AP97" s="149"/>
      <c r="AQ97" s="149"/>
      <c r="AR97" s="149"/>
      <c r="AS97" s="149"/>
      <c r="AT97" s="149"/>
      <c r="AU97" s="149"/>
      <c r="AV97" s="149"/>
      <c r="AW97" s="149"/>
      <c r="AX97" s="149"/>
      <c r="AY97" s="149"/>
      <c r="AZ97" s="149">
        <f>+AZ96+AV96+AR96+AN96+AJ96+AF96+AB96+X96+T96+P96</f>
        <v>1123815.5791774262</v>
      </c>
      <c r="BA97" s="149"/>
      <c r="BB97" s="149"/>
      <c r="BC97" s="149"/>
      <c r="BD97" s="149">
        <f>+BD96+AZ96+AV96+AR96+AN96+AJ96</f>
        <v>527733.97452908894</v>
      </c>
      <c r="BE97" s="149"/>
      <c r="BF97" s="149"/>
      <c r="BG97" s="149"/>
      <c r="BH97" s="149">
        <f>+BH96+BD96+AZ96+AV96+AR96+AN96</f>
        <v>358488.63597774308</v>
      </c>
      <c r="BI97" s="149"/>
      <c r="BJ97" s="149"/>
      <c r="BK97" s="74"/>
      <c r="BL97" s="74"/>
      <c r="BM97" s="74"/>
      <c r="BN97" s="74"/>
      <c r="BO97" s="74"/>
      <c r="BP97" s="74"/>
      <c r="BQ97" s="74"/>
      <c r="BR97" s="74"/>
      <c r="BS97" s="74"/>
      <c r="BT97" s="74"/>
      <c r="BU97" s="74"/>
      <c r="BV97" s="74"/>
      <c r="CH97" s="273"/>
    </row>
    <row r="98" spans="1:86" s="3" customFormat="1" x14ac:dyDescent="0.2">
      <c r="A98" s="27" t="s">
        <v>110</v>
      </c>
      <c r="B98" s="12"/>
      <c r="C98" s="12"/>
      <c r="D98" s="12"/>
      <c r="E98" s="12">
        <f>E83/E11</f>
        <v>9.4990852000197801E-2</v>
      </c>
      <c r="F98" s="12"/>
      <c r="G98" s="12" t="e">
        <f>G83/G11</f>
        <v>#DIV/0!</v>
      </c>
      <c r="H98" s="12"/>
      <c r="I98" s="12" t="e">
        <f>I83/I11</f>
        <v>#DIV/0!</v>
      </c>
      <c r="J98" s="12"/>
      <c r="K98" s="12" t="e">
        <f>K83/K11</f>
        <v>#DIV/0!</v>
      </c>
      <c r="L98" s="12"/>
      <c r="M98" s="12" t="e">
        <f>M83/M11</f>
        <v>#DIV/0!</v>
      </c>
      <c r="N98" s="12"/>
      <c r="O98" s="12">
        <f>+O96/O11</f>
        <v>0.10732280022154822</v>
      </c>
      <c r="P98" s="12">
        <f>+P96/P11</f>
        <v>0.67257888441681868</v>
      </c>
      <c r="Q98" s="12"/>
      <c r="R98" s="12"/>
      <c r="S98" s="12">
        <f>+S96/S11</f>
        <v>8.3060520354149431E-2</v>
      </c>
      <c r="T98" s="12">
        <f>+T96/T11</f>
        <v>4.5237118265117539E-2</v>
      </c>
      <c r="U98" s="12"/>
      <c r="V98" s="12"/>
      <c r="W98" s="12">
        <f>+W96/W11</f>
        <v>5.5807448017916157E-2</v>
      </c>
      <c r="X98" s="12">
        <f>+X96/X11</f>
        <v>-6.7633477911499262E-2</v>
      </c>
      <c r="Y98" s="12"/>
      <c r="Z98" s="12"/>
      <c r="AA98" s="12">
        <f>+AA96/AA11</f>
        <v>6.5972249011309145E-2</v>
      </c>
      <c r="AB98" s="12">
        <f>+AB96/AB11</f>
        <v>2.5007908602854539E-2</v>
      </c>
      <c r="AC98" s="12"/>
      <c r="AD98" s="12"/>
      <c r="AE98" s="12">
        <f t="shared" ref="AE98:BG98" si="126">AE83/AE11</f>
        <v>8.1335415815940698E-2</v>
      </c>
      <c r="AF98" s="12">
        <f>+AF96/AF11</f>
        <v>7.9515896211102652E-2</v>
      </c>
      <c r="AG98" s="12"/>
      <c r="AH98" s="253"/>
      <c r="AI98" s="12">
        <f t="shared" si="126"/>
        <v>6.8217524983246611E-2</v>
      </c>
      <c r="AJ98" s="12">
        <f>+AJ96/AJ11</f>
        <v>8.5422476909597575E-2</v>
      </c>
      <c r="AK98" s="12"/>
      <c r="AL98" s="12"/>
      <c r="AM98" s="12">
        <f t="shared" si="126"/>
        <v>0.10512145249093535</v>
      </c>
      <c r="AN98" s="12">
        <f>+AN96/AN11</f>
        <v>7.1281282572404112E-2</v>
      </c>
      <c r="AO98" s="12"/>
      <c r="AP98" s="12"/>
      <c r="AQ98" s="12">
        <f t="shared" si="126"/>
        <v>0.10968784305623312</v>
      </c>
      <c r="AR98" s="12">
        <f>+AR96/AR11</f>
        <v>0.11741275668083163</v>
      </c>
      <c r="AS98" s="12"/>
      <c r="AT98" s="12"/>
      <c r="AU98" s="12">
        <f t="shared" si="126"/>
        <v>9.3791574591688479E-2</v>
      </c>
      <c r="AV98" s="12">
        <f>+AV96/AV11</f>
        <v>5.4561514701707371E-2</v>
      </c>
      <c r="AW98" s="12"/>
      <c r="AX98" s="12"/>
      <c r="AY98" s="12">
        <f t="shared" si="126"/>
        <v>0.11888781115502189</v>
      </c>
      <c r="AZ98" s="12"/>
      <c r="BA98" s="12"/>
      <c r="BB98" s="12"/>
      <c r="BC98" s="12">
        <f t="shared" si="126"/>
        <v>0.11574864952432309</v>
      </c>
      <c r="BD98" s="12"/>
      <c r="BE98" s="12"/>
      <c r="BF98" s="12"/>
      <c r="BG98" s="12">
        <f t="shared" si="126"/>
        <v>0.112315826288558</v>
      </c>
      <c r="BH98" s="12"/>
      <c r="BI98" s="12"/>
      <c r="BJ98" s="12"/>
      <c r="CG98" s="12">
        <f t="shared" ref="CG98" si="127">CG83/CG11</f>
        <v>9.498591862933467E-2</v>
      </c>
      <c r="CH98" s="12">
        <f>+CH96/CH11</f>
        <v>8.8366867918260913E-2</v>
      </c>
    </row>
    <row r="99" spans="1:86" x14ac:dyDescent="0.2">
      <c r="CH99" s="269"/>
    </row>
    <row r="100" spans="1:86" x14ac:dyDescent="0.2">
      <c r="BH100" s="169"/>
    </row>
    <row r="101" spans="1:86" x14ac:dyDescent="0.2">
      <c r="A101" s="36"/>
      <c r="B101" s="36"/>
      <c r="E101" s="35"/>
      <c r="F101" s="35"/>
      <c r="G101" s="35"/>
      <c r="H101" s="35"/>
      <c r="I101" s="35"/>
      <c r="J101" s="35"/>
      <c r="K101" s="35"/>
      <c r="L101" s="35"/>
      <c r="O101" s="35"/>
      <c r="P101" s="35"/>
      <c r="Q101" s="35"/>
      <c r="R101" s="35"/>
      <c r="AE101" s="35"/>
      <c r="AF101" s="35"/>
      <c r="AG101" s="35"/>
      <c r="AH101" s="35"/>
      <c r="AM101" s="35"/>
      <c r="AN101" s="35"/>
      <c r="AO101" s="35"/>
      <c r="AP101" s="35"/>
      <c r="AV101" s="169"/>
    </row>
    <row r="102" spans="1:86" x14ac:dyDescent="0.2">
      <c r="A102" s="36"/>
      <c r="B102" s="36"/>
      <c r="E102" s="35"/>
      <c r="F102" s="35"/>
      <c r="G102" s="35"/>
      <c r="H102" s="35"/>
      <c r="I102" s="35"/>
      <c r="J102" s="35"/>
      <c r="K102" s="35"/>
      <c r="L102" s="35"/>
      <c r="O102" s="35"/>
      <c r="P102" s="35"/>
      <c r="Q102" s="35"/>
      <c r="R102" s="35"/>
      <c r="AE102" s="35"/>
      <c r="AF102" s="35"/>
      <c r="AG102" s="35"/>
      <c r="AH102" s="35"/>
    </row>
    <row r="103" spans="1:86" x14ac:dyDescent="0.2">
      <c r="A103" s="36"/>
      <c r="B103" s="36"/>
      <c r="E103" s="35"/>
      <c r="F103" s="35"/>
      <c r="G103" s="35"/>
      <c r="H103" s="35"/>
      <c r="I103" s="35"/>
      <c r="J103" s="35"/>
      <c r="K103" s="35"/>
      <c r="L103" s="35"/>
    </row>
  </sheetData>
  <mergeCells count="20">
    <mergeCell ref="A2:J2"/>
    <mergeCell ref="A3:J3"/>
    <mergeCell ref="S8:U8"/>
    <mergeCell ref="W8:Y8"/>
    <mergeCell ref="AA8:AC8"/>
    <mergeCell ref="AX14:AX16"/>
    <mergeCell ref="AX17:AX18"/>
    <mergeCell ref="CG8:CI8"/>
    <mergeCell ref="W5:AI6"/>
    <mergeCell ref="O8:Q8"/>
    <mergeCell ref="AI8:AK8"/>
    <mergeCell ref="AQ8:AS8"/>
    <mergeCell ref="AU8:AW8"/>
    <mergeCell ref="AY8:BA8"/>
    <mergeCell ref="BC8:BE8"/>
    <mergeCell ref="BG8:BK8"/>
    <mergeCell ref="AM8:AO8"/>
    <mergeCell ref="BB14:BB16"/>
    <mergeCell ref="BB17:BB18"/>
    <mergeCell ref="BJ14:BJ16"/>
  </mergeCells>
  <pageMargins left="0.75" right="0.75" top="1" bottom="1" header="0.5" footer="0.5"/>
  <pageSetup scale="28" orientation="landscape" horizontalDpi="4294967292" verticalDpi="4294967292"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069B2-30A8-470A-AE0E-48747A6DC218}">
  <sheetPr>
    <tabColor rgb="FF92D050"/>
    <pageSetUpPr fitToPage="1"/>
  </sheetPr>
  <dimension ref="A1:CK103"/>
  <sheetViews>
    <sheetView tabSelected="1" zoomScale="85" zoomScaleNormal="85" workbookViewId="0">
      <pane xSplit="2" ySplit="9" topLeftCell="T22" activePane="bottomRight" state="frozen"/>
      <selection pane="topRight" activeCell="Y30" sqref="Y30"/>
      <selection pane="bottomLeft" activeCell="Y30" sqref="Y30"/>
      <selection pane="bottomRight" activeCell="R52" sqref="R52"/>
    </sheetView>
  </sheetViews>
  <sheetFormatPr baseColWidth="10" defaultColWidth="11" defaultRowHeight="16" x14ac:dyDescent="0.2"/>
  <cols>
    <col min="1" max="1" width="45.6640625" customWidth="1"/>
    <col min="2" max="2" width="2.83203125" style="16" customWidth="1"/>
    <col min="3" max="3" width="4.6640625" style="16" hidden="1" customWidth="1"/>
    <col min="4" max="4" width="12.1640625" style="16" hidden="1" customWidth="1"/>
    <col min="5" max="5" width="14.33203125" style="17" hidden="1" customWidth="1"/>
    <col min="6" max="6" width="3.83203125" style="16" hidden="1" customWidth="1"/>
    <col min="7" max="7" width="14.33203125" style="17" hidden="1" customWidth="1"/>
    <col min="8" max="8" width="2.6640625" style="16" hidden="1" customWidth="1"/>
    <col min="9" max="9" width="14.33203125" style="17" hidden="1" customWidth="1"/>
    <col min="10" max="10" width="2.5" style="16" hidden="1" customWidth="1"/>
    <col min="11" max="11" width="14.33203125" style="17" hidden="1" customWidth="1"/>
    <col min="12" max="12" width="2.6640625" style="3" hidden="1" customWidth="1"/>
    <col min="13" max="13" width="8.83203125" hidden="1" customWidth="1"/>
    <col min="14" max="14" width="3.1640625" customWidth="1"/>
    <col min="16" max="17" width="11" customWidth="1"/>
    <col min="18" max="18" width="3.1640625" customWidth="1"/>
    <col min="19" max="21" width="11" customWidth="1"/>
    <col min="22" max="22" width="13" customWidth="1"/>
    <col min="23" max="25" width="11" customWidth="1"/>
    <col min="26" max="26" width="18.1640625" customWidth="1"/>
    <col min="27" max="29" width="11" customWidth="1"/>
    <col min="30" max="30" width="17.33203125" customWidth="1"/>
    <col min="31" max="33" width="11" customWidth="1"/>
    <col min="34" max="34" width="16.33203125" style="184" customWidth="1"/>
    <col min="35" max="37" width="11" customWidth="1"/>
    <col min="38" max="38" width="19.83203125" customWidth="1"/>
    <col min="39" max="39" width="12.5" customWidth="1"/>
    <col min="40" max="40" width="13.6640625" customWidth="1"/>
    <col min="41" max="41" width="12.1640625" customWidth="1"/>
    <col min="42" max="42" width="32.1640625" customWidth="1"/>
    <col min="43" max="43" width="12.33203125" customWidth="1"/>
    <col min="44" max="44" width="12.6640625" customWidth="1"/>
    <col min="45" max="45" width="13.6640625" customWidth="1"/>
    <col min="46" max="46" width="28.1640625" customWidth="1"/>
    <col min="47" max="49" width="10.1640625" customWidth="1"/>
    <col min="50" max="50" width="19.5" customWidth="1"/>
    <col min="51" max="51" width="11.1640625" customWidth="1"/>
    <col min="52" max="52" width="11" customWidth="1"/>
    <col min="53" max="53" width="11.6640625" customWidth="1"/>
    <col min="54" max="54" width="22.33203125" customWidth="1"/>
    <col min="55" max="57" width="9.6640625" customWidth="1"/>
    <col min="58" max="58" width="17.6640625" customWidth="1"/>
    <col min="59" max="61" width="9.5" customWidth="1"/>
    <col min="62" max="62" width="13.6640625" customWidth="1"/>
    <col min="63" max="63" width="11" customWidth="1"/>
    <col min="64" max="85" width="11" hidden="1" customWidth="1"/>
    <col min="86" max="89" width="11" customWidth="1"/>
  </cols>
  <sheetData>
    <row r="1" spans="1:88" x14ac:dyDescent="0.2">
      <c r="F1" s="1"/>
      <c r="P1" s="1" t="s">
        <v>0</v>
      </c>
      <c r="T1" s="199" t="s">
        <v>1</v>
      </c>
      <c r="U1" s="198" t="s">
        <v>2</v>
      </c>
      <c r="V1" s="198" t="s">
        <v>3</v>
      </c>
      <c r="X1" s="1" t="s">
        <v>0</v>
      </c>
    </row>
    <row r="2" spans="1:88" x14ac:dyDescent="0.2">
      <c r="F2" s="1"/>
      <c r="P2" s="1" t="s">
        <v>183</v>
      </c>
      <c r="T2" s="17"/>
      <c r="U2" s="17" t="s">
        <v>5</v>
      </c>
      <c r="V2" s="17" t="s">
        <v>6</v>
      </c>
      <c r="X2" s="1" t="s">
        <v>183</v>
      </c>
    </row>
    <row r="3" spans="1:88" x14ac:dyDescent="0.2">
      <c r="E3" s="280"/>
      <c r="F3" s="281"/>
      <c r="G3" s="281"/>
      <c r="O3" s="183"/>
      <c r="P3" s="1">
        <v>2024</v>
      </c>
      <c r="Q3" s="16"/>
      <c r="W3" s="185"/>
      <c r="X3" s="1">
        <v>2024</v>
      </c>
      <c r="Y3" s="185"/>
      <c r="Z3" s="185"/>
      <c r="AA3" s="23"/>
      <c r="AB3" s="23"/>
      <c r="AC3" s="23"/>
      <c r="AD3" s="23"/>
      <c r="AE3" s="23"/>
      <c r="AF3" s="23"/>
      <c r="AG3" s="23"/>
      <c r="AH3" s="185"/>
      <c r="AI3" s="23"/>
      <c r="AJ3" s="23"/>
      <c r="AK3" s="23"/>
      <c r="AL3" s="23"/>
      <c r="AM3" s="23"/>
      <c r="AN3" s="23"/>
      <c r="AO3" s="23"/>
      <c r="AP3" s="23"/>
      <c r="AQ3" s="23"/>
      <c r="AR3" s="23"/>
      <c r="AS3" s="23"/>
      <c r="AT3" s="23"/>
    </row>
    <row r="4" spans="1:88" x14ac:dyDescent="0.2">
      <c r="D4"/>
      <c r="E4" s="281"/>
      <c r="F4" s="281"/>
      <c r="G4" s="281"/>
      <c r="M4" s="17"/>
      <c r="N4" s="17"/>
      <c r="O4" s="16"/>
      <c r="P4" s="16"/>
      <c r="Q4" s="16"/>
      <c r="W4" s="23"/>
      <c r="X4" s="23"/>
      <c r="Y4" s="23"/>
      <c r="Z4" s="23"/>
      <c r="AA4" s="23"/>
      <c r="AB4" s="23"/>
      <c r="AC4" s="23"/>
      <c r="AD4" s="23"/>
      <c r="AE4" s="23"/>
      <c r="AF4" s="23"/>
      <c r="AG4" s="23"/>
      <c r="AH4" s="185"/>
      <c r="AI4" s="23"/>
      <c r="AJ4" s="23"/>
      <c r="AK4" s="23"/>
      <c r="AL4" s="23"/>
      <c r="AM4" s="23"/>
      <c r="AN4" s="23"/>
      <c r="AO4" s="23"/>
      <c r="AP4" s="23"/>
      <c r="AQ4" s="23"/>
      <c r="AR4" s="23"/>
      <c r="AS4" s="23"/>
      <c r="AT4" s="23"/>
    </row>
    <row r="5" spans="1:88" x14ac:dyDescent="0.2">
      <c r="D5"/>
      <c r="E5" s="62"/>
      <c r="F5" s="62"/>
      <c r="G5" s="62"/>
      <c r="M5" s="17"/>
      <c r="N5" s="17"/>
      <c r="S5" s="142"/>
      <c r="T5" s="142"/>
      <c r="U5" s="142"/>
      <c r="V5" s="142"/>
      <c r="AA5" s="282"/>
      <c r="AB5" s="282"/>
      <c r="AC5" s="282"/>
      <c r="AD5" s="282"/>
      <c r="AE5" s="283"/>
      <c r="AF5" s="283"/>
      <c r="AG5" s="283"/>
      <c r="AH5" s="283"/>
      <c r="AI5" s="283"/>
      <c r="AJ5" s="283"/>
      <c r="AK5" s="283"/>
      <c r="AL5" s="283"/>
      <c r="AM5" s="283"/>
      <c r="AN5" s="11"/>
      <c r="AO5" s="11"/>
      <c r="AP5" s="11"/>
    </row>
    <row r="6" spans="1:88" x14ac:dyDescent="0.2">
      <c r="D6"/>
      <c r="E6" s="62"/>
      <c r="F6" s="62"/>
      <c r="G6" s="62"/>
      <c r="M6" s="17"/>
      <c r="N6" s="17"/>
      <c r="AA6" s="283"/>
      <c r="AB6" s="283"/>
      <c r="AC6" s="283"/>
      <c r="AD6" s="283"/>
      <c r="AE6" s="283"/>
      <c r="AF6" s="283"/>
      <c r="AG6" s="283"/>
      <c r="AH6" s="283"/>
      <c r="AI6" s="283"/>
      <c r="AJ6" s="283"/>
      <c r="AK6" s="283"/>
      <c r="AL6" s="283"/>
      <c r="AM6" s="283"/>
      <c r="AN6" s="11"/>
      <c r="AO6" s="11"/>
      <c r="AP6" s="11"/>
    </row>
    <row r="8" spans="1:88" ht="19" x14ac:dyDescent="0.25">
      <c r="A8" s="18"/>
      <c r="B8" s="19"/>
      <c r="C8" s="34"/>
      <c r="D8" s="19"/>
      <c r="E8" s="20" t="s">
        <v>9</v>
      </c>
      <c r="F8" s="20"/>
      <c r="G8" s="20" t="s">
        <v>114</v>
      </c>
      <c r="H8" s="20"/>
      <c r="I8" s="20" t="s">
        <v>115</v>
      </c>
      <c r="J8" s="20"/>
      <c r="K8" s="20" t="s">
        <v>116</v>
      </c>
      <c r="L8" s="5"/>
      <c r="M8" s="20" t="s">
        <v>117</v>
      </c>
      <c r="N8" s="20"/>
      <c r="O8" s="279" t="s">
        <v>10</v>
      </c>
      <c r="P8" s="279"/>
      <c r="Q8" s="279"/>
      <c r="R8" s="20"/>
      <c r="S8" s="279" t="s">
        <v>184</v>
      </c>
      <c r="T8" s="279"/>
      <c r="U8" s="279"/>
      <c r="V8" s="20"/>
      <c r="W8" s="279" t="s">
        <v>12</v>
      </c>
      <c r="X8" s="279"/>
      <c r="Y8" s="279"/>
      <c r="Z8" s="279"/>
      <c r="AA8" s="279" t="s">
        <v>13</v>
      </c>
      <c r="AB8" s="279"/>
      <c r="AC8" s="279"/>
      <c r="AD8" s="20"/>
      <c r="AE8" s="20" t="s">
        <v>14</v>
      </c>
      <c r="AF8" s="20"/>
      <c r="AG8" s="20"/>
      <c r="AH8" s="244"/>
      <c r="AI8" s="279" t="s">
        <v>15</v>
      </c>
      <c r="AJ8" s="279"/>
      <c r="AK8" s="279"/>
      <c r="AL8" s="20"/>
      <c r="AM8" s="279" t="s">
        <v>16</v>
      </c>
      <c r="AN8" s="279"/>
      <c r="AO8" s="279"/>
      <c r="AP8" s="20"/>
      <c r="AQ8" s="279" t="s">
        <v>17</v>
      </c>
      <c r="AR8" s="279"/>
      <c r="AS8" s="279"/>
      <c r="AT8" s="20"/>
      <c r="AU8" s="279" t="s">
        <v>18</v>
      </c>
      <c r="AV8" s="279"/>
      <c r="AW8" s="279"/>
      <c r="AX8" s="20"/>
      <c r="AY8" s="279" t="s">
        <v>19</v>
      </c>
      <c r="AZ8" s="279"/>
      <c r="BA8" s="279"/>
      <c r="BB8" s="20"/>
      <c r="BC8" s="279" t="s">
        <v>20</v>
      </c>
      <c r="BD8" s="279"/>
      <c r="BE8" s="279"/>
      <c r="BF8" s="279" t="s">
        <v>21</v>
      </c>
      <c r="BG8" s="279" t="s">
        <v>21</v>
      </c>
      <c r="BH8" s="279"/>
      <c r="BI8" s="20"/>
      <c r="BJ8" s="20"/>
      <c r="CH8" s="279" t="s">
        <v>22</v>
      </c>
      <c r="CI8" s="279"/>
      <c r="CJ8" s="279"/>
    </row>
    <row r="9" spans="1:88" ht="19" x14ac:dyDescent="0.25">
      <c r="A9" s="21" t="s">
        <v>23</v>
      </c>
      <c r="B9" s="7"/>
      <c r="C9" s="22"/>
      <c r="D9" s="7"/>
      <c r="E9" s="22">
        <v>45657</v>
      </c>
      <c r="F9" s="22"/>
      <c r="G9" s="22">
        <v>46022</v>
      </c>
      <c r="H9" s="22"/>
      <c r="I9" s="22">
        <v>46387</v>
      </c>
      <c r="J9" s="22"/>
      <c r="K9" s="22">
        <v>46752</v>
      </c>
      <c r="L9" s="4"/>
      <c r="M9" s="22">
        <v>47118</v>
      </c>
      <c r="N9" s="84"/>
      <c r="O9" s="16" t="s">
        <v>8</v>
      </c>
      <c r="P9" s="16" t="s">
        <v>24</v>
      </c>
      <c r="Q9" s="16" t="s">
        <v>25</v>
      </c>
      <c r="S9" s="16" t="s">
        <v>8</v>
      </c>
      <c r="T9" s="16" t="s">
        <v>24</v>
      </c>
      <c r="U9" s="16" t="s">
        <v>25</v>
      </c>
      <c r="V9" s="16" t="s">
        <v>26</v>
      </c>
      <c r="W9" s="16" t="s">
        <v>8</v>
      </c>
      <c r="X9" s="16" t="s">
        <v>24</v>
      </c>
      <c r="Y9" s="22" t="s">
        <v>119</v>
      </c>
      <c r="Z9" s="16" t="s">
        <v>26</v>
      </c>
      <c r="AA9" s="59" t="s">
        <v>8</v>
      </c>
      <c r="AB9" s="59" t="s">
        <v>24</v>
      </c>
      <c r="AC9" s="200" t="s">
        <v>1</v>
      </c>
      <c r="AD9" s="22" t="s">
        <v>26</v>
      </c>
      <c r="AE9" s="59" t="s">
        <v>8</v>
      </c>
      <c r="AF9" s="59" t="s">
        <v>24</v>
      </c>
      <c r="AG9" s="200" t="s">
        <v>1</v>
      </c>
      <c r="AH9" s="245" t="s">
        <v>26</v>
      </c>
      <c r="AI9" s="59" t="s">
        <v>8</v>
      </c>
      <c r="AJ9" s="59" t="s">
        <v>24</v>
      </c>
      <c r="AK9" s="200" t="s">
        <v>1</v>
      </c>
      <c r="AL9" s="245" t="s">
        <v>26</v>
      </c>
      <c r="AM9" s="59" t="s">
        <v>8</v>
      </c>
      <c r="AN9" s="59" t="s">
        <v>24</v>
      </c>
      <c r="AO9" s="200" t="s">
        <v>1</v>
      </c>
      <c r="AP9" s="245" t="s">
        <v>26</v>
      </c>
      <c r="AQ9" s="59" t="s">
        <v>8</v>
      </c>
      <c r="AR9" s="59" t="s">
        <v>24</v>
      </c>
      <c r="AS9" s="200" t="s">
        <v>1</v>
      </c>
      <c r="AT9" s="245" t="s">
        <v>26</v>
      </c>
      <c r="AU9" s="59" t="s">
        <v>8</v>
      </c>
      <c r="AV9" s="59" t="s">
        <v>24</v>
      </c>
      <c r="AW9" s="200" t="s">
        <v>1</v>
      </c>
      <c r="AX9" s="245" t="s">
        <v>26</v>
      </c>
      <c r="AY9" s="59" t="s">
        <v>8</v>
      </c>
      <c r="AZ9" s="59" t="s">
        <v>24</v>
      </c>
      <c r="BA9" s="200" t="s">
        <v>1</v>
      </c>
      <c r="BB9" s="245" t="s">
        <v>26</v>
      </c>
      <c r="BC9" s="59" t="s">
        <v>8</v>
      </c>
      <c r="BD9" s="59" t="s">
        <v>24</v>
      </c>
      <c r="BE9" s="200" t="s">
        <v>1</v>
      </c>
      <c r="BF9" s="245" t="s">
        <v>26</v>
      </c>
      <c r="BG9" s="59" t="s">
        <v>8</v>
      </c>
      <c r="BH9" s="59" t="s">
        <v>24</v>
      </c>
      <c r="BI9" s="59" t="s">
        <v>1</v>
      </c>
      <c r="BJ9" s="59" t="s">
        <v>26</v>
      </c>
      <c r="CH9" s="59" t="s">
        <v>8</v>
      </c>
      <c r="CI9" s="59" t="s">
        <v>24</v>
      </c>
      <c r="CJ9" s="200" t="s">
        <v>1</v>
      </c>
    </row>
    <row r="10" spans="1:88" x14ac:dyDescent="0.2">
      <c r="C10" s="11"/>
      <c r="AB10" s="232"/>
    </row>
    <row r="11" spans="1:88" x14ac:dyDescent="0.2">
      <c r="A11" s="23" t="s">
        <v>29</v>
      </c>
      <c r="B11" s="1"/>
      <c r="C11" s="47"/>
      <c r="D11" s="47"/>
      <c r="E11" s="47">
        <f>SUM(E14:E23)</f>
        <v>8987920.8326135017</v>
      </c>
      <c r="F11" s="1"/>
      <c r="G11" s="2">
        <f>SUM(G14:G23)</f>
        <v>9886712.9158748519</v>
      </c>
      <c r="H11" s="1"/>
      <c r="I11" s="2">
        <f>SUM(I14:I23)</f>
        <v>10875384.207462337</v>
      </c>
      <c r="J11" s="3"/>
      <c r="K11" s="2">
        <f>SUM(K14:K23)</f>
        <v>11962922.62820857</v>
      </c>
      <c r="L11" s="9"/>
      <c r="M11" s="2">
        <f>SUM(M14:M23)</f>
        <v>13159214.891029431</v>
      </c>
      <c r="N11" s="2"/>
      <c r="O11" s="47">
        <f t="shared" ref="O11:BG11" si="0">SUM(O14:O23)</f>
        <v>720098.87106350006</v>
      </c>
      <c r="P11" s="158">
        <f t="shared" si="0"/>
        <v>535453</v>
      </c>
      <c r="Q11" s="158">
        <f>P11-O11</f>
        <v>-184645.87106350006</v>
      </c>
      <c r="R11" s="47"/>
      <c r="S11" s="47">
        <f t="shared" si="0"/>
        <v>714798</v>
      </c>
      <c r="T11" s="158">
        <f t="shared" si="0"/>
        <v>470636</v>
      </c>
      <c r="U11" s="158">
        <f>T11-S11</f>
        <v>-244162</v>
      </c>
      <c r="V11" s="47"/>
      <c r="W11" s="47">
        <f t="shared" si="0"/>
        <v>725188.44235000003</v>
      </c>
      <c r="X11" s="212">
        <f t="shared" si="0"/>
        <v>419392</v>
      </c>
      <c r="Y11" s="158">
        <f>X11-W11</f>
        <v>-305796.44235000003</v>
      </c>
      <c r="Z11" s="204"/>
      <c r="AA11" s="47">
        <f t="shared" si="0"/>
        <v>738053.51234999998</v>
      </c>
      <c r="AB11" s="231">
        <f>SUM(AB14:AB23)</f>
        <v>792863</v>
      </c>
      <c r="AC11" s="158">
        <f>AB11-AA11</f>
        <v>54809.487650000025</v>
      </c>
      <c r="AD11" s="47"/>
      <c r="AE11" s="47">
        <f t="shared" si="0"/>
        <v>746000</v>
      </c>
      <c r="AF11" s="231">
        <f t="shared" si="0"/>
        <v>659325</v>
      </c>
      <c r="AG11" s="158">
        <f>AF11-AE11</f>
        <v>-86675</v>
      </c>
      <c r="AH11" s="246"/>
      <c r="AI11" s="47">
        <f t="shared" si="0"/>
        <v>739576.87955000007</v>
      </c>
      <c r="AJ11" s="231">
        <f>SUM(AJ14:AJ23)</f>
        <v>715011</v>
      </c>
      <c r="AK11" s="158">
        <f>AJ11-AI11</f>
        <v>-24565.879550000071</v>
      </c>
      <c r="AL11" s="47"/>
      <c r="AM11" s="47">
        <f t="shared" si="0"/>
        <v>751486.04955</v>
      </c>
      <c r="AN11" s="231">
        <f>SUM(AN14:AN23)</f>
        <v>1074094</v>
      </c>
      <c r="AO11" s="158">
        <f>AN11-AM11</f>
        <v>322607.95045</v>
      </c>
      <c r="AP11" s="47"/>
      <c r="AQ11" s="47">
        <f t="shared" si="0"/>
        <v>758847.83955000003</v>
      </c>
      <c r="AR11" s="231">
        <f>SUM(AR14:AR23)</f>
        <v>1426155</v>
      </c>
      <c r="AS11" s="158">
        <f>AR11-AQ11</f>
        <v>667307.16044999997</v>
      </c>
      <c r="AT11" s="47"/>
      <c r="AU11" s="47">
        <f t="shared" si="0"/>
        <v>763090.38955000008</v>
      </c>
      <c r="AV11" s="231">
        <f>SUM(AV14:AV23)</f>
        <v>467781</v>
      </c>
      <c r="AW11" s="158">
        <f>AV11-AU11</f>
        <v>-295309.38955000008</v>
      </c>
      <c r="AX11" s="47"/>
      <c r="AY11" s="47">
        <f t="shared" si="0"/>
        <v>771306.44955000002</v>
      </c>
      <c r="AZ11" s="231">
        <f>SUM(AZ14:AZ23)</f>
        <v>606016</v>
      </c>
      <c r="BA11" s="158">
        <f>AZ11-AY11</f>
        <v>-165290.44955000002</v>
      </c>
      <c r="BB11" s="47"/>
      <c r="BC11" s="47">
        <f t="shared" si="0"/>
        <v>776109.13954999996</v>
      </c>
      <c r="BD11" s="231">
        <f>SUM(BD14:BD23)</f>
        <v>477285</v>
      </c>
      <c r="BE11" s="158">
        <f>BD11-BC11</f>
        <v>-298824.13954999996</v>
      </c>
      <c r="BF11" s="47"/>
      <c r="BG11" s="47">
        <f t="shared" si="0"/>
        <v>783365.25955000008</v>
      </c>
      <c r="BH11" s="231">
        <f>SUM(BH14:BH23)</f>
        <v>357901</v>
      </c>
      <c r="BI11" s="158">
        <f>BH11-BG11</f>
        <v>-425464.25955000008</v>
      </c>
      <c r="BJ11" s="47"/>
      <c r="CH11" s="47">
        <f>+W11+S11+O11+AA11+AE11+AI11+AM11+AQ11+AU11+AY11+BC11+BG11</f>
        <v>8987920.8326134998</v>
      </c>
      <c r="CI11" s="159">
        <f>+X11+T11+P11+AB11+AF11+AJ11+AN11+AR11+AV11+AZ11+BD11+BH11</f>
        <v>8001912</v>
      </c>
      <c r="CJ11" s="158">
        <f>CI11-CH11</f>
        <v>-986008.83261349984</v>
      </c>
    </row>
    <row r="12" spans="1:88" x14ac:dyDescent="0.2">
      <c r="C12" s="44"/>
      <c r="D12" s="44"/>
      <c r="E12" s="44"/>
      <c r="P12" s="169"/>
      <c r="Q12" s="169"/>
      <c r="T12" s="169"/>
      <c r="U12" s="169"/>
      <c r="AB12" s="232"/>
      <c r="AF12" s="232"/>
      <c r="AK12" s="152"/>
      <c r="AO12" s="152"/>
      <c r="CH12" s="17"/>
      <c r="CI12" s="154"/>
      <c r="CJ12" s="154"/>
    </row>
    <row r="13" spans="1:88" x14ac:dyDescent="0.2">
      <c r="A13" s="24" t="s">
        <v>30</v>
      </c>
      <c r="C13" s="44"/>
      <c r="D13" s="44"/>
      <c r="E13" s="44"/>
      <c r="P13" s="169"/>
      <c r="Q13" s="169"/>
      <c r="T13" s="169"/>
      <c r="U13" s="169"/>
      <c r="AB13" s="232"/>
      <c r="AF13" s="232"/>
      <c r="AK13" s="152"/>
      <c r="AO13" s="152"/>
      <c r="CH13" s="17"/>
      <c r="CI13" s="154"/>
      <c r="CJ13" s="154"/>
    </row>
    <row r="14" spans="1:88" ht="78" customHeight="1" x14ac:dyDescent="0.2">
      <c r="A14" t="s">
        <v>31</v>
      </c>
      <c r="C14" s="44"/>
      <c r="D14" s="144" t="s">
        <v>121</v>
      </c>
      <c r="E14" s="52">
        <f>O14+S14+W14+AA14+AE14+AI14+AM14+AQ14+AU14+AY14+BC14+BG14</f>
        <v>1726677.2732960004</v>
      </c>
      <c r="F14" s="82"/>
      <c r="G14" s="17">
        <f>E14*1.1</f>
        <v>1899345.0006256006</v>
      </c>
      <c r="H14" s="17"/>
      <c r="I14" s="17">
        <f>G14*1.1</f>
        <v>2089279.5006881608</v>
      </c>
      <c r="J14" s="3"/>
      <c r="K14" s="17">
        <f>I14*1.1</f>
        <v>2298207.4507569768</v>
      </c>
      <c r="M14" s="17">
        <f>K14*1.1</f>
        <v>2528028.1958326749</v>
      </c>
      <c r="N14" s="17"/>
      <c r="O14" s="173">
        <v>122481.85614600003</v>
      </c>
      <c r="P14" s="170">
        <v>117508.52</v>
      </c>
      <c r="Q14" s="170">
        <f t="shared" ref="Q14:Q18" si="1">P14-O14</f>
        <v>-4973.3361460000306</v>
      </c>
      <c r="R14" s="173"/>
      <c r="S14" s="85">
        <f>108547+10491</f>
        <v>119038</v>
      </c>
      <c r="T14" s="170">
        <v>129675</v>
      </c>
      <c r="U14" s="170">
        <f t="shared" ref="U14:U18" si="2">T14-S14</f>
        <v>10637</v>
      </c>
      <c r="V14" s="193" t="s">
        <v>185</v>
      </c>
      <c r="W14" s="85">
        <f>125848.89625-2309.1-1000</f>
        <v>122539.79625</v>
      </c>
      <c r="X14" s="152">
        <v>127590</v>
      </c>
      <c r="Y14" s="170">
        <f>X14-W14</f>
        <v>5050.2037500000006</v>
      </c>
      <c r="Z14" s="193" t="s">
        <v>186</v>
      </c>
      <c r="AA14" s="85">
        <v>134156.06624999997</v>
      </c>
      <c r="AB14" s="233">
        <v>126441</v>
      </c>
      <c r="AC14" s="152">
        <f>AB14-AA14</f>
        <v>-7715.0662499999744</v>
      </c>
      <c r="AD14" s="225" t="s">
        <v>187</v>
      </c>
      <c r="AE14" s="85">
        <v>140000</v>
      </c>
      <c r="AF14" s="233">
        <v>132146</v>
      </c>
      <c r="AG14" s="152">
        <f>AF14-AE14</f>
        <v>-7854</v>
      </c>
      <c r="AH14" s="225" t="s">
        <v>188</v>
      </c>
      <c r="AI14" s="85">
        <v>134108.81495000003</v>
      </c>
      <c r="AJ14" s="233">
        <v>125977</v>
      </c>
      <c r="AK14" s="152">
        <f>AJ14-AI14</f>
        <v>-8131.8149500000291</v>
      </c>
      <c r="AL14" s="225" t="s">
        <v>189</v>
      </c>
      <c r="AM14" s="85">
        <v>144953.98495000001</v>
      </c>
      <c r="AN14" s="233">
        <v>95735</v>
      </c>
      <c r="AO14" s="152">
        <f>AN14-AM14</f>
        <v>-49218.984950000013</v>
      </c>
      <c r="AP14" s="225" t="s">
        <v>190</v>
      </c>
      <c r="AQ14" s="85">
        <v>151265.77495000002</v>
      </c>
      <c r="AR14" s="233">
        <v>150519</v>
      </c>
      <c r="AS14" s="152">
        <f t="shared" ref="AS14:AS18" si="3">AR14-AQ14</f>
        <v>-746.77495000002091</v>
      </c>
      <c r="AT14" s="225" t="s">
        <v>191</v>
      </c>
      <c r="AU14" s="85">
        <v>155025.82495000004</v>
      </c>
      <c r="AV14" s="233">
        <v>136440</v>
      </c>
      <c r="AW14" s="152">
        <f t="shared" ref="AW14:AW18" si="4">AV14-AU14</f>
        <v>-18585.824950000038</v>
      </c>
      <c r="AX14" s="284" t="s">
        <v>128</v>
      </c>
      <c r="AY14" s="85">
        <v>162396.88495000004</v>
      </c>
      <c r="AZ14" s="233">
        <v>120672</v>
      </c>
      <c r="BA14" s="152">
        <f t="shared" ref="BA14:BA18" si="5">AZ14-AY14</f>
        <v>-41724.884950000036</v>
      </c>
      <c r="BB14" s="284" t="s">
        <v>128</v>
      </c>
      <c r="BC14" s="85">
        <v>167252.07495000001</v>
      </c>
      <c r="BD14" s="233">
        <v>137388</v>
      </c>
      <c r="BE14" s="152">
        <f t="shared" ref="BE14:BE18" si="6">BD14-BC14</f>
        <v>-29864.074950000009</v>
      </c>
      <c r="BF14" s="284" t="s">
        <v>128</v>
      </c>
      <c r="BG14" s="85">
        <v>173458.19495000003</v>
      </c>
      <c r="BH14" s="233">
        <v>140107</v>
      </c>
      <c r="BI14" s="152">
        <f t="shared" ref="BI14:BI18" si="7">BH14-BG14</f>
        <v>-33351.194950000034</v>
      </c>
      <c r="BJ14" s="284" t="s">
        <v>128</v>
      </c>
      <c r="BK14" s="14"/>
      <c r="BL14" s="68" t="e" cm="1" vm="1">
        <f t="array" aca="1" ref="BL14" ca="1">ROUND(O14:BG14, -2)</f>
        <v>#VALUE!</v>
      </c>
      <c r="CH14" s="44">
        <f t="shared" ref="CH14:CH18" si="8">+W14+S14+O14+AA14+AE14+AI14+AM14+AQ14+AU14+AY14+BC14+BG14</f>
        <v>1726677.2732960004</v>
      </c>
      <c r="CI14" s="160">
        <f t="shared" ref="CI14:CI18" si="9">+X14+T14+P14+AB14+AF14+AJ14+AN14+AR14+AV14+AZ14+BD14+BH14</f>
        <v>1540198.52</v>
      </c>
      <c r="CJ14" s="154">
        <f t="shared" ref="CJ14:CJ18" si="10">CI14-CH14</f>
        <v>-186478.75329600042</v>
      </c>
    </row>
    <row r="15" spans="1:88" ht="15.75" customHeight="1" x14ac:dyDescent="0.2">
      <c r="A15" t="s">
        <v>36</v>
      </c>
      <c r="C15" s="44"/>
      <c r="D15" s="144" t="s">
        <v>121</v>
      </c>
      <c r="E15" s="44">
        <f>O15+S15+W15+AA15+AE15+AI15+AM15+AQ15+AU15+AY15+BC15+BG15</f>
        <v>0</v>
      </c>
      <c r="G15" s="17">
        <f>E15*1.1</f>
        <v>0</v>
      </c>
      <c r="H15" s="26"/>
      <c r="I15" s="17">
        <f>G15*1.1</f>
        <v>0</v>
      </c>
      <c r="J15" s="3"/>
      <c r="K15" s="17">
        <f>I15*1.1</f>
        <v>0</v>
      </c>
      <c r="M15" s="17">
        <f t="shared" ref="M15:M18" si="11">K15*1.1</f>
        <v>0</v>
      </c>
      <c r="N15" s="17"/>
      <c r="O15" s="174">
        <v>0</v>
      </c>
      <c r="P15" s="170">
        <v>0</v>
      </c>
      <c r="Q15" s="170">
        <f t="shared" si="1"/>
        <v>0</v>
      </c>
      <c r="R15" s="174"/>
      <c r="S15" s="86">
        <v>0</v>
      </c>
      <c r="T15" s="170"/>
      <c r="U15" s="170">
        <f t="shared" si="2"/>
        <v>0</v>
      </c>
      <c r="V15" s="86"/>
      <c r="W15" s="86">
        <v>0</v>
      </c>
      <c r="X15" s="152">
        <v>0</v>
      </c>
      <c r="Y15" s="170">
        <f t="shared" ref="Y15:Y18" si="12">X15-W15</f>
        <v>0</v>
      </c>
      <c r="Z15" s="86"/>
      <c r="AA15" s="86">
        <v>0</v>
      </c>
      <c r="AB15" s="233">
        <v>0</v>
      </c>
      <c r="AC15" s="152">
        <f>AB15-AA15</f>
        <v>0</v>
      </c>
      <c r="AD15" s="86"/>
      <c r="AE15" s="86">
        <v>0</v>
      </c>
      <c r="AF15" s="233"/>
      <c r="AG15" s="152">
        <f>AF15-AE15</f>
        <v>0</v>
      </c>
      <c r="AH15" s="247"/>
      <c r="AI15" s="86">
        <v>0</v>
      </c>
      <c r="AJ15" s="233">
        <v>0</v>
      </c>
      <c r="AK15" s="152">
        <f>AJ15-AI15</f>
        <v>0</v>
      </c>
      <c r="AL15" s="86"/>
      <c r="AM15" s="86">
        <v>0</v>
      </c>
      <c r="AN15" s="86"/>
      <c r="AO15" s="152">
        <f t="shared" ref="AO15:AO18" si="13">AN15-AM15</f>
        <v>0</v>
      </c>
      <c r="AP15" s="86"/>
      <c r="AQ15" s="86">
        <v>0</v>
      </c>
      <c r="AR15" s="233"/>
      <c r="AS15" s="152">
        <f t="shared" si="3"/>
        <v>0</v>
      </c>
      <c r="AT15" s="86"/>
      <c r="AU15" s="86">
        <v>0</v>
      </c>
      <c r="AV15" s="233"/>
      <c r="AW15" s="152">
        <f t="shared" si="4"/>
        <v>0</v>
      </c>
      <c r="AX15" s="284"/>
      <c r="AY15" s="86">
        <v>0</v>
      </c>
      <c r="AZ15" s="233"/>
      <c r="BA15" s="152">
        <f t="shared" si="5"/>
        <v>0</v>
      </c>
      <c r="BB15" s="284"/>
      <c r="BC15" s="86">
        <v>0</v>
      </c>
      <c r="BD15" s="233">
        <v>0</v>
      </c>
      <c r="BE15" s="152">
        <f t="shared" si="6"/>
        <v>0</v>
      </c>
      <c r="BF15" s="284"/>
      <c r="BG15" s="86">
        <v>0</v>
      </c>
      <c r="BH15" s="233">
        <v>0</v>
      </c>
      <c r="BI15" s="152">
        <f t="shared" si="7"/>
        <v>0</v>
      </c>
      <c r="BJ15" s="284"/>
      <c r="BK15" s="14"/>
      <c r="BL15" s="68" t="e" cm="1" vm="1">
        <f t="array" aca="1" ref="BL15" ca="1">ROUND(O15:BG15, -2)</f>
        <v>#VALUE!</v>
      </c>
      <c r="CH15" s="66">
        <f t="shared" si="8"/>
        <v>0</v>
      </c>
      <c r="CI15" s="160">
        <f t="shared" si="9"/>
        <v>0</v>
      </c>
      <c r="CJ15" s="154">
        <f t="shared" si="10"/>
        <v>0</v>
      </c>
    </row>
    <row r="16" spans="1:88" ht="60" customHeight="1" x14ac:dyDescent="0.2">
      <c r="A16" t="s">
        <v>37</v>
      </c>
      <c r="C16" s="44"/>
      <c r="D16" s="144" t="s">
        <v>121</v>
      </c>
      <c r="E16" s="44">
        <f>O16+S16+W16+AA16+AE16+AI16+AM16+AQ16+AU16+AY16+BC16+BG16</f>
        <v>328023.55931750004</v>
      </c>
      <c r="F16" s="82"/>
      <c r="G16" s="17">
        <f>E16*1.1</f>
        <v>360825.91524925007</v>
      </c>
      <c r="I16" s="17">
        <f t="shared" ref="I16:I18" si="14">G16*1.1</f>
        <v>396908.5067741751</v>
      </c>
      <c r="J16" s="3"/>
      <c r="K16" s="17">
        <f>I16*1.1</f>
        <v>436599.35745159263</v>
      </c>
      <c r="M16" s="17">
        <f t="shared" si="11"/>
        <v>480259.29319675191</v>
      </c>
      <c r="N16" s="17"/>
      <c r="O16" s="173">
        <v>19617.014917500004</v>
      </c>
      <c r="P16" s="170">
        <v>27044.14</v>
      </c>
      <c r="Q16" s="170">
        <f t="shared" si="1"/>
        <v>7427.1250824999952</v>
      </c>
      <c r="R16" s="173"/>
      <c r="S16" s="85">
        <v>20540</v>
      </c>
      <c r="T16" s="170">
        <v>23354</v>
      </c>
      <c r="U16" s="170">
        <f t="shared" si="2"/>
        <v>2814</v>
      </c>
      <c r="V16" s="193" t="s">
        <v>192</v>
      </c>
      <c r="W16" s="217">
        <f>21339.6461+2309+1000</f>
        <v>24648.646100000002</v>
      </c>
      <c r="X16" s="152">
        <v>24694</v>
      </c>
      <c r="Y16" s="170">
        <f t="shared" si="12"/>
        <v>45.353899999998248</v>
      </c>
      <c r="Z16" s="216" t="s">
        <v>193</v>
      </c>
      <c r="AA16" s="85">
        <v>25897.446100000001</v>
      </c>
      <c r="AB16" s="233">
        <v>23511</v>
      </c>
      <c r="AC16" s="152">
        <f>AB16-AA16</f>
        <v>-2386.446100000001</v>
      </c>
      <c r="AD16" s="225" t="s">
        <v>194</v>
      </c>
      <c r="AE16" s="85">
        <v>28000</v>
      </c>
      <c r="AF16" s="233">
        <v>23020</v>
      </c>
      <c r="AG16" s="152">
        <f>AF16-AE16</f>
        <v>-4980</v>
      </c>
      <c r="AH16" s="225" t="s">
        <v>195</v>
      </c>
      <c r="AI16" s="85">
        <v>27468.064600000002</v>
      </c>
      <c r="AJ16" s="233">
        <v>23576</v>
      </c>
      <c r="AK16" s="152">
        <f>AJ16-AI16</f>
        <v>-3892.0646000000015</v>
      </c>
      <c r="AL16" s="225" t="s">
        <v>196</v>
      </c>
      <c r="AM16" s="85">
        <v>28532.064600000002</v>
      </c>
      <c r="AN16" s="233">
        <v>21571</v>
      </c>
      <c r="AO16" s="152">
        <f t="shared" si="13"/>
        <v>-6961.0646000000015</v>
      </c>
      <c r="AP16" s="225" t="s">
        <v>197</v>
      </c>
      <c r="AQ16" s="85">
        <v>29582.064600000002</v>
      </c>
      <c r="AR16" s="233">
        <v>22314</v>
      </c>
      <c r="AS16" s="152">
        <f t="shared" si="3"/>
        <v>-7268.0646000000015</v>
      </c>
      <c r="AT16" s="225" t="s">
        <v>198</v>
      </c>
      <c r="AU16" s="85">
        <v>30064.564600000002</v>
      </c>
      <c r="AV16" s="233">
        <v>20161</v>
      </c>
      <c r="AW16" s="152">
        <f t="shared" si="4"/>
        <v>-9903.5646000000015</v>
      </c>
      <c r="AX16" s="284"/>
      <c r="AY16" s="85">
        <v>30909.564600000002</v>
      </c>
      <c r="AZ16" s="233">
        <v>22270</v>
      </c>
      <c r="BA16" s="152">
        <f t="shared" si="5"/>
        <v>-8639.5646000000015</v>
      </c>
      <c r="BB16" s="284"/>
      <c r="BC16" s="85">
        <v>30857.064600000002</v>
      </c>
      <c r="BD16" s="233">
        <v>26826</v>
      </c>
      <c r="BE16" s="152">
        <f t="shared" si="6"/>
        <v>-4031.0646000000015</v>
      </c>
      <c r="BF16" s="284"/>
      <c r="BG16" s="85">
        <v>31907.064600000002</v>
      </c>
      <c r="BH16" s="233">
        <v>23774</v>
      </c>
      <c r="BI16" s="152">
        <f t="shared" si="7"/>
        <v>-8133.0646000000015</v>
      </c>
      <c r="BJ16" s="284"/>
      <c r="BK16" s="14"/>
      <c r="BL16" s="68" t="e" cm="1" vm="1">
        <f t="array" aca="1" ref="BL16" ca="1">ROUND(O16:BG16, -2)</f>
        <v>#VALUE!</v>
      </c>
      <c r="CH16" s="44">
        <f t="shared" si="8"/>
        <v>328023.55931750004</v>
      </c>
      <c r="CI16" s="160">
        <f t="shared" si="9"/>
        <v>282115.14</v>
      </c>
      <c r="CJ16" s="192">
        <f t="shared" si="10"/>
        <v>-45908.419317500025</v>
      </c>
    </row>
    <row r="17" spans="1:88" ht="35.25" customHeight="1" x14ac:dyDescent="0.2">
      <c r="A17" t="s">
        <v>38</v>
      </c>
      <c r="C17" s="44"/>
      <c r="D17" s="16" t="s">
        <v>140</v>
      </c>
      <c r="E17" s="52">
        <f>O17+S17+W17+AA17+AE17+AI17+AM17+AQ17+AU17+AY17+BC17+BG17</f>
        <v>828330</v>
      </c>
      <c r="G17" s="15">
        <f>E17*1.1</f>
        <v>911163.00000000012</v>
      </c>
      <c r="I17" s="17">
        <f t="shared" si="14"/>
        <v>1002279.3000000002</v>
      </c>
      <c r="J17" s="3"/>
      <c r="K17" s="15">
        <f>I17*1.1</f>
        <v>1102507.2300000002</v>
      </c>
      <c r="M17" s="17">
        <f t="shared" si="11"/>
        <v>1212757.9530000004</v>
      </c>
      <c r="N17" s="17"/>
      <c r="O17" s="173">
        <v>69030</v>
      </c>
      <c r="P17" s="170">
        <v>20537.34</v>
      </c>
      <c r="Q17" s="170">
        <f t="shared" si="1"/>
        <v>-48492.66</v>
      </c>
      <c r="R17" s="173"/>
      <c r="S17" s="85">
        <v>69000</v>
      </c>
      <c r="T17" s="170">
        <v>42376</v>
      </c>
      <c r="U17" s="170">
        <f t="shared" si="2"/>
        <v>-26624</v>
      </c>
      <c r="V17" s="85"/>
      <c r="W17" s="85">
        <v>69030</v>
      </c>
      <c r="X17" s="152">
        <v>41063</v>
      </c>
      <c r="Y17" s="170">
        <f t="shared" si="12"/>
        <v>-27967</v>
      </c>
      <c r="Z17" s="85"/>
      <c r="AA17" s="85">
        <v>69030</v>
      </c>
      <c r="AB17" s="233">
        <v>54683</v>
      </c>
      <c r="AC17" s="152">
        <f>AB17-AA17</f>
        <v>-14347</v>
      </c>
      <c r="AD17" s="85"/>
      <c r="AE17" s="85">
        <v>69030</v>
      </c>
      <c r="AF17" s="233">
        <v>25568</v>
      </c>
      <c r="AG17" s="152">
        <f>AF17-AE17</f>
        <v>-43462</v>
      </c>
      <c r="AH17" s="248"/>
      <c r="AI17" s="85">
        <v>69030</v>
      </c>
      <c r="AJ17" s="233">
        <v>76958</v>
      </c>
      <c r="AK17" s="152">
        <f>AJ17-AI17</f>
        <v>7928</v>
      </c>
      <c r="AL17" s="225" t="s">
        <v>199</v>
      </c>
      <c r="AM17" s="85">
        <v>69030</v>
      </c>
      <c r="AN17" s="233">
        <v>166607</v>
      </c>
      <c r="AO17" s="152">
        <f t="shared" si="13"/>
        <v>97577</v>
      </c>
      <c r="AP17" s="225" t="s">
        <v>200</v>
      </c>
      <c r="AQ17" s="85">
        <v>69030</v>
      </c>
      <c r="AR17" s="233">
        <v>172309</v>
      </c>
      <c r="AS17" s="152">
        <f t="shared" si="3"/>
        <v>103279</v>
      </c>
      <c r="AT17" s="225" t="s">
        <v>201</v>
      </c>
      <c r="AU17" s="85">
        <v>69030</v>
      </c>
      <c r="AV17" s="233">
        <v>66035</v>
      </c>
      <c r="AW17" s="152" t="s">
        <v>202</v>
      </c>
      <c r="AX17" s="285" t="s">
        <v>144</v>
      </c>
      <c r="AY17" s="85">
        <v>69030</v>
      </c>
      <c r="AZ17" s="233">
        <v>49048</v>
      </c>
      <c r="BA17" s="152">
        <f t="shared" si="5"/>
        <v>-19982</v>
      </c>
      <c r="BB17" s="285" t="s">
        <v>144</v>
      </c>
      <c r="BC17" s="85">
        <v>69030</v>
      </c>
      <c r="BD17" s="233">
        <v>15332</v>
      </c>
      <c r="BE17" s="152">
        <f t="shared" si="6"/>
        <v>-53698</v>
      </c>
      <c r="BF17" s="285" t="s">
        <v>144</v>
      </c>
      <c r="BG17" s="85">
        <v>69030</v>
      </c>
      <c r="BH17" s="233">
        <v>6063</v>
      </c>
      <c r="BI17" s="152">
        <f t="shared" si="7"/>
        <v>-62967</v>
      </c>
      <c r="BJ17" s="286"/>
      <c r="BL17" s="68" t="e" cm="1" vm="1">
        <f t="array" aca="1" ref="BL17" ca="1">ROUND(O17:BG17, -2)</f>
        <v>#VALUE!</v>
      </c>
      <c r="CH17" s="44">
        <f t="shared" si="8"/>
        <v>828330</v>
      </c>
      <c r="CI17" s="160">
        <f t="shared" si="9"/>
        <v>736579.34</v>
      </c>
      <c r="CJ17" s="154">
        <f t="shared" si="10"/>
        <v>-91750.660000000033</v>
      </c>
    </row>
    <row r="18" spans="1:88" ht="15.75" customHeight="1" x14ac:dyDescent="0.2">
      <c r="A18" t="s">
        <v>40</v>
      </c>
      <c r="C18" s="44"/>
      <c r="D18" s="16" t="s">
        <v>140</v>
      </c>
      <c r="E18" s="44">
        <f>O18+S18+W18+AA18+AE18+AI18+AM18+AQ18+AU18+AY18+BC18+BG18</f>
        <v>0</v>
      </c>
      <c r="G18" s="15">
        <f>E18*1.1</f>
        <v>0</v>
      </c>
      <c r="I18" s="17">
        <f t="shared" si="14"/>
        <v>0</v>
      </c>
      <c r="K18" s="15">
        <f>I18*1.1</f>
        <v>0</v>
      </c>
      <c r="M18" s="17">
        <f t="shared" si="11"/>
        <v>0</v>
      </c>
      <c r="N18" s="17"/>
      <c r="O18" s="174">
        <v>0</v>
      </c>
      <c r="P18" s="170">
        <v>600</v>
      </c>
      <c r="Q18" s="170">
        <f t="shared" si="1"/>
        <v>600</v>
      </c>
      <c r="R18" s="174"/>
      <c r="S18" s="86">
        <v>0</v>
      </c>
      <c r="T18" s="170">
        <v>3192</v>
      </c>
      <c r="U18" s="170">
        <f t="shared" si="2"/>
        <v>3192</v>
      </c>
      <c r="V18" s="86"/>
      <c r="W18" s="86">
        <v>0</v>
      </c>
      <c r="X18" s="152">
        <v>249</v>
      </c>
      <c r="Y18" s="170">
        <f t="shared" si="12"/>
        <v>249</v>
      </c>
      <c r="Z18" s="86"/>
      <c r="AA18" s="86">
        <v>0</v>
      </c>
      <c r="AB18" s="233"/>
      <c r="AC18" s="152">
        <f>AB18-AA18</f>
        <v>0</v>
      </c>
      <c r="AD18" s="86"/>
      <c r="AE18" s="86">
        <v>0</v>
      </c>
      <c r="AF18" s="233">
        <v>0</v>
      </c>
      <c r="AG18" s="152">
        <f>AF18-AE18</f>
        <v>0</v>
      </c>
      <c r="AH18" s="247"/>
      <c r="AI18" s="86">
        <v>0</v>
      </c>
      <c r="AJ18" s="233">
        <v>14075</v>
      </c>
      <c r="AK18" s="152">
        <f>AJ18-AI18</f>
        <v>14075</v>
      </c>
      <c r="AL18" s="86"/>
      <c r="AM18" s="86">
        <v>0</v>
      </c>
      <c r="AN18" s="233">
        <v>280863</v>
      </c>
      <c r="AO18" s="152">
        <f t="shared" si="13"/>
        <v>280863</v>
      </c>
      <c r="AP18" s="225" t="s">
        <v>203</v>
      </c>
      <c r="AQ18" s="86">
        <v>0</v>
      </c>
      <c r="AR18" s="233">
        <v>22975</v>
      </c>
      <c r="AS18" s="152">
        <f t="shared" si="3"/>
        <v>22975</v>
      </c>
      <c r="AT18" s="225" t="s">
        <v>204</v>
      </c>
      <c r="AU18" s="86">
        <v>0</v>
      </c>
      <c r="AV18" s="233"/>
      <c r="AW18" s="152">
        <f t="shared" si="4"/>
        <v>0</v>
      </c>
      <c r="AX18" s="285"/>
      <c r="AY18" s="86">
        <v>0</v>
      </c>
      <c r="AZ18" s="86"/>
      <c r="BA18" s="152">
        <f t="shared" si="5"/>
        <v>0</v>
      </c>
      <c r="BB18" s="285"/>
      <c r="BC18" s="86">
        <v>0</v>
      </c>
      <c r="BD18" s="233">
        <v>0</v>
      </c>
      <c r="BE18" s="152">
        <f t="shared" si="6"/>
        <v>0</v>
      </c>
      <c r="BF18" s="285"/>
      <c r="BG18" s="86">
        <v>0</v>
      </c>
      <c r="BH18" s="233">
        <v>0</v>
      </c>
      <c r="BI18" s="152">
        <f t="shared" si="7"/>
        <v>0</v>
      </c>
      <c r="BJ18" s="286"/>
      <c r="BL18" s="68" t="e" cm="1" vm="1">
        <f t="array" aca="1" ref="BL18" ca="1">ROUND(O18:BG18, -2)</f>
        <v>#VALUE!</v>
      </c>
      <c r="CH18" s="66">
        <f t="shared" si="8"/>
        <v>0</v>
      </c>
      <c r="CI18" s="160">
        <f t="shared" si="9"/>
        <v>321954</v>
      </c>
      <c r="CJ18" s="154">
        <f t="shared" si="10"/>
        <v>321954</v>
      </c>
    </row>
    <row r="19" spans="1:88" x14ac:dyDescent="0.2">
      <c r="C19" s="44"/>
      <c r="D19" s="44"/>
      <c r="E19" s="44"/>
      <c r="G19" s="15"/>
      <c r="I19" s="15"/>
      <c r="K19" s="15"/>
      <c r="O19" s="66"/>
      <c r="P19" s="170"/>
      <c r="Q19" s="154"/>
      <c r="R19" s="66"/>
      <c r="S19" s="66"/>
      <c r="T19" s="170"/>
      <c r="U19" s="154"/>
      <c r="V19" s="66"/>
      <c r="W19" s="66"/>
      <c r="X19" s="154"/>
      <c r="Y19" s="170"/>
      <c r="Z19" s="66"/>
      <c r="AA19" s="66"/>
      <c r="AB19" s="233"/>
      <c r="AC19" s="152"/>
      <c r="AD19" s="66"/>
      <c r="AE19" s="66"/>
      <c r="AF19" s="234"/>
      <c r="AG19" s="152"/>
      <c r="AH19" s="242"/>
      <c r="AI19" s="66"/>
      <c r="AJ19" s="233"/>
      <c r="AK19" s="152"/>
      <c r="AL19" s="66"/>
      <c r="AM19" s="66"/>
      <c r="AN19" s="66"/>
      <c r="AO19" s="152"/>
      <c r="AP19" s="66"/>
      <c r="AQ19" s="66"/>
      <c r="AR19" s="66"/>
      <c r="AS19" s="66"/>
      <c r="AT19" s="66"/>
      <c r="AU19" s="66"/>
      <c r="AV19" s="66"/>
      <c r="AW19" s="66"/>
      <c r="AX19" s="68"/>
      <c r="AY19" s="66"/>
      <c r="AZ19" s="66"/>
      <c r="BA19" s="66"/>
      <c r="BB19" s="68"/>
      <c r="BC19" s="66"/>
      <c r="BD19" s="233"/>
      <c r="BE19" s="66"/>
      <c r="BF19" s="66"/>
      <c r="BG19" s="66"/>
      <c r="BH19" s="233"/>
      <c r="BI19" s="66"/>
      <c r="BJ19" s="66"/>
      <c r="BL19" s="68"/>
      <c r="CH19" s="66"/>
      <c r="CI19" s="160"/>
      <c r="CJ19" s="154"/>
    </row>
    <row r="20" spans="1:88" x14ac:dyDescent="0.2">
      <c r="C20" s="44"/>
      <c r="D20" s="44"/>
      <c r="E20" s="44"/>
      <c r="O20" s="66"/>
      <c r="P20" s="170"/>
      <c r="Q20" s="154"/>
      <c r="R20" s="66"/>
      <c r="S20" s="66"/>
      <c r="T20" s="170"/>
      <c r="U20" s="154"/>
      <c r="V20" s="66"/>
      <c r="W20" s="66"/>
      <c r="X20" s="154"/>
      <c r="Y20" s="170"/>
      <c r="Z20" s="66"/>
      <c r="AA20" s="66"/>
      <c r="AB20" s="233"/>
      <c r="AC20" s="152"/>
      <c r="AD20" s="66"/>
      <c r="AE20" s="66"/>
      <c r="AF20" s="234"/>
      <c r="AG20" s="66"/>
      <c r="AH20" s="242"/>
      <c r="AI20" s="66"/>
      <c r="AJ20" s="233"/>
      <c r="AK20" s="152"/>
      <c r="AL20" s="66"/>
      <c r="AM20" s="66"/>
      <c r="AN20" s="66"/>
      <c r="AO20" s="152"/>
      <c r="AP20" s="66"/>
      <c r="AQ20" s="66"/>
      <c r="AR20" s="66"/>
      <c r="AS20" s="66"/>
      <c r="AT20" s="66"/>
      <c r="AU20" s="66"/>
      <c r="AV20" s="66"/>
      <c r="AW20" s="66"/>
      <c r="AX20" s="68"/>
      <c r="AY20" s="66"/>
      <c r="AZ20" s="66"/>
      <c r="BA20" s="66"/>
      <c r="BB20" s="68"/>
      <c r="BC20" s="66"/>
      <c r="BD20" s="66"/>
      <c r="BE20" s="66"/>
      <c r="BF20" s="66"/>
      <c r="BG20" s="66"/>
      <c r="BH20" s="233"/>
      <c r="BI20" s="66"/>
      <c r="BJ20" s="66"/>
      <c r="BL20" s="68"/>
      <c r="CH20" s="66"/>
      <c r="CI20" s="160"/>
      <c r="CJ20" s="154"/>
    </row>
    <row r="21" spans="1:88" x14ac:dyDescent="0.2">
      <c r="A21" s="24" t="s">
        <v>41</v>
      </c>
      <c r="C21" s="44"/>
      <c r="D21" s="44"/>
      <c r="E21" s="44"/>
      <c r="O21" s="66"/>
      <c r="P21" s="170"/>
      <c r="Q21" s="154"/>
      <c r="R21" s="66"/>
      <c r="S21" s="66"/>
      <c r="T21" s="170"/>
      <c r="U21" s="154"/>
      <c r="V21" s="66"/>
      <c r="W21" s="66"/>
      <c r="X21" s="154"/>
      <c r="Y21" s="170"/>
      <c r="Z21" s="66"/>
      <c r="AA21" s="66"/>
      <c r="AB21" s="233"/>
      <c r="AC21" s="152"/>
      <c r="AD21" s="66"/>
      <c r="AE21" s="66"/>
      <c r="AF21" s="234"/>
      <c r="AG21" s="66"/>
      <c r="AH21" s="242"/>
      <c r="AI21" s="66"/>
      <c r="AJ21" s="66"/>
      <c r="AK21" s="152"/>
      <c r="AL21" s="66"/>
      <c r="AM21" s="66"/>
      <c r="AN21" s="66"/>
      <c r="AO21" s="152"/>
      <c r="AP21" s="66"/>
      <c r="AQ21" s="66"/>
      <c r="AR21" s="66"/>
      <c r="AS21" s="66"/>
      <c r="AT21" s="66"/>
      <c r="AU21" s="66"/>
      <c r="AV21" s="66"/>
      <c r="AW21" s="66"/>
      <c r="AX21" s="68"/>
      <c r="AY21" s="66"/>
      <c r="AZ21" s="66"/>
      <c r="BA21" s="66"/>
      <c r="BB21" s="68"/>
      <c r="BC21" s="66"/>
      <c r="BD21" s="66"/>
      <c r="BE21" s="66"/>
      <c r="BF21" s="66"/>
      <c r="BG21" s="66"/>
      <c r="BH21" s="233"/>
      <c r="BI21" s="66"/>
      <c r="BJ21" s="66"/>
      <c r="BL21" s="68"/>
      <c r="CH21" s="66"/>
      <c r="CI21" s="160"/>
      <c r="CJ21" s="154"/>
    </row>
    <row r="22" spans="1:88" ht="37" x14ac:dyDescent="0.2">
      <c r="A22" t="s">
        <v>42</v>
      </c>
      <c r="C22" s="44"/>
      <c r="D22" s="44" t="s">
        <v>140</v>
      </c>
      <c r="E22" s="44">
        <f>O22+S22+W22+AA22+AE22+AI22+AM22+AQ22+AU22+AY22+BC22+BG22</f>
        <v>6074640</v>
      </c>
      <c r="G22" s="17">
        <f>E22*1.1</f>
        <v>6682104.0000000009</v>
      </c>
      <c r="I22" s="17">
        <f>G22*1.1</f>
        <v>7350314.4000000013</v>
      </c>
      <c r="K22" s="17">
        <f>I22*1.1</f>
        <v>8085345.8400000017</v>
      </c>
      <c r="M22" s="17">
        <f>K22*1.1</f>
        <v>8893880.4240000024</v>
      </c>
      <c r="N22" s="17"/>
      <c r="O22" s="66">
        <v>506220</v>
      </c>
      <c r="P22" s="170">
        <v>369763</v>
      </c>
      <c r="Q22" s="154">
        <f t="shared" ref="Q22:Q23" si="15">P22-O22</f>
        <v>-136457</v>
      </c>
      <c r="R22" s="66"/>
      <c r="S22" s="66">
        <v>506220</v>
      </c>
      <c r="T22" s="170">
        <v>272039</v>
      </c>
      <c r="U22" s="154">
        <f t="shared" ref="U22:U23" si="16">T22-S22</f>
        <v>-234181</v>
      </c>
      <c r="V22" s="66"/>
      <c r="W22" s="66">
        <v>506220</v>
      </c>
      <c r="X22" s="154">
        <v>225219</v>
      </c>
      <c r="Y22" s="170">
        <f t="shared" ref="Y22:Y23" si="17">X22-W22</f>
        <v>-281001</v>
      </c>
      <c r="Z22" s="33"/>
      <c r="AA22" s="66">
        <v>506220</v>
      </c>
      <c r="AB22" s="233">
        <v>588228</v>
      </c>
      <c r="AC22" s="152">
        <f>AB22-AA22</f>
        <v>82008</v>
      </c>
      <c r="AD22" s="225" t="s">
        <v>205</v>
      </c>
      <c r="AE22" s="66">
        <v>506220</v>
      </c>
      <c r="AF22" s="233">
        <v>474112</v>
      </c>
      <c r="AG22" s="170">
        <f>AF22-AE22</f>
        <v>-32108</v>
      </c>
      <c r="AH22" s="242"/>
      <c r="AI22" s="66">
        <v>506220</v>
      </c>
      <c r="AJ22" s="233">
        <v>469774</v>
      </c>
      <c r="AK22" s="152">
        <f>AJ22-AI22</f>
        <v>-36446</v>
      </c>
      <c r="AL22" s="66"/>
      <c r="AM22" s="66">
        <v>506220</v>
      </c>
      <c r="AN22" s="233">
        <v>509318</v>
      </c>
      <c r="AO22" s="152">
        <f t="shared" ref="AO22:AO23" si="18">AN22-AM22</f>
        <v>3098</v>
      </c>
      <c r="AP22" s="66"/>
      <c r="AQ22" s="66">
        <v>506220</v>
      </c>
      <c r="AR22" s="233">
        <v>1058038</v>
      </c>
      <c r="AS22" s="152">
        <f>AR22-AQ22</f>
        <v>551818</v>
      </c>
      <c r="AT22" s="225" t="s">
        <v>206</v>
      </c>
      <c r="AU22" s="66">
        <v>506220</v>
      </c>
      <c r="AV22" s="233">
        <v>245145</v>
      </c>
      <c r="AW22" s="152">
        <f>AV22-AU22</f>
        <v>-261075</v>
      </c>
      <c r="AX22" s="271" t="s">
        <v>144</v>
      </c>
      <c r="AY22" s="66">
        <v>506220</v>
      </c>
      <c r="AZ22" s="66">
        <v>414026</v>
      </c>
      <c r="BA22" s="152">
        <f>AZ22-AY22</f>
        <v>-92194</v>
      </c>
      <c r="BB22" s="271" t="s">
        <v>144</v>
      </c>
      <c r="BC22" s="66">
        <v>506220</v>
      </c>
      <c r="BD22" s="233">
        <v>296878</v>
      </c>
      <c r="BE22" s="152">
        <f>BD22-BC22</f>
        <v>-209342</v>
      </c>
      <c r="BF22" s="271" t="s">
        <v>144</v>
      </c>
      <c r="BG22" s="66">
        <v>506220</v>
      </c>
      <c r="BH22" s="233">
        <v>167033</v>
      </c>
      <c r="BI22" s="152">
        <f>BH22-BG22</f>
        <v>-339187</v>
      </c>
      <c r="BJ22" s="270"/>
      <c r="BL22" s="68" t="e" cm="1" vm="1">
        <f t="array" aca="1" ref="BL22" ca="1">ROUND(O22:BG22, -2)</f>
        <v>#VALUE!</v>
      </c>
      <c r="CH22" s="44">
        <f t="shared" ref="CH22:CH33" si="19">+W22+S22+O22+AA22+AE22+AI22+AM22+AQ22+AU22+AY22+BC22+BG22</f>
        <v>6074640</v>
      </c>
      <c r="CI22" s="160">
        <f t="shared" ref="CI22:CI33" si="20">+X22+T22+P22+AB22+AF22+AJ22+AN22+AR22+AV22+AZ22+BD22+BH22</f>
        <v>5089573</v>
      </c>
      <c r="CJ22" s="154">
        <f t="shared" ref="CJ22:CJ23" si="21">CI22-CH22</f>
        <v>-985067</v>
      </c>
    </row>
    <row r="23" spans="1:88" x14ac:dyDescent="0.2">
      <c r="A23" t="s">
        <v>44</v>
      </c>
      <c r="C23" s="44"/>
      <c r="D23" s="44"/>
      <c r="E23" s="44">
        <f>O23+S23+W23+AA23+AE23+AI23+AM23+AQ23+AU23+AY23+BC23+BG23</f>
        <v>30250</v>
      </c>
      <c r="G23" s="17">
        <f>E23*1.1</f>
        <v>33275</v>
      </c>
      <c r="I23" s="17">
        <f>G23*1.1</f>
        <v>36602.5</v>
      </c>
      <c r="K23" s="17">
        <f>I23*1.1</f>
        <v>40262.75</v>
      </c>
      <c r="M23" s="17">
        <f>K23*1.1</f>
        <v>44289.025000000001</v>
      </c>
      <c r="N23" s="17"/>
      <c r="O23" s="66">
        <f>33000/12</f>
        <v>2750</v>
      </c>
      <c r="P23" s="170">
        <v>0</v>
      </c>
      <c r="Q23" s="154">
        <f t="shared" si="15"/>
        <v>-2750</v>
      </c>
      <c r="R23" s="66"/>
      <c r="S23" s="66">
        <v>0</v>
      </c>
      <c r="T23" s="170">
        <v>0</v>
      </c>
      <c r="U23" s="154">
        <f t="shared" si="16"/>
        <v>0</v>
      </c>
      <c r="V23" s="66"/>
      <c r="W23" s="66">
        <v>2750</v>
      </c>
      <c r="X23" s="154">
        <v>577</v>
      </c>
      <c r="Y23" s="170">
        <f t="shared" si="17"/>
        <v>-2173</v>
      </c>
      <c r="Z23" s="66"/>
      <c r="AA23" s="66">
        <v>2750</v>
      </c>
      <c r="AB23" s="234">
        <v>0</v>
      </c>
      <c r="AC23" s="152">
        <f>AB23-AA23</f>
        <v>-2750</v>
      </c>
      <c r="AD23" s="66"/>
      <c r="AE23" s="66">
        <v>2750</v>
      </c>
      <c r="AF23" s="233">
        <v>4479</v>
      </c>
      <c r="AG23" s="170">
        <f>AF23-AE23</f>
        <v>1729</v>
      </c>
      <c r="AH23" s="242"/>
      <c r="AI23" s="66">
        <v>2750</v>
      </c>
      <c r="AJ23" s="233">
        <v>4651</v>
      </c>
      <c r="AK23" s="152">
        <f>AJ23-AI23</f>
        <v>1901</v>
      </c>
      <c r="AL23" s="66"/>
      <c r="AM23" s="66">
        <v>2750</v>
      </c>
      <c r="AN23" s="233">
        <v>0</v>
      </c>
      <c r="AO23" s="152">
        <f t="shared" si="18"/>
        <v>-2750</v>
      </c>
      <c r="AP23" s="66"/>
      <c r="AQ23" s="66">
        <v>2750</v>
      </c>
      <c r="AR23" s="66">
        <v>0</v>
      </c>
      <c r="AS23" s="152">
        <f t="shared" ref="AS23" si="22">AR23-AQ23</f>
        <v>-2750</v>
      </c>
      <c r="AT23" s="66"/>
      <c r="AU23" s="66">
        <v>2750</v>
      </c>
      <c r="AV23" s="66">
        <v>0</v>
      </c>
      <c r="AW23" s="152">
        <f t="shared" ref="AW23" si="23">AV23-AU23</f>
        <v>-2750</v>
      </c>
      <c r="AX23" s="66"/>
      <c r="AY23" s="66">
        <v>2750</v>
      </c>
      <c r="AZ23" s="66">
        <v>0</v>
      </c>
      <c r="BA23" s="152">
        <f t="shared" ref="BA23" si="24">AZ23-AY23</f>
        <v>-2750</v>
      </c>
      <c r="BB23" s="66"/>
      <c r="BC23" s="66">
        <v>2750</v>
      </c>
      <c r="BD23" s="233">
        <v>861</v>
      </c>
      <c r="BE23" s="152">
        <f t="shared" ref="BE23" si="25">BD23-BC23</f>
        <v>-1889</v>
      </c>
      <c r="BF23" s="66"/>
      <c r="BG23" s="66">
        <v>2750</v>
      </c>
      <c r="BH23" s="233">
        <v>20924</v>
      </c>
      <c r="BI23" s="152">
        <f t="shared" ref="BI23" si="26">BH23-BG23</f>
        <v>18174</v>
      </c>
      <c r="BJ23" s="66"/>
      <c r="BL23" s="68" t="e" cm="1" vm="1">
        <f t="array" aca="1" ref="BL23" ca="1">ROUND(O23:BG23, -2)</f>
        <v>#VALUE!</v>
      </c>
      <c r="CH23" s="44">
        <f t="shared" si="19"/>
        <v>30250</v>
      </c>
      <c r="CI23" s="160">
        <f t="shared" si="20"/>
        <v>31492</v>
      </c>
      <c r="CJ23" s="154">
        <f t="shared" si="21"/>
        <v>1242</v>
      </c>
    </row>
    <row r="24" spans="1:88" x14ac:dyDescent="0.2">
      <c r="C24" s="44"/>
      <c r="D24" s="44"/>
      <c r="E24" s="44"/>
      <c r="G24" s="15"/>
      <c r="I24" s="15"/>
      <c r="K24" s="15"/>
      <c r="M24" s="17"/>
      <c r="N24" s="17"/>
      <c r="O24" s="68"/>
      <c r="P24" s="170"/>
      <c r="Q24" s="169"/>
      <c r="R24" s="68"/>
      <c r="S24" s="68"/>
      <c r="T24" s="170"/>
      <c r="U24" s="169"/>
      <c r="V24" s="68"/>
      <c r="W24" s="68"/>
      <c r="X24" s="169"/>
      <c r="Y24" s="170"/>
      <c r="Z24" s="68"/>
      <c r="AA24" s="68"/>
      <c r="AB24" s="235"/>
      <c r="AC24" s="152"/>
      <c r="AD24" s="68"/>
      <c r="AE24" s="68"/>
      <c r="AF24" s="233"/>
      <c r="AG24" s="170"/>
      <c r="AH24" s="249"/>
      <c r="AI24" s="68"/>
      <c r="AJ24" s="233"/>
      <c r="AK24" s="68"/>
      <c r="AL24" s="68"/>
      <c r="AM24" s="68"/>
      <c r="AN24" s="68"/>
      <c r="AO24" s="152"/>
      <c r="AP24" s="68"/>
      <c r="AQ24" s="68"/>
      <c r="AR24" s="68"/>
      <c r="AS24" s="68"/>
      <c r="AT24" s="68"/>
      <c r="AU24" s="68"/>
      <c r="AV24" s="68"/>
      <c r="AW24" s="68"/>
      <c r="AX24" s="68"/>
      <c r="AY24" s="68"/>
      <c r="AZ24" s="68"/>
      <c r="BA24" s="68"/>
      <c r="BB24" s="68"/>
      <c r="BC24" s="68"/>
      <c r="BD24" s="233"/>
      <c r="BE24" s="68"/>
      <c r="BF24" s="68"/>
      <c r="BG24" s="68"/>
      <c r="BH24" s="233"/>
      <c r="BI24" s="68"/>
      <c r="BJ24" s="68"/>
      <c r="BL24" s="68"/>
      <c r="CH24" s="66"/>
      <c r="CI24" s="160"/>
      <c r="CJ24" s="154"/>
    </row>
    <row r="25" spans="1:88" x14ac:dyDescent="0.2">
      <c r="A25" s="24" t="s">
        <v>45</v>
      </c>
      <c r="C25" s="44"/>
      <c r="D25" s="44"/>
      <c r="E25" s="44"/>
      <c r="G25" s="15"/>
      <c r="I25" s="15"/>
      <c r="K25" s="15"/>
      <c r="M25" s="17"/>
      <c r="N25" s="17"/>
      <c r="O25" s="68"/>
      <c r="P25" s="170"/>
      <c r="Q25" s="169"/>
      <c r="R25" s="68"/>
      <c r="S25" s="68"/>
      <c r="T25" s="170"/>
      <c r="U25" s="169"/>
      <c r="V25" s="68"/>
      <c r="W25" s="68"/>
      <c r="X25" s="169"/>
      <c r="Y25" s="170"/>
      <c r="Z25" s="68"/>
      <c r="AA25" s="68"/>
      <c r="AB25" s="235"/>
      <c r="AC25" s="152"/>
      <c r="AD25" s="68"/>
      <c r="AE25" s="68"/>
      <c r="AF25" s="233"/>
      <c r="AG25" s="170"/>
      <c r="AH25" s="249"/>
      <c r="AI25" s="68"/>
      <c r="AJ25" s="233"/>
      <c r="AK25" s="68"/>
      <c r="AL25" s="68"/>
      <c r="AM25" s="68"/>
      <c r="AN25" s="68"/>
      <c r="AO25" s="152"/>
      <c r="AP25" s="68"/>
      <c r="AQ25" s="68"/>
      <c r="AR25" s="68"/>
      <c r="AS25" s="68"/>
      <c r="AT25" s="68"/>
      <c r="AU25" s="68"/>
      <c r="AV25" s="68"/>
      <c r="AW25" s="68"/>
      <c r="AX25" s="68"/>
      <c r="AY25" s="68"/>
      <c r="AZ25" s="68"/>
      <c r="BA25" s="68"/>
      <c r="BB25" s="68"/>
      <c r="BC25" s="68"/>
      <c r="BD25" s="233"/>
      <c r="BE25" s="68"/>
      <c r="BF25" s="68"/>
      <c r="BG25" s="68"/>
      <c r="BH25" s="233"/>
      <c r="BI25" s="68"/>
      <c r="BJ25" s="68"/>
      <c r="BL25" s="68"/>
      <c r="CH25" s="66"/>
      <c r="CI25" s="160"/>
      <c r="CJ25" s="154"/>
    </row>
    <row r="26" spans="1:88" x14ac:dyDescent="0.2">
      <c r="A26" t="s">
        <v>46</v>
      </c>
      <c r="C26" s="44"/>
      <c r="D26" s="44"/>
      <c r="E26" s="44">
        <f>O26+S26+W26+AA26+AE26+AI26+AM26+AQ26+AU26+AY26+BC26+BG26</f>
        <v>57300</v>
      </c>
      <c r="G26" s="15">
        <f>G14*0.033</f>
        <v>62678.385020644819</v>
      </c>
      <c r="I26" s="15">
        <f>I14*0.033</f>
        <v>68946.223522709304</v>
      </c>
      <c r="K26" s="15">
        <f>K14*0.033</f>
        <v>75840.845874980238</v>
      </c>
      <c r="M26" s="15">
        <f>M14*0.033</f>
        <v>83424.930462478267</v>
      </c>
      <c r="N26" s="15"/>
      <c r="O26" s="66">
        <f t="shared" ref="O26" si="27">ROUND(O14*0.033, -2)</f>
        <v>4000</v>
      </c>
      <c r="P26" s="229">
        <v>5507</v>
      </c>
      <c r="Q26" s="154">
        <f>O26-P26</f>
        <v>-1507</v>
      </c>
      <c r="R26" s="66"/>
      <c r="S26" s="66">
        <v>4200</v>
      </c>
      <c r="T26" s="170">
        <v>5813</v>
      </c>
      <c r="U26" s="154">
        <f>S26-T26</f>
        <v>-1613</v>
      </c>
      <c r="V26" s="66"/>
      <c r="W26" s="66">
        <v>4200</v>
      </c>
      <c r="X26" s="154">
        <v>5254</v>
      </c>
      <c r="Y26" s="170">
        <f t="shared" ref="Y26:Y31" si="28">W26-X26</f>
        <v>-1054</v>
      </c>
      <c r="Z26" s="66"/>
      <c r="AA26" s="66">
        <f>ROUND(AA14*0.033, -2)</f>
        <v>4400</v>
      </c>
      <c r="AB26" s="233">
        <v>5255</v>
      </c>
      <c r="AC26" s="152">
        <f t="shared" ref="AC26:AC31" si="29">AA26-AB26</f>
        <v>-855</v>
      </c>
      <c r="AD26" s="66"/>
      <c r="AE26" s="66">
        <f t="shared" ref="AE26:BG26" si="30">ROUND(AE14*0.033, -2)</f>
        <v>4600</v>
      </c>
      <c r="AF26" s="233">
        <v>5298</v>
      </c>
      <c r="AG26" s="170">
        <f t="shared" ref="AG26:AG31" si="31">AE26-AF26</f>
        <v>-698</v>
      </c>
      <c r="AH26" s="242"/>
      <c r="AI26" s="66">
        <f t="shared" si="30"/>
        <v>4400</v>
      </c>
      <c r="AJ26" s="233">
        <v>5368</v>
      </c>
      <c r="AK26" s="152">
        <f t="shared" ref="AK26:AK31" si="32">AI26-AJ26</f>
        <v>-968</v>
      </c>
      <c r="AL26" s="66"/>
      <c r="AM26" s="66">
        <f t="shared" si="30"/>
        <v>4800</v>
      </c>
      <c r="AN26" s="233">
        <v>4557</v>
      </c>
      <c r="AO26" s="152">
        <f t="shared" ref="AO26:AO31" si="33">AM26-AN26</f>
        <v>243</v>
      </c>
      <c r="AP26" s="66"/>
      <c r="AQ26" s="66">
        <f t="shared" si="30"/>
        <v>5000</v>
      </c>
      <c r="AR26" s="233">
        <v>4537</v>
      </c>
      <c r="AS26" s="152">
        <f t="shared" ref="AS26:AS31" si="34">AQ26-AR26</f>
        <v>463</v>
      </c>
      <c r="AT26" s="66"/>
      <c r="AU26" s="66">
        <f t="shared" si="30"/>
        <v>5100</v>
      </c>
      <c r="AV26" s="233">
        <v>5783</v>
      </c>
      <c r="AW26" s="152">
        <f t="shared" ref="AW26:AW31" si="35">AU26-AV26</f>
        <v>-683</v>
      </c>
      <c r="AX26" s="66"/>
      <c r="AY26" s="66">
        <f t="shared" si="30"/>
        <v>5400</v>
      </c>
      <c r="AZ26" s="66">
        <v>2496</v>
      </c>
      <c r="BA26" s="152">
        <f t="shared" ref="BA26:BA31" si="36">AY26-AZ26</f>
        <v>2904</v>
      </c>
      <c r="BB26" s="66"/>
      <c r="BC26" s="66">
        <f t="shared" si="30"/>
        <v>5500</v>
      </c>
      <c r="BD26" s="233">
        <v>6054</v>
      </c>
      <c r="BE26" s="152">
        <f t="shared" ref="BE26:BE31" si="37">BC26-BD26</f>
        <v>-554</v>
      </c>
      <c r="BF26" s="66"/>
      <c r="BG26" s="66">
        <f t="shared" si="30"/>
        <v>5700</v>
      </c>
      <c r="BH26" s="233">
        <v>5840</v>
      </c>
      <c r="BI26" s="152">
        <f t="shared" ref="BI26:BI31" si="38">BG26-BH26</f>
        <v>-140</v>
      </c>
      <c r="BJ26" s="66"/>
      <c r="BL26" s="68" t="e" cm="1" vm="1">
        <f t="array" aca="1" ref="BL26" ca="1">ROUND(O26:BG26, -2)</f>
        <v>#VALUE!</v>
      </c>
      <c r="CH26" s="44">
        <f t="shared" si="19"/>
        <v>57300</v>
      </c>
      <c r="CI26" s="160">
        <f t="shared" si="20"/>
        <v>61762</v>
      </c>
      <c r="CJ26" s="152">
        <f>CH26-CI26</f>
        <v>-4462</v>
      </c>
    </row>
    <row r="27" spans="1:88" x14ac:dyDescent="0.2">
      <c r="A27" t="s">
        <v>47</v>
      </c>
      <c r="C27" s="44"/>
      <c r="D27" s="44"/>
      <c r="E27" s="44">
        <f>O27+S27+W27+AA27+AE27+AI27+AM27+AQ27+AU27+AY27+BC27+BG27</f>
        <v>0</v>
      </c>
      <c r="G27" s="15">
        <f>G15*0.678</f>
        <v>0</v>
      </c>
      <c r="I27" s="15">
        <f>I15*0.678</f>
        <v>0</v>
      </c>
      <c r="K27" s="15">
        <f>K15*0.678</f>
        <v>0</v>
      </c>
      <c r="M27" s="15">
        <f>M15*0.678</f>
        <v>0</v>
      </c>
      <c r="N27" s="15"/>
      <c r="O27" s="66"/>
      <c r="P27" s="170">
        <v>0</v>
      </c>
      <c r="Q27" s="154">
        <f t="shared" ref="Q27:Q34" si="39">O27-P27</f>
        <v>0</v>
      </c>
      <c r="R27" s="66"/>
      <c r="S27" s="66">
        <v>0</v>
      </c>
      <c r="T27" s="170">
        <v>0</v>
      </c>
      <c r="U27" s="154">
        <f t="shared" ref="U27:U34" si="40">S27-T27</f>
        <v>0</v>
      </c>
      <c r="V27" s="66"/>
      <c r="W27" s="66"/>
      <c r="X27" s="154">
        <v>0</v>
      </c>
      <c r="Y27" s="170">
        <f t="shared" si="28"/>
        <v>0</v>
      </c>
      <c r="Z27" s="66"/>
      <c r="AA27" s="66"/>
      <c r="AB27" s="233">
        <v>0</v>
      </c>
      <c r="AC27" s="152">
        <f t="shared" si="29"/>
        <v>0</v>
      </c>
      <c r="AD27" s="66"/>
      <c r="AE27" s="66"/>
      <c r="AF27" s="233">
        <v>0</v>
      </c>
      <c r="AG27" s="170">
        <f t="shared" si="31"/>
        <v>0</v>
      </c>
      <c r="AH27" s="242"/>
      <c r="AI27" s="66"/>
      <c r="AJ27" s="233">
        <v>0</v>
      </c>
      <c r="AK27" s="152">
        <f t="shared" si="32"/>
        <v>0</v>
      </c>
      <c r="AL27" s="66"/>
      <c r="AM27" s="66"/>
      <c r="AN27" s="233"/>
      <c r="AO27" s="152">
        <f t="shared" si="33"/>
        <v>0</v>
      </c>
      <c r="AP27" s="66"/>
      <c r="AQ27" s="66"/>
      <c r="AR27" s="233"/>
      <c r="AS27" s="152">
        <f t="shared" si="34"/>
        <v>0</v>
      </c>
      <c r="AT27" s="66"/>
      <c r="AU27" s="66"/>
      <c r="AV27" s="233"/>
      <c r="AW27" s="152">
        <f t="shared" si="35"/>
        <v>0</v>
      </c>
      <c r="AX27" s="66"/>
      <c r="AY27" s="66"/>
      <c r="AZ27" s="66"/>
      <c r="BA27" s="152">
        <f t="shared" si="36"/>
        <v>0</v>
      </c>
      <c r="BB27" s="66"/>
      <c r="BC27" s="66"/>
      <c r="BD27" s="233">
        <v>0</v>
      </c>
      <c r="BE27" s="152">
        <f t="shared" si="37"/>
        <v>0</v>
      </c>
      <c r="BF27" s="66"/>
      <c r="BG27" s="66"/>
      <c r="BH27" s="233">
        <v>0</v>
      </c>
      <c r="BI27" s="152">
        <f t="shared" si="38"/>
        <v>0</v>
      </c>
      <c r="BJ27" s="66"/>
      <c r="BL27" s="68" t="e" cm="1" vm="1">
        <f t="array" aca="1" ref="BL27" ca="1">ROUND(O27:BG27, -2)</f>
        <v>#VALUE!</v>
      </c>
      <c r="CH27" s="66">
        <f t="shared" si="19"/>
        <v>0</v>
      </c>
      <c r="CI27" s="160">
        <f t="shared" si="20"/>
        <v>0</v>
      </c>
      <c r="CJ27" s="152">
        <f t="shared" ref="CJ27:CJ31" si="41">CH27-CI27</f>
        <v>0</v>
      </c>
    </row>
    <row r="28" spans="1:88" x14ac:dyDescent="0.2">
      <c r="A28" t="s">
        <v>48</v>
      </c>
      <c r="C28" s="44"/>
      <c r="D28" s="44"/>
      <c r="E28" s="44">
        <f>O28+S28+W28+AA28+AE28+AI28+AM28+AQ28+AU28+AY28+BC28+BG28</f>
        <v>209600</v>
      </c>
      <c r="G28" s="15">
        <f>G16*0.647</f>
        <v>233454.3671662648</v>
      </c>
      <c r="I28" s="15">
        <f>I16*0.647</f>
        <v>256799.80388289128</v>
      </c>
      <c r="K28" s="15">
        <f>K16*0.647</f>
        <v>282479.78427118046</v>
      </c>
      <c r="M28" s="15">
        <f>M16*0.647</f>
        <v>310727.76269829849</v>
      </c>
      <c r="N28" s="15"/>
      <c r="O28" s="66">
        <f t="shared" ref="O28" si="42">ROUND(O16*0.647, -2)</f>
        <v>12700</v>
      </c>
      <c r="P28" s="154">
        <v>15189</v>
      </c>
      <c r="Q28" s="154">
        <f t="shared" si="39"/>
        <v>-2489</v>
      </c>
      <c r="R28" s="66"/>
      <c r="S28" s="66">
        <v>12700</v>
      </c>
      <c r="T28" s="154">
        <v>12316</v>
      </c>
      <c r="U28" s="154">
        <f t="shared" si="40"/>
        <v>384</v>
      </c>
      <c r="V28" s="66"/>
      <c r="W28" s="66">
        <v>13800</v>
      </c>
      <c r="X28" s="154">
        <v>13631</v>
      </c>
      <c r="Y28" s="170">
        <f t="shared" si="28"/>
        <v>169</v>
      </c>
      <c r="Z28" s="66"/>
      <c r="AA28" s="66">
        <f>ROUND(AA16*0.647, -2)</f>
        <v>16800</v>
      </c>
      <c r="AB28" s="233">
        <v>12783</v>
      </c>
      <c r="AC28" s="152">
        <f t="shared" si="29"/>
        <v>4017</v>
      </c>
      <c r="AD28" s="66"/>
      <c r="AE28" s="66">
        <f t="shared" ref="AE28:BG28" si="43">ROUND(AE16*0.647, -2)</f>
        <v>18100</v>
      </c>
      <c r="AF28" s="233">
        <v>11322</v>
      </c>
      <c r="AG28" s="170">
        <f t="shared" si="31"/>
        <v>6778</v>
      </c>
      <c r="AH28" s="242"/>
      <c r="AI28" s="66">
        <f t="shared" si="43"/>
        <v>17800</v>
      </c>
      <c r="AJ28" s="233">
        <v>13468</v>
      </c>
      <c r="AK28" s="152">
        <f t="shared" si="32"/>
        <v>4332</v>
      </c>
      <c r="AL28" s="66"/>
      <c r="AM28" s="66">
        <f t="shared" si="43"/>
        <v>18500</v>
      </c>
      <c r="AN28" s="233">
        <v>12737</v>
      </c>
      <c r="AO28" s="152">
        <f t="shared" si="33"/>
        <v>5763</v>
      </c>
      <c r="AP28" s="66"/>
      <c r="AQ28" s="66">
        <f t="shared" si="43"/>
        <v>19100</v>
      </c>
      <c r="AR28" s="233">
        <v>13426</v>
      </c>
      <c r="AS28" s="152">
        <f t="shared" si="34"/>
        <v>5674</v>
      </c>
      <c r="AT28" s="66"/>
      <c r="AU28" s="66">
        <f t="shared" si="43"/>
        <v>19500</v>
      </c>
      <c r="AV28" s="233">
        <v>10273</v>
      </c>
      <c r="AW28" s="152">
        <f t="shared" si="35"/>
        <v>9227</v>
      </c>
      <c r="AX28" s="66"/>
      <c r="AY28" s="66">
        <f t="shared" si="43"/>
        <v>20000</v>
      </c>
      <c r="AZ28" s="274">
        <v>10048</v>
      </c>
      <c r="BA28" s="152">
        <f t="shared" si="36"/>
        <v>9952</v>
      </c>
      <c r="BB28" s="274"/>
      <c r="BC28" s="66">
        <f t="shared" si="43"/>
        <v>20000</v>
      </c>
      <c r="BD28" s="233">
        <v>13844</v>
      </c>
      <c r="BE28" s="152">
        <f t="shared" si="37"/>
        <v>6156</v>
      </c>
      <c r="BF28" s="66"/>
      <c r="BG28" s="66">
        <f t="shared" si="43"/>
        <v>20600</v>
      </c>
      <c r="BH28" s="233">
        <v>14280</v>
      </c>
      <c r="BI28" s="152">
        <f t="shared" si="38"/>
        <v>6320</v>
      </c>
      <c r="BJ28" s="66"/>
      <c r="BL28" s="68" t="e" cm="1" vm="1">
        <f t="array" aca="1" ref="BL28" ca="1">ROUND(O28:BG28, -2)</f>
        <v>#VALUE!</v>
      </c>
      <c r="CH28" s="44">
        <f t="shared" si="19"/>
        <v>209600</v>
      </c>
      <c r="CI28" s="160">
        <f t="shared" si="20"/>
        <v>153317</v>
      </c>
      <c r="CJ28" s="152">
        <f t="shared" si="41"/>
        <v>56283</v>
      </c>
    </row>
    <row r="29" spans="1:88" ht="25" x14ac:dyDescent="0.2">
      <c r="A29" t="s">
        <v>49</v>
      </c>
      <c r="C29" s="44"/>
      <c r="D29" s="44"/>
      <c r="E29" s="44">
        <f>O29+S29+W29+AA29+AE29+AI29+AM29+AQ29+AU29+AY29+BC29+BG29</f>
        <v>9695</v>
      </c>
      <c r="G29" s="15">
        <f>G17*0.012</f>
        <v>10933.956000000002</v>
      </c>
      <c r="I29" s="15">
        <f>I17*0.012</f>
        <v>12027.351600000002</v>
      </c>
      <c r="K29" s="15">
        <f>K17*0.012</f>
        <v>13230.086760000002</v>
      </c>
      <c r="M29" s="15">
        <f>M17*0.012</f>
        <v>14553.095436000005</v>
      </c>
      <c r="N29" s="15"/>
      <c r="O29" s="66">
        <f t="shared" ref="O29" si="44">ROUND(O17*0.012, -2)</f>
        <v>800</v>
      </c>
      <c r="P29" s="154">
        <v>1877</v>
      </c>
      <c r="Q29" s="154">
        <f t="shared" si="39"/>
        <v>-1077</v>
      </c>
      <c r="R29" s="66"/>
      <c r="S29" s="66">
        <v>895</v>
      </c>
      <c r="T29" s="154">
        <v>447</v>
      </c>
      <c r="U29" s="154">
        <f t="shared" si="40"/>
        <v>448</v>
      </c>
      <c r="V29" s="66"/>
      <c r="W29" s="66">
        <v>800</v>
      </c>
      <c r="X29" s="154">
        <v>271</v>
      </c>
      <c r="Y29" s="170">
        <f t="shared" si="28"/>
        <v>529</v>
      </c>
      <c r="Z29" s="66"/>
      <c r="AA29" s="66">
        <f>ROUND(AA17*0.012, -2)</f>
        <v>800</v>
      </c>
      <c r="AB29" s="233">
        <v>3309</v>
      </c>
      <c r="AC29" s="152">
        <f t="shared" si="29"/>
        <v>-2509</v>
      </c>
      <c r="AD29" s="226" t="s">
        <v>207</v>
      </c>
      <c r="AE29" s="66">
        <f t="shared" ref="AE29:BG29" si="45">ROUND(AE17*0.012, -2)</f>
        <v>800</v>
      </c>
      <c r="AF29" s="233">
        <v>367</v>
      </c>
      <c r="AG29" s="170">
        <f t="shared" si="31"/>
        <v>433</v>
      </c>
      <c r="AH29" s="242"/>
      <c r="AI29" s="66">
        <f t="shared" si="45"/>
        <v>800</v>
      </c>
      <c r="AJ29" s="233">
        <v>19989</v>
      </c>
      <c r="AK29" s="152">
        <f t="shared" si="32"/>
        <v>-19189</v>
      </c>
      <c r="AL29" s="225" t="s">
        <v>208</v>
      </c>
      <c r="AM29" s="66">
        <f t="shared" si="45"/>
        <v>800</v>
      </c>
      <c r="AN29" s="233">
        <v>794</v>
      </c>
      <c r="AO29" s="152">
        <f t="shared" si="33"/>
        <v>6</v>
      </c>
      <c r="AP29" s="66"/>
      <c r="AQ29" s="66">
        <f t="shared" si="45"/>
        <v>800</v>
      </c>
      <c r="AR29" s="233">
        <v>245</v>
      </c>
      <c r="AS29" s="152">
        <f t="shared" si="34"/>
        <v>555</v>
      </c>
      <c r="AT29" s="66"/>
      <c r="AU29" s="66">
        <f t="shared" si="45"/>
        <v>800</v>
      </c>
      <c r="AV29" s="233">
        <v>0</v>
      </c>
      <c r="AW29" s="152">
        <f t="shared" si="35"/>
        <v>800</v>
      </c>
      <c r="AX29" s="66"/>
      <c r="AY29" s="66">
        <f t="shared" si="45"/>
        <v>800</v>
      </c>
      <c r="AZ29" s="66"/>
      <c r="BA29" s="152">
        <f t="shared" si="36"/>
        <v>800</v>
      </c>
      <c r="BB29" s="66"/>
      <c r="BC29" s="66">
        <f t="shared" si="45"/>
        <v>800</v>
      </c>
      <c r="BD29" s="233">
        <v>0</v>
      </c>
      <c r="BE29" s="152">
        <f t="shared" si="37"/>
        <v>800</v>
      </c>
      <c r="BF29" s="66"/>
      <c r="BG29" s="66">
        <f t="shared" si="45"/>
        <v>800</v>
      </c>
      <c r="BH29" s="66">
        <v>0</v>
      </c>
      <c r="BI29" s="152">
        <f t="shared" si="38"/>
        <v>800</v>
      </c>
      <c r="BJ29" s="66"/>
      <c r="BL29" s="68" t="e" cm="1" vm="1">
        <f t="array" aca="1" ref="BL29" ca="1">ROUND(O29:BG29, -2)</f>
        <v>#VALUE!</v>
      </c>
      <c r="CH29" s="44">
        <f t="shared" si="19"/>
        <v>9695</v>
      </c>
      <c r="CI29" s="160">
        <f t="shared" si="20"/>
        <v>27299</v>
      </c>
      <c r="CJ29" s="152">
        <f t="shared" si="41"/>
        <v>-17604</v>
      </c>
    </row>
    <row r="30" spans="1:88" ht="37" x14ac:dyDescent="0.2">
      <c r="A30" t="s">
        <v>50</v>
      </c>
      <c r="C30" s="44"/>
      <c r="D30" s="44"/>
      <c r="E30" s="44"/>
      <c r="G30" s="15">
        <f>G18*0.894</f>
        <v>0</v>
      </c>
      <c r="I30" s="15">
        <f>I18*0.894</f>
        <v>0</v>
      </c>
      <c r="K30" s="15">
        <f>K18*0.894</f>
        <v>0</v>
      </c>
      <c r="M30" s="15">
        <f>M18*0.894</f>
        <v>0</v>
      </c>
      <c r="N30" s="15"/>
      <c r="O30" s="66"/>
      <c r="P30" s="154">
        <v>240</v>
      </c>
      <c r="Q30" s="154">
        <f t="shared" si="39"/>
        <v>-240</v>
      </c>
      <c r="R30" s="66"/>
      <c r="S30" s="66">
        <v>0</v>
      </c>
      <c r="T30" s="154">
        <v>1496</v>
      </c>
      <c r="U30" s="154">
        <f t="shared" si="40"/>
        <v>-1496</v>
      </c>
      <c r="V30" s="66"/>
      <c r="W30" s="66"/>
      <c r="X30" s="154">
        <v>124</v>
      </c>
      <c r="Y30" s="170">
        <f t="shared" si="28"/>
        <v>-124</v>
      </c>
      <c r="Z30" s="66"/>
      <c r="AA30" s="66"/>
      <c r="AB30" s="233">
        <v>0</v>
      </c>
      <c r="AC30" s="152">
        <f t="shared" si="29"/>
        <v>0</v>
      </c>
      <c r="AD30" s="66"/>
      <c r="AE30" s="66"/>
      <c r="AF30" s="233">
        <v>0</v>
      </c>
      <c r="AG30" s="170">
        <f t="shared" si="31"/>
        <v>0</v>
      </c>
      <c r="AH30" s="242"/>
      <c r="AI30" s="66"/>
      <c r="AJ30" s="233">
        <v>9037</v>
      </c>
      <c r="AK30" s="152">
        <f t="shared" si="32"/>
        <v>-9037</v>
      </c>
      <c r="AL30" s="66"/>
      <c r="AM30" s="66"/>
      <c r="AN30" s="233">
        <v>234052</v>
      </c>
      <c r="AO30" s="152">
        <f t="shared" si="33"/>
        <v>-234052</v>
      </c>
      <c r="AP30" s="225" t="s">
        <v>203</v>
      </c>
      <c r="AQ30" s="66"/>
      <c r="AR30" s="233">
        <v>3246</v>
      </c>
      <c r="AS30" s="152">
        <f t="shared" si="34"/>
        <v>-3246</v>
      </c>
      <c r="AT30" s="66"/>
      <c r="AU30" s="66"/>
      <c r="AV30" s="272">
        <v>1963</v>
      </c>
      <c r="AW30" s="152">
        <f t="shared" si="35"/>
        <v>-1963</v>
      </c>
      <c r="AX30" s="225" t="s">
        <v>209</v>
      </c>
      <c r="AY30" s="66"/>
      <c r="AZ30" s="66"/>
      <c r="BA30" s="152">
        <f t="shared" si="36"/>
        <v>0</v>
      </c>
      <c r="BB30" s="66"/>
      <c r="BC30" s="66"/>
      <c r="BD30" s="233">
        <v>0</v>
      </c>
      <c r="BE30" s="152">
        <f t="shared" si="37"/>
        <v>0</v>
      </c>
      <c r="BF30" s="66"/>
      <c r="BG30" s="66"/>
      <c r="BH30" s="66">
        <v>0</v>
      </c>
      <c r="BI30" s="152">
        <f t="shared" si="38"/>
        <v>0</v>
      </c>
      <c r="BJ30" s="66"/>
      <c r="BL30" s="68" t="e" cm="1" vm="1">
        <f t="array" aca="1" ref="BL30" ca="1">ROUND(O30:BG30, -2)</f>
        <v>#VALUE!</v>
      </c>
      <c r="CH30" s="66">
        <f t="shared" si="19"/>
        <v>0</v>
      </c>
      <c r="CI30" s="160">
        <f t="shared" si="20"/>
        <v>250158</v>
      </c>
      <c r="CJ30" s="152">
        <f t="shared" si="41"/>
        <v>-250158</v>
      </c>
    </row>
    <row r="31" spans="1:88" ht="25" x14ac:dyDescent="0.2">
      <c r="A31" t="s">
        <v>51</v>
      </c>
      <c r="C31" s="44"/>
      <c r="D31" s="44"/>
      <c r="E31" s="44">
        <f>O31+S31+W31+AA31+AE31+AI31+AM31+AQ31+AU31+AY31+BC31+BG31</f>
        <v>5163600</v>
      </c>
      <c r="G31" s="17">
        <f>G22*0.85</f>
        <v>5679788.4000000004</v>
      </c>
      <c r="I31" s="17">
        <f>I22*0.85</f>
        <v>6247767.2400000012</v>
      </c>
      <c r="K31" s="17">
        <f>K22*0.85</f>
        <v>6872543.9640000015</v>
      </c>
      <c r="M31" s="15">
        <f>M22*0.85</f>
        <v>7559798.3604000015</v>
      </c>
      <c r="N31" s="15"/>
      <c r="O31" s="66">
        <f t="shared" ref="O31" si="46">ROUND(O22*0.85, -2)</f>
        <v>430300</v>
      </c>
      <c r="P31" s="154">
        <v>305554</v>
      </c>
      <c r="Q31" s="154">
        <f t="shared" si="39"/>
        <v>124746</v>
      </c>
      <c r="R31" s="66"/>
      <c r="S31" s="66">
        <v>430300</v>
      </c>
      <c r="T31" s="154">
        <v>208025</v>
      </c>
      <c r="U31" s="154">
        <f t="shared" si="40"/>
        <v>222275</v>
      </c>
      <c r="V31" s="66"/>
      <c r="W31" s="66">
        <v>430300</v>
      </c>
      <c r="X31" s="154">
        <v>183117</v>
      </c>
      <c r="Y31" s="170">
        <f t="shared" si="28"/>
        <v>247183</v>
      </c>
      <c r="Z31" s="66"/>
      <c r="AA31" s="66">
        <f>ROUND(AA22*0.85, -2)</f>
        <v>430300</v>
      </c>
      <c r="AB31" s="233">
        <v>471970</v>
      </c>
      <c r="AC31" s="152">
        <f t="shared" si="29"/>
        <v>-41670</v>
      </c>
      <c r="AD31" s="225" t="s">
        <v>210</v>
      </c>
      <c r="AE31" s="66">
        <f t="shared" ref="AE31:BG31" si="47">ROUND(AE22*0.85, -2)</f>
        <v>430300</v>
      </c>
      <c r="AF31" s="233">
        <v>398760</v>
      </c>
      <c r="AG31" s="170">
        <f t="shared" si="31"/>
        <v>31540</v>
      </c>
      <c r="AH31" s="242"/>
      <c r="AI31" s="66">
        <f t="shared" si="47"/>
        <v>430300</v>
      </c>
      <c r="AJ31" s="233">
        <v>371802</v>
      </c>
      <c r="AK31" s="152">
        <f t="shared" si="32"/>
        <v>58498</v>
      </c>
      <c r="AL31" s="66"/>
      <c r="AM31" s="66">
        <f t="shared" si="47"/>
        <v>430300</v>
      </c>
      <c r="AN31" s="233">
        <v>437234</v>
      </c>
      <c r="AO31" s="152">
        <f t="shared" si="33"/>
        <v>-6934</v>
      </c>
      <c r="AP31" s="66"/>
      <c r="AQ31" s="66">
        <f t="shared" si="47"/>
        <v>430300</v>
      </c>
      <c r="AR31" s="233">
        <v>813517</v>
      </c>
      <c r="AS31" s="152">
        <f t="shared" si="34"/>
        <v>-383217</v>
      </c>
      <c r="AT31" s="66"/>
      <c r="AU31" s="66">
        <f t="shared" si="47"/>
        <v>430300</v>
      </c>
      <c r="AV31" s="233">
        <v>207621</v>
      </c>
      <c r="AW31" s="152">
        <f t="shared" si="35"/>
        <v>222679</v>
      </c>
      <c r="AX31" s="66"/>
      <c r="AY31" s="66">
        <f t="shared" si="47"/>
        <v>430300</v>
      </c>
      <c r="AZ31" s="66">
        <v>351810</v>
      </c>
      <c r="BA31" s="152">
        <f t="shared" si="36"/>
        <v>78490</v>
      </c>
      <c r="BB31" s="66"/>
      <c r="BC31" s="66">
        <f t="shared" si="47"/>
        <v>430300</v>
      </c>
      <c r="BD31" s="233">
        <v>240331</v>
      </c>
      <c r="BE31" s="152">
        <f t="shared" si="37"/>
        <v>189969</v>
      </c>
      <c r="BF31" s="66"/>
      <c r="BG31" s="66">
        <f t="shared" si="47"/>
        <v>430300</v>
      </c>
      <c r="BH31" s="233">
        <v>137781</v>
      </c>
      <c r="BI31" s="152">
        <f t="shared" si="38"/>
        <v>292519</v>
      </c>
      <c r="BJ31" s="66"/>
      <c r="BL31" s="68" t="e" cm="1" vm="1">
        <f t="array" aca="1" ref="BL31" ca="1">ROUND(O31:BG31, -2)</f>
        <v>#VALUE!</v>
      </c>
      <c r="CH31" s="66">
        <f t="shared" si="19"/>
        <v>5163600</v>
      </c>
      <c r="CI31" s="160">
        <f t="shared" si="20"/>
        <v>4127522</v>
      </c>
      <c r="CJ31" s="152">
        <f t="shared" si="41"/>
        <v>1036078</v>
      </c>
    </row>
    <row r="32" spans="1:88" x14ac:dyDescent="0.2">
      <c r="C32" s="33"/>
      <c r="D32" s="44"/>
      <c r="E32" s="44"/>
      <c r="M32" s="15"/>
      <c r="N32" s="15"/>
      <c r="O32" s="175"/>
      <c r="P32" s="176"/>
      <c r="Q32" s="176"/>
      <c r="R32" s="175"/>
      <c r="S32" s="66"/>
      <c r="T32" s="176"/>
      <c r="U32" s="176"/>
      <c r="V32" s="66"/>
      <c r="W32" s="66"/>
      <c r="X32" s="154"/>
      <c r="Y32" s="170"/>
      <c r="Z32" s="66">
        <f>+AA33+AA40+AA46</f>
        <v>187683.80083333331</v>
      </c>
      <c r="AA32" s="66"/>
      <c r="AB32" s="233"/>
      <c r="AC32" s="152"/>
      <c r="AD32" s="66"/>
      <c r="AE32" s="66"/>
      <c r="AF32" s="258">
        <f>(AF22-AF31)/AF22</f>
        <v>0.15893291036717064</v>
      </c>
      <c r="AG32" s="170"/>
      <c r="AH32" s="242"/>
      <c r="AI32" s="66"/>
      <c r="AJ32" s="258">
        <f>(AJ22-AJ31)/AJ22</f>
        <v>0.2085513459663583</v>
      </c>
      <c r="AK32" s="66"/>
      <c r="AL32" s="66"/>
      <c r="AM32" s="66"/>
      <c r="AN32" s="258">
        <f>(AN22-AN31)/AN22</f>
        <v>0.14153043874357474</v>
      </c>
      <c r="AO32" s="66"/>
      <c r="AP32" s="66"/>
      <c r="AQ32" s="66"/>
      <c r="AR32" s="258">
        <f>(AR22-AR31)/AR22</f>
        <v>0.23110795642500553</v>
      </c>
      <c r="AS32" s="66"/>
      <c r="AT32" s="66"/>
      <c r="AU32" s="66"/>
      <c r="AV32" s="33">
        <f>(AV22-AV31)/AV22</f>
        <v>0.15306859205776174</v>
      </c>
      <c r="AW32" s="66"/>
      <c r="AX32" s="66"/>
      <c r="AY32" s="33">
        <f>(AY22-AY31)/AY22</f>
        <v>0.14997431946584489</v>
      </c>
      <c r="AZ32" s="33">
        <f>(AZ22-AZ31)/AZ22</f>
        <v>0.15027075594286349</v>
      </c>
      <c r="BA32" s="66"/>
      <c r="BB32" s="66"/>
      <c r="BC32" s="66"/>
      <c r="BD32" s="233"/>
      <c r="BE32" s="66"/>
      <c r="BF32" s="66"/>
      <c r="BG32" s="66"/>
      <c r="BH32" s="233"/>
      <c r="BI32" s="66"/>
      <c r="BJ32" s="66"/>
      <c r="BL32" s="68"/>
      <c r="CH32" s="66"/>
      <c r="CI32" s="33"/>
      <c r="CJ32" s="154"/>
    </row>
    <row r="33" spans="1:89" ht="34" x14ac:dyDescent="0.2">
      <c r="A33" t="s">
        <v>52</v>
      </c>
      <c r="C33" s="44"/>
      <c r="D33" s="33"/>
      <c r="E33" s="52">
        <f>O33+S33+W33+AA33+AE33+AI33+AM33+AQ33+AU33+AY33+BC33+BG33</f>
        <v>1526100.9924999997</v>
      </c>
      <c r="M33" s="15"/>
      <c r="N33" s="15"/>
      <c r="O33" s="66">
        <v>131000</v>
      </c>
      <c r="P33" s="154">
        <f>120575+6264+3816+655</f>
        <v>131310</v>
      </c>
      <c r="Q33" s="154">
        <f t="shared" si="39"/>
        <v>-310</v>
      </c>
      <c r="R33" s="66"/>
      <c r="S33" s="66">
        <v>127448.1925</v>
      </c>
      <c r="T33" s="154">
        <v>125710</v>
      </c>
      <c r="U33" s="154">
        <f t="shared" si="40"/>
        <v>1738.1925000000047</v>
      </c>
      <c r="V33" s="66"/>
      <c r="W33" s="66">
        <v>122264.63999999998</v>
      </c>
      <c r="X33" s="154">
        <v>115729</v>
      </c>
      <c r="Y33" s="170">
        <f t="shared" ref="Y33:Y34" si="48">W33-X33</f>
        <v>6535.6399999999849</v>
      </c>
      <c r="Z33" s="33">
        <f>+$AA$33/Z32</f>
        <v>0.65143949268468426</v>
      </c>
      <c r="AA33" s="66">
        <v>122264.63999999998</v>
      </c>
      <c r="AB33" s="233">
        <v>115332</v>
      </c>
      <c r="AC33" s="170">
        <f t="shared" ref="AC33" si="49">AA33-AB33</f>
        <v>6932.6399999999849</v>
      </c>
      <c r="AD33" s="225" t="s">
        <v>211</v>
      </c>
      <c r="AE33" s="66">
        <v>127890.44</v>
      </c>
      <c r="AF33" s="233">
        <v>129747</v>
      </c>
      <c r="AG33" s="170">
        <f t="shared" ref="AG33:AG34" si="50">AE33-AF33</f>
        <v>-1856.5599999999977</v>
      </c>
      <c r="AH33" s="195" t="s">
        <v>212</v>
      </c>
      <c r="AI33" s="66">
        <v>127890.44</v>
      </c>
      <c r="AJ33" s="233">
        <v>127972</v>
      </c>
      <c r="AK33" s="152">
        <f>AI33-AJ33</f>
        <v>-81.559999999997672</v>
      </c>
      <c r="AL33" s="66"/>
      <c r="AM33" s="66">
        <v>127890.44</v>
      </c>
      <c r="AN33" s="233">
        <v>123190</v>
      </c>
      <c r="AO33" s="152">
        <f>AM33-AN33</f>
        <v>4700.4400000000023</v>
      </c>
      <c r="AP33" s="66"/>
      <c r="AQ33" s="66">
        <v>127890.44</v>
      </c>
      <c r="AR33" s="233">
        <v>124276</v>
      </c>
      <c r="AS33" s="152">
        <f>AQ33-AR33</f>
        <v>3614.4400000000023</v>
      </c>
      <c r="AT33" s="66"/>
      <c r="AU33" s="66">
        <v>127890.44</v>
      </c>
      <c r="AV33" s="233">
        <v>128876</v>
      </c>
      <c r="AW33" s="152">
        <f>AU33-AV33</f>
        <v>-985.55999999999767</v>
      </c>
      <c r="AX33" s="66"/>
      <c r="AY33" s="66">
        <v>127890.44</v>
      </c>
      <c r="AZ33" s="66">
        <v>105722</v>
      </c>
      <c r="BA33" s="152">
        <f>AY33-AZ33</f>
        <v>22168.440000000002</v>
      </c>
      <c r="BB33" s="66"/>
      <c r="BC33" s="66">
        <v>127890.44</v>
      </c>
      <c r="BD33" s="233">
        <v>134612</v>
      </c>
      <c r="BE33" s="152">
        <f>BC33-BD33</f>
        <v>-6721.5599999999977</v>
      </c>
      <c r="BF33" s="195" t="s">
        <v>213</v>
      </c>
      <c r="BG33" s="66">
        <v>127890.44</v>
      </c>
      <c r="BH33" s="233">
        <v>120763</v>
      </c>
      <c r="BI33" s="152">
        <f>BG33-BH33</f>
        <v>7127.4400000000023</v>
      </c>
      <c r="BJ33" s="66"/>
      <c r="BL33" s="68" t="e" cm="1" vm="1">
        <f t="array" aca="1" ref="BL33" ca="1">ROUND(O33:BG33, -2)</f>
        <v>#VALUE!</v>
      </c>
      <c r="CH33" s="44">
        <f t="shared" si="19"/>
        <v>1526100.9924999997</v>
      </c>
      <c r="CI33" s="160">
        <f t="shared" si="20"/>
        <v>1483239</v>
      </c>
      <c r="CJ33" s="152">
        <f t="shared" ref="CJ33:CJ34" si="51">CH33-CI33</f>
        <v>42861.992499999702</v>
      </c>
      <c r="CK33" s="169"/>
    </row>
    <row r="34" spans="1:89" x14ac:dyDescent="0.2">
      <c r="A34" s="21" t="s">
        <v>54</v>
      </c>
      <c r="B34" s="7"/>
      <c r="C34" s="45"/>
      <c r="D34" s="45"/>
      <c r="E34" s="45">
        <f>O34+S34+W34+AA34+AE34+AI34+AM34+AQ34+AU34+AY34+BC34+BG34</f>
        <v>6966296.1424743179</v>
      </c>
      <c r="F34" s="7"/>
      <c r="G34" s="6">
        <f>SUM(G26:G31)</f>
        <v>5986855.1081869099</v>
      </c>
      <c r="H34" s="7"/>
      <c r="I34" s="6">
        <f>SUM(I26:I31)</f>
        <v>6585540.6190056019</v>
      </c>
      <c r="J34" s="7"/>
      <c r="K34" s="6">
        <f>SUM(K26:K31)</f>
        <v>7244094.6809061626</v>
      </c>
      <c r="L34" s="9"/>
      <c r="M34" s="15">
        <f>SUM(M26:M31)</f>
        <v>7968504.1489967778</v>
      </c>
      <c r="N34" s="15"/>
      <c r="O34" s="66">
        <f t="shared" ref="O34:P34" si="52">SUM(O26:O33)</f>
        <v>578800</v>
      </c>
      <c r="P34" s="154">
        <f t="shared" si="52"/>
        <v>459677</v>
      </c>
      <c r="Q34" s="154">
        <f t="shared" si="39"/>
        <v>119123</v>
      </c>
      <c r="R34" s="66"/>
      <c r="S34" s="66">
        <f t="shared" ref="S34:T34" si="53">SUM(S26:S33)</f>
        <v>575543.1925</v>
      </c>
      <c r="T34" s="154">
        <f t="shared" si="53"/>
        <v>353807</v>
      </c>
      <c r="U34" s="154">
        <f t="shared" si="40"/>
        <v>221736.1925</v>
      </c>
      <c r="V34" s="66"/>
      <c r="W34" s="66">
        <f t="shared" ref="W34:X34" si="54">SUM(W26:W33)</f>
        <v>571364.64</v>
      </c>
      <c r="X34" s="154">
        <f t="shared" si="54"/>
        <v>318126</v>
      </c>
      <c r="Y34" s="170">
        <f t="shared" si="48"/>
        <v>253238.64</v>
      </c>
      <c r="Z34" s="66"/>
      <c r="AA34" s="66">
        <f t="shared" ref="AA34:BG34" si="55">SUM(AA26:AA33)</f>
        <v>574564.64</v>
      </c>
      <c r="AB34" s="233">
        <f t="shared" si="55"/>
        <v>608649</v>
      </c>
      <c r="AC34" s="170">
        <f t="shared" ref="AC34" si="56">AA34-AB34</f>
        <v>-34084.359999999986</v>
      </c>
      <c r="AD34" s="66"/>
      <c r="AE34" s="66">
        <f t="shared" si="55"/>
        <v>581690.43999999994</v>
      </c>
      <c r="AF34" s="233">
        <f t="shared" si="55"/>
        <v>545494.1589329103</v>
      </c>
      <c r="AG34" s="170">
        <f t="shared" si="50"/>
        <v>36196.281067089643</v>
      </c>
      <c r="AH34" s="242"/>
      <c r="AI34" s="66">
        <f t="shared" si="55"/>
        <v>581190.43999999994</v>
      </c>
      <c r="AJ34" s="66">
        <f>SUM(AJ26:AJ33)</f>
        <v>547636.20855134598</v>
      </c>
      <c r="AK34" s="152">
        <f>AI34-AJ34</f>
        <v>33554.231448653969</v>
      </c>
      <c r="AL34" s="66"/>
      <c r="AM34" s="66">
        <f t="shared" si="55"/>
        <v>582290.43999999994</v>
      </c>
      <c r="AN34" s="233">
        <f>SUM(AN26:AN33)</f>
        <v>812564.14153043879</v>
      </c>
      <c r="AO34" s="152">
        <f>AM34-AN34</f>
        <v>-230273.70153043885</v>
      </c>
      <c r="AP34" s="66"/>
      <c r="AQ34" s="66">
        <f t="shared" si="55"/>
        <v>583090.43999999994</v>
      </c>
      <c r="AR34" s="233">
        <f>SUM(AR26:AR33)</f>
        <v>959247.23110795638</v>
      </c>
      <c r="AS34" s="66"/>
      <c r="AT34" s="66"/>
      <c r="AU34" s="66">
        <f t="shared" si="55"/>
        <v>583590.43999999994</v>
      </c>
      <c r="AV34" s="233">
        <f>SUM(AV26:AV33)</f>
        <v>354516.15306859207</v>
      </c>
      <c r="AW34" s="152">
        <f>AU34-AV34</f>
        <v>229074.28693140787</v>
      </c>
      <c r="AX34" s="66"/>
      <c r="AY34" s="66">
        <f t="shared" si="55"/>
        <v>584390.58997431945</v>
      </c>
      <c r="AZ34" s="233">
        <f>SUM(AZ26:AZ33)</f>
        <v>470076.15027075593</v>
      </c>
      <c r="BA34" s="152">
        <f>AY34-AZ34</f>
        <v>114314.43970356352</v>
      </c>
      <c r="BB34" s="66"/>
      <c r="BC34" s="66">
        <f t="shared" si="55"/>
        <v>584490.43999999994</v>
      </c>
      <c r="BD34" s="233">
        <f>SUM(BD26:BD33)</f>
        <v>394841</v>
      </c>
      <c r="BE34" s="152">
        <f>BC34-BD34</f>
        <v>189649.43999999994</v>
      </c>
      <c r="BF34" s="66"/>
      <c r="BG34" s="66">
        <f t="shared" si="55"/>
        <v>585290.43999999994</v>
      </c>
      <c r="BH34" s="233">
        <f>SUM(BH26:BH33)</f>
        <v>278664</v>
      </c>
      <c r="BI34" s="152">
        <f>BG34-BH34</f>
        <v>306626.43999999994</v>
      </c>
      <c r="BJ34" s="66"/>
      <c r="BL34" s="68" t="e" cm="1" vm="1">
        <f t="array" aca="1" ref="BL34" ca="1">ROUND(O34:BG34, -2)</f>
        <v>#VALUE!</v>
      </c>
      <c r="CH34" s="44">
        <f>+W34+S34+O34+AA34+AE34+AI34+AM34+AQ34+AU34+AY34+BC34+BG34</f>
        <v>6966296.1424743179</v>
      </c>
      <c r="CI34" s="160">
        <f>+X34+T34+P34+AB34+AF34+AJ34+AN34+AR34+AV34+AZ34+BD34+BH34</f>
        <v>6103298.0434619999</v>
      </c>
      <c r="CJ34" s="152">
        <f t="shared" si="51"/>
        <v>862998.09901231807</v>
      </c>
    </row>
    <row r="35" spans="1:89" x14ac:dyDescent="0.2">
      <c r="A35" s="23" t="s">
        <v>55</v>
      </c>
      <c r="B35" s="1"/>
      <c r="C35" s="47"/>
      <c r="D35" s="47"/>
      <c r="E35" s="47">
        <f>E11-E34</f>
        <v>2021624.6901391838</v>
      </c>
      <c r="F35" s="1"/>
      <c r="G35" s="2">
        <f>G11-G34</f>
        <v>3899857.8076879419</v>
      </c>
      <c r="H35" s="1"/>
      <c r="I35" s="2">
        <f>I11-I34</f>
        <v>4289843.588456735</v>
      </c>
      <c r="J35" s="1"/>
      <c r="K35" s="2">
        <f>K11-K34</f>
        <v>4718827.9473024076</v>
      </c>
      <c r="L35" s="30"/>
      <c r="M35" s="31">
        <f>M11-M34</f>
        <v>5190710.7420326527</v>
      </c>
      <c r="N35" s="31"/>
      <c r="O35" s="71">
        <f t="shared" ref="O35:BG35" si="57">O11-O34</f>
        <v>141298.87106350006</v>
      </c>
      <c r="P35" s="155">
        <f t="shared" si="57"/>
        <v>75776</v>
      </c>
      <c r="Q35" s="155">
        <f>P35-O35</f>
        <v>-65522.871063500061</v>
      </c>
      <c r="R35" s="71"/>
      <c r="S35" s="71">
        <f t="shared" si="57"/>
        <v>139254.8075</v>
      </c>
      <c r="T35" s="155">
        <f t="shared" si="57"/>
        <v>116829</v>
      </c>
      <c r="U35" s="155">
        <f>T35-S35</f>
        <v>-22425.807499999995</v>
      </c>
      <c r="V35" s="71"/>
      <c r="W35" s="71">
        <f t="shared" si="57"/>
        <v>153823.80235000001</v>
      </c>
      <c r="X35" s="155">
        <f t="shared" si="57"/>
        <v>101266</v>
      </c>
      <c r="Y35" s="155">
        <f>X35-W35</f>
        <v>-52557.802350000013</v>
      </c>
      <c r="Z35" s="71"/>
      <c r="AA35" s="71">
        <f t="shared" si="57"/>
        <v>163488.87234999996</v>
      </c>
      <c r="AB35" s="163">
        <f t="shared" ref="AB35" si="58">AB11-AB34</f>
        <v>184214</v>
      </c>
      <c r="AC35" s="155">
        <f>AB35-AA35</f>
        <v>20725.127650000039</v>
      </c>
      <c r="AD35" s="71"/>
      <c r="AE35" s="71">
        <f t="shared" si="57"/>
        <v>164309.56000000006</v>
      </c>
      <c r="AF35" s="163">
        <f t="shared" si="57"/>
        <v>113830.8410670897</v>
      </c>
      <c r="AG35" s="155">
        <f>AF35-AE35</f>
        <v>-50478.718932910357</v>
      </c>
      <c r="AH35" s="250"/>
      <c r="AI35" s="71">
        <f t="shared" si="57"/>
        <v>158386.43955000013</v>
      </c>
      <c r="AJ35" s="163">
        <f>AJ11-AJ34</f>
        <v>167374.79144865402</v>
      </c>
      <c r="AK35" s="155">
        <f>AJ35-AI35</f>
        <v>8988.3518986538984</v>
      </c>
      <c r="AL35" s="71"/>
      <c r="AM35" s="71">
        <f t="shared" si="57"/>
        <v>169195.60955000005</v>
      </c>
      <c r="AN35" s="163">
        <f>AN11-AN34</f>
        <v>261529.85846956121</v>
      </c>
      <c r="AO35" s="155">
        <f>AN35-AM35</f>
        <v>92334.248919561156</v>
      </c>
      <c r="AP35" s="71"/>
      <c r="AQ35" s="71">
        <f t="shared" si="57"/>
        <v>175757.39955000009</v>
      </c>
      <c r="AR35" s="163">
        <f>AR11-AR34</f>
        <v>466907.76889204362</v>
      </c>
      <c r="AS35" s="155">
        <f>AR35-AQ35</f>
        <v>291150.36934204353</v>
      </c>
      <c r="AT35" s="71"/>
      <c r="AU35" s="71">
        <f t="shared" si="57"/>
        <v>179499.94955000014</v>
      </c>
      <c r="AV35" s="163">
        <f>AV11-AV34</f>
        <v>113264.84693140793</v>
      </c>
      <c r="AW35" s="155">
        <f>AV35-AU35</f>
        <v>-66235.102618592209</v>
      </c>
      <c r="AX35" s="71"/>
      <c r="AY35" s="71">
        <f t="shared" si="57"/>
        <v>186915.85957568057</v>
      </c>
      <c r="AZ35" s="163">
        <f>AZ11-AZ34</f>
        <v>135939.84972924407</v>
      </c>
      <c r="BA35" s="155">
        <f>AZ35-AY35</f>
        <v>-50976.0098464365</v>
      </c>
      <c r="BB35" s="71"/>
      <c r="BC35" s="71">
        <f t="shared" si="57"/>
        <v>191618.69955000002</v>
      </c>
      <c r="BD35" s="163">
        <f>BD11-BD34</f>
        <v>82444</v>
      </c>
      <c r="BE35" s="155">
        <f>BD35-BC35</f>
        <v>-109174.69955000002</v>
      </c>
      <c r="BF35" s="71"/>
      <c r="BG35" s="71">
        <f t="shared" si="57"/>
        <v>198074.81955000013</v>
      </c>
      <c r="BH35" s="163">
        <f>BH11-BH34</f>
        <v>79237</v>
      </c>
      <c r="BI35" s="155">
        <f>BH35-BG35</f>
        <v>-118837.81955000013</v>
      </c>
      <c r="BJ35" s="71"/>
      <c r="BL35" s="68" t="e" cm="1" vm="1">
        <f t="array" aca="1" ref="BL35" ca="1">ROUND(O35:BG35, -2)</f>
        <v>#VALUE!</v>
      </c>
      <c r="CH35" s="71">
        <f t="shared" ref="CH35:CI35" si="59">CH11-CH34</f>
        <v>2021624.6901391819</v>
      </c>
      <c r="CI35" s="161">
        <f t="shared" si="59"/>
        <v>1898613.9565380001</v>
      </c>
      <c r="CJ35" s="155">
        <f>CI35-CH35</f>
        <v>-123010.73360118177</v>
      </c>
    </row>
    <row r="36" spans="1:89" x14ac:dyDescent="0.2">
      <c r="A36" s="23"/>
      <c r="B36" s="1"/>
      <c r="C36" s="47"/>
      <c r="D36" s="47"/>
      <c r="E36" s="147">
        <f>+E35/E11</f>
        <v>0.22492684657429687</v>
      </c>
      <c r="F36" s="1"/>
      <c r="G36" s="2"/>
      <c r="H36" s="1"/>
      <c r="I36" s="2"/>
      <c r="J36" s="1"/>
      <c r="K36" s="2"/>
      <c r="M36" s="2"/>
      <c r="N36" s="2"/>
      <c r="O36" s="175">
        <f>+O35/O11</f>
        <v>0.19622148671725939</v>
      </c>
      <c r="P36" s="33">
        <f>+P35/P11</f>
        <v>0.14151755616272577</v>
      </c>
      <c r="Q36" s="169"/>
      <c r="R36" s="68"/>
      <c r="S36" s="223">
        <f>(S22-S31)/S22</f>
        <v>0.14997431946584489</v>
      </c>
      <c r="T36" s="223">
        <f>(T22-T31)/T22</f>
        <v>0.23531184866875704</v>
      </c>
      <c r="U36" s="169"/>
      <c r="V36" s="68"/>
      <c r="W36" s="223">
        <f>(W22-W31)/W22</f>
        <v>0.14997431946584489</v>
      </c>
      <c r="X36" s="223">
        <f>(X22-X31)/X22</f>
        <v>0.18693804696761818</v>
      </c>
      <c r="Y36" s="169"/>
      <c r="Z36" s="66"/>
      <c r="AA36" s="223"/>
      <c r="AB36" s="236"/>
      <c r="AC36" s="68"/>
      <c r="AD36" s="68"/>
      <c r="AE36" s="68"/>
      <c r="AF36" s="68"/>
      <c r="AG36" s="68"/>
      <c r="AH36" s="249"/>
      <c r="AI36" s="68"/>
      <c r="AJ36" s="68"/>
      <c r="AK36" s="68"/>
      <c r="AL36" s="68"/>
      <c r="AM36" s="68"/>
      <c r="AN36" s="68"/>
      <c r="AO36" s="68"/>
      <c r="AP36" s="68"/>
      <c r="AQ36" s="68"/>
      <c r="AR36" s="68"/>
      <c r="AS36" s="68"/>
      <c r="AT36" s="68"/>
      <c r="AU36" s="68"/>
      <c r="AV36" s="68"/>
      <c r="AW36" s="68"/>
      <c r="AX36" s="68"/>
      <c r="AY36" s="68"/>
      <c r="AZ36" s="68"/>
      <c r="BA36" s="68"/>
      <c r="BB36" s="68"/>
      <c r="BC36" s="68"/>
      <c r="BD36" s="68"/>
      <c r="BE36" s="68"/>
      <c r="BF36" s="68"/>
      <c r="BG36" s="68"/>
      <c r="BH36" s="68"/>
      <c r="BI36" s="68"/>
      <c r="BJ36" s="68"/>
      <c r="BL36" s="68"/>
      <c r="CH36" s="66"/>
      <c r="CI36" s="154"/>
      <c r="CJ36" s="154"/>
    </row>
    <row r="37" spans="1:89" x14ac:dyDescent="0.2">
      <c r="A37" t="s">
        <v>56</v>
      </c>
      <c r="B37" s="1"/>
      <c r="C37" s="47"/>
      <c r="D37" s="47"/>
      <c r="E37" s="47"/>
      <c r="F37" s="1"/>
      <c r="G37" s="2"/>
      <c r="H37" s="1"/>
      <c r="I37" s="2"/>
      <c r="J37" s="1"/>
      <c r="K37" s="2"/>
      <c r="M37" s="2"/>
      <c r="N37" s="2"/>
      <c r="O37" s="68"/>
      <c r="P37" s="169"/>
      <c r="Q37" s="169"/>
      <c r="R37" s="68"/>
      <c r="S37" s="68"/>
      <c r="T37" s="169"/>
      <c r="U37" s="169"/>
      <c r="V37" s="68"/>
      <c r="W37" s="68"/>
      <c r="X37" s="169"/>
      <c r="Y37" s="169"/>
      <c r="Z37" s="68"/>
      <c r="AA37" s="68"/>
      <c r="AB37" s="235"/>
      <c r="AC37" s="68"/>
      <c r="AD37" s="68"/>
      <c r="AE37" s="68"/>
      <c r="AF37" s="68"/>
      <c r="AG37" s="68"/>
      <c r="AH37" s="249"/>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c r="BG37" s="68"/>
      <c r="BH37" s="68"/>
      <c r="BI37" s="68"/>
      <c r="BJ37" s="68"/>
      <c r="BL37" s="68"/>
      <c r="CH37" s="68"/>
      <c r="CI37" s="169"/>
      <c r="CJ37" s="169"/>
    </row>
    <row r="38" spans="1:89" x14ac:dyDescent="0.2">
      <c r="B38" s="1"/>
      <c r="C38" s="47"/>
      <c r="D38" s="47"/>
      <c r="E38" s="47"/>
      <c r="F38" s="1"/>
      <c r="G38" s="2"/>
      <c r="H38" s="1"/>
      <c r="I38" s="2"/>
      <c r="J38" s="1"/>
      <c r="K38" s="2"/>
      <c r="M38" s="2"/>
      <c r="N38" s="2"/>
      <c r="O38" s="68"/>
      <c r="P38" s="169"/>
      <c r="Q38" s="169"/>
      <c r="R38" s="68"/>
      <c r="S38" s="68"/>
      <c r="T38" s="169"/>
      <c r="U38" s="169"/>
      <c r="V38" s="68"/>
      <c r="W38" s="68"/>
      <c r="X38" s="169"/>
      <c r="Y38" s="169"/>
      <c r="Z38" s="68"/>
      <c r="AA38" s="68"/>
      <c r="AB38" s="235"/>
      <c r="AC38" s="68"/>
      <c r="AD38" s="68"/>
      <c r="AE38" s="68"/>
      <c r="AF38" s="68"/>
      <c r="AG38" s="68"/>
      <c r="AH38" s="249"/>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68"/>
      <c r="BL38" s="68"/>
      <c r="CH38" s="68"/>
      <c r="CI38" s="169"/>
      <c r="CJ38" s="169"/>
    </row>
    <row r="39" spans="1:89" ht="34" x14ac:dyDescent="0.2">
      <c r="A39" t="s">
        <v>57</v>
      </c>
      <c r="B39" s="1"/>
      <c r="C39" s="47"/>
      <c r="D39" s="47"/>
      <c r="E39" s="44">
        <f>O39+S39+W39+AA39+AE39+AI39+AM39+AQ39+AU39+AY39+BC39+BG39</f>
        <v>313600</v>
      </c>
      <c r="F39" s="1"/>
      <c r="G39" s="2"/>
      <c r="H39" s="1"/>
      <c r="I39" s="2"/>
      <c r="J39" s="1"/>
      <c r="K39" s="2"/>
      <c r="M39" s="2"/>
      <c r="N39" s="2"/>
      <c r="O39" s="66">
        <v>27500</v>
      </c>
      <c r="P39" s="154"/>
      <c r="Q39" s="154">
        <f t="shared" ref="Q39:Q40" si="60">O39-P39</f>
        <v>27500</v>
      </c>
      <c r="R39" s="66"/>
      <c r="S39" s="66">
        <v>19300</v>
      </c>
      <c r="T39" s="154">
        <v>30096</v>
      </c>
      <c r="U39" s="154">
        <f t="shared" ref="U39:U40" si="61">S39-T39</f>
        <v>-10796</v>
      </c>
      <c r="V39" s="66"/>
      <c r="W39" s="66">
        <v>19300</v>
      </c>
      <c r="X39" s="154"/>
      <c r="Y39" s="170">
        <f t="shared" ref="Y39:Y40" si="62">W39-X39</f>
        <v>19300</v>
      </c>
      <c r="Z39" s="66"/>
      <c r="AA39" s="66">
        <v>27500</v>
      </c>
      <c r="AB39" s="233">
        <v>22541</v>
      </c>
      <c r="AC39" s="66">
        <f t="shared" ref="AC39:AC40" si="63">AA39-AB39</f>
        <v>4959</v>
      </c>
      <c r="AD39" s="66"/>
      <c r="AE39" s="66">
        <v>27500</v>
      </c>
      <c r="AF39" s="233">
        <v>9983</v>
      </c>
      <c r="AG39" s="154">
        <f>AE39-AF39</f>
        <v>17517</v>
      </c>
      <c r="AH39" s="242"/>
      <c r="AI39" s="66">
        <v>27500</v>
      </c>
      <c r="AJ39" s="233">
        <v>16697</v>
      </c>
      <c r="AK39" s="154">
        <f>AI39-AJ39</f>
        <v>10803</v>
      </c>
      <c r="AL39" s="66"/>
      <c r="AM39" s="66">
        <v>27500</v>
      </c>
      <c r="AN39" s="233">
        <v>20298</v>
      </c>
      <c r="AO39" s="154">
        <f>AM39-AN39</f>
        <v>7202</v>
      </c>
      <c r="AP39" s="242" t="s">
        <v>214</v>
      </c>
      <c r="AQ39" s="66">
        <v>27500</v>
      </c>
      <c r="AR39" s="233">
        <v>16299</v>
      </c>
      <c r="AS39" s="66">
        <f>AQ39-AR39</f>
        <v>11201</v>
      </c>
      <c r="AT39" s="225" t="s">
        <v>215</v>
      </c>
      <c r="AU39" s="66">
        <v>27500</v>
      </c>
      <c r="AV39" s="233">
        <v>19963</v>
      </c>
      <c r="AW39" s="66">
        <f>AU39-AV39</f>
        <v>7537</v>
      </c>
      <c r="AX39" s="225" t="s">
        <v>215</v>
      </c>
      <c r="AY39" s="66">
        <v>27500</v>
      </c>
      <c r="AZ39" s="66">
        <v>33263</v>
      </c>
      <c r="BA39" s="66">
        <f>AY39-AZ39</f>
        <v>-5763</v>
      </c>
      <c r="BB39" s="195" t="s">
        <v>216</v>
      </c>
      <c r="BC39" s="66">
        <v>27500</v>
      </c>
      <c r="BD39" s="66">
        <v>17850</v>
      </c>
      <c r="BE39" s="66">
        <f>BC39-BD39</f>
        <v>9650</v>
      </c>
      <c r="BF39" s="66"/>
      <c r="BG39" s="66">
        <v>27500</v>
      </c>
      <c r="BH39" s="233">
        <v>13796</v>
      </c>
      <c r="BI39" s="66">
        <f>BG39-BH39</f>
        <v>13704</v>
      </c>
      <c r="BJ39" s="66"/>
      <c r="BL39" s="68" t="e" cm="1" vm="1">
        <f t="array" aca="1" ref="BL39" ca="1">ROUND(O39:BG39, -2)</f>
        <v>#VALUE!</v>
      </c>
      <c r="CH39" s="44">
        <f t="shared" ref="CH39:CH40" si="64">+W39+S39+O39+AA39+AE39+AI39+AM39+AQ39+AU39+AY39+BC39+BG39</f>
        <v>313600</v>
      </c>
      <c r="CI39" s="160">
        <f t="shared" ref="CI39:CI40" si="65">+X39+T39+P39+AB39+AF39+AJ39+AN39+AR39+AV39+AZ39+BD39+BH39</f>
        <v>200786</v>
      </c>
      <c r="CJ39" s="152">
        <f>CH39-CI39</f>
        <v>112814</v>
      </c>
    </row>
    <row r="40" spans="1:89" ht="34" x14ac:dyDescent="0.2">
      <c r="A40" t="s">
        <v>59</v>
      </c>
      <c r="C40" s="44"/>
      <c r="D40" s="44"/>
      <c r="E40" s="44">
        <f>O40+S40+W40+AA40+AE40+AI40+AM40+AQ40+AU40+AY40+BC40+BG40</f>
        <v>499784.3899999999</v>
      </c>
      <c r="O40" s="66">
        <v>35700</v>
      </c>
      <c r="P40" s="154">
        <v>34674</v>
      </c>
      <c r="Q40" s="154">
        <f t="shared" si="60"/>
        <v>1026</v>
      </c>
      <c r="R40" s="66"/>
      <c r="S40" s="66">
        <v>42189.49</v>
      </c>
      <c r="T40" s="154">
        <f>67522-30096</f>
        <v>37426</v>
      </c>
      <c r="U40" s="154">
        <f t="shared" si="61"/>
        <v>4763.489999999998</v>
      </c>
      <c r="V40" s="189"/>
      <c r="W40" s="66">
        <v>42189.49</v>
      </c>
      <c r="X40" s="154">
        <v>40663</v>
      </c>
      <c r="Y40" s="170">
        <f t="shared" si="62"/>
        <v>1526.489999999998</v>
      </c>
      <c r="Z40" s="33">
        <f>+AA40/$Z$32</f>
        <v>0.22479025793741808</v>
      </c>
      <c r="AA40" s="66">
        <v>42189.49</v>
      </c>
      <c r="AB40" s="233">
        <f>65683-22541</f>
        <v>43142</v>
      </c>
      <c r="AC40" s="66">
        <f t="shared" si="63"/>
        <v>-952.51000000000204</v>
      </c>
      <c r="AD40" s="226" t="s">
        <v>217</v>
      </c>
      <c r="AE40" s="66">
        <v>42189.49</v>
      </c>
      <c r="AF40" s="233">
        <v>44656</v>
      </c>
      <c r="AG40" s="154">
        <f>AE40-AF40</f>
        <v>-2466.510000000002</v>
      </c>
      <c r="AH40" s="228" t="s">
        <v>217</v>
      </c>
      <c r="AI40" s="66">
        <v>42189.49</v>
      </c>
      <c r="AJ40" s="233">
        <f>58336-16697</f>
        <v>41639</v>
      </c>
      <c r="AK40" s="154">
        <f>AI40-AJ40</f>
        <v>550.48999999999796</v>
      </c>
      <c r="AL40" s="66"/>
      <c r="AM40" s="66">
        <v>42189.49</v>
      </c>
      <c r="AN40" s="233">
        <f>56991+6642+1763+2144</f>
        <v>67540</v>
      </c>
      <c r="AO40" s="154">
        <f>AM40-AN40</f>
        <v>-25350.510000000002</v>
      </c>
      <c r="AP40" s="66"/>
      <c r="AQ40" s="66">
        <v>42189.49</v>
      </c>
      <c r="AR40" s="233">
        <f>52305-16299</f>
        <v>36006</v>
      </c>
      <c r="AS40" s="66">
        <f>AQ40-AR40</f>
        <v>6183.489999999998</v>
      </c>
      <c r="AT40" s="225" t="s">
        <v>218</v>
      </c>
      <c r="AU40" s="66">
        <v>42189.49</v>
      </c>
      <c r="AV40" s="233">
        <f>27064+4450+610+1722+1807</f>
        <v>35653</v>
      </c>
      <c r="AW40" s="66">
        <f>AU40-AV40</f>
        <v>6536.489999999998</v>
      </c>
      <c r="AX40" s="225" t="s">
        <v>218</v>
      </c>
      <c r="AY40" s="66">
        <v>42189.49</v>
      </c>
      <c r="AZ40" s="66">
        <f>66393+8507+1007+1986+2122</f>
        <v>80015</v>
      </c>
      <c r="BA40" s="66">
        <f>AY40-AZ40</f>
        <v>-37825.51</v>
      </c>
      <c r="BB40" s="195" t="s">
        <v>219</v>
      </c>
      <c r="BC40" s="66">
        <v>42189.49</v>
      </c>
      <c r="BD40" s="66">
        <f>33853+3930+885+1301+1914</f>
        <v>41883</v>
      </c>
      <c r="BE40" s="66">
        <f>BC40-BD40</f>
        <v>306.48999999999796</v>
      </c>
      <c r="BF40" s="66"/>
      <c r="BG40" s="66">
        <v>42189.49</v>
      </c>
      <c r="BH40" s="233">
        <f>32134+3750+763+1480+1888</f>
        <v>40015</v>
      </c>
      <c r="BI40" s="66">
        <f>BG40-BH40</f>
        <v>2174.489999999998</v>
      </c>
      <c r="BJ40" s="66"/>
      <c r="BL40" s="68" t="e" cm="1" vm="1">
        <f t="array" aca="1" ref="BL40" ca="1">ROUND(O40:BG40, -2)</f>
        <v>#VALUE!</v>
      </c>
      <c r="CA40" t="s">
        <v>220</v>
      </c>
      <c r="CH40" s="44">
        <f t="shared" si="64"/>
        <v>499784.38999999996</v>
      </c>
      <c r="CI40" s="160">
        <f t="shared" si="65"/>
        <v>543312</v>
      </c>
      <c r="CJ40" s="152">
        <f>CH40-CI40</f>
        <v>-43527.610000000044</v>
      </c>
    </row>
    <row r="41" spans="1:89" x14ac:dyDescent="0.2">
      <c r="A41" s="41" t="s">
        <v>61</v>
      </c>
      <c r="B41" s="29"/>
      <c r="C41" s="49"/>
      <c r="D41" s="49"/>
      <c r="E41" s="49">
        <f>E35-E39-E40</f>
        <v>1208240.3001391839</v>
      </c>
      <c r="F41" s="29"/>
      <c r="G41" s="28"/>
      <c r="H41" s="29"/>
      <c r="I41" s="28"/>
      <c r="J41" s="29"/>
      <c r="K41" s="28"/>
      <c r="L41" s="30"/>
      <c r="M41" s="18"/>
      <c r="N41" s="18"/>
      <c r="O41" s="71">
        <f t="shared" ref="O41:BG41" si="66">O35-O39-O40</f>
        <v>78098.871063500061</v>
      </c>
      <c r="P41" s="155">
        <f t="shared" si="66"/>
        <v>41102</v>
      </c>
      <c r="Q41" s="155">
        <f>P41-O41</f>
        <v>-36996.871063500061</v>
      </c>
      <c r="R41" s="71"/>
      <c r="S41" s="71">
        <f t="shared" si="66"/>
        <v>77765.317500000005</v>
      </c>
      <c r="T41" s="155">
        <f t="shared" ref="T41" si="67">T35-T39-T40</f>
        <v>49307</v>
      </c>
      <c r="U41" s="155">
        <f>T41-S41</f>
        <v>-28458.317500000005</v>
      </c>
      <c r="V41" s="71"/>
      <c r="W41" s="71">
        <f t="shared" si="66"/>
        <v>92334.312350000022</v>
      </c>
      <c r="X41" s="155">
        <f t="shared" si="66"/>
        <v>60603</v>
      </c>
      <c r="Y41" s="155">
        <f>X41-W41</f>
        <v>-31731.312350000022</v>
      </c>
      <c r="Z41" s="71"/>
      <c r="AA41" s="71">
        <f t="shared" si="66"/>
        <v>93799.382349999971</v>
      </c>
      <c r="AB41" s="163">
        <f t="shared" si="66"/>
        <v>118531</v>
      </c>
      <c r="AC41" s="155">
        <f>AB41-AA41</f>
        <v>24731.617650000029</v>
      </c>
      <c r="AD41" s="71"/>
      <c r="AE41" s="71">
        <f t="shared" si="66"/>
        <v>94620.070000000065</v>
      </c>
      <c r="AF41" s="163">
        <f t="shared" si="66"/>
        <v>59191.841067089699</v>
      </c>
      <c r="AG41" s="155">
        <f>AF41-AE41</f>
        <v>-35428.228932910366</v>
      </c>
      <c r="AH41" s="250"/>
      <c r="AI41" s="71">
        <f t="shared" si="66"/>
        <v>88696.949550000136</v>
      </c>
      <c r="AJ41" s="163">
        <f>AJ35-AJ39-AJ40</f>
        <v>109038.79144865402</v>
      </c>
      <c r="AK41" s="155">
        <f>AJ41-AI41</f>
        <v>20341.841898653889</v>
      </c>
      <c r="AL41" s="71"/>
      <c r="AM41" s="71">
        <f t="shared" si="66"/>
        <v>99506.119550000061</v>
      </c>
      <c r="AN41" s="163">
        <f>AN35-AN39-AN40</f>
        <v>173691.85846956121</v>
      </c>
      <c r="AO41" s="155">
        <f>AN41-AM41</f>
        <v>74185.738919561147</v>
      </c>
      <c r="AP41" s="71"/>
      <c r="AQ41" s="71">
        <f t="shared" si="66"/>
        <v>106067.9095500001</v>
      </c>
      <c r="AR41" s="163">
        <f>AR35-AR39-AR40</f>
        <v>414602.76889204362</v>
      </c>
      <c r="AS41" s="155">
        <f>AR41-AQ41</f>
        <v>308534.85934204352</v>
      </c>
      <c r="AT41" s="71"/>
      <c r="AU41" s="71">
        <f t="shared" si="66"/>
        <v>109810.45955000015</v>
      </c>
      <c r="AV41" s="163">
        <f>AV35-AV39-AV40</f>
        <v>57648.846931407927</v>
      </c>
      <c r="AW41" s="155">
        <f>AV41-AU41</f>
        <v>-52161.612618592218</v>
      </c>
      <c r="AX41" s="71"/>
      <c r="AY41" s="71">
        <f t="shared" si="66"/>
        <v>117226.36957568058</v>
      </c>
      <c r="AZ41" s="163">
        <f>AZ35-AZ39-AZ40</f>
        <v>22661.849729244073</v>
      </c>
      <c r="BA41" s="155">
        <f>AZ41-AY41</f>
        <v>-94564.519846436509</v>
      </c>
      <c r="BB41" s="71"/>
      <c r="BC41" s="71">
        <f t="shared" si="66"/>
        <v>121929.20955000003</v>
      </c>
      <c r="BD41" s="163">
        <f>BD35-BD39-BD40</f>
        <v>22711</v>
      </c>
      <c r="BE41" s="155">
        <f>BD41-BC41</f>
        <v>-99218.209550000029</v>
      </c>
      <c r="BF41" s="71"/>
      <c r="BG41" s="71">
        <f t="shared" si="66"/>
        <v>128385.32955000014</v>
      </c>
      <c r="BH41" s="163">
        <f>BH35-BH39-BH40</f>
        <v>25426</v>
      </c>
      <c r="BI41" s="155">
        <f>BH41-BG41</f>
        <v>-102959.32955000014</v>
      </c>
      <c r="BJ41" s="71"/>
      <c r="BL41" s="68" t="e" cm="1" vm="1">
        <f t="array" aca="1" ref="BL41" ca="1">ROUND(O41:BG41, -2)</f>
        <v>#VALUE!</v>
      </c>
      <c r="CH41" s="71">
        <f t="shared" ref="CH41" si="68">CH35-CH39-CH40</f>
        <v>1208240.300139182</v>
      </c>
      <c r="CI41" s="155">
        <f>CI35-CI39-CI40</f>
        <v>1154515.9565380001</v>
      </c>
      <c r="CJ41" s="155">
        <f>CI41-CH41</f>
        <v>-53724.34360118187</v>
      </c>
    </row>
    <row r="42" spans="1:89" x14ac:dyDescent="0.2">
      <c r="C42" s="44"/>
      <c r="D42" s="44"/>
      <c r="E42" s="33">
        <f>+E41/E11</f>
        <v>0.13442934385391694</v>
      </c>
      <c r="O42" s="175">
        <f>+O41/O11</f>
        <v>0.10845576100981433</v>
      </c>
      <c r="P42" s="33">
        <f>+P41/P11</f>
        <v>7.6761172315777476E-2</v>
      </c>
      <c r="Q42" s="169"/>
      <c r="R42" s="68"/>
      <c r="S42" s="68"/>
      <c r="T42" s="219">
        <f>+T41/T11</f>
        <v>0.10476674117577066</v>
      </c>
      <c r="U42" s="169"/>
      <c r="V42" s="68"/>
      <c r="W42" s="68"/>
      <c r="X42" s="169"/>
      <c r="Y42" s="169"/>
      <c r="Z42" s="72"/>
      <c r="AA42" s="68"/>
      <c r="AB42" s="235"/>
      <c r="AC42" s="68"/>
      <c r="AD42" s="68"/>
      <c r="AE42" s="68"/>
      <c r="AF42" s="68"/>
      <c r="AG42" s="68"/>
      <c r="AH42" s="249"/>
      <c r="AI42" s="68"/>
      <c r="AJ42" s="68"/>
      <c r="AK42" s="68"/>
      <c r="AL42" s="68"/>
      <c r="AM42" s="68"/>
      <c r="AN42" s="68"/>
      <c r="AO42" s="68"/>
      <c r="AP42" s="68"/>
      <c r="AQ42" s="68"/>
      <c r="AR42" s="68"/>
      <c r="AS42" s="68"/>
      <c r="AT42" s="68"/>
      <c r="AU42" s="68"/>
      <c r="AV42" s="68"/>
      <c r="AW42" s="68"/>
      <c r="AX42" s="68"/>
      <c r="AY42" s="68"/>
      <c r="AZ42" s="68"/>
      <c r="BA42" s="68"/>
      <c r="BB42" s="68"/>
      <c r="BC42" s="68"/>
      <c r="BD42" s="68"/>
      <c r="BE42" s="68"/>
      <c r="BF42" s="68"/>
      <c r="BG42" s="68"/>
      <c r="BH42" s="68"/>
      <c r="BI42" s="68"/>
      <c r="BJ42" s="68"/>
      <c r="BL42" s="68"/>
      <c r="CH42" s="72"/>
      <c r="CI42" s="178"/>
      <c r="CJ42" s="178"/>
    </row>
    <row r="43" spans="1:89" x14ac:dyDescent="0.2">
      <c r="A43" s="23" t="s">
        <v>63</v>
      </c>
      <c r="C43" s="55"/>
      <c r="D43" s="44"/>
      <c r="E43" s="44"/>
      <c r="O43" s="68"/>
      <c r="P43" s="169"/>
      <c r="Q43" s="169"/>
      <c r="R43" s="68"/>
      <c r="S43" s="68"/>
      <c r="T43" s="169"/>
      <c r="U43" s="169"/>
      <c r="V43" s="68"/>
      <c r="W43" s="68"/>
      <c r="X43" s="169"/>
      <c r="Y43" s="169"/>
      <c r="Z43" s="66"/>
      <c r="AA43" s="68"/>
      <c r="AB43" s="235"/>
      <c r="AC43" s="68"/>
      <c r="AD43" s="68"/>
      <c r="AE43" s="68"/>
      <c r="AF43" s="68"/>
      <c r="AG43" s="68"/>
      <c r="AH43" s="249"/>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c r="BG43" s="68"/>
      <c r="BH43" s="68"/>
      <c r="BI43" s="68"/>
      <c r="BJ43" s="68"/>
      <c r="BL43" s="68"/>
      <c r="CH43" s="66"/>
      <c r="CI43" s="154"/>
      <c r="CJ43" s="154"/>
    </row>
    <row r="44" spans="1:89" x14ac:dyDescent="0.2">
      <c r="C44" s="44"/>
      <c r="D44" s="44"/>
      <c r="E44" s="44"/>
      <c r="O44" s="68"/>
      <c r="P44" s="169"/>
      <c r="Q44" s="169"/>
      <c r="R44" s="68"/>
      <c r="S44" s="68"/>
      <c r="T44" s="169"/>
      <c r="U44" s="169"/>
      <c r="V44" s="68"/>
      <c r="W44" s="68"/>
      <c r="X44" s="169"/>
      <c r="Y44" s="169"/>
      <c r="Z44" s="66"/>
      <c r="AA44" s="68"/>
      <c r="AB44" s="235"/>
      <c r="AC44" s="68"/>
      <c r="AD44" s="68"/>
      <c r="AE44" s="68"/>
      <c r="AF44" s="68"/>
      <c r="AG44" s="68"/>
      <c r="AH44" s="249"/>
      <c r="AI44" s="68"/>
      <c r="AJ44" s="68"/>
      <c r="AK44" s="68"/>
      <c r="AL44" s="68"/>
      <c r="AM44" s="68"/>
      <c r="AN44" s="68"/>
      <c r="AO44" s="68"/>
      <c r="AP44" s="68"/>
      <c r="AQ44" s="68"/>
      <c r="AR44" s="68"/>
      <c r="AS44" s="68"/>
      <c r="AT44" s="68"/>
      <c r="AU44" s="68"/>
      <c r="AV44" s="68"/>
      <c r="AW44" s="68"/>
      <c r="AX44" s="68"/>
      <c r="AY44" s="68"/>
      <c r="AZ44" s="68"/>
      <c r="BA44" s="68"/>
      <c r="BB44" s="68"/>
      <c r="BC44" s="68"/>
      <c r="BD44" s="68"/>
      <c r="BE44" s="68"/>
      <c r="BF44" s="68"/>
      <c r="BG44" s="68"/>
      <c r="BH44" s="68"/>
      <c r="BI44" s="68"/>
      <c r="BJ44" s="68"/>
      <c r="BL44" s="68"/>
      <c r="CH44" s="66"/>
      <c r="CI44" s="154"/>
      <c r="CJ44" s="154"/>
    </row>
    <row r="45" spans="1:89" x14ac:dyDescent="0.2">
      <c r="A45" s="24" t="s">
        <v>64</v>
      </c>
      <c r="C45" s="44"/>
      <c r="D45" s="44"/>
      <c r="E45" s="44"/>
      <c r="O45" s="68"/>
      <c r="P45" s="169"/>
      <c r="Q45" s="169"/>
      <c r="R45" s="68"/>
      <c r="S45" s="68"/>
      <c r="T45" s="169"/>
      <c r="U45" s="169"/>
      <c r="V45" s="68"/>
      <c r="W45" s="68"/>
      <c r="X45" s="169"/>
      <c r="Y45" s="169"/>
      <c r="Z45" s="66"/>
      <c r="AA45" s="68"/>
      <c r="AB45" s="235"/>
      <c r="AC45" s="68"/>
      <c r="AD45" s="68"/>
      <c r="AE45" s="68"/>
      <c r="AF45" s="68"/>
      <c r="AG45" s="68"/>
      <c r="AH45" s="249"/>
      <c r="AI45" s="68"/>
      <c r="AJ45" s="68"/>
      <c r="AK45" s="68"/>
      <c r="AL45" s="68"/>
      <c r="AM45" s="68"/>
      <c r="AN45" s="68"/>
      <c r="AO45" s="68"/>
      <c r="AP45" s="68"/>
      <c r="AQ45" s="68"/>
      <c r="AR45" s="68"/>
      <c r="AS45" s="68"/>
      <c r="AT45" s="68"/>
      <c r="AU45" s="68"/>
      <c r="AV45" s="68"/>
      <c r="AW45" s="68"/>
      <c r="AX45" s="68"/>
      <c r="AY45" s="68"/>
      <c r="AZ45" s="68"/>
      <c r="BA45" s="68"/>
      <c r="BB45" s="68"/>
      <c r="BC45" s="68"/>
      <c r="BD45" s="68"/>
      <c r="BE45" s="68"/>
      <c r="BF45" s="68"/>
      <c r="BG45" s="68"/>
      <c r="BH45" s="68"/>
      <c r="BI45" s="68"/>
      <c r="BJ45" s="68"/>
      <c r="BL45" s="68"/>
      <c r="CH45" s="66"/>
      <c r="CI45" s="154"/>
      <c r="CJ45" s="154"/>
    </row>
    <row r="46" spans="1:89" ht="25" x14ac:dyDescent="0.2">
      <c r="A46" t="s">
        <v>221</v>
      </c>
      <c r="C46" s="51"/>
      <c r="D46" s="44"/>
      <c r="E46" s="51">
        <f>O46+S46+W46+AA46+AE46+AI46+AM46+AQ46+AU46+AY46+BC46+BG46</f>
        <v>279496.70833333337</v>
      </c>
      <c r="G46" s="10">
        <f>G35*0.13</f>
        <v>506981.51499943249</v>
      </c>
      <c r="I46" s="10">
        <f>I35*0.13</f>
        <v>557679.6664993756</v>
      </c>
      <c r="K46" s="10">
        <f>K35*0.13</f>
        <v>613447.63314931304</v>
      </c>
      <c r="M46" s="10">
        <f>M35*0.13</f>
        <v>674792.39646424493</v>
      </c>
      <c r="N46" s="10"/>
      <c r="O46" s="66">
        <v>23600</v>
      </c>
      <c r="P46" s="154">
        <v>30662</v>
      </c>
      <c r="Q46" s="154">
        <f>O46-P46</f>
        <v>-7062</v>
      </c>
      <c r="R46" s="66"/>
      <c r="S46" s="66">
        <v>23600</v>
      </c>
      <c r="T46" s="154">
        <v>22730</v>
      </c>
      <c r="U46" s="154">
        <f>S46-T46</f>
        <v>870</v>
      </c>
      <c r="V46" s="66"/>
      <c r="W46" s="66">
        <v>23229.670833333334</v>
      </c>
      <c r="X46" s="154">
        <v>25761</v>
      </c>
      <c r="Y46" s="170">
        <f t="shared" ref="Y46:Y47" si="69">W46-X46</f>
        <v>-2531.3291666666664</v>
      </c>
      <c r="Z46" s="33">
        <f>+AA46/$Z$32</f>
        <v>0.12377024937789761</v>
      </c>
      <c r="AA46" s="66">
        <v>23229.670833333334</v>
      </c>
      <c r="AB46" s="162">
        <v>29270</v>
      </c>
      <c r="AC46" s="154">
        <f t="shared" ref="AC46" si="70">AA46-AB46</f>
        <v>-6040.3291666666664</v>
      </c>
      <c r="AD46" s="227" t="s">
        <v>153</v>
      </c>
      <c r="AE46" s="66">
        <v>23229.670833333334</v>
      </c>
      <c r="AF46" s="162">
        <v>29674</v>
      </c>
      <c r="AG46" s="154">
        <f>AE46-AF46</f>
        <v>-6444.3291666666664</v>
      </c>
      <c r="AH46" s="228" t="s">
        <v>217</v>
      </c>
      <c r="AI46" s="66">
        <v>23229.670833333334</v>
      </c>
      <c r="AJ46" s="162">
        <v>25831</v>
      </c>
      <c r="AK46" s="154">
        <f>AI46-AJ46</f>
        <v>-2601.3291666666664</v>
      </c>
      <c r="AL46" s="228" t="s">
        <v>217</v>
      </c>
      <c r="AM46" s="66">
        <v>23229.670833333334</v>
      </c>
      <c r="AN46" s="162">
        <v>19421</v>
      </c>
      <c r="AO46" s="154">
        <f>AM46-AN46</f>
        <v>3808.6708333333336</v>
      </c>
      <c r="AP46" s="66"/>
      <c r="AQ46" s="66">
        <v>23229.670833333334</v>
      </c>
      <c r="AR46" s="162">
        <v>15936</v>
      </c>
      <c r="AS46" s="154">
        <f>AQ46-AR46</f>
        <v>7293.6708333333336</v>
      </c>
      <c r="AT46" s="225" t="s">
        <v>222</v>
      </c>
      <c r="AU46" s="66">
        <v>23229.670833333334</v>
      </c>
      <c r="AV46" s="162">
        <v>20244</v>
      </c>
      <c r="AW46" s="154">
        <f>AU46-AV46</f>
        <v>2985.6708333333336</v>
      </c>
      <c r="AX46" s="225" t="s">
        <v>222</v>
      </c>
      <c r="AY46" s="66">
        <v>23229.670833333334</v>
      </c>
      <c r="AZ46" s="66">
        <v>21125</v>
      </c>
      <c r="BA46" s="154">
        <f>AY46-AZ46</f>
        <v>2104.6708333333336</v>
      </c>
      <c r="BB46" s="225" t="s">
        <v>222</v>
      </c>
      <c r="BC46" s="66">
        <v>23229.670833333334</v>
      </c>
      <c r="BD46" s="233">
        <v>12058</v>
      </c>
      <c r="BE46" s="154">
        <f>BC46-BD46</f>
        <v>11171.670833333334</v>
      </c>
      <c r="BF46" s="225" t="s">
        <v>223</v>
      </c>
      <c r="BG46" s="66">
        <v>23229.670833333334</v>
      </c>
      <c r="BH46" s="233">
        <v>19622</v>
      </c>
      <c r="BI46" s="154">
        <f>BG46-BH46</f>
        <v>3607.6708333333336</v>
      </c>
      <c r="BJ46" s="225" t="s">
        <v>224</v>
      </c>
      <c r="BL46" s="68" t="e" cm="1" vm="1">
        <f t="array" aca="1" ref="BL46" ca="1">ROUND(O46:BG46, -2)</f>
        <v>#VALUE!</v>
      </c>
      <c r="CH46" s="44">
        <f t="shared" ref="CH46:CH47" si="71">+W46+S46+O46+AA46+AE46+AI46+AM46+AQ46+AU46+AY46+BC46+BG46</f>
        <v>279496.70833333337</v>
      </c>
      <c r="CI46" s="160">
        <f t="shared" ref="CI46:CI47" si="72">+X46+T46+P46+AB46+AF46+AJ46+AN46+AR46+AV46+AZ46+BD46+BH46</f>
        <v>272334</v>
      </c>
      <c r="CJ46" s="214">
        <f>CH46-CI46</f>
        <v>7162.7083333333721</v>
      </c>
    </row>
    <row r="47" spans="1:89" x14ac:dyDescent="0.2">
      <c r="A47" s="21" t="s">
        <v>66</v>
      </c>
      <c r="B47" s="8"/>
      <c r="C47" s="45"/>
      <c r="D47" s="45"/>
      <c r="E47" s="45">
        <f>O47+S47+W47+AA47+AE47+AI47+AM47+AQ47+AU47+AY47+BC47+BG47</f>
        <v>3000</v>
      </c>
      <c r="F47" s="8"/>
      <c r="G47" s="8">
        <f>E47*1.1</f>
        <v>3300.0000000000005</v>
      </c>
      <c r="H47" s="8"/>
      <c r="I47" s="8">
        <f>G47*1.5</f>
        <v>4950.0000000000009</v>
      </c>
      <c r="J47" s="8"/>
      <c r="K47" s="8">
        <f>I47*1.1</f>
        <v>5445.0000000000018</v>
      </c>
      <c r="M47" s="10">
        <f>K47*1.1</f>
        <v>5989.5000000000027</v>
      </c>
      <c r="N47" s="10"/>
      <c r="O47" s="68"/>
      <c r="P47" s="169"/>
      <c r="Q47" s="169"/>
      <c r="R47" s="68"/>
      <c r="S47" s="68"/>
      <c r="T47" s="169"/>
      <c r="U47" s="169"/>
      <c r="V47" s="68"/>
      <c r="W47" s="66">
        <v>1000</v>
      </c>
      <c r="X47" s="154">
        <v>0</v>
      </c>
      <c r="Y47" s="170">
        <f t="shared" si="69"/>
        <v>1000</v>
      </c>
      <c r="Z47" s="66"/>
      <c r="AA47" s="68"/>
      <c r="AB47" s="162">
        <v>0</v>
      </c>
      <c r="AC47" s="154"/>
      <c r="AD47" s="68"/>
      <c r="AE47" s="68"/>
      <c r="AF47" s="162"/>
      <c r="AG47" s="169"/>
      <c r="AH47" s="249"/>
      <c r="AI47" s="66">
        <v>1000</v>
      </c>
      <c r="AJ47" s="66"/>
      <c r="AK47" s="66"/>
      <c r="AL47" s="66"/>
      <c r="AM47" s="66"/>
      <c r="AN47" s="66"/>
      <c r="AO47" s="66"/>
      <c r="AP47" s="66"/>
      <c r="AQ47" s="66"/>
      <c r="AR47" s="66"/>
      <c r="AS47" s="66"/>
      <c r="AT47" s="66"/>
      <c r="AU47" s="66"/>
      <c r="AV47" s="66"/>
      <c r="AW47" s="66"/>
      <c r="AX47" s="66"/>
      <c r="AY47" s="66">
        <v>1000</v>
      </c>
      <c r="AZ47" s="66"/>
      <c r="BA47" s="66"/>
      <c r="BB47" s="66"/>
      <c r="BC47" s="66"/>
      <c r="BD47" s="233"/>
      <c r="BE47" s="66"/>
      <c r="BF47" s="66"/>
      <c r="BG47" s="68"/>
      <c r="BH47" s="68"/>
      <c r="BI47" s="66"/>
      <c r="BJ47" s="68"/>
      <c r="BL47" s="68" t="e" cm="1" vm="1">
        <f t="array" aca="1" ref="BL47" ca="1">ROUND(O47:BG47, -2)</f>
        <v>#VALUE!</v>
      </c>
      <c r="CH47" s="44">
        <f t="shared" si="71"/>
        <v>3000</v>
      </c>
      <c r="CI47" s="160">
        <f t="shared" si="72"/>
        <v>0</v>
      </c>
      <c r="CJ47" s="154">
        <f>CH47-CI47</f>
        <v>3000</v>
      </c>
    </row>
    <row r="48" spans="1:89" x14ac:dyDescent="0.2">
      <c r="A48" t="s">
        <v>67</v>
      </c>
      <c r="C48" s="44"/>
      <c r="D48" s="44"/>
      <c r="E48" s="44">
        <f>SUM(E45:E47)</f>
        <v>282496.70833333337</v>
      </c>
      <c r="G48" s="17">
        <f>SUM(G45:G47)</f>
        <v>510281.51499943249</v>
      </c>
      <c r="I48" s="17">
        <f>SUM(I45:I47)</f>
        <v>562629.6664993756</v>
      </c>
      <c r="K48" s="17">
        <f>SUM(K45:K47)</f>
        <v>618892.63314931304</v>
      </c>
      <c r="L48" s="30"/>
      <c r="M48" s="28">
        <f>SUM(M45:M47)</f>
        <v>680781.89646424493</v>
      </c>
      <c r="N48" s="28"/>
      <c r="O48" s="67">
        <f t="shared" ref="O48:BG48" si="73">SUM(O45:O47)</f>
        <v>23600</v>
      </c>
      <c r="P48" s="156">
        <f t="shared" si="73"/>
        <v>30662</v>
      </c>
      <c r="Q48" s="156">
        <f>O48-P48</f>
        <v>-7062</v>
      </c>
      <c r="R48" s="67"/>
      <c r="S48" s="67">
        <f t="shared" si="73"/>
        <v>23600</v>
      </c>
      <c r="T48" s="156">
        <f t="shared" si="73"/>
        <v>22730</v>
      </c>
      <c r="U48" s="156">
        <f>S48-T48</f>
        <v>870</v>
      </c>
      <c r="V48" s="67"/>
      <c r="W48" s="67">
        <f t="shared" si="73"/>
        <v>24229.670833333334</v>
      </c>
      <c r="X48" s="156">
        <f t="shared" si="73"/>
        <v>25761</v>
      </c>
      <c r="Y48" s="156">
        <f>W48-X48</f>
        <v>-1531.3291666666664</v>
      </c>
      <c r="Z48" s="67"/>
      <c r="AA48" s="67">
        <f t="shared" si="73"/>
        <v>23229.670833333334</v>
      </c>
      <c r="AB48" s="164">
        <f t="shared" si="73"/>
        <v>29270</v>
      </c>
      <c r="AC48" s="156">
        <f>AA48-AB48</f>
        <v>-6040.3291666666664</v>
      </c>
      <c r="AD48" s="67"/>
      <c r="AE48" s="67">
        <f t="shared" si="73"/>
        <v>23229.670833333334</v>
      </c>
      <c r="AF48" s="164">
        <f t="shared" si="73"/>
        <v>29674</v>
      </c>
      <c r="AG48" s="156">
        <f>AE48-AF48</f>
        <v>-6444.3291666666664</v>
      </c>
      <c r="AH48" s="251"/>
      <c r="AI48" s="67">
        <f t="shared" si="73"/>
        <v>24229.670833333334</v>
      </c>
      <c r="AJ48" s="164">
        <f>SUM(AJ45:AJ47)</f>
        <v>25831</v>
      </c>
      <c r="AK48" s="156">
        <f>AI48-AJ48</f>
        <v>-1601.3291666666664</v>
      </c>
      <c r="AL48" s="67"/>
      <c r="AM48" s="67">
        <f t="shared" si="73"/>
        <v>23229.670833333334</v>
      </c>
      <c r="AN48" s="164">
        <f>SUM(AN45:AN47)</f>
        <v>19421</v>
      </c>
      <c r="AO48" s="156">
        <f>AM48-AN48</f>
        <v>3808.6708333333336</v>
      </c>
      <c r="AP48" s="67"/>
      <c r="AQ48" s="67">
        <f t="shared" si="73"/>
        <v>23229.670833333334</v>
      </c>
      <c r="AR48" s="164">
        <f>SUM(AR45:AR47)</f>
        <v>15936</v>
      </c>
      <c r="AS48" s="156">
        <f>AQ48-AR48</f>
        <v>7293.6708333333336</v>
      </c>
      <c r="AT48" s="67"/>
      <c r="AU48" s="67">
        <f t="shared" si="73"/>
        <v>23229.670833333334</v>
      </c>
      <c r="AV48" s="164">
        <f>SUM(AV45:AV47)</f>
        <v>20244</v>
      </c>
      <c r="AW48" s="156">
        <f>AU48-AV48</f>
        <v>2985.6708333333336</v>
      </c>
      <c r="AX48" s="67"/>
      <c r="AY48" s="67">
        <f t="shared" si="73"/>
        <v>24229.670833333334</v>
      </c>
      <c r="AZ48" s="164">
        <f>SUM(AZ45:AZ47)</f>
        <v>21125</v>
      </c>
      <c r="BA48" s="156">
        <f>AY48-AZ48</f>
        <v>3104.6708333333336</v>
      </c>
      <c r="BB48" s="67"/>
      <c r="BC48" s="67">
        <f t="shared" si="73"/>
        <v>23229.670833333334</v>
      </c>
      <c r="BD48" s="164">
        <f>SUM(BD45:BD47)</f>
        <v>12058</v>
      </c>
      <c r="BE48" s="156">
        <f>BC48-BD48</f>
        <v>11171.670833333334</v>
      </c>
      <c r="BF48" s="67"/>
      <c r="BG48" s="67">
        <f t="shared" si="73"/>
        <v>23229.670833333334</v>
      </c>
      <c r="BH48" s="164">
        <f>SUM(BH45:BH47)</f>
        <v>19622</v>
      </c>
      <c r="BI48" s="156">
        <f>BG48-BH48</f>
        <v>3607.6708333333336</v>
      </c>
      <c r="BJ48" s="67"/>
      <c r="BL48" s="68" t="e" cm="1" vm="1">
        <f t="array" aca="1" ref="BL48" ca="1">ROUND(O48:BG48, -2)</f>
        <v>#VALUE!</v>
      </c>
      <c r="CH48" s="67">
        <f t="shared" ref="CH48:CI48" si="74">SUM(CH45:CH47)</f>
        <v>282496.70833333337</v>
      </c>
      <c r="CI48" s="172">
        <f t="shared" si="74"/>
        <v>272334</v>
      </c>
      <c r="CJ48" s="156">
        <f>CH48-CI48</f>
        <v>10162.708333333372</v>
      </c>
    </row>
    <row r="49" spans="1:88" x14ac:dyDescent="0.2">
      <c r="C49" s="44"/>
      <c r="D49" s="44"/>
      <c r="E49" s="44"/>
      <c r="O49" s="68"/>
      <c r="P49" s="169"/>
      <c r="Q49" s="169"/>
      <c r="R49" s="68"/>
      <c r="S49" s="68"/>
      <c r="T49" s="169"/>
      <c r="U49" s="169"/>
      <c r="V49" s="68"/>
      <c r="W49" s="68"/>
      <c r="X49" s="169"/>
      <c r="Y49" s="169"/>
      <c r="Z49" s="68"/>
      <c r="AA49" s="68"/>
      <c r="AB49" s="235"/>
      <c r="AC49" s="68"/>
      <c r="AD49" s="68"/>
      <c r="AE49" s="68"/>
      <c r="AF49" s="68"/>
      <c r="AG49" s="169"/>
      <c r="AH49" s="249"/>
      <c r="AI49" s="68"/>
      <c r="AJ49" s="68"/>
      <c r="AK49" s="68"/>
      <c r="AL49" s="68"/>
      <c r="AM49" s="68"/>
      <c r="AN49" s="68"/>
      <c r="AO49" s="68"/>
      <c r="AP49" s="68"/>
      <c r="AQ49" s="68"/>
      <c r="AR49" s="68"/>
      <c r="AS49" s="68"/>
      <c r="AT49" s="68"/>
      <c r="AU49" s="68"/>
      <c r="AV49" s="68"/>
      <c r="AW49" s="68"/>
      <c r="AX49" s="68"/>
      <c r="AY49" s="68"/>
      <c r="AZ49" s="68"/>
      <c r="BA49" s="68"/>
      <c r="BB49" s="68"/>
      <c r="BC49" s="68"/>
      <c r="BD49" s="68"/>
      <c r="BE49" s="68"/>
      <c r="BF49" s="68"/>
      <c r="BG49" s="66"/>
      <c r="BH49" s="66"/>
      <c r="BI49" s="68"/>
      <c r="BJ49" s="67"/>
      <c r="BL49" s="68"/>
      <c r="CH49" s="66"/>
      <c r="CI49" s="154"/>
      <c r="CJ49" s="154"/>
    </row>
    <row r="50" spans="1:88" x14ac:dyDescent="0.2">
      <c r="C50" s="44"/>
      <c r="D50" s="44"/>
      <c r="E50" s="44"/>
      <c r="O50" s="68"/>
      <c r="P50" s="169"/>
      <c r="Q50" s="169"/>
      <c r="R50" s="68"/>
      <c r="S50" s="68"/>
      <c r="T50" s="169"/>
      <c r="U50" s="169"/>
      <c r="V50" s="68"/>
      <c r="W50" s="68"/>
      <c r="X50" s="169"/>
      <c r="Y50" s="169"/>
      <c r="Z50" s="68"/>
      <c r="AA50" s="68"/>
      <c r="AB50" s="235"/>
      <c r="AC50" s="68"/>
      <c r="AD50" s="68"/>
      <c r="AE50" s="68"/>
      <c r="AF50" s="68"/>
      <c r="AG50" s="169"/>
      <c r="AH50" s="249"/>
      <c r="AI50" s="68"/>
      <c r="AJ50" s="68"/>
      <c r="AK50" s="68"/>
      <c r="AL50" s="68"/>
      <c r="AM50" s="68"/>
      <c r="AN50" s="68"/>
      <c r="AO50" s="68"/>
      <c r="AP50" s="68"/>
      <c r="AQ50" s="68"/>
      <c r="AR50" s="68"/>
      <c r="AS50" s="68"/>
      <c r="AT50" s="68"/>
      <c r="AU50" s="68"/>
      <c r="AV50" s="68"/>
      <c r="AW50" s="68"/>
      <c r="AX50" s="68"/>
      <c r="AY50" s="68"/>
      <c r="AZ50" s="68"/>
      <c r="BA50" s="68"/>
      <c r="BB50" s="68"/>
      <c r="BC50" s="68"/>
      <c r="BD50" s="68"/>
      <c r="BE50" s="68"/>
      <c r="BF50" s="68"/>
      <c r="BG50" s="68"/>
      <c r="BH50" s="68"/>
      <c r="BI50" s="68"/>
      <c r="BJ50" s="68"/>
      <c r="BL50" s="68"/>
      <c r="CH50" s="66"/>
      <c r="CI50" s="154"/>
      <c r="CJ50" s="154"/>
    </row>
    <row r="51" spans="1:88" x14ac:dyDescent="0.2">
      <c r="A51" s="24" t="s">
        <v>68</v>
      </c>
      <c r="C51" s="44"/>
      <c r="D51" s="44"/>
      <c r="E51" s="44"/>
      <c r="O51" s="68"/>
      <c r="P51" s="169"/>
      <c r="Q51" s="169"/>
      <c r="R51" s="68"/>
      <c r="S51" s="68"/>
      <c r="T51" s="169"/>
      <c r="U51" s="169"/>
      <c r="V51" s="68"/>
      <c r="W51" s="68"/>
      <c r="X51" s="169"/>
      <c r="Y51" s="169"/>
      <c r="Z51" s="68"/>
      <c r="AA51" s="68"/>
      <c r="AB51" s="235"/>
      <c r="AC51" s="68"/>
      <c r="AD51" s="68"/>
      <c r="AE51" s="68"/>
      <c r="AF51" s="68"/>
      <c r="AG51" s="169"/>
      <c r="AH51" s="249"/>
      <c r="AI51" s="68"/>
      <c r="AJ51" s="68"/>
      <c r="AK51" s="68"/>
      <c r="AL51" s="68"/>
      <c r="AM51" s="68"/>
      <c r="AN51" s="68"/>
      <c r="AO51" s="68"/>
      <c r="AP51" s="68"/>
      <c r="AQ51" s="68"/>
      <c r="AR51" s="68"/>
      <c r="AS51" s="68"/>
      <c r="AT51" s="68"/>
      <c r="AU51" s="68"/>
      <c r="AV51" s="68"/>
      <c r="AW51" s="68"/>
      <c r="AX51" s="68"/>
      <c r="AY51" s="68"/>
      <c r="AZ51" s="68"/>
      <c r="BA51" s="68"/>
      <c r="BB51" s="68"/>
      <c r="BC51" s="68"/>
      <c r="BD51" s="68"/>
      <c r="BE51" s="68"/>
      <c r="BF51" s="68"/>
      <c r="BG51" s="68"/>
      <c r="BH51" s="68"/>
      <c r="BI51" s="68"/>
      <c r="BJ51" s="68"/>
      <c r="BL51" s="68"/>
      <c r="CH51" s="66"/>
      <c r="CI51" s="154"/>
      <c r="CJ51" s="154"/>
    </row>
    <row r="52" spans="1:88" ht="51" x14ac:dyDescent="0.2">
      <c r="A52" t="s">
        <v>69</v>
      </c>
      <c r="C52" s="44"/>
      <c r="D52" s="44"/>
      <c r="E52" s="44">
        <f t="shared" ref="E52:E57" si="75">O52+S52+W52+AA52+AE52+AI52+AM52+AQ52+AU52+AY52+BC52+BG52</f>
        <v>115100</v>
      </c>
      <c r="G52" s="17">
        <f t="shared" ref="G52:G56" si="76">E52*1.1</f>
        <v>126610.00000000001</v>
      </c>
      <c r="I52" s="17">
        <f>G52*1.3</f>
        <v>164593.00000000003</v>
      </c>
      <c r="K52" s="17">
        <f t="shared" ref="K52:K57" si="77">I52*1.1</f>
        <v>181052.30000000005</v>
      </c>
      <c r="M52" s="17">
        <f t="shared" ref="M52:M57" si="78">K52*1.1</f>
        <v>199157.53000000006</v>
      </c>
      <c r="N52" s="17"/>
      <c r="O52" s="66">
        <v>9000</v>
      </c>
      <c r="P52" s="154">
        <v>8325</v>
      </c>
      <c r="Q52" s="154">
        <f>O52-P52</f>
        <v>675</v>
      </c>
      <c r="R52" s="66"/>
      <c r="S52" s="66">
        <v>9000</v>
      </c>
      <c r="T52" s="154">
        <v>8653</v>
      </c>
      <c r="U52" s="154">
        <f>S52-T52</f>
        <v>347</v>
      </c>
      <c r="V52" s="66"/>
      <c r="W52" s="66">
        <v>9400</v>
      </c>
      <c r="X52" s="154">
        <v>13814</v>
      </c>
      <c r="Y52" s="170">
        <f t="shared" ref="Y52:Y57" si="79">W52-X52</f>
        <v>-4414</v>
      </c>
      <c r="Z52" s="195" t="s">
        <v>225</v>
      </c>
      <c r="AA52" s="66">
        <v>9400</v>
      </c>
      <c r="AB52" s="162">
        <v>9388</v>
      </c>
      <c r="AC52" s="170">
        <f t="shared" ref="AC52:AC57" si="80">AA52-AB52</f>
        <v>12</v>
      </c>
      <c r="AD52" s="66"/>
      <c r="AE52" s="66">
        <v>9400</v>
      </c>
      <c r="AF52" s="162">
        <v>9404</v>
      </c>
      <c r="AG52" s="170">
        <f t="shared" ref="AG52:AG58" si="81">AE52-AF52</f>
        <v>-4</v>
      </c>
      <c r="AH52" s="242"/>
      <c r="AI52" s="66">
        <v>9400</v>
      </c>
      <c r="AJ52" s="162">
        <v>7958</v>
      </c>
      <c r="AK52" s="152">
        <f t="shared" ref="AK52:AK58" si="82">AI52-AJ52</f>
        <v>1442</v>
      </c>
      <c r="AL52" s="228" t="s">
        <v>226</v>
      </c>
      <c r="AM52" s="66">
        <v>9500</v>
      </c>
      <c r="AN52" s="162">
        <v>9438</v>
      </c>
      <c r="AO52" s="152">
        <f t="shared" ref="AO52:AO58" si="83">AM52-AN52</f>
        <v>62</v>
      </c>
      <c r="AP52" s="66"/>
      <c r="AQ52" s="66">
        <v>10000</v>
      </c>
      <c r="AR52" s="162">
        <v>9557</v>
      </c>
      <c r="AS52" s="152">
        <f t="shared" ref="AS52:AS58" si="84">AQ52-AR52</f>
        <v>443</v>
      </c>
      <c r="AT52" s="66"/>
      <c r="AU52" s="66">
        <v>10000</v>
      </c>
      <c r="AV52" s="162">
        <v>9557</v>
      </c>
      <c r="AW52" s="152">
        <f t="shared" ref="AW52:AW58" si="85">AU52-AV52</f>
        <v>443</v>
      </c>
      <c r="AX52" s="66"/>
      <c r="AY52" s="66">
        <v>10000</v>
      </c>
      <c r="AZ52" s="162">
        <v>9557</v>
      </c>
      <c r="BA52" s="152">
        <f t="shared" ref="BA52:BA58" si="86">AY52-AZ52</f>
        <v>443</v>
      </c>
      <c r="BB52" s="66"/>
      <c r="BC52" s="66">
        <v>10000</v>
      </c>
      <c r="BD52" s="233">
        <v>9557</v>
      </c>
      <c r="BE52" s="152">
        <f t="shared" ref="BE52:BE58" si="87">BC52-BD52</f>
        <v>443</v>
      </c>
      <c r="BF52" s="66"/>
      <c r="BG52" s="66">
        <v>10000</v>
      </c>
      <c r="BH52" s="233">
        <v>9557</v>
      </c>
      <c r="BI52" s="152">
        <f t="shared" ref="BI52:BI58" si="88">BG52-BH52</f>
        <v>443</v>
      </c>
      <c r="BJ52" s="66"/>
      <c r="BL52" s="68" t="e" cm="1" vm="1">
        <f t="array" aca="1" ref="BL52" ca="1">ROUND(O52:BG52, -2)</f>
        <v>#VALUE!</v>
      </c>
      <c r="CH52" s="44">
        <f t="shared" ref="CH52:CH57" si="89">+W52+S52+O52+AA52+AE52+AI52+AM52+AQ52+AU52+AY52+BC52+BG52</f>
        <v>115100</v>
      </c>
      <c r="CI52" s="160">
        <f t="shared" ref="CI52:CI57" si="90">+X52+T52+P52+AB52+AF52+AJ52+AN52+AR52+AV52+AZ52+BD52+BH52</f>
        <v>114765</v>
      </c>
      <c r="CJ52" s="181">
        <f t="shared" ref="CJ52:CJ58" si="91">CH52-CI52</f>
        <v>335</v>
      </c>
    </row>
    <row r="53" spans="1:88" x14ac:dyDescent="0.2">
      <c r="A53" t="s">
        <v>70</v>
      </c>
      <c r="B53" s="17"/>
      <c r="C53" s="44"/>
      <c r="D53" s="44"/>
      <c r="E53" s="44">
        <f t="shared" si="75"/>
        <v>25000</v>
      </c>
      <c r="F53" s="17"/>
      <c r="G53" s="17">
        <f t="shared" si="76"/>
        <v>27500.000000000004</v>
      </c>
      <c r="H53" s="17"/>
      <c r="I53" s="17">
        <f t="shared" ref="I53:I57" si="92">G53*1.3</f>
        <v>35750.000000000007</v>
      </c>
      <c r="J53" s="17"/>
      <c r="K53" s="17">
        <f t="shared" si="77"/>
        <v>39325.000000000015</v>
      </c>
      <c r="M53" s="17">
        <f t="shared" si="78"/>
        <v>43257.500000000022</v>
      </c>
      <c r="N53" s="17"/>
      <c r="O53" s="66">
        <v>2000</v>
      </c>
      <c r="P53" s="154">
        <v>1298</v>
      </c>
      <c r="Q53" s="154">
        <f t="shared" ref="Q53:Q57" si="93">O53-P53</f>
        <v>702</v>
      </c>
      <c r="R53" s="66"/>
      <c r="S53" s="66">
        <v>2000</v>
      </c>
      <c r="T53" s="154">
        <v>2024</v>
      </c>
      <c r="U53" s="154">
        <f t="shared" ref="U53:U57" si="94">S53-T53</f>
        <v>-24</v>
      </c>
      <c r="V53" s="66"/>
      <c r="W53" s="66">
        <v>2000</v>
      </c>
      <c r="X53" s="154">
        <v>1646</v>
      </c>
      <c r="Y53" s="170">
        <f t="shared" si="79"/>
        <v>354</v>
      </c>
      <c r="Z53" s="66"/>
      <c r="AA53" s="66">
        <v>2000</v>
      </c>
      <c r="AB53" s="162">
        <v>1647</v>
      </c>
      <c r="AC53" s="170">
        <f t="shared" si="80"/>
        <v>353</v>
      </c>
      <c r="AD53" s="66"/>
      <c r="AE53" s="66">
        <v>2000</v>
      </c>
      <c r="AF53" s="162">
        <v>1648</v>
      </c>
      <c r="AG53" s="170">
        <f t="shared" si="81"/>
        <v>352</v>
      </c>
      <c r="AH53" s="242"/>
      <c r="AI53" s="66">
        <v>2000</v>
      </c>
      <c r="AJ53" s="162">
        <v>1298</v>
      </c>
      <c r="AK53" s="152">
        <f t="shared" si="82"/>
        <v>702</v>
      </c>
      <c r="AL53" s="66"/>
      <c r="AM53" s="66">
        <v>2000</v>
      </c>
      <c r="AN53" s="162">
        <v>2020</v>
      </c>
      <c r="AO53" s="152">
        <f t="shared" si="83"/>
        <v>-20</v>
      </c>
      <c r="AP53" s="66"/>
      <c r="AQ53" s="66">
        <v>2200</v>
      </c>
      <c r="AR53" s="162">
        <v>1640</v>
      </c>
      <c r="AS53" s="152">
        <f t="shared" si="84"/>
        <v>560</v>
      </c>
      <c r="AT53" s="66"/>
      <c r="AU53" s="66">
        <v>2200</v>
      </c>
      <c r="AV53" s="162">
        <v>1260</v>
      </c>
      <c r="AW53" s="152">
        <f t="shared" si="85"/>
        <v>940</v>
      </c>
      <c r="AX53" s="66"/>
      <c r="AY53" s="66">
        <v>2200</v>
      </c>
      <c r="AZ53" s="162">
        <v>2741</v>
      </c>
      <c r="BA53" s="152">
        <f t="shared" si="86"/>
        <v>-541</v>
      </c>
      <c r="BB53" s="66"/>
      <c r="BC53" s="66">
        <v>2200</v>
      </c>
      <c r="BD53" s="233">
        <v>1942</v>
      </c>
      <c r="BE53" s="152">
        <f t="shared" si="87"/>
        <v>258</v>
      </c>
      <c r="BF53" s="66"/>
      <c r="BG53" s="66">
        <v>2200</v>
      </c>
      <c r="BH53" s="233">
        <v>1942</v>
      </c>
      <c r="BI53" s="152">
        <f t="shared" si="88"/>
        <v>258</v>
      </c>
      <c r="BJ53" s="66"/>
      <c r="BL53" s="68" t="e" cm="1" vm="1">
        <f t="array" aca="1" ref="BL53" ca="1">ROUND(O53:BG53, -2)</f>
        <v>#VALUE!</v>
      </c>
      <c r="CH53" s="44">
        <f t="shared" si="89"/>
        <v>25000</v>
      </c>
      <c r="CI53" s="160">
        <f t="shared" si="90"/>
        <v>21106</v>
      </c>
      <c r="CJ53" s="181">
        <f t="shared" si="91"/>
        <v>3894</v>
      </c>
    </row>
    <row r="54" spans="1:88" ht="40" x14ac:dyDescent="0.2">
      <c r="A54" t="s">
        <v>71</v>
      </c>
      <c r="B54" s="17"/>
      <c r="C54" s="44"/>
      <c r="D54" s="44"/>
      <c r="E54" s="44">
        <f t="shared" si="75"/>
        <v>44400</v>
      </c>
      <c r="F54" s="17"/>
      <c r="G54" s="17">
        <f t="shared" si="76"/>
        <v>48840.000000000007</v>
      </c>
      <c r="H54" s="17"/>
      <c r="I54" s="17">
        <f t="shared" si="92"/>
        <v>63492.000000000015</v>
      </c>
      <c r="J54" s="17"/>
      <c r="K54" s="17">
        <f t="shared" si="77"/>
        <v>69841.200000000026</v>
      </c>
      <c r="M54" s="17">
        <f t="shared" si="78"/>
        <v>76825.320000000036</v>
      </c>
      <c r="N54" s="17"/>
      <c r="O54" s="66">
        <v>3700</v>
      </c>
      <c r="P54" s="154">
        <v>2046</v>
      </c>
      <c r="Q54" s="154">
        <f t="shared" si="93"/>
        <v>1654</v>
      </c>
      <c r="R54" s="66"/>
      <c r="S54" s="66">
        <v>3700</v>
      </c>
      <c r="T54" s="154">
        <v>2761</v>
      </c>
      <c r="U54" s="154">
        <f t="shared" si="94"/>
        <v>939</v>
      </c>
      <c r="V54" s="66"/>
      <c r="W54" s="66">
        <v>3700</v>
      </c>
      <c r="X54" s="154">
        <v>2126</v>
      </c>
      <c r="Y54" s="170">
        <f t="shared" si="79"/>
        <v>1574</v>
      </c>
      <c r="Z54" s="66"/>
      <c r="AA54" s="66">
        <v>3700</v>
      </c>
      <c r="AB54" s="162">
        <v>3505</v>
      </c>
      <c r="AC54" s="170">
        <f t="shared" si="80"/>
        <v>195</v>
      </c>
      <c r="AD54" s="66"/>
      <c r="AE54" s="66">
        <v>3700</v>
      </c>
      <c r="AF54" s="162">
        <v>3262</v>
      </c>
      <c r="AG54" s="170">
        <f t="shared" si="81"/>
        <v>438</v>
      </c>
      <c r="AH54" s="242"/>
      <c r="AI54" s="66">
        <v>3700</v>
      </c>
      <c r="AJ54" s="162">
        <f>1572+261.66</f>
        <v>1833.66</v>
      </c>
      <c r="AK54" s="152">
        <f t="shared" si="82"/>
        <v>1866.34</v>
      </c>
      <c r="AL54" s="228" t="s">
        <v>227</v>
      </c>
      <c r="AM54" s="66">
        <v>3700</v>
      </c>
      <c r="AN54" s="162">
        <v>2166</v>
      </c>
      <c r="AO54" s="152">
        <f t="shared" si="83"/>
        <v>1534</v>
      </c>
      <c r="AP54" s="261" t="s">
        <v>228</v>
      </c>
      <c r="AQ54" s="66">
        <v>3700</v>
      </c>
      <c r="AR54" s="162">
        <v>2253</v>
      </c>
      <c r="AS54" s="152">
        <f t="shared" si="84"/>
        <v>1447</v>
      </c>
      <c r="AT54" s="66"/>
      <c r="AU54" s="66">
        <v>3700</v>
      </c>
      <c r="AV54" s="162">
        <v>2512</v>
      </c>
      <c r="AW54" s="152">
        <f t="shared" si="85"/>
        <v>1188</v>
      </c>
      <c r="AX54" s="66"/>
      <c r="AY54" s="66">
        <v>3700</v>
      </c>
      <c r="AZ54" s="162">
        <v>2692</v>
      </c>
      <c r="BA54" s="152">
        <f t="shared" si="86"/>
        <v>1008</v>
      </c>
      <c r="BB54" s="66"/>
      <c r="BC54" s="66">
        <v>3700</v>
      </c>
      <c r="BD54" s="233">
        <v>1914</v>
      </c>
      <c r="BE54" s="152">
        <f t="shared" si="87"/>
        <v>1786</v>
      </c>
      <c r="BF54" s="66"/>
      <c r="BG54" s="66">
        <v>3700</v>
      </c>
      <c r="BH54" s="233">
        <v>2382</v>
      </c>
      <c r="BI54" s="152">
        <f t="shared" si="88"/>
        <v>1318</v>
      </c>
      <c r="BJ54" s="66"/>
      <c r="BL54" s="68" t="e" cm="1" vm="1">
        <f t="array" aca="1" ref="BL54" ca="1">ROUND(O54:BG54, -2)</f>
        <v>#VALUE!</v>
      </c>
      <c r="CH54" s="44">
        <f t="shared" si="89"/>
        <v>44400</v>
      </c>
      <c r="CI54" s="160">
        <f t="shared" si="90"/>
        <v>29452.66</v>
      </c>
      <c r="CJ54" s="181">
        <f t="shared" si="91"/>
        <v>14947.34</v>
      </c>
    </row>
    <row r="55" spans="1:88" ht="25" x14ac:dyDescent="0.2">
      <c r="A55" t="s">
        <v>72</v>
      </c>
      <c r="B55" s="17"/>
      <c r="C55" s="44"/>
      <c r="D55" s="44"/>
      <c r="E55" s="44">
        <f t="shared" si="75"/>
        <v>7200</v>
      </c>
      <c r="F55" s="17"/>
      <c r="G55" s="17">
        <f t="shared" si="76"/>
        <v>7920.0000000000009</v>
      </c>
      <c r="H55" s="17"/>
      <c r="I55" s="17">
        <f t="shared" si="92"/>
        <v>10296.000000000002</v>
      </c>
      <c r="J55" s="17"/>
      <c r="K55" s="17">
        <f t="shared" si="77"/>
        <v>11325.600000000002</v>
      </c>
      <c r="L55" s="9"/>
      <c r="M55" s="17">
        <f t="shared" si="78"/>
        <v>12458.160000000003</v>
      </c>
      <c r="N55" s="17"/>
      <c r="O55" s="66">
        <v>600</v>
      </c>
      <c r="P55" s="154">
        <v>0</v>
      </c>
      <c r="Q55" s="154">
        <f t="shared" si="93"/>
        <v>600</v>
      </c>
      <c r="R55" s="66"/>
      <c r="S55" s="66">
        <v>600</v>
      </c>
      <c r="T55" s="154">
        <v>0</v>
      </c>
      <c r="U55" s="154">
        <f t="shared" si="94"/>
        <v>600</v>
      </c>
      <c r="V55" s="66"/>
      <c r="W55" s="66">
        <v>600</v>
      </c>
      <c r="X55" s="154">
        <v>0</v>
      </c>
      <c r="Y55" s="170">
        <f t="shared" si="79"/>
        <v>600</v>
      </c>
      <c r="Z55" s="66"/>
      <c r="AA55" s="66">
        <v>600</v>
      </c>
      <c r="AB55" s="162">
        <v>0</v>
      </c>
      <c r="AC55" s="170">
        <f t="shared" si="80"/>
        <v>600</v>
      </c>
      <c r="AD55" s="66"/>
      <c r="AE55" s="66">
        <v>600</v>
      </c>
      <c r="AF55" s="162">
        <v>0</v>
      </c>
      <c r="AG55" s="170">
        <f t="shared" si="81"/>
        <v>600</v>
      </c>
      <c r="AH55" s="242"/>
      <c r="AI55" s="66">
        <v>600</v>
      </c>
      <c r="AJ55" s="162">
        <v>0</v>
      </c>
      <c r="AK55" s="152">
        <f t="shared" si="82"/>
        <v>600</v>
      </c>
      <c r="AL55" s="66"/>
      <c r="AM55" s="66">
        <v>600</v>
      </c>
      <c r="AN55" s="162">
        <v>0</v>
      </c>
      <c r="AO55" s="152">
        <f t="shared" si="83"/>
        <v>600</v>
      </c>
      <c r="AP55" s="66"/>
      <c r="AQ55" s="66">
        <v>600</v>
      </c>
      <c r="AR55" s="162"/>
      <c r="AS55" s="152">
        <f t="shared" si="84"/>
        <v>600</v>
      </c>
      <c r="AT55" s="66"/>
      <c r="AU55" s="66">
        <v>600</v>
      </c>
      <c r="AV55" s="162">
        <v>2412</v>
      </c>
      <c r="AW55" s="152">
        <f t="shared" si="85"/>
        <v>-1812</v>
      </c>
      <c r="AX55" s="66"/>
      <c r="AY55" s="66">
        <v>600</v>
      </c>
      <c r="AZ55" s="162">
        <v>3860</v>
      </c>
      <c r="BA55" s="152">
        <f t="shared" si="86"/>
        <v>-3260</v>
      </c>
      <c r="BB55" s="225" t="s">
        <v>229</v>
      </c>
      <c r="BC55" s="66">
        <v>600</v>
      </c>
      <c r="BD55" s="233">
        <v>1952</v>
      </c>
      <c r="BE55" s="152">
        <f t="shared" si="87"/>
        <v>-1352</v>
      </c>
      <c r="BF55" s="66"/>
      <c r="BG55" s="66">
        <v>600</v>
      </c>
      <c r="BH55" s="233">
        <v>0</v>
      </c>
      <c r="BI55" s="152">
        <f t="shared" si="88"/>
        <v>600</v>
      </c>
      <c r="BJ55" s="66"/>
      <c r="BL55" s="68" t="e" cm="1" vm="1">
        <f t="array" aca="1" ref="BL55" ca="1">ROUND(O55:BG55, -2)</f>
        <v>#VALUE!</v>
      </c>
      <c r="CH55" s="44">
        <f t="shared" si="89"/>
        <v>7200</v>
      </c>
      <c r="CI55" s="160">
        <f t="shared" si="90"/>
        <v>8224</v>
      </c>
      <c r="CJ55" s="181">
        <f t="shared" si="91"/>
        <v>-1024</v>
      </c>
    </row>
    <row r="56" spans="1:88" x14ac:dyDescent="0.2">
      <c r="A56" t="s">
        <v>73</v>
      </c>
      <c r="B56" s="17"/>
      <c r="C56" s="44"/>
      <c r="D56" s="44"/>
      <c r="E56" s="44">
        <f t="shared" si="75"/>
        <v>45000</v>
      </c>
      <c r="F56" s="17"/>
      <c r="G56" s="17">
        <f t="shared" si="76"/>
        <v>49500.000000000007</v>
      </c>
      <c r="H56" s="17"/>
      <c r="I56" s="17">
        <f t="shared" si="92"/>
        <v>64350.000000000015</v>
      </c>
      <c r="J56" s="17"/>
      <c r="K56" s="17">
        <f t="shared" si="77"/>
        <v>70785.000000000015</v>
      </c>
      <c r="M56" s="17">
        <f t="shared" si="78"/>
        <v>77863.500000000029</v>
      </c>
      <c r="N56" s="17"/>
      <c r="O56" s="66">
        <v>1500</v>
      </c>
      <c r="P56" s="192">
        <v>3738</v>
      </c>
      <c r="Q56" s="154">
        <f t="shared" si="93"/>
        <v>-2238</v>
      </c>
      <c r="R56" s="66"/>
      <c r="S56" s="66">
        <v>1500</v>
      </c>
      <c r="T56" s="154">
        <v>8170</v>
      </c>
      <c r="U56" s="154">
        <f t="shared" si="94"/>
        <v>-6670</v>
      </c>
      <c r="V56" s="66"/>
      <c r="W56" s="66">
        <v>2400</v>
      </c>
      <c r="X56" s="154">
        <v>10099</v>
      </c>
      <c r="Y56" s="170">
        <f t="shared" si="79"/>
        <v>-7699</v>
      </c>
      <c r="Z56" s="66"/>
      <c r="AA56" s="66">
        <v>4400</v>
      </c>
      <c r="AB56" s="162">
        <v>7193</v>
      </c>
      <c r="AC56" s="170">
        <f t="shared" si="80"/>
        <v>-2793</v>
      </c>
      <c r="AD56" s="66"/>
      <c r="AE56" s="66">
        <v>4400</v>
      </c>
      <c r="AF56" s="162">
        <v>7851</v>
      </c>
      <c r="AG56" s="170">
        <f t="shared" si="81"/>
        <v>-3451</v>
      </c>
      <c r="AH56" s="242"/>
      <c r="AI56" s="66">
        <v>4400</v>
      </c>
      <c r="AJ56" s="162">
        <v>8531</v>
      </c>
      <c r="AK56" s="152">
        <f t="shared" si="82"/>
        <v>-4131</v>
      </c>
      <c r="AM56" s="66">
        <v>4400</v>
      </c>
      <c r="AN56" s="162">
        <v>8783</v>
      </c>
      <c r="AO56" s="152">
        <f t="shared" si="83"/>
        <v>-4383</v>
      </c>
      <c r="AP56" s="66"/>
      <c r="AQ56" s="66">
        <v>4400</v>
      </c>
      <c r="AR56" s="162">
        <v>8682</v>
      </c>
      <c r="AS56" s="152">
        <f t="shared" si="84"/>
        <v>-4282</v>
      </c>
      <c r="AT56" s="226" t="s">
        <v>160</v>
      </c>
      <c r="AU56" s="66">
        <v>4400</v>
      </c>
      <c r="AV56" s="162">
        <v>7408</v>
      </c>
      <c r="AW56" s="152">
        <f t="shared" si="85"/>
        <v>-3008</v>
      </c>
      <c r="AX56" s="66"/>
      <c r="AY56" s="66">
        <v>4400</v>
      </c>
      <c r="AZ56" s="162">
        <v>6131</v>
      </c>
      <c r="BA56" s="152">
        <f t="shared" si="86"/>
        <v>-1731</v>
      </c>
      <c r="BB56" s="66"/>
      <c r="BC56" s="66">
        <v>4400</v>
      </c>
      <c r="BD56" s="233">
        <v>8921</v>
      </c>
      <c r="BE56" s="152">
        <f t="shared" si="87"/>
        <v>-4521</v>
      </c>
      <c r="BF56" s="242"/>
      <c r="BG56" s="66">
        <v>4400</v>
      </c>
      <c r="BH56" s="233">
        <v>9161</v>
      </c>
      <c r="BI56" s="152">
        <f t="shared" si="88"/>
        <v>-4761</v>
      </c>
      <c r="BJ56" s="66"/>
      <c r="BL56" s="68" t="e" cm="1" vm="1">
        <f t="array" aca="1" ref="BL56" ca="1">ROUND(O56:BG56, -2)</f>
        <v>#VALUE!</v>
      </c>
      <c r="CH56" s="44">
        <f t="shared" si="89"/>
        <v>45000</v>
      </c>
      <c r="CI56" s="160">
        <f t="shared" si="90"/>
        <v>94668</v>
      </c>
      <c r="CJ56" s="181">
        <f t="shared" si="91"/>
        <v>-49668</v>
      </c>
    </row>
    <row r="57" spans="1:88" x14ac:dyDescent="0.2">
      <c r="A57" s="21" t="s">
        <v>74</v>
      </c>
      <c r="B57" s="8"/>
      <c r="C57" s="45"/>
      <c r="D57" s="45"/>
      <c r="E57" s="44">
        <f t="shared" si="75"/>
        <v>31600</v>
      </c>
      <c r="F57" s="8"/>
      <c r="G57" s="8">
        <f>E57*1.03</f>
        <v>32548</v>
      </c>
      <c r="H57" s="8"/>
      <c r="I57" s="17">
        <f t="shared" si="92"/>
        <v>42312.4</v>
      </c>
      <c r="J57" s="8"/>
      <c r="K57" s="8">
        <f t="shared" si="77"/>
        <v>46543.640000000007</v>
      </c>
      <c r="M57" s="17">
        <f t="shared" si="78"/>
        <v>51198.004000000008</v>
      </c>
      <c r="N57" s="17"/>
      <c r="O57" s="66">
        <v>3300</v>
      </c>
      <c r="P57" s="154">
        <v>1144</v>
      </c>
      <c r="Q57" s="154">
        <f t="shared" si="93"/>
        <v>2156</v>
      </c>
      <c r="R57" s="66"/>
      <c r="S57" s="66">
        <v>3300</v>
      </c>
      <c r="T57" s="154">
        <v>1843</v>
      </c>
      <c r="U57" s="154">
        <f t="shared" si="94"/>
        <v>1457</v>
      </c>
      <c r="V57" s="66"/>
      <c r="W57" s="66">
        <v>2500</v>
      </c>
      <c r="X57" s="154">
        <v>756</v>
      </c>
      <c r="Y57" s="170">
        <f t="shared" si="79"/>
        <v>1744</v>
      </c>
      <c r="Z57" s="66"/>
      <c r="AA57" s="66">
        <v>2500</v>
      </c>
      <c r="AB57" s="162">
        <v>2284</v>
      </c>
      <c r="AC57" s="170">
        <f t="shared" si="80"/>
        <v>216</v>
      </c>
      <c r="AD57" s="66"/>
      <c r="AE57" s="66">
        <v>2500</v>
      </c>
      <c r="AF57" s="162">
        <v>2309</v>
      </c>
      <c r="AG57" s="170">
        <f t="shared" si="81"/>
        <v>191</v>
      </c>
      <c r="AH57" s="242"/>
      <c r="AI57" s="66">
        <v>2500</v>
      </c>
      <c r="AJ57" s="162">
        <v>3564</v>
      </c>
      <c r="AK57" s="152">
        <f t="shared" si="82"/>
        <v>-1064</v>
      </c>
      <c r="AL57" s="228" t="s">
        <v>230</v>
      </c>
      <c r="AM57" s="66">
        <v>2500</v>
      </c>
      <c r="AN57" s="162">
        <v>2235</v>
      </c>
      <c r="AO57" s="152">
        <f t="shared" si="83"/>
        <v>265</v>
      </c>
      <c r="AP57" s="66"/>
      <c r="AQ57" s="66">
        <v>2500</v>
      </c>
      <c r="AR57" s="162">
        <v>3737</v>
      </c>
      <c r="AS57" s="152">
        <f t="shared" si="84"/>
        <v>-1237</v>
      </c>
      <c r="AT57" s="225" t="s">
        <v>231</v>
      </c>
      <c r="AU57" s="66">
        <v>2500</v>
      </c>
      <c r="AV57" s="162">
        <v>1646</v>
      </c>
      <c r="AW57" s="152">
        <f t="shared" si="85"/>
        <v>854</v>
      </c>
      <c r="AX57" s="66"/>
      <c r="AY57" s="66">
        <v>2500</v>
      </c>
      <c r="AZ57" s="162">
        <v>2373</v>
      </c>
      <c r="BA57" s="152">
        <f t="shared" si="86"/>
        <v>127</v>
      </c>
      <c r="BB57" s="66"/>
      <c r="BC57" s="66">
        <v>2500</v>
      </c>
      <c r="BD57" s="233">
        <v>708</v>
      </c>
      <c r="BE57" s="152">
        <f t="shared" si="87"/>
        <v>1792</v>
      </c>
      <c r="BF57" s="66"/>
      <c r="BG57" s="66">
        <v>2500</v>
      </c>
      <c r="BH57" s="233">
        <v>2022</v>
      </c>
      <c r="BI57" s="152">
        <f t="shared" si="88"/>
        <v>478</v>
      </c>
      <c r="BJ57" s="66"/>
      <c r="BL57" s="68" t="e" cm="1" vm="1">
        <f t="array" aca="1" ref="BL57" ca="1">ROUND(O57:BG57, -2)</f>
        <v>#VALUE!</v>
      </c>
      <c r="CH57" s="44">
        <f t="shared" si="89"/>
        <v>31600</v>
      </c>
      <c r="CI57" s="160">
        <f t="shared" si="90"/>
        <v>24621</v>
      </c>
      <c r="CJ57" s="153">
        <f t="shared" si="91"/>
        <v>6979</v>
      </c>
    </row>
    <row r="58" spans="1:88" x14ac:dyDescent="0.2">
      <c r="A58" t="s">
        <v>75</v>
      </c>
      <c r="C58" s="44"/>
      <c r="D58" s="44"/>
      <c r="E58" s="48">
        <f>SUM(E52:E57)</f>
        <v>268300</v>
      </c>
      <c r="G58" s="15">
        <f>SUM(G52:G57)</f>
        <v>292918</v>
      </c>
      <c r="I58" s="32">
        <f>SUM(I52:I57)</f>
        <v>380793.40000000008</v>
      </c>
      <c r="K58" s="17">
        <f>SUM(K52:K57)</f>
        <v>418872.74000000005</v>
      </c>
      <c r="L58" s="30"/>
      <c r="M58" s="28">
        <f>SUM(M52:M57)</f>
        <v>460760.01400000014</v>
      </c>
      <c r="N58" s="28"/>
      <c r="O58" s="67">
        <f t="shared" ref="O58:BG58" si="95">SUM(O52:O57)</f>
        <v>20100</v>
      </c>
      <c r="P58" s="156">
        <f>SUM(P52:P57)</f>
        <v>16551</v>
      </c>
      <c r="Q58" s="156">
        <f>O58-P58</f>
        <v>3549</v>
      </c>
      <c r="R58" s="67"/>
      <c r="S58" s="67">
        <f t="shared" si="95"/>
        <v>20100</v>
      </c>
      <c r="T58" s="156">
        <f>SUM(T52:T57)</f>
        <v>23451</v>
      </c>
      <c r="U58" s="156">
        <f>S58-T58</f>
        <v>-3351</v>
      </c>
      <c r="V58" s="67"/>
      <c r="W58" s="67">
        <f t="shared" si="95"/>
        <v>20600</v>
      </c>
      <c r="X58" s="156">
        <f>SUM(X52:X57)</f>
        <v>28441</v>
      </c>
      <c r="Y58" s="207">
        <f>W58-X58</f>
        <v>-7841</v>
      </c>
      <c r="Z58" s="67"/>
      <c r="AA58" s="67">
        <f t="shared" si="95"/>
        <v>22600</v>
      </c>
      <c r="AB58" s="164">
        <f t="shared" si="95"/>
        <v>24017</v>
      </c>
      <c r="AC58" s="207">
        <f>AA58-AB58</f>
        <v>-1417</v>
      </c>
      <c r="AD58" s="67"/>
      <c r="AE58" s="67">
        <f t="shared" si="95"/>
        <v>22600</v>
      </c>
      <c r="AF58" s="164">
        <f t="shared" si="95"/>
        <v>24474</v>
      </c>
      <c r="AG58" s="207">
        <f t="shared" si="81"/>
        <v>-1874</v>
      </c>
      <c r="AH58" s="251"/>
      <c r="AI58" s="67">
        <f t="shared" si="95"/>
        <v>22600</v>
      </c>
      <c r="AJ58" s="164">
        <f>SUM(AJ52:AJ57)</f>
        <v>23184.66</v>
      </c>
      <c r="AK58" s="202">
        <f t="shared" si="82"/>
        <v>-584.65999999999985</v>
      </c>
      <c r="AL58" s="67"/>
      <c r="AM58" s="67">
        <f t="shared" si="95"/>
        <v>22700</v>
      </c>
      <c r="AN58" s="164">
        <f>SUM(AN52:AN57)</f>
        <v>24642</v>
      </c>
      <c r="AO58" s="202">
        <f t="shared" si="83"/>
        <v>-1942</v>
      </c>
      <c r="AP58" s="67"/>
      <c r="AQ58" s="67">
        <f t="shared" si="95"/>
        <v>23400</v>
      </c>
      <c r="AR58" s="164">
        <f>SUM(AR52:AR57)</f>
        <v>25869</v>
      </c>
      <c r="AS58" s="202">
        <f t="shared" si="84"/>
        <v>-2469</v>
      </c>
      <c r="AT58" s="67"/>
      <c r="AU58" s="67">
        <f t="shared" si="95"/>
        <v>23400</v>
      </c>
      <c r="AV58" s="164">
        <f>SUM(AV52:AV57)</f>
        <v>24795</v>
      </c>
      <c r="AW58" s="202">
        <f t="shared" si="85"/>
        <v>-1395</v>
      </c>
      <c r="AX58" s="67"/>
      <c r="AY58" s="67">
        <f t="shared" si="95"/>
        <v>23400</v>
      </c>
      <c r="AZ58" s="164">
        <f>SUM(AZ52:AZ57)</f>
        <v>27354</v>
      </c>
      <c r="BA58" s="202">
        <f t="shared" si="86"/>
        <v>-3954</v>
      </c>
      <c r="BB58" s="67"/>
      <c r="BC58" s="67">
        <f t="shared" si="95"/>
        <v>23400</v>
      </c>
      <c r="BD58" s="164">
        <f>SUM(BD52:BD57)</f>
        <v>24994</v>
      </c>
      <c r="BE58" s="202">
        <f t="shared" si="87"/>
        <v>-1594</v>
      </c>
      <c r="BF58" s="67"/>
      <c r="BG58" s="67">
        <f t="shared" si="95"/>
        <v>23400</v>
      </c>
      <c r="BH58" s="164">
        <f>SUM(BH52:BH57)</f>
        <v>25064</v>
      </c>
      <c r="BI58" s="202">
        <f t="shared" si="88"/>
        <v>-1664</v>
      </c>
      <c r="BJ58" s="67"/>
      <c r="BL58" s="68" t="e" cm="1" vm="1">
        <f t="array" aca="1" ref="BL58" ca="1">ROUND(O58:BG58, -2)</f>
        <v>#VALUE!</v>
      </c>
      <c r="CH58" s="67">
        <f t="shared" ref="CH58:CI58" si="96">SUM(CH52:CH57)</f>
        <v>268300</v>
      </c>
      <c r="CI58" s="156">
        <f t="shared" si="96"/>
        <v>292836.66000000003</v>
      </c>
      <c r="CJ58" s="156">
        <f t="shared" si="91"/>
        <v>-24536.660000000033</v>
      </c>
    </row>
    <row r="59" spans="1:88" x14ac:dyDescent="0.2">
      <c r="C59" s="44"/>
      <c r="D59" s="44"/>
      <c r="E59" s="44"/>
      <c r="O59" s="66"/>
      <c r="P59" s="154"/>
      <c r="Q59" s="154"/>
      <c r="R59" s="66"/>
      <c r="S59" s="66"/>
      <c r="T59" s="154"/>
      <c r="U59" s="154"/>
      <c r="V59" s="66"/>
      <c r="W59" s="66"/>
      <c r="X59" s="154"/>
      <c r="Y59" s="170"/>
      <c r="Z59" s="66"/>
      <c r="AA59" s="66"/>
      <c r="AB59" s="234"/>
      <c r="AC59" s="66"/>
      <c r="AD59" s="66"/>
      <c r="AE59" s="66"/>
      <c r="AF59" s="66"/>
      <c r="AG59" s="154"/>
      <c r="AH59" s="242"/>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L59" s="68"/>
      <c r="CH59" s="66"/>
      <c r="CI59" s="154"/>
      <c r="CJ59" s="154"/>
    </row>
    <row r="60" spans="1:88" x14ac:dyDescent="0.2">
      <c r="C60" s="44"/>
      <c r="D60" s="44"/>
      <c r="E60" s="44"/>
      <c r="O60" s="66"/>
      <c r="P60" s="154"/>
      <c r="Q60" s="154"/>
      <c r="R60" s="66"/>
      <c r="S60" s="66"/>
      <c r="T60" s="154"/>
      <c r="U60" s="154"/>
      <c r="V60" s="66"/>
      <c r="W60" s="66"/>
      <c r="X60" s="154"/>
      <c r="Y60" s="154"/>
      <c r="Z60" s="66"/>
      <c r="AA60" s="66"/>
      <c r="AB60" s="234"/>
      <c r="AC60" s="66"/>
      <c r="AD60" s="66"/>
      <c r="AE60" s="66"/>
      <c r="AF60" s="66"/>
      <c r="AG60" s="154"/>
      <c r="AH60" s="242"/>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L60" s="68"/>
      <c r="CH60" s="66"/>
      <c r="CI60" s="154"/>
      <c r="CJ60" s="154"/>
    </row>
    <row r="61" spans="1:88" x14ac:dyDescent="0.2">
      <c r="A61" s="24" t="s">
        <v>76</v>
      </c>
      <c r="C61" s="44"/>
      <c r="D61" s="44"/>
      <c r="E61" s="44"/>
      <c r="O61" s="66"/>
      <c r="P61" s="154"/>
      <c r="Q61" s="154"/>
      <c r="R61" s="66"/>
      <c r="S61" s="66"/>
      <c r="T61" s="154"/>
      <c r="U61" s="154"/>
      <c r="V61" s="66"/>
      <c r="W61" s="66"/>
      <c r="X61" s="154"/>
      <c r="Y61" s="154"/>
      <c r="Z61" s="66"/>
      <c r="AA61" s="66"/>
      <c r="AB61" s="234"/>
      <c r="AC61" s="66"/>
      <c r="AD61" s="66"/>
      <c r="AE61" s="66"/>
      <c r="AF61" s="66"/>
      <c r="AG61" s="154"/>
      <c r="AH61" s="242"/>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L61" s="68"/>
      <c r="CH61" s="66"/>
      <c r="CI61" s="154"/>
      <c r="CJ61" s="154"/>
    </row>
    <row r="62" spans="1:88" x14ac:dyDescent="0.2">
      <c r="A62" t="s">
        <v>77</v>
      </c>
      <c r="C62" s="44"/>
      <c r="D62" s="44"/>
      <c r="E62" s="44">
        <f>O62+S62+W62+AA62+AE62+AI62+AM62+AQ62+AU62+AY62+BC62+BG62</f>
        <v>16800</v>
      </c>
      <c r="G62" s="17">
        <f>E62*1.04</f>
        <v>17472</v>
      </c>
      <c r="I62" s="17">
        <f>G62*1.1</f>
        <v>19219.2</v>
      </c>
      <c r="K62" s="17">
        <f>I62*1.04</f>
        <v>19987.968000000001</v>
      </c>
      <c r="M62" s="17">
        <f>K62*1.04</f>
        <v>20787.486720000001</v>
      </c>
      <c r="N62" s="17"/>
      <c r="O62" s="66">
        <v>1400</v>
      </c>
      <c r="P62" s="192">
        <v>0</v>
      </c>
      <c r="Q62" s="154">
        <f>O62-P62</f>
        <v>1400</v>
      </c>
      <c r="R62" s="66"/>
      <c r="S62" s="66">
        <v>1400</v>
      </c>
      <c r="T62" s="154">
        <v>0</v>
      </c>
      <c r="U62" s="154">
        <f>S62-T62</f>
        <v>1400</v>
      </c>
      <c r="V62" s="66"/>
      <c r="W62" s="66">
        <v>1400</v>
      </c>
      <c r="X62" s="154">
        <v>0</v>
      </c>
      <c r="Y62" s="170">
        <f t="shared" ref="Y62:Y65" si="97">X62-W62</f>
        <v>-1400</v>
      </c>
      <c r="Z62" s="66"/>
      <c r="AA62" s="66">
        <v>1400</v>
      </c>
      <c r="AB62" s="162">
        <v>0</v>
      </c>
      <c r="AC62" s="170">
        <f t="shared" ref="AC62:AC65" si="98">AB62-AA62</f>
        <v>-1400</v>
      </c>
      <c r="AD62" s="66"/>
      <c r="AE62" s="66">
        <v>1400</v>
      </c>
      <c r="AF62" s="162">
        <f>379+948+287.51</f>
        <v>1614.51</v>
      </c>
      <c r="AG62" s="170">
        <f>AF62-AE62</f>
        <v>214.51</v>
      </c>
      <c r="AH62" s="242"/>
      <c r="AI62" s="66">
        <v>1400</v>
      </c>
      <c r="AJ62" s="162">
        <v>761.5</v>
      </c>
      <c r="AK62" s="152">
        <f>AI62-AJ62</f>
        <v>638.5</v>
      </c>
      <c r="AL62" s="66"/>
      <c r="AM62" s="66">
        <v>1400</v>
      </c>
      <c r="AN62" s="66">
        <v>762</v>
      </c>
      <c r="AO62" s="152">
        <f>AM62-AN62</f>
        <v>638</v>
      </c>
      <c r="AP62" s="66"/>
      <c r="AQ62" s="66">
        <v>1400</v>
      </c>
      <c r="AR62" s="66">
        <v>761.5</v>
      </c>
      <c r="AS62" s="152">
        <f>AQ62-AR62</f>
        <v>638.5</v>
      </c>
      <c r="AT62" s="66"/>
      <c r="AU62" s="66">
        <v>1400</v>
      </c>
      <c r="AV62" s="66">
        <v>761</v>
      </c>
      <c r="AW62" s="152">
        <f>AU62-AV62</f>
        <v>639</v>
      </c>
      <c r="AX62" s="66"/>
      <c r="AY62" s="66">
        <v>1400</v>
      </c>
      <c r="AZ62" s="66">
        <v>762</v>
      </c>
      <c r="BA62" s="152">
        <f>AY62-AZ62</f>
        <v>638</v>
      </c>
      <c r="BB62" s="66"/>
      <c r="BC62" s="66">
        <v>1400</v>
      </c>
      <c r="BD62" s="233">
        <v>1182</v>
      </c>
      <c r="BE62" s="152">
        <f>BC62-BD62</f>
        <v>218</v>
      </c>
      <c r="BF62" s="66"/>
      <c r="BG62" s="66">
        <v>1400</v>
      </c>
      <c r="BH62" s="233">
        <v>1182.83</v>
      </c>
      <c r="BI62" s="152">
        <f>BG62-BH62</f>
        <v>217.17000000000007</v>
      </c>
      <c r="BJ62" s="66"/>
      <c r="BL62" s="68" t="e" cm="1" vm="1">
        <f t="array" aca="1" ref="BL62" ca="1">ROUND(O62:BG62, -2)</f>
        <v>#VALUE!</v>
      </c>
      <c r="CH62" s="44">
        <f t="shared" ref="CH62:CH65" si="99">+W62+S62+O62+AA62+AE62+AI62+AM62+AQ62+AU62+AY62+BC62+BG62</f>
        <v>16800</v>
      </c>
      <c r="CI62" s="160">
        <f t="shared" ref="CI62:CI65" si="100">+X62+T62+P62+AB62+AF62+AJ62+AN62+AR62+AV62+AZ62+BD62+BH62</f>
        <v>7787.34</v>
      </c>
      <c r="CJ62" s="181">
        <f t="shared" ref="CJ62:CJ65" si="101">CH62-CI62</f>
        <v>9012.66</v>
      </c>
    </row>
    <row r="63" spans="1:88" x14ac:dyDescent="0.2">
      <c r="A63" t="s">
        <v>79</v>
      </c>
      <c r="C63" s="44"/>
      <c r="D63" s="44"/>
      <c r="E63" s="44">
        <f>O63+S63+W63+AA63+AE63+AI63+AM63+AQ63+AU63+AY63+BC63+BG63</f>
        <v>0</v>
      </c>
      <c r="G63" s="17">
        <f t="shared" ref="G63:M65" si="102">E63*1.04</f>
        <v>0</v>
      </c>
      <c r="I63" s="17">
        <f>G63*1.1</f>
        <v>0</v>
      </c>
      <c r="K63" s="17">
        <f t="shared" si="102"/>
        <v>0</v>
      </c>
      <c r="M63" s="17">
        <f t="shared" si="102"/>
        <v>0</v>
      </c>
      <c r="N63" s="17"/>
      <c r="O63" s="68">
        <v>0</v>
      </c>
      <c r="P63" s="169">
        <v>0</v>
      </c>
      <c r="Q63" s="154">
        <f>O63-P63</f>
        <v>0</v>
      </c>
      <c r="R63" s="68"/>
      <c r="S63" s="68">
        <v>0</v>
      </c>
      <c r="T63" s="169"/>
      <c r="U63" s="154">
        <f>S63-T63</f>
        <v>0</v>
      </c>
      <c r="V63" s="68"/>
      <c r="W63" s="68">
        <v>0</v>
      </c>
      <c r="X63" s="169">
        <v>0</v>
      </c>
      <c r="Y63" s="170">
        <f t="shared" si="97"/>
        <v>0</v>
      </c>
      <c r="Z63" s="68"/>
      <c r="AA63" s="68">
        <v>0</v>
      </c>
      <c r="AB63" s="162">
        <v>3300</v>
      </c>
      <c r="AC63" s="170">
        <f t="shared" si="98"/>
        <v>3300</v>
      </c>
      <c r="AD63" s="226" t="s">
        <v>166</v>
      </c>
      <c r="AE63" s="68">
        <v>0</v>
      </c>
      <c r="AF63" s="162"/>
      <c r="AG63" s="170">
        <f>AF63-AE63</f>
        <v>0</v>
      </c>
      <c r="AH63" s="249"/>
      <c r="AI63" s="68">
        <v>0</v>
      </c>
      <c r="AJ63" s="162"/>
      <c r="AK63" s="152">
        <f>AI63-AJ63</f>
        <v>0</v>
      </c>
      <c r="AL63" s="68"/>
      <c r="AM63" s="68">
        <v>0</v>
      </c>
      <c r="AN63" s="68"/>
      <c r="AO63" s="152">
        <f>AM63-AN63</f>
        <v>0</v>
      </c>
      <c r="AP63" s="68"/>
      <c r="AQ63" s="68">
        <v>0</v>
      </c>
      <c r="AR63" s="68"/>
      <c r="AS63" s="152">
        <f>AQ63-AR63</f>
        <v>0</v>
      </c>
      <c r="AT63" s="68"/>
      <c r="AU63" s="68">
        <v>0</v>
      </c>
      <c r="AV63" s="68"/>
      <c r="AW63" s="152">
        <f>AU63-AV63</f>
        <v>0</v>
      </c>
      <c r="AX63" s="68"/>
      <c r="AY63" s="68">
        <v>0</v>
      </c>
      <c r="AZ63" s="68"/>
      <c r="BA63" s="152">
        <f>AY63-AZ63</f>
        <v>0</v>
      </c>
      <c r="BB63" s="68"/>
      <c r="BC63" s="68">
        <v>0</v>
      </c>
      <c r="BD63" s="233"/>
      <c r="BE63" s="152">
        <f>BC63-BD63</f>
        <v>0</v>
      </c>
      <c r="BF63" s="68"/>
      <c r="BG63" s="68">
        <v>0</v>
      </c>
      <c r="BH63" s="233"/>
      <c r="BI63" s="152">
        <f>BG63-BH63</f>
        <v>0</v>
      </c>
      <c r="BJ63" s="68"/>
      <c r="BL63" s="68" t="e" cm="1" vm="1">
        <f t="array" aca="1" ref="BL63" ca="1">ROUND(O63:BG63, -2)</f>
        <v>#VALUE!</v>
      </c>
      <c r="CH63" s="66">
        <f t="shared" si="99"/>
        <v>0</v>
      </c>
      <c r="CI63" s="160">
        <f t="shared" si="100"/>
        <v>3300</v>
      </c>
      <c r="CJ63" s="181">
        <f t="shared" si="101"/>
        <v>-3300</v>
      </c>
    </row>
    <row r="64" spans="1:88" x14ac:dyDescent="0.2">
      <c r="A64" t="s">
        <v>80</v>
      </c>
      <c r="C64" s="44"/>
      <c r="D64" s="44"/>
      <c r="E64" s="44">
        <f>O64+S64+W64+AA64+AE64+AI64+AM64+AQ64+AU64+AY64+BC64+BG64</f>
        <v>0</v>
      </c>
      <c r="G64" s="17">
        <f t="shared" si="102"/>
        <v>0</v>
      </c>
      <c r="I64" s="17">
        <f t="shared" ref="I64:I65" si="103">G64*1.1</f>
        <v>0</v>
      </c>
      <c r="K64" s="17">
        <f t="shared" si="102"/>
        <v>0</v>
      </c>
      <c r="M64" s="17">
        <f t="shared" si="102"/>
        <v>0</v>
      </c>
      <c r="N64" s="17"/>
      <c r="O64" s="68">
        <v>0</v>
      </c>
      <c r="P64" s="169">
        <v>0</v>
      </c>
      <c r="Q64" s="154">
        <f>O64-P64</f>
        <v>0</v>
      </c>
      <c r="R64" s="68"/>
      <c r="S64" s="68">
        <v>0</v>
      </c>
      <c r="T64" s="169"/>
      <c r="U64" s="154">
        <f>S64-T64</f>
        <v>0</v>
      </c>
      <c r="V64" s="68"/>
      <c r="W64" s="68">
        <v>0</v>
      </c>
      <c r="X64" s="169">
        <v>0</v>
      </c>
      <c r="Y64" s="170">
        <f t="shared" si="97"/>
        <v>0</v>
      </c>
      <c r="Z64" s="68"/>
      <c r="AA64" s="68">
        <v>0</v>
      </c>
      <c r="AB64" s="162">
        <v>17.59</v>
      </c>
      <c r="AC64" s="170">
        <f t="shared" si="98"/>
        <v>17.59</v>
      </c>
      <c r="AD64" s="68"/>
      <c r="AE64" s="68">
        <v>0</v>
      </c>
      <c r="AF64" s="162">
        <v>102.8</v>
      </c>
      <c r="AG64" s="170">
        <f>AF64-AE64</f>
        <v>102.8</v>
      </c>
      <c r="AH64" s="249"/>
      <c r="AI64" s="68">
        <v>0</v>
      </c>
      <c r="AJ64" s="162"/>
      <c r="AK64" s="152">
        <f>AI64-AJ64</f>
        <v>0</v>
      </c>
      <c r="AL64" s="68"/>
      <c r="AM64" s="68">
        <v>0</v>
      </c>
      <c r="AN64" s="68"/>
      <c r="AO64" s="152">
        <f>AM64-AN64</f>
        <v>0</v>
      </c>
      <c r="AP64" s="68"/>
      <c r="AQ64" s="68">
        <v>0</v>
      </c>
      <c r="AR64" s="68"/>
      <c r="AS64" s="152">
        <f>AQ64-AR64</f>
        <v>0</v>
      </c>
      <c r="AT64" s="68"/>
      <c r="AU64" s="68">
        <v>0</v>
      </c>
      <c r="AV64" s="68"/>
      <c r="AW64" s="152">
        <f>AU64-AV64</f>
        <v>0</v>
      </c>
      <c r="AX64" s="68"/>
      <c r="AY64" s="68">
        <v>0</v>
      </c>
      <c r="AZ64" s="68"/>
      <c r="BA64" s="152">
        <f>AY64-AZ64</f>
        <v>0</v>
      </c>
      <c r="BB64" s="68"/>
      <c r="BC64" s="68">
        <v>0</v>
      </c>
      <c r="BD64" s="233">
        <f>500+307.62</f>
        <v>807.62</v>
      </c>
      <c r="BE64" s="152">
        <f>BC64-BD64</f>
        <v>-807.62</v>
      </c>
      <c r="BF64" s="68"/>
      <c r="BG64" s="68">
        <v>0</v>
      </c>
      <c r="BH64" s="233">
        <v>142.5</v>
      </c>
      <c r="BI64" s="152">
        <f>BG64-BH64</f>
        <v>-142.5</v>
      </c>
      <c r="BJ64" s="68"/>
      <c r="BL64" s="68" t="e" cm="1" vm="1">
        <f t="array" aca="1" ref="BL64" ca="1">ROUND(O64:BG64, -2)</f>
        <v>#VALUE!</v>
      </c>
      <c r="CH64" s="66">
        <f t="shared" si="99"/>
        <v>0</v>
      </c>
      <c r="CI64" s="160">
        <f t="shared" si="100"/>
        <v>1070.51</v>
      </c>
      <c r="CJ64" s="181">
        <f t="shared" si="101"/>
        <v>-1070.51</v>
      </c>
    </row>
    <row r="65" spans="1:88" x14ac:dyDescent="0.2">
      <c r="A65" s="21" t="s">
        <v>81</v>
      </c>
      <c r="B65" s="7"/>
      <c r="C65" s="45"/>
      <c r="D65" s="45"/>
      <c r="E65" s="44">
        <f>O65+S65+W65+AA65+AE65+AI65+AM65+AQ65+AU65+AY65+BC65+BG65</f>
        <v>0</v>
      </c>
      <c r="F65" s="7"/>
      <c r="G65" s="8">
        <f t="shared" si="102"/>
        <v>0</v>
      </c>
      <c r="H65" s="7"/>
      <c r="I65" s="8">
        <f t="shared" si="103"/>
        <v>0</v>
      </c>
      <c r="J65" s="7"/>
      <c r="K65" s="8">
        <f t="shared" si="102"/>
        <v>0</v>
      </c>
      <c r="M65" s="17">
        <f t="shared" si="102"/>
        <v>0</v>
      </c>
      <c r="N65" s="17"/>
      <c r="O65" s="68">
        <v>0</v>
      </c>
      <c r="P65" s="169">
        <v>0</v>
      </c>
      <c r="Q65" s="177">
        <f>O65-P65</f>
        <v>0</v>
      </c>
      <c r="R65" s="68"/>
      <c r="S65" s="68">
        <v>0</v>
      </c>
      <c r="T65" s="169"/>
      <c r="U65" s="177">
        <f>S65-T65</f>
        <v>0</v>
      </c>
      <c r="V65" s="68"/>
      <c r="W65" s="68">
        <v>0</v>
      </c>
      <c r="X65" s="169">
        <v>0</v>
      </c>
      <c r="Y65" s="221">
        <f t="shared" si="97"/>
        <v>0</v>
      </c>
      <c r="Z65" s="68"/>
      <c r="AA65" s="68">
        <v>0</v>
      </c>
      <c r="AB65" s="162">
        <v>0</v>
      </c>
      <c r="AC65" s="170">
        <f t="shared" si="98"/>
        <v>0</v>
      </c>
      <c r="AD65" s="68"/>
      <c r="AE65" s="68">
        <v>0</v>
      </c>
      <c r="AF65" s="162"/>
      <c r="AG65" s="170">
        <f>AF65-AE65</f>
        <v>0</v>
      </c>
      <c r="AH65" s="249"/>
      <c r="AI65" s="68">
        <v>0</v>
      </c>
      <c r="AJ65" s="162"/>
      <c r="AK65" s="152">
        <f>AI65-AJ65</f>
        <v>0</v>
      </c>
      <c r="AL65" s="68"/>
      <c r="AM65" s="68">
        <v>0</v>
      </c>
      <c r="AN65" s="68"/>
      <c r="AO65" s="152">
        <f>AM65-AN65</f>
        <v>0</v>
      </c>
      <c r="AP65" s="68"/>
      <c r="AQ65" s="68">
        <v>0</v>
      </c>
      <c r="AR65" s="68"/>
      <c r="AS65" s="152">
        <f>AQ65-AR65</f>
        <v>0</v>
      </c>
      <c r="AT65" s="68"/>
      <c r="AU65" s="68">
        <v>0</v>
      </c>
      <c r="AV65" s="68"/>
      <c r="AW65" s="152">
        <f>AU65-AV65</f>
        <v>0</v>
      </c>
      <c r="AX65" s="68"/>
      <c r="AY65" s="68">
        <v>0</v>
      </c>
      <c r="AZ65" s="68"/>
      <c r="BA65" s="152">
        <f>AY65-AZ65</f>
        <v>0</v>
      </c>
      <c r="BB65" s="68"/>
      <c r="BC65" s="68">
        <v>0</v>
      </c>
      <c r="BD65" s="233"/>
      <c r="BE65" s="152">
        <f>BC65-BD65</f>
        <v>0</v>
      </c>
      <c r="BF65" s="68"/>
      <c r="BG65" s="68">
        <v>0</v>
      </c>
      <c r="BH65" s="68"/>
      <c r="BI65" s="152">
        <f>BG65-BH65</f>
        <v>0</v>
      </c>
      <c r="BJ65" s="68"/>
      <c r="BL65" s="68" t="e" cm="1" vm="1">
        <f t="array" aca="1" ref="BL65" ca="1">ROUND(O65:BG65, -2)</f>
        <v>#VALUE!</v>
      </c>
      <c r="CH65" s="66">
        <f t="shared" si="99"/>
        <v>0</v>
      </c>
      <c r="CI65" s="160">
        <f t="shared" si="100"/>
        <v>0</v>
      </c>
      <c r="CJ65" s="154">
        <f t="shared" si="101"/>
        <v>0</v>
      </c>
    </row>
    <row r="66" spans="1:88" x14ac:dyDescent="0.2">
      <c r="A66" t="s">
        <v>82</v>
      </c>
      <c r="C66" s="44"/>
      <c r="D66" s="44"/>
      <c r="E66" s="48">
        <f>SUM(E62:E65)</f>
        <v>16800</v>
      </c>
      <c r="G66" s="17">
        <f>SUM(G62:G65)</f>
        <v>17472</v>
      </c>
      <c r="I66" s="17">
        <f>SUM(I62:I65)</f>
        <v>19219.2</v>
      </c>
      <c r="K66" s="17">
        <f>SUM(K62:K65)</f>
        <v>19987.968000000001</v>
      </c>
      <c r="L66" s="30"/>
      <c r="M66" s="28">
        <f>SUM(M62:M65)</f>
        <v>20787.486720000001</v>
      </c>
      <c r="N66" s="28"/>
      <c r="O66" s="67">
        <f t="shared" ref="O66:BG66" si="104">SUM(O62:O65)</f>
        <v>1400</v>
      </c>
      <c r="P66" s="156">
        <f>SUM(P62:P65)</f>
        <v>0</v>
      </c>
      <c r="Q66" s="154">
        <f>O66-P66</f>
        <v>1400</v>
      </c>
      <c r="R66" s="67"/>
      <c r="S66" s="67">
        <f t="shared" si="104"/>
        <v>1400</v>
      </c>
      <c r="T66" s="156">
        <f t="shared" si="104"/>
        <v>0</v>
      </c>
      <c r="U66" s="154">
        <f>S66-T66</f>
        <v>1400</v>
      </c>
      <c r="V66" s="67"/>
      <c r="W66" s="67">
        <f t="shared" si="104"/>
        <v>1400</v>
      </c>
      <c r="X66" s="156">
        <f t="shared" si="104"/>
        <v>0</v>
      </c>
      <c r="Y66" s="170">
        <f>W66-X66</f>
        <v>1400</v>
      </c>
      <c r="Z66" s="67"/>
      <c r="AA66" s="67">
        <f t="shared" si="104"/>
        <v>1400</v>
      </c>
      <c r="AB66" s="164">
        <f t="shared" si="104"/>
        <v>3317.59</v>
      </c>
      <c r="AC66" s="207">
        <f>AA66-AB66</f>
        <v>-1917.5900000000001</v>
      </c>
      <c r="AD66" s="67"/>
      <c r="AE66" s="67">
        <f t="shared" si="104"/>
        <v>1400</v>
      </c>
      <c r="AF66" s="164">
        <f t="shared" si="104"/>
        <v>1717.31</v>
      </c>
      <c r="AG66" s="156">
        <f>AE66-AF66</f>
        <v>-317.30999999999995</v>
      </c>
      <c r="AH66" s="251"/>
      <c r="AI66" s="67">
        <f t="shared" si="104"/>
        <v>1400</v>
      </c>
      <c r="AJ66" s="164">
        <f>SUM(AJ62:AJ65)</f>
        <v>761.5</v>
      </c>
      <c r="AK66" s="156">
        <f>AI66-AJ66</f>
        <v>638.5</v>
      </c>
      <c r="AL66" s="67"/>
      <c r="AM66" s="67">
        <f t="shared" si="104"/>
        <v>1400</v>
      </c>
      <c r="AN66" s="164">
        <f>SUM(AN62:AN65)</f>
        <v>762</v>
      </c>
      <c r="AO66" s="156">
        <f>AM66-AN66</f>
        <v>638</v>
      </c>
      <c r="AP66" s="67"/>
      <c r="AQ66" s="67">
        <f t="shared" si="104"/>
        <v>1400</v>
      </c>
      <c r="AR66" s="164">
        <f>SUM(AR62:AR65)</f>
        <v>761.5</v>
      </c>
      <c r="AS66" s="156">
        <f>AQ66-AR66</f>
        <v>638.5</v>
      </c>
      <c r="AT66" s="67"/>
      <c r="AU66" s="67">
        <f t="shared" si="104"/>
        <v>1400</v>
      </c>
      <c r="AV66" s="164">
        <f>SUM(AV62:AV65)</f>
        <v>761</v>
      </c>
      <c r="AW66" s="156">
        <f>AU66-AV66</f>
        <v>639</v>
      </c>
      <c r="AX66" s="67"/>
      <c r="AY66" s="67">
        <f t="shared" si="104"/>
        <v>1400</v>
      </c>
      <c r="AZ66" s="164">
        <f>SUM(AZ62:AZ65)</f>
        <v>762</v>
      </c>
      <c r="BA66" s="156">
        <f>AY66-AZ66</f>
        <v>638</v>
      </c>
      <c r="BB66" s="67"/>
      <c r="BC66" s="67">
        <f t="shared" si="104"/>
        <v>1400</v>
      </c>
      <c r="BD66" s="164">
        <f>SUM(BD62:BD65)</f>
        <v>1989.62</v>
      </c>
      <c r="BE66" s="156">
        <f>BC66-BD66</f>
        <v>-589.61999999999989</v>
      </c>
      <c r="BF66" s="67"/>
      <c r="BG66" s="67">
        <f t="shared" si="104"/>
        <v>1400</v>
      </c>
      <c r="BH66" s="164">
        <f>SUM(BH62:BH65)</f>
        <v>1325.33</v>
      </c>
      <c r="BI66" s="156">
        <f>BG66-BH66</f>
        <v>74.670000000000073</v>
      </c>
      <c r="BJ66" s="67"/>
      <c r="BL66" s="68" t="e" cm="1" vm="1">
        <f t="array" aca="1" ref="BL66" ca="1">ROUND(O66:BG66, -2)</f>
        <v>#VALUE!</v>
      </c>
      <c r="CH66" s="67">
        <f t="shared" ref="CH66" si="105">SUM(CH62:CH65)</f>
        <v>16800</v>
      </c>
      <c r="CI66" s="230">
        <f>SUM(CI62:CI65)</f>
        <v>12157.85</v>
      </c>
      <c r="CJ66" s="156">
        <f>CH66-CI66</f>
        <v>4642.1499999999996</v>
      </c>
    </row>
    <row r="67" spans="1:88" x14ac:dyDescent="0.2">
      <c r="C67" s="44"/>
      <c r="D67" s="44"/>
      <c r="E67" s="44"/>
      <c r="O67" s="68"/>
      <c r="P67" s="169"/>
      <c r="Q67" s="169"/>
      <c r="R67" s="68"/>
      <c r="S67" s="68"/>
      <c r="T67" s="169"/>
      <c r="U67" s="169"/>
      <c r="V67" s="68"/>
      <c r="W67" s="68"/>
      <c r="X67" s="169"/>
      <c r="Y67" s="170"/>
      <c r="Z67" s="68"/>
      <c r="AA67" s="68"/>
      <c r="AB67" s="235"/>
      <c r="AC67" s="68"/>
      <c r="AD67" s="68"/>
      <c r="AE67" s="68"/>
      <c r="AF67" s="68"/>
      <c r="AG67" s="169"/>
      <c r="AH67" s="249"/>
      <c r="AI67" s="68"/>
      <c r="AJ67" s="68"/>
      <c r="AK67" s="68"/>
      <c r="AL67" s="68"/>
      <c r="AM67" s="68"/>
      <c r="AN67" s="68"/>
      <c r="AO67" s="68"/>
      <c r="AP67" s="68"/>
      <c r="AQ67" s="68"/>
      <c r="AR67" s="68"/>
      <c r="AS67" s="68"/>
      <c r="AT67" s="68"/>
      <c r="AU67" s="68"/>
      <c r="AV67" s="68"/>
      <c r="AW67" s="68"/>
      <c r="AX67" s="68"/>
      <c r="AY67" s="68"/>
      <c r="AZ67" s="68"/>
      <c r="BA67" s="68"/>
      <c r="BB67" s="68"/>
      <c r="BC67" s="68"/>
      <c r="BD67" s="68"/>
      <c r="BE67" s="68"/>
      <c r="BF67" s="68"/>
      <c r="BG67" s="68"/>
      <c r="BH67" s="68"/>
      <c r="BI67" s="68"/>
      <c r="BJ67" s="68"/>
      <c r="BL67" s="68"/>
      <c r="CH67" s="66"/>
      <c r="CI67" s="154"/>
      <c r="CJ67" s="154"/>
    </row>
    <row r="68" spans="1:88" x14ac:dyDescent="0.2">
      <c r="A68" s="24" t="s">
        <v>83</v>
      </c>
      <c r="C68" s="44"/>
      <c r="D68" s="44"/>
      <c r="E68" s="44"/>
      <c r="O68" s="68"/>
      <c r="P68" s="169"/>
      <c r="Q68" s="169"/>
      <c r="R68" s="68"/>
      <c r="S68" s="68"/>
      <c r="T68" s="169"/>
      <c r="U68" s="169"/>
      <c r="V68" s="68"/>
      <c r="W68" s="68"/>
      <c r="X68" s="169"/>
      <c r="Y68" s="169"/>
      <c r="Z68" s="68"/>
      <c r="AA68" s="68"/>
      <c r="AB68" s="235"/>
      <c r="AC68" s="68"/>
      <c r="AD68" s="68"/>
      <c r="AE68" s="68"/>
      <c r="AF68" s="68"/>
      <c r="AG68" s="169"/>
      <c r="AH68" s="249"/>
      <c r="AI68" s="68"/>
      <c r="AJ68" s="68"/>
      <c r="AK68" s="68"/>
      <c r="AL68" s="68"/>
      <c r="AM68" s="68"/>
      <c r="AN68" s="68"/>
      <c r="AO68" s="68"/>
      <c r="AP68" s="68"/>
      <c r="AQ68" s="68"/>
      <c r="AR68" s="68"/>
      <c r="AS68" s="68"/>
      <c r="AT68" s="68"/>
      <c r="AU68" s="68"/>
      <c r="AV68" s="68"/>
      <c r="AW68" s="68"/>
      <c r="AX68" s="68"/>
      <c r="AY68" s="68"/>
      <c r="AZ68" s="68"/>
      <c r="BA68" s="68"/>
      <c r="BB68" s="68"/>
      <c r="BC68" s="68"/>
      <c r="BD68" s="233"/>
      <c r="BE68" s="68"/>
      <c r="BF68" s="68"/>
      <c r="BG68" s="68"/>
      <c r="BH68" s="68"/>
      <c r="BI68" s="68"/>
      <c r="BJ68" s="68"/>
      <c r="BL68" s="68"/>
      <c r="CH68" s="66"/>
      <c r="CI68" s="154"/>
      <c r="CJ68" s="154"/>
    </row>
    <row r="69" spans="1:88" x14ac:dyDescent="0.2">
      <c r="A69" t="s">
        <v>84</v>
      </c>
      <c r="C69" s="44"/>
      <c r="D69" s="44"/>
      <c r="E69" s="44">
        <f>O69+S69+W69+AA69+AE69+AI69+AM69+AQ69+AU69+AY69+BC69+BG69</f>
        <v>0</v>
      </c>
      <c r="G69" s="17">
        <f>E69*1.3</f>
        <v>0</v>
      </c>
      <c r="I69" s="17">
        <f>G69*1.3</f>
        <v>0</v>
      </c>
      <c r="K69" s="17">
        <f>I69*1.3</f>
        <v>0</v>
      </c>
      <c r="M69" s="17">
        <f>K69*1.3</f>
        <v>0</v>
      </c>
      <c r="N69" s="17"/>
      <c r="O69" s="68"/>
      <c r="P69" s="169"/>
      <c r="Q69" s="169"/>
      <c r="R69" s="68"/>
      <c r="S69" s="68"/>
      <c r="T69" s="169"/>
      <c r="U69" s="169"/>
      <c r="V69" s="68"/>
      <c r="W69" s="68"/>
      <c r="X69" s="169"/>
      <c r="Y69" s="169"/>
      <c r="Z69" s="68"/>
      <c r="AA69" s="68"/>
      <c r="AB69" s="235"/>
      <c r="AC69" s="68"/>
      <c r="AD69" s="68"/>
      <c r="AE69" s="68"/>
      <c r="AF69" s="68"/>
      <c r="AG69" s="169"/>
      <c r="AH69" s="249"/>
      <c r="AI69" s="68"/>
      <c r="AJ69" s="68"/>
      <c r="AK69" s="68"/>
      <c r="AL69" s="68"/>
      <c r="AM69" s="68"/>
      <c r="AN69" s="68"/>
      <c r="AO69" s="68"/>
      <c r="AP69" s="68"/>
      <c r="AQ69" s="68"/>
      <c r="AR69" s="68"/>
      <c r="AS69" s="68"/>
      <c r="AT69" s="68"/>
      <c r="AU69" s="68"/>
      <c r="AV69" s="68"/>
      <c r="AW69" s="68"/>
      <c r="AX69" s="68"/>
      <c r="AY69" s="68"/>
      <c r="AZ69" s="68">
        <v>0</v>
      </c>
      <c r="BA69" s="68"/>
      <c r="BB69" s="68"/>
      <c r="BC69" s="68"/>
      <c r="BD69" s="233"/>
      <c r="BE69" s="68"/>
      <c r="BF69" s="68"/>
      <c r="BG69" s="68"/>
      <c r="BH69" s="68"/>
      <c r="BI69" s="68"/>
      <c r="BJ69" s="68"/>
      <c r="BL69" s="68"/>
      <c r="CH69" s="66">
        <f t="shared" ref="CH69:CH71" si="106">+W69+S69+O69+AA69+AE69+AI69+AM69+AQ69+AU69+AY69+BC69+BG69</f>
        <v>0</v>
      </c>
      <c r="CI69" s="160">
        <f t="shared" ref="CI69:CI71" si="107">+X69+T69+P69+AB69+AF69+AJ69+AN69+AR69+AV69+AZ69+BD69+BH69</f>
        <v>0</v>
      </c>
      <c r="CJ69" s="152">
        <f t="shared" ref="CJ69:CJ71" si="108">CH69-CI69</f>
        <v>0</v>
      </c>
    </row>
    <row r="70" spans="1:88" x14ac:dyDescent="0.2">
      <c r="A70" t="s">
        <v>85</v>
      </c>
      <c r="C70" s="44"/>
      <c r="D70" s="44"/>
      <c r="E70" s="44">
        <f>O70+S70+W70+AA70+AE70+AI70+AM70+AQ70+AU70+AY70+BC70+BG70</f>
        <v>10800</v>
      </c>
      <c r="G70" s="17">
        <f>E70*1.1</f>
        <v>11880.000000000002</v>
      </c>
      <c r="I70" s="17">
        <f>G70*1.1</f>
        <v>13068.000000000004</v>
      </c>
      <c r="K70" s="17">
        <f>I70*1.1</f>
        <v>14374.800000000005</v>
      </c>
      <c r="M70" s="17">
        <f>K70*1.1</f>
        <v>15812.280000000006</v>
      </c>
      <c r="N70" s="17"/>
      <c r="O70" s="66">
        <v>400</v>
      </c>
      <c r="P70" s="154">
        <v>154</v>
      </c>
      <c r="Q70" s="154">
        <f>O70-P70</f>
        <v>246</v>
      </c>
      <c r="R70" s="66"/>
      <c r="S70" s="66">
        <v>400</v>
      </c>
      <c r="T70" s="154">
        <v>1943</v>
      </c>
      <c r="U70" s="154">
        <f>S70-T70</f>
        <v>-1543</v>
      </c>
      <c r="V70" s="66"/>
      <c r="W70" s="66">
        <v>1000</v>
      </c>
      <c r="X70" s="154">
        <v>-100</v>
      </c>
      <c r="Y70" s="170">
        <f>W70-X70</f>
        <v>1100</v>
      </c>
      <c r="Z70" s="66"/>
      <c r="AA70" s="66">
        <v>1000</v>
      </c>
      <c r="AB70" s="162">
        <v>1249</v>
      </c>
      <c r="AC70" s="170">
        <f t="shared" ref="AC70:AC71" si="109">AA70-AB70</f>
        <v>-249</v>
      </c>
      <c r="AD70" s="66"/>
      <c r="AE70" s="66">
        <v>1000</v>
      </c>
      <c r="AF70" s="162">
        <v>672</v>
      </c>
      <c r="AG70" s="170">
        <f>AE70-AF70</f>
        <v>328</v>
      </c>
      <c r="AH70" s="242"/>
      <c r="AI70" s="66">
        <v>1000</v>
      </c>
      <c r="AJ70" s="162">
        <v>1411</v>
      </c>
      <c r="AK70" s="152">
        <f>AI70-AJ70</f>
        <v>-411</v>
      </c>
      <c r="AL70" s="228" t="s">
        <v>232</v>
      </c>
      <c r="AM70" s="66">
        <v>1000</v>
      </c>
      <c r="AN70" s="66">
        <v>0</v>
      </c>
      <c r="AO70" s="152">
        <f>AM70-AN70</f>
        <v>1000</v>
      </c>
      <c r="AP70" s="66"/>
      <c r="AQ70" s="66">
        <v>1000</v>
      </c>
      <c r="AR70" s="66">
        <v>130</v>
      </c>
      <c r="AS70" s="152">
        <f>AQ70-AR70</f>
        <v>870</v>
      </c>
      <c r="AT70" s="66"/>
      <c r="AU70" s="66">
        <v>1000</v>
      </c>
      <c r="AV70" s="66">
        <v>0</v>
      </c>
      <c r="AW70" s="152">
        <f>AU70-AV70</f>
        <v>1000</v>
      </c>
      <c r="AX70" s="66"/>
      <c r="AY70" s="66">
        <v>1000</v>
      </c>
      <c r="AZ70" s="66">
        <v>1451</v>
      </c>
      <c r="BA70" s="152">
        <f>AY70-AZ70</f>
        <v>-451</v>
      </c>
      <c r="BB70" s="66"/>
      <c r="BC70" s="66">
        <v>1000</v>
      </c>
      <c r="BD70" s="233">
        <v>40</v>
      </c>
      <c r="BE70" s="152">
        <f>BC70-BD70</f>
        <v>960</v>
      </c>
      <c r="BF70" s="66"/>
      <c r="BG70" s="66">
        <v>1000</v>
      </c>
      <c r="BH70" s="233">
        <v>1754</v>
      </c>
      <c r="BI70" s="152">
        <f>BG70-BH70</f>
        <v>-754</v>
      </c>
      <c r="BJ70" s="66"/>
      <c r="BL70" s="68" t="e" cm="1" vm="1">
        <f t="array" aca="1" ref="BL70" ca="1">ROUND(O70:BG70, -2)</f>
        <v>#VALUE!</v>
      </c>
      <c r="CH70" s="66">
        <f t="shared" si="106"/>
        <v>10800</v>
      </c>
      <c r="CI70" s="160">
        <f t="shared" si="107"/>
        <v>8704</v>
      </c>
      <c r="CJ70" s="152">
        <f t="shared" si="108"/>
        <v>2096</v>
      </c>
    </row>
    <row r="71" spans="1:88" x14ac:dyDescent="0.2">
      <c r="A71" t="s">
        <v>87</v>
      </c>
      <c r="C71" s="44"/>
      <c r="D71" s="44"/>
      <c r="E71" s="44">
        <f>O71+S71+W71+AA71+AE71+AI71+AM71+AQ71+AU71+AY71+BC71+BG71</f>
        <v>3400</v>
      </c>
      <c r="G71" s="17">
        <f>E71*1.1</f>
        <v>3740.0000000000005</v>
      </c>
      <c r="I71" s="17">
        <f>G71*1.1</f>
        <v>4114.0000000000009</v>
      </c>
      <c r="K71" s="17">
        <f>I71*1.1</f>
        <v>4525.4000000000015</v>
      </c>
      <c r="M71" s="17">
        <f>K71*1.1</f>
        <v>4977.9400000000023</v>
      </c>
      <c r="N71" s="17"/>
      <c r="O71" s="66">
        <v>200</v>
      </c>
      <c r="P71" s="154">
        <v>63</v>
      </c>
      <c r="Q71" s="177">
        <f>O71-P71</f>
        <v>137</v>
      </c>
      <c r="R71" s="66"/>
      <c r="S71" s="66">
        <v>300</v>
      </c>
      <c r="T71" s="154">
        <v>489</v>
      </c>
      <c r="U71" s="177">
        <f>S71-T71</f>
        <v>-189</v>
      </c>
      <c r="V71" s="66"/>
      <c r="W71" s="66">
        <v>300</v>
      </c>
      <c r="X71" s="154">
        <v>63</v>
      </c>
      <c r="Y71" s="221">
        <f t="shared" ref="Y71" si="110">X71-W71</f>
        <v>-237</v>
      </c>
      <c r="Z71" s="66"/>
      <c r="AA71" s="66">
        <v>300</v>
      </c>
      <c r="AB71" s="162">
        <v>264</v>
      </c>
      <c r="AC71" s="170">
        <f t="shared" si="109"/>
        <v>36</v>
      </c>
      <c r="AD71" s="66"/>
      <c r="AE71" s="66">
        <v>300</v>
      </c>
      <c r="AF71" s="162">
        <v>213</v>
      </c>
      <c r="AG71" s="170">
        <f>AE71-AF71</f>
        <v>87</v>
      </c>
      <c r="AH71" s="242"/>
      <c r="AI71" s="66">
        <v>300</v>
      </c>
      <c r="AJ71" s="162"/>
      <c r="AK71" s="152">
        <f>AI71-AJ71</f>
        <v>300</v>
      </c>
      <c r="AL71" s="66"/>
      <c r="AM71" s="66">
        <v>300</v>
      </c>
      <c r="AN71" s="66">
        <v>0</v>
      </c>
      <c r="AO71" s="152">
        <f>AM71-AN71</f>
        <v>300</v>
      </c>
      <c r="AP71" s="66"/>
      <c r="AQ71" s="66">
        <v>300</v>
      </c>
      <c r="AR71" s="66">
        <v>368</v>
      </c>
      <c r="AS71" s="152">
        <f>AQ71-AR71</f>
        <v>-68</v>
      </c>
      <c r="AT71" s="66"/>
      <c r="AU71" s="66">
        <v>300</v>
      </c>
      <c r="AV71" s="66">
        <v>13</v>
      </c>
      <c r="AW71" s="152">
        <f>AU71-AV71</f>
        <v>287</v>
      </c>
      <c r="AX71" s="66"/>
      <c r="AY71" s="66">
        <v>300</v>
      </c>
      <c r="AZ71" s="66"/>
      <c r="BA71" s="152">
        <f>AY71-AZ71</f>
        <v>300</v>
      </c>
      <c r="BB71" s="66"/>
      <c r="BC71" s="66">
        <v>200</v>
      </c>
      <c r="BD71" s="233"/>
      <c r="BE71" s="152">
        <f>BC71-BD71</f>
        <v>200</v>
      </c>
      <c r="BF71" s="66"/>
      <c r="BG71" s="66">
        <v>300</v>
      </c>
      <c r="BH71" s="233">
        <v>23</v>
      </c>
      <c r="BI71" s="152">
        <f>BG71-BH71</f>
        <v>277</v>
      </c>
      <c r="BJ71" s="66"/>
      <c r="BL71" s="68" t="e" cm="1" vm="1">
        <f t="array" aca="1" ref="BL71" ca="1">ROUND(O71:BG71, -2)</f>
        <v>#VALUE!</v>
      </c>
      <c r="CH71" s="66">
        <f t="shared" si="106"/>
        <v>3400</v>
      </c>
      <c r="CI71" s="160">
        <f t="shared" si="107"/>
        <v>1496</v>
      </c>
      <c r="CJ71" s="152">
        <f t="shared" si="108"/>
        <v>1904</v>
      </c>
    </row>
    <row r="72" spans="1:88" x14ac:dyDescent="0.2">
      <c r="A72" s="18" t="s">
        <v>88</v>
      </c>
      <c r="B72" s="29"/>
      <c r="C72" s="48"/>
      <c r="D72" s="48"/>
      <c r="E72" s="48">
        <f>SUM(E69:E71)</f>
        <v>14200</v>
      </c>
      <c r="F72" s="29"/>
      <c r="G72" s="28">
        <f>SUM(G69:G71)</f>
        <v>15620.000000000002</v>
      </c>
      <c r="H72" s="29"/>
      <c r="I72" s="28">
        <f>SUM(I69:I71)</f>
        <v>17182.000000000004</v>
      </c>
      <c r="J72" s="29"/>
      <c r="K72" s="28">
        <f>SUM(K69:K71)</f>
        <v>18900.200000000004</v>
      </c>
      <c r="L72" s="30"/>
      <c r="M72" s="28">
        <f>SUM(M69:M71)</f>
        <v>20790.220000000008</v>
      </c>
      <c r="N72" s="28"/>
      <c r="O72" s="67">
        <f t="shared" ref="O72:BG72" si="111">SUM(O69:O71)</f>
        <v>600</v>
      </c>
      <c r="P72" s="156">
        <f>SUM(P70:P71)</f>
        <v>217</v>
      </c>
      <c r="Q72" s="154">
        <f>O72-P72</f>
        <v>383</v>
      </c>
      <c r="R72" s="67"/>
      <c r="S72" s="67">
        <f t="shared" si="111"/>
        <v>700</v>
      </c>
      <c r="T72" s="156">
        <f t="shared" si="111"/>
        <v>2432</v>
      </c>
      <c r="U72" s="154">
        <f>S72-T72</f>
        <v>-1732</v>
      </c>
      <c r="V72" s="67"/>
      <c r="W72" s="67">
        <f t="shared" si="111"/>
        <v>1300</v>
      </c>
      <c r="X72" s="156">
        <f t="shared" si="111"/>
        <v>-37</v>
      </c>
      <c r="Y72" s="170">
        <f>W72-X72</f>
        <v>1337</v>
      </c>
      <c r="Z72" s="67"/>
      <c r="AA72" s="67">
        <f t="shared" si="111"/>
        <v>1300</v>
      </c>
      <c r="AB72" s="164">
        <f t="shared" si="111"/>
        <v>1513</v>
      </c>
      <c r="AC72" s="207">
        <f>AA72-AB72</f>
        <v>-213</v>
      </c>
      <c r="AD72" s="67"/>
      <c r="AE72" s="67">
        <f t="shared" si="111"/>
        <v>1300</v>
      </c>
      <c r="AF72" s="164">
        <f t="shared" si="111"/>
        <v>885</v>
      </c>
      <c r="AG72" s="207">
        <f>AE72-AF72</f>
        <v>415</v>
      </c>
      <c r="AH72" s="251"/>
      <c r="AI72" s="67">
        <f t="shared" si="111"/>
        <v>1300</v>
      </c>
      <c r="AJ72" s="164">
        <f>SUM(AJ69:AJ71)</f>
        <v>1411</v>
      </c>
      <c r="AK72" s="67">
        <f>AI72-AJ72</f>
        <v>-111</v>
      </c>
      <c r="AL72" s="67"/>
      <c r="AM72" s="67">
        <f t="shared" si="111"/>
        <v>1300</v>
      </c>
      <c r="AN72" s="164">
        <f>SUM(AN69:AN71)</f>
        <v>0</v>
      </c>
      <c r="AO72" s="67">
        <f>AM72-AN72</f>
        <v>1300</v>
      </c>
      <c r="AP72" s="67"/>
      <c r="AQ72" s="67">
        <f t="shared" si="111"/>
        <v>1300</v>
      </c>
      <c r="AR72" s="164">
        <f>SUM(AR69:AR71)</f>
        <v>498</v>
      </c>
      <c r="AS72" s="67">
        <f>AQ72-AR72</f>
        <v>802</v>
      </c>
      <c r="AT72" s="67"/>
      <c r="AU72" s="67">
        <f t="shared" si="111"/>
        <v>1300</v>
      </c>
      <c r="AV72" s="164">
        <f>SUM(AV69:AV71)</f>
        <v>13</v>
      </c>
      <c r="AW72" s="67">
        <f>AU72-AV72</f>
        <v>1287</v>
      </c>
      <c r="AX72" s="67"/>
      <c r="AY72" s="67">
        <f t="shared" si="111"/>
        <v>1300</v>
      </c>
      <c r="AZ72" s="164">
        <f>SUM(AZ69:AZ71)</f>
        <v>1451</v>
      </c>
      <c r="BA72" s="67">
        <f>AY72-AZ72</f>
        <v>-151</v>
      </c>
      <c r="BB72" s="67"/>
      <c r="BC72" s="67">
        <f t="shared" si="111"/>
        <v>1200</v>
      </c>
      <c r="BD72" s="164">
        <f>SUM(BD69:BD71)</f>
        <v>40</v>
      </c>
      <c r="BE72" s="67">
        <f>BC72-BD72</f>
        <v>1160</v>
      </c>
      <c r="BF72" s="67"/>
      <c r="BG72" s="67">
        <f t="shared" si="111"/>
        <v>1300</v>
      </c>
      <c r="BH72" s="164">
        <f>SUM(BH69:BH71)</f>
        <v>1777</v>
      </c>
      <c r="BI72" s="67">
        <f>BG72-BH72</f>
        <v>-477</v>
      </c>
      <c r="BJ72" s="67"/>
      <c r="BL72" s="68" t="e" cm="1" vm="1">
        <f t="array" aca="1" ref="BL72" ca="1">ROUND(O72:BG72, -2)</f>
        <v>#VALUE!</v>
      </c>
      <c r="CH72" s="67">
        <f t="shared" ref="CH72" si="112">SUM(CH69:CH71)</f>
        <v>14200</v>
      </c>
      <c r="CI72" s="156">
        <f>SUM(CI69:CI71)</f>
        <v>10200</v>
      </c>
      <c r="CJ72" s="156">
        <f>CH72-CI72</f>
        <v>4000</v>
      </c>
    </row>
    <row r="73" spans="1:88" x14ac:dyDescent="0.2">
      <c r="C73" s="44"/>
      <c r="D73" s="44"/>
      <c r="E73" s="44"/>
      <c r="O73" s="68"/>
      <c r="P73" s="169"/>
      <c r="Q73" s="169"/>
      <c r="R73" s="68"/>
      <c r="S73" s="68"/>
      <c r="T73" s="169"/>
      <c r="U73" s="169"/>
      <c r="V73" s="68"/>
      <c r="W73" s="68"/>
      <c r="X73" s="169"/>
      <c r="Y73" s="170"/>
      <c r="Z73" s="68"/>
      <c r="AA73" s="68"/>
      <c r="AB73" s="235"/>
      <c r="AC73" s="68"/>
      <c r="AD73" s="68"/>
      <c r="AE73" s="68"/>
      <c r="AF73" s="68"/>
      <c r="AG73" s="169"/>
      <c r="AH73" s="249"/>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c r="BG73" s="68"/>
      <c r="BH73" s="68"/>
      <c r="BI73" s="68"/>
      <c r="BJ73" s="68"/>
      <c r="BL73" s="68"/>
      <c r="CH73" s="66"/>
      <c r="CI73" s="154"/>
      <c r="CJ73" s="154"/>
    </row>
    <row r="74" spans="1:88" s="3" customFormat="1" x14ac:dyDescent="0.2">
      <c r="A74" s="24" t="s">
        <v>89</v>
      </c>
      <c r="B74" s="16"/>
      <c r="C74" s="44"/>
      <c r="D74" s="44"/>
      <c r="E74" s="44"/>
      <c r="F74" s="16"/>
      <c r="G74" s="17"/>
      <c r="H74" s="16"/>
      <c r="I74" s="17"/>
      <c r="J74" s="16"/>
      <c r="K74" s="17"/>
      <c r="M74"/>
      <c r="N74"/>
      <c r="O74" s="68"/>
      <c r="P74" s="169"/>
      <c r="Q74" s="169"/>
      <c r="R74" s="68"/>
      <c r="S74" s="66"/>
      <c r="T74" s="154"/>
      <c r="U74" s="169"/>
      <c r="V74" s="66"/>
      <c r="W74" s="66"/>
      <c r="X74" s="154"/>
      <c r="Y74" s="154"/>
      <c r="Z74" s="66"/>
      <c r="AA74" s="66"/>
      <c r="AB74" s="234"/>
      <c r="AC74" s="66"/>
      <c r="AD74" s="66"/>
      <c r="AE74" s="66"/>
      <c r="AF74" s="66"/>
      <c r="AG74" s="154"/>
      <c r="AH74" s="242"/>
      <c r="AI74" s="66"/>
      <c r="AJ74" s="66"/>
      <c r="AK74" s="66"/>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L74" s="68"/>
      <c r="CH74" s="66"/>
      <c r="CI74" s="154"/>
      <c r="CJ74" s="154"/>
    </row>
    <row r="75" spans="1:88" s="3" customFormat="1" x14ac:dyDescent="0.2">
      <c r="A75" t="s">
        <v>90</v>
      </c>
      <c r="B75" s="16"/>
      <c r="C75" s="44"/>
      <c r="D75" s="44"/>
      <c r="E75" s="44">
        <f>O75+S75+W75+AA75+AE75+AI75+AM75+AQ75+AU75+AY75+BC75+BG75</f>
        <v>102000</v>
      </c>
      <c r="F75" s="16"/>
      <c r="G75" s="17">
        <f>E75*1.1</f>
        <v>112200.00000000001</v>
      </c>
      <c r="H75" s="16"/>
      <c r="I75" s="17">
        <f>G75*1.3</f>
        <v>145860.00000000003</v>
      </c>
      <c r="J75" s="16"/>
      <c r="K75" s="17">
        <f>I75*1.05</f>
        <v>153153.00000000003</v>
      </c>
      <c r="M75" s="17">
        <f>K75*1.05</f>
        <v>160810.65000000002</v>
      </c>
      <c r="N75" s="17"/>
      <c r="O75" s="66">
        <v>8500</v>
      </c>
      <c r="P75" s="154">
        <v>8099</v>
      </c>
      <c r="Q75" s="154">
        <f>O75-P75</f>
        <v>401</v>
      </c>
      <c r="R75" s="66"/>
      <c r="S75" s="66">
        <v>8500</v>
      </c>
      <c r="T75" s="154">
        <v>7959</v>
      </c>
      <c r="U75" s="154">
        <f>S75-T75</f>
        <v>541</v>
      </c>
      <c r="V75" s="66"/>
      <c r="W75" s="66">
        <v>8500</v>
      </c>
      <c r="X75" s="154">
        <v>7360</v>
      </c>
      <c r="Y75" s="170">
        <f>W75-X75</f>
        <v>1140</v>
      </c>
      <c r="Z75" s="66"/>
      <c r="AA75" s="66">
        <v>8500</v>
      </c>
      <c r="AB75" s="162">
        <v>6930</v>
      </c>
      <c r="AC75" s="170">
        <f t="shared" ref="AC75:AC78" si="113">AA75-AB75</f>
        <v>1570</v>
      </c>
      <c r="AD75" s="66"/>
      <c r="AE75" s="66">
        <v>8500</v>
      </c>
      <c r="AF75" s="154">
        <v>7121</v>
      </c>
      <c r="AG75" s="170">
        <f>AE75-AF75</f>
        <v>1379</v>
      </c>
      <c r="AH75" s="242"/>
      <c r="AI75" s="66">
        <v>8500</v>
      </c>
      <c r="AJ75" s="162">
        <v>8142</v>
      </c>
      <c r="AK75" s="152">
        <f>AI75-AJ75</f>
        <v>358</v>
      </c>
      <c r="AL75" s="66"/>
      <c r="AM75" s="66">
        <v>8500</v>
      </c>
      <c r="AN75" s="162">
        <v>10281</v>
      </c>
      <c r="AO75" s="152">
        <f>AM75-AN75</f>
        <v>-1781</v>
      </c>
      <c r="AP75" s="66" t="s">
        <v>233</v>
      </c>
      <c r="AQ75" s="66">
        <v>8500</v>
      </c>
      <c r="AR75" s="66">
        <v>8390</v>
      </c>
      <c r="AS75" s="152">
        <f>AQ75-AR75</f>
        <v>110</v>
      </c>
      <c r="AT75" s="66"/>
      <c r="AU75" s="66">
        <v>8500</v>
      </c>
      <c r="AV75" s="66">
        <v>5362</v>
      </c>
      <c r="AW75" s="152">
        <f>AU75-AV75</f>
        <v>3138</v>
      </c>
      <c r="AX75" s="66"/>
      <c r="AY75" s="66">
        <v>8500</v>
      </c>
      <c r="AZ75" s="66">
        <v>3718</v>
      </c>
      <c r="BA75" s="152">
        <f>AY75-AZ75</f>
        <v>4782</v>
      </c>
      <c r="BB75" s="66"/>
      <c r="BC75" s="66">
        <v>8500</v>
      </c>
      <c r="BD75" s="233">
        <v>2408</v>
      </c>
      <c r="BE75" s="152">
        <f>BC75-BD75</f>
        <v>6092</v>
      </c>
      <c r="BF75" s="66"/>
      <c r="BG75" s="66">
        <v>8500</v>
      </c>
      <c r="BH75" s="233">
        <v>1412</v>
      </c>
      <c r="BI75" s="152">
        <f>BG75-BH75</f>
        <v>7088</v>
      </c>
      <c r="BJ75" s="66"/>
      <c r="BL75" s="68" t="e" cm="1" vm="1">
        <f t="array" aca="1" ref="BL75" ca="1">ROUND(O75:BG75, -2)</f>
        <v>#VALUE!</v>
      </c>
      <c r="BM75" s="68"/>
      <c r="BN75" s="68"/>
      <c r="BO75" s="68"/>
      <c r="BP75" s="68"/>
      <c r="BQ75" s="68"/>
      <c r="BR75" s="68"/>
      <c r="BS75" s="68"/>
      <c r="BT75" s="68"/>
      <c r="BU75" s="68"/>
      <c r="BV75" s="68"/>
      <c r="BW75" s="68"/>
      <c r="CH75" s="44">
        <f t="shared" ref="CH75:CH78" si="114">+W75+S75+O75+AA75+AE75+AI75+AM75+AQ75+AU75+AY75+BC75+BG75</f>
        <v>102000</v>
      </c>
      <c r="CI75" s="160">
        <f t="shared" ref="CI75:CI78" si="115">+X75+T75+P75+AB75+AF75+AJ75+AN75+AR75+AV75+AZ75+BD75+BH75</f>
        <v>77182</v>
      </c>
      <c r="CJ75" s="152">
        <f t="shared" ref="CJ75:CJ78" si="116">CH75-CI75</f>
        <v>24818</v>
      </c>
    </row>
    <row r="76" spans="1:88" s="3" customFormat="1" ht="53.25" customHeight="1" x14ac:dyDescent="0.2">
      <c r="A76" t="s">
        <v>91</v>
      </c>
      <c r="B76" s="16"/>
      <c r="C76" s="44"/>
      <c r="D76" s="44"/>
      <c r="E76" s="44">
        <f>O76+S76+W76+AA76+AE76+AI76+AM76+AQ76+AU76+AY76+BC76+BG76</f>
        <v>24000</v>
      </c>
      <c r="F76" s="16"/>
      <c r="G76" s="17">
        <f t="shared" ref="G76:G78" si="117">E76*1.1</f>
        <v>26400.000000000004</v>
      </c>
      <c r="H76" s="16"/>
      <c r="I76" s="17">
        <f t="shared" ref="I76" si="118">G76*1.3</f>
        <v>34320.000000000007</v>
      </c>
      <c r="J76" s="16"/>
      <c r="K76" s="17">
        <f t="shared" ref="K76:M76" si="119">I76*1.05</f>
        <v>36036.000000000007</v>
      </c>
      <c r="M76" s="17">
        <f t="shared" si="119"/>
        <v>37837.80000000001</v>
      </c>
      <c r="N76" s="17"/>
      <c r="O76" s="66">
        <v>2000</v>
      </c>
      <c r="P76" s="154">
        <v>442</v>
      </c>
      <c r="Q76" s="154">
        <f>O76-P76</f>
        <v>1558</v>
      </c>
      <c r="R76" s="66"/>
      <c r="S76" s="66">
        <v>2000</v>
      </c>
      <c r="T76" s="154">
        <v>9254</v>
      </c>
      <c r="U76" s="154">
        <f>S76-T76</f>
        <v>-7254</v>
      </c>
      <c r="V76" s="224" t="s">
        <v>234</v>
      </c>
      <c r="W76" s="66">
        <v>2000</v>
      </c>
      <c r="X76" s="154">
        <v>1896</v>
      </c>
      <c r="Y76" s="170">
        <f t="shared" ref="Y76:Y78" si="120">W76-X76</f>
        <v>104</v>
      </c>
      <c r="Z76" s="66"/>
      <c r="AA76" s="66">
        <v>2000</v>
      </c>
      <c r="AB76" s="162">
        <v>5967</v>
      </c>
      <c r="AC76" s="170">
        <f t="shared" si="113"/>
        <v>-3967</v>
      </c>
      <c r="AD76" s="225" t="s">
        <v>235</v>
      </c>
      <c r="AE76" s="66">
        <v>2000</v>
      </c>
      <c r="AF76" s="162">
        <v>2869</v>
      </c>
      <c r="AG76" s="170">
        <f>AE76-AF76</f>
        <v>-869</v>
      </c>
      <c r="AH76" s="242"/>
      <c r="AI76" s="66">
        <v>2000</v>
      </c>
      <c r="AJ76" s="162">
        <v>454</v>
      </c>
      <c r="AK76" s="152">
        <f>AI76-AJ76</f>
        <v>1546</v>
      </c>
      <c r="AL76" s="66"/>
      <c r="AM76" s="66">
        <v>2000</v>
      </c>
      <c r="AN76" s="162">
        <v>2002</v>
      </c>
      <c r="AO76" s="152">
        <f>AM76-AN76</f>
        <v>-2</v>
      </c>
      <c r="AP76" s="66"/>
      <c r="AQ76" s="66">
        <v>2000</v>
      </c>
      <c r="AR76" s="66">
        <v>127</v>
      </c>
      <c r="AS76" s="152">
        <f>AQ76-AR76</f>
        <v>1873</v>
      </c>
      <c r="AT76" s="66"/>
      <c r="AU76" s="66">
        <v>2000</v>
      </c>
      <c r="AV76" s="66">
        <v>2049</v>
      </c>
      <c r="AW76" s="152">
        <f>AU76-AV76</f>
        <v>-49</v>
      </c>
      <c r="AX76" s="66"/>
      <c r="AY76" s="66">
        <v>2000</v>
      </c>
      <c r="AZ76" s="66">
        <v>478</v>
      </c>
      <c r="BA76" s="152">
        <f>AY76-AZ76</f>
        <v>1522</v>
      </c>
      <c r="BB76" s="66"/>
      <c r="BC76" s="66">
        <v>2000</v>
      </c>
      <c r="BD76" s="233">
        <v>123</v>
      </c>
      <c r="BE76" s="152">
        <f>BC76-BD76</f>
        <v>1877</v>
      </c>
      <c r="BF76" s="66"/>
      <c r="BG76" s="66">
        <v>2000</v>
      </c>
      <c r="BH76" s="233">
        <v>6115</v>
      </c>
      <c r="BI76" s="152">
        <f>BG76-BH76</f>
        <v>-4115</v>
      </c>
      <c r="BJ76" s="195" t="s">
        <v>236</v>
      </c>
      <c r="BL76" s="68" t="e" cm="1" vm="1">
        <f t="array" aca="1" ref="BL76" ca="1">ROUND(O76:BG76, -2)</f>
        <v>#VALUE!</v>
      </c>
      <c r="BM76" s="68"/>
      <c r="BN76" s="68"/>
      <c r="BO76" s="68"/>
      <c r="BP76" s="68"/>
      <c r="BQ76" s="68"/>
      <c r="BR76" s="68"/>
      <c r="BS76" s="68"/>
      <c r="BT76" s="68"/>
      <c r="BU76" s="68"/>
      <c r="BV76" s="68"/>
      <c r="BW76" s="68"/>
      <c r="CH76" s="66">
        <f t="shared" si="114"/>
        <v>24000</v>
      </c>
      <c r="CI76" s="160">
        <f t="shared" si="115"/>
        <v>31776</v>
      </c>
      <c r="CJ76" s="152">
        <f t="shared" si="116"/>
        <v>-7776</v>
      </c>
    </row>
    <row r="77" spans="1:88" s="3" customFormat="1" x14ac:dyDescent="0.2">
      <c r="A77" t="s">
        <v>93</v>
      </c>
      <c r="B77" s="16"/>
      <c r="C77" s="44"/>
      <c r="D77" s="44"/>
      <c r="E77" s="44">
        <f>O77+S77+W77+AA77+AE77+AI77+AM77+AQ77+AU77+AY77+BC77+BG77</f>
        <v>900</v>
      </c>
      <c r="F77" s="16"/>
      <c r="G77" s="17">
        <f t="shared" si="117"/>
        <v>990.00000000000011</v>
      </c>
      <c r="H77" s="16"/>
      <c r="I77" s="17">
        <f t="shared" ref="I77:I78" si="121">G77*1.1</f>
        <v>1089.0000000000002</v>
      </c>
      <c r="J77" s="16"/>
      <c r="K77" s="17">
        <f t="shared" ref="K77:K78" si="122">I77*1.1</f>
        <v>1197.9000000000003</v>
      </c>
      <c r="M77" s="17">
        <f t="shared" ref="M77:M78" si="123">K77*1.1</f>
        <v>1317.6900000000005</v>
      </c>
      <c r="N77" s="17"/>
      <c r="O77" s="66">
        <v>100</v>
      </c>
      <c r="P77" s="154">
        <v>0</v>
      </c>
      <c r="Q77" s="154">
        <f>O77-P77</f>
        <v>100</v>
      </c>
      <c r="R77" s="66"/>
      <c r="S77" s="66">
        <v>0</v>
      </c>
      <c r="T77" s="154"/>
      <c r="U77" s="154">
        <f>S77-T77</f>
        <v>0</v>
      </c>
      <c r="V77" s="66"/>
      <c r="W77" s="66">
        <v>200</v>
      </c>
      <c r="X77" s="154">
        <v>300</v>
      </c>
      <c r="Y77" s="170">
        <f t="shared" si="120"/>
        <v>-100</v>
      </c>
      <c r="Z77" s="66"/>
      <c r="AA77" s="66">
        <v>0</v>
      </c>
      <c r="AB77" s="162">
        <v>0</v>
      </c>
      <c r="AC77" s="170">
        <f t="shared" si="113"/>
        <v>0</v>
      </c>
      <c r="AD77" s="66"/>
      <c r="AE77" s="66">
        <v>0</v>
      </c>
      <c r="AF77" s="162">
        <v>0</v>
      </c>
      <c r="AG77" s="170">
        <f>AE77-AF77</f>
        <v>0</v>
      </c>
      <c r="AH77" s="242"/>
      <c r="AI77" s="66">
        <v>0</v>
      </c>
      <c r="AJ77" s="162">
        <v>0</v>
      </c>
      <c r="AK77" s="152">
        <f>AI77-AJ77</f>
        <v>0</v>
      </c>
      <c r="AL77" s="66"/>
      <c r="AM77" s="66">
        <v>100</v>
      </c>
      <c r="AN77" s="162">
        <v>0</v>
      </c>
      <c r="AO77" s="152">
        <f>AM77-AN77</f>
        <v>100</v>
      </c>
      <c r="AP77" s="66"/>
      <c r="AQ77" s="66">
        <v>0</v>
      </c>
      <c r="AR77" s="66">
        <v>0</v>
      </c>
      <c r="AS77" s="152">
        <f>AQ77-AR77</f>
        <v>0</v>
      </c>
      <c r="AT77" s="66"/>
      <c r="AU77" s="66">
        <v>0</v>
      </c>
      <c r="AV77" s="66">
        <v>104</v>
      </c>
      <c r="AW77" s="152">
        <f>AU77-AV77</f>
        <v>-104</v>
      </c>
      <c r="AX77" s="66"/>
      <c r="AY77" s="66">
        <v>0</v>
      </c>
      <c r="AZ77" s="66">
        <v>0</v>
      </c>
      <c r="BA77" s="152">
        <f>AY77-AZ77</f>
        <v>0</v>
      </c>
      <c r="BB77" s="66"/>
      <c r="BC77" s="66">
        <v>200</v>
      </c>
      <c r="BD77" s="233">
        <v>0</v>
      </c>
      <c r="BE77" s="152">
        <f>BC77-BD77</f>
        <v>200</v>
      </c>
      <c r="BF77" s="66"/>
      <c r="BG77" s="66">
        <v>300</v>
      </c>
      <c r="BH77" s="233">
        <v>0</v>
      </c>
      <c r="BI77" s="152">
        <f>BG77-BH77</f>
        <v>300</v>
      </c>
      <c r="BJ77" s="66"/>
      <c r="BL77" s="68" t="e" cm="1" vm="1">
        <f t="array" aca="1" ref="BL77" ca="1">ROUND(O77:BG77, -2)</f>
        <v>#VALUE!</v>
      </c>
      <c r="BM77" s="68"/>
      <c r="BN77" s="68"/>
      <c r="BO77" s="68"/>
      <c r="BP77" s="68"/>
      <c r="BQ77" s="68"/>
      <c r="BR77" s="68"/>
      <c r="BS77" s="68"/>
      <c r="BT77" s="68"/>
      <c r="BU77" s="68"/>
      <c r="BV77" s="68"/>
      <c r="BW77" s="68"/>
      <c r="CH77" s="66">
        <f t="shared" si="114"/>
        <v>900</v>
      </c>
      <c r="CI77" s="160">
        <f t="shared" si="115"/>
        <v>404</v>
      </c>
      <c r="CJ77" s="152">
        <f t="shared" si="116"/>
        <v>496</v>
      </c>
    </row>
    <row r="78" spans="1:88" s="3" customFormat="1" x14ac:dyDescent="0.2">
      <c r="A78" t="s">
        <v>94</v>
      </c>
      <c r="B78" s="16"/>
      <c r="C78" s="44"/>
      <c r="D78" s="44"/>
      <c r="E78" s="44">
        <f>O78+S78+W78+AA78+AE78+AI78+AM78+AQ78+AU78+AY78+BC78+BG78</f>
        <v>6100</v>
      </c>
      <c r="F78" s="16"/>
      <c r="G78" s="17">
        <f t="shared" si="117"/>
        <v>6710.0000000000009</v>
      </c>
      <c r="H78" s="16"/>
      <c r="I78" s="17">
        <f t="shared" si="121"/>
        <v>7381.0000000000018</v>
      </c>
      <c r="J78" s="16"/>
      <c r="K78" s="17">
        <f t="shared" si="122"/>
        <v>8119.1000000000031</v>
      </c>
      <c r="M78" s="17">
        <f t="shared" si="123"/>
        <v>8931.0100000000039</v>
      </c>
      <c r="N78" s="17"/>
      <c r="O78" s="66">
        <v>500</v>
      </c>
      <c r="P78" s="154">
        <v>291</v>
      </c>
      <c r="Q78" s="177">
        <f>O78-P78</f>
        <v>209</v>
      </c>
      <c r="R78" s="66"/>
      <c r="S78" s="66">
        <v>800</v>
      </c>
      <c r="T78" s="154">
        <v>0</v>
      </c>
      <c r="U78" s="177">
        <f>S78-T78</f>
        <v>800</v>
      </c>
      <c r="V78" s="66"/>
      <c r="W78" s="66">
        <v>400</v>
      </c>
      <c r="X78" s="154">
        <v>0</v>
      </c>
      <c r="Y78" s="170">
        <f t="shared" si="120"/>
        <v>400</v>
      </c>
      <c r="Z78" s="66"/>
      <c r="AA78" s="66">
        <v>400</v>
      </c>
      <c r="AB78" s="162">
        <v>0</v>
      </c>
      <c r="AC78" s="170">
        <f t="shared" si="113"/>
        <v>400</v>
      </c>
      <c r="AD78" s="66"/>
      <c r="AE78" s="66">
        <v>400</v>
      </c>
      <c r="AF78" s="162">
        <v>0</v>
      </c>
      <c r="AG78" s="170">
        <f>AE78-AF78</f>
        <v>400</v>
      </c>
      <c r="AH78" s="242"/>
      <c r="AI78" s="66">
        <v>400</v>
      </c>
      <c r="AJ78" s="162"/>
      <c r="AK78" s="152">
        <f>AI78-AJ78</f>
        <v>400</v>
      </c>
      <c r="AL78" s="66"/>
      <c r="AM78" s="66">
        <v>1000</v>
      </c>
      <c r="AN78" s="162">
        <v>0</v>
      </c>
      <c r="AO78" s="152">
        <f>AM78-AN78</f>
        <v>1000</v>
      </c>
      <c r="AP78" s="66"/>
      <c r="AQ78" s="66">
        <v>500</v>
      </c>
      <c r="AR78" s="66">
        <v>0</v>
      </c>
      <c r="AS78" s="152">
        <f>AQ78-AR78</f>
        <v>500</v>
      </c>
      <c r="AT78" s="66"/>
      <c r="AU78" s="66">
        <v>300</v>
      </c>
      <c r="AV78" s="66">
        <v>225</v>
      </c>
      <c r="AW78" s="152">
        <f>AU78-AV78</f>
        <v>75</v>
      </c>
      <c r="AX78" s="66"/>
      <c r="AY78" s="66">
        <v>300</v>
      </c>
      <c r="AZ78" s="66">
        <v>27</v>
      </c>
      <c r="BA78" s="152">
        <f>AY78-AZ78</f>
        <v>273</v>
      </c>
      <c r="BB78" s="66"/>
      <c r="BC78" s="66">
        <v>500</v>
      </c>
      <c r="BD78" s="233">
        <v>1</v>
      </c>
      <c r="BE78" s="152">
        <f>BC78-BD78</f>
        <v>499</v>
      </c>
      <c r="BF78" s="66"/>
      <c r="BG78" s="66">
        <v>600</v>
      </c>
      <c r="BH78" s="233">
        <v>0</v>
      </c>
      <c r="BI78" s="152">
        <f>BG78-BH78</f>
        <v>600</v>
      </c>
      <c r="BJ78" s="66"/>
      <c r="BL78" s="68" t="e" cm="1" vm="1">
        <f t="array" aca="1" ref="BL78" ca="1">ROUND(O78:BG78, -2)</f>
        <v>#VALUE!</v>
      </c>
      <c r="BM78" s="68"/>
      <c r="BN78" s="68"/>
      <c r="BO78" s="68"/>
      <c r="BP78" s="68"/>
      <c r="BQ78" s="68"/>
      <c r="BR78" s="68"/>
      <c r="BS78" s="68"/>
      <c r="BT78" s="68"/>
      <c r="BU78" s="68"/>
      <c r="BV78" s="68"/>
      <c r="BW78" s="68"/>
      <c r="CH78" s="66">
        <f t="shared" si="114"/>
        <v>6100</v>
      </c>
      <c r="CI78" s="160">
        <f t="shared" si="115"/>
        <v>544</v>
      </c>
      <c r="CJ78" s="152">
        <f t="shared" si="116"/>
        <v>5556</v>
      </c>
    </row>
    <row r="79" spans="1:88" s="3" customFormat="1" x14ac:dyDescent="0.2">
      <c r="A79" s="18" t="s">
        <v>95</v>
      </c>
      <c r="B79" s="29"/>
      <c r="C79" s="48"/>
      <c r="D79" s="48"/>
      <c r="E79" s="48">
        <f>SUM(E75:E78)</f>
        <v>133000</v>
      </c>
      <c r="F79" s="16"/>
      <c r="G79" s="17">
        <f>SUM(G75:G78)</f>
        <v>146300.00000000003</v>
      </c>
      <c r="H79" s="16"/>
      <c r="I79" s="28">
        <f>SUM(I75:I78)</f>
        <v>188650.00000000003</v>
      </c>
      <c r="J79" s="16"/>
      <c r="K79" s="17">
        <f>SUM(K75:K78)</f>
        <v>198506.00000000003</v>
      </c>
      <c r="L79" s="30"/>
      <c r="M79" s="28">
        <f>SUM(M75:M78)</f>
        <v>208897.15000000005</v>
      </c>
      <c r="N79" s="28"/>
      <c r="O79" s="67">
        <f>SUM(O75:O78)</f>
        <v>11100</v>
      </c>
      <c r="P79" s="156">
        <f>SUM(P75:P78)</f>
        <v>8832</v>
      </c>
      <c r="Q79" s="154">
        <f>O79-P79</f>
        <v>2268</v>
      </c>
      <c r="R79" s="67"/>
      <c r="S79" s="67">
        <f>SUM(S75:S78)</f>
        <v>11300</v>
      </c>
      <c r="T79" s="156">
        <f>SUM(T75:T78)</f>
        <v>17213</v>
      </c>
      <c r="U79" s="154">
        <f>S79-T79</f>
        <v>-5913</v>
      </c>
      <c r="V79" s="67"/>
      <c r="W79" s="67">
        <f t="shared" ref="W79:BG79" si="124">SUM(W75:W78)</f>
        <v>11100</v>
      </c>
      <c r="X79" s="156">
        <f>SUM(X75:X78)</f>
        <v>9556</v>
      </c>
      <c r="Y79" s="156">
        <f>W79-X79</f>
        <v>1544</v>
      </c>
      <c r="Z79" s="67"/>
      <c r="AA79" s="67">
        <f t="shared" si="124"/>
        <v>10900</v>
      </c>
      <c r="AB79" s="164">
        <f t="shared" si="124"/>
        <v>12897</v>
      </c>
      <c r="AC79" s="156">
        <f>AA79-AB79</f>
        <v>-1997</v>
      </c>
      <c r="AD79" s="67"/>
      <c r="AE79" s="67">
        <f t="shared" si="124"/>
        <v>10900</v>
      </c>
      <c r="AF79" s="164">
        <f t="shared" si="124"/>
        <v>9990</v>
      </c>
      <c r="AG79" s="156">
        <f>AE79-AF79</f>
        <v>910</v>
      </c>
      <c r="AH79" s="251"/>
      <c r="AI79" s="67">
        <f t="shared" si="124"/>
        <v>10900</v>
      </c>
      <c r="AJ79" s="67">
        <f>SUM(AJ75:AJ78)</f>
        <v>8596</v>
      </c>
      <c r="AK79" s="156">
        <f>AI79-AJ79</f>
        <v>2304</v>
      </c>
      <c r="AL79" s="67"/>
      <c r="AM79" s="67">
        <f t="shared" si="124"/>
        <v>11600</v>
      </c>
      <c r="AN79" s="67">
        <f>SUM(AN75:AN78)</f>
        <v>12283</v>
      </c>
      <c r="AO79" s="156">
        <f>AM79-AN79</f>
        <v>-683</v>
      </c>
      <c r="AP79" s="67"/>
      <c r="AQ79" s="67">
        <f t="shared" si="124"/>
        <v>11000</v>
      </c>
      <c r="AR79" s="67">
        <f>SUM(AR75:AR78)</f>
        <v>8517</v>
      </c>
      <c r="AS79" s="156">
        <f>AQ79-AR79</f>
        <v>2483</v>
      </c>
      <c r="AT79" s="67"/>
      <c r="AU79" s="67">
        <f t="shared" si="124"/>
        <v>10800</v>
      </c>
      <c r="AV79" s="67">
        <f>SUM(AV75:AV78)</f>
        <v>7740</v>
      </c>
      <c r="AW79" s="156">
        <f>AU79-AV79</f>
        <v>3060</v>
      </c>
      <c r="AX79" s="67"/>
      <c r="AY79" s="67">
        <f t="shared" si="124"/>
        <v>10800</v>
      </c>
      <c r="AZ79" s="67">
        <f>SUM(AZ75:AZ78)</f>
        <v>4223</v>
      </c>
      <c r="BA79" s="156">
        <f>AY79-AZ79</f>
        <v>6577</v>
      </c>
      <c r="BB79" s="67"/>
      <c r="BC79" s="67">
        <f t="shared" si="124"/>
        <v>11200</v>
      </c>
      <c r="BD79" s="67">
        <f>SUM(BD75:BD78)</f>
        <v>2532</v>
      </c>
      <c r="BE79" s="156">
        <f>BC79-BD79</f>
        <v>8668</v>
      </c>
      <c r="BF79" s="67"/>
      <c r="BG79" s="67">
        <f t="shared" si="124"/>
        <v>11400</v>
      </c>
      <c r="BH79" s="277">
        <f>SUM(BH75:BH78)</f>
        <v>7527</v>
      </c>
      <c r="BI79" s="156">
        <f>BG79-BH79</f>
        <v>3873</v>
      </c>
      <c r="BJ79" s="67"/>
      <c r="BL79" s="68" t="e" cm="1" vm="1">
        <f t="array" aca="1" ref="BL79" ca="1">ROUND(O79:BG79, -2)</f>
        <v>#VALUE!</v>
      </c>
      <c r="BM79" s="68"/>
      <c r="BN79" s="68"/>
      <c r="BO79" s="68"/>
      <c r="BP79" s="68"/>
      <c r="BQ79" s="68"/>
      <c r="BR79" s="68"/>
      <c r="BS79" s="68"/>
      <c r="BT79" s="68"/>
      <c r="BU79" s="68"/>
      <c r="BV79" s="68"/>
      <c r="BW79" s="68"/>
      <c r="CH79" s="67">
        <f t="shared" ref="CH79:CI79" si="125">SUM(CH75:CH78)</f>
        <v>133000</v>
      </c>
      <c r="CI79" s="156">
        <f t="shared" si="125"/>
        <v>109906</v>
      </c>
      <c r="CJ79" s="202">
        <f>CH79-CI79</f>
        <v>23094</v>
      </c>
    </row>
    <row r="80" spans="1:88" s="3" customFormat="1" x14ac:dyDescent="0.2">
      <c r="A80"/>
      <c r="B80" s="16"/>
      <c r="C80" s="44"/>
      <c r="D80" s="44"/>
      <c r="E80" s="44"/>
      <c r="F80" s="16"/>
      <c r="G80" s="17"/>
      <c r="H80" s="16"/>
      <c r="I80" s="17"/>
      <c r="J80" s="16"/>
      <c r="K80" s="17"/>
      <c r="M80" s="17"/>
      <c r="N80" s="17"/>
      <c r="O80" s="66"/>
      <c r="P80" s="154"/>
      <c r="Q80" s="154"/>
      <c r="R80" s="66"/>
      <c r="S80" s="66"/>
      <c r="T80" s="154"/>
      <c r="U80" s="154"/>
      <c r="V80" s="66"/>
      <c r="W80" s="66"/>
      <c r="X80" s="154"/>
      <c r="Y80" s="154"/>
      <c r="Z80" s="66"/>
      <c r="AA80" s="66"/>
      <c r="AB80" s="234"/>
      <c r="AC80" s="66"/>
      <c r="AD80" s="66"/>
      <c r="AE80" s="66"/>
      <c r="AF80" s="66"/>
      <c r="AG80" s="154"/>
      <c r="AH80" s="242"/>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L80" s="68"/>
      <c r="BM80" s="68"/>
      <c r="BN80" s="68"/>
      <c r="BO80" s="68"/>
      <c r="BP80" s="68"/>
      <c r="BQ80" s="68"/>
      <c r="BR80" s="68"/>
      <c r="BS80" s="68"/>
      <c r="BT80" s="68"/>
      <c r="BU80" s="68"/>
      <c r="BV80" s="68"/>
      <c r="BW80" s="68"/>
      <c r="CH80" s="66"/>
      <c r="CI80" s="154"/>
      <c r="CJ80" s="154"/>
    </row>
    <row r="81" spans="1:88" s="3" customFormat="1" x14ac:dyDescent="0.2">
      <c r="A81" t="s">
        <v>96</v>
      </c>
      <c r="B81" s="16"/>
      <c r="C81" s="44"/>
      <c r="D81" s="44"/>
      <c r="E81" s="44">
        <f>E48+E58+E66+E72+E79</f>
        <v>714796.70833333337</v>
      </c>
      <c r="F81" s="16"/>
      <c r="G81" s="17"/>
      <c r="H81" s="16"/>
      <c r="I81" s="17"/>
      <c r="J81" s="16"/>
      <c r="K81" s="17"/>
      <c r="M81" s="17"/>
      <c r="N81" s="17"/>
      <c r="O81" s="66">
        <f>O48+O58+O66+O72+O79</f>
        <v>56800</v>
      </c>
      <c r="P81" s="154">
        <f>P48+P58+P66+P72+P79</f>
        <v>56262</v>
      </c>
      <c r="Q81" s="154">
        <f>O81-P81</f>
        <v>538</v>
      </c>
      <c r="R81" s="66"/>
      <c r="S81" s="66">
        <f t="shared" ref="S81:BG81" si="126">S48+S58+S66+S72+S79</f>
        <v>57100</v>
      </c>
      <c r="T81" s="154">
        <f t="shared" si="126"/>
        <v>65826</v>
      </c>
      <c r="U81" s="154">
        <f>S81-T81</f>
        <v>-8726</v>
      </c>
      <c r="V81" s="66"/>
      <c r="W81" s="66">
        <f t="shared" si="126"/>
        <v>58629.670833333337</v>
      </c>
      <c r="X81" s="154">
        <f t="shared" si="126"/>
        <v>63721</v>
      </c>
      <c r="Y81" s="170">
        <f>W81-X81</f>
        <v>-5091.3291666666628</v>
      </c>
      <c r="Z81" s="66"/>
      <c r="AA81" s="66">
        <f t="shared" si="126"/>
        <v>59429.670833333337</v>
      </c>
      <c r="AB81" s="162">
        <f t="shared" si="126"/>
        <v>71014.59</v>
      </c>
      <c r="AC81" s="170">
        <f>AA81-AB81</f>
        <v>-11584.919166666659</v>
      </c>
      <c r="AD81" s="66"/>
      <c r="AE81" s="66">
        <f t="shared" si="126"/>
        <v>59429.670833333337</v>
      </c>
      <c r="AF81" s="162">
        <f t="shared" si="126"/>
        <v>66740.31</v>
      </c>
      <c r="AG81" s="170">
        <f>AE81-AF81</f>
        <v>-7310.6391666666605</v>
      </c>
      <c r="AH81" s="242"/>
      <c r="AI81" s="66">
        <f t="shared" si="126"/>
        <v>60429.670833333337</v>
      </c>
      <c r="AJ81" s="66">
        <f>AJ48+AJ58+AJ66+AJ72+AJ79</f>
        <v>59784.160000000003</v>
      </c>
      <c r="AK81" s="170">
        <f>AI81-AJ81</f>
        <v>645.51083333333372</v>
      </c>
      <c r="AL81" s="66"/>
      <c r="AM81" s="66">
        <f t="shared" si="126"/>
        <v>60229.670833333337</v>
      </c>
      <c r="AN81" s="66">
        <f>AN48+AN58+AN66+AN72+AN79</f>
        <v>57108</v>
      </c>
      <c r="AO81" s="170">
        <f>AM81-AN81</f>
        <v>3121.6708333333372</v>
      </c>
      <c r="AP81" s="66"/>
      <c r="AQ81" s="66">
        <f t="shared" si="126"/>
        <v>60329.670833333337</v>
      </c>
      <c r="AR81" s="66">
        <f>AR48+AR58+AR66+AR72+AR79</f>
        <v>51581.5</v>
      </c>
      <c r="AS81" s="170">
        <f>AQ81-AR81</f>
        <v>8748.1708333333372</v>
      </c>
      <c r="AT81" s="66"/>
      <c r="AU81" s="66">
        <f t="shared" si="126"/>
        <v>60129.670833333337</v>
      </c>
      <c r="AV81" s="66">
        <f>AV48+AV58+AV66+AV72+AV79</f>
        <v>53553</v>
      </c>
      <c r="AW81" s="170">
        <f>AU81-AV81</f>
        <v>6576.6708333333372</v>
      </c>
      <c r="AX81" s="66"/>
      <c r="AY81" s="66">
        <f t="shared" si="126"/>
        <v>61129.670833333337</v>
      </c>
      <c r="AZ81" s="66">
        <f>AZ48+AZ58+AZ66+AZ72+AZ79</f>
        <v>54915</v>
      </c>
      <c r="BA81" s="170">
        <f>AY81-AZ81</f>
        <v>6214.6708333333372</v>
      </c>
      <c r="BB81" s="66"/>
      <c r="BC81" s="66">
        <f t="shared" si="126"/>
        <v>60429.670833333337</v>
      </c>
      <c r="BD81" s="66">
        <f>BD48+BD58+BD66+BD72+BD79</f>
        <v>41613.620000000003</v>
      </c>
      <c r="BE81" s="170">
        <f>BC81-BD81</f>
        <v>18816.050833333335</v>
      </c>
      <c r="BF81" s="66"/>
      <c r="BG81" s="66">
        <f t="shared" si="126"/>
        <v>60729.670833333337</v>
      </c>
      <c r="BH81" s="66">
        <f>BH48+BH58+BH66+BH72+BH79</f>
        <v>55315.33</v>
      </c>
      <c r="BI81" s="170">
        <f>BG81-BH81</f>
        <v>5414.3408333333355</v>
      </c>
      <c r="BJ81" s="66"/>
      <c r="BL81" s="68"/>
      <c r="BM81" s="68"/>
      <c r="BN81" s="68"/>
      <c r="BO81" s="68"/>
      <c r="BP81" s="68"/>
      <c r="BQ81" s="68"/>
      <c r="BR81" s="68"/>
      <c r="BS81" s="68"/>
      <c r="BT81" s="68"/>
      <c r="BU81" s="68"/>
      <c r="BV81" s="68"/>
      <c r="BW81" s="68"/>
      <c r="CH81" s="44">
        <f>+W81+S81+O81+AA81+AE81+AI81+AM81+AQ81+AU81+AY81+BC81+BG81</f>
        <v>714796.70833333349</v>
      </c>
      <c r="CI81" s="160">
        <f>+X81+T81+P81+AB81+AF81+AJ81+AN81+AR81+AV81+AZ81+BD81+BH81</f>
        <v>697434.51</v>
      </c>
      <c r="CJ81" s="154">
        <f>CH81-CI81</f>
        <v>17362.198333333479</v>
      </c>
    </row>
    <row r="82" spans="1:88" x14ac:dyDescent="0.2">
      <c r="O82" s="68"/>
      <c r="P82" s="169"/>
      <c r="Q82" s="169"/>
      <c r="R82" s="68"/>
      <c r="S82" s="68"/>
      <c r="T82" s="169"/>
      <c r="U82" s="169"/>
      <c r="V82" s="68"/>
      <c r="W82" s="68"/>
      <c r="X82" s="169"/>
      <c r="Y82" s="170"/>
      <c r="Z82" s="68"/>
      <c r="AA82" s="68"/>
      <c r="AB82" s="235"/>
      <c r="AC82" s="68"/>
      <c r="AD82" s="68"/>
      <c r="AE82" s="68"/>
      <c r="AF82" s="68"/>
      <c r="AG82" s="169"/>
      <c r="AH82" s="249"/>
      <c r="AI82" s="68"/>
      <c r="AJ82" s="68"/>
      <c r="AK82" s="68"/>
      <c r="AL82" s="68"/>
      <c r="AM82" s="68"/>
      <c r="AN82" s="68"/>
      <c r="AO82" s="68"/>
      <c r="AP82" s="68"/>
      <c r="AQ82" s="68"/>
      <c r="AR82" s="68"/>
      <c r="AS82" s="68"/>
      <c r="AT82" s="68"/>
      <c r="AU82" s="68"/>
      <c r="AV82" s="68"/>
      <c r="AW82" s="68"/>
      <c r="AX82" s="68"/>
      <c r="AY82" s="68"/>
      <c r="AZ82" s="68"/>
      <c r="BA82" s="68"/>
      <c r="BB82" s="68"/>
      <c r="BC82" s="68"/>
      <c r="BD82" s="68"/>
      <c r="BE82" s="68"/>
      <c r="BF82" s="68"/>
      <c r="BG82" s="68"/>
      <c r="BH82" s="68"/>
      <c r="BI82" s="68"/>
      <c r="BJ82" s="68"/>
      <c r="BL82" s="68"/>
      <c r="CH82" s="66"/>
      <c r="CI82" s="154"/>
      <c r="CJ82" s="154"/>
    </row>
    <row r="83" spans="1:88" s="3" customFormat="1" x14ac:dyDescent="0.2">
      <c r="A83" s="25" t="s">
        <v>97</v>
      </c>
      <c r="B83" s="13"/>
      <c r="C83" s="54"/>
      <c r="D83" s="54"/>
      <c r="E83" s="54">
        <f>E41-E81</f>
        <v>493443.5918058505</v>
      </c>
      <c r="F83" s="54"/>
      <c r="G83" s="54">
        <f>SUM(G35,-G48,-G58,-G66,-G79,-G72)</f>
        <v>2917266.2926885094</v>
      </c>
      <c r="H83" s="54"/>
      <c r="I83" s="54">
        <f>SUM(I35,-I48,-I58,-I66,-I79,-I72)</f>
        <v>3121369.3219573596</v>
      </c>
      <c r="J83" s="54"/>
      <c r="K83" s="54">
        <f>SUM(K35,-K48,-K58,-K66,-K79,-K72)</f>
        <v>3443668.4061530945</v>
      </c>
      <c r="L83" s="54"/>
      <c r="M83" s="54">
        <f>SUM(M35,-M48,-M58,-M66,-M79,-M72)</f>
        <v>3798693.9748484073</v>
      </c>
      <c r="N83" s="54"/>
      <c r="O83" s="70">
        <f>O41-O81</f>
        <v>21298.871063500061</v>
      </c>
      <c r="P83" s="157">
        <f>P41-P81</f>
        <v>-15160</v>
      </c>
      <c r="Q83" s="157">
        <f>O83-P83</f>
        <v>36458.871063500061</v>
      </c>
      <c r="R83" s="70"/>
      <c r="S83" s="70">
        <f t="shared" ref="S83:BG83" si="127">S41-S81</f>
        <v>20665.317500000005</v>
      </c>
      <c r="T83" s="190">
        <f t="shared" si="127"/>
        <v>-16519</v>
      </c>
      <c r="U83" s="157">
        <f>S83-T83</f>
        <v>37184.317500000005</v>
      </c>
      <c r="V83" s="70"/>
      <c r="W83" s="70">
        <f t="shared" si="127"/>
        <v>33704.641516666685</v>
      </c>
      <c r="X83" s="157">
        <f t="shared" si="127"/>
        <v>-3118</v>
      </c>
      <c r="Y83" s="157">
        <f>W83-X83</f>
        <v>36822.641516666685</v>
      </c>
      <c r="Z83" s="70"/>
      <c r="AA83" s="70">
        <f t="shared" si="127"/>
        <v>34369.711516666634</v>
      </c>
      <c r="AB83" s="165">
        <f t="shared" si="127"/>
        <v>47516.41</v>
      </c>
      <c r="AC83" s="157">
        <f>AA83-AB83</f>
        <v>-13146.69848333337</v>
      </c>
      <c r="AD83" s="70"/>
      <c r="AE83" s="70">
        <f t="shared" si="127"/>
        <v>35190.399166666728</v>
      </c>
      <c r="AF83" s="165">
        <f t="shared" si="127"/>
        <v>-7548.4689329102985</v>
      </c>
      <c r="AG83" s="157">
        <f>AE83-AF83</f>
        <v>42738.868099577026</v>
      </c>
      <c r="AH83" s="252"/>
      <c r="AI83" s="70">
        <f t="shared" si="127"/>
        <v>28267.278716666799</v>
      </c>
      <c r="AJ83" s="165">
        <f>AJ41-AJ81</f>
        <v>49254.631448654021</v>
      </c>
      <c r="AK83" s="157">
        <f>AI83-AJ83</f>
        <v>-20987.352731987223</v>
      </c>
      <c r="AL83" s="70"/>
      <c r="AM83" s="70">
        <f t="shared" si="127"/>
        <v>39276.448716666724</v>
      </c>
      <c r="AN83" s="165">
        <f>AN41-AN81</f>
        <v>116583.85846956121</v>
      </c>
      <c r="AO83" s="157">
        <f>AM83-AN83</f>
        <v>-77307.409752894484</v>
      </c>
      <c r="AP83" s="70"/>
      <c r="AQ83" s="70">
        <f t="shared" si="127"/>
        <v>45738.238716666761</v>
      </c>
      <c r="AR83" s="165">
        <f>AR41-AR81</f>
        <v>363021.26889204362</v>
      </c>
      <c r="AS83" s="157">
        <f>AQ83-AR83</f>
        <v>-317283.03017537686</v>
      </c>
      <c r="AT83" s="70"/>
      <c r="AU83" s="70">
        <f t="shared" si="127"/>
        <v>49680.788716666808</v>
      </c>
      <c r="AV83" s="165">
        <f>AV41-AV81</f>
        <v>4095.8469314079266</v>
      </c>
      <c r="AW83" s="157">
        <f>AU83-AV83</f>
        <v>45584.941785258881</v>
      </c>
      <c r="AX83" s="70"/>
      <c r="AY83" s="70">
        <f t="shared" si="127"/>
        <v>56096.698742347246</v>
      </c>
      <c r="AZ83" s="165">
        <f>AZ41-AZ81</f>
        <v>-32253.150270755927</v>
      </c>
      <c r="BA83" s="157">
        <f>AY83-AZ83</f>
        <v>88349.849013103172</v>
      </c>
      <c r="BB83" s="70"/>
      <c r="BC83" s="70">
        <f t="shared" si="127"/>
        <v>61499.538716666691</v>
      </c>
      <c r="BD83" s="165">
        <f>BD41-BD81</f>
        <v>-18902.620000000003</v>
      </c>
      <c r="BE83" s="157">
        <f>BC83-BD83</f>
        <v>80402.158716666687</v>
      </c>
      <c r="BF83" s="70"/>
      <c r="BG83" s="70">
        <f t="shared" si="127"/>
        <v>67655.658716666803</v>
      </c>
      <c r="BH83" s="165">
        <f>BH41-BH81</f>
        <v>-29889.33</v>
      </c>
      <c r="BI83" s="157">
        <f>BG83-BH83</f>
        <v>97544.988716666805</v>
      </c>
      <c r="BJ83" s="70"/>
      <c r="BL83" s="68" t="e" cm="1" vm="1">
        <f t="array" aca="1" ref="BL83" ca="1">ROUND(O83:BG83, -2)</f>
        <v>#VALUE!</v>
      </c>
      <c r="CH83" s="70">
        <f t="shared" ref="CH83" si="128">CH41-CH81</f>
        <v>493443.59180584853</v>
      </c>
      <c r="CI83" s="157">
        <f>CI41-CI81</f>
        <v>457081.44653800013</v>
      </c>
      <c r="CJ83" s="157">
        <f>CI83-CH83</f>
        <v>-36362.145267848391</v>
      </c>
    </row>
    <row r="84" spans="1:88" s="3" customFormat="1" x14ac:dyDescent="0.2">
      <c r="A84" s="27" t="s">
        <v>98</v>
      </c>
      <c r="B84" s="27"/>
      <c r="C84" s="12"/>
      <c r="D84" s="12"/>
      <c r="E84" s="12">
        <f>E83/E11</f>
        <v>5.4900749683435661E-2</v>
      </c>
      <c r="F84" s="12"/>
      <c r="G84" s="12"/>
      <c r="H84" s="12"/>
      <c r="I84" s="12"/>
      <c r="J84" s="12"/>
      <c r="K84" s="12"/>
      <c r="L84" s="12"/>
      <c r="M84" s="12"/>
      <c r="N84" s="12"/>
      <c r="O84" s="12">
        <f>O83/O11</f>
        <v>2.9577703728439639E-2</v>
      </c>
      <c r="P84" s="12">
        <f>P83/P11</f>
        <v>-2.8312475604768298E-2</v>
      </c>
      <c r="Q84" s="179"/>
      <c r="R84" s="12"/>
      <c r="S84" s="12">
        <f>S83/S11</f>
        <v>2.8910709738975214E-2</v>
      </c>
      <c r="T84" s="12">
        <f>T83/T11</f>
        <v>-3.5099312419789391E-2</v>
      </c>
      <c r="U84" s="179"/>
      <c r="V84" s="12"/>
      <c r="W84" s="12">
        <f>W83/W11</f>
        <v>4.6477080367477379E-2</v>
      </c>
      <c r="X84" s="12">
        <f>X83/X11</f>
        <v>-7.434571951777812E-3</v>
      </c>
      <c r="Y84" s="215"/>
      <c r="Z84" s="12"/>
      <c r="AA84" s="12">
        <f>AA83/AA11</f>
        <v>4.656804817205154E-2</v>
      </c>
      <c r="AB84" s="12">
        <f>AB83/AB11</f>
        <v>5.9930164479866009E-2</v>
      </c>
      <c r="AC84" s="12"/>
      <c r="AD84" s="12"/>
      <c r="AE84" s="12">
        <f t="shared" ref="AE84:BG84" si="129">AE83/AE11</f>
        <v>4.7172116845397759E-2</v>
      </c>
      <c r="AF84" s="12">
        <f>AF83/AF11</f>
        <v>-1.1448783123513136E-2</v>
      </c>
      <c r="AG84" s="12"/>
      <c r="AH84" s="253"/>
      <c r="AI84" s="12">
        <f t="shared" si="129"/>
        <v>3.8220879395075451E-2</v>
      </c>
      <c r="AJ84" s="12">
        <f>AJ83/AJ11</f>
        <v>6.8886536638812584E-2</v>
      </c>
      <c r="AK84" s="12"/>
      <c r="AL84" s="12"/>
      <c r="AM84" s="12">
        <f t="shared" si="129"/>
        <v>5.2265040369260336E-2</v>
      </c>
      <c r="AN84" s="12"/>
      <c r="AO84" s="12"/>
      <c r="AP84" s="12"/>
      <c r="AQ84" s="12">
        <f t="shared" si="129"/>
        <v>6.0273267357247445E-2</v>
      </c>
      <c r="AR84" s="12"/>
      <c r="AS84" s="12"/>
      <c r="AT84" s="12"/>
      <c r="AU84" s="12">
        <f t="shared" si="129"/>
        <v>6.5104723368307554E-2</v>
      </c>
      <c r="AV84" s="12"/>
      <c r="AW84" s="12"/>
      <c r="AX84" s="12"/>
      <c r="AY84" s="12">
        <f t="shared" si="129"/>
        <v>7.2729456333569489E-2</v>
      </c>
      <c r="AZ84" s="12"/>
      <c r="BA84" s="12"/>
      <c r="BB84" s="12"/>
      <c r="BC84" s="12">
        <f t="shared" si="129"/>
        <v>7.9240838153671361E-2</v>
      </c>
      <c r="BD84" s="12"/>
      <c r="BE84" s="12"/>
      <c r="BF84" s="12"/>
      <c r="BG84" s="12">
        <f t="shared" si="129"/>
        <v>8.6365406037448259E-2</v>
      </c>
      <c r="BH84" s="12"/>
      <c r="BI84" s="12"/>
      <c r="BJ84" s="12"/>
      <c r="BL84" s="14"/>
      <c r="BM84" s="74"/>
      <c r="BN84" s="74"/>
      <c r="BO84" s="74"/>
      <c r="BP84" s="74"/>
      <c r="BQ84" s="74"/>
      <c r="BR84" s="74"/>
      <c r="BS84" s="74"/>
      <c r="BT84" s="74"/>
      <c r="BU84" s="74"/>
      <c r="BV84" s="74"/>
      <c r="BW84" s="74"/>
      <c r="CH84" s="12">
        <f>CH83/CH11</f>
        <v>5.4900749683435453E-2</v>
      </c>
      <c r="CI84" s="12">
        <f>CI83/CI11</f>
        <v>5.7121528771873542E-2</v>
      </c>
      <c r="CJ84" s="215"/>
    </row>
    <row r="85" spans="1:88" s="3" customFormat="1" x14ac:dyDescent="0.2">
      <c r="A85" s="209"/>
      <c r="B85" s="1"/>
      <c r="C85" s="47"/>
      <c r="D85" s="47"/>
      <c r="E85" s="47"/>
      <c r="F85" s="47"/>
      <c r="G85" s="47"/>
      <c r="H85" s="47"/>
      <c r="I85" s="47"/>
      <c r="J85" s="47"/>
      <c r="K85" s="47"/>
      <c r="L85" s="47"/>
      <c r="M85" s="47"/>
      <c r="N85" s="47"/>
      <c r="O85" s="149"/>
      <c r="P85" s="158"/>
      <c r="Q85" s="158"/>
      <c r="R85" s="149"/>
      <c r="S85" s="149"/>
      <c r="T85" s="208"/>
      <c r="U85" s="158"/>
      <c r="V85" s="149"/>
      <c r="W85" s="149"/>
      <c r="X85" s="158"/>
      <c r="Y85" s="158"/>
      <c r="Z85" s="149"/>
      <c r="AA85" s="149"/>
      <c r="AB85" s="237"/>
      <c r="AC85" s="149"/>
      <c r="AD85" s="149"/>
      <c r="AE85" s="149"/>
      <c r="AF85" s="149"/>
      <c r="AG85" s="149"/>
      <c r="AH85" s="254"/>
      <c r="AI85" s="149"/>
      <c r="AJ85" s="149"/>
      <c r="AK85" s="149"/>
      <c r="AL85" s="149"/>
      <c r="AM85" s="149"/>
      <c r="AN85" s="149"/>
      <c r="AO85" s="149"/>
      <c r="AP85" s="149"/>
      <c r="AQ85" s="149"/>
      <c r="AR85" s="149"/>
      <c r="AS85" s="149"/>
      <c r="AT85" s="149"/>
      <c r="AU85" s="149"/>
      <c r="AV85" s="149"/>
      <c r="AW85" s="149"/>
      <c r="AX85" s="149"/>
      <c r="AY85" s="149"/>
      <c r="AZ85" s="149"/>
      <c r="BA85" s="149"/>
      <c r="BB85" s="149"/>
      <c r="BC85" s="149"/>
      <c r="BD85" s="149"/>
      <c r="BE85" s="149"/>
      <c r="BF85" s="149"/>
      <c r="BG85" s="149"/>
      <c r="BH85" s="149"/>
      <c r="BI85" s="149"/>
      <c r="BJ85" s="149"/>
      <c r="BL85" s="68"/>
      <c r="CH85" s="149"/>
      <c r="CI85" s="158"/>
      <c r="CJ85" s="158"/>
    </row>
    <row r="86" spans="1:88" s="3" customFormat="1" x14ac:dyDescent="0.2">
      <c r="A86" s="23" t="s">
        <v>99</v>
      </c>
      <c r="B86" s="1"/>
      <c r="C86" s="47"/>
      <c r="D86" s="47"/>
      <c r="E86" s="47"/>
      <c r="F86" s="47"/>
      <c r="G86" s="47"/>
      <c r="H86" s="47"/>
      <c r="I86" s="47"/>
      <c r="J86" s="47"/>
      <c r="K86" s="47"/>
      <c r="L86" s="47"/>
      <c r="M86" s="47"/>
      <c r="N86" s="47"/>
      <c r="O86" s="149"/>
      <c r="P86" s="158"/>
      <c r="Q86" s="158"/>
      <c r="R86" s="149"/>
      <c r="S86" s="149"/>
      <c r="T86" s="158"/>
      <c r="U86" s="158"/>
      <c r="V86" s="149"/>
      <c r="W86" s="149"/>
      <c r="X86" s="158"/>
      <c r="Y86" s="158"/>
      <c r="Z86" s="149"/>
      <c r="AA86" s="149"/>
      <c r="AB86" s="237"/>
      <c r="AC86" s="149"/>
      <c r="AD86" s="149"/>
      <c r="AE86" s="149"/>
      <c r="AF86" s="149"/>
      <c r="AG86" s="149"/>
      <c r="AH86" s="254"/>
      <c r="AI86" s="149"/>
      <c r="AJ86" s="149"/>
      <c r="AK86" s="149"/>
      <c r="AL86" s="149"/>
      <c r="AM86" s="149"/>
      <c r="AN86" s="149"/>
      <c r="AO86" s="149"/>
      <c r="AP86" s="149"/>
      <c r="AQ86" s="149"/>
      <c r="AR86" s="149"/>
      <c r="AS86" s="149"/>
      <c r="AT86" s="149"/>
      <c r="AU86" s="149"/>
      <c r="AV86" s="149"/>
      <c r="AW86" s="149"/>
      <c r="AX86" s="149"/>
      <c r="AY86" s="149"/>
      <c r="AZ86" s="149"/>
      <c r="BA86" s="149"/>
      <c r="BB86" s="149"/>
      <c r="BC86" s="149"/>
      <c r="BD86" s="149"/>
      <c r="BE86" s="149"/>
      <c r="BF86" s="149"/>
      <c r="BG86" s="149"/>
      <c r="BH86" s="149"/>
      <c r="BI86" s="149"/>
      <c r="BJ86" s="149"/>
      <c r="BL86" s="68"/>
      <c r="CH86" s="149"/>
      <c r="CI86" s="158"/>
      <c r="CJ86" s="158"/>
    </row>
    <row r="87" spans="1:88" s="3" customFormat="1" x14ac:dyDescent="0.2">
      <c r="A87" t="s">
        <v>100</v>
      </c>
      <c r="B87" s="16"/>
      <c r="C87" s="44"/>
      <c r="D87" s="44"/>
      <c r="F87" s="16"/>
      <c r="G87" s="17">
        <v>113254</v>
      </c>
      <c r="H87" s="16"/>
      <c r="I87" s="17">
        <v>113254</v>
      </c>
      <c r="J87" s="16"/>
      <c r="K87" s="17">
        <v>113254</v>
      </c>
      <c r="M87" s="17">
        <v>113254</v>
      </c>
      <c r="N87" s="17"/>
      <c r="O87" s="66"/>
      <c r="P87" s="154"/>
      <c r="Q87" s="154"/>
      <c r="R87" s="66"/>
      <c r="S87" s="66"/>
      <c r="T87" s="154"/>
      <c r="U87" s="154"/>
      <c r="V87" s="66"/>
      <c r="W87" s="66"/>
      <c r="X87" s="154"/>
      <c r="Y87" s="154"/>
      <c r="Z87" s="66"/>
      <c r="AA87" s="66"/>
      <c r="AB87" s="234"/>
      <c r="AC87" s="66"/>
      <c r="AD87" s="66"/>
      <c r="AE87" s="154">
        <v>0</v>
      </c>
      <c r="AF87" s="154"/>
      <c r="AG87" s="66"/>
      <c r="AH87" s="242"/>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L87" s="68" cm="1">
        <f t="array" ref="BL87:BO87">ROUND(O87:R87, -2)</f>
        <v>0</v>
      </c>
      <c r="BM87" s="68">
        <v>0</v>
      </c>
      <c r="BN87" s="68">
        <v>0</v>
      </c>
      <c r="BO87" s="68">
        <v>0</v>
      </c>
      <c r="BP87" s="68"/>
      <c r="BQ87" s="68"/>
      <c r="BR87" s="68"/>
      <c r="BS87" s="68"/>
      <c r="BT87" s="68"/>
      <c r="BU87" s="68"/>
      <c r="BV87" s="68"/>
      <c r="BW87" s="68"/>
      <c r="CH87" s="66">
        <f t="shared" ref="CH87:CH88" si="130">+W87+S87+O87+AA87+AE87+AI87+AM87+AQ87+AU87+AY87+BC87+BG87</f>
        <v>0</v>
      </c>
      <c r="CI87" s="154">
        <f t="shared" ref="CI87:CI88" si="131">+X87+T87+P87+AB87+AF87+AJ87+AN87+AR87+AV87+AZ87+BD87+BH87</f>
        <v>0</v>
      </c>
      <c r="CJ87" s="158">
        <f>CI87-CH87</f>
        <v>0</v>
      </c>
    </row>
    <row r="88" spans="1:88" s="3" customFormat="1" x14ac:dyDescent="0.2">
      <c r="A88" t="s">
        <v>99</v>
      </c>
      <c r="B88" s="16"/>
      <c r="C88" s="44"/>
      <c r="D88" s="44"/>
      <c r="E88" s="44"/>
      <c r="F88" s="16"/>
      <c r="G88" s="17"/>
      <c r="H88" s="16"/>
      <c r="I88" s="17"/>
      <c r="J88" s="16"/>
      <c r="K88" s="17"/>
      <c r="M88" s="17"/>
      <c r="N88" s="17"/>
      <c r="O88" s="66"/>
      <c r="P88" s="154"/>
      <c r="Q88" s="154"/>
      <c r="R88" s="66"/>
      <c r="S88" s="149"/>
      <c r="T88" s="220"/>
      <c r="U88" s="154"/>
      <c r="V88" s="149"/>
      <c r="W88" s="149"/>
      <c r="X88" s="154">
        <v>35</v>
      </c>
      <c r="Y88" s="158"/>
      <c r="Z88" s="149"/>
      <c r="AA88" s="149"/>
      <c r="AB88" s="162">
        <v>4319</v>
      </c>
      <c r="AC88" s="170">
        <f>AB88-AA88</f>
        <v>4319</v>
      </c>
      <c r="AD88" s="222" t="s">
        <v>181</v>
      </c>
      <c r="AE88" s="154">
        <v>0</v>
      </c>
      <c r="AF88" s="162"/>
      <c r="AG88" s="170">
        <f>AF88-AE88</f>
        <v>0</v>
      </c>
      <c r="AH88" s="254"/>
      <c r="AI88" s="149"/>
      <c r="AJ88" s="149"/>
      <c r="AK88" s="149"/>
      <c r="AL88" s="149"/>
      <c r="AM88" s="149"/>
      <c r="AN88" s="149"/>
      <c r="AO88" s="149"/>
      <c r="AP88" s="149"/>
      <c r="AQ88" s="149"/>
      <c r="AR88" s="149"/>
      <c r="AS88" s="149"/>
      <c r="AT88" s="149"/>
      <c r="AU88" s="149"/>
      <c r="AV88" s="149"/>
      <c r="AW88" s="149"/>
      <c r="AX88" s="149"/>
      <c r="AY88" s="149"/>
      <c r="AZ88" s="149"/>
      <c r="BA88" s="149"/>
      <c r="BB88" s="149"/>
      <c r="BC88" s="149"/>
      <c r="BD88" s="149"/>
      <c r="BE88" s="149"/>
      <c r="BF88" s="149"/>
      <c r="BG88" s="149"/>
      <c r="BH88" s="149"/>
      <c r="BI88" s="149"/>
      <c r="BJ88" s="149"/>
      <c r="BL88" s="68" t="e" cm="1" vm="1">
        <f t="array" aca="1" ref="BL88" ca="1">ROUND(O88:BG88, -2)</f>
        <v>#VALUE!</v>
      </c>
      <c r="BM88" s="68"/>
      <c r="BN88" s="68"/>
      <c r="BO88" s="68"/>
      <c r="BP88" s="68"/>
      <c r="BQ88" s="68"/>
      <c r="BR88" s="68"/>
      <c r="BS88" s="68"/>
      <c r="BT88" s="68"/>
      <c r="BU88" s="68"/>
      <c r="BV88" s="68"/>
      <c r="BW88" s="68"/>
      <c r="CH88" s="66">
        <f t="shared" si="130"/>
        <v>0</v>
      </c>
      <c r="CI88" s="160">
        <f t="shared" si="131"/>
        <v>4354</v>
      </c>
      <c r="CJ88" s="154">
        <f>CI88-CH88</f>
        <v>4354</v>
      </c>
    </row>
    <row r="89" spans="1:88" s="3" customFormat="1" x14ac:dyDescent="0.2">
      <c r="A89" s="141" t="s">
        <v>102</v>
      </c>
      <c r="B89" s="1"/>
      <c r="C89" s="47"/>
      <c r="D89" s="47"/>
      <c r="E89" s="47">
        <f>E87+E88</f>
        <v>0</v>
      </c>
      <c r="F89" s="47"/>
      <c r="G89" s="47"/>
      <c r="H89" s="47"/>
      <c r="I89" s="47"/>
      <c r="J89" s="47"/>
      <c r="K89" s="47"/>
      <c r="L89" s="47"/>
      <c r="M89" s="47"/>
      <c r="N89" s="47"/>
      <c r="O89" s="67">
        <f>O87+O88</f>
        <v>0</v>
      </c>
      <c r="P89" s="67">
        <f>P87+P88</f>
        <v>0</v>
      </c>
      <c r="Q89" s="156">
        <f>O89-P89</f>
        <v>0</v>
      </c>
      <c r="R89" s="149"/>
      <c r="S89" s="67">
        <f>S87+S88</f>
        <v>0</v>
      </c>
      <c r="T89" s="154">
        <f>T87+T88</f>
        <v>0</v>
      </c>
      <c r="U89" s="156">
        <f>S89-T89</f>
        <v>0</v>
      </c>
      <c r="V89" s="66"/>
      <c r="W89" s="67">
        <f t="shared" ref="W89:X89" si="132">W87+W88</f>
        <v>0</v>
      </c>
      <c r="X89" s="156">
        <f t="shared" si="132"/>
        <v>35</v>
      </c>
      <c r="Y89" s="155"/>
      <c r="Z89" s="149"/>
      <c r="AA89" s="67">
        <f t="shared" ref="AA89:BG89" si="133">AA87+AA88</f>
        <v>0</v>
      </c>
      <c r="AB89" s="164">
        <f t="shared" si="133"/>
        <v>4319</v>
      </c>
      <c r="AC89" s="156">
        <f>AB89-AA89</f>
        <v>4319</v>
      </c>
      <c r="AD89" s="71"/>
      <c r="AE89" s="67">
        <f t="shared" si="133"/>
        <v>0</v>
      </c>
      <c r="AF89" s="164">
        <f t="shared" si="133"/>
        <v>0</v>
      </c>
      <c r="AG89" s="156">
        <f>AF89-AE89</f>
        <v>0</v>
      </c>
      <c r="AH89" s="250"/>
      <c r="AI89" s="71">
        <f t="shared" si="133"/>
        <v>0</v>
      </c>
      <c r="AJ89" s="71"/>
      <c r="AK89" s="71"/>
      <c r="AL89" s="71"/>
      <c r="AM89" s="71">
        <f t="shared" si="133"/>
        <v>0</v>
      </c>
      <c r="AN89" s="71"/>
      <c r="AO89" s="71"/>
      <c r="AP89" s="71"/>
      <c r="AQ89" s="71">
        <f t="shared" si="133"/>
        <v>0</v>
      </c>
      <c r="AR89" s="71"/>
      <c r="AS89" s="71"/>
      <c r="AT89" s="71"/>
      <c r="AU89" s="71">
        <f t="shared" si="133"/>
        <v>0</v>
      </c>
      <c r="AV89" s="71"/>
      <c r="AW89" s="71"/>
      <c r="AX89" s="71"/>
      <c r="AY89" s="71">
        <f t="shared" si="133"/>
        <v>0</v>
      </c>
      <c r="AZ89" s="71"/>
      <c r="BA89" s="71"/>
      <c r="BB89" s="71"/>
      <c r="BC89" s="71">
        <f t="shared" si="133"/>
        <v>0</v>
      </c>
      <c r="BD89" s="71"/>
      <c r="BE89" s="71"/>
      <c r="BF89" s="71"/>
      <c r="BG89" s="71">
        <f t="shared" si="133"/>
        <v>0</v>
      </c>
      <c r="BH89" s="71"/>
      <c r="BI89" s="71"/>
      <c r="BJ89" s="71"/>
      <c r="BL89" s="68"/>
      <c r="CH89" s="71">
        <f>CH87+CH88</f>
        <v>0</v>
      </c>
      <c r="CI89" s="156">
        <f>CI87+CI88</f>
        <v>4354</v>
      </c>
      <c r="CJ89" s="155">
        <f>CI89-CH89</f>
        <v>4354</v>
      </c>
    </row>
    <row r="90" spans="1:88" s="3" customFormat="1" x14ac:dyDescent="0.2">
      <c r="A90" s="23" t="s">
        <v>103</v>
      </c>
      <c r="B90" s="1"/>
      <c r="C90" s="47"/>
      <c r="D90" s="47"/>
      <c r="E90" s="47"/>
      <c r="F90" s="47"/>
      <c r="G90" s="47"/>
      <c r="H90" s="47"/>
      <c r="I90" s="47"/>
      <c r="J90" s="47"/>
      <c r="K90" s="47"/>
      <c r="L90" s="47"/>
      <c r="M90" s="47"/>
      <c r="N90" s="47"/>
      <c r="O90" s="149"/>
      <c r="P90" s="158"/>
      <c r="Q90" s="158"/>
      <c r="R90" s="149"/>
      <c r="S90" s="149"/>
      <c r="T90" s="158"/>
      <c r="U90" s="158"/>
      <c r="V90" s="149"/>
      <c r="W90" s="149"/>
      <c r="X90" s="158"/>
      <c r="Y90" s="158"/>
      <c r="Z90" s="149"/>
      <c r="AA90" s="149"/>
      <c r="AB90" s="237"/>
      <c r="AC90" s="149"/>
      <c r="AD90" s="149"/>
      <c r="AE90" s="149"/>
      <c r="AF90" s="149"/>
      <c r="AG90" s="149"/>
      <c r="AH90" s="254"/>
      <c r="AI90" s="149"/>
      <c r="AJ90" s="149"/>
      <c r="AK90" s="149"/>
      <c r="AL90" s="149"/>
      <c r="AM90" s="149"/>
      <c r="AN90" s="149"/>
      <c r="AO90" s="149"/>
      <c r="AP90" s="149"/>
      <c r="AQ90" s="149"/>
      <c r="AR90" s="149"/>
      <c r="AS90" s="149"/>
      <c r="AT90" s="149"/>
      <c r="AU90" s="149"/>
      <c r="AV90" s="149"/>
      <c r="AW90" s="149"/>
      <c r="AX90" s="149"/>
      <c r="AY90" s="149"/>
      <c r="AZ90" s="149"/>
      <c r="BA90" s="149"/>
      <c r="BB90" s="149"/>
      <c r="BC90" s="149"/>
      <c r="BD90" s="149"/>
      <c r="BE90" s="149"/>
      <c r="BF90" s="149"/>
      <c r="BG90" s="149"/>
      <c r="BH90" s="149"/>
      <c r="BI90" s="149"/>
      <c r="BJ90" s="149"/>
      <c r="BL90" s="68"/>
      <c r="CH90" s="149"/>
      <c r="CI90" s="158"/>
      <c r="CJ90" s="158"/>
    </row>
    <row r="91" spans="1:88" s="3" customFormat="1" x14ac:dyDescent="0.2">
      <c r="A91" t="s">
        <v>104</v>
      </c>
      <c r="B91" s="1"/>
      <c r="C91" s="47"/>
      <c r="D91" s="47"/>
      <c r="E91" s="44">
        <f>O87+S91+W91+AA91+AE91+AI91+AM91+AQ91+AU91+AY91+BC91+BG91</f>
        <v>78200</v>
      </c>
      <c r="F91" s="47"/>
      <c r="G91" s="47"/>
      <c r="H91" s="47"/>
      <c r="I91" s="47"/>
      <c r="J91" s="47"/>
      <c r="K91" s="47"/>
      <c r="L91" s="47"/>
      <c r="M91" s="47"/>
      <c r="N91" s="47"/>
      <c r="O91" s="66">
        <v>8700</v>
      </c>
      <c r="P91" s="66">
        <v>9177</v>
      </c>
      <c r="Q91" s="154">
        <f>O91-P91</f>
        <v>-477</v>
      </c>
      <c r="R91" s="149"/>
      <c r="S91" s="66">
        <v>8600</v>
      </c>
      <c r="T91" s="154">
        <v>8196</v>
      </c>
      <c r="U91" s="154">
        <f>S91-T91</f>
        <v>404</v>
      </c>
      <c r="V91" s="66"/>
      <c r="W91" s="66">
        <v>8600</v>
      </c>
      <c r="X91" s="154">
        <v>8614</v>
      </c>
      <c r="Y91" s="170">
        <f>X91-W91</f>
        <v>14</v>
      </c>
      <c r="Z91" s="66"/>
      <c r="AA91" s="66">
        <v>7200</v>
      </c>
      <c r="AB91" s="162">
        <v>7208</v>
      </c>
      <c r="AC91" s="170">
        <f t="shared" ref="AC91:AC93" si="134">AB91-AA91</f>
        <v>8</v>
      </c>
      <c r="AD91" s="66"/>
      <c r="AE91" s="66">
        <v>7200</v>
      </c>
      <c r="AF91" s="162">
        <v>7209</v>
      </c>
      <c r="AG91" s="170">
        <f t="shared" ref="AG91:AG92" si="135">AF91-AE91</f>
        <v>9</v>
      </c>
      <c r="AH91" s="242"/>
      <c r="AI91" s="66">
        <v>7100</v>
      </c>
      <c r="AJ91" s="162">
        <v>7208</v>
      </c>
      <c r="AK91" s="152">
        <f>AJ91-AI91</f>
        <v>108</v>
      </c>
      <c r="AL91" s="66"/>
      <c r="AM91" s="66">
        <v>6900</v>
      </c>
      <c r="AN91" s="162">
        <v>7209</v>
      </c>
      <c r="AO91" s="152">
        <f>AN91-AM91</f>
        <v>309</v>
      </c>
      <c r="AP91" s="66"/>
      <c r="AQ91" s="66">
        <v>6800</v>
      </c>
      <c r="AR91" s="162">
        <v>7209</v>
      </c>
      <c r="AS91" s="152">
        <f>AR91-AQ91</f>
        <v>409</v>
      </c>
      <c r="AT91" s="66"/>
      <c r="AU91" s="66">
        <v>6700</v>
      </c>
      <c r="AV91" s="162">
        <v>7072</v>
      </c>
      <c r="AW91" s="152">
        <f>AV91-AU91</f>
        <v>372</v>
      </c>
      <c r="AX91" s="66"/>
      <c r="AY91" s="66">
        <v>6500</v>
      </c>
      <c r="AZ91" s="66">
        <v>6936</v>
      </c>
      <c r="BA91" s="152">
        <f>AZ91-AY91</f>
        <v>436</v>
      </c>
      <c r="BB91" s="66"/>
      <c r="BC91" s="66">
        <v>6400</v>
      </c>
      <c r="BD91" s="233">
        <v>6807</v>
      </c>
      <c r="BE91" s="152">
        <f>BD91-BC91</f>
        <v>407</v>
      </c>
      <c r="BF91" s="66"/>
      <c r="BG91" s="66">
        <v>6200</v>
      </c>
      <c r="BH91" s="233">
        <v>6661</v>
      </c>
      <c r="BI91" s="152">
        <f>BH91-BG91</f>
        <v>461</v>
      </c>
      <c r="BJ91" s="66"/>
      <c r="BL91" s="68"/>
      <c r="CH91" s="66">
        <f t="shared" ref="CH91:CH93" si="136">+W91+S91+O91+AA91+AE91+AI91+AM91+AQ91+AU91+AY91+BC91+BG91</f>
        <v>86900</v>
      </c>
      <c r="CI91" s="160">
        <f t="shared" ref="CI91:CI93" si="137">+X91+T91+P91+AB91+AF91+AJ91+AN91+AR91+AV91+AZ91+BD91+BH91</f>
        <v>89506</v>
      </c>
      <c r="CJ91" s="152">
        <f>CH91-CI91</f>
        <v>-2606</v>
      </c>
    </row>
    <row r="92" spans="1:88" s="3" customFormat="1" x14ac:dyDescent="0.2">
      <c r="A92" t="s">
        <v>105</v>
      </c>
      <c r="B92" s="1"/>
      <c r="C92" s="47"/>
      <c r="D92" s="47"/>
      <c r="E92" s="47"/>
      <c r="F92" s="47"/>
      <c r="G92" s="47"/>
      <c r="H92" s="47"/>
      <c r="I92" s="47"/>
      <c r="J92" s="47"/>
      <c r="K92" s="47"/>
      <c r="L92" s="47"/>
      <c r="M92" s="47"/>
      <c r="N92" s="47"/>
      <c r="O92" s="66"/>
      <c r="P92" s="154">
        <v>0</v>
      </c>
      <c r="Q92" s="154"/>
      <c r="R92" s="149"/>
      <c r="S92" s="149"/>
      <c r="T92" s="154">
        <v>0</v>
      </c>
      <c r="U92" s="154"/>
      <c r="V92" s="149"/>
      <c r="W92" s="149"/>
      <c r="X92" s="154">
        <v>-829</v>
      </c>
      <c r="Y92" s="170"/>
      <c r="Z92" s="149"/>
      <c r="AA92" s="149"/>
      <c r="AB92" s="162">
        <v>4772</v>
      </c>
      <c r="AC92" s="170">
        <f t="shared" si="134"/>
        <v>4772</v>
      </c>
      <c r="AD92" s="149"/>
      <c r="AE92" s="66">
        <v>0</v>
      </c>
      <c r="AF92" s="162">
        <v>0</v>
      </c>
      <c r="AG92" s="170">
        <f t="shared" si="135"/>
        <v>0</v>
      </c>
      <c r="AH92" s="254"/>
      <c r="AI92" s="149"/>
      <c r="AJ92" s="149">
        <v>0</v>
      </c>
      <c r="AK92" s="149"/>
      <c r="AL92" s="149"/>
      <c r="AM92" s="149"/>
      <c r="AN92" s="149">
        <v>0</v>
      </c>
      <c r="AO92" s="149"/>
      <c r="AP92" s="149"/>
      <c r="AQ92" s="149"/>
      <c r="AR92" s="162">
        <v>1537</v>
      </c>
      <c r="AS92" s="149"/>
      <c r="AT92" s="149"/>
      <c r="AU92" s="149"/>
      <c r="AV92" s="162">
        <v>4118</v>
      </c>
      <c r="AW92" s="149"/>
      <c r="AX92" s="149"/>
      <c r="AY92" s="149"/>
      <c r="AZ92" s="66">
        <v>6690</v>
      </c>
      <c r="BA92" s="149"/>
      <c r="BB92" s="149"/>
      <c r="BC92" s="149"/>
      <c r="BD92" s="233">
        <v>6691</v>
      </c>
      <c r="BE92" s="149"/>
      <c r="BF92" s="149"/>
      <c r="BG92" s="149"/>
      <c r="BH92" s="233">
        <v>4118</v>
      </c>
      <c r="BI92" s="149"/>
      <c r="BJ92" s="149"/>
      <c r="BL92" s="68"/>
      <c r="CH92" s="66">
        <f t="shared" si="136"/>
        <v>0</v>
      </c>
      <c r="CI92" s="160">
        <f t="shared" si="137"/>
        <v>27097</v>
      </c>
      <c r="CJ92" s="152">
        <f t="shared" ref="CJ92:CJ94" si="138">CH92-CI92</f>
        <v>-27097</v>
      </c>
    </row>
    <row r="93" spans="1:88" s="3" customFormat="1" x14ac:dyDescent="0.2">
      <c r="A93" t="s">
        <v>106</v>
      </c>
      <c r="B93" s="1"/>
      <c r="C93" s="47"/>
      <c r="D93" s="47"/>
      <c r="E93" s="47"/>
      <c r="F93" s="47"/>
      <c r="G93" s="47"/>
      <c r="H93" s="47"/>
      <c r="I93" s="47"/>
      <c r="J93" s="47"/>
      <c r="K93" s="47"/>
      <c r="L93" s="47"/>
      <c r="M93" s="47"/>
      <c r="N93" s="47"/>
      <c r="O93" s="149"/>
      <c r="P93" s="158"/>
      <c r="Q93" s="158"/>
      <c r="R93" s="149"/>
      <c r="S93" s="149"/>
      <c r="T93" s="158"/>
      <c r="U93" s="158"/>
      <c r="V93" s="149"/>
      <c r="W93" s="149"/>
      <c r="X93" s="158"/>
      <c r="Y93" s="158"/>
      <c r="Z93" s="149"/>
      <c r="AA93" s="149"/>
      <c r="AB93" s="162"/>
      <c r="AC93" s="170">
        <f t="shared" si="134"/>
        <v>0</v>
      </c>
      <c r="AD93" s="149"/>
      <c r="AE93" s="149"/>
      <c r="AF93" s="162"/>
      <c r="AG93" s="149"/>
      <c r="AH93" s="254"/>
      <c r="AI93" s="149"/>
      <c r="AJ93" s="149"/>
      <c r="AK93" s="149"/>
      <c r="AL93" s="149"/>
      <c r="AM93" s="149"/>
      <c r="AN93" s="149"/>
      <c r="AO93" s="149"/>
      <c r="AP93" s="149"/>
      <c r="AQ93" s="149"/>
      <c r="AR93" s="149"/>
      <c r="AS93" s="149"/>
      <c r="AT93" s="149"/>
      <c r="AU93" s="149"/>
      <c r="AV93" s="149"/>
      <c r="AW93" s="149"/>
      <c r="AX93" s="149"/>
      <c r="AY93" s="149"/>
      <c r="AZ93" s="149"/>
      <c r="BA93" s="149"/>
      <c r="BB93" s="149"/>
      <c r="BC93" s="149"/>
      <c r="BD93" s="233"/>
      <c r="BE93" s="149"/>
      <c r="BF93" s="149"/>
      <c r="BG93" s="149"/>
      <c r="BH93" s="149"/>
      <c r="BI93" s="149"/>
      <c r="BJ93" s="149"/>
      <c r="BL93" s="68"/>
      <c r="CH93" s="66">
        <f t="shared" si="136"/>
        <v>0</v>
      </c>
      <c r="CI93" s="160">
        <f t="shared" si="137"/>
        <v>0</v>
      </c>
      <c r="CJ93" s="152">
        <f t="shared" si="138"/>
        <v>0</v>
      </c>
    </row>
    <row r="94" spans="1:88" s="3" customFormat="1" x14ac:dyDescent="0.2">
      <c r="A94" s="41" t="s">
        <v>108</v>
      </c>
      <c r="B94" s="1"/>
      <c r="C94" s="47"/>
      <c r="D94" s="47"/>
      <c r="E94" s="47">
        <f>SUM(E91:E93)</f>
        <v>78200</v>
      </c>
      <c r="F94" s="47"/>
      <c r="G94" s="47"/>
      <c r="H94" s="47"/>
      <c r="I94" s="47"/>
      <c r="J94" s="47"/>
      <c r="K94" s="47"/>
      <c r="L94" s="47"/>
      <c r="M94" s="47"/>
      <c r="N94" s="47"/>
      <c r="O94" s="67">
        <f>SUM(O91:O93)</f>
        <v>8700</v>
      </c>
      <c r="P94" s="156">
        <f>SUM(P91:P93)</f>
        <v>9177</v>
      </c>
      <c r="Q94" s="156">
        <f>O94-P94</f>
        <v>-477</v>
      </c>
      <c r="R94" s="149"/>
      <c r="S94" s="67">
        <f>SUM(S91:S93)</f>
        <v>8600</v>
      </c>
      <c r="T94" s="156">
        <f>SUM(T91:T93)</f>
        <v>8196</v>
      </c>
      <c r="U94" s="156">
        <f>S94-T94</f>
        <v>404</v>
      </c>
      <c r="V94" s="66"/>
      <c r="W94" s="67">
        <f>SUM(W91:W93)</f>
        <v>8600</v>
      </c>
      <c r="X94" s="156">
        <f>SUM(X91:X93)</f>
        <v>7785</v>
      </c>
      <c r="Y94" s="156">
        <f>W94-X94</f>
        <v>815</v>
      </c>
      <c r="Z94" s="149"/>
      <c r="AA94" s="67">
        <f t="shared" ref="AA94:BG94" si="139">SUM(AA91:AA93)</f>
        <v>7200</v>
      </c>
      <c r="AB94" s="164">
        <f>SUM(AB91:AB93)</f>
        <v>11980</v>
      </c>
      <c r="AC94" s="156">
        <f>AA94-AB94</f>
        <v>-4780</v>
      </c>
      <c r="AD94" s="67"/>
      <c r="AE94" s="67">
        <f t="shared" si="139"/>
        <v>7200</v>
      </c>
      <c r="AF94" s="164">
        <f>SUM(AF91:AF93)</f>
        <v>7209</v>
      </c>
      <c r="AG94" s="156">
        <f>AE94-AF94</f>
        <v>-9</v>
      </c>
      <c r="AH94" s="251"/>
      <c r="AI94" s="67">
        <f t="shared" si="139"/>
        <v>7100</v>
      </c>
      <c r="AJ94" s="164">
        <f>SUM(AJ91:AJ93)</f>
        <v>7208</v>
      </c>
      <c r="AK94" s="156">
        <f>AI94-AJ94</f>
        <v>-108</v>
      </c>
      <c r="AL94" s="67"/>
      <c r="AM94" s="67">
        <f t="shared" si="139"/>
        <v>6900</v>
      </c>
      <c r="AN94" s="164">
        <f>SUM(AN91:AN93)</f>
        <v>7209</v>
      </c>
      <c r="AO94" s="156">
        <f>AM94-AN94</f>
        <v>-309</v>
      </c>
      <c r="AP94" s="67"/>
      <c r="AQ94" s="67">
        <f t="shared" si="139"/>
        <v>6800</v>
      </c>
      <c r="AR94" s="164">
        <f>SUM(AR91:AR93)</f>
        <v>8746</v>
      </c>
      <c r="AS94" s="156">
        <f>AQ94-AR94</f>
        <v>-1946</v>
      </c>
      <c r="AT94" s="67"/>
      <c r="AU94" s="67">
        <f t="shared" si="139"/>
        <v>6700</v>
      </c>
      <c r="AV94" s="164">
        <f>SUM(AV91:AV93)</f>
        <v>11190</v>
      </c>
      <c r="AW94" s="156">
        <f>AU94-AV94</f>
        <v>-4490</v>
      </c>
      <c r="AX94" s="67"/>
      <c r="AY94" s="67">
        <f t="shared" si="139"/>
        <v>6500</v>
      </c>
      <c r="AZ94" s="164">
        <f>SUM(AZ91:AZ93)</f>
        <v>13626</v>
      </c>
      <c r="BA94" s="156">
        <f>AY94-AZ94</f>
        <v>-7126</v>
      </c>
      <c r="BB94" s="67"/>
      <c r="BC94" s="67">
        <f t="shared" si="139"/>
        <v>6400</v>
      </c>
      <c r="BD94" s="164">
        <f>SUM(BD91:BD93)</f>
        <v>13498</v>
      </c>
      <c r="BE94" s="156">
        <f>BC94-BD94</f>
        <v>-7098</v>
      </c>
      <c r="BF94" s="67"/>
      <c r="BG94" s="67">
        <f t="shared" si="139"/>
        <v>6200</v>
      </c>
      <c r="BH94" s="164">
        <f>SUM(BH91:BH93)</f>
        <v>10779</v>
      </c>
      <c r="BI94" s="156">
        <f>BG94-BH94</f>
        <v>-4579</v>
      </c>
      <c r="BJ94" s="67"/>
      <c r="BL94" s="68"/>
      <c r="CH94" s="48">
        <f>SUM(CH91:CH93)</f>
        <v>86900</v>
      </c>
      <c r="CI94" s="164">
        <f>SUM(CI91:CI93)</f>
        <v>116603</v>
      </c>
      <c r="CJ94" s="156">
        <f t="shared" si="138"/>
        <v>-29703</v>
      </c>
    </row>
    <row r="95" spans="1:88" s="3" customFormat="1" x14ac:dyDescent="0.2">
      <c r="A95" s="23"/>
      <c r="B95" s="1"/>
      <c r="C95" s="47"/>
      <c r="D95" s="47"/>
      <c r="E95" s="47"/>
      <c r="F95" s="47"/>
      <c r="G95" s="47"/>
      <c r="H95" s="47"/>
      <c r="I95" s="47"/>
      <c r="J95" s="47"/>
      <c r="K95" s="47"/>
      <c r="L95" s="47"/>
      <c r="M95" s="47"/>
      <c r="N95" s="47"/>
      <c r="O95" s="149"/>
      <c r="P95" s="158"/>
      <c r="Q95" s="158"/>
      <c r="R95" s="149"/>
      <c r="S95" s="149"/>
      <c r="T95" s="158"/>
      <c r="U95" s="158"/>
      <c r="V95" s="149"/>
      <c r="W95" s="149"/>
      <c r="X95" s="158"/>
      <c r="Y95" s="158"/>
      <c r="Z95" s="149"/>
      <c r="AA95" s="149"/>
      <c r="AB95" s="237"/>
      <c r="AC95" s="149"/>
      <c r="AD95" s="149"/>
      <c r="AE95" s="149"/>
      <c r="AF95" s="149"/>
      <c r="AG95" s="149"/>
      <c r="AH95" s="254"/>
      <c r="AI95" s="149"/>
      <c r="AJ95" s="149"/>
      <c r="AK95" s="149"/>
      <c r="AL95" s="149"/>
      <c r="AM95" s="149"/>
      <c r="AN95" s="149"/>
      <c r="AO95" s="149"/>
      <c r="AP95" s="149"/>
      <c r="AQ95" s="149"/>
      <c r="AR95" s="149"/>
      <c r="AS95" s="149"/>
      <c r="AT95" s="149"/>
      <c r="AU95" s="149"/>
      <c r="AV95" s="149"/>
      <c r="AW95" s="149"/>
      <c r="AX95" s="149"/>
      <c r="AY95" s="149"/>
      <c r="AZ95" s="149"/>
      <c r="BA95" s="149"/>
      <c r="BB95" s="149"/>
      <c r="BC95" s="149"/>
      <c r="BD95" s="149"/>
      <c r="BE95" s="149"/>
      <c r="BF95" s="149"/>
      <c r="BG95" s="149"/>
      <c r="BH95" s="149"/>
      <c r="BI95" s="149"/>
      <c r="BJ95" s="149"/>
      <c r="BL95" s="68"/>
      <c r="CH95" s="149"/>
      <c r="CI95" s="158"/>
      <c r="CJ95" s="158"/>
    </row>
    <row r="96" spans="1:88" s="3" customFormat="1" ht="17" thickBot="1" x14ac:dyDescent="0.25">
      <c r="A96" s="23" t="s">
        <v>109</v>
      </c>
      <c r="B96" s="1"/>
      <c r="C96" s="47"/>
      <c r="D96" s="47"/>
      <c r="E96" s="26">
        <f>E83+E89-E94</f>
        <v>415243.5918058505</v>
      </c>
      <c r="F96" s="47"/>
      <c r="G96" s="47"/>
      <c r="H96" s="47"/>
      <c r="I96" s="47"/>
      <c r="J96" s="47"/>
      <c r="K96" s="47"/>
      <c r="L96" s="47"/>
      <c r="M96" s="47"/>
      <c r="N96" s="47"/>
      <c r="O96" s="70">
        <f>O83+O89-O94</f>
        <v>12598.871063500061</v>
      </c>
      <c r="P96" s="157">
        <f>P83+P89-P94</f>
        <v>-24337</v>
      </c>
      <c r="Q96" s="157">
        <f>P96-O96</f>
        <v>-36935.871063500061</v>
      </c>
      <c r="R96" s="149"/>
      <c r="S96" s="70">
        <f>S83+S89-S94</f>
        <v>12065.317500000005</v>
      </c>
      <c r="T96" s="157">
        <f>T83+T89-T94</f>
        <v>-24715</v>
      </c>
      <c r="U96" s="157">
        <f>T96-S96</f>
        <v>-36780.317500000005</v>
      </c>
      <c r="V96" s="149"/>
      <c r="W96" s="70">
        <f>W83+W89-W94</f>
        <v>25104.641516666685</v>
      </c>
      <c r="X96" s="157">
        <f>X83+X89-X94</f>
        <v>-10868</v>
      </c>
      <c r="Y96" s="157">
        <f>X96-W96</f>
        <v>-35972.641516666685</v>
      </c>
      <c r="Z96" s="149"/>
      <c r="AA96" s="70">
        <f t="shared" ref="AA96:BG96" si="140">AA83+AA89-AA94</f>
        <v>27169.711516666634</v>
      </c>
      <c r="AB96" s="165">
        <f>AB83+AB89-AB94</f>
        <v>39855.410000000003</v>
      </c>
      <c r="AC96" s="157">
        <f>AB96-AA96</f>
        <v>12685.69848333337</v>
      </c>
      <c r="AD96" s="70"/>
      <c r="AE96" s="70">
        <f t="shared" si="140"/>
        <v>27990.399166666728</v>
      </c>
      <c r="AF96" s="165">
        <f>AF83+AF89-AF94</f>
        <v>-14757.468932910298</v>
      </c>
      <c r="AG96" s="157">
        <f>AF96-AE96</f>
        <v>-42747.868099577026</v>
      </c>
      <c r="AH96" s="252"/>
      <c r="AI96" s="70">
        <f t="shared" si="140"/>
        <v>21167.278716666799</v>
      </c>
      <c r="AJ96" s="165">
        <f>AJ83+AJ89-AJ94</f>
        <v>42046.631448654021</v>
      </c>
      <c r="AK96" s="157">
        <f>AJ96-AI96</f>
        <v>20879.352731987223</v>
      </c>
      <c r="AL96" s="70"/>
      <c r="AM96" s="70">
        <f t="shared" si="140"/>
        <v>32376.448716666724</v>
      </c>
      <c r="AN96" s="165">
        <f>AN83+AN89-AN94</f>
        <v>109374.85846956121</v>
      </c>
      <c r="AO96" s="157">
        <f>AN96-AM96</f>
        <v>76998.409752894484</v>
      </c>
      <c r="AP96" s="70"/>
      <c r="AQ96" s="70">
        <f t="shared" si="140"/>
        <v>38938.238716666761</v>
      </c>
      <c r="AR96" s="165">
        <f>AR83+AR89-AR94</f>
        <v>354275.26889204362</v>
      </c>
      <c r="AS96" s="157">
        <f>AR96-AQ96</f>
        <v>315337.03017537686</v>
      </c>
      <c r="AT96" s="70"/>
      <c r="AU96" s="70">
        <f t="shared" si="140"/>
        <v>42980.788716666808</v>
      </c>
      <c r="AV96" s="165">
        <f>AV83+AV89-AV94</f>
        <v>-7094.1530685920734</v>
      </c>
      <c r="AW96" s="157">
        <f>AV96-AU96</f>
        <v>-50074.941785258881</v>
      </c>
      <c r="AX96" s="70"/>
      <c r="AY96" s="70">
        <f t="shared" si="140"/>
        <v>49596.698742347246</v>
      </c>
      <c r="AZ96" s="165">
        <f>AZ83+AZ89-AZ94</f>
        <v>-45879.150270755927</v>
      </c>
      <c r="BA96" s="157">
        <f>AZ96-AY96</f>
        <v>-95475.849013103172</v>
      </c>
      <c r="BB96" s="70"/>
      <c r="BC96" s="70">
        <f t="shared" si="140"/>
        <v>55099.538716666691</v>
      </c>
      <c r="BD96" s="165">
        <f>BD83+BD89-BD94</f>
        <v>-32400.620000000003</v>
      </c>
      <c r="BE96" s="157">
        <f>BD96-BC96</f>
        <v>-87500.158716666687</v>
      </c>
      <c r="BF96" s="70"/>
      <c r="BG96" s="70">
        <f t="shared" si="140"/>
        <v>61455.658716666803</v>
      </c>
      <c r="BH96" s="165">
        <f>BH83+BH89-BH94</f>
        <v>-40668.33</v>
      </c>
      <c r="BI96" s="157">
        <f>BH96-BG96</f>
        <v>-102123.9887166668</v>
      </c>
      <c r="BJ96" s="70"/>
      <c r="BL96" s="68"/>
      <c r="CH96" s="70">
        <f t="shared" ref="CH96:CI96" si="141">CH83+CH89-CH94</f>
        <v>406543.59180584853</v>
      </c>
      <c r="CI96" s="165">
        <f t="shared" si="141"/>
        <v>344832.44653800013</v>
      </c>
      <c r="CJ96" s="157">
        <f>CI96-CH96</f>
        <v>-61711.145267848391</v>
      </c>
    </row>
    <row r="97" spans="1:88" s="3" customFormat="1" ht="17" thickTop="1" x14ac:dyDescent="0.2">
      <c r="A97"/>
      <c r="B97" s="16"/>
      <c r="C97" s="26"/>
      <c r="D97" s="16"/>
      <c r="F97" s="16"/>
      <c r="G97" s="26"/>
      <c r="H97" s="16"/>
      <c r="I97" s="26"/>
      <c r="J97" s="16"/>
      <c r="K97" s="26"/>
      <c r="M97"/>
      <c r="N97"/>
      <c r="O97" s="68"/>
      <c r="P97" s="68"/>
      <c r="Q97" s="68"/>
      <c r="R97" s="68"/>
      <c r="S97" s="66"/>
      <c r="T97" s="66"/>
      <c r="U97" s="66"/>
      <c r="V97" s="66"/>
      <c r="W97" s="66"/>
      <c r="X97" s="66"/>
      <c r="Y97" s="66"/>
      <c r="Z97" s="66"/>
      <c r="AA97" s="66"/>
      <c r="AB97" s="66"/>
      <c r="AC97" s="66"/>
      <c r="AD97" s="66"/>
      <c r="AE97" s="66"/>
      <c r="AF97" s="66"/>
      <c r="AG97" s="66"/>
      <c r="AH97" s="242"/>
      <c r="AI97" s="66"/>
      <c r="AJ97" s="66"/>
      <c r="AK97" s="66"/>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row>
    <row r="98" spans="1:88" s="3" customFormat="1" x14ac:dyDescent="0.2">
      <c r="A98" s="27" t="s">
        <v>110</v>
      </c>
      <c r="B98" s="12"/>
      <c r="C98" s="12"/>
      <c r="D98" s="12"/>
      <c r="E98" s="12">
        <f>E83/E11</f>
        <v>5.4900749683435661E-2</v>
      </c>
      <c r="F98" s="12"/>
      <c r="G98" s="12">
        <f>G83/G11</f>
        <v>0.29506938428487456</v>
      </c>
      <c r="H98" s="12"/>
      <c r="I98" s="12">
        <f>I83/I11</f>
        <v>0.28701232640733526</v>
      </c>
      <c r="J98" s="12"/>
      <c r="K98" s="12">
        <f>K83/K11</f>
        <v>0.28786179708568244</v>
      </c>
      <c r="L98" s="12"/>
      <c r="M98" s="12">
        <f>M83/M11</f>
        <v>0.28867177915287012</v>
      </c>
      <c r="N98" s="12"/>
      <c r="O98" s="12">
        <f>+O96/O11</f>
        <v>1.7496029461750207E-2</v>
      </c>
      <c r="P98" s="12">
        <f>+P96/P11</f>
        <v>-4.5451234748894863E-2</v>
      </c>
      <c r="Q98" s="12"/>
      <c r="R98" s="12"/>
      <c r="S98" s="12">
        <f>+S96/S11</f>
        <v>1.6879338638328596E-2</v>
      </c>
      <c r="T98" s="12">
        <f>+T96/T11</f>
        <v>-5.2514044824450316E-2</v>
      </c>
      <c r="U98" s="12"/>
      <c r="V98" s="12"/>
      <c r="W98" s="12">
        <f>+W96/W11</f>
        <v>3.4618093795474959E-2</v>
      </c>
      <c r="X98" s="12">
        <f>+X96/X11</f>
        <v>-2.5913703647184497E-2</v>
      </c>
      <c r="Y98" s="12"/>
      <c r="Z98" s="12"/>
      <c r="AA98" s="12">
        <f>+AA96/AA11</f>
        <v>3.6812657974022625E-2</v>
      </c>
      <c r="AB98" s="12">
        <f>+AB96/AB11</f>
        <v>5.0267713337613186E-2</v>
      </c>
      <c r="AC98" s="12"/>
      <c r="AD98" s="12"/>
      <c r="AE98" s="12">
        <f t="shared" ref="AE98:BG98" si="142">AE83/AE11</f>
        <v>4.7172116845397759E-2</v>
      </c>
      <c r="AF98" s="12">
        <f>+AF96/AF11</f>
        <v>-2.2382692803868044E-2</v>
      </c>
      <c r="AG98" s="12"/>
      <c r="AH98" s="253"/>
      <c r="AI98" s="12">
        <f t="shared" si="142"/>
        <v>3.8220879395075451E-2</v>
      </c>
      <c r="AJ98" s="12">
        <f>+AJ96/AJ11</f>
        <v>5.8805572849444307E-2</v>
      </c>
      <c r="AK98" s="12"/>
      <c r="AL98" s="12"/>
      <c r="AM98" s="12">
        <f t="shared" si="142"/>
        <v>5.2265040369260336E-2</v>
      </c>
      <c r="AN98" s="12">
        <f>+AN96/AN11</f>
        <v>0.10182987566224298</v>
      </c>
      <c r="AO98" s="12"/>
      <c r="AP98" s="12"/>
      <c r="AQ98" s="12">
        <f t="shared" si="142"/>
        <v>6.0273267357247445E-2</v>
      </c>
      <c r="AR98" s="12">
        <f>+AR96/AR11</f>
        <v>0.24841287860859698</v>
      </c>
      <c r="AS98" s="12"/>
      <c r="AT98" s="12"/>
      <c r="AU98" s="12">
        <f t="shared" si="142"/>
        <v>6.5104723368307554E-2</v>
      </c>
      <c r="AV98" s="12">
        <f>+AV96/AV11</f>
        <v>-1.5165543424363267E-2</v>
      </c>
      <c r="AW98" s="12"/>
      <c r="AX98" s="12"/>
      <c r="AY98" s="12">
        <f t="shared" si="142"/>
        <v>7.2729456333569489E-2</v>
      </c>
      <c r="AZ98" s="12">
        <f>+AZ96/AZ11</f>
        <v>-7.5706169920853453E-2</v>
      </c>
      <c r="BA98" s="12"/>
      <c r="BB98" s="12"/>
      <c r="BC98" s="12">
        <f t="shared" si="142"/>
        <v>7.9240838153671361E-2</v>
      </c>
      <c r="BD98" s="12">
        <f>+BD96/BD11</f>
        <v>-6.7885267712163591E-2</v>
      </c>
      <c r="BE98" s="12"/>
      <c r="BF98" s="12"/>
      <c r="BG98" s="12">
        <f t="shared" si="142"/>
        <v>8.6365406037448259E-2</v>
      </c>
      <c r="BH98" s="12"/>
      <c r="BI98" s="12"/>
      <c r="BJ98" s="12"/>
      <c r="CH98" s="12">
        <f>+CH96/CH11</f>
        <v>4.5232217703861786E-2</v>
      </c>
      <c r="CI98" s="12">
        <f>+CI96/CI11</f>
        <v>4.3093756409468151E-2</v>
      </c>
      <c r="CJ98" s="12"/>
    </row>
    <row r="99" spans="1:88" x14ac:dyDescent="0.2">
      <c r="AJ99" s="169"/>
      <c r="BC99" s="75"/>
      <c r="BD99" s="260"/>
      <c r="BE99" s="260"/>
      <c r="BF99" s="260"/>
    </row>
    <row r="100" spans="1:88" x14ac:dyDescent="0.2">
      <c r="P100" s="171"/>
      <c r="T100" s="171"/>
      <c r="X100" s="171"/>
      <c r="AJ100" s="169"/>
      <c r="AR100" s="171"/>
      <c r="CJ100" s="169"/>
    </row>
    <row r="101" spans="1:88" x14ac:dyDescent="0.2">
      <c r="A101" s="36"/>
      <c r="E101" s="35"/>
      <c r="G101" s="35"/>
      <c r="K101" s="35"/>
      <c r="M101" s="35"/>
      <c r="N101" s="35"/>
      <c r="P101" s="169"/>
      <c r="T101" s="169"/>
      <c r="X101" s="169"/>
      <c r="AR101" s="265"/>
      <c r="AV101" s="169"/>
    </row>
    <row r="102" spans="1:88" x14ac:dyDescent="0.2">
      <c r="A102" s="36"/>
      <c r="E102" s="35"/>
      <c r="G102" s="35"/>
      <c r="K102" s="35"/>
      <c r="AR102" s="169"/>
    </row>
    <row r="103" spans="1:88" x14ac:dyDescent="0.2">
      <c r="A103" s="36"/>
      <c r="E103" s="35"/>
    </row>
  </sheetData>
  <mergeCells count="22">
    <mergeCell ref="BB14:BB16"/>
    <mergeCell ref="BB17:BB18"/>
    <mergeCell ref="AX14:AX16"/>
    <mergeCell ref="AX17:AX18"/>
    <mergeCell ref="CH8:CJ8"/>
    <mergeCell ref="BF14:BF16"/>
    <mergeCell ref="BF17:BF18"/>
    <mergeCell ref="BJ14:BJ16"/>
    <mergeCell ref="BJ17:BJ18"/>
    <mergeCell ref="E3:G4"/>
    <mergeCell ref="AA5:AM6"/>
    <mergeCell ref="O8:Q8"/>
    <mergeCell ref="S8:U8"/>
    <mergeCell ref="W8:Z8"/>
    <mergeCell ref="AA8:AC8"/>
    <mergeCell ref="AI8:AK8"/>
    <mergeCell ref="AM8:AO8"/>
    <mergeCell ref="AQ8:AS8"/>
    <mergeCell ref="AU8:AW8"/>
    <mergeCell ref="AY8:BA8"/>
    <mergeCell ref="BC8:BE8"/>
    <mergeCell ref="BF8:BH8"/>
  </mergeCells>
  <pageMargins left="0.75" right="0.75" top="1" bottom="1" header="0.5" footer="0.5"/>
  <pageSetup scale="28" orientation="landscape" horizontalDpi="4294967292" verticalDpi="4294967292"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4F4C0-2498-43FF-B1D8-376ED698D27C}">
  <sheetPr>
    <tabColor theme="9" tint="0.59999389629810485"/>
  </sheetPr>
  <dimension ref="A1:AC32"/>
  <sheetViews>
    <sheetView topLeftCell="C1" workbookViewId="0">
      <selection activeCell="G7" sqref="G7"/>
    </sheetView>
  </sheetViews>
  <sheetFormatPr baseColWidth="10" defaultColWidth="9" defaultRowHeight="16" x14ac:dyDescent="0.2"/>
  <cols>
    <col min="1" max="1" width="7.83203125" style="88" customWidth="1"/>
    <col min="2" max="2" width="28" style="88" customWidth="1"/>
    <col min="3" max="3" width="1.6640625" style="88" customWidth="1"/>
    <col min="4" max="4" width="30.33203125" style="88" customWidth="1"/>
    <col min="5" max="5" width="4.6640625" style="88" customWidth="1"/>
    <col min="6" max="6" width="6" style="88" customWidth="1"/>
    <col min="7" max="19" width="15.6640625" style="88" customWidth="1"/>
    <col min="20" max="20" width="3.1640625" style="88" customWidth="1"/>
    <col min="21" max="21" width="27" style="105" customWidth="1"/>
    <col min="22" max="22" width="1.6640625" style="88" customWidth="1"/>
    <col min="23" max="23" width="15.6640625" style="88" customWidth="1"/>
    <col min="24" max="24" width="1.33203125" style="88" customWidth="1"/>
    <col min="25" max="25" width="9" style="88"/>
    <col min="26" max="26" width="1.6640625" style="88" customWidth="1"/>
    <col min="27" max="27" width="15.6640625" style="88" customWidth="1"/>
    <col min="28" max="28" width="3.1640625" style="88" customWidth="1"/>
    <col min="29" max="16384" width="9" style="88"/>
  </cols>
  <sheetData>
    <row r="1" spans="1:29" x14ac:dyDescent="0.2">
      <c r="B1" s="90"/>
      <c r="D1" s="89"/>
      <c r="E1" s="89"/>
      <c r="H1" s="90"/>
      <c r="I1" s="90"/>
      <c r="J1" s="90"/>
      <c r="K1" s="90"/>
      <c r="L1" s="90"/>
      <c r="M1" s="90"/>
      <c r="N1" s="90"/>
      <c r="O1" s="90"/>
      <c r="P1" s="90"/>
      <c r="Q1" s="90"/>
      <c r="R1" s="90"/>
      <c r="S1" s="90"/>
      <c r="T1" s="112"/>
      <c r="U1" s="116"/>
      <c r="V1" s="116"/>
      <c r="W1" s="116"/>
      <c r="X1" s="116"/>
      <c r="Y1" s="116"/>
      <c r="Z1" s="116"/>
      <c r="AA1" s="116"/>
      <c r="AB1" s="112"/>
      <c r="AC1" s="89"/>
    </row>
    <row r="2" spans="1:29" ht="15.75" customHeight="1" x14ac:dyDescent="0.2">
      <c r="B2" s="90"/>
      <c r="D2" s="89"/>
      <c r="E2" s="89"/>
      <c r="G2" s="91"/>
      <c r="H2" s="102"/>
      <c r="I2" s="102"/>
      <c r="J2" s="102"/>
      <c r="K2" s="102"/>
      <c r="L2" s="102"/>
      <c r="M2" s="102"/>
      <c r="N2" s="102"/>
      <c r="O2" s="102"/>
      <c r="P2" s="102"/>
      <c r="Q2" s="102"/>
      <c r="R2" s="102"/>
      <c r="S2" s="107"/>
      <c r="T2" s="114"/>
      <c r="U2" s="292"/>
      <c r="V2" s="293"/>
      <c r="W2" s="293"/>
      <c r="X2" s="293"/>
      <c r="Y2" s="293"/>
      <c r="Z2" s="293"/>
      <c r="AA2" s="294"/>
      <c r="AB2" s="115"/>
      <c r="AC2" s="89"/>
    </row>
    <row r="3" spans="1:29" x14ac:dyDescent="0.2">
      <c r="B3" s="102"/>
      <c r="D3" s="98"/>
      <c r="E3" s="129"/>
      <c r="F3" s="90"/>
      <c r="G3" s="94" t="s">
        <v>237</v>
      </c>
      <c r="H3" s="87"/>
      <c r="I3" s="87"/>
      <c r="J3" s="87"/>
      <c r="K3" s="87"/>
      <c r="L3" s="87"/>
      <c r="M3" s="87"/>
      <c r="N3" s="87"/>
      <c r="O3" s="87"/>
      <c r="P3" s="87"/>
      <c r="Q3" s="87"/>
      <c r="R3" s="87"/>
      <c r="S3" s="107"/>
      <c r="T3" s="112"/>
      <c r="U3" s="117"/>
      <c r="V3" s="118"/>
      <c r="W3" s="118"/>
      <c r="X3" s="118"/>
      <c r="Y3" s="118"/>
      <c r="Z3" s="118"/>
      <c r="AA3" s="118"/>
      <c r="AB3" s="112"/>
      <c r="AC3" s="89"/>
    </row>
    <row r="4" spans="1:29" x14ac:dyDescent="0.2">
      <c r="A4" s="90"/>
      <c r="B4" s="94" t="s">
        <v>238</v>
      </c>
      <c r="C4" s="101"/>
      <c r="D4" s="94" t="s">
        <v>239</v>
      </c>
      <c r="E4" s="87"/>
      <c r="F4" s="93"/>
      <c r="G4" s="109" t="s">
        <v>10</v>
      </c>
      <c r="H4" s="122" t="s">
        <v>11</v>
      </c>
      <c r="I4" s="122" t="s">
        <v>12</v>
      </c>
      <c r="J4" s="122" t="s">
        <v>13</v>
      </c>
      <c r="K4" s="122" t="s">
        <v>14</v>
      </c>
      <c r="L4" s="122" t="s">
        <v>15</v>
      </c>
      <c r="M4" s="122" t="s">
        <v>16</v>
      </c>
      <c r="N4" s="122" t="s">
        <v>17</v>
      </c>
      <c r="O4" s="122" t="s">
        <v>18</v>
      </c>
      <c r="P4" s="122" t="s">
        <v>19</v>
      </c>
      <c r="Q4" s="122" t="s">
        <v>20</v>
      </c>
      <c r="R4" s="122" t="s">
        <v>21</v>
      </c>
      <c r="S4" s="107"/>
      <c r="T4" s="112"/>
      <c r="U4" s="113"/>
      <c r="V4" s="112"/>
      <c r="W4" s="112"/>
      <c r="X4" s="112"/>
      <c r="Y4" s="87" t="s">
        <v>240</v>
      </c>
      <c r="Z4" s="112"/>
      <c r="AA4" s="112"/>
      <c r="AB4" s="112"/>
      <c r="AC4" s="89"/>
    </row>
    <row r="5" spans="1:29" x14ac:dyDescent="0.2">
      <c r="B5" s="104"/>
      <c r="D5" s="99"/>
      <c r="E5" s="99"/>
      <c r="G5" s="95"/>
      <c r="H5" s="104"/>
      <c r="I5" s="104"/>
      <c r="J5" s="104"/>
      <c r="K5" s="104"/>
      <c r="L5" s="104"/>
      <c r="M5" s="104"/>
      <c r="N5" s="104"/>
      <c r="O5" s="104"/>
      <c r="P5" s="104"/>
      <c r="Q5" s="104"/>
      <c r="R5" s="104"/>
      <c r="S5" s="107"/>
      <c r="T5" s="112"/>
      <c r="U5" s="113"/>
      <c r="V5" s="112"/>
      <c r="W5" s="112"/>
      <c r="X5" s="112"/>
      <c r="Y5" s="112"/>
      <c r="Z5" s="112"/>
      <c r="AA5" s="112"/>
      <c r="AB5" s="112"/>
      <c r="AC5" s="89"/>
    </row>
    <row r="6" spans="1:29" x14ac:dyDescent="0.2">
      <c r="A6" s="90"/>
      <c r="B6" s="96" t="s">
        <v>241</v>
      </c>
      <c r="C6" s="101"/>
      <c r="D6" s="100" t="s">
        <v>42</v>
      </c>
      <c r="E6"/>
      <c r="F6" s="93"/>
      <c r="G6" s="108">
        <f>INDEX('2024 Bdg vs Actual -OH'!$O$11:$BG$37,MATCH(D6,'2024 Bdg vs Actual -OH'!$A$11:$A$37,0),MATCH($G$4,'2024 Bdg vs Actual -OH'!$O$8:$BG$8,0))</f>
        <v>506220</v>
      </c>
      <c r="H6" s="123" t="e">
        <f>INDEX('2024 Bdg vs Actual -OH'!$O$11:$BG$37,MATCH($D$6,'2024 Bdg vs Actual -OH'!$A$11:$A$37,0),MATCH(H$4,'2024 Bdg vs Actual -OH'!$O$8:$BG$8,0))</f>
        <v>#N/A</v>
      </c>
      <c r="I6" s="123">
        <f>INDEX('2024 Bdg vs Actual -OH'!$O$11:$BG$37,MATCH($D$6,'2024 Bdg vs Actual -OH'!$A$11:$A$37,0),MATCH(I$4,'2024 Bdg vs Actual -OH'!$O$8:$BG$8,0))</f>
        <v>506220</v>
      </c>
      <c r="J6" s="123">
        <f>INDEX('2024 Bdg vs Actual -OH'!$O$11:$BG$37,MATCH($D$6,'2024 Bdg vs Actual -OH'!$A$11:$A$37,0),MATCH(J$4,'2024 Bdg vs Actual -OH'!$O$8:$BG$8,0))</f>
        <v>506220</v>
      </c>
      <c r="K6" s="123">
        <f>INDEX('2024 Bdg vs Actual -OH'!$O$11:$BG$37,MATCH($D$6,'2024 Bdg vs Actual -OH'!$A$11:$A$37,0),MATCH(K$4,'2024 Bdg vs Actual -OH'!$O$8:$BG$8,0))</f>
        <v>506220</v>
      </c>
      <c r="L6" s="123">
        <f>INDEX('2024 Bdg vs Actual -OH'!$O$11:$BG$37,MATCH($D$6,'2024 Bdg vs Actual -OH'!$A$11:$A$37,0),MATCH(L$4,'2024 Bdg vs Actual -OH'!$O$8:$BG$8,0))</f>
        <v>506220</v>
      </c>
      <c r="M6" s="123">
        <f>INDEX('2024 Bdg vs Actual -OH'!$O$11:$BG$37,MATCH($D$6,'2024 Bdg vs Actual -OH'!$A$11:$A$37,0),MATCH(M$4,'2024 Bdg vs Actual -OH'!$O$8:$BG$8,0))</f>
        <v>506220</v>
      </c>
      <c r="N6" s="123">
        <f>INDEX('2024 Bdg vs Actual -OH'!$O$11:$BG$37,MATCH($D$6,'2024 Bdg vs Actual -OH'!$A$11:$A$37,0),MATCH(N$4,'2024 Bdg vs Actual -OH'!$O$8:$BG$8,0))</f>
        <v>506220</v>
      </c>
      <c r="O6" s="123">
        <f>INDEX('2024 Bdg vs Actual -OH'!$O$11:$BG$37,MATCH($D$6,'2024 Bdg vs Actual -OH'!$A$11:$A$37,0),MATCH(O$4,'2024 Bdg vs Actual -OH'!$O$8:$BG$8,0))</f>
        <v>506220</v>
      </c>
      <c r="P6" s="123">
        <f>INDEX('2024 Bdg vs Actual -OH'!$O$11:$BG$37,MATCH($D$6,'2024 Bdg vs Actual -OH'!$A$11:$A$37,0),MATCH(P$4,'2024 Bdg vs Actual -OH'!$O$8:$BG$8,0))</f>
        <v>506220</v>
      </c>
      <c r="Q6" s="123">
        <f>INDEX('2024 Bdg vs Actual -OH'!$O$11:$BG$37,MATCH($D$6,'2024 Bdg vs Actual -OH'!$A$11:$A$37,0),MATCH(Q$4,'2024 Bdg vs Actual -OH'!$O$8:$BG$8,0))</f>
        <v>506220</v>
      </c>
      <c r="R6" s="123" t="str">
        <f>INDEX('2024 Bdg vs Actual -OH'!$O$11:$BG$37,MATCH($D$6,'2024 Bdg vs Actual -OH'!$A$11:$A$37,0),MATCH(R$4,'2024 Bdg vs Actual -OH'!$O$8:$BG$8,0))</f>
        <v>See Breakdown in Project and Product Sales Sept 2024 for details</v>
      </c>
      <c r="S6" s="107"/>
      <c r="T6" s="112"/>
      <c r="U6" s="295" t="s">
        <v>242</v>
      </c>
      <c r="V6" s="112"/>
      <c r="W6" s="110">
        <f>G6-G7</f>
        <v>75920</v>
      </c>
      <c r="X6" s="112"/>
      <c r="Y6" s="111">
        <v>0.8</v>
      </c>
      <c r="Z6" s="112"/>
      <c r="AA6" s="110">
        <f>W6*Y6</f>
        <v>60736</v>
      </c>
      <c r="AB6" s="112"/>
      <c r="AC6" s="89"/>
    </row>
    <row r="7" spans="1:29" x14ac:dyDescent="0.2">
      <c r="A7" s="90"/>
      <c r="B7" s="96" t="s">
        <v>241</v>
      </c>
      <c r="C7" s="101"/>
      <c r="D7" s="100" t="s">
        <v>51</v>
      </c>
      <c r="E7"/>
      <c r="F7" s="93"/>
      <c r="G7" s="108">
        <f>INDEX('2024 Bdg vs Actual -OH'!$O$11:$BG$37,MATCH($D$7,'2024 Bdg vs Actual -OH'!$A$11:$A$37,0),MATCH($G$4,'2024 Bdg vs Actual -OH'!$O$8:$BG$8,0))</f>
        <v>430300</v>
      </c>
      <c r="H7" s="123" t="e">
        <f>INDEX('2024 Bdg vs Actual -OH'!$O$11:$BG$37,MATCH($D$7,'2024 Bdg vs Actual -OH'!$A$11:$A$37,0),MATCH(H$4,'2024 Bdg vs Actual -OH'!$O$8:$BG$8,0))</f>
        <v>#N/A</v>
      </c>
      <c r="I7" s="123">
        <f>INDEX('2024 Bdg vs Actual -OH'!$O$11:$BG$37,MATCH($D$7,'2024 Bdg vs Actual -OH'!$A$11:$A$37,0),MATCH(I$4,'2024 Bdg vs Actual -OH'!$O$8:$BG$8,0))</f>
        <v>430300</v>
      </c>
      <c r="J7" s="123">
        <f>INDEX('2024 Bdg vs Actual -OH'!$O$11:$BG$37,MATCH($D$7,'2024 Bdg vs Actual -OH'!$A$11:$A$37,0),MATCH(J$4,'2024 Bdg vs Actual -OH'!$O$8:$BG$8,0))</f>
        <v>430300</v>
      </c>
      <c r="K7" s="123">
        <f>INDEX('2024 Bdg vs Actual -OH'!$O$11:$BG$37,MATCH($D$7,'2024 Bdg vs Actual -OH'!$A$11:$A$37,0),MATCH(K$4,'2024 Bdg vs Actual -OH'!$O$8:$BG$8,0))</f>
        <v>430300</v>
      </c>
      <c r="L7" s="123">
        <f>INDEX('2024 Bdg vs Actual -OH'!$O$11:$BG$37,MATCH($D$7,'2024 Bdg vs Actual -OH'!$A$11:$A$37,0),MATCH(L$4,'2024 Bdg vs Actual -OH'!$O$8:$BG$8,0))</f>
        <v>430300</v>
      </c>
      <c r="M7" s="123">
        <f>INDEX('2024 Bdg vs Actual -OH'!$O$11:$BG$37,MATCH($D$7,'2024 Bdg vs Actual -OH'!$A$11:$A$37,0),MATCH(M$4,'2024 Bdg vs Actual -OH'!$O$8:$BG$8,0))</f>
        <v>430300</v>
      </c>
      <c r="N7" s="123">
        <f>INDEX('2024 Bdg vs Actual -OH'!$O$11:$BG$37,MATCH($D$7,'2024 Bdg vs Actual -OH'!$A$11:$A$37,0),MATCH(N$4,'2024 Bdg vs Actual -OH'!$O$8:$BG$8,0))</f>
        <v>430300</v>
      </c>
      <c r="O7" s="123">
        <f>INDEX('2024 Bdg vs Actual -OH'!$O$11:$BG$37,MATCH($D$7,'2024 Bdg vs Actual -OH'!$A$11:$A$37,0),MATCH(O$4,'2024 Bdg vs Actual -OH'!$O$8:$BG$8,0))</f>
        <v>430300</v>
      </c>
      <c r="P7" s="123">
        <f>INDEX('2024 Bdg vs Actual -OH'!$O$11:$BG$37,MATCH($D$7,'2024 Bdg vs Actual -OH'!$A$11:$A$37,0),MATCH(P$4,'2024 Bdg vs Actual -OH'!$O$8:$BG$8,0))</f>
        <v>430300</v>
      </c>
      <c r="Q7" s="123">
        <f>INDEX('2024 Bdg vs Actual -OH'!$O$11:$BG$37,MATCH($D$7,'2024 Bdg vs Actual -OH'!$A$11:$A$37,0),MATCH(Q$4,'2024 Bdg vs Actual -OH'!$O$8:$BG$8,0))</f>
        <v>430300</v>
      </c>
      <c r="R7" s="123">
        <f>INDEX('2024 Bdg vs Actual -OH'!$O$11:$BG$37,MATCH($D$7,'2024 Bdg vs Actual -OH'!$A$11:$A$37,0),MATCH(R$4,'2024 Bdg vs Actual -OH'!$O$8:$BG$8,0))</f>
        <v>0</v>
      </c>
      <c r="S7" s="107"/>
      <c r="T7" s="112"/>
      <c r="U7" s="296"/>
      <c r="V7" s="112"/>
      <c r="W7" s="112"/>
      <c r="X7" s="112"/>
      <c r="Y7" s="112"/>
      <c r="Z7" s="112"/>
      <c r="AA7" s="112"/>
      <c r="AB7" s="112"/>
      <c r="AC7" s="89"/>
    </row>
    <row r="8" spans="1:29" x14ac:dyDescent="0.2">
      <c r="B8" s="104"/>
      <c r="D8" s="99"/>
      <c r="E8" s="99"/>
      <c r="G8" s="97"/>
      <c r="H8" s="124"/>
      <c r="I8" s="124"/>
      <c r="J8" s="124"/>
      <c r="K8" s="124"/>
      <c r="L8" s="124"/>
      <c r="M8" s="124"/>
      <c r="N8" s="124"/>
      <c r="O8" s="124"/>
      <c r="P8" s="124"/>
      <c r="Q8" s="124"/>
      <c r="R8" s="124"/>
      <c r="S8" s="107"/>
      <c r="T8" s="112"/>
      <c r="U8" s="113"/>
      <c r="V8" s="112"/>
      <c r="W8" s="112"/>
      <c r="X8" s="112"/>
      <c r="Y8" s="112"/>
      <c r="Z8" s="112"/>
      <c r="AA8" s="112"/>
      <c r="AB8" s="112"/>
      <c r="AC8" s="89"/>
    </row>
    <row r="9" spans="1:29" x14ac:dyDescent="0.2">
      <c r="A9" s="90"/>
      <c r="B9" s="96" t="s">
        <v>241</v>
      </c>
      <c r="C9" s="101"/>
      <c r="D9" s="100" t="s">
        <v>38</v>
      </c>
      <c r="E9"/>
      <c r="F9" s="93"/>
      <c r="G9" s="108">
        <f>INDEX('2024 Bdg vs Actual -OH'!$O$11:$BG$37,MATCH(D9,'2024 Bdg vs Actual -OH'!$A$11:$A$37,0),MATCH($G$4,'2024 Bdg vs Actual -OH'!$O$8:$BG$8,0))</f>
        <v>69030</v>
      </c>
      <c r="H9" s="123" t="e">
        <f>INDEX('2024 Bdg vs Actual -OH'!$O$11:$BG$37,MATCH($D9,'2024 Bdg vs Actual -OH'!$A$11:$A$37,0),MATCH(H$4,'2024 Bdg vs Actual -OH'!$O$8:$BG$8,0))</f>
        <v>#N/A</v>
      </c>
      <c r="I9" s="123">
        <f>INDEX('2024 Bdg vs Actual -OH'!$O$11:$BG$37,MATCH($D9,'2024 Bdg vs Actual -OH'!$A$11:$A$37,0),MATCH(I$4,'2024 Bdg vs Actual -OH'!$O$8:$BG$8,0))</f>
        <v>69030</v>
      </c>
      <c r="J9" s="123">
        <f>INDEX('2024 Bdg vs Actual -OH'!$O$11:$BG$37,MATCH($D9,'2024 Bdg vs Actual -OH'!$A$11:$A$37,0),MATCH(J$4,'2024 Bdg vs Actual -OH'!$O$8:$BG$8,0))</f>
        <v>69030</v>
      </c>
      <c r="K9" s="123">
        <f>INDEX('2024 Bdg vs Actual -OH'!$O$11:$BG$37,MATCH($D9,'2024 Bdg vs Actual -OH'!$A$11:$A$37,0),MATCH(K$4,'2024 Bdg vs Actual -OH'!$O$8:$BG$8,0))</f>
        <v>69030</v>
      </c>
      <c r="L9" s="123">
        <f>INDEX('2024 Bdg vs Actual -OH'!$O$11:$BG$37,MATCH($D9,'2024 Bdg vs Actual -OH'!$A$11:$A$37,0),MATCH(L$4,'2024 Bdg vs Actual -OH'!$O$8:$BG$8,0))</f>
        <v>69030</v>
      </c>
      <c r="M9" s="123">
        <f>INDEX('2024 Bdg vs Actual -OH'!$O$11:$BG$37,MATCH($D9,'2024 Bdg vs Actual -OH'!$A$11:$A$37,0),MATCH(M$4,'2024 Bdg vs Actual -OH'!$O$8:$BG$8,0))</f>
        <v>69030</v>
      </c>
      <c r="N9" s="123">
        <f>INDEX('2024 Bdg vs Actual -OH'!$O$11:$BG$37,MATCH($D9,'2024 Bdg vs Actual -OH'!$A$11:$A$37,0),MATCH(N$4,'2024 Bdg vs Actual -OH'!$O$8:$BG$8,0))</f>
        <v>69030</v>
      </c>
      <c r="O9" s="123">
        <f>INDEX('2024 Bdg vs Actual -OH'!$O$11:$BG$37,MATCH($D9,'2024 Bdg vs Actual -OH'!$A$11:$A$37,0),MATCH(O$4,'2024 Bdg vs Actual -OH'!$O$8:$BG$8,0))</f>
        <v>69030</v>
      </c>
      <c r="P9" s="123">
        <f>INDEX('2024 Bdg vs Actual -OH'!$O$11:$BG$37,MATCH($D9,'2024 Bdg vs Actual -OH'!$A$11:$A$37,0),MATCH(P$4,'2024 Bdg vs Actual -OH'!$O$8:$BG$8,0))</f>
        <v>69030</v>
      </c>
      <c r="Q9" s="123">
        <f>INDEX('2024 Bdg vs Actual -OH'!$O$11:$BG$37,MATCH($D9,'2024 Bdg vs Actual -OH'!$A$11:$A$37,0),MATCH(Q$4,'2024 Bdg vs Actual -OH'!$O$8:$BG$8,0))</f>
        <v>69030</v>
      </c>
      <c r="R9" s="123" t="str">
        <f>INDEX('2024 Bdg vs Actual -OH'!$O$11:$BG$37,MATCH($D9,'2024 Bdg vs Actual -OH'!$A$11:$A$37,0),MATCH(R$4,'2024 Bdg vs Actual -OH'!$O$8:$BG$8,0))</f>
        <v>See Breakdown in Project and Product Sales Sept 2024 for details</v>
      </c>
      <c r="S9" s="107"/>
      <c r="T9" s="112"/>
      <c r="U9" s="87" t="s">
        <v>38</v>
      </c>
      <c r="V9" s="112"/>
      <c r="W9" s="110">
        <f>G9</f>
        <v>69030</v>
      </c>
      <c r="X9" s="112"/>
      <c r="Y9" s="111">
        <f>0.3*0.08</f>
        <v>2.4E-2</v>
      </c>
      <c r="Z9" s="112"/>
      <c r="AA9" s="110">
        <f>W9*Y9</f>
        <v>1656.72</v>
      </c>
      <c r="AB9" s="112"/>
      <c r="AC9" s="89"/>
    </row>
    <row r="10" spans="1:29" x14ac:dyDescent="0.2">
      <c r="B10" s="104"/>
      <c r="D10" s="99"/>
      <c r="E10" s="99"/>
      <c r="G10" s="97"/>
      <c r="H10" s="124"/>
      <c r="I10" s="124"/>
      <c r="J10" s="124"/>
      <c r="K10" s="124"/>
      <c r="L10" s="124"/>
      <c r="M10" s="124"/>
      <c r="N10" s="124"/>
      <c r="O10" s="124"/>
      <c r="P10" s="124"/>
      <c r="Q10" s="124"/>
      <c r="R10" s="124"/>
      <c r="S10" s="107"/>
      <c r="T10" s="112"/>
      <c r="U10" s="113"/>
      <c r="V10" s="112"/>
      <c r="W10" s="112"/>
      <c r="X10" s="112"/>
      <c r="Y10" s="112"/>
      <c r="Z10" s="112"/>
      <c r="AA10" s="112"/>
      <c r="AB10" s="112"/>
      <c r="AC10" s="89"/>
    </row>
    <row r="11" spans="1:29" x14ac:dyDescent="0.2">
      <c r="A11" s="90"/>
      <c r="B11" s="96" t="s">
        <v>241</v>
      </c>
      <c r="C11" s="101"/>
      <c r="D11" t="s">
        <v>40</v>
      </c>
      <c r="E11"/>
      <c r="F11" s="93"/>
      <c r="G11" s="108">
        <f>INDEX('2024 Bdg vs Actual -OH'!$O$11:$BG$37,MATCH($D11,'2024 Bdg vs Actual -OH'!$A$11:$A$37,0),MATCH($G$4,'2024 Bdg vs Actual -OH'!$O$8:$BG$8,0))</f>
        <v>0</v>
      </c>
      <c r="H11" s="123" t="e">
        <f>INDEX('2024 Bdg vs Actual -OH'!$O$11:$BG$37,MATCH($D11,'2024 Bdg vs Actual -OH'!$A$11:$A$37,0),MATCH(H$4,'2024 Bdg vs Actual -OH'!$O$8:$BG$8,0))</f>
        <v>#N/A</v>
      </c>
      <c r="I11" s="123">
        <f>INDEX('2024 Bdg vs Actual -OH'!$O$11:$BG$37,MATCH($D11,'2024 Bdg vs Actual -OH'!$A$11:$A$37,0),MATCH(I$4,'2024 Bdg vs Actual -OH'!$O$8:$BG$8,0))</f>
        <v>0</v>
      </c>
      <c r="J11" s="123">
        <f>INDEX('2024 Bdg vs Actual -OH'!$O$11:$BG$37,MATCH($D11,'2024 Bdg vs Actual -OH'!$A$11:$A$37,0),MATCH(J$4,'2024 Bdg vs Actual -OH'!$O$8:$BG$8,0))</f>
        <v>0</v>
      </c>
      <c r="K11" s="123">
        <f>INDEX('2024 Bdg vs Actual -OH'!$O$11:$BG$37,MATCH($D11,'2024 Bdg vs Actual -OH'!$A$11:$A$37,0),MATCH(K$4,'2024 Bdg vs Actual -OH'!$O$8:$BG$8,0))</f>
        <v>0</v>
      </c>
      <c r="L11" s="123">
        <f>INDEX('2024 Bdg vs Actual -OH'!$O$11:$BG$37,MATCH($D11,'2024 Bdg vs Actual -OH'!$A$11:$A$37,0),MATCH(L$4,'2024 Bdg vs Actual -OH'!$O$8:$BG$8,0))</f>
        <v>0</v>
      </c>
      <c r="M11" s="123">
        <f>INDEX('2024 Bdg vs Actual -OH'!$O$11:$BG$37,MATCH($D11,'2024 Bdg vs Actual -OH'!$A$11:$A$37,0),MATCH(M$4,'2024 Bdg vs Actual -OH'!$O$8:$BG$8,0))</f>
        <v>0</v>
      </c>
      <c r="N11" s="123">
        <f>INDEX('2024 Bdg vs Actual -OH'!$O$11:$BG$37,MATCH($D11,'2024 Bdg vs Actual -OH'!$A$11:$A$37,0),MATCH(N$4,'2024 Bdg vs Actual -OH'!$O$8:$BG$8,0))</f>
        <v>0</v>
      </c>
      <c r="O11" s="123">
        <f>INDEX('2024 Bdg vs Actual -OH'!$O$11:$BG$37,MATCH($D11,'2024 Bdg vs Actual -OH'!$A$11:$A$37,0),MATCH(O$4,'2024 Bdg vs Actual -OH'!$O$8:$BG$8,0))</f>
        <v>0</v>
      </c>
      <c r="P11" s="123">
        <f>INDEX('2024 Bdg vs Actual -OH'!$O$11:$BG$37,MATCH($D11,'2024 Bdg vs Actual -OH'!$A$11:$A$37,0),MATCH(P$4,'2024 Bdg vs Actual -OH'!$O$8:$BG$8,0))</f>
        <v>0</v>
      </c>
      <c r="Q11" s="123">
        <f>INDEX('2024 Bdg vs Actual -OH'!$O$11:$BG$37,MATCH($D11,'2024 Bdg vs Actual -OH'!$A$11:$A$37,0),MATCH(Q$4,'2024 Bdg vs Actual -OH'!$O$8:$BG$8,0))</f>
        <v>0</v>
      </c>
      <c r="R11" s="123">
        <f>INDEX('2024 Bdg vs Actual -OH'!$O$11:$BG$37,MATCH($D11,'2024 Bdg vs Actual -OH'!$A$11:$A$37,0),MATCH(R$4,'2024 Bdg vs Actual -OH'!$O$8:$BG$8,0))</f>
        <v>0</v>
      </c>
      <c r="S11" s="107"/>
      <c r="T11" s="112"/>
      <c r="U11" s="295" t="s">
        <v>243</v>
      </c>
      <c r="V11" s="112"/>
      <c r="W11" s="110">
        <f>G11-G12</f>
        <v>0</v>
      </c>
      <c r="X11" s="112"/>
      <c r="Y11" s="111">
        <v>0.08</v>
      </c>
      <c r="Z11" s="112"/>
      <c r="AA11" s="110">
        <f>W11*Y11</f>
        <v>0</v>
      </c>
      <c r="AB11" s="112"/>
      <c r="AC11" s="89"/>
    </row>
    <row r="12" spans="1:29" x14ac:dyDescent="0.2">
      <c r="A12" s="90"/>
      <c r="B12" s="96" t="s">
        <v>241</v>
      </c>
      <c r="C12" s="101"/>
      <c r="D12" s="100" t="s">
        <v>50</v>
      </c>
      <c r="E12"/>
      <c r="F12" s="93"/>
      <c r="G12" s="108">
        <f>INDEX('2024 Bdg vs Actual -OH'!$O$11:$BG$37,MATCH($D12,'2024 Bdg vs Actual -OH'!$A$11:$A$37,0),MATCH($G$4,'2024 Bdg vs Actual -OH'!$O$8:$BG$8,0))</f>
        <v>0</v>
      </c>
      <c r="H12" s="123" t="e">
        <f>INDEX('2024 Bdg vs Actual -OH'!$O$11:$BG$37,MATCH($D12,'2024 Bdg vs Actual -OH'!$A$11:$A$37,0),MATCH(H$4,'2024 Bdg vs Actual -OH'!$O$8:$BG$8,0))</f>
        <v>#N/A</v>
      </c>
      <c r="I12" s="123">
        <f>INDEX('2024 Bdg vs Actual -OH'!$O$11:$BG$37,MATCH($D12,'2024 Bdg vs Actual -OH'!$A$11:$A$37,0),MATCH(I$4,'2024 Bdg vs Actual -OH'!$O$8:$BG$8,0))</f>
        <v>0</v>
      </c>
      <c r="J12" s="123">
        <f>INDEX('2024 Bdg vs Actual -OH'!$O$11:$BG$37,MATCH($D12,'2024 Bdg vs Actual -OH'!$A$11:$A$37,0),MATCH(J$4,'2024 Bdg vs Actual -OH'!$O$8:$BG$8,0))</f>
        <v>0</v>
      </c>
      <c r="K12" s="123">
        <f>INDEX('2024 Bdg vs Actual -OH'!$O$11:$BG$37,MATCH($D12,'2024 Bdg vs Actual -OH'!$A$11:$A$37,0),MATCH(K$4,'2024 Bdg vs Actual -OH'!$O$8:$BG$8,0))</f>
        <v>0</v>
      </c>
      <c r="L12" s="123">
        <f>INDEX('2024 Bdg vs Actual -OH'!$O$11:$BG$37,MATCH($D12,'2024 Bdg vs Actual -OH'!$A$11:$A$37,0),MATCH(L$4,'2024 Bdg vs Actual -OH'!$O$8:$BG$8,0))</f>
        <v>0</v>
      </c>
      <c r="M12" s="123">
        <f>INDEX('2024 Bdg vs Actual -OH'!$O$11:$BG$37,MATCH($D12,'2024 Bdg vs Actual -OH'!$A$11:$A$37,0),MATCH(M$4,'2024 Bdg vs Actual -OH'!$O$8:$BG$8,0))</f>
        <v>0</v>
      </c>
      <c r="N12" s="123">
        <f>INDEX('2024 Bdg vs Actual -OH'!$O$11:$BG$37,MATCH($D12,'2024 Bdg vs Actual -OH'!$A$11:$A$37,0),MATCH(N$4,'2024 Bdg vs Actual -OH'!$O$8:$BG$8,0))</f>
        <v>0</v>
      </c>
      <c r="O12" s="123">
        <f>INDEX('2024 Bdg vs Actual -OH'!$O$11:$BG$37,MATCH($D12,'2024 Bdg vs Actual -OH'!$A$11:$A$37,0),MATCH(O$4,'2024 Bdg vs Actual -OH'!$O$8:$BG$8,0))</f>
        <v>0</v>
      </c>
      <c r="P12" s="123">
        <f>INDEX('2024 Bdg vs Actual -OH'!$O$11:$BG$37,MATCH($D12,'2024 Bdg vs Actual -OH'!$A$11:$A$37,0),MATCH(P$4,'2024 Bdg vs Actual -OH'!$O$8:$BG$8,0))</f>
        <v>0</v>
      </c>
      <c r="Q12" s="123">
        <f>INDEX('2024 Bdg vs Actual -OH'!$O$11:$BG$37,MATCH($D12,'2024 Bdg vs Actual -OH'!$A$11:$A$37,0),MATCH(Q$4,'2024 Bdg vs Actual -OH'!$O$8:$BG$8,0))</f>
        <v>0</v>
      </c>
      <c r="R12" s="123">
        <f>INDEX('2024 Bdg vs Actual -OH'!$O$11:$BG$37,MATCH($D12,'2024 Bdg vs Actual -OH'!$A$11:$A$37,0),MATCH(R$4,'2024 Bdg vs Actual -OH'!$O$8:$BG$8,0))</f>
        <v>0</v>
      </c>
      <c r="S12" s="107"/>
      <c r="T12" s="112"/>
      <c r="U12" s="296"/>
      <c r="V12" s="112"/>
      <c r="W12" s="112"/>
      <c r="X12" s="112"/>
      <c r="Y12" s="112"/>
      <c r="Z12" s="112"/>
      <c r="AA12" s="112"/>
      <c r="AB12" s="112"/>
      <c r="AC12" s="89"/>
    </row>
    <row r="13" spans="1:29" x14ac:dyDescent="0.2">
      <c r="B13" s="104"/>
      <c r="D13" s="99"/>
      <c r="E13" s="99"/>
      <c r="G13" s="97"/>
      <c r="H13" s="124"/>
      <c r="I13" s="124"/>
      <c r="J13" s="124"/>
      <c r="K13" s="124"/>
      <c r="L13" s="124"/>
      <c r="M13" s="124"/>
      <c r="N13" s="124"/>
      <c r="O13" s="124"/>
      <c r="P13" s="124"/>
      <c r="Q13" s="124"/>
      <c r="R13" s="124"/>
      <c r="S13" s="107"/>
      <c r="T13" s="112"/>
      <c r="U13" s="113"/>
      <c r="V13" s="112"/>
      <c r="W13" s="112"/>
      <c r="X13" s="112"/>
      <c r="Y13" s="112"/>
      <c r="Z13" s="112"/>
      <c r="AA13" s="112"/>
      <c r="AB13" s="112"/>
      <c r="AC13" s="89"/>
    </row>
    <row r="14" spans="1:29" x14ac:dyDescent="0.2">
      <c r="A14" s="90"/>
      <c r="B14" s="96" t="s">
        <v>244</v>
      </c>
      <c r="C14" s="101"/>
      <c r="D14" s="100" t="s">
        <v>36</v>
      </c>
      <c r="E14"/>
      <c r="F14" s="93"/>
      <c r="G14" s="108" t="e">
        <f>INDEX(#REF!,MATCH($D14,#REF!,0),MATCH(G$4,#REF!,0))</f>
        <v>#REF!</v>
      </c>
      <c r="H14" s="108">
        <v>0</v>
      </c>
      <c r="I14" s="108">
        <v>0</v>
      </c>
      <c r="J14" s="108" t="e">
        <f>INDEX(#REF!,MATCH($D14,#REF!,0),MATCH(J$4,#REF!,0))</f>
        <v>#REF!</v>
      </c>
      <c r="K14" s="108" t="e">
        <f>INDEX(#REF!,MATCH($D14,#REF!,0),MATCH(K$4,#REF!,0))</f>
        <v>#REF!</v>
      </c>
      <c r="L14" s="108" t="e">
        <f>INDEX(#REF!,MATCH($D14,#REF!,0),MATCH(L$4,#REF!,0))</f>
        <v>#REF!</v>
      </c>
      <c r="M14" s="108">
        <v>0</v>
      </c>
      <c r="N14" s="108" t="e">
        <f>INDEX(#REF!,MATCH($D14,#REF!,0),MATCH(N$4,#REF!,0))</f>
        <v>#REF!</v>
      </c>
      <c r="O14" s="108" t="e">
        <f>INDEX(#REF!,MATCH($D14,#REF!,0),MATCH(O$4,#REF!,0))</f>
        <v>#REF!</v>
      </c>
      <c r="P14" s="108" t="e">
        <f>INDEX(#REF!,MATCH($D14,#REF!,0),MATCH(P$4,#REF!,0))</f>
        <v>#REF!</v>
      </c>
      <c r="Q14" s="108" t="e">
        <f>INDEX(#REF!,MATCH($D14,#REF!,0),MATCH(Q$4,#REF!,0))</f>
        <v>#REF!</v>
      </c>
      <c r="R14" s="108" t="e">
        <f>INDEX(#REF!,MATCH($D14,#REF!,0),MATCH(R$4,#REF!,0))</f>
        <v>#REF!</v>
      </c>
      <c r="S14" s="107"/>
      <c r="T14" s="112"/>
      <c r="U14" t="s">
        <v>36</v>
      </c>
      <c r="V14" s="112"/>
      <c r="W14" s="110" t="e">
        <f>G14</f>
        <v>#REF!</v>
      </c>
      <c r="X14" s="112"/>
      <c r="Y14" s="111">
        <v>0.08</v>
      </c>
      <c r="Z14" s="112"/>
      <c r="AA14" s="110" t="e">
        <f>W14*Y14</f>
        <v>#REF!</v>
      </c>
      <c r="AB14" s="112"/>
      <c r="AC14" s="89"/>
    </row>
    <row r="15" spans="1:29" x14ac:dyDescent="0.2">
      <c r="B15" s="104"/>
      <c r="D15" s="99"/>
      <c r="E15" s="99"/>
      <c r="G15" s="97"/>
      <c r="H15" s="124"/>
      <c r="I15" s="124"/>
      <c r="J15" s="124"/>
      <c r="K15" s="124"/>
      <c r="L15" s="124"/>
      <c r="M15" s="124"/>
      <c r="N15" s="124"/>
      <c r="O15" s="124"/>
      <c r="P15" s="124"/>
      <c r="Q15" s="124"/>
      <c r="R15" s="124"/>
      <c r="S15" s="107"/>
      <c r="T15" s="112"/>
      <c r="U15" s="113"/>
      <c r="V15" s="112"/>
      <c r="W15" s="112"/>
      <c r="X15" s="112"/>
      <c r="Y15" s="112"/>
      <c r="Z15" s="112"/>
      <c r="AA15" s="112"/>
      <c r="AB15" s="112"/>
      <c r="AC15" s="89"/>
    </row>
    <row r="16" spans="1:29" x14ac:dyDescent="0.2">
      <c r="A16" s="90"/>
      <c r="B16" s="96" t="s">
        <v>244</v>
      </c>
      <c r="C16" s="101"/>
      <c r="D16" s="100" t="s">
        <v>31</v>
      </c>
      <c r="E16"/>
      <c r="F16" s="93"/>
      <c r="G16" s="108" t="e">
        <f>INDEX(#REF!,MATCH($D16,#REF!,0),MATCH(G$4,#REF!,0))</f>
        <v>#REF!</v>
      </c>
      <c r="H16" s="108" t="e">
        <f>INDEX(#REF!,MATCH($D16,#REF!,0),MATCH(H$4,#REF!,0))</f>
        <v>#REF!</v>
      </c>
      <c r="I16" s="108" t="e">
        <f>INDEX(#REF!,MATCH($D16,#REF!,0),MATCH(I$4,#REF!,0))</f>
        <v>#REF!</v>
      </c>
      <c r="J16" s="108" t="e">
        <f>INDEX(#REF!,MATCH($D16,#REF!,0),MATCH(J$4,#REF!,0))</f>
        <v>#REF!</v>
      </c>
      <c r="K16" s="108" t="e">
        <f>INDEX(#REF!,MATCH($D16,#REF!,0),MATCH(K$4,#REF!,0))</f>
        <v>#REF!</v>
      </c>
      <c r="L16" s="108" t="e">
        <f>INDEX(#REF!,MATCH($D16,#REF!,0),MATCH(L$4,#REF!,0))</f>
        <v>#REF!</v>
      </c>
      <c r="M16" s="108" t="e">
        <f>INDEX(#REF!,MATCH($D16,#REF!,0),MATCH(M$4,#REF!,0))</f>
        <v>#REF!</v>
      </c>
      <c r="N16" s="108" t="e">
        <f>INDEX(#REF!,MATCH($D16,#REF!,0),MATCH(N$4,#REF!,0))</f>
        <v>#REF!</v>
      </c>
      <c r="O16" s="108" t="e">
        <f>INDEX(#REF!,MATCH($D16,#REF!,0),MATCH(O$4,#REF!,0))</f>
        <v>#REF!</v>
      </c>
      <c r="P16" s="108" t="e">
        <f>INDEX(#REF!,MATCH($D16,#REF!,0),MATCH(P$4,#REF!,0))</f>
        <v>#REF!</v>
      </c>
      <c r="Q16" s="108" t="e">
        <f>INDEX(#REF!,MATCH($D16,#REF!,0),MATCH(Q$4,#REF!,0))</f>
        <v>#REF!</v>
      </c>
      <c r="R16" s="108" t="e">
        <f>INDEX(#REF!,MATCH($D16,#REF!,0),MATCH(R$4,#REF!,0))</f>
        <v>#REF!</v>
      </c>
      <c r="S16" s="107"/>
      <c r="T16" s="112"/>
      <c r="U16" t="s">
        <v>31</v>
      </c>
      <c r="V16" s="112"/>
      <c r="W16" s="110" t="e">
        <f>G16</f>
        <v>#REF!</v>
      </c>
      <c r="X16" s="112"/>
      <c r="Y16" s="111">
        <v>0.08</v>
      </c>
      <c r="Z16" s="112"/>
      <c r="AA16" s="110" t="e">
        <f>W16*Y16</f>
        <v>#REF!</v>
      </c>
      <c r="AB16" s="112"/>
      <c r="AC16" s="89"/>
    </row>
    <row r="17" spans="1:29" x14ac:dyDescent="0.2">
      <c r="B17" s="104"/>
      <c r="D17" s="99"/>
      <c r="E17" s="99"/>
      <c r="G17" s="97"/>
      <c r="H17" s="124"/>
      <c r="I17" s="124"/>
      <c r="J17" s="124"/>
      <c r="K17" s="124"/>
      <c r="L17" s="124"/>
      <c r="M17" s="124"/>
      <c r="N17" s="124"/>
      <c r="O17" s="124"/>
      <c r="P17" s="124"/>
      <c r="Q17" s="124"/>
      <c r="R17" s="124"/>
      <c r="S17" s="107"/>
      <c r="T17" s="112"/>
      <c r="U17" s="113"/>
      <c r="V17" s="112"/>
      <c r="W17" s="112"/>
      <c r="X17" s="112"/>
      <c r="Y17" s="112"/>
      <c r="Z17" s="112"/>
      <c r="AA17" s="112"/>
      <c r="AB17" s="112"/>
      <c r="AC17" s="89"/>
    </row>
    <row r="18" spans="1:29" x14ac:dyDescent="0.2">
      <c r="A18" s="90"/>
      <c r="B18" s="96" t="s">
        <v>244</v>
      </c>
      <c r="C18" s="101"/>
      <c r="D18" s="100" t="s">
        <v>37</v>
      </c>
      <c r="E18"/>
      <c r="F18" s="93"/>
      <c r="G18" s="108" t="e">
        <f>INDEX(#REF!,MATCH($D18,#REF!,0),MATCH(G$4,#REF!,0))</f>
        <v>#REF!</v>
      </c>
      <c r="H18" s="108" t="e">
        <f>INDEX(#REF!,MATCH($D18,#REF!,0),MATCH(H$4,#REF!,0))</f>
        <v>#REF!</v>
      </c>
      <c r="I18" s="108" t="e">
        <f>INDEX(#REF!,MATCH($D18,#REF!,0),MATCH(I$4,#REF!,0))</f>
        <v>#REF!</v>
      </c>
      <c r="J18" s="108" t="e">
        <f>INDEX(#REF!,MATCH($D18,#REF!,0),MATCH(J$4,#REF!,0))</f>
        <v>#REF!</v>
      </c>
      <c r="K18" s="108" t="e">
        <f>INDEX(#REF!,MATCH($D18,#REF!,0),MATCH(K$4,#REF!,0))</f>
        <v>#REF!</v>
      </c>
      <c r="L18" s="108" t="e">
        <f>INDEX(#REF!,MATCH($D18,#REF!,0),MATCH(L$4,#REF!,0))</f>
        <v>#REF!</v>
      </c>
      <c r="M18" s="108" t="e">
        <f>INDEX(#REF!,MATCH($D18,#REF!,0),MATCH(M$4,#REF!,0))</f>
        <v>#REF!</v>
      </c>
      <c r="N18" s="108" t="e">
        <f>INDEX(#REF!,MATCH($D18,#REF!,0),MATCH(N$4,#REF!,0))</f>
        <v>#REF!</v>
      </c>
      <c r="O18" s="108" t="e">
        <f>INDEX(#REF!,MATCH($D18,#REF!,0),MATCH(O$4,#REF!,0))</f>
        <v>#REF!</v>
      </c>
      <c r="P18" s="108" t="e">
        <f>INDEX(#REF!,MATCH($D18,#REF!,0),MATCH(P$4,#REF!,0))</f>
        <v>#REF!</v>
      </c>
      <c r="Q18" s="108" t="e">
        <f>INDEX(#REF!,MATCH($D18,#REF!,0),MATCH(Q$4,#REF!,0))</f>
        <v>#REF!</v>
      </c>
      <c r="R18" s="108" t="e">
        <f>INDEX(#REF!,MATCH($D18,#REF!,0),MATCH(R$4,#REF!,0))</f>
        <v>#REF!</v>
      </c>
      <c r="S18" s="107"/>
      <c r="T18" s="112"/>
      <c r="U18" s="295" t="s">
        <v>245</v>
      </c>
      <c r="V18" s="112"/>
      <c r="W18" s="110" t="e">
        <f>G18-G19</f>
        <v>#REF!</v>
      </c>
      <c r="X18" s="112"/>
      <c r="Y18" s="111">
        <v>0.08</v>
      </c>
      <c r="Z18" s="112"/>
      <c r="AA18" s="110" t="e">
        <f>W18*Y18</f>
        <v>#REF!</v>
      </c>
      <c r="AB18" s="112"/>
      <c r="AC18" s="89"/>
    </row>
    <row r="19" spans="1:29" x14ac:dyDescent="0.2">
      <c r="A19" s="90"/>
      <c r="B19" s="96" t="s">
        <v>244</v>
      </c>
      <c r="C19" s="101"/>
      <c r="D19" s="100" t="s">
        <v>48</v>
      </c>
      <c r="E19"/>
      <c r="F19" s="93"/>
      <c r="G19" s="108" t="e">
        <f>INDEX(#REF!,MATCH($D19,#REF!,0),MATCH(G$4,#REF!,0))</f>
        <v>#REF!</v>
      </c>
      <c r="H19" s="108" t="e">
        <f>INDEX(#REF!,MATCH($D19,#REF!,0),MATCH(H$4,#REF!,0))</f>
        <v>#REF!</v>
      </c>
      <c r="I19" s="108" t="e">
        <f>INDEX(#REF!,MATCH($D19,#REF!,0),MATCH(I$4,#REF!,0))</f>
        <v>#REF!</v>
      </c>
      <c r="J19" s="108" t="e">
        <f>INDEX(#REF!,MATCH($D19,#REF!,0),MATCH(J$4,#REF!,0))</f>
        <v>#REF!</v>
      </c>
      <c r="K19" s="108" t="e">
        <f>INDEX(#REF!,MATCH($D19,#REF!,0),MATCH(K$4,#REF!,0))</f>
        <v>#REF!</v>
      </c>
      <c r="L19" s="108" t="e">
        <f>INDEX(#REF!,MATCH($D19,#REF!,0),MATCH(L$4,#REF!,0))</f>
        <v>#REF!</v>
      </c>
      <c r="M19" s="108" t="e">
        <f>INDEX(#REF!,MATCH($D19,#REF!,0),MATCH(M$4,#REF!,0))</f>
        <v>#REF!</v>
      </c>
      <c r="N19" s="108" t="e">
        <f>INDEX(#REF!,MATCH($D19,#REF!,0),MATCH(N$4,#REF!,0))</f>
        <v>#REF!</v>
      </c>
      <c r="O19" s="108" t="e">
        <f>INDEX(#REF!,MATCH($D19,#REF!,0),MATCH(O$4,#REF!,0))</f>
        <v>#REF!</v>
      </c>
      <c r="P19" s="108" t="e">
        <f>INDEX(#REF!,MATCH($D19,#REF!,0),MATCH(P$4,#REF!,0))</f>
        <v>#REF!</v>
      </c>
      <c r="Q19" s="108" t="e">
        <f>INDEX(#REF!,MATCH($D19,#REF!,0),MATCH(Q$4,#REF!,0))</f>
        <v>#REF!</v>
      </c>
      <c r="R19" s="108" t="e">
        <f>INDEX(#REF!,MATCH($D19,#REF!,0),MATCH(R$4,#REF!,0))</f>
        <v>#REF!</v>
      </c>
      <c r="S19" s="107"/>
      <c r="T19" s="112"/>
      <c r="U19" s="296"/>
      <c r="V19" s="112"/>
      <c r="W19" s="112"/>
      <c r="X19" s="112"/>
      <c r="Y19" s="112"/>
      <c r="Z19" s="112"/>
      <c r="AA19" s="112"/>
      <c r="AB19" s="112"/>
      <c r="AC19" s="89"/>
    </row>
    <row r="20" spans="1:29" ht="19" x14ac:dyDescent="0.25">
      <c r="B20" s="103"/>
      <c r="D20" s="125" t="s">
        <v>57</v>
      </c>
      <c r="E20" s="130" t="s">
        <v>246</v>
      </c>
      <c r="G20" s="92"/>
      <c r="H20" s="103"/>
      <c r="I20" s="103"/>
      <c r="J20" s="103"/>
      <c r="K20" s="103"/>
      <c r="L20" s="103"/>
      <c r="M20" s="103"/>
      <c r="N20" s="103"/>
      <c r="O20" s="103"/>
      <c r="P20" s="103"/>
      <c r="Q20" s="103"/>
      <c r="R20" s="103"/>
      <c r="S20" s="103"/>
      <c r="T20" s="112"/>
      <c r="U20" s="113"/>
      <c r="V20" s="112"/>
      <c r="W20" s="112"/>
      <c r="X20" s="112"/>
      <c r="Y20" s="112"/>
      <c r="Z20" s="112"/>
      <c r="AA20" s="112"/>
      <c r="AB20" s="112"/>
      <c r="AC20" s="89"/>
    </row>
    <row r="21" spans="1:29" x14ac:dyDescent="0.2">
      <c r="B21" s="90"/>
      <c r="D21" s="89" t="s">
        <v>247</v>
      </c>
      <c r="E21" s="89"/>
      <c r="F21" s="127">
        <v>0.06</v>
      </c>
      <c r="G21" s="126">
        <f>(G6-G7)*$F$21</f>
        <v>4555.2</v>
      </c>
      <c r="H21" s="126" t="e">
        <f t="shared" ref="H21:R21" si="0">(H6-H7)*$F$21</f>
        <v>#N/A</v>
      </c>
      <c r="I21" s="126">
        <f t="shared" si="0"/>
        <v>4555.2</v>
      </c>
      <c r="J21" s="126">
        <f t="shared" si="0"/>
        <v>4555.2</v>
      </c>
      <c r="K21" s="126">
        <f t="shared" si="0"/>
        <v>4555.2</v>
      </c>
      <c r="L21" s="126">
        <f t="shared" si="0"/>
        <v>4555.2</v>
      </c>
      <c r="M21" s="126">
        <f t="shared" si="0"/>
        <v>4555.2</v>
      </c>
      <c r="N21" s="126">
        <f t="shared" si="0"/>
        <v>4555.2</v>
      </c>
      <c r="O21" s="126">
        <f t="shared" si="0"/>
        <v>4555.2</v>
      </c>
      <c r="P21" s="126">
        <f t="shared" si="0"/>
        <v>4555.2</v>
      </c>
      <c r="Q21" s="126">
        <f t="shared" si="0"/>
        <v>4555.2</v>
      </c>
      <c r="R21" s="126" t="e">
        <f t="shared" si="0"/>
        <v>#VALUE!</v>
      </c>
      <c r="S21" s="90"/>
      <c r="T21" s="112"/>
      <c r="U21" s="113"/>
      <c r="V21" s="112"/>
      <c r="W21" s="297" t="s">
        <v>248</v>
      </c>
      <c r="X21" s="298"/>
      <c r="Y21" s="299"/>
      <c r="Z21" s="112"/>
      <c r="AA21" s="110" t="e">
        <f>SUM(AA6,AA9,AA11,AA14,AA16,AA18)</f>
        <v>#REF!</v>
      </c>
      <c r="AB21" s="112"/>
      <c r="AC21" s="89"/>
    </row>
    <row r="22" spans="1:29" x14ac:dyDescent="0.2">
      <c r="B22" s="90"/>
      <c r="D22" s="89" t="s">
        <v>38</v>
      </c>
      <c r="E22" s="89"/>
      <c r="F22" s="127">
        <v>0.08</v>
      </c>
      <c r="G22" s="126">
        <f>(G9*0.3)*$F$22</f>
        <v>1656.72</v>
      </c>
      <c r="H22" s="126" t="e">
        <f t="shared" ref="H22:R22" si="1">(H9*0.3)*$F$22</f>
        <v>#N/A</v>
      </c>
      <c r="I22" s="126">
        <f t="shared" si="1"/>
        <v>1656.72</v>
      </c>
      <c r="J22" s="126">
        <f t="shared" si="1"/>
        <v>1656.72</v>
      </c>
      <c r="K22" s="126">
        <f t="shared" si="1"/>
        <v>1656.72</v>
      </c>
      <c r="L22" s="126">
        <f t="shared" si="1"/>
        <v>1656.72</v>
      </c>
      <c r="M22" s="126">
        <f t="shared" si="1"/>
        <v>1656.72</v>
      </c>
      <c r="N22" s="126">
        <f t="shared" si="1"/>
        <v>1656.72</v>
      </c>
      <c r="O22" s="126">
        <f t="shared" si="1"/>
        <v>1656.72</v>
      </c>
      <c r="P22" s="126">
        <f t="shared" si="1"/>
        <v>1656.72</v>
      </c>
      <c r="Q22" s="126">
        <f t="shared" si="1"/>
        <v>1656.72</v>
      </c>
      <c r="R22" s="126" t="e">
        <f t="shared" si="1"/>
        <v>#VALUE!</v>
      </c>
      <c r="S22" s="90"/>
      <c r="T22" s="112"/>
      <c r="U22" s="113"/>
      <c r="V22" s="112"/>
      <c r="W22" s="112"/>
      <c r="X22" s="112"/>
      <c r="Y22" s="112"/>
      <c r="Z22" s="112"/>
      <c r="AA22" s="112"/>
      <c r="AB22" s="112"/>
      <c r="AC22" s="89"/>
    </row>
    <row r="23" spans="1:29" x14ac:dyDescent="0.2">
      <c r="B23" s="90"/>
      <c r="D23" s="89" t="s">
        <v>40</v>
      </c>
      <c r="E23" s="89"/>
      <c r="F23" s="127">
        <v>0.08</v>
      </c>
      <c r="G23" s="126">
        <f>(G11-G12)*$F$23</f>
        <v>0</v>
      </c>
      <c r="H23" s="126" t="e">
        <f t="shared" ref="H23:R23" si="2">(H11-H12)*$F$23</f>
        <v>#N/A</v>
      </c>
      <c r="I23" s="126">
        <f t="shared" si="2"/>
        <v>0</v>
      </c>
      <c r="J23" s="126">
        <f t="shared" si="2"/>
        <v>0</v>
      </c>
      <c r="K23" s="126">
        <f t="shared" si="2"/>
        <v>0</v>
      </c>
      <c r="L23" s="126">
        <f t="shared" si="2"/>
        <v>0</v>
      </c>
      <c r="M23" s="126">
        <f t="shared" si="2"/>
        <v>0</v>
      </c>
      <c r="N23" s="126">
        <f t="shared" si="2"/>
        <v>0</v>
      </c>
      <c r="O23" s="126">
        <f t="shared" si="2"/>
        <v>0</v>
      </c>
      <c r="P23" s="126">
        <f t="shared" si="2"/>
        <v>0</v>
      </c>
      <c r="Q23" s="126">
        <f t="shared" si="2"/>
        <v>0</v>
      </c>
      <c r="R23" s="126">
        <f t="shared" si="2"/>
        <v>0</v>
      </c>
      <c r="T23" s="92"/>
      <c r="U23" s="106"/>
      <c r="V23" s="92"/>
      <c r="W23" s="92"/>
      <c r="X23" s="92"/>
      <c r="Y23" s="92"/>
      <c r="Z23" s="92"/>
      <c r="AA23" s="92"/>
      <c r="AB23" s="92"/>
    </row>
    <row r="24" spans="1:29" x14ac:dyDescent="0.2">
      <c r="B24" s="90"/>
      <c r="D24" s="89" t="s">
        <v>249</v>
      </c>
      <c r="E24" s="89"/>
      <c r="F24" s="127">
        <v>0.08</v>
      </c>
      <c r="G24" s="126" t="e">
        <f>G14*$F$24</f>
        <v>#REF!</v>
      </c>
      <c r="H24" s="126">
        <f t="shared" ref="H24:R24" si="3">H14*$F$24</f>
        <v>0</v>
      </c>
      <c r="I24" s="126">
        <f t="shared" si="3"/>
        <v>0</v>
      </c>
      <c r="J24" s="126" t="e">
        <f t="shared" si="3"/>
        <v>#REF!</v>
      </c>
      <c r="K24" s="126" t="e">
        <f t="shared" si="3"/>
        <v>#REF!</v>
      </c>
      <c r="L24" s="126" t="e">
        <f t="shared" si="3"/>
        <v>#REF!</v>
      </c>
      <c r="M24" s="126">
        <f t="shared" si="3"/>
        <v>0</v>
      </c>
      <c r="N24" s="126" t="e">
        <f t="shared" si="3"/>
        <v>#REF!</v>
      </c>
      <c r="O24" s="126" t="e">
        <f t="shared" si="3"/>
        <v>#REF!</v>
      </c>
      <c r="P24" s="126" t="e">
        <f t="shared" si="3"/>
        <v>#REF!</v>
      </c>
      <c r="Q24" s="126" t="e">
        <f t="shared" si="3"/>
        <v>#REF!</v>
      </c>
      <c r="R24" s="126" t="e">
        <f t="shared" si="3"/>
        <v>#REF!</v>
      </c>
    </row>
    <row r="25" spans="1:29" x14ac:dyDescent="0.2">
      <c r="D25" s="88" t="s">
        <v>250</v>
      </c>
      <c r="F25" s="127">
        <v>0.08</v>
      </c>
      <c r="G25" s="126" t="e">
        <f>G16*G30*$F$25</f>
        <v>#REF!</v>
      </c>
      <c r="H25" s="126" t="e">
        <f t="shared" ref="H25:P25" si="4">H16*H30*$F$25</f>
        <v>#REF!</v>
      </c>
      <c r="I25" s="126" t="e">
        <f t="shared" si="4"/>
        <v>#REF!</v>
      </c>
      <c r="J25" s="126" t="e">
        <f t="shared" si="4"/>
        <v>#REF!</v>
      </c>
      <c r="K25" s="126" t="e">
        <f t="shared" si="4"/>
        <v>#REF!</v>
      </c>
      <c r="L25" s="126" t="e">
        <f t="shared" si="4"/>
        <v>#REF!</v>
      </c>
      <c r="M25" s="126" t="e">
        <f t="shared" si="4"/>
        <v>#REF!</v>
      </c>
      <c r="N25" s="126" t="e">
        <f t="shared" si="4"/>
        <v>#REF!</v>
      </c>
      <c r="O25" s="126" t="e">
        <f t="shared" si="4"/>
        <v>#REF!</v>
      </c>
      <c r="P25" s="126" t="e">
        <f t="shared" si="4"/>
        <v>#REF!</v>
      </c>
      <c r="Q25" s="126" t="e">
        <f t="shared" ref="Q25:R25" si="5">Q16*$F$25</f>
        <v>#REF!</v>
      </c>
      <c r="R25" s="126" t="e">
        <f t="shared" si="5"/>
        <v>#REF!</v>
      </c>
    </row>
    <row r="26" spans="1:29" x14ac:dyDescent="0.2">
      <c r="D26" s="88" t="s">
        <v>251</v>
      </c>
      <c r="F26" s="127">
        <v>0.08</v>
      </c>
      <c r="G26" s="126" t="e">
        <f>(G18-G19)*G32*$F$26</f>
        <v>#REF!</v>
      </c>
      <c r="H26" s="126" t="e">
        <f t="shared" ref="H26:R26" si="6">(H18-H19)*H32*$F$26</f>
        <v>#REF!</v>
      </c>
      <c r="I26" s="126" t="e">
        <f t="shared" si="6"/>
        <v>#REF!</v>
      </c>
      <c r="J26" s="126" t="e">
        <f t="shared" si="6"/>
        <v>#REF!</v>
      </c>
      <c r="K26" s="126" t="e">
        <f t="shared" si="6"/>
        <v>#REF!</v>
      </c>
      <c r="L26" s="126" t="e">
        <f t="shared" si="6"/>
        <v>#REF!</v>
      </c>
      <c r="M26" s="126" t="e">
        <f t="shared" si="6"/>
        <v>#REF!</v>
      </c>
      <c r="N26" s="126" t="e">
        <f t="shared" si="6"/>
        <v>#REF!</v>
      </c>
      <c r="O26" s="126" t="e">
        <f t="shared" si="6"/>
        <v>#REF!</v>
      </c>
      <c r="P26" s="126" t="e">
        <f t="shared" si="6"/>
        <v>#REF!</v>
      </c>
      <c r="Q26" s="126" t="e">
        <f t="shared" si="6"/>
        <v>#REF!</v>
      </c>
      <c r="R26" s="126" t="e">
        <f t="shared" si="6"/>
        <v>#REF!</v>
      </c>
    </row>
    <row r="27" spans="1:29" x14ac:dyDescent="0.2">
      <c r="B27" s="131" t="s">
        <v>252</v>
      </c>
      <c r="D27" s="88" t="s">
        <v>57</v>
      </c>
      <c r="G27" s="128" t="e">
        <f>SUM(G21:G26)</f>
        <v>#REF!</v>
      </c>
      <c r="H27" s="88" t="e">
        <f t="shared" ref="H27:R27" si="7">SUM(H21:H26)</f>
        <v>#N/A</v>
      </c>
      <c r="I27" s="88" t="e">
        <f t="shared" si="7"/>
        <v>#REF!</v>
      </c>
      <c r="J27" s="88" t="e">
        <f t="shared" si="7"/>
        <v>#REF!</v>
      </c>
      <c r="K27" s="88" t="e">
        <f t="shared" si="7"/>
        <v>#REF!</v>
      </c>
      <c r="L27" s="88" t="e">
        <f t="shared" si="7"/>
        <v>#REF!</v>
      </c>
      <c r="M27" s="88" t="e">
        <f t="shared" si="7"/>
        <v>#REF!</v>
      </c>
      <c r="N27" s="88" t="e">
        <f t="shared" si="7"/>
        <v>#REF!</v>
      </c>
      <c r="O27" s="88" t="e">
        <f t="shared" si="7"/>
        <v>#REF!</v>
      </c>
      <c r="P27" s="88" t="e">
        <f t="shared" si="7"/>
        <v>#REF!</v>
      </c>
      <c r="Q27" s="88" t="e">
        <f t="shared" si="7"/>
        <v>#REF!</v>
      </c>
      <c r="R27" s="88" t="e">
        <f t="shared" si="7"/>
        <v>#VALUE!</v>
      </c>
    </row>
    <row r="29" spans="1:29" x14ac:dyDescent="0.2">
      <c r="D29" s="88" t="s">
        <v>253</v>
      </c>
    </row>
    <row r="30" spans="1:29" x14ac:dyDescent="0.2">
      <c r="D30" s="88" t="s">
        <v>254</v>
      </c>
      <c r="G30" s="88">
        <v>18</v>
      </c>
      <c r="H30" s="88">
        <v>18</v>
      </c>
      <c r="I30" s="88">
        <v>18</v>
      </c>
      <c r="J30" s="88">
        <v>18</v>
      </c>
      <c r="K30" s="88">
        <v>18</v>
      </c>
      <c r="L30" s="88">
        <v>18</v>
      </c>
      <c r="M30" s="88">
        <v>12</v>
      </c>
      <c r="N30" s="88">
        <v>12</v>
      </c>
      <c r="O30" s="88">
        <v>12</v>
      </c>
      <c r="P30" s="88">
        <v>12</v>
      </c>
      <c r="Q30" s="88">
        <v>12</v>
      </c>
      <c r="R30" s="88">
        <v>12</v>
      </c>
    </row>
    <row r="31" spans="1:29" x14ac:dyDescent="0.2">
      <c r="D31" s="88" t="s">
        <v>255</v>
      </c>
      <c r="G31" s="88">
        <v>15</v>
      </c>
      <c r="H31" s="88">
        <v>15</v>
      </c>
      <c r="I31" s="88">
        <v>15</v>
      </c>
      <c r="J31" s="88">
        <v>15</v>
      </c>
      <c r="K31" s="88">
        <v>15</v>
      </c>
      <c r="L31" s="88">
        <v>15</v>
      </c>
      <c r="M31" s="88">
        <v>12</v>
      </c>
      <c r="N31" s="88">
        <v>12</v>
      </c>
      <c r="O31" s="88">
        <v>12</v>
      </c>
      <c r="P31" s="88">
        <v>12</v>
      </c>
      <c r="Q31" s="88">
        <v>12</v>
      </c>
      <c r="R31" s="88">
        <v>12</v>
      </c>
    </row>
    <row r="32" spans="1:29" x14ac:dyDescent="0.2">
      <c r="D32" s="88" t="s">
        <v>256</v>
      </c>
      <c r="G32" s="88">
        <v>12</v>
      </c>
      <c r="H32" s="88">
        <v>12</v>
      </c>
      <c r="I32" s="88">
        <v>12</v>
      </c>
      <c r="J32" s="88">
        <v>12</v>
      </c>
      <c r="K32" s="88">
        <v>12</v>
      </c>
      <c r="L32" s="88">
        <v>12</v>
      </c>
      <c r="M32" s="88">
        <v>12</v>
      </c>
      <c r="N32" s="88">
        <v>12</v>
      </c>
      <c r="O32" s="88">
        <v>12</v>
      </c>
      <c r="P32" s="88">
        <v>12</v>
      </c>
      <c r="Q32" s="88">
        <v>12</v>
      </c>
      <c r="R32" s="88">
        <v>12</v>
      </c>
    </row>
  </sheetData>
  <mergeCells count="5">
    <mergeCell ref="U2:AA2"/>
    <mergeCell ref="U6:U7"/>
    <mergeCell ref="U11:U12"/>
    <mergeCell ref="U18:U19"/>
    <mergeCell ref="W21:Y21"/>
  </mergeCell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C7ED62EB-FCE4-42BD-A1EC-448BDB02421F}">
          <x14:formula1>
            <xm:f>'2024 Bdg vs Actual -OH'!$O$8:$BG$8</xm:f>
          </x14:formula1>
          <xm:sqref>G4:R4</xm:sqref>
        </x14:dataValidation>
        <x14:dataValidation type="list" allowBlank="1" showInputMessage="1" showErrorMessage="1" xr:uid="{77914597-3E3F-42A9-ABFA-EE5A94428CB7}">
          <x14:formula1>
            <xm:f>'2024  Bdg vs Actual-CA'!$O$8:$BG$8</xm:f>
          </x14:formula1>
          <xm:sqref>S4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35743-2ED4-4DAC-A81F-64C94D21E896}">
  <sheetPr>
    <tabColor theme="9" tint="0.59999389629810485"/>
  </sheetPr>
  <dimension ref="A1:AB32"/>
  <sheetViews>
    <sheetView topLeftCell="B1" workbookViewId="0">
      <pane xSplit="3" ySplit="3" topLeftCell="E4" activePane="bottomRight" state="frozen"/>
      <selection pane="topRight" activeCell="E1" sqref="E1"/>
      <selection pane="bottomLeft" activeCell="B4" sqref="B4"/>
      <selection pane="bottomRight" activeCell="F6" sqref="F6"/>
    </sheetView>
  </sheetViews>
  <sheetFormatPr baseColWidth="10" defaultColWidth="9" defaultRowHeight="16" x14ac:dyDescent="0.2"/>
  <cols>
    <col min="1" max="1" width="9" style="88"/>
    <col min="2" max="2" width="28" style="88" customWidth="1"/>
    <col min="3" max="3" width="1.6640625" style="88" customWidth="1"/>
    <col min="4" max="4" width="30.33203125" style="88" customWidth="1"/>
    <col min="5" max="5" width="3" style="88" customWidth="1"/>
    <col min="6" max="18" width="15.6640625" style="88" customWidth="1"/>
    <col min="19" max="19" width="3.1640625" style="88" customWidth="1"/>
    <col min="20" max="20" width="27" style="105" customWidth="1"/>
    <col min="21" max="21" width="1.6640625" style="88" customWidth="1"/>
    <col min="22" max="22" width="15.6640625" style="88" customWidth="1"/>
    <col min="23" max="23" width="1.33203125" style="88" customWidth="1"/>
    <col min="24" max="24" width="9" style="88"/>
    <col min="25" max="25" width="1.6640625" style="88" customWidth="1"/>
    <col min="26" max="26" width="15.6640625" style="88" customWidth="1"/>
    <col min="27" max="27" width="3.1640625" style="88" customWidth="1"/>
    <col min="28" max="16384" width="9" style="88"/>
  </cols>
  <sheetData>
    <row r="1" spans="1:28" ht="15.75" customHeight="1" x14ac:dyDescent="0.2">
      <c r="B1" s="90"/>
      <c r="D1" s="89"/>
      <c r="G1" s="90"/>
      <c r="H1" s="90"/>
      <c r="I1" s="90"/>
      <c r="J1" s="90"/>
      <c r="K1" s="90"/>
      <c r="L1" s="90"/>
      <c r="M1" s="90"/>
      <c r="N1" s="90"/>
      <c r="O1" s="90"/>
      <c r="P1" s="90"/>
      <c r="Q1" s="90"/>
      <c r="R1" s="107"/>
      <c r="S1" s="112"/>
      <c r="T1" s="300" t="s">
        <v>257</v>
      </c>
      <c r="U1" s="300"/>
      <c r="V1" s="300"/>
      <c r="W1" s="300"/>
      <c r="X1" s="300"/>
      <c r="Y1" s="300"/>
      <c r="Z1" s="300"/>
      <c r="AA1" s="112"/>
      <c r="AB1" s="89"/>
    </row>
    <row r="2" spans="1:28" ht="15.75" customHeight="1" x14ac:dyDescent="0.2">
      <c r="B2" s="90"/>
      <c r="D2" s="89"/>
      <c r="F2" s="91"/>
      <c r="G2" s="102"/>
      <c r="H2" s="102"/>
      <c r="I2" s="102"/>
      <c r="J2" s="102"/>
      <c r="K2" s="102"/>
      <c r="L2" s="102"/>
      <c r="M2" s="102"/>
      <c r="N2" s="102"/>
      <c r="O2" s="102"/>
      <c r="P2" s="102"/>
      <c r="Q2" s="102"/>
      <c r="R2" s="107"/>
      <c r="S2" s="112"/>
      <c r="T2" s="301"/>
      <c r="U2" s="301"/>
      <c r="V2" s="301"/>
      <c r="W2" s="301"/>
      <c r="X2" s="301"/>
      <c r="Y2" s="301"/>
      <c r="Z2" s="301"/>
      <c r="AA2" s="112"/>
      <c r="AB2" s="89"/>
    </row>
    <row r="3" spans="1:28" x14ac:dyDescent="0.2">
      <c r="B3" s="102"/>
      <c r="D3" s="98"/>
      <c r="E3" s="90"/>
      <c r="F3" s="94" t="s">
        <v>237</v>
      </c>
      <c r="G3" s="87"/>
      <c r="H3" s="87"/>
      <c r="I3" s="87"/>
      <c r="J3" s="87"/>
      <c r="K3" s="87"/>
      <c r="L3" s="87"/>
      <c r="M3" s="87"/>
      <c r="N3" s="87"/>
      <c r="O3" s="87"/>
      <c r="P3" s="87"/>
      <c r="Q3" s="87"/>
      <c r="R3" s="107"/>
      <c r="S3" s="112"/>
      <c r="T3" s="113"/>
      <c r="U3" s="112"/>
      <c r="V3" s="112"/>
      <c r="W3" s="112"/>
      <c r="X3" s="112"/>
      <c r="Y3" s="112"/>
      <c r="Z3" s="112"/>
      <c r="AA3" s="112"/>
      <c r="AB3" s="89"/>
    </row>
    <row r="4" spans="1:28" x14ac:dyDescent="0.2">
      <c r="A4" s="90"/>
      <c r="B4" s="94" t="s">
        <v>238</v>
      </c>
      <c r="C4" s="101"/>
      <c r="D4" s="94" t="s">
        <v>239</v>
      </c>
      <c r="E4" s="93"/>
      <c r="F4" s="109" t="s">
        <v>10</v>
      </c>
      <c r="G4" s="122" t="s">
        <v>11</v>
      </c>
      <c r="H4" s="122" t="s">
        <v>12</v>
      </c>
      <c r="I4" s="122" t="s">
        <v>13</v>
      </c>
      <c r="J4" s="122" t="s">
        <v>14</v>
      </c>
      <c r="K4" s="122" t="s">
        <v>15</v>
      </c>
      <c r="L4" s="122" t="s">
        <v>16</v>
      </c>
      <c r="M4" s="122" t="s">
        <v>17</v>
      </c>
      <c r="N4" s="122" t="s">
        <v>18</v>
      </c>
      <c r="O4" s="122" t="s">
        <v>19</v>
      </c>
      <c r="P4" s="122" t="s">
        <v>20</v>
      </c>
      <c r="Q4" s="122" t="s">
        <v>21</v>
      </c>
      <c r="R4" s="107"/>
      <c r="S4" s="112"/>
      <c r="T4" s="113"/>
      <c r="U4" s="112"/>
      <c r="V4" s="112"/>
      <c r="W4" s="112"/>
      <c r="X4" s="87" t="s">
        <v>258</v>
      </c>
      <c r="Y4" s="112"/>
      <c r="Z4" s="112"/>
      <c r="AA4" s="112"/>
      <c r="AB4" s="89"/>
    </row>
    <row r="5" spans="1:28" x14ac:dyDescent="0.2">
      <c r="B5" s="104"/>
      <c r="D5" s="99"/>
      <c r="F5" s="95"/>
      <c r="G5" s="104"/>
      <c r="H5" s="104"/>
      <c r="I5" s="104"/>
      <c r="J5" s="104"/>
      <c r="K5" s="104"/>
      <c r="L5" s="104"/>
      <c r="M5" s="104"/>
      <c r="N5" s="104"/>
      <c r="O5" s="104"/>
      <c r="P5" s="104"/>
      <c r="Q5" s="104"/>
      <c r="R5" s="107"/>
      <c r="S5" s="112"/>
      <c r="T5" s="113"/>
      <c r="U5" s="112"/>
      <c r="V5" s="112"/>
      <c r="W5" s="112"/>
      <c r="X5" s="112"/>
      <c r="Y5" s="112"/>
      <c r="Z5" s="112"/>
      <c r="AA5" s="112"/>
      <c r="AB5" s="89"/>
    </row>
    <row r="6" spans="1:28" x14ac:dyDescent="0.2">
      <c r="A6" s="90"/>
      <c r="B6" s="96" t="s">
        <v>259</v>
      </c>
      <c r="C6" s="101"/>
      <c r="D6" s="100" t="s">
        <v>42</v>
      </c>
      <c r="E6" s="93"/>
      <c r="F6" s="108">
        <f>INDEX('2024  Bdg vs Actual-CA'!$O$11:$BG$37,MATCH($D6,'2024  Bdg vs Actual-CA'!$A$11:$A$37,0),MATCH(F4,'2024  Bdg vs Actual-CA'!$O$8:$BG$8,0))</f>
        <v>726232.5</v>
      </c>
      <c r="G6" s="108" t="e">
        <f>INDEX('2024  Bdg vs Actual-CA'!$O$11:$BG$37,MATCH($D6,'2024  Bdg vs Actual-CA'!$A$11:$A$37,0),MATCH(G4,'2024  Bdg vs Actual-CA'!$O$8:$BG$8,0))</f>
        <v>#N/A</v>
      </c>
      <c r="H6" s="108">
        <f>INDEX('2024  Bdg vs Actual-CA'!$O$11:$BG$37,MATCH($D6,'2024  Bdg vs Actual-CA'!$A$11:$A$37,0),MATCH(H4,'2024  Bdg vs Actual-CA'!$O$8:$BG$8,0))</f>
        <v>726232.5</v>
      </c>
      <c r="I6" s="108">
        <f>INDEX('2024  Bdg vs Actual-CA'!$O$11:$BG$37,MATCH($D6,'2024  Bdg vs Actual-CA'!$A$11:$A$37,0),MATCH(I4,'2024  Bdg vs Actual-CA'!$O$8:$BG$8,0))</f>
        <v>726232.5</v>
      </c>
      <c r="J6" s="108">
        <f>INDEX('2024  Bdg vs Actual-CA'!$O$11:$BG$37,MATCH($D6,'2024  Bdg vs Actual-CA'!$A$11:$A$37,0),MATCH(J4,'2024  Bdg vs Actual-CA'!$O$8:$BG$8,0))</f>
        <v>726232.5</v>
      </c>
      <c r="K6" s="108">
        <f>INDEX('2024  Bdg vs Actual-CA'!$O$11:$BG$37,MATCH($D6,'2024  Bdg vs Actual-CA'!$A$11:$A$37,0),MATCH(K4,'2024  Bdg vs Actual-CA'!$O$8:$BG$8,0))</f>
        <v>726232.5</v>
      </c>
      <c r="L6" s="108">
        <f>INDEX('2024  Bdg vs Actual-CA'!$O$11:$BG$37,MATCH($D6,'2024  Bdg vs Actual-CA'!$A$11:$A$37,0),MATCH(L4,'2024  Bdg vs Actual-CA'!$O$8:$BG$8,0))</f>
        <v>726232.5</v>
      </c>
      <c r="M6" s="108">
        <f>INDEX('2024  Bdg vs Actual-CA'!$O$11:$BG$37,MATCH($D6,'2024  Bdg vs Actual-CA'!$A$11:$A$37,0),MATCH(M4,'2024  Bdg vs Actual-CA'!$O$8:$BG$8,0))</f>
        <v>726232.5</v>
      </c>
      <c r="N6" s="108">
        <f>INDEX('2024  Bdg vs Actual-CA'!$O$11:$BG$37,MATCH($D6,'2024  Bdg vs Actual-CA'!$A$11:$A$37,0),MATCH(N4,'2024  Bdg vs Actual-CA'!$O$8:$BG$8,0))</f>
        <v>726232.5</v>
      </c>
      <c r="O6" s="108">
        <f>INDEX('2024  Bdg vs Actual-CA'!$O$11:$BG$37,MATCH($D6,'2024  Bdg vs Actual-CA'!$A$11:$A$37,0),MATCH(O4,'2024  Bdg vs Actual-CA'!$O$8:$BG$8,0))</f>
        <v>726232.5</v>
      </c>
      <c r="P6" s="108">
        <f>INDEX('2024  Bdg vs Actual-CA'!$O$11:$BG$37,MATCH($D6,'2024  Bdg vs Actual-CA'!$A$11:$A$37,0),MATCH(P4,'2024  Bdg vs Actual-CA'!$O$8:$BG$8,0))</f>
        <v>726232.5</v>
      </c>
      <c r="Q6" s="108">
        <f>INDEX('2024  Bdg vs Actual-CA'!$O$11:$BG$37,MATCH($D6,'2024  Bdg vs Actual-CA'!$A$11:$A$37,0),MATCH(Q4,'2024  Bdg vs Actual-CA'!$O$8:$BG$8,0))</f>
        <v>726232.5</v>
      </c>
      <c r="R6" s="107"/>
      <c r="S6" s="112"/>
      <c r="T6" s="295" t="s">
        <v>242</v>
      </c>
      <c r="U6" s="112"/>
      <c r="V6" s="110">
        <f>F6-F7</f>
        <v>108932.5</v>
      </c>
      <c r="W6" s="112"/>
      <c r="X6" s="111">
        <v>0.06</v>
      </c>
      <c r="Y6" s="112"/>
      <c r="Z6" s="110">
        <f>V6*X6</f>
        <v>6535.95</v>
      </c>
      <c r="AA6" s="112"/>
      <c r="AB6" s="89"/>
    </row>
    <row r="7" spans="1:28" x14ac:dyDescent="0.2">
      <c r="A7" s="90"/>
      <c r="B7" s="96" t="s">
        <v>259</v>
      </c>
      <c r="C7" s="101"/>
      <c r="D7" s="100" t="s">
        <v>51</v>
      </c>
      <c r="E7" s="93"/>
      <c r="F7" s="108">
        <f>INDEX('2024  Bdg vs Actual-CA'!$O$11:$BG$37,MATCH($D7,'2024  Bdg vs Actual-CA'!$A$11:$A$37,0),MATCH(F$4,'2024  Bdg vs Actual-CA'!$O$8:$BG$8,0))</f>
        <v>617300</v>
      </c>
      <c r="G7" s="108" t="e">
        <f>INDEX('2024  Bdg vs Actual-CA'!$O$11:$BG$37,MATCH($D7,'2024  Bdg vs Actual-CA'!$A$11:$A$37,0),MATCH(G$4,'2024  Bdg vs Actual-CA'!$O$8:$BG$8,0))</f>
        <v>#N/A</v>
      </c>
      <c r="H7" s="108">
        <f>INDEX('2024  Bdg vs Actual-CA'!$O$11:$BG$37,MATCH($D7,'2024  Bdg vs Actual-CA'!$A$11:$A$37,0),MATCH(H$4,'2024  Bdg vs Actual-CA'!$O$8:$BG$8,0))</f>
        <v>617300</v>
      </c>
      <c r="I7" s="108">
        <f>INDEX('2024  Bdg vs Actual-CA'!$O$11:$BG$37,MATCH($D7,'2024  Bdg vs Actual-CA'!$A$11:$A$37,0),MATCH(I$4,'2024  Bdg vs Actual-CA'!$O$8:$BG$8,0))</f>
        <v>617300</v>
      </c>
      <c r="J7" s="108">
        <f>INDEX('2024  Bdg vs Actual-CA'!$O$11:$BG$37,MATCH($D7,'2024  Bdg vs Actual-CA'!$A$11:$A$37,0),MATCH(J$4,'2024  Bdg vs Actual-CA'!$O$8:$BG$8,0))</f>
        <v>617300</v>
      </c>
      <c r="K7" s="108">
        <f>INDEX('2024  Bdg vs Actual-CA'!$O$11:$BG$37,MATCH($D7,'2024  Bdg vs Actual-CA'!$A$11:$A$37,0),MATCH(K$4,'2024  Bdg vs Actual-CA'!$O$8:$BG$8,0))</f>
        <v>617300</v>
      </c>
      <c r="L7" s="108">
        <f>INDEX('2024  Bdg vs Actual-CA'!$O$11:$BG$37,MATCH($D7,'2024  Bdg vs Actual-CA'!$A$11:$A$37,0),MATCH(L$4,'2024  Bdg vs Actual-CA'!$O$8:$BG$8,0))</f>
        <v>617300</v>
      </c>
      <c r="M7" s="108">
        <f>INDEX('2024  Bdg vs Actual-CA'!$O$11:$BG$37,MATCH($D7,'2024  Bdg vs Actual-CA'!$A$11:$A$37,0),MATCH(M$4,'2024  Bdg vs Actual-CA'!$O$8:$BG$8,0))</f>
        <v>617300</v>
      </c>
      <c r="N7" s="108">
        <f>INDEX('2024  Bdg vs Actual-CA'!$O$11:$BG$37,MATCH($D7,'2024  Bdg vs Actual-CA'!$A$11:$A$37,0),MATCH(N$4,'2024  Bdg vs Actual-CA'!$O$8:$BG$8,0))</f>
        <v>617300</v>
      </c>
      <c r="O7" s="108">
        <f>INDEX('2024  Bdg vs Actual-CA'!$O$11:$BG$37,MATCH($D7,'2024  Bdg vs Actual-CA'!$A$11:$A$37,0),MATCH(O$4,'2024  Bdg vs Actual-CA'!$O$8:$BG$8,0))</f>
        <v>617300</v>
      </c>
      <c r="P7" s="108">
        <f>INDEX('2024  Bdg vs Actual-CA'!$O$11:$BG$37,MATCH($D7,'2024  Bdg vs Actual-CA'!$A$11:$A$37,0),MATCH(P$4,'2024  Bdg vs Actual-CA'!$O$8:$BG$8,0))</f>
        <v>617300</v>
      </c>
      <c r="Q7" s="108">
        <f>INDEX('2024  Bdg vs Actual-CA'!$O$11:$BG$37,MATCH($D7,'2024  Bdg vs Actual-CA'!$A$11:$A$37,0),MATCH(Q$4,'2024  Bdg vs Actual-CA'!$O$8:$BG$8,0))</f>
        <v>617300</v>
      </c>
      <c r="R7" s="107"/>
      <c r="S7" s="112"/>
      <c r="T7" s="296"/>
      <c r="U7" s="112"/>
      <c r="V7" s="112"/>
      <c r="W7" s="112"/>
      <c r="X7" s="112"/>
      <c r="Y7" s="112"/>
      <c r="Z7" s="112"/>
      <c r="AA7" s="112"/>
      <c r="AB7" s="89"/>
    </row>
    <row r="8" spans="1:28" x14ac:dyDescent="0.2">
      <c r="B8" s="104"/>
      <c r="D8" s="99"/>
      <c r="F8" s="97"/>
      <c r="G8" s="124"/>
      <c r="H8" s="124"/>
      <c r="I8" s="124"/>
      <c r="J8" s="124"/>
      <c r="K8" s="124"/>
      <c r="L8" s="124"/>
      <c r="M8" s="124"/>
      <c r="N8" s="124"/>
      <c r="O8" s="124"/>
      <c r="P8" s="124"/>
      <c r="Q8" s="124"/>
      <c r="R8" s="107"/>
      <c r="S8" s="112"/>
      <c r="T8" s="113"/>
      <c r="U8" s="112"/>
      <c r="V8" s="112"/>
      <c r="W8" s="112"/>
      <c r="X8" s="112"/>
      <c r="Y8" s="112"/>
      <c r="Z8" s="112"/>
      <c r="AA8" s="112"/>
      <c r="AB8" s="89"/>
    </row>
    <row r="9" spans="1:28" x14ac:dyDescent="0.2">
      <c r="A9" s="90"/>
      <c r="B9" s="96" t="s">
        <v>259</v>
      </c>
      <c r="C9" s="101"/>
      <c r="D9" s="100" t="s">
        <v>38</v>
      </c>
      <c r="E9" s="93"/>
      <c r="F9" s="108">
        <f>INDEX('2024  Bdg vs Actual-CA'!$O$11:$BG$37,MATCH($D9,'2024  Bdg vs Actual-CA'!$A$11:$A$37,0),MATCH(F$4,'2024  Bdg vs Actual-CA'!$O$8:$BG$8,0))</f>
        <v>51754.499999999993</v>
      </c>
      <c r="G9" s="123" t="e">
        <f>INDEX('2024  Bdg vs Actual-CA'!$O$11:$BG$37,MATCH($D9,'2024  Bdg vs Actual-CA'!$A$11:$A$37,0),MATCH(G$4,'2024  Bdg vs Actual-CA'!$O$8:$BG$8,0))</f>
        <v>#N/A</v>
      </c>
      <c r="H9" s="123">
        <f>INDEX('2024  Bdg vs Actual-CA'!$O$11:$BG$37,MATCH($D9,'2024  Bdg vs Actual-CA'!$A$11:$A$37,0),MATCH(H$4,'2024  Bdg vs Actual-CA'!$O$8:$BG$8,0))</f>
        <v>51754.499999999993</v>
      </c>
      <c r="I9" s="123">
        <f>INDEX('2024  Bdg vs Actual-CA'!$O$11:$BG$37,MATCH($D9,'2024  Bdg vs Actual-CA'!$A$11:$A$37,0),MATCH(I$4,'2024  Bdg vs Actual-CA'!$O$8:$BG$8,0))</f>
        <v>51754.499999999993</v>
      </c>
      <c r="J9" s="123">
        <f>INDEX('2024  Bdg vs Actual-CA'!$O$11:$BG$37,MATCH($D9,'2024  Bdg vs Actual-CA'!$A$11:$A$37,0),MATCH(J$4,'2024  Bdg vs Actual-CA'!$O$8:$BG$8,0))</f>
        <v>51754.499999999993</v>
      </c>
      <c r="K9" s="123">
        <f>INDEX('2024  Bdg vs Actual-CA'!$O$11:$BG$37,MATCH($D9,'2024  Bdg vs Actual-CA'!$A$11:$A$37,0),MATCH(K$4,'2024  Bdg vs Actual-CA'!$O$8:$BG$8,0))</f>
        <v>51754.499999999993</v>
      </c>
      <c r="L9" s="123">
        <f>INDEX('2024  Bdg vs Actual-CA'!$O$11:$BG$37,MATCH($D9,'2024  Bdg vs Actual-CA'!$A$11:$A$37,0),MATCH(L$4,'2024  Bdg vs Actual-CA'!$O$8:$BG$8,0))</f>
        <v>51754.499999999993</v>
      </c>
      <c r="M9" s="123">
        <f>INDEX('2024  Bdg vs Actual-CA'!$O$11:$BG$37,MATCH($D9,'2024  Bdg vs Actual-CA'!$A$11:$A$37,0),MATCH(M$4,'2024  Bdg vs Actual-CA'!$O$8:$BG$8,0))</f>
        <v>51754.499999999993</v>
      </c>
      <c r="N9" s="123">
        <f>INDEX('2024  Bdg vs Actual-CA'!$O$11:$BG$37,MATCH($D9,'2024  Bdg vs Actual-CA'!$A$11:$A$37,0),MATCH(N$4,'2024  Bdg vs Actual-CA'!$O$8:$BG$8,0))</f>
        <v>51754.499999999993</v>
      </c>
      <c r="O9" s="123">
        <f>INDEX('2024  Bdg vs Actual-CA'!$O$11:$BG$37,MATCH($D9,'2024  Bdg vs Actual-CA'!$A$11:$A$37,0),MATCH(O$4,'2024  Bdg vs Actual-CA'!$O$8:$BG$8,0))</f>
        <v>51754.499999999993</v>
      </c>
      <c r="P9" s="123">
        <f>INDEX('2024  Bdg vs Actual-CA'!$O$11:$BG$37,MATCH($D9,'2024  Bdg vs Actual-CA'!$A$11:$A$37,0),MATCH(P$4,'2024  Bdg vs Actual-CA'!$O$8:$BG$8,0))</f>
        <v>51754.499999999993</v>
      </c>
      <c r="Q9" s="123">
        <f>INDEX('2024  Bdg vs Actual-CA'!$O$11:$BG$37,MATCH($D9,'2024  Bdg vs Actual-CA'!$A$11:$A$37,0),MATCH(Q$4,'2024  Bdg vs Actual-CA'!$O$8:$BG$8,0))</f>
        <v>51754.499999999993</v>
      </c>
      <c r="R9" s="107"/>
      <c r="S9" s="112"/>
      <c r="T9" s="87" t="s">
        <v>38</v>
      </c>
      <c r="U9" s="112"/>
      <c r="V9" s="110">
        <f>F9</f>
        <v>51754.499999999993</v>
      </c>
      <c r="W9" s="112"/>
      <c r="X9" s="111">
        <f>0.3*0.08</f>
        <v>2.4E-2</v>
      </c>
      <c r="Y9" s="112"/>
      <c r="Z9" s="110">
        <f>V9*X9</f>
        <v>1242.1079999999999</v>
      </c>
      <c r="AA9" s="112"/>
      <c r="AB9" s="89"/>
    </row>
    <row r="10" spans="1:28" x14ac:dyDescent="0.2">
      <c r="B10" s="104"/>
      <c r="D10" s="99"/>
      <c r="F10" s="97"/>
      <c r="G10" s="124"/>
      <c r="H10" s="124"/>
      <c r="I10" s="124"/>
      <c r="J10" s="124"/>
      <c r="K10" s="124"/>
      <c r="L10" s="124"/>
      <c r="M10" s="124"/>
      <c r="N10" s="124"/>
      <c r="O10" s="124"/>
      <c r="P10" s="124"/>
      <c r="Q10" s="124"/>
      <c r="R10" s="107"/>
      <c r="S10" s="112"/>
      <c r="T10" s="113"/>
      <c r="U10" s="112"/>
      <c r="V10" s="112"/>
      <c r="W10" s="112"/>
      <c r="X10" s="112"/>
      <c r="Y10" s="112"/>
      <c r="Z10" s="112"/>
      <c r="AA10" s="112"/>
      <c r="AB10" s="89"/>
    </row>
    <row r="11" spans="1:28" x14ac:dyDescent="0.2">
      <c r="A11" s="90"/>
      <c r="B11" s="96" t="s">
        <v>259</v>
      </c>
      <c r="C11" s="101"/>
      <c r="D11" s="100" t="s">
        <v>40</v>
      </c>
      <c r="E11" s="93"/>
      <c r="F11" s="108">
        <f>INDEX('2024  Bdg vs Actual-CA'!$O$11:$BG$37,MATCH($D11,'2024  Bdg vs Actual-CA'!$A$11:$A$37,0),MATCH(F$4,'2024  Bdg vs Actual-CA'!$O$8:$BG$8,0))</f>
        <v>56763.000000000007</v>
      </c>
      <c r="G11" s="123" t="e">
        <f>INDEX('2024  Bdg vs Actual-CA'!$O$11:$BG$37,MATCH($D11,'2024  Bdg vs Actual-CA'!$A$11:$A$37,0),MATCH(G$4,'2024  Bdg vs Actual-CA'!$O$8:$BG$8,0))</f>
        <v>#N/A</v>
      </c>
      <c r="H11" s="123">
        <f>INDEX('2024  Bdg vs Actual-CA'!$O$11:$BG$37,MATCH($D11,'2024  Bdg vs Actual-CA'!$A$11:$A$37,0),MATCH(H$4,'2024  Bdg vs Actual-CA'!$O$8:$BG$8,0))</f>
        <v>56763.000000000007</v>
      </c>
      <c r="I11" s="123">
        <f>INDEX('2024  Bdg vs Actual-CA'!$O$11:$BG$37,MATCH($D11,'2024  Bdg vs Actual-CA'!$A$11:$A$37,0),MATCH(I$4,'2024  Bdg vs Actual-CA'!$O$8:$BG$8,0))</f>
        <v>56763.000000000007</v>
      </c>
      <c r="J11" s="123">
        <f>INDEX('2024  Bdg vs Actual-CA'!$O$11:$BG$37,MATCH($D11,'2024  Bdg vs Actual-CA'!$A$11:$A$37,0),MATCH(J$4,'2024  Bdg vs Actual-CA'!$O$8:$BG$8,0))</f>
        <v>56763.000000000007</v>
      </c>
      <c r="K11" s="123">
        <f>INDEX('2024  Bdg vs Actual-CA'!$O$11:$BG$37,MATCH($D11,'2024  Bdg vs Actual-CA'!$A$11:$A$37,0),MATCH(K$4,'2024  Bdg vs Actual-CA'!$O$8:$BG$8,0))</f>
        <v>56763.000000000007</v>
      </c>
      <c r="L11" s="123">
        <f>INDEX('2024  Bdg vs Actual-CA'!$O$11:$BG$37,MATCH($D11,'2024  Bdg vs Actual-CA'!$A$11:$A$37,0),MATCH(L$4,'2024  Bdg vs Actual-CA'!$O$8:$BG$8,0))</f>
        <v>56763.000000000007</v>
      </c>
      <c r="M11" s="123">
        <f>INDEX('2024  Bdg vs Actual-CA'!$O$11:$BG$37,MATCH($D11,'2024  Bdg vs Actual-CA'!$A$11:$A$37,0),MATCH(M$4,'2024  Bdg vs Actual-CA'!$O$8:$BG$8,0))</f>
        <v>56763.000000000007</v>
      </c>
      <c r="N11" s="123">
        <f>INDEX('2024  Bdg vs Actual-CA'!$O$11:$BG$37,MATCH($D11,'2024  Bdg vs Actual-CA'!$A$11:$A$37,0),MATCH(N$4,'2024  Bdg vs Actual-CA'!$O$8:$BG$8,0))</f>
        <v>56763.000000000007</v>
      </c>
      <c r="O11" s="123">
        <f>INDEX('2024  Bdg vs Actual-CA'!$O$11:$BG$37,MATCH($D11,'2024  Bdg vs Actual-CA'!$A$11:$A$37,0),MATCH(O$4,'2024  Bdg vs Actual-CA'!$O$8:$BG$8,0))</f>
        <v>56763.000000000007</v>
      </c>
      <c r="P11" s="123">
        <f>INDEX('2024  Bdg vs Actual-CA'!$O$11:$BG$37,MATCH($D11,'2024  Bdg vs Actual-CA'!$A$11:$A$37,0),MATCH(P$4,'2024  Bdg vs Actual-CA'!$O$8:$BG$8,0))</f>
        <v>56763.000000000007</v>
      </c>
      <c r="Q11" s="123">
        <f>INDEX('2024  Bdg vs Actual-CA'!$O$11:$BG$37,MATCH($D11,'2024  Bdg vs Actual-CA'!$A$11:$A$37,0),MATCH(Q$4,'2024  Bdg vs Actual-CA'!$O$8:$BG$8,0))</f>
        <v>56763.000000000007</v>
      </c>
      <c r="R11" s="107"/>
      <c r="S11" s="112"/>
      <c r="T11" s="295" t="s">
        <v>243</v>
      </c>
      <c r="U11" s="112"/>
      <c r="V11" s="110">
        <f>F11-F12</f>
        <v>6063.0000000000073</v>
      </c>
      <c r="W11" s="112"/>
      <c r="X11" s="111">
        <v>0.08</v>
      </c>
      <c r="Y11" s="112"/>
      <c r="Z11" s="110">
        <f>V11*X11</f>
        <v>485.04000000000059</v>
      </c>
      <c r="AA11" s="112"/>
      <c r="AB11" s="89"/>
    </row>
    <row r="12" spans="1:28" x14ac:dyDescent="0.2">
      <c r="A12" s="90"/>
      <c r="B12" s="96" t="s">
        <v>259</v>
      </c>
      <c r="C12" s="101"/>
      <c r="D12" s="100" t="s">
        <v>50</v>
      </c>
      <c r="E12" s="93"/>
      <c r="F12" s="108">
        <f>INDEX('2024  Bdg vs Actual-CA'!$O$11:$BG$37,MATCH($D12,'2024  Bdg vs Actual-CA'!$A$11:$A$37,0),MATCH(F$4,'2024  Bdg vs Actual-CA'!$O$8:$BG$8,0))</f>
        <v>50700</v>
      </c>
      <c r="G12" s="123" t="e">
        <f>INDEX('2024  Bdg vs Actual-CA'!$O$11:$BG$37,MATCH($D12,'2024  Bdg vs Actual-CA'!$A$11:$A$37,0),MATCH(G$4,'2024  Bdg vs Actual-CA'!$O$8:$BG$8,0))</f>
        <v>#N/A</v>
      </c>
      <c r="H12" s="123">
        <f>INDEX('2024  Bdg vs Actual-CA'!$O$11:$BG$37,MATCH($D12,'2024  Bdg vs Actual-CA'!$A$11:$A$37,0),MATCH(H$4,'2024  Bdg vs Actual-CA'!$O$8:$BG$8,0))</f>
        <v>50700</v>
      </c>
      <c r="I12" s="123">
        <f>INDEX('2024  Bdg vs Actual-CA'!$O$11:$BG$37,MATCH($D12,'2024  Bdg vs Actual-CA'!$A$11:$A$37,0),MATCH(I$4,'2024  Bdg vs Actual-CA'!$O$8:$BG$8,0))</f>
        <v>50700</v>
      </c>
      <c r="J12" s="123">
        <f>INDEX('2024  Bdg vs Actual-CA'!$O$11:$BG$37,MATCH($D12,'2024  Bdg vs Actual-CA'!$A$11:$A$37,0),MATCH(J$4,'2024  Bdg vs Actual-CA'!$O$8:$BG$8,0))</f>
        <v>50700</v>
      </c>
      <c r="K12" s="123">
        <f>INDEX('2024  Bdg vs Actual-CA'!$O$11:$BG$37,MATCH($D12,'2024  Bdg vs Actual-CA'!$A$11:$A$37,0),MATCH(K$4,'2024  Bdg vs Actual-CA'!$O$8:$BG$8,0))</f>
        <v>50700</v>
      </c>
      <c r="L12" s="123">
        <f>INDEX('2024  Bdg vs Actual-CA'!$O$11:$BG$37,MATCH($D12,'2024  Bdg vs Actual-CA'!$A$11:$A$37,0),MATCH(L$4,'2024  Bdg vs Actual-CA'!$O$8:$BG$8,0))</f>
        <v>50700</v>
      </c>
      <c r="M12" s="123">
        <f>INDEX('2024  Bdg vs Actual-CA'!$O$11:$BG$37,MATCH($D12,'2024  Bdg vs Actual-CA'!$A$11:$A$37,0),MATCH(M$4,'2024  Bdg vs Actual-CA'!$O$8:$BG$8,0))</f>
        <v>50700</v>
      </c>
      <c r="N12" s="123">
        <f>INDEX('2024  Bdg vs Actual-CA'!$O$11:$BG$37,MATCH($D12,'2024  Bdg vs Actual-CA'!$A$11:$A$37,0),MATCH(N$4,'2024  Bdg vs Actual-CA'!$O$8:$BG$8,0))</f>
        <v>50700</v>
      </c>
      <c r="O12" s="123">
        <f>INDEX('2024  Bdg vs Actual-CA'!$O$11:$BG$37,MATCH($D12,'2024  Bdg vs Actual-CA'!$A$11:$A$37,0),MATCH(O$4,'2024  Bdg vs Actual-CA'!$O$8:$BG$8,0))</f>
        <v>50700</v>
      </c>
      <c r="P12" s="123">
        <f>INDEX('2024  Bdg vs Actual-CA'!$O$11:$BG$37,MATCH($D12,'2024  Bdg vs Actual-CA'!$A$11:$A$37,0),MATCH(P$4,'2024  Bdg vs Actual-CA'!$O$8:$BG$8,0))</f>
        <v>50700</v>
      </c>
      <c r="Q12" s="123">
        <f>INDEX('2024  Bdg vs Actual-CA'!$O$11:$BG$37,MATCH($D12,'2024  Bdg vs Actual-CA'!$A$11:$A$37,0),MATCH(Q$4,'2024  Bdg vs Actual-CA'!$O$8:$BG$8,0))</f>
        <v>50700</v>
      </c>
      <c r="R12" s="107"/>
      <c r="S12" s="112"/>
      <c r="T12" s="296"/>
      <c r="U12" s="112"/>
      <c r="V12" s="112"/>
      <c r="W12" s="112"/>
      <c r="X12" s="112"/>
      <c r="Y12" s="112"/>
      <c r="Z12" s="112"/>
      <c r="AA12" s="112"/>
      <c r="AB12" s="89"/>
    </row>
    <row r="13" spans="1:28" x14ac:dyDescent="0.2">
      <c r="B13" s="104"/>
      <c r="D13" s="99"/>
      <c r="F13" s="97"/>
      <c r="G13" s="124"/>
      <c r="H13" s="124"/>
      <c r="I13" s="124"/>
      <c r="J13" s="124"/>
      <c r="K13" s="124"/>
      <c r="L13" s="124"/>
      <c r="M13" s="124"/>
      <c r="N13" s="124"/>
      <c r="O13" s="124"/>
      <c r="P13" s="124"/>
      <c r="Q13" s="124"/>
      <c r="R13" s="107"/>
      <c r="S13" s="112"/>
      <c r="T13" s="113"/>
      <c r="U13" s="112"/>
      <c r="V13" s="112"/>
      <c r="W13" s="112"/>
      <c r="X13" s="112"/>
      <c r="Y13" s="112"/>
      <c r="Z13" s="112"/>
      <c r="AA13" s="112"/>
      <c r="AB13" s="89"/>
    </row>
    <row r="14" spans="1:28" x14ac:dyDescent="0.2">
      <c r="A14" s="90"/>
      <c r="B14" s="96" t="s">
        <v>260</v>
      </c>
      <c r="C14" s="101"/>
      <c r="D14" s="100" t="s">
        <v>36</v>
      </c>
      <c r="E14" s="93"/>
      <c r="F14" s="108" t="e">
        <f>INDEX(#REF!,MATCH($D14,#REF!,0),MATCH(F$4,#REF!,0))</f>
        <v>#REF!</v>
      </c>
      <c r="G14" s="123" t="e">
        <f>INDEX(#REF!,MATCH($D14,#REF!,0),MATCH(G$4,#REF!,0))</f>
        <v>#REF!</v>
      </c>
      <c r="H14" s="123" t="e">
        <f>INDEX(#REF!,MATCH($D14,#REF!,0),MATCH(H$4,#REF!,0))</f>
        <v>#REF!</v>
      </c>
      <c r="I14" s="123" t="e">
        <f>INDEX(#REF!,MATCH($D14,#REF!,0),MATCH(I$4,#REF!,0))</f>
        <v>#REF!</v>
      </c>
      <c r="J14" s="123" t="e">
        <f>INDEX(#REF!,MATCH($D14,#REF!,0),MATCH(J$4,#REF!,0))</f>
        <v>#REF!</v>
      </c>
      <c r="K14" s="123" t="e">
        <f>INDEX(#REF!,MATCH($D14,#REF!,0),MATCH(K$4,#REF!,0))</f>
        <v>#REF!</v>
      </c>
      <c r="L14" s="123" t="e">
        <f>INDEX(#REF!,MATCH($D14,#REF!,0),MATCH(L$4,#REF!,0))</f>
        <v>#REF!</v>
      </c>
      <c r="M14" s="123" t="e">
        <f>INDEX(#REF!,MATCH($D14,#REF!,0),MATCH(M$4,#REF!,0))</f>
        <v>#REF!</v>
      </c>
      <c r="N14" s="123" t="e">
        <f>INDEX(#REF!,MATCH($D14,#REF!,0),MATCH(N$4,#REF!,0))</f>
        <v>#REF!</v>
      </c>
      <c r="O14" s="123" t="e">
        <f>INDEX(#REF!,MATCH($D14,#REF!,0),MATCH(O$4,#REF!,0))</f>
        <v>#REF!</v>
      </c>
      <c r="P14" s="123" t="e">
        <f>INDEX(#REF!,MATCH($D14,#REF!,0),MATCH(P$4,#REF!,0))</f>
        <v>#REF!</v>
      </c>
      <c r="Q14" s="123" t="e">
        <f>INDEX(#REF!,MATCH($D14,#REF!,0),MATCH(Q$4,#REF!,0))</f>
        <v>#REF!</v>
      </c>
      <c r="R14" s="107"/>
      <c r="S14" s="112"/>
      <c r="T14" t="s">
        <v>36</v>
      </c>
      <c r="U14" s="112"/>
      <c r="V14" s="110" t="e">
        <f>F14</f>
        <v>#REF!</v>
      </c>
      <c r="W14" s="112"/>
      <c r="X14" s="111">
        <v>0.08</v>
      </c>
      <c r="Y14" s="112"/>
      <c r="Z14" s="110" t="e">
        <f>V14*X14</f>
        <v>#REF!</v>
      </c>
      <c r="AA14" s="112"/>
      <c r="AB14" s="89"/>
    </row>
    <row r="15" spans="1:28" x14ac:dyDescent="0.2">
      <c r="B15" s="104"/>
      <c r="D15" s="99"/>
      <c r="F15" s="97"/>
      <c r="G15" s="124"/>
      <c r="H15" s="124"/>
      <c r="I15" s="124"/>
      <c r="J15" s="124"/>
      <c r="K15" s="124"/>
      <c r="L15" s="124"/>
      <c r="M15" s="124"/>
      <c r="N15" s="124"/>
      <c r="O15" s="124"/>
      <c r="P15" s="124"/>
      <c r="Q15" s="124"/>
      <c r="R15" s="107"/>
      <c r="S15" s="112"/>
      <c r="T15" s="113"/>
      <c r="U15" s="112"/>
      <c r="V15" s="112"/>
      <c r="W15" s="112"/>
      <c r="X15" s="112"/>
      <c r="Y15" s="112"/>
      <c r="Z15" s="112"/>
      <c r="AA15" s="112"/>
      <c r="AB15" s="89"/>
    </row>
    <row r="16" spans="1:28" x14ac:dyDescent="0.2">
      <c r="A16" s="90"/>
      <c r="B16" s="96" t="s">
        <v>260</v>
      </c>
      <c r="C16" s="101"/>
      <c r="D16" s="100" t="s">
        <v>31</v>
      </c>
      <c r="E16" s="93"/>
      <c r="F16" s="132" t="e">
        <f>INDEX(#REF!,MATCH($D16,#REF!,0),MATCH(F$4,#REF!,0))</f>
        <v>#REF!</v>
      </c>
      <c r="G16" s="123" t="e">
        <f>INDEX(#REF!,MATCH($D16,#REF!,0),MATCH(G$4,#REF!,0))</f>
        <v>#REF!</v>
      </c>
      <c r="H16" s="123" t="e">
        <f>INDEX(#REF!,MATCH($D16,#REF!,0),MATCH(H$4,#REF!,0))</f>
        <v>#REF!</v>
      </c>
      <c r="I16" s="123" t="e">
        <f>INDEX(#REF!,MATCH($D16,#REF!,0),MATCH(I$4,#REF!,0))</f>
        <v>#REF!</v>
      </c>
      <c r="J16" s="123">
        <v>3000</v>
      </c>
      <c r="K16" s="123" t="e">
        <f>INDEX(#REF!,MATCH($D16,#REF!,0),MATCH(K$4,#REF!,0))</f>
        <v>#REF!</v>
      </c>
      <c r="L16" s="123" t="e">
        <f>INDEX(#REF!,MATCH($D16,#REF!,0),MATCH(L$4,#REF!,0))</f>
        <v>#REF!</v>
      </c>
      <c r="M16" s="123" t="e">
        <f>INDEX(#REF!,MATCH($D16,#REF!,0),MATCH(M$4,#REF!,0))</f>
        <v>#REF!</v>
      </c>
      <c r="N16" s="123" t="e">
        <f>INDEX(#REF!,MATCH($D16,#REF!,0),MATCH(N$4,#REF!,0))</f>
        <v>#REF!</v>
      </c>
      <c r="O16" s="123" t="e">
        <f>INDEX(#REF!,MATCH($D16,#REF!,0),MATCH(O$4,#REF!,0))</f>
        <v>#REF!</v>
      </c>
      <c r="P16" s="123" t="e">
        <f>INDEX(#REF!,MATCH($D16,#REF!,0),MATCH(P$4,#REF!,0))</f>
        <v>#REF!</v>
      </c>
      <c r="Q16" s="123" t="e">
        <f>INDEX(#REF!,MATCH($D16,#REF!,0),MATCH(Q$4,#REF!,0))</f>
        <v>#REF!</v>
      </c>
      <c r="R16" s="107"/>
      <c r="S16" s="112"/>
      <c r="T16" t="s">
        <v>31</v>
      </c>
      <c r="U16" s="112"/>
      <c r="V16" s="110" t="e">
        <f>F16</f>
        <v>#REF!</v>
      </c>
      <c r="W16" s="112"/>
      <c r="X16" s="111">
        <v>0.08</v>
      </c>
      <c r="Y16" s="112"/>
      <c r="Z16" s="110" t="e">
        <f>V16*X16</f>
        <v>#REF!</v>
      </c>
      <c r="AA16" s="112"/>
      <c r="AB16" s="89"/>
    </row>
    <row r="17" spans="1:28" x14ac:dyDescent="0.2">
      <c r="B17" s="104"/>
      <c r="D17" s="99"/>
      <c r="F17" s="97"/>
      <c r="G17" s="124"/>
      <c r="H17" s="124"/>
      <c r="I17" s="124"/>
      <c r="J17" s="124"/>
      <c r="K17" s="124"/>
      <c r="L17" s="124"/>
      <c r="M17" s="124"/>
      <c r="N17" s="124"/>
      <c r="O17" s="124"/>
      <c r="P17" s="124"/>
      <c r="Q17" s="124"/>
      <c r="R17" s="107"/>
      <c r="S17" s="112"/>
      <c r="T17" s="113"/>
      <c r="U17" s="112"/>
      <c r="V17" s="112"/>
      <c r="W17" s="112"/>
      <c r="X17" s="112"/>
      <c r="Y17" s="112"/>
      <c r="Z17" s="112"/>
      <c r="AA17" s="112"/>
      <c r="AB17" s="89"/>
    </row>
    <row r="18" spans="1:28" x14ac:dyDescent="0.2">
      <c r="A18" s="90"/>
      <c r="B18" s="96" t="s">
        <v>260</v>
      </c>
      <c r="C18" s="101"/>
      <c r="D18" s="100" t="s">
        <v>37</v>
      </c>
      <c r="E18" s="93"/>
      <c r="F18" s="132" t="e">
        <f>INDEX(#REF!,MATCH($D18,#REF!,0),MATCH(F$4,#REF!,0))</f>
        <v>#REF!</v>
      </c>
      <c r="G18" s="123" t="e">
        <f>INDEX(#REF!,MATCH($D18,#REF!,0),MATCH(G$4,#REF!,0))</f>
        <v>#REF!</v>
      </c>
      <c r="H18" s="123" t="e">
        <f>INDEX(#REF!,MATCH($D18,#REF!,0),MATCH(H$4,#REF!,0))</f>
        <v>#REF!</v>
      </c>
      <c r="I18" s="123" t="e">
        <f>INDEX(#REF!,MATCH($D18,#REF!,0),MATCH(I$4,#REF!,0))</f>
        <v>#REF!</v>
      </c>
      <c r="J18" s="123" t="e">
        <f>INDEX(#REF!,MATCH($D18,#REF!,0),MATCH(J$4,#REF!,0))</f>
        <v>#REF!</v>
      </c>
      <c r="K18" s="123" t="e">
        <f>INDEX(#REF!,MATCH($D18,#REF!,0),MATCH(K$4,#REF!,0))</f>
        <v>#REF!</v>
      </c>
      <c r="L18" s="123" t="e">
        <f>INDEX(#REF!,MATCH($D18,#REF!,0),MATCH(L$4,#REF!,0))</f>
        <v>#REF!</v>
      </c>
      <c r="M18" s="123" t="e">
        <f>INDEX(#REF!,MATCH($D18,#REF!,0),MATCH(M$4,#REF!,0))</f>
        <v>#REF!</v>
      </c>
      <c r="N18" s="123" t="e">
        <f>INDEX(#REF!,MATCH($D18,#REF!,0),MATCH(N$4,#REF!,0))</f>
        <v>#REF!</v>
      </c>
      <c r="O18" s="123" t="e">
        <f>INDEX(#REF!,MATCH($D18,#REF!,0),MATCH(O$4,#REF!,0))</f>
        <v>#REF!</v>
      </c>
      <c r="P18" s="123" t="e">
        <f>INDEX(#REF!,MATCH($D18,#REF!,0),MATCH(P$4,#REF!,0))</f>
        <v>#REF!</v>
      </c>
      <c r="Q18" s="123" t="e">
        <f>INDEX(#REF!,MATCH($D18,#REF!,0),MATCH(Q$4,#REF!,0))</f>
        <v>#REF!</v>
      </c>
      <c r="R18" s="107"/>
      <c r="S18" s="112"/>
      <c r="T18" s="295" t="s">
        <v>245</v>
      </c>
      <c r="U18" s="112"/>
      <c r="V18" s="110" t="e">
        <f>F18-F19</f>
        <v>#REF!</v>
      </c>
      <c r="W18" s="112"/>
      <c r="X18" s="111">
        <v>0.08</v>
      </c>
      <c r="Y18" s="112"/>
      <c r="Z18" s="110" t="e">
        <f>V18*X18</f>
        <v>#REF!</v>
      </c>
      <c r="AA18" s="112"/>
      <c r="AB18" s="89"/>
    </row>
    <row r="19" spans="1:28" x14ac:dyDescent="0.2">
      <c r="A19" s="90"/>
      <c r="B19" s="96" t="s">
        <v>260</v>
      </c>
      <c r="C19" s="101"/>
      <c r="D19" s="100" t="s">
        <v>48</v>
      </c>
      <c r="E19" s="93"/>
      <c r="F19" s="132" t="e">
        <f>INDEX(#REF!,MATCH($D19,#REF!,0),MATCH(F$4,#REF!,0))</f>
        <v>#REF!</v>
      </c>
      <c r="G19" s="123" t="e">
        <f>INDEX(#REF!,MATCH($D19,#REF!,0),MATCH(G$4,#REF!,0))</f>
        <v>#REF!</v>
      </c>
      <c r="H19" s="123" t="e">
        <f>INDEX(#REF!,MATCH($D19,#REF!,0),MATCH(H$4,#REF!,0))</f>
        <v>#REF!</v>
      </c>
      <c r="I19" s="123" t="e">
        <f>INDEX(#REF!,MATCH($D19,#REF!,0),MATCH(I$4,#REF!,0))</f>
        <v>#REF!</v>
      </c>
      <c r="J19" s="123" t="e">
        <f>INDEX(#REF!,MATCH($D19,#REF!,0),MATCH(J$4,#REF!,0))</f>
        <v>#REF!</v>
      </c>
      <c r="K19" s="123" t="e">
        <f>INDEX(#REF!,MATCH($D19,#REF!,0),MATCH(K$4,#REF!,0))</f>
        <v>#REF!</v>
      </c>
      <c r="L19" s="123" t="e">
        <f>INDEX(#REF!,MATCH($D19,#REF!,0),MATCH(L$4,#REF!,0))</f>
        <v>#REF!</v>
      </c>
      <c r="M19" s="123" t="e">
        <f>INDEX(#REF!,MATCH($D19,#REF!,0),MATCH(M$4,#REF!,0))</f>
        <v>#REF!</v>
      </c>
      <c r="N19" s="123" t="e">
        <f>INDEX(#REF!,MATCH($D19,#REF!,0),MATCH(N$4,#REF!,0))</f>
        <v>#REF!</v>
      </c>
      <c r="O19" s="123" t="e">
        <f>INDEX(#REF!,MATCH($D19,#REF!,0),MATCH(O$4,#REF!,0))</f>
        <v>#REF!</v>
      </c>
      <c r="P19" s="123" t="e">
        <f>INDEX(#REF!,MATCH($D19,#REF!,0),MATCH(P$4,#REF!,0))</f>
        <v>#REF!</v>
      </c>
      <c r="Q19" s="123" t="e">
        <f>INDEX(#REF!,MATCH($D19,#REF!,0),MATCH(Q$4,#REF!,0))</f>
        <v>#REF!</v>
      </c>
      <c r="R19" s="107"/>
      <c r="S19" s="112"/>
      <c r="T19" s="296"/>
      <c r="U19" s="112"/>
      <c r="V19" s="112"/>
      <c r="W19" s="112"/>
      <c r="X19" s="112"/>
      <c r="Y19" s="112"/>
      <c r="Z19" s="112"/>
      <c r="AA19" s="112"/>
      <c r="AB19" s="89"/>
    </row>
    <row r="20" spans="1:28" ht="19" x14ac:dyDescent="0.25">
      <c r="B20" s="103"/>
      <c r="D20" s="125" t="s">
        <v>57</v>
      </c>
      <c r="F20" s="92"/>
      <c r="G20" s="103"/>
      <c r="H20" s="103"/>
      <c r="I20" s="103"/>
      <c r="J20" s="103"/>
      <c r="K20" s="103"/>
      <c r="L20" s="103"/>
      <c r="M20" s="103"/>
      <c r="N20" s="103"/>
      <c r="O20" s="103"/>
      <c r="P20" s="103"/>
      <c r="Q20" s="103"/>
      <c r="R20" s="103"/>
      <c r="S20" s="112"/>
      <c r="T20" s="113"/>
      <c r="U20" s="112"/>
      <c r="V20" s="112"/>
      <c r="W20" s="112"/>
      <c r="X20" s="112"/>
      <c r="Y20" s="112"/>
      <c r="Z20" s="112"/>
      <c r="AA20" s="112"/>
      <c r="AB20" s="89"/>
    </row>
    <row r="21" spans="1:28" x14ac:dyDescent="0.2">
      <c r="B21" s="90"/>
      <c r="D21" s="89" t="s">
        <v>247</v>
      </c>
      <c r="E21" s="127">
        <v>0.06</v>
      </c>
      <c r="F21" s="126">
        <f>(F6-F7)*$E21</f>
        <v>6535.95</v>
      </c>
      <c r="G21" s="126" t="e">
        <f t="shared" ref="G21:Q21" si="0">(G6-G7)*$E21</f>
        <v>#N/A</v>
      </c>
      <c r="H21" s="126">
        <f t="shared" si="0"/>
        <v>6535.95</v>
      </c>
      <c r="I21" s="126">
        <f t="shared" si="0"/>
        <v>6535.95</v>
      </c>
      <c r="J21" s="126">
        <f t="shared" si="0"/>
        <v>6535.95</v>
      </c>
      <c r="K21" s="126">
        <f t="shared" si="0"/>
        <v>6535.95</v>
      </c>
      <c r="L21" s="126">
        <f t="shared" si="0"/>
        <v>6535.95</v>
      </c>
      <c r="M21" s="126">
        <f t="shared" si="0"/>
        <v>6535.95</v>
      </c>
      <c r="N21" s="126">
        <f t="shared" si="0"/>
        <v>6535.95</v>
      </c>
      <c r="O21" s="126">
        <f t="shared" si="0"/>
        <v>6535.95</v>
      </c>
      <c r="P21" s="126">
        <f t="shared" si="0"/>
        <v>6535.95</v>
      </c>
      <c r="Q21" s="126">
        <f t="shared" si="0"/>
        <v>6535.95</v>
      </c>
      <c r="R21" s="90"/>
      <c r="S21" s="112"/>
      <c r="T21" s="113"/>
      <c r="U21" s="112"/>
      <c r="V21" s="297" t="s">
        <v>248</v>
      </c>
      <c r="W21" s="298"/>
      <c r="X21" s="299"/>
      <c r="Y21" s="112"/>
      <c r="Z21" s="110" t="e">
        <f>SUM(Z6,Z9,Z11,Z14,Z16,Z18)</f>
        <v>#REF!</v>
      </c>
      <c r="AA21" s="112"/>
      <c r="AB21" s="89"/>
    </row>
    <row r="22" spans="1:28" x14ac:dyDescent="0.2">
      <c r="B22" s="90"/>
      <c r="D22" s="89" t="s">
        <v>38</v>
      </c>
      <c r="E22" s="127">
        <v>0.08</v>
      </c>
      <c r="F22" s="126">
        <f>(F9*0.3)*$E22</f>
        <v>1242.1079999999997</v>
      </c>
      <c r="G22" s="126" t="e">
        <f t="shared" ref="G22:Q22" si="1">(G9*0.3)*$E22</f>
        <v>#N/A</v>
      </c>
      <c r="H22" s="126">
        <f t="shared" si="1"/>
        <v>1242.1079999999997</v>
      </c>
      <c r="I22" s="126">
        <f t="shared" si="1"/>
        <v>1242.1079999999997</v>
      </c>
      <c r="J22" s="126">
        <f t="shared" si="1"/>
        <v>1242.1079999999997</v>
      </c>
      <c r="K22" s="126">
        <f t="shared" si="1"/>
        <v>1242.1079999999997</v>
      </c>
      <c r="L22" s="126">
        <f t="shared" si="1"/>
        <v>1242.1079999999997</v>
      </c>
      <c r="M22" s="126">
        <f t="shared" si="1"/>
        <v>1242.1079999999997</v>
      </c>
      <c r="N22" s="126">
        <f t="shared" si="1"/>
        <v>1242.1079999999997</v>
      </c>
      <c r="O22" s="126">
        <f t="shared" si="1"/>
        <v>1242.1079999999997</v>
      </c>
      <c r="P22" s="126">
        <f t="shared" si="1"/>
        <v>1242.1079999999997</v>
      </c>
      <c r="Q22" s="126">
        <f t="shared" si="1"/>
        <v>1242.1079999999997</v>
      </c>
      <c r="R22" s="90"/>
      <c r="S22" s="112"/>
      <c r="T22" s="113"/>
      <c r="U22" s="112"/>
      <c r="V22" s="112"/>
      <c r="W22" s="112"/>
      <c r="X22" s="112"/>
      <c r="Y22" s="112"/>
      <c r="Z22" s="112"/>
      <c r="AA22" s="112"/>
      <c r="AB22" s="89"/>
    </row>
    <row r="23" spans="1:28" x14ac:dyDescent="0.2">
      <c r="B23" s="90"/>
      <c r="D23" s="89" t="s">
        <v>40</v>
      </c>
      <c r="E23" s="127">
        <v>0.08</v>
      </c>
      <c r="F23" s="126">
        <f>(F11-F12)*$E23</f>
        <v>485.04000000000059</v>
      </c>
      <c r="G23" s="126" t="e">
        <f t="shared" ref="G23:Q23" si="2">(G11-G12)*$E23</f>
        <v>#N/A</v>
      </c>
      <c r="H23" s="126">
        <f t="shared" si="2"/>
        <v>485.04000000000059</v>
      </c>
      <c r="I23" s="126">
        <f t="shared" si="2"/>
        <v>485.04000000000059</v>
      </c>
      <c r="J23" s="126">
        <f t="shared" si="2"/>
        <v>485.04000000000059</v>
      </c>
      <c r="K23" s="126">
        <f t="shared" si="2"/>
        <v>485.04000000000059</v>
      </c>
      <c r="L23" s="126">
        <f t="shared" si="2"/>
        <v>485.04000000000059</v>
      </c>
      <c r="M23" s="126">
        <f t="shared" si="2"/>
        <v>485.04000000000059</v>
      </c>
      <c r="N23" s="126">
        <f t="shared" si="2"/>
        <v>485.04000000000059</v>
      </c>
      <c r="O23" s="126">
        <f t="shared" si="2"/>
        <v>485.04000000000059</v>
      </c>
      <c r="P23" s="126">
        <f t="shared" si="2"/>
        <v>485.04000000000059</v>
      </c>
      <c r="Q23" s="126">
        <f t="shared" si="2"/>
        <v>485.04000000000059</v>
      </c>
      <c r="S23" s="92"/>
      <c r="T23" s="106"/>
      <c r="U23" s="92"/>
      <c r="V23" s="92"/>
      <c r="W23" s="92"/>
      <c r="X23" s="92"/>
      <c r="Y23" s="92"/>
      <c r="Z23" s="92"/>
      <c r="AA23" s="92"/>
    </row>
    <row r="24" spans="1:28" x14ac:dyDescent="0.2">
      <c r="B24" s="90"/>
      <c r="D24" s="89" t="s">
        <v>249</v>
      </c>
      <c r="E24" s="127">
        <v>0.08</v>
      </c>
      <c r="F24" s="126" t="e">
        <f>F14*F30*$E$24</f>
        <v>#REF!</v>
      </c>
      <c r="G24" s="126" t="e">
        <f t="shared" ref="G24:K24" si="3">G14*G30*$E$24</f>
        <v>#REF!</v>
      </c>
      <c r="H24" s="126" t="e">
        <f t="shared" si="3"/>
        <v>#REF!</v>
      </c>
      <c r="I24" s="126" t="e">
        <f t="shared" si="3"/>
        <v>#REF!</v>
      </c>
      <c r="J24" s="126" t="e">
        <f t="shared" si="3"/>
        <v>#REF!</v>
      </c>
      <c r="K24" s="126" t="e">
        <f t="shared" si="3"/>
        <v>#REF!</v>
      </c>
      <c r="L24" s="126" t="e">
        <f t="shared" ref="L24:Q24" si="4">L14*$E24</f>
        <v>#REF!</v>
      </c>
      <c r="M24" s="126" t="e">
        <f t="shared" si="4"/>
        <v>#REF!</v>
      </c>
      <c r="N24" s="126" t="e">
        <f t="shared" si="4"/>
        <v>#REF!</v>
      </c>
      <c r="O24" s="126" t="e">
        <f t="shared" si="4"/>
        <v>#REF!</v>
      </c>
      <c r="P24" s="126" t="e">
        <f t="shared" si="4"/>
        <v>#REF!</v>
      </c>
      <c r="Q24" s="126" t="e">
        <f t="shared" si="4"/>
        <v>#REF!</v>
      </c>
    </row>
    <row r="25" spans="1:28" x14ac:dyDescent="0.2">
      <c r="D25" s="88" t="s">
        <v>250</v>
      </c>
      <c r="E25" s="127">
        <v>0.08</v>
      </c>
      <c r="F25" s="126" t="e">
        <f>(F16*F30)*$E25</f>
        <v>#REF!</v>
      </c>
      <c r="G25" s="126" t="e">
        <f t="shared" ref="G25:Q25" si="5">(G16*G30)*$E25</f>
        <v>#REF!</v>
      </c>
      <c r="H25" s="126" t="e">
        <f t="shared" si="5"/>
        <v>#REF!</v>
      </c>
      <c r="I25" s="126" t="e">
        <f t="shared" si="5"/>
        <v>#REF!</v>
      </c>
      <c r="J25" s="126">
        <f t="shared" si="5"/>
        <v>4320</v>
      </c>
      <c r="K25" s="126" t="e">
        <f t="shared" si="5"/>
        <v>#REF!</v>
      </c>
      <c r="L25" s="126" t="e">
        <f t="shared" si="5"/>
        <v>#REF!</v>
      </c>
      <c r="M25" s="126" t="e">
        <f t="shared" si="5"/>
        <v>#REF!</v>
      </c>
      <c r="N25" s="126" t="e">
        <f t="shared" si="5"/>
        <v>#REF!</v>
      </c>
      <c r="O25" s="126" t="e">
        <f t="shared" si="5"/>
        <v>#REF!</v>
      </c>
      <c r="P25" s="126" t="e">
        <f t="shared" si="5"/>
        <v>#REF!</v>
      </c>
      <c r="Q25" s="126" t="e">
        <f t="shared" si="5"/>
        <v>#REF!</v>
      </c>
    </row>
    <row r="26" spans="1:28" x14ac:dyDescent="0.2">
      <c r="D26" s="88" t="s">
        <v>251</v>
      </c>
      <c r="E26" s="127">
        <v>0.08</v>
      </c>
      <c r="F26" s="126" t="e">
        <f>(F18-F19)*F32*$E26</f>
        <v>#REF!</v>
      </c>
      <c r="G26" s="126" t="e">
        <f t="shared" ref="G26:Q26" si="6">(G18-G19)*G32*$E26</f>
        <v>#REF!</v>
      </c>
      <c r="H26" s="126" t="e">
        <f t="shared" si="6"/>
        <v>#REF!</v>
      </c>
      <c r="I26" s="126" t="e">
        <f t="shared" si="6"/>
        <v>#REF!</v>
      </c>
      <c r="J26" s="126" t="e">
        <f t="shared" si="6"/>
        <v>#REF!</v>
      </c>
      <c r="K26" s="126" t="e">
        <f t="shared" si="6"/>
        <v>#REF!</v>
      </c>
      <c r="L26" s="126" t="e">
        <f t="shared" si="6"/>
        <v>#REF!</v>
      </c>
      <c r="M26" s="126" t="e">
        <f t="shared" si="6"/>
        <v>#REF!</v>
      </c>
      <c r="N26" s="126" t="e">
        <f t="shared" si="6"/>
        <v>#REF!</v>
      </c>
      <c r="O26" s="126" t="e">
        <f t="shared" si="6"/>
        <v>#REF!</v>
      </c>
      <c r="P26" s="126" t="e">
        <f t="shared" si="6"/>
        <v>#REF!</v>
      </c>
      <c r="Q26" s="126" t="e">
        <f t="shared" si="6"/>
        <v>#REF!</v>
      </c>
    </row>
    <row r="27" spans="1:28" x14ac:dyDescent="0.2">
      <c r="D27" s="88" t="s">
        <v>261</v>
      </c>
      <c r="F27" s="128" t="e">
        <f>SUM(F21:F26)</f>
        <v>#REF!</v>
      </c>
      <c r="G27" s="88" t="e">
        <f t="shared" ref="G27:Q27" si="7">SUM(G21:G26)</f>
        <v>#N/A</v>
      </c>
      <c r="H27" s="88" t="e">
        <f t="shared" si="7"/>
        <v>#REF!</v>
      </c>
      <c r="I27" s="88" t="e">
        <f t="shared" si="7"/>
        <v>#REF!</v>
      </c>
      <c r="J27" s="88" t="e">
        <f t="shared" si="7"/>
        <v>#REF!</v>
      </c>
      <c r="K27" s="88" t="e">
        <f t="shared" si="7"/>
        <v>#REF!</v>
      </c>
      <c r="L27" s="88" t="e">
        <f t="shared" si="7"/>
        <v>#REF!</v>
      </c>
      <c r="M27" s="88" t="e">
        <f t="shared" si="7"/>
        <v>#REF!</v>
      </c>
      <c r="N27" s="88" t="e">
        <f t="shared" si="7"/>
        <v>#REF!</v>
      </c>
      <c r="O27" s="88" t="e">
        <f t="shared" si="7"/>
        <v>#REF!</v>
      </c>
      <c r="P27" s="88" t="e">
        <f t="shared" si="7"/>
        <v>#REF!</v>
      </c>
      <c r="Q27" s="88" t="e">
        <f t="shared" si="7"/>
        <v>#REF!</v>
      </c>
    </row>
    <row r="29" spans="1:28" x14ac:dyDescent="0.2">
      <c r="D29" s="88" t="s">
        <v>253</v>
      </c>
    </row>
    <row r="30" spans="1:28" x14ac:dyDescent="0.2">
      <c r="D30" s="88" t="s">
        <v>254</v>
      </c>
      <c r="F30" s="88">
        <v>18</v>
      </c>
      <c r="G30" s="88">
        <v>18</v>
      </c>
      <c r="H30" s="88">
        <v>18</v>
      </c>
      <c r="I30" s="88">
        <v>18</v>
      </c>
      <c r="J30" s="88">
        <v>18</v>
      </c>
      <c r="K30" s="88">
        <v>18</v>
      </c>
      <c r="L30" s="88">
        <v>12</v>
      </c>
      <c r="M30" s="88">
        <v>12</v>
      </c>
      <c r="N30" s="88">
        <v>12</v>
      </c>
      <c r="O30" s="88">
        <v>12</v>
      </c>
      <c r="P30" s="88">
        <v>12</v>
      </c>
      <c r="Q30" s="88">
        <v>12</v>
      </c>
    </row>
    <row r="31" spans="1:28" x14ac:dyDescent="0.2">
      <c r="D31" s="88" t="s">
        <v>255</v>
      </c>
      <c r="F31" s="88">
        <v>15</v>
      </c>
      <c r="G31" s="88">
        <v>15</v>
      </c>
      <c r="H31" s="88">
        <v>15</v>
      </c>
      <c r="I31" s="88">
        <v>15</v>
      </c>
      <c r="J31" s="88">
        <v>15</v>
      </c>
      <c r="K31" s="88">
        <v>15</v>
      </c>
      <c r="L31" s="88">
        <v>12</v>
      </c>
      <c r="M31" s="88">
        <v>12</v>
      </c>
      <c r="N31" s="88">
        <v>12</v>
      </c>
      <c r="O31" s="88">
        <v>12</v>
      </c>
      <c r="P31" s="88">
        <v>12</v>
      </c>
      <c r="Q31" s="88">
        <v>12</v>
      </c>
    </row>
    <row r="32" spans="1:28" x14ac:dyDescent="0.2">
      <c r="D32" s="88" t="s">
        <v>256</v>
      </c>
      <c r="F32" s="88">
        <v>12</v>
      </c>
      <c r="G32" s="88">
        <v>12</v>
      </c>
      <c r="H32" s="88">
        <v>12</v>
      </c>
      <c r="I32" s="88">
        <v>12</v>
      </c>
      <c r="J32" s="88">
        <v>12</v>
      </c>
      <c r="K32" s="88">
        <v>12</v>
      </c>
      <c r="L32" s="88">
        <v>12</v>
      </c>
      <c r="M32" s="88">
        <v>12</v>
      </c>
      <c r="N32" s="88">
        <v>12</v>
      </c>
      <c r="O32" s="88">
        <v>12</v>
      </c>
      <c r="P32" s="88">
        <v>12</v>
      </c>
      <c r="Q32" s="88">
        <v>12</v>
      </c>
    </row>
  </sheetData>
  <mergeCells count="5">
    <mergeCell ref="T6:T7"/>
    <mergeCell ref="T11:T12"/>
    <mergeCell ref="T18:T19"/>
    <mergeCell ref="V21:X21"/>
    <mergeCell ref="T1:Z2"/>
  </mergeCell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5438B9E9-A3AD-4B1D-9FB2-21565A0308A7}">
          <x14:formula1>
            <xm:f>'2024  Bdg vs Actual-CA'!$O$8:$BG$8</xm:f>
          </x14:formula1>
          <xm:sqref>F4:R4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B260B-AB9A-49F0-A568-0D849E914DC1}">
  <sheetPr>
    <tabColor theme="3" tint="0.39997558519241921"/>
    <pageSetUpPr fitToPage="1"/>
  </sheetPr>
  <dimension ref="A1:P98"/>
  <sheetViews>
    <sheetView workbookViewId="0">
      <pane xSplit="3" ySplit="9" topLeftCell="D10" activePane="bottomRight" state="frozen"/>
      <selection pane="topRight" activeCell="D44" sqref="D44"/>
      <selection pane="bottomLeft" activeCell="D44" sqref="D44"/>
      <selection pane="bottomRight" activeCell="D82" sqref="D82"/>
    </sheetView>
  </sheetViews>
  <sheetFormatPr baseColWidth="10" defaultColWidth="11" defaultRowHeight="16" x14ac:dyDescent="0.2"/>
  <cols>
    <col min="1" max="1" width="45.6640625" customWidth="1"/>
    <col min="2" max="2" width="14.33203125" style="16" customWidth="1"/>
    <col min="3" max="3" width="6.5" style="16" customWidth="1"/>
    <col min="4" max="4" width="14.33203125" style="16" customWidth="1"/>
    <col min="5" max="5" width="3.83203125" style="16" customWidth="1"/>
    <col min="6" max="6" width="14.33203125" style="17" customWidth="1"/>
    <col min="7" max="7" width="3.33203125" style="16" customWidth="1"/>
    <col min="8" max="8" width="14.33203125" style="17" customWidth="1"/>
    <col min="9" max="9" width="4.6640625" style="16" customWidth="1"/>
    <col min="10" max="10" width="14.33203125" style="17" customWidth="1"/>
    <col min="11" max="11" width="6" style="16" customWidth="1"/>
    <col min="12" max="12" width="14.33203125" style="17" customWidth="1"/>
    <col min="13" max="13" width="5.1640625" style="3" customWidth="1"/>
    <col min="14" max="14" width="13.5" customWidth="1"/>
    <col min="16" max="16" width="12.33203125" bestFit="1" customWidth="1"/>
  </cols>
  <sheetData>
    <row r="1" spans="1:16" x14ac:dyDescent="0.2">
      <c r="G1" s="1" t="s">
        <v>111</v>
      </c>
    </row>
    <row r="2" spans="1:16" x14ac:dyDescent="0.2">
      <c r="G2" s="1" t="s">
        <v>112</v>
      </c>
    </row>
    <row r="3" spans="1:16" x14ac:dyDescent="0.2">
      <c r="G3" s="1"/>
    </row>
    <row r="4" spans="1:16" x14ac:dyDescent="0.2">
      <c r="A4" t="s">
        <v>262</v>
      </c>
      <c r="F4" s="17" t="s">
        <v>7</v>
      </c>
      <c r="G4" s="1"/>
      <c r="L4" s="17" t="s">
        <v>7</v>
      </c>
    </row>
    <row r="5" spans="1:16" x14ac:dyDescent="0.2">
      <c r="A5" t="s">
        <v>263</v>
      </c>
      <c r="F5" s="17">
        <v>5000000</v>
      </c>
      <c r="G5" s="1"/>
      <c r="H5" s="17">
        <v>10000000</v>
      </c>
      <c r="L5" s="17">
        <v>5000000</v>
      </c>
      <c r="N5" s="17">
        <v>11000000</v>
      </c>
    </row>
    <row r="6" spans="1:16" x14ac:dyDescent="0.2">
      <c r="A6" t="s">
        <v>264</v>
      </c>
      <c r="F6" s="17">
        <v>500000</v>
      </c>
      <c r="H6" s="17">
        <v>1000000</v>
      </c>
      <c r="L6" s="17">
        <f>L5*0.1</f>
        <v>500000</v>
      </c>
      <c r="N6" s="17">
        <f>N5*0.1</f>
        <v>1100000</v>
      </c>
    </row>
    <row r="8" spans="1:16" ht="35" x14ac:dyDescent="0.25">
      <c r="A8" s="18"/>
      <c r="B8" s="19" t="s">
        <v>265</v>
      </c>
      <c r="C8" s="19"/>
      <c r="D8" s="34" t="s">
        <v>266</v>
      </c>
      <c r="E8" s="19"/>
      <c r="F8" s="20" t="s">
        <v>9</v>
      </c>
      <c r="G8" s="20"/>
      <c r="H8" s="20" t="s">
        <v>114</v>
      </c>
      <c r="I8" s="20"/>
      <c r="J8" s="20" t="s">
        <v>115</v>
      </c>
      <c r="K8" s="20"/>
      <c r="L8" s="20" t="s">
        <v>116</v>
      </c>
      <c r="M8" s="5"/>
      <c r="N8" s="20" t="s">
        <v>117</v>
      </c>
    </row>
    <row r="9" spans="1:16" ht="19" x14ac:dyDescent="0.25">
      <c r="A9" s="21" t="s">
        <v>23</v>
      </c>
      <c r="B9" s="22">
        <v>44926</v>
      </c>
      <c r="C9" s="7"/>
      <c r="D9" s="22">
        <v>45291</v>
      </c>
      <c r="E9" s="7"/>
      <c r="F9" s="22">
        <v>45657</v>
      </c>
      <c r="G9" s="22"/>
      <c r="H9" s="22">
        <v>46022</v>
      </c>
      <c r="I9" s="22"/>
      <c r="J9" s="22">
        <v>46387</v>
      </c>
      <c r="K9" s="22"/>
      <c r="L9" s="22">
        <v>46752</v>
      </c>
      <c r="M9" s="4"/>
      <c r="N9" s="22">
        <v>47118</v>
      </c>
    </row>
    <row r="10" spans="1:16" x14ac:dyDescent="0.2">
      <c r="B10" s="11"/>
      <c r="D10" s="11"/>
    </row>
    <row r="11" spans="1:16" x14ac:dyDescent="0.2">
      <c r="A11" s="23" t="s">
        <v>29</v>
      </c>
      <c r="B11" s="47">
        <f>ROUND(SUM(B14:B23),-3)</f>
        <v>18327000</v>
      </c>
      <c r="C11" s="47"/>
      <c r="D11" s="47">
        <f>SUM(D14:D23)</f>
        <v>26355450</v>
      </c>
      <c r="E11" s="47"/>
      <c r="F11" s="47">
        <f>SUM(F14:F23)</f>
        <v>27189474.67462017</v>
      </c>
      <c r="G11" s="47"/>
      <c r="H11" s="47">
        <f>SUM(H14:H23)</f>
        <v>29908000</v>
      </c>
      <c r="I11" s="47"/>
      <c r="J11" s="47">
        <f>SUM(J14:J23)</f>
        <v>32898800</v>
      </c>
      <c r="K11" s="44"/>
      <c r="L11" s="47">
        <f>SUM(L14:L23)</f>
        <v>36188680</v>
      </c>
      <c r="M11" s="46"/>
      <c r="N11" s="47">
        <f>SUM(N14:N23)</f>
        <v>39807548</v>
      </c>
    </row>
    <row r="13" spans="1:16" x14ac:dyDescent="0.2">
      <c r="A13" s="24" t="s">
        <v>30</v>
      </c>
    </row>
    <row r="14" spans="1:16" x14ac:dyDescent="0.2">
      <c r="A14" t="s">
        <v>31</v>
      </c>
      <c r="B14" s="43">
        <v>6746944</v>
      </c>
      <c r="D14" s="43">
        <v>8018885</v>
      </c>
      <c r="F14" s="44">
        <f>'2024 Bdg vs Actual All'!F14</f>
        <v>7002837.9709920008</v>
      </c>
      <c r="H14" s="43">
        <f>ROUND(F14*1.1,-3)</f>
        <v>7703000</v>
      </c>
      <c r="I14" s="17"/>
      <c r="J14" s="43">
        <f>H14*1.1</f>
        <v>8473300</v>
      </c>
      <c r="K14" s="3"/>
      <c r="L14" s="44">
        <f>J14*1.1</f>
        <v>9320630</v>
      </c>
      <c r="N14" s="44">
        <f>L14*1.1</f>
        <v>10252693</v>
      </c>
      <c r="O14" s="14"/>
      <c r="P14" s="14"/>
    </row>
    <row r="15" spans="1:16" x14ac:dyDescent="0.2">
      <c r="A15" t="s">
        <v>36</v>
      </c>
      <c r="B15" s="43">
        <v>206935</v>
      </c>
      <c r="D15" s="43">
        <f>514950-780</f>
        <v>514170</v>
      </c>
      <c r="F15" s="44">
        <f>'2024 Bdg vs Actual All'!F15</f>
        <v>255753.83504999999</v>
      </c>
      <c r="H15" s="43">
        <f>ROUND(F15*1.1, -3)</f>
        <v>281000</v>
      </c>
      <c r="I15" s="26"/>
      <c r="J15" s="43">
        <f>H15*1.1</f>
        <v>309100</v>
      </c>
      <c r="K15" s="3"/>
      <c r="L15" s="44">
        <f>J15*1.1</f>
        <v>340010</v>
      </c>
      <c r="N15" s="44">
        <f t="shared" ref="N15:N18" si="0">L15*1.1</f>
        <v>374011.00000000006</v>
      </c>
      <c r="O15" s="14"/>
      <c r="P15" s="14"/>
    </row>
    <row r="16" spans="1:16" x14ac:dyDescent="0.2">
      <c r="A16" t="s">
        <v>37</v>
      </c>
      <c r="B16" s="43">
        <v>2430531</v>
      </c>
      <c r="D16" s="43">
        <v>3820418</v>
      </c>
      <c r="F16" s="44">
        <f>'2024 Bdg vs Actual All'!F16</f>
        <v>2768443.7019114997</v>
      </c>
      <c r="H16" s="43">
        <f t="shared" ref="H16:H18" si="1">ROUND(F16*1.1, -3)</f>
        <v>3045000</v>
      </c>
      <c r="J16" s="43">
        <f t="shared" ref="J16:J18" si="2">H16*1.1</f>
        <v>3349500.0000000005</v>
      </c>
      <c r="K16" s="3"/>
      <c r="L16" s="44">
        <f>J16*1.1</f>
        <v>3684450.0000000009</v>
      </c>
      <c r="N16" s="44">
        <f t="shared" si="0"/>
        <v>4052895.0000000014</v>
      </c>
      <c r="O16" s="14"/>
      <c r="P16" s="14"/>
    </row>
    <row r="17" spans="1:16" x14ac:dyDescent="0.2">
      <c r="A17" t="s">
        <v>38</v>
      </c>
      <c r="B17" s="43">
        <v>842403</v>
      </c>
      <c r="D17" s="43">
        <v>1381721</v>
      </c>
      <c r="F17" s="44">
        <f>'2024 Bdg vs Actual All'!F17</f>
        <v>1447392.5</v>
      </c>
      <c r="H17" s="43">
        <f t="shared" si="1"/>
        <v>1592000</v>
      </c>
      <c r="J17" s="43">
        <f t="shared" si="2"/>
        <v>1751200.0000000002</v>
      </c>
      <c r="K17" s="3"/>
      <c r="L17" s="44">
        <f>J17*1.1</f>
        <v>1926320.0000000005</v>
      </c>
      <c r="N17" s="44">
        <f t="shared" si="0"/>
        <v>2118952.0000000005</v>
      </c>
      <c r="P17" s="14"/>
    </row>
    <row r="18" spans="1:16" x14ac:dyDescent="0.2">
      <c r="A18" t="s">
        <v>40</v>
      </c>
      <c r="B18" s="43">
        <v>459765</v>
      </c>
      <c r="D18" s="43">
        <v>616949</v>
      </c>
      <c r="F18" s="44">
        <f>'2024 Bdg vs Actual All'!F18</f>
        <v>696225</v>
      </c>
      <c r="H18" s="43">
        <f t="shared" si="1"/>
        <v>766000</v>
      </c>
      <c r="J18" s="43">
        <f t="shared" si="2"/>
        <v>842600.00000000012</v>
      </c>
      <c r="L18" s="44">
        <f>J18*1.1</f>
        <v>926860.00000000023</v>
      </c>
      <c r="N18" s="44">
        <f t="shared" si="0"/>
        <v>1019546.0000000003</v>
      </c>
      <c r="P18" s="14"/>
    </row>
    <row r="19" spans="1:16" x14ac:dyDescent="0.2">
      <c r="B19" s="15"/>
      <c r="D19" s="15"/>
      <c r="F19" s="15"/>
      <c r="H19" s="15"/>
      <c r="J19" s="15"/>
      <c r="L19" s="15"/>
    </row>
    <row r="20" spans="1:16" x14ac:dyDescent="0.2">
      <c r="F20" s="3"/>
    </row>
    <row r="21" spans="1:16" x14ac:dyDescent="0.2">
      <c r="A21" s="24" t="s">
        <v>41</v>
      </c>
    </row>
    <row r="22" spans="1:16" x14ac:dyDescent="0.2">
      <c r="A22" t="s">
        <v>42</v>
      </c>
      <c r="B22" s="44">
        <v>6945501.7300000004</v>
      </c>
      <c r="C22" s="44"/>
      <c r="D22" s="44">
        <v>11647399</v>
      </c>
      <c r="E22" s="44"/>
      <c r="F22" s="44">
        <f>'2024 Bdg vs Actual All'!F22</f>
        <v>14789905</v>
      </c>
      <c r="G22" s="44"/>
      <c r="H22" s="44">
        <f t="shared" ref="H22:H23" si="3">ROUND(F22*1.1, -3)</f>
        <v>16269000</v>
      </c>
      <c r="I22" s="44"/>
      <c r="J22" s="44">
        <f>H22*1.1</f>
        <v>17895900</v>
      </c>
      <c r="K22" s="44"/>
      <c r="L22" s="44">
        <f>J22*1.1</f>
        <v>19685490</v>
      </c>
      <c r="M22" s="44"/>
      <c r="N22" s="44">
        <f>L22*1.1</f>
        <v>21654039</v>
      </c>
    </row>
    <row r="23" spans="1:16" x14ac:dyDescent="0.2">
      <c r="A23" t="s">
        <v>44</v>
      </c>
      <c r="B23" s="44">
        <v>695112.47</v>
      </c>
      <c r="C23" s="44"/>
      <c r="D23" s="44">
        <v>355908</v>
      </c>
      <c r="E23" s="44"/>
      <c r="F23" s="44">
        <f>'2024 Bdg vs Actual All'!F23</f>
        <v>228916.66666666666</v>
      </c>
      <c r="G23" s="44"/>
      <c r="H23" s="44">
        <f t="shared" si="3"/>
        <v>252000</v>
      </c>
      <c r="I23" s="44"/>
      <c r="J23" s="44">
        <f>H23*1.1</f>
        <v>277200</v>
      </c>
      <c r="K23" s="44"/>
      <c r="L23" s="44">
        <f>J23*1.1</f>
        <v>304920</v>
      </c>
      <c r="M23" s="44"/>
      <c r="N23" s="44">
        <f>L23*1.1</f>
        <v>335412</v>
      </c>
    </row>
    <row r="24" spans="1:16" x14ac:dyDescent="0.2">
      <c r="B24" s="15"/>
      <c r="D24" s="15"/>
      <c r="F24" s="15"/>
      <c r="H24" s="15"/>
      <c r="J24" s="15"/>
      <c r="L24" s="15"/>
      <c r="N24" s="17"/>
    </row>
    <row r="25" spans="1:16" x14ac:dyDescent="0.2">
      <c r="A25" s="24" t="s">
        <v>45</v>
      </c>
      <c r="B25" s="15"/>
      <c r="D25" s="15"/>
      <c r="F25" s="15"/>
      <c r="H25" s="15"/>
      <c r="J25" s="15"/>
      <c r="L25" s="15"/>
      <c r="N25" s="17"/>
    </row>
    <row r="26" spans="1:16" x14ac:dyDescent="0.2">
      <c r="A26" t="s">
        <v>46</v>
      </c>
      <c r="B26" s="44">
        <v>491185</v>
      </c>
      <c r="C26" s="44"/>
      <c r="D26" s="44">
        <v>379993</v>
      </c>
      <c r="E26" s="44"/>
      <c r="F26" s="44">
        <f>'2024 Bdg vs Actual All'!F26</f>
        <v>231439.77704273601</v>
      </c>
      <c r="G26" s="44"/>
      <c r="H26" s="44">
        <f>ROUND(H14*0.033,-3)</f>
        <v>254000</v>
      </c>
      <c r="I26" s="44"/>
      <c r="J26" s="44">
        <f>ROUND(J14*0.033,-3)</f>
        <v>280000</v>
      </c>
      <c r="K26" s="44"/>
      <c r="L26" s="44">
        <f>ROUND(L14*0.033,-3)</f>
        <v>308000</v>
      </c>
      <c r="M26" s="44"/>
      <c r="N26" s="44">
        <f>ROUND(N14*0.033,-3)</f>
        <v>338000</v>
      </c>
    </row>
    <row r="27" spans="1:16" x14ac:dyDescent="0.2">
      <c r="A27" t="s">
        <v>47</v>
      </c>
      <c r="B27" s="44">
        <v>391692</v>
      </c>
      <c r="C27" s="44"/>
      <c r="D27" s="44">
        <v>390169</v>
      </c>
      <c r="E27" s="44"/>
      <c r="F27" s="44">
        <f>'2024 Bdg vs Actual All'!F27</f>
        <v>185593.58041125</v>
      </c>
      <c r="G27" s="44"/>
      <c r="H27" s="44">
        <f>ROUND(H15*0.725,-3)</f>
        <v>204000</v>
      </c>
      <c r="I27" s="44"/>
      <c r="J27" s="44">
        <f>ROUND(J15*0.725,-3)</f>
        <v>224000</v>
      </c>
      <c r="K27" s="44"/>
      <c r="L27" s="44">
        <f>ROUND(L15*0.725,-3)</f>
        <v>247000</v>
      </c>
      <c r="M27" s="44"/>
      <c r="N27" s="44">
        <f>ROUND(N15*0.725,-3)</f>
        <v>271000</v>
      </c>
    </row>
    <row r="28" spans="1:16" x14ac:dyDescent="0.2">
      <c r="A28" t="s">
        <v>48</v>
      </c>
      <c r="B28" s="44">
        <v>1496700</v>
      </c>
      <c r="C28" s="44"/>
      <c r="D28" s="44">
        <v>2028332.7378476316</v>
      </c>
      <c r="E28" s="44"/>
      <c r="F28" s="44">
        <f>'2024 Bdg vs Actual All'!F28</f>
        <v>1788426.6961367405</v>
      </c>
      <c r="G28" s="44"/>
      <c r="H28" s="44">
        <f>ROUND(H16*0.647,-3)</f>
        <v>1970000</v>
      </c>
      <c r="I28" s="44"/>
      <c r="J28" s="44">
        <f>ROUND(J16*0.647,-3)</f>
        <v>2167000</v>
      </c>
      <c r="K28" s="44"/>
      <c r="L28" s="44">
        <f>ROUND(L16*0.647,-3)</f>
        <v>2384000</v>
      </c>
      <c r="M28" s="44"/>
      <c r="N28" s="44">
        <f>ROUND(N16*0.647,-3)</f>
        <v>2622000</v>
      </c>
    </row>
    <row r="29" spans="1:16" x14ac:dyDescent="0.2">
      <c r="A29" t="s">
        <v>49</v>
      </c>
      <c r="B29" s="44">
        <v>4846</v>
      </c>
      <c r="C29" s="44"/>
      <c r="D29" s="44">
        <v>10924.155784165281</v>
      </c>
      <c r="E29" s="44"/>
      <c r="F29" s="44">
        <f>'2024 Bdg vs Actual All'!F29</f>
        <v>16944.414000000001</v>
      </c>
      <c r="G29" s="44"/>
      <c r="H29" s="44">
        <f>ROUND(H17*0.012,-3)</f>
        <v>19000</v>
      </c>
      <c r="I29" s="44"/>
      <c r="J29" s="44">
        <f>ROUND(J17*0.012,-3)</f>
        <v>21000</v>
      </c>
      <c r="K29" s="44"/>
      <c r="L29" s="44">
        <f>ROUND(L17*0.012,-3)</f>
        <v>23000</v>
      </c>
      <c r="M29" s="44"/>
      <c r="N29" s="44">
        <f>ROUND(N17*0.012,-3)</f>
        <v>25000</v>
      </c>
    </row>
    <row r="30" spans="1:16" x14ac:dyDescent="0.2">
      <c r="A30" t="s">
        <v>50</v>
      </c>
      <c r="B30" s="44">
        <v>392064</v>
      </c>
      <c r="C30" s="44"/>
      <c r="D30" s="44">
        <v>529979.34161250119</v>
      </c>
      <c r="E30" s="44"/>
      <c r="F30" s="44">
        <f>'2024 Bdg vs Actual All'!F30</f>
        <v>621646.12199999997</v>
      </c>
      <c r="G30" s="44"/>
      <c r="H30" s="44">
        <f>H18*0.894</f>
        <v>684804</v>
      </c>
      <c r="I30" s="44"/>
      <c r="J30" s="44">
        <f>J18*0.894</f>
        <v>753284.40000000014</v>
      </c>
      <c r="K30" s="44"/>
      <c r="L30" s="44">
        <f>L18*0.894</f>
        <v>828612.8400000002</v>
      </c>
      <c r="M30" s="44"/>
      <c r="N30" s="44">
        <f>N18*0.894</f>
        <v>911474.1240000003</v>
      </c>
    </row>
    <row r="31" spans="1:16" x14ac:dyDescent="0.2">
      <c r="A31" t="s">
        <v>267</v>
      </c>
      <c r="B31" s="44">
        <v>5297708</v>
      </c>
      <c r="C31" s="44"/>
      <c r="D31" s="44">
        <v>9794791.5842879936</v>
      </c>
      <c r="E31" s="44"/>
      <c r="F31" s="44">
        <f>'2024 Bdg vs Actual All'!F31</f>
        <v>12571184.625</v>
      </c>
      <c r="G31" s="44"/>
      <c r="H31" s="44">
        <f>H22*0.85</f>
        <v>13828650</v>
      </c>
      <c r="I31" s="44"/>
      <c r="J31" s="44">
        <f>J22*0.85</f>
        <v>15211515</v>
      </c>
      <c r="K31" s="44"/>
      <c r="L31" s="44">
        <f>L22*0.85</f>
        <v>16732666.5</v>
      </c>
      <c r="M31" s="44"/>
      <c r="N31" s="44">
        <f>N22*0.85</f>
        <v>18405933.149999999</v>
      </c>
    </row>
    <row r="32" spans="1:16" x14ac:dyDescent="0.2">
      <c r="B32" s="44"/>
      <c r="C32" s="44"/>
      <c r="D32" s="44"/>
      <c r="E32" s="44"/>
      <c r="F32" s="44"/>
      <c r="G32" s="44"/>
      <c r="H32" s="44"/>
      <c r="I32" s="44"/>
      <c r="J32" s="44"/>
      <c r="K32" s="44"/>
      <c r="L32" s="44"/>
      <c r="M32" s="44"/>
      <c r="N32" s="44"/>
    </row>
    <row r="33" spans="1:16" x14ac:dyDescent="0.2">
      <c r="A33" t="s">
        <v>52</v>
      </c>
      <c r="B33" s="44">
        <f>2276804+114386+140758</f>
        <v>2531948</v>
      </c>
      <c r="C33" s="44"/>
      <c r="D33" s="44" t="e">
        <f>#REF!</f>
        <v>#REF!</v>
      </c>
      <c r="E33" s="44"/>
      <c r="F33" s="44">
        <f>'2024 Bdg vs Actual All'!F33</f>
        <v>4169565.1924999999</v>
      </c>
      <c r="G33" s="44"/>
      <c r="H33" s="44">
        <f>F33*1.05</f>
        <v>4378043.4521249998</v>
      </c>
      <c r="I33" s="44"/>
      <c r="J33" s="44">
        <f>H33*1.05</f>
        <v>4596945.6247312501</v>
      </c>
      <c r="K33" s="44"/>
      <c r="L33" s="44">
        <f>J33*1.05</f>
        <v>4826792.905967813</v>
      </c>
      <c r="M33" s="44"/>
      <c r="N33" s="44">
        <f>L33*1.05</f>
        <v>5068132.5512662036</v>
      </c>
    </row>
    <row r="34" spans="1:16" x14ac:dyDescent="0.2">
      <c r="A34" s="21" t="s">
        <v>54</v>
      </c>
      <c r="B34" s="45">
        <f>SUM(B26:B33)</f>
        <v>10606143</v>
      </c>
      <c r="C34" s="45"/>
      <c r="D34" s="45" t="e">
        <f>SUM(D26:D33)</f>
        <v>#REF!</v>
      </c>
      <c r="E34" s="45"/>
      <c r="F34" s="45">
        <f>SUM(F26:F33)</f>
        <v>19584800.407090727</v>
      </c>
      <c r="G34" s="45"/>
      <c r="H34" s="45">
        <f>SUM(H26:H33)</f>
        <v>21338497.452124998</v>
      </c>
      <c r="I34" s="45"/>
      <c r="J34" s="45">
        <f>SUM(J26:J33)</f>
        <v>23253745.024731249</v>
      </c>
      <c r="K34" s="45"/>
      <c r="L34" s="45">
        <f>SUM(L26:L33)</f>
        <v>25350072.245967813</v>
      </c>
      <c r="M34" s="46"/>
      <c r="N34" s="44">
        <f>SUM(N26:N33)</f>
        <v>27641539.825266205</v>
      </c>
    </row>
    <row r="35" spans="1:16" x14ac:dyDescent="0.2">
      <c r="A35" s="23" t="s">
        <v>55</v>
      </c>
      <c r="B35" s="47">
        <f>B11-B34</f>
        <v>7720857</v>
      </c>
      <c r="C35" s="47"/>
      <c r="D35" s="47" t="e">
        <f>D11-D34</f>
        <v>#REF!</v>
      </c>
      <c r="E35" s="47"/>
      <c r="F35" s="47">
        <f>F11-F34</f>
        <v>7604674.2675294429</v>
      </c>
      <c r="G35" s="47"/>
      <c r="H35" s="47">
        <f>H11-H34</f>
        <v>8569502.547875002</v>
      </c>
      <c r="I35" s="47"/>
      <c r="J35" s="47">
        <f>J11-J34</f>
        <v>9645054.9752687514</v>
      </c>
      <c r="K35" s="47"/>
      <c r="L35" s="47">
        <f>L11-L34</f>
        <v>10838607.754032187</v>
      </c>
      <c r="M35" s="48"/>
      <c r="N35" s="49">
        <f>N11-N34</f>
        <v>12166008.174733795</v>
      </c>
    </row>
    <row r="36" spans="1:16" ht="15" customHeight="1" x14ac:dyDescent="0.2">
      <c r="B36" s="44"/>
      <c r="C36" s="44"/>
      <c r="D36" s="44"/>
      <c r="E36" s="44"/>
      <c r="F36" s="44"/>
      <c r="G36" s="44"/>
      <c r="H36" s="44"/>
      <c r="I36" s="44"/>
      <c r="J36" s="44"/>
      <c r="K36" s="44"/>
      <c r="L36" s="44"/>
      <c r="M36" s="44"/>
      <c r="N36" s="50"/>
      <c r="P36" s="145"/>
    </row>
    <row r="37" spans="1:16" ht="15" customHeight="1" x14ac:dyDescent="0.2">
      <c r="A37" t="s">
        <v>56</v>
      </c>
      <c r="B37" s="44"/>
      <c r="C37" s="44"/>
      <c r="D37" s="44"/>
      <c r="E37" s="44"/>
      <c r="F37" s="44"/>
      <c r="G37" s="44"/>
      <c r="H37" s="44"/>
      <c r="I37" s="44"/>
      <c r="J37" s="44"/>
      <c r="K37" s="44"/>
      <c r="L37" s="44"/>
      <c r="M37" s="44"/>
      <c r="N37" s="50"/>
    </row>
    <row r="38" spans="1:16" ht="15" customHeight="1" x14ac:dyDescent="0.2">
      <c r="B38" s="44"/>
      <c r="C38" s="44"/>
      <c r="D38" s="44"/>
      <c r="E38" s="44"/>
      <c r="F38" s="44"/>
      <c r="G38" s="44"/>
      <c r="H38" s="44"/>
      <c r="I38" s="44"/>
      <c r="J38" s="44"/>
      <c r="K38" s="44"/>
      <c r="L38" s="44"/>
      <c r="M38" s="44"/>
      <c r="N38" s="50"/>
    </row>
    <row r="39" spans="1:16" ht="15" customHeight="1" x14ac:dyDescent="0.2">
      <c r="A39" t="s">
        <v>57</v>
      </c>
      <c r="B39" s="44"/>
      <c r="C39" s="44"/>
      <c r="D39" s="44"/>
      <c r="E39" s="44"/>
      <c r="F39" s="44">
        <f>'2024 Bdg vs Actual All'!F39</f>
        <v>603000</v>
      </c>
      <c r="G39" s="44"/>
      <c r="H39" s="44"/>
      <c r="I39" s="44"/>
      <c r="J39" s="44"/>
      <c r="K39" s="44"/>
      <c r="L39" s="44"/>
      <c r="M39" s="44"/>
      <c r="N39" s="50"/>
    </row>
    <row r="40" spans="1:16" x14ac:dyDescent="0.2">
      <c r="A40" t="s">
        <v>59</v>
      </c>
      <c r="B40" s="51">
        <f>1602543.46236+114386+140758</f>
        <v>1857687.46236</v>
      </c>
      <c r="C40" s="44"/>
      <c r="D40" s="51" t="e">
        <f>#REF!</f>
        <v>#REF!</v>
      </c>
      <c r="E40" s="44"/>
      <c r="F40" s="51">
        <f>'2024 Bdg vs Actual All'!F40</f>
        <v>1414731.49</v>
      </c>
      <c r="G40" s="44"/>
      <c r="H40" s="51">
        <f>F40*1.1</f>
        <v>1556204.6390000002</v>
      </c>
      <c r="I40" s="44"/>
      <c r="J40" s="51">
        <f>H40*1.1</f>
        <v>1711825.1029000003</v>
      </c>
      <c r="K40" s="44"/>
      <c r="L40" s="51">
        <f>J40*1.1</f>
        <v>1883007.6131900004</v>
      </c>
      <c r="M40" s="44"/>
      <c r="N40" s="51">
        <f>L40*1.1</f>
        <v>2071308.3745090007</v>
      </c>
    </row>
    <row r="41" spans="1:16" x14ac:dyDescent="0.2">
      <c r="A41" s="41" t="s">
        <v>61</v>
      </c>
      <c r="B41" s="49">
        <f>B35-B40</f>
        <v>5863169.5376399998</v>
      </c>
      <c r="C41" s="48"/>
      <c r="D41" s="49" t="e">
        <f>D35-D40</f>
        <v>#REF!</v>
      </c>
      <c r="E41" s="48"/>
      <c r="F41" s="49">
        <f>F35-F39-F40</f>
        <v>5586942.7775294427</v>
      </c>
      <c r="G41" s="48"/>
      <c r="H41" s="49">
        <f>H35-H40</f>
        <v>7013297.9088750016</v>
      </c>
      <c r="I41" s="48"/>
      <c r="J41" s="49">
        <f>J35-J40</f>
        <v>7933229.8723687511</v>
      </c>
      <c r="K41" s="48"/>
      <c r="L41" s="49">
        <f>L35-L40</f>
        <v>8955600.1408421863</v>
      </c>
      <c r="M41" s="48"/>
      <c r="N41" s="49">
        <f>N35-N40</f>
        <v>10094699.800224794</v>
      </c>
    </row>
    <row r="42" spans="1:16" x14ac:dyDescent="0.2">
      <c r="B42" s="44"/>
      <c r="C42" s="44"/>
      <c r="D42" s="44"/>
      <c r="E42" s="44"/>
      <c r="F42" s="44"/>
      <c r="G42" s="44"/>
      <c r="H42" s="44"/>
      <c r="I42" s="44"/>
      <c r="J42" s="44"/>
      <c r="K42" s="44"/>
      <c r="L42" s="44"/>
      <c r="M42" s="44"/>
      <c r="N42" s="50"/>
    </row>
    <row r="43" spans="1:16" x14ac:dyDescent="0.2">
      <c r="A43" s="23" t="s">
        <v>63</v>
      </c>
      <c r="B43" s="11"/>
      <c r="D43" s="11"/>
    </row>
    <row r="45" spans="1:16" x14ac:dyDescent="0.2">
      <c r="A45" s="24" t="s">
        <v>64</v>
      </c>
    </row>
    <row r="46" spans="1:16" x14ac:dyDescent="0.2">
      <c r="A46" t="s">
        <v>65</v>
      </c>
      <c r="B46" s="51">
        <f>1394408+54025+114386+140758</f>
        <v>1703577</v>
      </c>
      <c r="C46" s="44"/>
      <c r="D46" s="51">
        <v>1409264</v>
      </c>
      <c r="E46" s="44"/>
      <c r="F46" s="58">
        <f>'2024 Bdg vs Actual All'!F46</f>
        <v>1395000</v>
      </c>
      <c r="G46" s="44"/>
      <c r="H46" s="51">
        <f>F46*1.05</f>
        <v>1464750</v>
      </c>
      <c r="I46" s="44"/>
      <c r="J46" s="51">
        <f>H46*1.05</f>
        <v>1537987.5</v>
      </c>
      <c r="K46" s="44"/>
      <c r="L46" s="51">
        <f>J46*1.05</f>
        <v>1614886.875</v>
      </c>
      <c r="M46" s="44"/>
      <c r="N46" s="51">
        <f>L46*1.05</f>
        <v>1695631.21875</v>
      </c>
    </row>
    <row r="47" spans="1:16" x14ac:dyDescent="0.2">
      <c r="A47" s="21" t="s">
        <v>66</v>
      </c>
      <c r="B47" s="45">
        <v>7500</v>
      </c>
      <c r="C47" s="45"/>
      <c r="D47" s="45">
        <v>8500</v>
      </c>
      <c r="E47" s="45"/>
      <c r="F47" s="45">
        <f>'2024 Bdg vs Actual All'!F47</f>
        <v>9000</v>
      </c>
      <c r="G47" s="45"/>
      <c r="H47" s="45">
        <f>F47*1.1</f>
        <v>9900</v>
      </c>
      <c r="I47" s="45"/>
      <c r="J47" s="45">
        <f>H47*1.1</f>
        <v>10890</v>
      </c>
      <c r="K47" s="45"/>
      <c r="L47" s="45">
        <f>J47*1.1</f>
        <v>11979.000000000002</v>
      </c>
      <c r="M47" s="44"/>
      <c r="N47" s="51">
        <f>L47*1.1</f>
        <v>13176.900000000003</v>
      </c>
    </row>
    <row r="48" spans="1:16" x14ac:dyDescent="0.2">
      <c r="A48" t="s">
        <v>67</v>
      </c>
      <c r="B48" s="44">
        <f>SUM(B46:B47)</f>
        <v>1711077</v>
      </c>
      <c r="C48" s="44"/>
      <c r="D48" s="44">
        <f>SUM(D46:D47)</f>
        <v>1417764</v>
      </c>
      <c r="E48" s="44"/>
      <c r="F48" s="44">
        <f>F46+F47</f>
        <v>1404000</v>
      </c>
      <c r="G48" s="44"/>
      <c r="H48" s="44">
        <f>SUM(H45:H47)</f>
        <v>1474650</v>
      </c>
      <c r="I48" s="44"/>
      <c r="J48" s="44">
        <f>SUM(J45:J47)</f>
        <v>1548877.5</v>
      </c>
      <c r="K48" s="44"/>
      <c r="L48" s="44">
        <f>SUM(L45:L47)</f>
        <v>1626865.875</v>
      </c>
      <c r="M48" s="48"/>
      <c r="N48" s="48">
        <f>SUM(N45:N47)</f>
        <v>1708808.1187499999</v>
      </c>
    </row>
    <row r="51" spans="1:14" x14ac:dyDescent="0.2">
      <c r="A51" s="24" t="s">
        <v>68</v>
      </c>
    </row>
    <row r="52" spans="1:14" x14ac:dyDescent="0.2">
      <c r="A52" t="s">
        <v>69</v>
      </c>
      <c r="B52" s="44">
        <v>350431</v>
      </c>
      <c r="C52" s="44"/>
      <c r="D52" s="44">
        <v>317097.46000000002</v>
      </c>
      <c r="E52" s="44"/>
      <c r="F52" s="44">
        <f>'2024 Bdg vs Actual All'!F52</f>
        <v>321500</v>
      </c>
      <c r="G52" s="44"/>
      <c r="H52" s="44">
        <f t="shared" ref="H52:H56" si="4">F52*1.1</f>
        <v>353650</v>
      </c>
      <c r="I52" s="44"/>
      <c r="J52" s="44">
        <f>H52*1.1</f>
        <v>389015.00000000006</v>
      </c>
      <c r="K52" s="44"/>
      <c r="L52" s="44">
        <f t="shared" ref="L52:L57" si="5">J52*1.1</f>
        <v>427916.50000000012</v>
      </c>
      <c r="M52" s="44"/>
      <c r="N52" s="44">
        <f t="shared" ref="N52:N57" si="6">L52*1.1</f>
        <v>470708.15000000014</v>
      </c>
    </row>
    <row r="53" spans="1:14" x14ac:dyDescent="0.2">
      <c r="A53" t="s">
        <v>70</v>
      </c>
      <c r="B53" s="44">
        <v>85088</v>
      </c>
      <c r="C53" s="44"/>
      <c r="D53" s="44">
        <v>127082</v>
      </c>
      <c r="E53" s="44"/>
      <c r="F53" s="44">
        <f>'2024 Bdg vs Actual All'!F53</f>
        <v>120000</v>
      </c>
      <c r="G53" s="44"/>
      <c r="H53" s="44">
        <f t="shared" si="4"/>
        <v>132000</v>
      </c>
      <c r="I53" s="44"/>
      <c r="J53" s="44">
        <f t="shared" ref="J53:J57" si="7">H53*1.3</f>
        <v>171600</v>
      </c>
      <c r="K53" s="44"/>
      <c r="L53" s="44">
        <f t="shared" si="5"/>
        <v>188760.00000000003</v>
      </c>
      <c r="M53" s="44"/>
      <c r="N53" s="44">
        <f t="shared" si="6"/>
        <v>207636.00000000006</v>
      </c>
    </row>
    <row r="54" spans="1:14" x14ac:dyDescent="0.2">
      <c r="A54" t="s">
        <v>71</v>
      </c>
      <c r="B54" s="44">
        <v>154626.20000000001</v>
      </c>
      <c r="C54" s="44"/>
      <c r="D54" s="44">
        <v>136360</v>
      </c>
      <c r="E54" s="44"/>
      <c r="F54" s="44">
        <f>'2024 Bdg vs Actual All'!F54</f>
        <v>150000</v>
      </c>
      <c r="G54" s="44"/>
      <c r="H54" s="44">
        <f t="shared" si="4"/>
        <v>165000</v>
      </c>
      <c r="I54" s="44"/>
      <c r="J54" s="44">
        <f t="shared" si="7"/>
        <v>214500</v>
      </c>
      <c r="K54" s="44"/>
      <c r="L54" s="44">
        <f t="shared" si="5"/>
        <v>235950.00000000003</v>
      </c>
      <c r="M54" s="44"/>
      <c r="N54" s="44">
        <f t="shared" si="6"/>
        <v>259545.00000000006</v>
      </c>
    </row>
    <row r="55" spans="1:14" x14ac:dyDescent="0.2">
      <c r="A55" t="s">
        <v>72</v>
      </c>
      <c r="B55" s="44">
        <v>38970</v>
      </c>
      <c r="C55" s="44"/>
      <c r="D55" s="44">
        <v>16150</v>
      </c>
      <c r="E55" s="44"/>
      <c r="F55" s="44">
        <f>'2024 Bdg vs Actual All'!F55</f>
        <v>18000</v>
      </c>
      <c r="G55" s="44"/>
      <c r="H55" s="44">
        <f t="shared" si="4"/>
        <v>19800</v>
      </c>
      <c r="I55" s="44"/>
      <c r="J55" s="44">
        <f t="shared" si="7"/>
        <v>25740</v>
      </c>
      <c r="K55" s="44"/>
      <c r="L55" s="44">
        <f t="shared" si="5"/>
        <v>28314.000000000004</v>
      </c>
      <c r="M55" s="46"/>
      <c r="N55" s="44">
        <f t="shared" si="6"/>
        <v>31145.400000000005</v>
      </c>
    </row>
    <row r="56" spans="1:14" x14ac:dyDescent="0.2">
      <c r="A56" t="s">
        <v>73</v>
      </c>
      <c r="B56" s="44">
        <f>146085+55971.63</f>
        <v>202056.63</v>
      </c>
      <c r="C56" s="44"/>
      <c r="D56" s="44">
        <v>163075</v>
      </c>
      <c r="E56" s="44"/>
      <c r="F56" s="44">
        <f>'2024 Bdg vs Actual All'!F56</f>
        <v>233000</v>
      </c>
      <c r="G56" s="44"/>
      <c r="H56" s="44">
        <f t="shared" si="4"/>
        <v>256300.00000000003</v>
      </c>
      <c r="I56" s="44"/>
      <c r="J56" s="44">
        <f t="shared" si="7"/>
        <v>333190.00000000006</v>
      </c>
      <c r="K56" s="44"/>
      <c r="L56" s="44">
        <f t="shared" si="5"/>
        <v>366509.00000000012</v>
      </c>
      <c r="M56" s="44"/>
      <c r="N56" s="44">
        <f t="shared" si="6"/>
        <v>403159.90000000014</v>
      </c>
    </row>
    <row r="57" spans="1:14" x14ac:dyDescent="0.2">
      <c r="A57" s="21" t="s">
        <v>74</v>
      </c>
      <c r="B57" s="45">
        <v>298110</v>
      </c>
      <c r="C57" s="45"/>
      <c r="D57" s="45">
        <v>162626.70000000001</v>
      </c>
      <c r="E57" s="45"/>
      <c r="F57" s="44">
        <f>'2024 Bdg vs Actual All'!F57</f>
        <v>126100</v>
      </c>
      <c r="G57" s="45"/>
      <c r="H57" s="45">
        <f>F57*1.03</f>
        <v>129883</v>
      </c>
      <c r="I57" s="45"/>
      <c r="J57" s="44">
        <f t="shared" si="7"/>
        <v>168847.9</v>
      </c>
      <c r="K57" s="45"/>
      <c r="L57" s="45">
        <f t="shared" si="5"/>
        <v>185732.69</v>
      </c>
      <c r="M57" s="44"/>
      <c r="N57" s="44">
        <f t="shared" si="6"/>
        <v>204305.95900000003</v>
      </c>
    </row>
    <row r="58" spans="1:14" x14ac:dyDescent="0.2">
      <c r="A58" t="s">
        <v>75</v>
      </c>
      <c r="B58" s="44">
        <f>SUM(B52:B57)</f>
        <v>1129281.83</v>
      </c>
      <c r="C58" s="44"/>
      <c r="D58" s="44">
        <f>SUM(D52:D57)</f>
        <v>922391.15999999992</v>
      </c>
      <c r="E58" s="44"/>
      <c r="F58" s="48">
        <f>SUM(F52:F57)</f>
        <v>968600</v>
      </c>
      <c r="G58" s="44"/>
      <c r="H58" s="44">
        <f>SUM(H52:H57)</f>
        <v>1056633</v>
      </c>
      <c r="I58" s="44"/>
      <c r="J58" s="48">
        <f>SUM(J52:J57)</f>
        <v>1302892.8999999999</v>
      </c>
      <c r="K58" s="44"/>
      <c r="L58" s="44">
        <f>SUM(L52:L57)</f>
        <v>1433182.1900000002</v>
      </c>
      <c r="M58" s="48"/>
      <c r="N58" s="48">
        <f>SUM(N52:N57)</f>
        <v>1576500.4090000002</v>
      </c>
    </row>
    <row r="61" spans="1:14" x14ac:dyDescent="0.2">
      <c r="A61" s="24" t="s">
        <v>76</v>
      </c>
    </row>
    <row r="62" spans="1:14" x14ac:dyDescent="0.2">
      <c r="A62" t="s">
        <v>77</v>
      </c>
      <c r="B62" s="44">
        <v>471148</v>
      </c>
      <c r="C62" s="44"/>
      <c r="D62" s="44">
        <f>269808.27+42015.98</f>
        <v>311824.25</v>
      </c>
      <c r="E62" s="44"/>
      <c r="F62" s="44">
        <f>'2024 Bdg vs Actual All'!F62</f>
        <v>254800</v>
      </c>
      <c r="G62" s="44"/>
      <c r="H62" s="44">
        <f>F62*1.04</f>
        <v>264992</v>
      </c>
      <c r="I62" s="44"/>
      <c r="J62" s="44">
        <f>H62*1.04</f>
        <v>275591.67999999999</v>
      </c>
      <c r="K62" s="44"/>
      <c r="L62" s="44">
        <f>J62*1.04</f>
        <v>286615.34720000002</v>
      </c>
      <c r="M62" s="44"/>
      <c r="N62" s="44">
        <f>L62*1.04</f>
        <v>298079.96108800004</v>
      </c>
    </row>
    <row r="63" spans="1:14" x14ac:dyDescent="0.2">
      <c r="A63" t="s">
        <v>79</v>
      </c>
      <c r="B63" s="44">
        <v>34785</v>
      </c>
      <c r="C63" s="44"/>
      <c r="D63" s="52">
        <v>22021.11</v>
      </c>
      <c r="E63" s="44"/>
      <c r="F63" s="44">
        <f>'2024 Bdg vs Actual All'!F63</f>
        <v>13100</v>
      </c>
      <c r="G63" s="44"/>
      <c r="H63" s="44">
        <f t="shared" ref="H63:N65" si="8">F63*1.04</f>
        <v>13624</v>
      </c>
      <c r="I63" s="44"/>
      <c r="J63" s="44">
        <f t="shared" si="8"/>
        <v>14168.960000000001</v>
      </c>
      <c r="K63" s="44"/>
      <c r="L63" s="44">
        <f t="shared" si="8"/>
        <v>14735.718400000002</v>
      </c>
      <c r="M63" s="44"/>
      <c r="N63" s="44">
        <f t="shared" si="8"/>
        <v>15325.147136000001</v>
      </c>
    </row>
    <row r="64" spans="1:14" x14ac:dyDescent="0.2">
      <c r="A64" t="s">
        <v>80</v>
      </c>
      <c r="B64" s="44">
        <v>16741</v>
      </c>
      <c r="C64" s="44"/>
      <c r="D64" s="44">
        <v>8264</v>
      </c>
      <c r="E64" s="44"/>
      <c r="F64" s="44">
        <f>'2024 Bdg vs Actual All'!F64</f>
        <v>8500</v>
      </c>
      <c r="G64" s="44"/>
      <c r="H64" s="44">
        <f t="shared" si="8"/>
        <v>8840</v>
      </c>
      <c r="I64" s="44"/>
      <c r="J64" s="44">
        <f>H64*1.04</f>
        <v>9193.6</v>
      </c>
      <c r="K64" s="44"/>
      <c r="L64" s="44">
        <f t="shared" si="8"/>
        <v>9561.344000000001</v>
      </c>
      <c r="M64" s="44"/>
      <c r="N64" s="44">
        <f t="shared" si="8"/>
        <v>9943.7977600000013</v>
      </c>
    </row>
    <row r="65" spans="1:15" x14ac:dyDescent="0.2">
      <c r="A65" s="21" t="s">
        <v>81</v>
      </c>
      <c r="B65" s="45">
        <v>42137</v>
      </c>
      <c r="C65" s="45"/>
      <c r="D65" s="53">
        <v>37500</v>
      </c>
      <c r="E65" s="45"/>
      <c r="F65" s="44">
        <f>'2024 Bdg vs Actual All'!F65</f>
        <v>33000</v>
      </c>
      <c r="G65" s="45"/>
      <c r="H65" s="45">
        <f>F65*1.1</f>
        <v>36300</v>
      </c>
      <c r="I65" s="45"/>
      <c r="J65" s="45">
        <f t="shared" ref="J65" si="9">H65*1.1</f>
        <v>39930</v>
      </c>
      <c r="K65" s="45"/>
      <c r="L65" s="45">
        <f t="shared" si="8"/>
        <v>41527.200000000004</v>
      </c>
      <c r="M65" s="44"/>
      <c r="N65" s="44">
        <f t="shared" si="8"/>
        <v>43188.288000000008</v>
      </c>
    </row>
    <row r="66" spans="1:15" x14ac:dyDescent="0.2">
      <c r="A66" t="s">
        <v>82</v>
      </c>
      <c r="B66" s="44">
        <f>SUM(B62:B65)</f>
        <v>564811</v>
      </c>
      <c r="C66" s="44"/>
      <c r="D66" s="44">
        <f>SUM(D62:D65)</f>
        <v>379609.36</v>
      </c>
      <c r="E66" s="44"/>
      <c r="F66" s="48">
        <f>SUM(F62:F65)</f>
        <v>309400</v>
      </c>
      <c r="G66" s="44"/>
      <c r="H66" s="44">
        <f>SUM(H62:H65)</f>
        <v>323756</v>
      </c>
      <c r="I66" s="44"/>
      <c r="J66" s="44">
        <f>SUM(J62:J65)</f>
        <v>338884.24</v>
      </c>
      <c r="K66" s="44"/>
      <c r="L66" s="44">
        <f>SUM(L62:L65)</f>
        <v>352439.60960000003</v>
      </c>
      <c r="M66" s="48"/>
      <c r="N66" s="48">
        <f>SUM(N62:N65)</f>
        <v>366537.19398400001</v>
      </c>
    </row>
    <row r="67" spans="1:15" x14ac:dyDescent="0.2">
      <c r="B67" s="44"/>
      <c r="C67" s="44"/>
      <c r="D67" s="44"/>
      <c r="E67" s="44"/>
      <c r="F67" s="44"/>
      <c r="G67" s="44"/>
      <c r="H67" s="44"/>
      <c r="I67" s="44"/>
      <c r="J67" s="44"/>
      <c r="K67" s="44"/>
      <c r="L67" s="44"/>
      <c r="M67" s="44"/>
      <c r="N67" s="50"/>
    </row>
    <row r="68" spans="1:15" x14ac:dyDescent="0.2">
      <c r="A68" s="24" t="s">
        <v>268</v>
      </c>
      <c r="B68" s="44"/>
      <c r="C68" s="44"/>
      <c r="D68" s="44"/>
      <c r="E68" s="44"/>
      <c r="F68" s="44"/>
      <c r="G68" s="44"/>
      <c r="H68" s="44"/>
      <c r="I68" s="44"/>
      <c r="J68" s="44"/>
      <c r="K68" s="44"/>
      <c r="L68" s="44"/>
      <c r="M68" s="44"/>
      <c r="N68" s="50"/>
    </row>
    <row r="69" spans="1:15" x14ac:dyDescent="0.2">
      <c r="A69" t="s">
        <v>84</v>
      </c>
      <c r="B69" s="44">
        <v>24852</v>
      </c>
      <c r="C69" s="44"/>
      <c r="D69" s="44">
        <v>31967.89</v>
      </c>
      <c r="E69" s="44"/>
      <c r="F69" s="44">
        <f>'2024 Bdg vs Actual All'!F69</f>
        <v>35100</v>
      </c>
      <c r="G69" s="44"/>
      <c r="H69" s="44">
        <f>F69*1.1</f>
        <v>38610</v>
      </c>
      <c r="I69" s="44"/>
      <c r="J69" s="44">
        <f>H69*1.1</f>
        <v>42471</v>
      </c>
      <c r="K69" s="44"/>
      <c r="L69" s="44">
        <f>J69*1.1</f>
        <v>46718.100000000006</v>
      </c>
      <c r="M69" s="44"/>
      <c r="N69" s="44">
        <f>L69*1.1</f>
        <v>51389.910000000011</v>
      </c>
    </row>
    <row r="70" spans="1:15" x14ac:dyDescent="0.2">
      <c r="A70" s="42" t="s">
        <v>85</v>
      </c>
      <c r="B70" s="44">
        <v>55040</v>
      </c>
      <c r="C70" s="44"/>
      <c r="D70" s="44">
        <v>72119</v>
      </c>
      <c r="E70" s="44"/>
      <c r="F70" s="44">
        <f>'2024 Bdg vs Actual All'!F70</f>
        <v>97411.9</v>
      </c>
      <c r="G70" s="44"/>
      <c r="H70" s="44">
        <f>F70*1.1</f>
        <v>107153.09</v>
      </c>
      <c r="I70" s="44"/>
      <c r="J70" s="44">
        <f t="shared" ref="J70" si="10">H70*1.3</f>
        <v>139299.01699999999</v>
      </c>
      <c r="K70" s="44"/>
      <c r="L70" s="44">
        <f>J70*1.1</f>
        <v>153228.91870000001</v>
      </c>
      <c r="M70" s="44"/>
      <c r="N70" s="44">
        <f>L70*1.1</f>
        <v>168551.81057000003</v>
      </c>
    </row>
    <row r="71" spans="1:15" x14ac:dyDescent="0.2">
      <c r="A71" s="42" t="s">
        <v>87</v>
      </c>
      <c r="B71" s="44">
        <v>18108</v>
      </c>
      <c r="C71" s="44"/>
      <c r="D71" s="44">
        <f>8993+2550+3261</f>
        <v>14804</v>
      </c>
      <c r="E71" s="44"/>
      <c r="F71" s="44">
        <f>'2024 Bdg vs Actual All'!F71</f>
        <v>16200</v>
      </c>
      <c r="G71" s="44"/>
      <c r="H71" s="44">
        <f>F71*1.1</f>
        <v>17820</v>
      </c>
      <c r="I71" s="44"/>
      <c r="J71" s="44">
        <f>H71*1.1</f>
        <v>19602</v>
      </c>
      <c r="K71" s="44"/>
      <c r="L71" s="44">
        <f>J71*1.1</f>
        <v>21562.2</v>
      </c>
      <c r="M71" s="44"/>
      <c r="N71" s="44">
        <f>L71*1.1</f>
        <v>23718.420000000002</v>
      </c>
    </row>
    <row r="72" spans="1:15" x14ac:dyDescent="0.2">
      <c r="A72" s="18" t="s">
        <v>88</v>
      </c>
      <c r="B72" s="48">
        <f>SUM(B69:B71)</f>
        <v>98000</v>
      </c>
      <c r="C72" s="48"/>
      <c r="D72" s="48">
        <f>SUM(D69:D71)</f>
        <v>118890.89</v>
      </c>
      <c r="E72" s="48"/>
      <c r="F72" s="48">
        <f>SUM(F69:F71)</f>
        <v>148711.9</v>
      </c>
      <c r="G72" s="48"/>
      <c r="H72" s="48">
        <f>SUM(H69:H71)</f>
        <v>163583.09</v>
      </c>
      <c r="I72" s="48"/>
      <c r="J72" s="48">
        <f>SUM(J69:J71)</f>
        <v>201372.01699999999</v>
      </c>
      <c r="K72" s="48"/>
      <c r="L72" s="48">
        <f>SUM(L69:L71)</f>
        <v>221509.21870000003</v>
      </c>
      <c r="M72" s="48"/>
      <c r="N72" s="48">
        <f>SUM(N69:N71)</f>
        <v>243660.14057000005</v>
      </c>
    </row>
    <row r="73" spans="1:15" x14ac:dyDescent="0.2">
      <c r="B73" s="44"/>
      <c r="C73" s="44"/>
      <c r="D73" s="44"/>
      <c r="E73" s="44"/>
      <c r="F73" s="44"/>
      <c r="G73" s="44"/>
      <c r="H73" s="44"/>
      <c r="I73" s="44"/>
      <c r="J73" s="44"/>
      <c r="K73" s="44"/>
      <c r="L73" s="44"/>
      <c r="M73" s="44"/>
      <c r="N73" s="50"/>
    </row>
    <row r="74" spans="1:15" s="3" customFormat="1" x14ac:dyDescent="0.2">
      <c r="A74" s="24" t="s">
        <v>269</v>
      </c>
      <c r="B74" s="44"/>
      <c r="C74" s="44"/>
      <c r="D74" s="44"/>
      <c r="E74" s="44"/>
      <c r="F74" s="44"/>
      <c r="G74" s="44"/>
      <c r="H74" s="44"/>
      <c r="I74" s="44"/>
      <c r="J74" s="44"/>
      <c r="K74" s="44"/>
      <c r="L74" s="44"/>
      <c r="M74" s="44"/>
      <c r="N74" s="50"/>
      <c r="O74"/>
    </row>
    <row r="75" spans="1:15" s="3" customFormat="1" x14ac:dyDescent="0.2">
      <c r="A75" s="42" t="s">
        <v>90</v>
      </c>
      <c r="B75" s="44">
        <v>115025</v>
      </c>
      <c r="C75" s="44"/>
      <c r="D75" s="44">
        <v>200050</v>
      </c>
      <c r="E75" s="44"/>
      <c r="F75" s="44">
        <f>'2024 Bdg vs Actual All'!F75</f>
        <v>209600</v>
      </c>
      <c r="G75" s="44"/>
      <c r="H75" s="44">
        <f>F75*1.1</f>
        <v>230560.00000000003</v>
      </c>
      <c r="I75" s="44"/>
      <c r="J75" s="44">
        <f>H75*1.1</f>
        <v>253616.00000000006</v>
      </c>
      <c r="K75" s="44"/>
      <c r="L75" s="44">
        <f>J75*1.1</f>
        <v>278977.60000000009</v>
      </c>
      <c r="M75" s="44"/>
      <c r="N75" s="44">
        <f>L75*1.1</f>
        <v>306875.3600000001</v>
      </c>
      <c r="O75"/>
    </row>
    <row r="76" spans="1:15" s="3" customFormat="1" x14ac:dyDescent="0.2">
      <c r="A76" s="42" t="s">
        <v>91</v>
      </c>
      <c r="B76" s="44">
        <f>94446</f>
        <v>94446</v>
      </c>
      <c r="C76" s="44"/>
      <c r="D76" s="44">
        <v>156311.51999999999</v>
      </c>
      <c r="E76" s="44"/>
      <c r="F76" s="44">
        <f>'2024 Bdg vs Actual All'!F76</f>
        <v>171600</v>
      </c>
      <c r="G76" s="44"/>
      <c r="H76" s="44">
        <f t="shared" ref="H76:H78" si="11">F76*1.1</f>
        <v>188760.00000000003</v>
      </c>
      <c r="I76" s="44"/>
      <c r="J76" s="44">
        <f t="shared" ref="J76:J78" si="12">H76*1.1</f>
        <v>207636.00000000006</v>
      </c>
      <c r="K76" s="44"/>
      <c r="L76" s="44">
        <f t="shared" ref="L76:L78" si="13">J76*1.1</f>
        <v>228399.60000000009</v>
      </c>
      <c r="M76" s="44"/>
      <c r="N76" s="44">
        <f t="shared" ref="N76:N78" si="14">L76*1.1</f>
        <v>251239.56000000011</v>
      </c>
      <c r="O76"/>
    </row>
    <row r="77" spans="1:15" s="3" customFormat="1" x14ac:dyDescent="0.2">
      <c r="A77" t="s">
        <v>270</v>
      </c>
      <c r="B77" s="44">
        <v>87803</v>
      </c>
      <c r="C77" s="44"/>
      <c r="D77" s="44">
        <v>70354</v>
      </c>
      <c r="E77" s="44"/>
      <c r="F77" s="44">
        <f>'2024 Bdg vs Actual All'!F77</f>
        <v>60300</v>
      </c>
      <c r="G77" s="44"/>
      <c r="H77" s="44">
        <f t="shared" si="11"/>
        <v>66330</v>
      </c>
      <c r="I77" s="44"/>
      <c r="J77" s="44">
        <f t="shared" si="12"/>
        <v>72963</v>
      </c>
      <c r="K77" s="44"/>
      <c r="L77" s="44">
        <f t="shared" si="13"/>
        <v>80259.3</v>
      </c>
      <c r="M77" s="44"/>
      <c r="N77" s="44">
        <f t="shared" si="14"/>
        <v>88285.23000000001</v>
      </c>
      <c r="O77"/>
    </row>
    <row r="78" spans="1:15" s="3" customFormat="1" x14ac:dyDescent="0.2">
      <c r="A78" t="s">
        <v>94</v>
      </c>
      <c r="B78" s="44">
        <v>113844</v>
      </c>
      <c r="C78" s="44"/>
      <c r="D78" s="44">
        <v>82529.03</v>
      </c>
      <c r="E78" s="44"/>
      <c r="F78" s="44">
        <f>'2024 Bdg vs Actual All'!F78</f>
        <v>91400</v>
      </c>
      <c r="G78" s="44"/>
      <c r="H78" s="44">
        <f t="shared" si="11"/>
        <v>100540.00000000001</v>
      </c>
      <c r="I78" s="44"/>
      <c r="J78" s="44">
        <f t="shared" si="12"/>
        <v>110594.00000000003</v>
      </c>
      <c r="K78" s="44"/>
      <c r="L78" s="44">
        <f t="shared" si="13"/>
        <v>121653.40000000004</v>
      </c>
      <c r="M78" s="44"/>
      <c r="N78" s="44">
        <f t="shared" si="14"/>
        <v>133818.74000000005</v>
      </c>
      <c r="O78"/>
    </row>
    <row r="79" spans="1:15" s="3" customFormat="1" x14ac:dyDescent="0.2">
      <c r="A79" s="21" t="s">
        <v>104</v>
      </c>
      <c r="B79" s="44">
        <v>256867.64</v>
      </c>
      <c r="C79" s="45"/>
      <c r="D79" s="45">
        <f>258700+22000</f>
        <v>280700</v>
      </c>
      <c r="E79" s="45"/>
      <c r="F79" s="45">
        <f>'2024 Bdg vs Actual All'!F91</f>
        <v>92900</v>
      </c>
      <c r="G79" s="45"/>
      <c r="H79" s="45">
        <v>139070</v>
      </c>
      <c r="I79" s="45"/>
      <c r="J79" s="45">
        <v>94600</v>
      </c>
      <c r="K79" s="45"/>
      <c r="L79" s="45">
        <v>68955</v>
      </c>
      <c r="M79" s="44"/>
      <c r="N79" s="45">
        <v>49350</v>
      </c>
      <c r="O79"/>
    </row>
    <row r="80" spans="1:15" s="3" customFormat="1" x14ac:dyDescent="0.2">
      <c r="A80" t="s">
        <v>95</v>
      </c>
      <c r="B80" s="48">
        <f>SUM(B74:B79)</f>
        <v>667985.64</v>
      </c>
      <c r="C80" s="44"/>
      <c r="D80" s="44">
        <f>SUM(D75:D79)</f>
        <v>789944.55</v>
      </c>
      <c r="E80" s="44"/>
      <c r="F80" s="48">
        <f>SUM(F75:F79)</f>
        <v>625800</v>
      </c>
      <c r="G80" s="44"/>
      <c r="H80" s="44">
        <f>SUM(H75:H79)</f>
        <v>725260.00000000012</v>
      </c>
      <c r="I80" s="44"/>
      <c r="J80" s="48">
        <f>SUM(J75:J79)</f>
        <v>739409.00000000012</v>
      </c>
      <c r="K80" s="44"/>
      <c r="L80" s="44">
        <f>SUM(L75:L79)</f>
        <v>778244.90000000026</v>
      </c>
      <c r="M80" s="48"/>
      <c r="N80" s="48">
        <f>SUM(N75:N79)</f>
        <v>829568.89000000013</v>
      </c>
      <c r="O80"/>
    </row>
    <row r="81" spans="1:15" x14ac:dyDescent="0.2">
      <c r="B81" s="44"/>
      <c r="C81" s="44"/>
      <c r="D81" s="44"/>
      <c r="E81" s="44"/>
      <c r="F81" s="44"/>
      <c r="G81" s="44"/>
      <c r="H81" s="44"/>
      <c r="I81" s="44"/>
      <c r="J81" s="44"/>
      <c r="K81" s="44"/>
      <c r="L81" s="44"/>
      <c r="M81" s="44"/>
      <c r="N81" s="50"/>
    </row>
    <row r="82" spans="1:15" s="3" customFormat="1" ht="17" thickBot="1" x14ac:dyDescent="0.25">
      <c r="A82" s="25" t="s">
        <v>271</v>
      </c>
      <c r="B82" s="54">
        <f>SUM(B41,-B48,-B58,-B66,-B80,-B72)</f>
        <v>1692014.0676399996</v>
      </c>
      <c r="C82" s="54"/>
      <c r="D82" s="54" t="e">
        <f>SUM(D41,-D48,-D58,-D66,-D80,-D72)</f>
        <v>#REF!</v>
      </c>
      <c r="E82" s="54"/>
      <c r="F82" s="54">
        <f>SUM(F41,-F48,-F58,-F66,-F80,-F72)</f>
        <v>2130430.8775294428</v>
      </c>
      <c r="G82" s="54"/>
      <c r="H82" s="54">
        <f>SUM(H41,-H48,-H58,-H66,-H80,-H72)</f>
        <v>3269415.8188750017</v>
      </c>
      <c r="I82" s="54"/>
      <c r="J82" s="54">
        <f>SUM(J41,-J48,-J58,-J66,-J80,-J72)</f>
        <v>3801794.2153687505</v>
      </c>
      <c r="K82" s="54"/>
      <c r="L82" s="54">
        <f>SUM(L41,-L48,-L58,-L66,-L80,-L72)</f>
        <v>4543358.3475421853</v>
      </c>
      <c r="M82" s="54"/>
      <c r="N82" s="54">
        <f>SUM(N41,-N48,-N58,-N66,-N80,-N72)</f>
        <v>5369625.0479207933</v>
      </c>
      <c r="O82"/>
    </row>
    <row r="83" spans="1:15" s="3" customFormat="1" ht="17" thickTop="1" x14ac:dyDescent="0.2">
      <c r="A83"/>
      <c r="B83" s="26"/>
      <c r="C83" s="16"/>
      <c r="D83" s="26"/>
      <c r="E83" s="16"/>
      <c r="F83" s="26"/>
      <c r="G83" s="16"/>
      <c r="H83" s="26"/>
      <c r="I83" s="16"/>
      <c r="J83" s="26"/>
      <c r="K83" s="16"/>
      <c r="L83" s="26"/>
      <c r="N83"/>
      <c r="O83"/>
    </row>
    <row r="84" spans="1:15" s="3" customFormat="1" x14ac:dyDescent="0.2">
      <c r="A84" s="27" t="s">
        <v>110</v>
      </c>
      <c r="B84" s="12">
        <f>B82/B11</f>
        <v>9.2323570013641054E-2</v>
      </c>
      <c r="C84" s="12"/>
      <c r="D84" s="12" t="e">
        <f>D82/D11</f>
        <v>#REF!</v>
      </c>
      <c r="E84" s="12"/>
      <c r="F84" s="12">
        <f>F82/F11</f>
        <v>7.8354984898552638E-2</v>
      </c>
      <c r="G84" s="12"/>
      <c r="H84" s="12">
        <f>H82/H11</f>
        <v>0.10931576230022073</v>
      </c>
      <c r="I84" s="12"/>
      <c r="J84" s="12">
        <f>J82/J11</f>
        <v>0.115560270142642</v>
      </c>
      <c r="K84" s="12"/>
      <c r="L84" s="12">
        <f>L82/L11</f>
        <v>0.12554639593215849</v>
      </c>
      <c r="M84" s="12"/>
      <c r="N84" s="12">
        <f>N82/N11</f>
        <v>0.13488962062975576</v>
      </c>
      <c r="O84"/>
    </row>
    <row r="86" spans="1:15" x14ac:dyDescent="0.2">
      <c r="A86" t="s">
        <v>272</v>
      </c>
      <c r="F86" s="17">
        <v>500000</v>
      </c>
      <c r="H86" s="17">
        <v>1000000</v>
      </c>
      <c r="L86" s="17">
        <v>500000</v>
      </c>
      <c r="N86" s="17">
        <v>1000000</v>
      </c>
    </row>
    <row r="87" spans="1:15" x14ac:dyDescent="0.2">
      <c r="A87" s="36" t="s">
        <v>273</v>
      </c>
      <c r="D87" s="44"/>
      <c r="F87" s="37">
        <f>F82+F86</f>
        <v>2630430.8775294428</v>
      </c>
      <c r="G87" s="38"/>
      <c r="H87" s="37">
        <f>H82+H86</f>
        <v>4269415.8188750017</v>
      </c>
      <c r="I87" s="38"/>
      <c r="J87" s="39"/>
      <c r="K87" s="38"/>
      <c r="L87" s="37">
        <f>L82+L86</f>
        <v>5043358.3475421853</v>
      </c>
      <c r="M87" s="40"/>
      <c r="N87" s="37">
        <f>N82+N86</f>
        <v>6369625.0479207933</v>
      </c>
    </row>
    <row r="88" spans="1:15" x14ac:dyDescent="0.2">
      <c r="A88" s="36"/>
      <c r="F88" s="35"/>
      <c r="H88" s="35"/>
      <c r="L88" s="35"/>
    </row>
    <row r="89" spans="1:15" x14ac:dyDescent="0.2">
      <c r="A89" s="36"/>
      <c r="F89" s="35"/>
    </row>
    <row r="91" spans="1:15" s="16" customFormat="1" x14ac:dyDescent="0.2">
      <c r="A91" s="23" t="s">
        <v>274</v>
      </c>
      <c r="F91" s="17"/>
      <c r="H91" s="17"/>
      <c r="J91" s="17"/>
      <c r="L91" s="17"/>
      <c r="M91" s="3"/>
      <c r="N91"/>
      <c r="O91"/>
    </row>
    <row r="92" spans="1:15" s="16" customFormat="1" x14ac:dyDescent="0.2">
      <c r="A92" t="s">
        <v>275</v>
      </c>
      <c r="E92" s="17"/>
      <c r="H92" s="17"/>
      <c r="J92" s="17"/>
      <c r="K92" s="3"/>
      <c r="L92"/>
      <c r="M92"/>
    </row>
    <row r="93" spans="1:15" s="16" customFormat="1" x14ac:dyDescent="0.2">
      <c r="A93" t="s">
        <v>276</v>
      </c>
      <c r="F93" s="17"/>
      <c r="H93" s="17"/>
      <c r="J93" s="17"/>
      <c r="L93" s="17"/>
      <c r="M93" s="3"/>
      <c r="N93"/>
      <c r="O93"/>
    </row>
    <row r="94" spans="1:15" s="16" customFormat="1" x14ac:dyDescent="0.2">
      <c r="A94" t="s">
        <v>277</v>
      </c>
      <c r="F94" s="17"/>
      <c r="H94" s="17"/>
      <c r="J94" s="17"/>
      <c r="L94" s="17"/>
      <c r="M94" s="3"/>
      <c r="N94"/>
      <c r="O94"/>
    </row>
    <row r="95" spans="1:15" s="16" customFormat="1" x14ac:dyDescent="0.2">
      <c r="A95" t="s">
        <v>278</v>
      </c>
      <c r="F95" s="17"/>
      <c r="H95" s="17"/>
      <c r="J95" s="17"/>
      <c r="L95" s="17"/>
      <c r="M95" s="3"/>
      <c r="N95"/>
      <c r="O95"/>
    </row>
    <row r="96" spans="1:15" s="16" customFormat="1" x14ac:dyDescent="0.2">
      <c r="A96" t="s">
        <v>279</v>
      </c>
      <c r="F96" s="17"/>
      <c r="H96" s="17"/>
      <c r="J96" s="17"/>
      <c r="L96" s="17"/>
      <c r="M96" s="3"/>
      <c r="N96"/>
      <c r="O96"/>
    </row>
    <row r="97" spans="1:15" s="16" customFormat="1" x14ac:dyDescent="0.2">
      <c r="A97" t="s">
        <v>280</v>
      </c>
      <c r="F97" s="17"/>
      <c r="H97" s="17"/>
      <c r="J97" s="17"/>
      <c r="L97" s="17"/>
      <c r="M97" s="3"/>
      <c r="N97"/>
      <c r="O97"/>
    </row>
    <row r="98" spans="1:15" s="16" customFormat="1" ht="49.5" customHeight="1" x14ac:dyDescent="0.2">
      <c r="A98" s="302" t="s">
        <v>281</v>
      </c>
      <c r="B98" s="302"/>
      <c r="C98" s="302"/>
      <c r="D98" s="302"/>
      <c r="E98" s="302"/>
      <c r="F98" s="302"/>
      <c r="G98" s="302"/>
      <c r="H98" s="302"/>
      <c r="I98" s="302"/>
      <c r="J98" s="302"/>
      <c r="K98" s="302"/>
      <c r="L98" s="17"/>
      <c r="M98" s="3"/>
      <c r="N98"/>
      <c r="O98"/>
    </row>
  </sheetData>
  <mergeCells count="1">
    <mergeCell ref="A98:K98"/>
  </mergeCells>
  <pageMargins left="0.75" right="0.75" top="1" bottom="1" header="0.5" footer="0.5"/>
  <pageSetup scale="29" orientation="landscape" horizontalDpi="4294967292" verticalDpi="4294967292" r:id="rId1"/>
  <ignoredErrors>
    <ignoredError sqref="G54 K54 I54 M54" formula="1"/>
  </ignoredError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2563692-96a6-488b-9f55-d4b046c45fc9" xsi:nil="true"/>
    <lcf76f155ced4ddcb4097134ff3c332f xmlns="4a47a66f-b3ee-4495-bf32-e6370fcf1efb">
      <Terms xmlns="http://schemas.microsoft.com/office/infopath/2007/PartnerControls"/>
    </lcf76f155ced4ddcb4097134ff3c332f>
    <SharedWithUsers xmlns="82563692-96a6-488b-9f55-d4b046c45fc9">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A56198B76F4F64085C7A299E3D96786" ma:contentTypeVersion="15" ma:contentTypeDescription="Create a new document." ma:contentTypeScope="" ma:versionID="746aade65ca4b0040cf516088ff49224">
  <xsd:schema xmlns:xsd="http://www.w3.org/2001/XMLSchema" xmlns:xs="http://www.w3.org/2001/XMLSchema" xmlns:p="http://schemas.microsoft.com/office/2006/metadata/properties" xmlns:ns2="4a47a66f-b3ee-4495-bf32-e6370fcf1efb" xmlns:ns3="82563692-96a6-488b-9f55-d4b046c45fc9" targetNamespace="http://schemas.microsoft.com/office/2006/metadata/properties" ma:root="true" ma:fieldsID="7e63f1ae85dede17b58ad4fef404785c" ns2:_="" ns3:_="">
    <xsd:import namespace="4a47a66f-b3ee-4495-bf32-e6370fcf1efb"/>
    <xsd:import namespace="82563692-96a6-488b-9f55-d4b046c45fc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Location"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47a66f-b3ee-4495-bf32-e6370fcf1e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4b6eeb6-03b1-4186-a525-5274877e6c6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563692-96a6-488b-9f55-d4b046c45fc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64f764ec-2591-407e-a629-0e8203bbd38d}" ma:internalName="TaxCatchAll" ma:showField="CatchAllData" ma:web="82563692-96a6-488b-9f55-d4b046c45f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3897CE-04F8-47AE-AA3A-4286E21CF7B1}">
  <ds:schemaRefs>
    <ds:schemaRef ds:uri="http://schemas.microsoft.com/office/2006/metadata/properties"/>
    <ds:schemaRef ds:uri="http://schemas.microsoft.com/office/infopath/2007/PartnerControls"/>
    <ds:schemaRef ds:uri="82563692-96a6-488b-9f55-d4b046c45fc9"/>
    <ds:schemaRef ds:uri="4a47a66f-b3ee-4495-bf32-e6370fcf1efb"/>
  </ds:schemaRefs>
</ds:datastoreItem>
</file>

<file path=customXml/itemProps2.xml><?xml version="1.0" encoding="utf-8"?>
<ds:datastoreItem xmlns:ds="http://schemas.openxmlformats.org/officeDocument/2006/customXml" ds:itemID="{1A1E33AE-01B4-4969-ACB9-E18F720B9C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47a66f-b3ee-4495-bf32-e6370fcf1efb"/>
    <ds:schemaRef ds:uri="82563692-96a6-488b-9f55-d4b046c45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BA5E9C1-6920-4640-91E0-4E838FB9568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2024 Bdg vs Actual All</vt:lpstr>
      <vt:lpstr>2024  Bdg vs Actual-CA</vt:lpstr>
      <vt:lpstr>2024 Bdg vs Actual -OH</vt:lpstr>
      <vt:lpstr>OH Calculator</vt:lpstr>
      <vt:lpstr>CA Calculator</vt:lpstr>
      <vt:lpstr>5YR Projections-updated organic</vt:lpstr>
    </vt:vector>
  </TitlesOfParts>
  <Manager/>
  <Company>Data Path,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Darmstandler</dc:creator>
  <cp:keywords/>
  <dc:description/>
  <cp:lastModifiedBy>Scott G</cp:lastModifiedBy>
  <cp:revision/>
  <dcterms:created xsi:type="dcterms:W3CDTF">2015-02-26T01:23:32Z</dcterms:created>
  <dcterms:modified xsi:type="dcterms:W3CDTF">2026-04-01T22:46:26Z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926ae2-a5f5-4eb8-b7a9-2a972f12d6fe_Enabled">
    <vt:lpwstr>true</vt:lpwstr>
  </property>
  <property fmtid="{D5CDD505-2E9C-101B-9397-08002B2CF9AE}" pid="3" name="MSIP_Label_e3926ae2-a5f5-4eb8-b7a9-2a972f12d6fe_SetDate">
    <vt:lpwstr>2022-10-04T21:40:31Z</vt:lpwstr>
  </property>
  <property fmtid="{D5CDD505-2E9C-101B-9397-08002B2CF9AE}" pid="4" name="MSIP_Label_e3926ae2-a5f5-4eb8-b7a9-2a972f12d6fe_Method">
    <vt:lpwstr>Standard</vt:lpwstr>
  </property>
  <property fmtid="{D5CDD505-2E9C-101B-9397-08002B2CF9AE}" pid="5" name="MSIP_Label_e3926ae2-a5f5-4eb8-b7a9-2a972f12d6fe_Name">
    <vt:lpwstr>e3926ae2-a5f5-4eb8-b7a9-2a972f12d6fe</vt:lpwstr>
  </property>
  <property fmtid="{D5CDD505-2E9C-101B-9397-08002B2CF9AE}" pid="6" name="MSIP_Label_e3926ae2-a5f5-4eb8-b7a9-2a972f12d6fe_SiteId">
    <vt:lpwstr>9ef5d077-23c6-453f-94f9-7809c35a837f</vt:lpwstr>
  </property>
  <property fmtid="{D5CDD505-2E9C-101B-9397-08002B2CF9AE}" pid="7" name="MSIP_Label_e3926ae2-a5f5-4eb8-b7a9-2a972f12d6fe_ActionId">
    <vt:lpwstr>43fb8b16-3737-4bd4-b7c3-66c5c177713d</vt:lpwstr>
  </property>
  <property fmtid="{D5CDD505-2E9C-101B-9397-08002B2CF9AE}" pid="8" name="MSIP_Label_e3926ae2-a5f5-4eb8-b7a9-2a972f12d6fe_ContentBits">
    <vt:lpwstr>0</vt:lpwstr>
  </property>
  <property fmtid="{D5CDD505-2E9C-101B-9397-08002B2CF9AE}" pid="9" name="ContentTypeId">
    <vt:lpwstr>0x0101001A56198B76F4F64085C7A299E3D96786</vt:lpwstr>
  </property>
  <property fmtid="{D5CDD505-2E9C-101B-9397-08002B2CF9AE}" pid="10" name="MediaServiceImageTags">
    <vt:lpwstr/>
  </property>
  <property fmtid="{D5CDD505-2E9C-101B-9397-08002B2CF9AE}" pid="11" name="_SourceUrl">
    <vt:lpwstr/>
  </property>
  <property fmtid="{D5CDD505-2E9C-101B-9397-08002B2CF9AE}" pid="12" name="_SharedFileIndex">
    <vt:lpwstr/>
  </property>
  <property fmtid="{D5CDD505-2E9C-101B-9397-08002B2CF9AE}" pid="13" name="ComplianceAssetId">
    <vt:lpwstr/>
  </property>
  <property fmtid="{D5CDD505-2E9C-101B-9397-08002B2CF9AE}" pid="14" name="_ExtendedDescription">
    <vt:lpwstr/>
  </property>
  <property fmtid="{D5CDD505-2E9C-101B-9397-08002B2CF9AE}" pid="15" name="_activity">
    <vt:lpwstr>{"FileActivityType":"9","FileActivityTimeStamp":"2025-01-28T17:10:30.553Z","FileActivityUsersOnPage":[{"DisplayName":"Dennis Vicencio","Id":"dvicencio@mydatapath.com"},{"DisplayName":"Scott G","Id":"scottg@mydatapath.com"},{"DisplayName":"James Bates","Id":"jbates@mydatapath.com"},{"DisplayName":"David Darmstandler","Id":"david@mydatapath.com"}],"FileActivityNavigationId":null}</vt:lpwstr>
  </property>
  <property fmtid="{D5CDD505-2E9C-101B-9397-08002B2CF9AE}" pid="16" name="TriggerFlowInfo">
    <vt:lpwstr/>
  </property>
</Properties>
</file>