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cott/Documents/CLevelAdvising/Datapath/Exec Team/spec project/"/>
    </mc:Choice>
  </mc:AlternateContent>
  <xr:revisionPtr revIDLastSave="0" documentId="8_{94251E2B-3326-8D4F-BA95-2DB7DBC477FA}" xr6:coauthVersionLast="47" xr6:coauthVersionMax="47" xr10:uidLastSave="{00000000-0000-0000-0000-000000000000}"/>
  <bookViews>
    <workbookView xWindow="14400" yWindow="660" windowWidth="14400" windowHeight="15600" firstSheet="1" activeTab="1" xr2:uid="{1F4B1EFA-3C8A-4BB0-A803-BE35D941B55A}"/>
  </bookViews>
  <sheets>
    <sheet name="Employee List 2025" sheetId="1" r:id="rId1"/>
    <sheet name="Dismissed Employe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E31" i="2"/>
  <c r="D26" i="2"/>
</calcChain>
</file>

<file path=xl/sharedStrings.xml><?xml version="1.0" encoding="utf-8"?>
<sst xmlns="http://schemas.openxmlformats.org/spreadsheetml/2006/main" count="115" uniqueCount="85">
  <si>
    <t>New custom report</t>
  </si>
  <si>
    <t>Time Period: 2025: (01/01/2025 - 12/31/2025)</t>
  </si>
  <si>
    <t>Employee</t>
  </si>
  <si>
    <t>Employee start date</t>
  </si>
  <si>
    <t>Employee end date</t>
  </si>
  <si>
    <t>Alexander Blunk</t>
  </si>
  <si>
    <t>Michael Upton</t>
  </si>
  <si>
    <t>Brian Jump</t>
  </si>
  <si>
    <t>John Barcelos Jr</t>
  </si>
  <si>
    <t>Stefan Briney</t>
  </si>
  <si>
    <t>Katrina Johnson</t>
  </si>
  <si>
    <t>Kenneth Freeburg</t>
  </si>
  <si>
    <t>Hildria Williams III</t>
  </si>
  <si>
    <t>Tiffany Finkton</t>
  </si>
  <si>
    <t>Wayne Corder</t>
  </si>
  <si>
    <t>Brayden Wise</t>
  </si>
  <si>
    <t>Harry Bennett</t>
  </si>
  <si>
    <t>Alex McArthur</t>
  </si>
  <si>
    <t>Victor Pontes</t>
  </si>
  <si>
    <t>Casey Brockett</t>
  </si>
  <si>
    <t>Lester Lobo</t>
  </si>
  <si>
    <t>Gregory Harvey</t>
  </si>
  <si>
    <t>Rebecca Moore</t>
  </si>
  <si>
    <t>Jack Harsch</t>
  </si>
  <si>
    <t>Daniel Kuphal</t>
  </si>
  <si>
    <t>Duncan Terrell</t>
  </si>
  <si>
    <t>P. Dennis Vicencio</t>
  </si>
  <si>
    <t>Matthew Baker</t>
  </si>
  <si>
    <t>Thomas Brennan</t>
  </si>
  <si>
    <t>Luis Huizar</t>
  </si>
  <si>
    <t>Joshua Blair</t>
  </si>
  <si>
    <t>Michael Schilber</t>
  </si>
  <si>
    <t>Mark Wallace</t>
  </si>
  <si>
    <t>Steve Morozov</t>
  </si>
  <si>
    <t>Michael Hughes</t>
  </si>
  <si>
    <t>Henry Martinez</t>
  </si>
  <si>
    <t>DinYero Johnson</t>
  </si>
  <si>
    <t>Peter Annabel</t>
  </si>
  <si>
    <t>Kevin Barr</t>
  </si>
  <si>
    <t>Colin Bates</t>
  </si>
  <si>
    <t>James Bates</t>
  </si>
  <si>
    <t>Matthew Brinovec</t>
  </si>
  <si>
    <t>James Bruce</t>
  </si>
  <si>
    <t>Daniel Chadwell</t>
  </si>
  <si>
    <t>Cristina Chavez Soto</t>
  </si>
  <si>
    <t>Kerr Conkle</t>
  </si>
  <si>
    <t>Angela Contreras</t>
  </si>
  <si>
    <t>Oscar Contreras</t>
  </si>
  <si>
    <t>David Craig</t>
  </si>
  <si>
    <t>David Darmstandler</t>
  </si>
  <si>
    <t>Hudson Darmstandler</t>
  </si>
  <si>
    <t>Sam Dean</t>
  </si>
  <si>
    <t>William Doyle</t>
  </si>
  <si>
    <t>Nathaniel Dupray</t>
  </si>
  <si>
    <t>Gabriel Espinoza</t>
  </si>
  <si>
    <t>Christopher Gilmore</t>
  </si>
  <si>
    <t>Jay Harvey</t>
  </si>
  <si>
    <t>Melinda Hennington</t>
  </si>
  <si>
    <t>Brandon Hulsey-Cedeno</t>
  </si>
  <si>
    <t>Matthew Irick</t>
  </si>
  <si>
    <t>Angelica Jackson</t>
  </si>
  <si>
    <t>Brandon Johnson</t>
  </si>
  <si>
    <t>Colton Keim</t>
  </si>
  <si>
    <t>Nathan La Fleche</t>
  </si>
  <si>
    <t>Matthew Lampe</t>
  </si>
  <si>
    <t>Nathan Lanning</t>
  </si>
  <si>
    <t>Ricky Maestas</t>
  </si>
  <si>
    <t>Cole Matuszynski</t>
  </si>
  <si>
    <t>Mark Mercer</t>
  </si>
  <si>
    <t>Keith Newson</t>
  </si>
  <si>
    <t>Luis Pena</t>
  </si>
  <si>
    <t>Devin Peterson</t>
  </si>
  <si>
    <t>Marshall Rownd</t>
  </si>
  <si>
    <t>Timothy Stewart</t>
  </si>
  <si>
    <t>Cory Strassell</t>
  </si>
  <si>
    <t>Daniel Sturdivant</t>
  </si>
  <si>
    <t>Michael Trude</t>
  </si>
  <si>
    <t>Arnold Vega</t>
  </si>
  <si>
    <t>Christopher Vouis</t>
  </si>
  <si>
    <t>Joel Walker</t>
  </si>
  <si>
    <t>Stephen Walski</t>
  </si>
  <si>
    <t>Tommy Wijaya</t>
  </si>
  <si>
    <t>Severance Pay</t>
  </si>
  <si>
    <t>Outstanding PTO Payout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</si>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</sst>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14" fontId="0" fillId="34" borderId="10" xfId="0" applyNumberFormat="1" applyFill="1" applyBorder="1"/>
    <xf numFmtId="14" fontId="0" fillId="34" borderId="11" xfId="0" applyNumberFormat="1" applyFill="1" applyBorder="1"/>
    <xf numFmtId="14" fontId="0" fillId="0" borderId="10" xfId="0" applyNumberFormat="1" applyBorder="1"/>
    <xf numFmtId="14" fontId="0" fillId="0" borderId="11" xfId="0" applyNumberFormat="1" applyBorder="1"/>
    <xf numFmtId="0" fontId="0" fillId="34" borderId="10" xfId="0" applyFill="1" applyBorder="1"/>
    <xf numFmtId="0" fontId="0" fillId="0" borderId="10" xfId="0" applyBorder="1"/>
    <xf numFmtId="0" fontId="0" fillId="34" borderId="0" xfId="0" applyFill="1"/>
    <xf numFmtId="0" fontId="0" fillId="34" borderId="12" xfId="0" applyFill="1" applyBorder="1"/>
    <xf numFmtId="43" fontId="0" fillId="0" borderId="0" xfId="0" applyNumberFormat="1"/>
    <xf numFmtId="43" fontId="13" fillId="33" borderId="0" xfId="1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numFmt numFmtId="164" formatCode="m/d/yyyy"/>
    </dxf>
    <dxf>
      <numFmt numFmtId="164" formatCode="m/d/yyyy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4D4C2-9C00-4047-878A-0928AB235C0D}" name="Table1" displayName="Table1" ref="A5:C82" totalsRowShown="0">
  <autoFilter ref="A5:C82" xr:uid="{1FE4D4C2-9C00-4047-878A-0928AB235C0D}"/>
  <sortState xmlns:xlrd2="http://schemas.microsoft.com/office/spreadsheetml/2017/richdata2" ref="A6:C82">
    <sortCondition ref="C5:C82"/>
  </sortState>
  <tableColumns count="3">
    <tableColumn id="1" xr3:uid="{6447AC24-CA3D-468C-9AFF-9CC7BD42782E}" name="Employee"/>
    <tableColumn id="2" xr3:uid="{34661290-DA92-4080-979E-FBAAFCC11343}" name="Employee start date" dataDxfId="1"/>
    <tableColumn id="3" xr3:uid="{2BADDA3C-573C-4697-8B79-1D23C4BADDD2}" name="Employee end 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8C3E11-5B33-415E-A507-7C81DDB59637}" name="Table2" displayName="Table2" ref="A3:E31" totalsRowCount="1" headerRowDxfId="13" tableBorderDxfId="12">
  <autoFilter ref="A3:E30" xr:uid="{9E8C3E11-5B33-415E-A507-7C81DDB59637}"/>
  <tableColumns count="5">
    <tableColumn id="1" xr3:uid="{10E8797D-6374-4D91-91EE-16C91AE6590B}" name="Employee" totalsRowLabel="Total" dataDxfId="11" totalsRowDxfId="10"/>
    <tableColumn id="2" xr3:uid="{02C9AAD5-008B-4FCF-BE90-61E4602EDD5E}" name="Employee start date" dataDxfId="9" totalsRowDxfId="8"/>
    <tableColumn id="3" xr3:uid="{3875F79D-65C2-41A3-A7BC-09840244F4DB}" name="Employee end date" dataDxfId="7" totalsRowDxfId="6"/>
    <tableColumn id="4" xr3:uid="{86779447-A16F-4440-AA47-6E22854A2706}" name="Severance Pay" totalsRowFunction="custom" dataDxfId="5" totalsRowDxfId="4" dataCellStyle="Comma">
      <totalsRowFormula>SUBTOTAL(109,D4:D30)</totalsRowFormula>
    </tableColumn>
    <tableColumn id="5" xr3:uid="{359F4B8B-A600-44E7-BC6A-7FED313BDCC2}" name="Outstanding PTO Payout" totalsRowFunction="sum" dataDxfId="3" totalsRow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6AEF-FC2A-4B47-AAAE-4ECCC389E78A}">
  <dimension ref="A1:C82"/>
  <sheetViews>
    <sheetView topLeftCell="A5" workbookViewId="0">
      <selection activeCell="A5" sqref="A5:C32"/>
    </sheetView>
  </sheetViews>
  <sheetFormatPr baseColWidth="10" defaultColWidth="8.83203125" defaultRowHeight="15" x14ac:dyDescent="0.2"/>
  <cols>
    <col min="1" max="1" width="40.33203125" bestFit="1" customWidth="1"/>
    <col min="2" max="2" width="21.1640625" customWidth="1"/>
    <col min="3" max="3" width="20.5" customWidth="1"/>
  </cols>
  <sheetData>
    <row r="1" spans="1:3" x14ac:dyDescent="0.2">
      <c r="A1" t="s">
        <v>0</v>
      </c>
    </row>
    <row r="3" spans="1:3" x14ac:dyDescent="0.2">
      <c r="A3" t="s">
        <v>1</v>
      </c>
    </row>
    <row r="5" spans="1:3" x14ac:dyDescent="0.2">
      <c r="A5" t="s">
        <v>2</v>
      </c>
      <c r="B5" t="s">
        <v>3</v>
      </c>
      <c r="C5" t="s">
        <v>4</v>
      </c>
    </row>
    <row r="6" spans="1:3" x14ac:dyDescent="0.2">
      <c r="A6" t="s">
        <v>5</v>
      </c>
      <c r="B6" s="1">
        <v>44667</v>
      </c>
      <c r="C6" s="1">
        <v>45681</v>
      </c>
    </row>
    <row r="7" spans="1:3" x14ac:dyDescent="0.2">
      <c r="A7" t="s">
        <v>6</v>
      </c>
      <c r="B7" s="1">
        <v>45047</v>
      </c>
      <c r="C7" s="1">
        <v>45681</v>
      </c>
    </row>
    <row r="8" spans="1:3" x14ac:dyDescent="0.2">
      <c r="A8" t="s">
        <v>7</v>
      </c>
      <c r="B8" s="1">
        <v>39454</v>
      </c>
      <c r="C8" s="1">
        <v>45695</v>
      </c>
    </row>
    <row r="9" spans="1:3" x14ac:dyDescent="0.2">
      <c r="A9" t="s">
        <v>8</v>
      </c>
      <c r="B9" s="1">
        <v>41512</v>
      </c>
      <c r="C9" s="1">
        <v>45702</v>
      </c>
    </row>
    <row r="10" spans="1:3" x14ac:dyDescent="0.2">
      <c r="A10" t="s">
        <v>9</v>
      </c>
      <c r="B10" s="1">
        <v>44844</v>
      </c>
      <c r="C10" s="1">
        <v>45702</v>
      </c>
    </row>
    <row r="11" spans="1:3" x14ac:dyDescent="0.2">
      <c r="A11" t="s">
        <v>10</v>
      </c>
      <c r="B11" s="1">
        <v>43654</v>
      </c>
      <c r="C11" s="1">
        <v>45707</v>
      </c>
    </row>
    <row r="12" spans="1:3" x14ac:dyDescent="0.2">
      <c r="A12" t="s">
        <v>11</v>
      </c>
      <c r="B12" s="1">
        <v>44667</v>
      </c>
      <c r="C12" s="1">
        <v>45723</v>
      </c>
    </row>
    <row r="13" spans="1:3" x14ac:dyDescent="0.2">
      <c r="A13" t="s">
        <v>12</v>
      </c>
      <c r="B13" s="1">
        <v>44354</v>
      </c>
      <c r="C13" s="1">
        <v>45723</v>
      </c>
    </row>
    <row r="14" spans="1:3" x14ac:dyDescent="0.2">
      <c r="A14" t="s">
        <v>13</v>
      </c>
      <c r="B14" s="1">
        <v>45551</v>
      </c>
      <c r="C14" s="1">
        <v>45729</v>
      </c>
    </row>
    <row r="15" spans="1:3" x14ac:dyDescent="0.2">
      <c r="A15" t="s">
        <v>14</v>
      </c>
      <c r="B15" s="1">
        <v>45712</v>
      </c>
      <c r="C15" s="1">
        <v>45733</v>
      </c>
    </row>
    <row r="16" spans="1:3" x14ac:dyDescent="0.2">
      <c r="A16" t="s">
        <v>15</v>
      </c>
      <c r="B16" s="1">
        <v>45384</v>
      </c>
      <c r="C16" s="1">
        <v>45740</v>
      </c>
    </row>
    <row r="17" spans="1:3" x14ac:dyDescent="0.2">
      <c r="A17" t="s">
        <v>16</v>
      </c>
      <c r="B17" s="1">
        <v>44333</v>
      </c>
      <c r="C17" s="1">
        <v>45769</v>
      </c>
    </row>
    <row r="18" spans="1:3" x14ac:dyDescent="0.2">
      <c r="A18" t="s">
        <v>17</v>
      </c>
      <c r="B18" s="1">
        <v>45754</v>
      </c>
      <c r="C18" s="1">
        <v>45790</v>
      </c>
    </row>
    <row r="19" spans="1:3" x14ac:dyDescent="0.2">
      <c r="A19" t="s">
        <v>18</v>
      </c>
      <c r="B19" s="1">
        <v>44044</v>
      </c>
      <c r="C19" s="1">
        <v>45798</v>
      </c>
    </row>
    <row r="20" spans="1:3" x14ac:dyDescent="0.2">
      <c r="A20" t="s">
        <v>19</v>
      </c>
      <c r="B20" s="1">
        <v>45243</v>
      </c>
      <c r="C20" s="1">
        <v>45833</v>
      </c>
    </row>
    <row r="21" spans="1:3" x14ac:dyDescent="0.2">
      <c r="A21" t="s">
        <v>20</v>
      </c>
      <c r="B21" s="1">
        <v>45653</v>
      </c>
      <c r="C21" s="1">
        <v>45835</v>
      </c>
    </row>
    <row r="22" spans="1:3" x14ac:dyDescent="0.2">
      <c r="A22" t="s">
        <v>21</v>
      </c>
      <c r="B22" s="1">
        <v>44667</v>
      </c>
      <c r="C22" s="1">
        <v>45863</v>
      </c>
    </row>
    <row r="23" spans="1:3" x14ac:dyDescent="0.2">
      <c r="A23" t="s">
        <v>22</v>
      </c>
      <c r="B23" s="1">
        <v>45124</v>
      </c>
      <c r="C23" s="1">
        <v>45877</v>
      </c>
    </row>
    <row r="24" spans="1:3" x14ac:dyDescent="0.2">
      <c r="A24" t="s">
        <v>23</v>
      </c>
      <c r="B24" s="1">
        <v>44667</v>
      </c>
      <c r="C24" s="1">
        <v>45882</v>
      </c>
    </row>
    <row r="25" spans="1:3" x14ac:dyDescent="0.2">
      <c r="A25" t="s">
        <v>24</v>
      </c>
      <c r="B25" s="1">
        <v>45712</v>
      </c>
      <c r="C25" s="1">
        <v>45884</v>
      </c>
    </row>
    <row r="26" spans="1:3" x14ac:dyDescent="0.2">
      <c r="A26" t="s">
        <v>25</v>
      </c>
      <c r="B26" s="1">
        <v>45166</v>
      </c>
      <c r="C26" s="1">
        <v>45919</v>
      </c>
    </row>
    <row r="27" spans="1:3" x14ac:dyDescent="0.2">
      <c r="A27" t="s">
        <v>26</v>
      </c>
      <c r="B27" s="1">
        <v>44712</v>
      </c>
      <c r="C27" s="1">
        <v>45919</v>
      </c>
    </row>
    <row r="28" spans="1:3" x14ac:dyDescent="0.2">
      <c r="A28" t="s">
        <v>27</v>
      </c>
      <c r="B28" s="1">
        <v>44667</v>
      </c>
      <c r="C28" s="1">
        <v>45922</v>
      </c>
    </row>
    <row r="29" spans="1:3" x14ac:dyDescent="0.2">
      <c r="A29" t="s">
        <v>28</v>
      </c>
      <c r="B29" s="1">
        <v>44879</v>
      </c>
      <c r="C29" s="1">
        <v>45925</v>
      </c>
    </row>
    <row r="30" spans="1:3" x14ac:dyDescent="0.2">
      <c r="A30" t="s">
        <v>29</v>
      </c>
      <c r="B30" s="1">
        <v>45147</v>
      </c>
      <c r="C30" s="1">
        <v>45926</v>
      </c>
    </row>
    <row r="31" spans="1:3" x14ac:dyDescent="0.2">
      <c r="A31" t="s">
        <v>30</v>
      </c>
      <c r="B31" s="1">
        <v>45383</v>
      </c>
      <c r="C31" s="1">
        <v>45933</v>
      </c>
    </row>
    <row r="32" spans="1:3" x14ac:dyDescent="0.2">
      <c r="A32" t="s">
        <v>31</v>
      </c>
      <c r="B32" s="1">
        <v>42324</v>
      </c>
      <c r="C32" s="1">
        <v>45996</v>
      </c>
    </row>
    <row r="33" spans="1:3" x14ac:dyDescent="0.2">
      <c r="A33" t="s">
        <v>32</v>
      </c>
      <c r="B33" s="1">
        <v>45859</v>
      </c>
      <c r="C33" s="1">
        <v>46045</v>
      </c>
    </row>
    <row r="34" spans="1:3" x14ac:dyDescent="0.2">
      <c r="A34" t="s">
        <v>33</v>
      </c>
      <c r="B34" s="1">
        <v>45726</v>
      </c>
      <c r="C34" s="1">
        <v>46057</v>
      </c>
    </row>
    <row r="35" spans="1:3" x14ac:dyDescent="0.2">
      <c r="A35" t="s">
        <v>34</v>
      </c>
      <c r="B35" s="1">
        <v>45306</v>
      </c>
      <c r="C35" s="1">
        <v>46059</v>
      </c>
    </row>
    <row r="36" spans="1:3" x14ac:dyDescent="0.2">
      <c r="A36" t="s">
        <v>35</v>
      </c>
      <c r="B36" s="1">
        <v>46006</v>
      </c>
      <c r="C36" s="1">
        <v>46087</v>
      </c>
    </row>
    <row r="37" spans="1:3" x14ac:dyDescent="0.2">
      <c r="A37" t="s">
        <v>36</v>
      </c>
      <c r="B37" s="1">
        <v>41050</v>
      </c>
      <c r="C37" s="1">
        <v>46107</v>
      </c>
    </row>
    <row r="38" spans="1:3" x14ac:dyDescent="0.2">
      <c r="A38" t="s">
        <v>37</v>
      </c>
      <c r="B38" s="1">
        <v>44044</v>
      </c>
    </row>
    <row r="39" spans="1:3" x14ac:dyDescent="0.2">
      <c r="A39" t="s">
        <v>38</v>
      </c>
      <c r="B39" s="1">
        <v>45159</v>
      </c>
    </row>
    <row r="40" spans="1:3" x14ac:dyDescent="0.2">
      <c r="A40" t="s">
        <v>39</v>
      </c>
      <c r="B40" s="1">
        <v>45813</v>
      </c>
    </row>
    <row r="41" spans="1:3" x14ac:dyDescent="0.2">
      <c r="A41" t="s">
        <v>40</v>
      </c>
      <c r="B41" s="1">
        <v>38504</v>
      </c>
    </row>
    <row r="42" spans="1:3" x14ac:dyDescent="0.2">
      <c r="A42" t="s">
        <v>41</v>
      </c>
      <c r="B42" s="1">
        <v>44667</v>
      </c>
    </row>
    <row r="43" spans="1:3" x14ac:dyDescent="0.2">
      <c r="A43" t="s">
        <v>42</v>
      </c>
      <c r="B43" s="1">
        <v>43182</v>
      </c>
    </row>
    <row r="44" spans="1:3" x14ac:dyDescent="0.2">
      <c r="A44" t="s">
        <v>43</v>
      </c>
      <c r="B44" s="1">
        <v>42219</v>
      </c>
    </row>
    <row r="45" spans="1:3" x14ac:dyDescent="0.2">
      <c r="A45" t="s">
        <v>44</v>
      </c>
      <c r="B45" s="1">
        <v>45593</v>
      </c>
    </row>
    <row r="46" spans="1:3" x14ac:dyDescent="0.2">
      <c r="A46" t="s">
        <v>45</v>
      </c>
      <c r="B46" s="1">
        <v>44667</v>
      </c>
    </row>
    <row r="47" spans="1:3" x14ac:dyDescent="0.2">
      <c r="A47" t="s">
        <v>46</v>
      </c>
      <c r="B47" s="1">
        <v>45293</v>
      </c>
    </row>
    <row r="48" spans="1:3" x14ac:dyDescent="0.2">
      <c r="A48" t="s">
        <v>47</v>
      </c>
      <c r="B48" s="1">
        <v>45894</v>
      </c>
    </row>
    <row r="49" spans="1:2" x14ac:dyDescent="0.2">
      <c r="A49" t="s">
        <v>48</v>
      </c>
      <c r="B49" s="1">
        <v>42814</v>
      </c>
    </row>
    <row r="50" spans="1:2" x14ac:dyDescent="0.2">
      <c r="A50" t="s">
        <v>49</v>
      </c>
      <c r="B50" s="1">
        <v>38504</v>
      </c>
    </row>
    <row r="51" spans="1:2" x14ac:dyDescent="0.2">
      <c r="A51" t="s">
        <v>50</v>
      </c>
      <c r="B51" s="1">
        <v>45922</v>
      </c>
    </row>
    <row r="52" spans="1:2" x14ac:dyDescent="0.2">
      <c r="A52" t="s">
        <v>51</v>
      </c>
      <c r="B52" s="1">
        <v>44963</v>
      </c>
    </row>
    <row r="53" spans="1:2" x14ac:dyDescent="0.2">
      <c r="A53" t="s">
        <v>52</v>
      </c>
      <c r="B53" s="1">
        <v>43662</v>
      </c>
    </row>
    <row r="54" spans="1:2" x14ac:dyDescent="0.2">
      <c r="A54" t="s">
        <v>53</v>
      </c>
      <c r="B54" s="1">
        <v>45698</v>
      </c>
    </row>
    <row r="55" spans="1:2" x14ac:dyDescent="0.2">
      <c r="A55" t="s">
        <v>54</v>
      </c>
      <c r="B55" s="1">
        <v>43017</v>
      </c>
    </row>
    <row r="56" spans="1:2" x14ac:dyDescent="0.2">
      <c r="A56" t="s">
        <v>55</v>
      </c>
      <c r="B56" s="1">
        <v>43182</v>
      </c>
    </row>
    <row r="57" spans="1:2" x14ac:dyDescent="0.2">
      <c r="A57" t="s">
        <v>56</v>
      </c>
      <c r="B57" s="1">
        <v>44123</v>
      </c>
    </row>
    <row r="58" spans="1:2" x14ac:dyDescent="0.2">
      <c r="A58" t="s">
        <v>57</v>
      </c>
      <c r="B58" s="1">
        <v>43182</v>
      </c>
    </row>
    <row r="59" spans="1:2" x14ac:dyDescent="0.2">
      <c r="A59" t="s">
        <v>58</v>
      </c>
      <c r="B59" s="1">
        <v>45712</v>
      </c>
    </row>
    <row r="60" spans="1:2" x14ac:dyDescent="0.2">
      <c r="A60" t="s">
        <v>59</v>
      </c>
      <c r="B60" s="1">
        <v>46020</v>
      </c>
    </row>
    <row r="61" spans="1:2" x14ac:dyDescent="0.2">
      <c r="A61" t="s">
        <v>60</v>
      </c>
      <c r="B61" s="1">
        <v>46013</v>
      </c>
    </row>
    <row r="62" spans="1:2" x14ac:dyDescent="0.2">
      <c r="A62" t="s">
        <v>61</v>
      </c>
      <c r="B62" s="1">
        <v>43721</v>
      </c>
    </row>
    <row r="63" spans="1:2" x14ac:dyDescent="0.2">
      <c r="A63" t="s">
        <v>62</v>
      </c>
      <c r="B63" s="1">
        <v>45411</v>
      </c>
    </row>
    <row r="64" spans="1:2" x14ac:dyDescent="0.2">
      <c r="A64" t="s">
        <v>63</v>
      </c>
      <c r="B64" s="1">
        <v>45012</v>
      </c>
    </row>
    <row r="65" spans="1:2" x14ac:dyDescent="0.2">
      <c r="A65" t="s">
        <v>64</v>
      </c>
      <c r="B65" s="1">
        <v>45369</v>
      </c>
    </row>
    <row r="66" spans="1:2" x14ac:dyDescent="0.2">
      <c r="A66" t="s">
        <v>65</v>
      </c>
      <c r="B66" s="1">
        <v>44667</v>
      </c>
    </row>
    <row r="67" spans="1:2" x14ac:dyDescent="0.2">
      <c r="A67" t="s">
        <v>66</v>
      </c>
      <c r="B67" s="1">
        <v>44662</v>
      </c>
    </row>
    <row r="68" spans="1:2" x14ac:dyDescent="0.2">
      <c r="A68" t="s">
        <v>67</v>
      </c>
      <c r="B68" s="1">
        <v>45817</v>
      </c>
    </row>
    <row r="69" spans="1:2" x14ac:dyDescent="0.2">
      <c r="A69" t="s">
        <v>68</v>
      </c>
      <c r="B69" s="1">
        <v>43182</v>
      </c>
    </row>
    <row r="70" spans="1:2" x14ac:dyDescent="0.2">
      <c r="A70" t="s">
        <v>69</v>
      </c>
      <c r="B70" s="1">
        <v>41303</v>
      </c>
    </row>
    <row r="71" spans="1:2" x14ac:dyDescent="0.2">
      <c r="A71" t="s">
        <v>70</v>
      </c>
      <c r="B71" s="1">
        <v>44446</v>
      </c>
    </row>
    <row r="72" spans="1:2" x14ac:dyDescent="0.2">
      <c r="A72" t="s">
        <v>71</v>
      </c>
      <c r="B72" s="1">
        <v>41316</v>
      </c>
    </row>
    <row r="73" spans="1:2" x14ac:dyDescent="0.2">
      <c r="A73" t="s">
        <v>72</v>
      </c>
      <c r="B73" s="1">
        <v>41176</v>
      </c>
    </row>
    <row r="74" spans="1:2" x14ac:dyDescent="0.2">
      <c r="A74" t="s">
        <v>73</v>
      </c>
      <c r="B74" s="1">
        <v>44935</v>
      </c>
    </row>
    <row r="75" spans="1:2" x14ac:dyDescent="0.2">
      <c r="A75" t="s">
        <v>74</v>
      </c>
      <c r="B75" s="1">
        <v>44667</v>
      </c>
    </row>
    <row r="76" spans="1:2" x14ac:dyDescent="0.2">
      <c r="A76" t="s">
        <v>75</v>
      </c>
      <c r="B76" s="1">
        <v>42450</v>
      </c>
    </row>
    <row r="77" spans="1:2" x14ac:dyDescent="0.2">
      <c r="A77" t="s">
        <v>76</v>
      </c>
      <c r="B77" s="1">
        <v>44667</v>
      </c>
    </row>
    <row r="78" spans="1:2" x14ac:dyDescent="0.2">
      <c r="A78" t="s">
        <v>77</v>
      </c>
      <c r="B78" s="1">
        <v>45943</v>
      </c>
    </row>
    <row r="79" spans="1:2" x14ac:dyDescent="0.2">
      <c r="A79" t="s">
        <v>78</v>
      </c>
      <c r="B79" s="1">
        <v>45922</v>
      </c>
    </row>
    <row r="80" spans="1:2" x14ac:dyDescent="0.2">
      <c r="A80" t="s">
        <v>79</v>
      </c>
      <c r="B80" s="1">
        <v>44667</v>
      </c>
    </row>
    <row r="81" spans="1:2" x14ac:dyDescent="0.2">
      <c r="A81" t="s">
        <v>80</v>
      </c>
      <c r="B81" s="1">
        <v>42590</v>
      </c>
    </row>
    <row r="82" spans="1:2" x14ac:dyDescent="0.2">
      <c r="A82" t="s">
        <v>81</v>
      </c>
      <c r="B82" s="1">
        <v>45761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81E6-8E87-4516-9538-46C679607B42}">
  <dimension ref="A3:E31"/>
  <sheetViews>
    <sheetView tabSelected="1" workbookViewId="0">
      <selection activeCell="D1" sqref="D1:E1048576"/>
    </sheetView>
  </sheetViews>
  <sheetFormatPr baseColWidth="10" defaultColWidth="8.83203125" defaultRowHeight="15" x14ac:dyDescent="0.2"/>
  <cols>
    <col min="1" max="1" width="20.83203125" customWidth="1"/>
    <col min="2" max="2" width="21.1640625" customWidth="1"/>
    <col min="3" max="3" width="20.83203125" customWidth="1"/>
    <col min="4" max="4" width="20.83203125" style="14" customWidth="1"/>
    <col min="5" max="5" width="24.6640625" style="14" customWidth="1"/>
  </cols>
  <sheetData>
    <row r="3" spans="1:5" x14ac:dyDescent="0.2">
      <c r="A3" s="2" t="s">
        <v>2</v>
      </c>
      <c r="B3" s="2" t="s">
        <v>3</v>
      </c>
      <c r="C3" s="3" t="s">
        <v>4</v>
      </c>
      <c r="D3" s="13" t="s">
        <v>82</v>
      </c>
      <c r="E3" s="13" t="s">
        <v>83</v>
      </c>
    </row>
    <row r="4" spans="1:5" x14ac:dyDescent="0.2">
      <c r="A4" s="8" t="s">
        <v>5</v>
      </c>
      <c r="B4" s="4">
        <v>44667</v>
      </c>
      <c r="C4" s="5">
        <v>45681</v>
      </c>
      <c r="E4" s="14">
        <v>1254.6199999999999</v>
      </c>
    </row>
    <row r="5" spans="1:5" x14ac:dyDescent="0.2">
      <c r="A5" s="9" t="s">
        <v>6</v>
      </c>
      <c r="B5" s="6">
        <v>45047</v>
      </c>
      <c r="C5" s="7">
        <v>45681</v>
      </c>
      <c r="E5" s="14">
        <v>1144.08</v>
      </c>
    </row>
    <row r="6" spans="1:5" x14ac:dyDescent="0.2">
      <c r="A6" s="8" t="s">
        <v>7</v>
      </c>
      <c r="B6" s="4">
        <v>39454</v>
      </c>
      <c r="C6" s="5">
        <v>45695</v>
      </c>
      <c r="E6" s="14">
        <v>19741.8</v>
      </c>
    </row>
    <row r="7" spans="1:5" x14ac:dyDescent="0.2">
      <c r="A7" s="9" t="s">
        <v>8</v>
      </c>
      <c r="B7" s="6">
        <v>41512</v>
      </c>
      <c r="C7" s="7">
        <v>45702</v>
      </c>
      <c r="E7" s="14">
        <v>2112</v>
      </c>
    </row>
    <row r="8" spans="1:5" x14ac:dyDescent="0.2">
      <c r="A8" s="8" t="s">
        <v>9</v>
      </c>
      <c r="B8" s="4">
        <v>44844</v>
      </c>
      <c r="C8" s="5">
        <v>45702</v>
      </c>
      <c r="E8" s="14">
        <v>1914.84</v>
      </c>
    </row>
    <row r="9" spans="1:5" x14ac:dyDescent="0.2">
      <c r="A9" s="9" t="s">
        <v>10</v>
      </c>
      <c r="B9" s="6">
        <v>43654</v>
      </c>
      <c r="C9" s="7">
        <v>45707</v>
      </c>
      <c r="E9" s="14">
        <v>3142.26</v>
      </c>
    </row>
    <row r="10" spans="1:5" x14ac:dyDescent="0.2">
      <c r="A10" s="8" t="s">
        <v>11</v>
      </c>
      <c r="B10" s="4">
        <v>44667</v>
      </c>
      <c r="C10" s="5">
        <v>45723</v>
      </c>
      <c r="E10" s="14">
        <v>6030</v>
      </c>
    </row>
    <row r="11" spans="1:5" x14ac:dyDescent="0.2">
      <c r="A11" s="9" t="s">
        <v>12</v>
      </c>
      <c r="B11" s="6">
        <v>44354</v>
      </c>
      <c r="C11" s="7">
        <v>45723</v>
      </c>
      <c r="E11" s="14">
        <v>509.44</v>
      </c>
    </row>
    <row r="12" spans="1:5" x14ac:dyDescent="0.2">
      <c r="A12" s="8" t="s">
        <v>13</v>
      </c>
      <c r="B12" s="4">
        <v>45551</v>
      </c>
      <c r="C12" s="5">
        <v>45729</v>
      </c>
      <c r="D12" s="14">
        <v>4153.92</v>
      </c>
      <c r="E12" s="14">
        <v>614.08000000000004</v>
      </c>
    </row>
    <row r="13" spans="1:5" x14ac:dyDescent="0.2">
      <c r="A13" s="9" t="s">
        <v>14</v>
      </c>
      <c r="B13" s="6">
        <v>45712</v>
      </c>
      <c r="C13" s="7">
        <v>45733</v>
      </c>
      <c r="D13" s="14">
        <v>0</v>
      </c>
      <c r="E13" s="14">
        <v>0</v>
      </c>
    </row>
    <row r="14" spans="1:5" x14ac:dyDescent="0.2">
      <c r="A14" s="8" t="s">
        <v>15</v>
      </c>
      <c r="B14" s="4">
        <v>45384</v>
      </c>
      <c r="C14" s="5">
        <v>45740</v>
      </c>
      <c r="E14" s="14">
        <v>504.23</v>
      </c>
    </row>
    <row r="15" spans="1:5" x14ac:dyDescent="0.2">
      <c r="A15" s="9" t="s">
        <v>16</v>
      </c>
      <c r="B15" s="6">
        <v>44333</v>
      </c>
      <c r="C15" s="7">
        <v>45769</v>
      </c>
    </row>
    <row r="16" spans="1:5" x14ac:dyDescent="0.2">
      <c r="A16" s="8" t="s">
        <v>17</v>
      </c>
      <c r="B16" s="4">
        <v>45754</v>
      </c>
      <c r="C16" s="5">
        <v>45790</v>
      </c>
    </row>
    <row r="17" spans="1:5" x14ac:dyDescent="0.2">
      <c r="A17" s="9" t="s">
        <v>18</v>
      </c>
      <c r="B17" s="6">
        <v>44044</v>
      </c>
      <c r="C17" s="7">
        <v>45798</v>
      </c>
      <c r="D17" s="14">
        <v>4480</v>
      </c>
      <c r="E17" s="14">
        <v>1196.1600000000001</v>
      </c>
    </row>
    <row r="18" spans="1:5" x14ac:dyDescent="0.2">
      <c r="A18" s="8" t="s">
        <v>19</v>
      </c>
      <c r="B18" s="4">
        <v>45243</v>
      </c>
      <c r="C18" s="5">
        <v>45833</v>
      </c>
      <c r="D18" s="14">
        <v>6666.67</v>
      </c>
      <c r="E18" s="14">
        <v>1140.77</v>
      </c>
    </row>
    <row r="19" spans="1:5" x14ac:dyDescent="0.2">
      <c r="A19" s="9" t="s">
        <v>20</v>
      </c>
      <c r="B19" s="6">
        <v>45653</v>
      </c>
      <c r="C19" s="7">
        <v>45835</v>
      </c>
    </row>
    <row r="20" spans="1:5" x14ac:dyDescent="0.2">
      <c r="A20" s="8" t="s">
        <v>21</v>
      </c>
      <c r="B20" s="4">
        <v>44667</v>
      </c>
      <c r="C20" s="5">
        <v>45863</v>
      </c>
      <c r="D20" s="14">
        <v>2000</v>
      </c>
      <c r="E20" s="14">
        <v>2647.25</v>
      </c>
    </row>
    <row r="21" spans="1:5" x14ac:dyDescent="0.2">
      <c r="A21" s="9" t="s">
        <v>22</v>
      </c>
      <c r="B21" s="6">
        <v>45124</v>
      </c>
      <c r="C21" s="7">
        <v>45877</v>
      </c>
      <c r="E21" s="14">
        <v>2469.92</v>
      </c>
    </row>
    <row r="22" spans="1:5" x14ac:dyDescent="0.2">
      <c r="A22" s="8" t="s">
        <v>23</v>
      </c>
      <c r="B22" s="4">
        <v>44667</v>
      </c>
      <c r="C22" s="5">
        <v>45882</v>
      </c>
      <c r="E22" s="14">
        <v>7665.79</v>
      </c>
    </row>
    <row r="23" spans="1:5" x14ac:dyDescent="0.2">
      <c r="A23" s="9" t="s">
        <v>24</v>
      </c>
      <c r="B23" s="6">
        <v>45712</v>
      </c>
      <c r="C23" s="7">
        <v>45884</v>
      </c>
      <c r="D23" s="14">
        <v>4423.08</v>
      </c>
    </row>
    <row r="24" spans="1:5" x14ac:dyDescent="0.2">
      <c r="A24" s="8" t="s">
        <v>25</v>
      </c>
      <c r="B24" s="4">
        <v>45166</v>
      </c>
      <c r="C24" s="5">
        <v>45919</v>
      </c>
      <c r="D24" s="14">
        <v>1680</v>
      </c>
      <c r="E24" s="14">
        <v>149.52000000000001</v>
      </c>
    </row>
    <row r="25" spans="1:5" x14ac:dyDescent="0.2">
      <c r="A25" s="9" t="s">
        <v>26</v>
      </c>
      <c r="B25" s="6">
        <v>44712</v>
      </c>
      <c r="C25" s="7">
        <v>45919</v>
      </c>
      <c r="D25" s="14">
        <v>9616</v>
      </c>
      <c r="E25" s="14">
        <v>9090.14</v>
      </c>
    </row>
    <row r="26" spans="1:5" x14ac:dyDescent="0.2">
      <c r="A26" s="8" t="s">
        <v>27</v>
      </c>
      <c r="B26" s="4">
        <v>44667</v>
      </c>
      <c r="C26" s="5">
        <v>45922</v>
      </c>
      <c r="D26" s="14">
        <f>2812.5*2</f>
        <v>5625</v>
      </c>
      <c r="E26" s="14">
        <v>3051.78</v>
      </c>
    </row>
    <row r="27" spans="1:5" x14ac:dyDescent="0.2">
      <c r="A27" s="9" t="s">
        <v>28</v>
      </c>
      <c r="B27" s="6">
        <v>44879</v>
      </c>
      <c r="C27" s="7">
        <v>45925</v>
      </c>
      <c r="D27" s="14">
        <v>2480</v>
      </c>
      <c r="E27" s="14">
        <v>556.76</v>
      </c>
    </row>
    <row r="28" spans="1:5" x14ac:dyDescent="0.2">
      <c r="A28" s="8" t="s">
        <v>29</v>
      </c>
      <c r="B28" s="4">
        <v>45147</v>
      </c>
      <c r="C28" s="5">
        <v>45926</v>
      </c>
      <c r="E28" s="14">
        <v>3228.96</v>
      </c>
    </row>
    <row r="29" spans="1:5" x14ac:dyDescent="0.2">
      <c r="A29" s="9" t="s">
        <v>30</v>
      </c>
      <c r="B29" s="6">
        <v>45383</v>
      </c>
      <c r="C29" s="7">
        <v>45933</v>
      </c>
      <c r="E29" s="14">
        <v>571.55999999999995</v>
      </c>
    </row>
    <row r="30" spans="1:5" x14ac:dyDescent="0.2">
      <c r="A30" s="8" t="s">
        <v>31</v>
      </c>
      <c r="B30" s="4">
        <v>42324</v>
      </c>
      <c r="C30" s="5">
        <v>45996</v>
      </c>
      <c r="E30" s="14">
        <v>6099.16</v>
      </c>
    </row>
    <row r="31" spans="1:5" x14ac:dyDescent="0.2">
      <c r="A31" s="10" t="s">
        <v>84</v>
      </c>
      <c r="B31" s="10"/>
      <c r="C31" s="11"/>
      <c r="D31" s="12">
        <f>SUBTOTAL(109,D4:D30)</f>
        <v>41124.67</v>
      </c>
      <c r="E31" s="12">
        <f>SUBTOTAL(109,Table2[Outstanding PTO Payout])</f>
        <v>74835.12000000001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6" ma:contentTypeDescription="Create a new document." ma:contentTypeScope="" ma:versionID="31584a9c9bef76ec3bdb363123a629f0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bffe2ad6cbdb3bf94dd10ecb7664300d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568C50-9EAD-4054-8C5B-425FC0FD24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733EC6-D702-4016-8BA5-127C04A0E5E0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82563692-96a6-488b-9f55-d4b046c45fc9"/>
    <ds:schemaRef ds:uri="http://schemas.openxmlformats.org/package/2006/metadata/core-properties"/>
    <ds:schemaRef ds:uri="http://purl.org/dc/terms/"/>
    <ds:schemaRef ds:uri="4a47a66f-b3ee-4495-bf32-e6370fcf1efb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0083FCA-CC2E-4781-AF63-ED29855F66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47a66f-b3ee-4495-bf32-e6370fcf1efb"/>
    <ds:schemaRef ds:uri="82563692-96a6-488b-9f55-d4b046c45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List 2025</vt:lpstr>
      <vt:lpstr>Dismissed Employees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Scott G</cp:lastModifiedBy>
  <cp:revision/>
  <dcterms:created xsi:type="dcterms:W3CDTF">2026-04-01T23:47:33Z</dcterms:created>
  <dcterms:modified xsi:type="dcterms:W3CDTF">2026-04-02T19:29:48Z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0x0101001A56198B76F4F64085C7A299E3D96786</vt:lpwstr>
  </property>
</Properties>
</file>