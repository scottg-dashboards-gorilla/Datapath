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cott/Documents/CLevelAdvising/Datapath/"/>
    </mc:Choice>
  </mc:AlternateContent>
  <xr:revisionPtr revIDLastSave="0" documentId="8_{54CAAC2F-0EDE-0144-8E35-F4331344CA11}" xr6:coauthVersionLast="47" xr6:coauthVersionMax="47" xr10:uidLastSave="{00000000-0000-0000-0000-000000000000}"/>
  <bookViews>
    <workbookView xWindow="2780" yWindow="660" windowWidth="34560" windowHeight="21680" xr2:uid="{00000000-000D-0000-FFFF-FFFF00000000}"/>
  </bookViews>
  <sheets>
    <sheet name="Export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 a="1"/>
  <c r="R2" i="1" s="1"/>
  <c r="R3" i="1" a="1"/>
  <c r="R3" i="1" s="1"/>
  <c r="R4" i="1" a="1"/>
  <c r="R4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93" i="1" a="1"/>
  <c r="R93" i="1" s="1"/>
  <c r="R94" i="1" a="1"/>
  <c r="R94" i="1" s="1"/>
  <c r="R95" i="1" a="1"/>
  <c r="R95" i="1" s="1"/>
  <c r="R97" i="1" a="1"/>
  <c r="R97" i="1" s="1"/>
  <c r="R98" i="1" a="1"/>
  <c r="R98" i="1" s="1"/>
  <c r="R99" i="1" a="1"/>
  <c r="R99" i="1" s="1"/>
  <c r="R100" i="1" a="1"/>
  <c r="R100" i="1" s="1"/>
  <c r="R108" i="1" a="1"/>
  <c r="R108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 s="1"/>
  <c r="R116" i="1" a="1"/>
  <c r="R116" i="1" s="1"/>
  <c r="R5" i="1" a="1"/>
  <c r="R5" i="1" s="1"/>
  <c r="Q5" i="1" a="1"/>
  <c r="Q5" i="1" s="1"/>
  <c r="Q253" i="1" a="1"/>
  <c r="Q253" i="1" s="1"/>
  <c r="Q255" i="1" a="1"/>
  <c r="Q255" i="1" s="1"/>
  <c r="Q2" i="1" a="1"/>
  <c r="Q2" i="1" s="1"/>
  <c r="Q3" i="1" a="1"/>
  <c r="Q3" i="1" s="1"/>
  <c r="Q4" i="1" a="1"/>
  <c r="Q4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254" i="1" a="1"/>
  <c r="Q254" i="1" s="1"/>
  <c r="Q53" i="1" a="1"/>
  <c r="Q53" i="1" s="1"/>
  <c r="Q54" i="1" a="1"/>
  <c r="Q54" i="1" s="1"/>
  <c r="Q55" i="1" a="1"/>
  <c r="Q55" i="1" s="1"/>
  <c r="Q56" i="1" a="1"/>
  <c r="Q56" i="1" s="1"/>
  <c r="Q79" i="1" a="1"/>
  <c r="Q79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/>
  <c r="Q133" i="1" a="1"/>
  <c r="Q133" i="1" s="1"/>
  <c r="Q134" i="1" a="1"/>
  <c r="Q134" i="1" s="1"/>
  <c r="Q135" i="1" a="1"/>
  <c r="Q135" i="1" s="1"/>
  <c r="Q136" i="1" a="1"/>
  <c r="Q136" i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 s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/>
  <c r="Q153" i="1" a="1"/>
  <c r="Q153" i="1" s="1"/>
  <c r="Q154" i="1" a="1"/>
  <c r="Q154" i="1" s="1"/>
  <c r="Q155" i="1" a="1"/>
  <c r="Q155" i="1" s="1"/>
  <c r="Q156" i="1" a="1"/>
  <c r="Q156" i="1"/>
  <c r="Q157" i="1" a="1"/>
  <c r="Q157" i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O3" i="1" a="1"/>
  <c r="O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/>
  <c r="O41" i="1" a="1"/>
  <c r="O41" i="1" s="1"/>
  <c r="O42" i="1" a="1"/>
  <c r="O42" i="1" s="1"/>
  <c r="O43" i="1" a="1"/>
  <c r="O43" i="1" s="1"/>
  <c r="O44" i="1" a="1"/>
  <c r="O44" i="1"/>
  <c r="O45" i="1" a="1"/>
  <c r="O45" i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4" i="1" a="1"/>
  <c r="O4" i="1" s="1"/>
  <c r="O5" i="1" a="1"/>
  <c r="O5" i="1" s="1"/>
  <c r="O6" i="1" a="1"/>
  <c r="O6" i="1" s="1"/>
  <c r="O254" i="1" a="1"/>
  <c r="O254" i="1" s="1"/>
  <c r="O7" i="1" a="1"/>
  <c r="O7" i="1"/>
  <c r="O53" i="1" a="1"/>
  <c r="O53" i="1" s="1"/>
  <c r="O54" i="1" a="1"/>
  <c r="O54" i="1" s="1"/>
  <c r="O55" i="1" a="1"/>
  <c r="O55" i="1" s="1"/>
  <c r="O56" i="1" a="1"/>
  <c r="O56" i="1"/>
  <c r="O8" i="1" a="1"/>
  <c r="O8" i="1"/>
  <c r="O12" i="1" a="1"/>
  <c r="O12" i="1" s="1"/>
  <c r="O13" i="1" a="1"/>
  <c r="O13" i="1" s="1"/>
  <c r="O57" i="1" a="1"/>
  <c r="O57" i="1" s="1"/>
  <c r="O9" i="1" a="1"/>
  <c r="O9" i="1" s="1"/>
  <c r="O10" i="1" a="1"/>
  <c r="O10" i="1" s="1"/>
  <c r="O58" i="1" a="1"/>
  <c r="O58" i="1" s="1"/>
  <c r="O59" i="1" a="1"/>
  <c r="O59" i="1" s="1"/>
  <c r="O60" i="1" a="1"/>
  <c r="O60" i="1"/>
  <c r="O61" i="1" a="1"/>
  <c r="O61" i="1" s="1"/>
  <c r="O62" i="1" a="1"/>
  <c r="O62" i="1" s="1"/>
  <c r="O63" i="1" a="1"/>
  <c r="O63" i="1" s="1"/>
  <c r="O64" i="1" a="1"/>
  <c r="O64" i="1"/>
  <c r="O65" i="1" a="1"/>
  <c r="O65" i="1" s="1"/>
  <c r="O66" i="1" a="1"/>
  <c r="O66" i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11" i="1" a="1"/>
  <c r="O11" i="1" s="1"/>
  <c r="O73" i="1" a="1"/>
  <c r="O73" i="1" s="1"/>
  <c r="O74" i="1" a="1"/>
  <c r="O74" i="1" s="1"/>
  <c r="O75" i="1" a="1"/>
  <c r="O75" i="1" s="1"/>
  <c r="O76" i="1" a="1"/>
  <c r="O76" i="1" s="1"/>
  <c r="O77" i="1" a="1"/>
  <c r="O77" i="1"/>
  <c r="O78" i="1" a="1"/>
  <c r="O78" i="1" s="1"/>
  <c r="O79" i="1" a="1"/>
  <c r="O79" i="1"/>
  <c r="O80" i="1" a="1"/>
  <c r="O80" i="1" s="1"/>
  <c r="O81" i="1" a="1"/>
  <c r="O81" i="1" s="1"/>
  <c r="O82" i="1" a="1"/>
  <c r="O82" i="1"/>
  <c r="O83" i="1" a="1"/>
  <c r="O83" i="1" s="1"/>
  <c r="O84" i="1" a="1"/>
  <c r="O84" i="1" s="1"/>
  <c r="O85" i="1" a="1"/>
  <c r="O85" i="1" s="1"/>
  <c r="O86" i="1" a="1"/>
  <c r="O86" i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6" i="1" a="1"/>
  <c r="O96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9" i="1" a="1"/>
  <c r="O109" i="1" s="1"/>
  <c r="O110" i="1" a="1"/>
  <c r="O110" i="1" s="1"/>
  <c r="O117" i="1" a="1"/>
  <c r="O117" i="1" s="1"/>
  <c r="O118" i="1" a="1"/>
  <c r="O118" i="1" s="1"/>
  <c r="O119" i="1" a="1"/>
  <c r="O119" i="1" s="1"/>
  <c r="O120" i="1" a="1"/>
  <c r="O120" i="1"/>
  <c r="O121" i="1" a="1"/>
  <c r="O121" i="1"/>
  <c r="O122" i="1" a="1"/>
  <c r="O122" i="1" s="1"/>
  <c r="O123" i="1" a="1"/>
  <c r="O123" i="1" s="1"/>
  <c r="O124" i="1" a="1"/>
  <c r="O124" i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/>
  <c r="O131" i="1" a="1"/>
  <c r="O131" i="1" s="1"/>
  <c r="O132" i="1" a="1"/>
  <c r="O132" i="1" s="1"/>
  <c r="O133" i="1" a="1"/>
  <c r="O133" i="1"/>
  <c r="O134" i="1" a="1"/>
  <c r="O134" i="1" s="1"/>
  <c r="O135" i="1" a="1"/>
  <c r="O135" i="1" s="1"/>
  <c r="O136" i="1" a="1"/>
  <c r="O136" i="1"/>
  <c r="O137" i="1" a="1"/>
  <c r="O137" i="1" s="1"/>
  <c r="O138" i="1" a="1"/>
  <c r="O138" i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/>
  <c r="O145" i="1" a="1"/>
  <c r="O145" i="1" s="1"/>
  <c r="O146" i="1" a="1"/>
  <c r="O146" i="1" s="1"/>
  <c r="O147" i="1" a="1"/>
  <c r="O147" i="1" s="1"/>
  <c r="O148" i="1" a="1"/>
  <c r="O148" i="1" s="1"/>
  <c r="O149" i="1" a="1"/>
  <c r="O149" i="1"/>
  <c r="O150" i="1" a="1"/>
  <c r="O150" i="1" s="1"/>
  <c r="O151" i="1" a="1"/>
  <c r="O151" i="1" s="1"/>
  <c r="O152" i="1" a="1"/>
  <c r="O152" i="1"/>
  <c r="O153" i="1" a="1"/>
  <c r="O153" i="1" s="1"/>
  <c r="O154" i="1" a="1"/>
  <c r="O154" i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/>
  <c r="O162" i="1" a="1"/>
  <c r="O162" i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/>
  <c r="O185" i="1" a="1"/>
  <c r="O185" i="1"/>
  <c r="O186" i="1" a="1"/>
  <c r="O186" i="1" s="1"/>
  <c r="O187" i="1" a="1"/>
  <c r="O187" i="1" s="1"/>
  <c r="O188" i="1" a="1"/>
  <c r="O188" i="1"/>
  <c r="O189" i="1" a="1"/>
  <c r="O189" i="1" s="1"/>
  <c r="O190" i="1" a="1"/>
  <c r="O190" i="1" s="1"/>
  <c r="O191" i="1" a="1"/>
  <c r="O191" i="1" s="1"/>
  <c r="O192" i="1" a="1"/>
  <c r="O192" i="1" s="1"/>
  <c r="O193" i="1" a="1"/>
  <c r="O193" i="1"/>
  <c r="O194" i="1" a="1"/>
  <c r="O194" i="1" s="1"/>
  <c r="O195" i="1" a="1"/>
  <c r="O195" i="1" s="1"/>
  <c r="O196" i="1" a="1"/>
  <c r="O196" i="1" s="1"/>
  <c r="O197" i="1" a="1"/>
  <c r="O197" i="1"/>
  <c r="O198" i="1" a="1"/>
  <c r="O198" i="1" s="1"/>
  <c r="O199" i="1" a="1"/>
  <c r="O199" i="1" s="1"/>
  <c r="O200" i="1" a="1"/>
  <c r="O200" i="1" s="1"/>
  <c r="O201" i="1" a="1"/>
  <c r="O201" i="1" s="1"/>
  <c r="O202" i="1" a="1"/>
  <c r="O202" i="1"/>
  <c r="O203" i="1" a="1"/>
  <c r="O203" i="1" s="1"/>
  <c r="O204" i="1" a="1"/>
  <c r="O204" i="1" s="1"/>
  <c r="O205" i="1" a="1"/>
  <c r="O205" i="1" s="1"/>
  <c r="O206" i="1" a="1"/>
  <c r="O206" i="1" s="1"/>
  <c r="O218" i="1" a="1"/>
  <c r="O218" i="1" s="1"/>
  <c r="O219" i="1" a="1"/>
  <c r="O219" i="1"/>
  <c r="O220" i="1" a="1"/>
  <c r="O220" i="1" s="1"/>
  <c r="O221" i="1" a="1"/>
  <c r="O221" i="1" s="1"/>
  <c r="O222" i="1" a="1"/>
  <c r="O222" i="1" s="1"/>
  <c r="O223" i="1" a="1"/>
  <c r="O223" i="1" s="1"/>
  <c r="O226" i="1" a="1"/>
  <c r="O226" i="1" s="1"/>
  <c r="O227" i="1" a="1"/>
  <c r="O227" i="1" s="1"/>
  <c r="O232" i="1" a="1"/>
  <c r="O232" i="1" s="1"/>
  <c r="O233" i="1" a="1"/>
  <c r="O233" i="1" s="1"/>
  <c r="O234" i="1" a="1"/>
  <c r="O234" i="1"/>
  <c r="O235" i="1" a="1"/>
  <c r="O235" i="1" s="1"/>
  <c r="O236" i="1" a="1"/>
  <c r="O236" i="1" s="1"/>
  <c r="O237" i="1" a="1"/>
  <c r="O237" i="1"/>
  <c r="O238" i="1" a="1"/>
  <c r="O238" i="1" s="1"/>
  <c r="O239" i="1" a="1"/>
  <c r="O239" i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/>
  <c r="O247" i="1" a="1"/>
  <c r="O247" i="1" s="1"/>
  <c r="O248" i="1" a="1"/>
  <c r="O248" i="1" s="1"/>
  <c r="O249" i="1" a="1"/>
  <c r="O249" i="1"/>
  <c r="O250" i="1" a="1"/>
  <c r="O250" i="1" s="1"/>
  <c r="O251" i="1" a="1"/>
  <c r="O251" i="1" s="1"/>
  <c r="O252" i="1" a="1"/>
  <c r="O252" i="1" s="1"/>
  <c r="P3" i="1" a="1"/>
  <c r="P3" i="1"/>
  <c r="P14" i="1" a="1"/>
  <c r="P14" i="1" s="1"/>
  <c r="P15" i="1" a="1"/>
  <c r="P15" i="1"/>
  <c r="P16" i="1" a="1"/>
  <c r="P16" i="1" s="1"/>
  <c r="P17" i="1" a="1"/>
  <c r="P17" i="1" s="1"/>
  <c r="P18" i="1" a="1"/>
  <c r="P18" i="1" s="1"/>
  <c r="P19" i="1" a="1"/>
  <c r="P19" i="1" s="1"/>
  <c r="P20" i="1" a="1"/>
  <c r="P20" i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/>
  <c r="P37" i="1" a="1"/>
  <c r="P37" i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4" i="1" a="1"/>
  <c r="P4" i="1" s="1"/>
  <c r="P5" i="1" a="1"/>
  <c r="P5" i="1" s="1"/>
  <c r="P6" i="1" a="1"/>
  <c r="P6" i="1" s="1"/>
  <c r="P254" i="1" a="1"/>
  <c r="P254" i="1" s="1"/>
  <c r="P7" i="1" a="1"/>
  <c r="P7" i="1" s="1"/>
  <c r="P53" i="1" a="1"/>
  <c r="P53" i="1" s="1"/>
  <c r="P54" i="1" a="1"/>
  <c r="P54" i="1" s="1"/>
  <c r="P55" i="1" a="1"/>
  <c r="P55" i="1" s="1"/>
  <c r="P56" i="1" a="1"/>
  <c r="P56" i="1" s="1"/>
  <c r="P8" i="1" a="1"/>
  <c r="P8" i="1" s="1"/>
  <c r="P12" i="1" a="1"/>
  <c r="P12" i="1" s="1"/>
  <c r="P13" i="1" a="1"/>
  <c r="P13" i="1" s="1"/>
  <c r="P57" i="1" a="1"/>
  <c r="P57" i="1" s="1"/>
  <c r="P9" i="1" a="1"/>
  <c r="P9" i="1" s="1"/>
  <c r="P10" i="1" a="1"/>
  <c r="P10" i="1" s="1"/>
  <c r="P58" i="1" a="1"/>
  <c r="P58" i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11" i="1" a="1"/>
  <c r="P11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6" i="1" a="1"/>
  <c r="P96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9" i="1" a="1"/>
  <c r="P109" i="1" s="1"/>
  <c r="P110" i="1" a="1"/>
  <c r="P110" i="1" s="1"/>
  <c r="P117" i="1" a="1"/>
  <c r="P117" i="1" s="1"/>
  <c r="P118" i="1" a="1"/>
  <c r="P118" i="1" s="1"/>
  <c r="P119" i="1" a="1"/>
  <c r="P119" i="1" s="1"/>
  <c r="P120" i="1" a="1"/>
  <c r="P120" i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/>
  <c r="P137" i="1" a="1"/>
  <c r="P137" i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6" i="1" s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6" i="1" a="1"/>
  <c r="P226" i="1" s="1"/>
  <c r="P227" i="1" a="1"/>
  <c r="P227" i="1" s="1"/>
  <c r="P232" i="1" a="1"/>
  <c r="P232" i="1" s="1"/>
  <c r="P233" i="1" a="1"/>
  <c r="P233" i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/>
  <c r="P250" i="1" a="1"/>
  <c r="P250" i="1"/>
  <c r="P251" i="1" a="1"/>
  <c r="P251" i="1" s="1"/>
  <c r="P252" i="1" a="1"/>
  <c r="P252" i="1" s="1"/>
  <c r="J3" i="1" a="1"/>
  <c r="J3" i="1" s="1"/>
  <c r="J253" i="1" a="1"/>
  <c r="J253" i="1" s="1"/>
  <c r="J255" i="1" a="1"/>
  <c r="J255" i="1" s="1"/>
  <c r="J2" i="1" a="1"/>
  <c r="J2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/>
  <c r="J39" i="1" a="1"/>
  <c r="J39" i="1" s="1"/>
  <c r="J40" i="1" a="1"/>
  <c r="J40" i="1" s="1"/>
  <c r="J41" i="1" a="1"/>
  <c r="J41" i="1" s="1"/>
  <c r="J42" i="1" a="1"/>
  <c r="J42" i="1" s="1"/>
  <c r="J43" i="1" a="1"/>
  <c r="J43" i="1"/>
  <c r="J44" i="1" a="1"/>
  <c r="J44" i="1" s="1"/>
  <c r="J45" i="1" a="1"/>
  <c r="J45" i="1" s="1"/>
  <c r="J46" i="1" a="1"/>
  <c r="J46" i="1" s="1"/>
  <c r="J47" i="1" a="1"/>
  <c r="J47" i="1"/>
  <c r="J48" i="1" a="1"/>
  <c r="J48" i="1" s="1"/>
  <c r="J49" i="1" a="1"/>
  <c r="J49" i="1" s="1"/>
  <c r="J50" i="1" a="1"/>
  <c r="J50" i="1" s="1"/>
  <c r="J51" i="1" a="1"/>
  <c r="J51" i="1"/>
  <c r="J52" i="1" a="1"/>
  <c r="J52" i="1" s="1"/>
  <c r="J4" i="1" a="1"/>
  <c r="J4" i="1" s="1"/>
  <c r="J5" i="1" a="1"/>
  <c r="J5" i="1" s="1"/>
  <c r="J6" i="1" a="1"/>
  <c r="J6" i="1" s="1"/>
  <c r="J254" i="1" a="1"/>
  <c r="J254" i="1" s="1"/>
  <c r="J7" i="1" a="1"/>
  <c r="J7" i="1" s="1"/>
  <c r="J53" i="1" a="1"/>
  <c r="J53" i="1" s="1"/>
  <c r="J54" i="1" a="1"/>
  <c r="J54" i="1" s="1"/>
  <c r="J55" i="1" a="1"/>
  <c r="J55" i="1"/>
  <c r="J56" i="1" a="1"/>
  <c r="J56" i="1" s="1"/>
  <c r="J8" i="1" a="1"/>
  <c r="J8" i="1"/>
  <c r="J12" i="1" a="1"/>
  <c r="J12" i="1" s="1"/>
  <c r="J13" i="1" a="1"/>
  <c r="J13" i="1" s="1"/>
  <c r="J57" i="1" a="1"/>
  <c r="J57" i="1" s="1"/>
  <c r="J9" i="1" a="1"/>
  <c r="J9" i="1"/>
  <c r="J10" i="1" a="1"/>
  <c r="J10" i="1" s="1"/>
  <c r="J58" i="1" a="1"/>
  <c r="J58" i="1"/>
  <c r="J59" i="1" a="1"/>
  <c r="J59" i="1" s="1"/>
  <c r="J60" i="1" a="1"/>
  <c r="J60" i="1" s="1"/>
  <c r="J61" i="1" a="1"/>
  <c r="J61" i="1"/>
  <c r="J62" i="1" a="1"/>
  <c r="J62" i="1" s="1"/>
  <c r="J63" i="1" a="1"/>
  <c r="J63" i="1" s="1"/>
  <c r="J64" i="1" a="1"/>
  <c r="J64" i="1"/>
  <c r="J65" i="1" a="1"/>
  <c r="J65" i="1" s="1"/>
  <c r="J66" i="1" a="1"/>
  <c r="J66" i="1" s="1"/>
  <c r="J67" i="1" a="1"/>
  <c r="J67" i="1" s="1"/>
  <c r="J68" i="1" a="1"/>
  <c r="J68" i="1" s="1"/>
  <c r="J69" i="1" a="1"/>
  <c r="J69" i="1"/>
  <c r="J70" i="1" a="1"/>
  <c r="J70" i="1" s="1"/>
  <c r="J71" i="1" a="1"/>
  <c r="J71" i="1" s="1"/>
  <c r="J72" i="1" a="1"/>
  <c r="J72" i="1"/>
  <c r="J11" i="1" a="1"/>
  <c r="J11" i="1" s="1"/>
  <c r="J73" i="1" a="1"/>
  <c r="J73" i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/>
  <c r="J88" i="1" a="1"/>
  <c r="J88" i="1" s="1"/>
  <c r="J89" i="1" a="1"/>
  <c r="J89" i="1" s="1"/>
  <c r="J90" i="1" a="1"/>
  <c r="J90" i="1" s="1"/>
  <c r="J91" i="1" a="1"/>
  <c r="J91" i="1" s="1"/>
  <c r="J92" i="1" a="1"/>
  <c r="J92" i="1"/>
  <c r="J96" i="1" a="1"/>
  <c r="J96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9" i="1" a="1"/>
  <c r="J109" i="1" s="1"/>
  <c r="J110" i="1" a="1"/>
  <c r="J110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/>
  <c r="J136" i="1" a="1"/>
  <c r="J136" i="1" s="1"/>
  <c r="J137" i="1" a="1"/>
  <c r="J137" i="1" s="1"/>
  <c r="J138" i="1" a="1"/>
  <c r="J138" i="1" s="1"/>
  <c r="J139" i="1" a="1"/>
  <c r="J139" i="1" s="1"/>
  <c r="J140" i="1" a="1"/>
  <c r="J140" i="1"/>
  <c r="J141" i="1" a="1"/>
  <c r="J141" i="1" s="1"/>
  <c r="J142" i="1" a="1"/>
  <c r="J142" i="1" s="1"/>
  <c r="J143" i="1" a="1"/>
  <c r="J143" i="1"/>
  <c r="J144" i="1" a="1"/>
  <c r="J144" i="1" s="1"/>
  <c r="J145" i="1" a="1"/>
  <c r="J145" i="1" s="1"/>
  <c r="J146" i="1" a="1"/>
  <c r="J146" i="1" s="1"/>
  <c r="J147" i="1" a="1"/>
  <c r="J147" i="1" s="1"/>
  <c r="J148" i="1" a="1"/>
  <c r="J148" i="1"/>
  <c r="J149" i="1" a="1"/>
  <c r="J149" i="1" s="1"/>
  <c r="J150" i="1" a="1"/>
  <c r="J150" i="1" s="1"/>
  <c r="J151" i="1" a="1"/>
  <c r="J151" i="1"/>
  <c r="J152" i="1" a="1"/>
  <c r="J152" i="1" s="1"/>
  <c r="J153" i="1" a="1"/>
  <c r="J153" i="1" s="1"/>
  <c r="J154" i="1" a="1"/>
  <c r="J154" i="1" s="1"/>
  <c r="J155" i="1" a="1"/>
  <c r="J155" i="1" s="1"/>
  <c r="J156" i="1" a="1"/>
  <c r="J156" i="1"/>
  <c r="J157" i="1" a="1"/>
  <c r="J157" i="1" s="1"/>
  <c r="J158" i="1" a="1"/>
  <c r="J158" i="1" s="1"/>
  <c r="J159" i="1" a="1"/>
  <c r="J159" i="1"/>
  <c r="J160" i="1" a="1"/>
  <c r="J160" i="1" s="1"/>
  <c r="J161" i="1" a="1"/>
  <c r="J161" i="1" s="1"/>
  <c r="J162" i="1" a="1"/>
  <c r="J162" i="1" s="1"/>
  <c r="J163" i="1" a="1"/>
  <c r="J163" i="1" s="1"/>
  <c r="J164" i="1" a="1"/>
  <c r="J164" i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/>
  <c r="J227" i="1" a="1"/>
  <c r="J227" i="1" s="1"/>
  <c r="J232" i="1" a="1"/>
  <c r="J232" i="1" s="1"/>
  <c r="J233" i="1" a="1"/>
  <c r="J233" i="1"/>
  <c r="J234" i="1" a="1"/>
  <c r="J234" i="1" s="1"/>
  <c r="J235" i="1" a="1"/>
  <c r="J235" i="1" s="1"/>
  <c r="J236" i="1" a="1"/>
  <c r="J236" i="1" s="1"/>
  <c r="J237" i="1" a="1"/>
  <c r="J237" i="1" s="1"/>
  <c r="J238" i="1" a="1"/>
  <c r="J238" i="1"/>
  <c r="J239" i="1" a="1"/>
  <c r="J239" i="1" s="1"/>
  <c r="J240" i="1" a="1"/>
  <c r="J240" i="1" s="1"/>
  <c r="J241" i="1" a="1"/>
  <c r="J241" i="1"/>
  <c r="J242" i="1" a="1"/>
  <c r="J242" i="1" s="1"/>
  <c r="J243" i="1" a="1"/>
  <c r="J243" i="1" s="1"/>
  <c r="J244" i="1" a="1"/>
  <c r="J244" i="1" s="1"/>
  <c r="J245" i="1" a="1"/>
  <c r="J245" i="1" s="1"/>
  <c r="J246" i="1" a="1"/>
  <c r="J246" i="1"/>
  <c r="J247" i="1" a="1"/>
  <c r="J247" i="1" s="1"/>
  <c r="J248" i="1" a="1"/>
  <c r="J248" i="1" s="1"/>
  <c r="J249" i="1" a="1"/>
  <c r="J249" i="1"/>
  <c r="J250" i="1" a="1"/>
  <c r="J250" i="1" s="1"/>
  <c r="J251" i="1" a="1"/>
  <c r="J251" i="1" s="1"/>
  <c r="J252" i="1" a="1"/>
  <c r="J252" i="1" s="1"/>
  <c r="J25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<sst xmlns="http://schemas.openxmlformats.org/spreadsheetml/2006/main" count="1578" uniqueCount="523">
  <si>
    <t>Customer</t>
  </si>
  <si>
    <t>Location</t>
  </si>
  <si>
    <t>Sales Orders</t>
  </si>
  <si>
    <t>Product ID</t>
  </si>
  <si>
    <t>Total Cost</t>
  </si>
  <si>
    <t>Total Price</t>
  </si>
  <si>
    <t>Profit</t>
  </si>
  <si>
    <t>Margin</t>
  </si>
  <si>
    <t>Order Date</t>
  </si>
  <si>
    <t>Invoiced Amount
(Manually Entered)</t>
  </si>
  <si>
    <t>What was already billed prior to export
(Partial billing)</t>
  </si>
  <si>
    <t>Actual Total Left to bill</t>
  </si>
  <si>
    <t>Write Off
(Put "X")</t>
  </si>
  <si>
    <t>Write Off
Amount $</t>
  </si>
  <si>
    <t>New Invoice
 Date</t>
  </si>
  <si>
    <t>New 
Invoice #</t>
  </si>
  <si>
    <t>Notes</t>
  </si>
  <si>
    <t>Notes or Info. Last Updated Date in columns H - O</t>
  </si>
  <si>
    <t>Quantity</t>
  </si>
  <si>
    <t>Quantity Picked</t>
  </si>
  <si>
    <t>Quantity Shipped</t>
  </si>
  <si>
    <t>Opportunity ID</t>
  </si>
  <si>
    <t>Sales Order ID</t>
  </si>
  <si>
    <t>Order Status</t>
  </si>
  <si>
    <t>Order Date2</t>
  </si>
  <si>
    <t>Project ID</t>
  </si>
  <si>
    <t>Project Status</t>
  </si>
  <si>
    <t>Ticket Number</t>
  </si>
  <si>
    <t>Ticket Status</t>
  </si>
  <si>
    <t>Product Description</t>
  </si>
  <si>
    <t>PO Number</t>
  </si>
  <si>
    <t>PO Status</t>
  </si>
  <si>
    <t>Newman-Crows Landing USD</t>
  </si>
  <si>
    <t>901-R670-US00</t>
  </si>
  <si>
    <t>&gt;Delivered to Client - Order Complete</t>
  </si>
  <si>
    <t>5. Scheduled</t>
  </si>
  <si>
    <t>RUCKUS R670 WI-FI 7 TRI-BAND CONCURRENT WIRELESS ACCESS POINT WITH 2X2 (2.4GHZ) + 4X4 (5GHZ) + 2X2 (6GHZ) RF CONFIGURATIONS. WI-FI 7 SUPPORT IN ALL THREE FREQUENCY BANDS. 6GHZ BAND SUPPORTS LPI MODE AND SP MODE WITH AFC. FULLY BACKWARD COMPATIBLE WITH WI-</t>
  </si>
  <si>
    <t>26118</t>
  </si>
  <si>
    <t>Closed</t>
  </si>
  <si>
    <t>Vital Care</t>
  </si>
  <si>
    <t>OnePak</t>
  </si>
  <si>
    <t>Completed by Procurement</t>
  </si>
  <si>
    <t>OnePak Return Package</t>
  </si>
  <si>
    <t>Constellation Brands</t>
  </si>
  <si>
    <t>Structured Cab M</t>
  </si>
  <si>
    <t>7. Closed</t>
  </si>
  <si>
    <t>Structured Cabling Materials</t>
  </si>
  <si>
    <t>Structured Cab S</t>
  </si>
  <si>
    <t>Structured Cabling Services</t>
  </si>
  <si>
    <t>Travel</t>
  </si>
  <si>
    <t>Imagine Groveport Community School</t>
  </si>
  <si>
    <t>Blocksi</t>
  </si>
  <si>
    <t>Blocksi, 1 Year Admin/Teacher/Parent License</t>
  </si>
  <si>
    <t>26424</t>
  </si>
  <si>
    <t>Imagine Sullivant</t>
  </si>
  <si>
    <t>ADMIN/TEACHER/PARENT/DELEGATE</t>
  </si>
  <si>
    <t>Blocksi - ADMIN/TEACHER/PARENT/DELEGATE-1to499Licenses</t>
  </si>
  <si>
    <t>26437</t>
  </si>
  <si>
    <t>Cristo Rey High School</t>
  </si>
  <si>
    <t>MD3Y4LL/A</t>
  </si>
  <si>
    <t>Apple 11" iPad A16 Chip (128GB, Wi-Fi Only, Silver)</t>
  </si>
  <si>
    <t>26473</t>
  </si>
  <si>
    <t>QWShipping</t>
  </si>
  <si>
    <t>Shipping</t>
  </si>
  <si>
    <t>Millennium Comm School</t>
  </si>
  <si>
    <t>CBRepair</t>
  </si>
  <si>
    <t>Chromebook Repairs</t>
  </si>
  <si>
    <t>Pearl's Hope</t>
  </si>
  <si>
    <t>21TF001RUS</t>
  </si>
  <si>
    <t>Closed/No Response*</t>
  </si>
  <si>
    <t>Lenovo ThinkPad E16 Gen 3  16" Touchscreen Notebook - WUXGA - 60 Hz - Intel Core 5 210H - 16 GB - 512 GB SSD - English Keyboard - Black - Intel Chip - 1920 x 1200 - 1 year warranty - Windows 11 Pro</t>
  </si>
  <si>
    <t>26440</t>
  </si>
  <si>
    <t>expedited shipping for laptop</t>
  </si>
  <si>
    <t>Alliance Services</t>
  </si>
  <si>
    <t>XG108Z00ZZPCUS</t>
  </si>
  <si>
    <t>03/09/2026 - same</t>
  </si>
  <si>
    <t>Procurement - Ordering in Progress</t>
  </si>
  <si>
    <t>Sophos XGS 108 Network Security/Firewall Appliance - 6 Port - 2.5GBase-T, 1000Base-X - 2.5 Gigabit Ethernet - 12.21 Gbit/s Firewall Throughput - TLS - 6 x RJ-45 - 1 Total Expansion Slots - Desktop, Rack-mountable</t>
  </si>
  <si>
    <t>26153</t>
  </si>
  <si>
    <t>#88224</t>
  </si>
  <si>
    <t>3ft (0.9m) Cat6a 26AWG Snagless Shielded Ethernet Network Patch Cable, White</t>
  </si>
  <si>
    <t>Devoted Guardians</t>
  </si>
  <si>
    <t>RM-SR-T15</t>
  </si>
  <si>
    <t>RACKMOUNT.IT Rackmount Kit - For Firewall - Rack-mountable</t>
  </si>
  <si>
    <t>26154</t>
  </si>
  <si>
    <t>Impact Home Health</t>
  </si>
  <si>
    <t>26155</t>
  </si>
  <si>
    <t>PASCO</t>
  </si>
  <si>
    <t>RM-SR-T12</t>
  </si>
  <si>
    <t>RACKMOUNT.IT SORACK  Rack Shelf with Couplers - For Firewall, Networking - 2U Rack Height x 19" Rack Width - Rack-mountable - Signal White</t>
  </si>
  <si>
    <t>26156</t>
  </si>
  <si>
    <t>XG138Z00ZZPCUS</t>
  </si>
  <si>
    <t>Sophos XGS 138 Network Security/Firewall Appliance - 6 Port - 2.5GBase-T, 1000Base-T, 10GBase-X - 10 Gigabit Ethernet - 18.65 Gbit/s Firewall Throughput - TLS - 4 x RJ-45 - 3 Total Expansion Slots - Desktop, Rack-mountable</t>
  </si>
  <si>
    <t>Scheurer Health</t>
  </si>
  <si>
    <t>CT8GT</t>
  </si>
  <si>
    <t>All Items Ordered (Ohio)</t>
  </si>
  <si>
    <t>Dell Pro 14 Plus PB14250 -  2 in 1 Notebook - Full HD Plus - 60 Hz - Intel Core Ultra 7 165U - vPro Technology - 16 GB - 512 GB SSD - Titan Gray - Intel Chip - 1920 x 1200 - Windows 11 Pro - Intel Xe LPG Graphics - In-plane Switchi</t>
  </si>
  <si>
    <t>C8G51</t>
  </si>
  <si>
    <t>All Items Received (Ohio)</t>
  </si>
  <si>
    <t>Dell Pro 16 (PC16250)</t>
  </si>
  <si>
    <t>Dell Latitude 7450 14" Touchscreen Convertible 2 in 1 Notebook - Full HD Plus - 60 Hz - Intel Core Ultra 7 165U - vPro Technology - 16 GB - 512 GB SSD - Titan Gray - Intel Chip - 1920 x 1200 - Windows 11 Pro - Intel Xe LPG Graphics - In-plane Switchi</t>
  </si>
  <si>
    <t>1D5HX</t>
  </si>
  <si>
    <t>Dell Pro Micro QCM1250 Desktop Computer - Intel Core Ultra 7 265T - 16 GB - 512 GB SSD - Micro PC - Intel Chip - Windows 11 Pro - Intel UHD Graphics 770 DDR5 SDRAM - English (US) Keyboard - 90 W</t>
  </si>
  <si>
    <t>Borba Farms Partners</t>
  </si>
  <si>
    <t>HU4A1AC</t>
  </si>
  <si>
    <t>03/09/2026 same</t>
  </si>
  <si>
    <t>New</t>
  </si>
  <si>
    <t>HPE Hardware Tech Support</t>
  </si>
  <si>
    <t>HU4A2AC</t>
  </si>
  <si>
    <t>HPE Remote Tech Support</t>
  </si>
  <si>
    <t>Wave Dental Professionals</t>
  </si>
  <si>
    <t>6. In Progress</t>
  </si>
  <si>
    <t>22HGM</t>
  </si>
  <si>
    <t>Dell Pro Micro QCM1250 Desktop Computer - Intel(R) Core(TM) i7 14700T (R) (20 cores, up to 5.0GHz) - 16 GB - 512 GB SSD - Micro PC - Intel Chip - Windows 11 Pro - Intel DDR5 SDRAM - English (US) Keyboard - IEEE 802.11ax Wireless LAN - 90 W</t>
  </si>
  <si>
    <t>River Gate HS</t>
  </si>
  <si>
    <t>2. Parts Ordered</t>
  </si>
  <si>
    <t>Products and Installation</t>
  </si>
  <si>
    <t>Team Public Choices, LLC</t>
  </si>
  <si>
    <t>03/09/2026 all items ordered</t>
  </si>
  <si>
    <t>All Items Ordered (California)</t>
  </si>
  <si>
    <t>Overnight Shipping of Impact's firewall/mount to 24 Hr Care - Approved by Tux on 1/14/26</t>
  </si>
  <si>
    <t>Shipping Ameribest's firewall to Philly</t>
  </si>
  <si>
    <t>Shipping COL firewall to Minnesota</t>
  </si>
  <si>
    <t>Shipping firewall to Alliance Services</t>
  </si>
  <si>
    <t>Shipping firewall to Devoted Guardians Glendale AZ location</t>
  </si>
  <si>
    <t>Shipping firewall/mount to Devoted Guardian's Tempe AZ location</t>
  </si>
  <si>
    <t>Shipping for Ameribest's RAD device</t>
  </si>
  <si>
    <t>Shipping for DG's RAD device</t>
  </si>
  <si>
    <t>Shipping for firewall rack kit to PASCO Lakewood site</t>
  </si>
  <si>
    <t>Shipping Pasco's firewall to Lakewood, CO site</t>
  </si>
  <si>
    <t>Shipping to PASCO Colorado Springs, CO site</t>
  </si>
  <si>
    <t>Resending shipment to Pearl's Hope after non-delivery</t>
  </si>
  <si>
    <t>26535</t>
  </si>
  <si>
    <t>Shipping Firewall to Pearls Hope</t>
  </si>
  <si>
    <t>26340</t>
  </si>
  <si>
    <t>Shipping for Pearl's Hope RAD for Columbus location</t>
  </si>
  <si>
    <t>26345</t>
  </si>
  <si>
    <t>Shipping for Pearl's Hope RAD for Dayton location</t>
  </si>
  <si>
    <t>26344</t>
  </si>
  <si>
    <t>Imagine Madison Ave</t>
  </si>
  <si>
    <t>4. Assigned</t>
  </si>
  <si>
    <t>Low Voltage Labor</t>
  </si>
  <si>
    <t>BE43FX-H</t>
  </si>
  <si>
    <t>Samsung 43inch/ 3840x2160/ 300nit/8ms</t>
  </si>
  <si>
    <t>26432</t>
  </si>
  <si>
    <t>TH-1040-VFL</t>
  </si>
  <si>
    <t>Atdec TH full motion low profile wall mount - Loads up to 77lb - VESA up to 200x200 - Low 2in profile - 10° tilt - 20in arm reach - Horizontal levelling - Integrated cable management - All mounting hardware included</t>
  </si>
  <si>
    <t>Covington Exempted village</t>
  </si>
  <si>
    <t>L-FPR1140T-TM-3Y</t>
  </si>
  <si>
    <t>03/09/2026 -all irems ordered</t>
  </si>
  <si>
    <t>Cisco FPR1140 Threat Defense Threat and Malware 3Y Subs</t>
  </si>
  <si>
    <t>DiMare</t>
  </si>
  <si>
    <t>CON-SNT-ISR4221S</t>
  </si>
  <si>
    <t>03/09/2026 New status</t>
  </si>
  <si>
    <t>Cisco Smart Net Total Care - Service - 8 x 5 x Next Business Day - Exchange - Physical, Electronic</t>
  </si>
  <si>
    <t>In Progress</t>
  </si>
  <si>
    <t>Shipping for Franchise</t>
  </si>
  <si>
    <t>2-day Shipping</t>
  </si>
  <si>
    <t>21SX003DUS.1</t>
  </si>
  <si>
    <t>Lenovo ThinkPad E14 Gen 7  14" Notebook - WUXGA - 60 Hz - Intel Core Ultra 5 225U - 16 GB - 256 GB SSD - English Keyboard - Black - Intel Chip - 1920 x 1200 - Windows 11 Pro - Intel - In-plane Switching (IPS) Technology - Front Camera/Webcam - I</t>
  </si>
  <si>
    <t>21SX003DUS</t>
  </si>
  <si>
    <t>40AY0090US</t>
  </si>
  <si>
    <t>Lenovo ThinkPad Universal USB-C Dock - for Notebook - 90 W - USB Type C - 3 Displays Supported - 3840 x 2160 - 6 x USB Ports - 2 x USB 2.0 - USB Type-C - 1 x RJ-45 Ports - Network (RJ-45) - 1 x HDMI Ports - HDMI - 2 x DisplayPorts - DisplayPort - Wired -</t>
  </si>
  <si>
    <t>4X31R64453</t>
  </si>
  <si>
    <t>Lenovo Essential Wireless Combo Keyboard &amp; Mouse Gen2 Black-US_English - USB Type A Wireless RF 2.40 GHz Keyboard - English (US) - Black - USB Type A Wireless RF Mouse - Optical - 1600 dpi - 3 Button - Scroll Wheel - Black - Media Control, CoPilot Hot Key</t>
  </si>
  <si>
    <t>981-000014</t>
  </si>
  <si>
    <t>Logitech Padded H390 USB Headset - Stereo - USB - Wired - 20 Hz - 20 kHz - Over-the-head - Binaural - Circumaural - 8 ft Cable - Noise Cancelling Microphone - Black, Silver</t>
  </si>
  <si>
    <t>64A4MATXUZ-i</t>
  </si>
  <si>
    <t>ThinkVision T24-40, 24 inch FHD Monitor with IPS and LTPS Stand</t>
  </si>
  <si>
    <t>Shiloh Elementary School District</t>
  </si>
  <si>
    <t>B69S8UT#ABA</t>
  </si>
  <si>
    <t>03/09/2026 -all items ordered</t>
  </si>
  <si>
    <t>Waiting on Equipment</t>
  </si>
  <si>
    <t>HP Fortis G1i 14" Touchscreen Chromebook - HD - Intel N150 - 8 GB - 64 GB Flash Memory - English Keyboard - Smart Buy - Intel Chip - 1366 x 768 - ChromeOS - Intel</t>
  </si>
  <si>
    <t>E-Waste &lt; 15</t>
  </si>
  <si>
    <t>California Electronic Waste Recycling Fee - Screen Less than 15 Inches</t>
  </si>
  <si>
    <t>CROSSWDISEDUNEW</t>
  </si>
  <si>
    <t>Chrome OS Mgmt Console Lic, EDU</t>
  </si>
  <si>
    <t>26497</t>
  </si>
  <si>
    <t>Invictus HS</t>
  </si>
  <si>
    <t>03/09/2026 - all items ordered</t>
  </si>
  <si>
    <t>21M3000NUS</t>
  </si>
  <si>
    <t>Lenovo ThinkPad E14 Gen 6 Business Laptop (14" FHD+ Anti-Glare, AMD Ryzen 5 7535U, 16GB DDR5 RAM, 512GB SSD, 6-Core (Beats Intel i7-1355U)), Fingerprint, Backlit KB, 1080p Webcam, Wi-Fi 6, Win 11 Pro</t>
  </si>
  <si>
    <t>26521</t>
  </si>
  <si>
    <t>City Day Community School</t>
  </si>
  <si>
    <t>9EM-00292</t>
  </si>
  <si>
    <t>03/10/2026 slacked procurmenet</t>
  </si>
  <si>
    <t>WINSVRSTDCORE LICSAPK OLV 16LIC E 1Y</t>
  </si>
  <si>
    <t>2UJ-00011</t>
  </si>
  <si>
    <t>DESKTOP EDU LNG 1LIC LVLE ENTRP 1YR</t>
  </si>
  <si>
    <t>Valley Iron</t>
  </si>
  <si>
    <t>GMGF0PWHB-0002-S</t>
  </si>
  <si>
    <t>03/10/2026 project in progress</t>
  </si>
  <si>
    <t>All Items Received (California)</t>
  </si>
  <si>
    <t>Windows Server 2025 RDS - 1 User CAL 1 Y</t>
  </si>
  <si>
    <t>26544</t>
  </si>
  <si>
    <t>Return Label for Destini Bacon</t>
  </si>
  <si>
    <t>Return Label for Yelitza Clemente</t>
  </si>
  <si>
    <t>City of Selma</t>
  </si>
  <si>
    <t>EP-CAS-USR-1M</t>
  </si>
  <si>
    <t>EMAIL PROTECTION, CLOUD ARCHIVING SERVICE, Per user (194) per month for a year</t>
  </si>
  <si>
    <t>test company</t>
  </si>
  <si>
    <t>UI-AccessHub</t>
  </si>
  <si>
    <t>The Access Hub is a sophisticated, single-door ent</t>
  </si>
  <si>
    <t>PSU-5V/1.2A</t>
  </si>
  <si>
    <t>PS5V1200US Yealink AC Adapter -Yealink Power Supply 5V 1.2A 120 V AC, 230 V AC Input - 5 V DC/1.20 A</t>
  </si>
  <si>
    <t>SIP-T53W</t>
  </si>
  <si>
    <t>Yealink  IP Phone - Corded - Corded/Cordless - Bluetooth - Wall Mountable, Desktop - Classic Gray - 12 x Total Line - VoIP - 3.7" - IEEE 802.11a/b/g/n/ac - 2 x Network (RJ-45) - PoE Ports</t>
  </si>
  <si>
    <t>WF40</t>
  </si>
  <si>
    <t>Yealink  IEEE 802.11b/g/n Wi-Fi Adapter for IP Phone - USB 2.0 - 150 Mbit/s - 2.40 GHz ISM - External</t>
  </si>
  <si>
    <t>Jame O Bookkeeping</t>
  </si>
  <si>
    <t>6249270</t>
  </si>
  <si>
    <t>03/10/2026 project on hold</t>
  </si>
  <si>
    <t>On-Hold</t>
  </si>
  <si>
    <t>BitTitan MigrationWiz-Tenant Mig Bundle</t>
  </si>
  <si>
    <t>26578</t>
  </si>
  <si>
    <t>26602</t>
  </si>
  <si>
    <t>03/10/2026 slacked procurement</t>
  </si>
  <si>
    <t>21LKS0NX00</t>
  </si>
  <si>
    <t>CUSTOM NB TP X12 Detachable G2 ULT5 16G 512G 11 20260215 MC80228437</t>
  </si>
  <si>
    <t>Carmel Unified School District</t>
  </si>
  <si>
    <t>10304</t>
  </si>
  <si>
    <t>10 Gigabit Ethernet SFP+ Passive Cable Assembly 1m Length (part number 10304)</t>
  </si>
  <si>
    <t>26599</t>
  </si>
  <si>
    <t>5420F-48P-4XE</t>
  </si>
  <si>
    <t>Extreme Networks ExtremeSwitching 5420F Ethernet Switch - 48 Ports (part number 5420F-48P-4XE)</t>
  </si>
  <si>
    <t>97304-5420F-48P-4XE</t>
  </si>
  <si>
    <t>Extreme Networks ExtremeWorks Educational Program - Extended Service - 1 Year - Service - 9 x 5 x Next Business Day (part number 97304-5420F-48P-4XE)</t>
  </si>
  <si>
    <t>USK12-STD-B-S-C-EW-5Y</t>
  </si>
  <si>
    <t>Extreme Networks ExtremeCloud IQ Pilot with AI Expert - Right-To-Use Subscription License - 5 Year
(part number USK12-STD-B-S-C-EW-5Y)</t>
  </si>
  <si>
    <t>PS5V1200US</t>
  </si>
  <si>
    <t>182909OH</t>
  </si>
  <si>
    <t>Resolved - Waiting Conf</t>
  </si>
  <si>
    <t>Yealink AC Adapter - 120 V AC, 230 V AC Input - 5 V DC Output - 1.20 A</t>
  </si>
  <si>
    <t>26606</t>
  </si>
  <si>
    <t>Shipping from TDS to City Day</t>
  </si>
  <si>
    <t>Kaplan &amp; Trombi</t>
  </si>
  <si>
    <t>03/10/2026 - project scheduled</t>
  </si>
  <si>
    <t>26610</t>
  </si>
  <si>
    <t>Project Hope Alliance</t>
  </si>
  <si>
    <t>Shipping from Datapath to Client</t>
  </si>
  <si>
    <t>Shipping from vendor to Datapath</t>
  </si>
  <si>
    <t>26620</t>
  </si>
  <si>
    <t>U7-PRO</t>
  </si>
  <si>
    <t>Ubiquiti U7 Pro Tri Band Wi-Fi 7 IEEE 802.11 a/b/g/n/ac/ax/be 9.30 Gbit/s Wireless Access Point - 2.40 GHz, 5 GHz, 6 GHz - MIMO Technology - 1 x Network (RJ-45) - 2.5 Gigabit Ethernet - 21 W - Wall Mountable, Ceiling Mountable</t>
  </si>
  <si>
    <t>182907OH</t>
  </si>
  <si>
    <t>Cable Run Installation</t>
  </si>
  <si>
    <t>Sunbridge Schools</t>
  </si>
  <si>
    <t>03/10/2026 - Project assigned</t>
  </si>
  <si>
    <t>02018-001</t>
  </si>
  <si>
    <t>AXIS M3077-PLVE offers excellent image quality and a complete 180 or 360 overview, indoors or out, around the clock. It features two built-in microphones allowing for audio surveillance and detection. This compact mini dome offers</t>
  </si>
  <si>
    <t>26629</t>
  </si>
  <si>
    <t>03/10/2026 - Waiting for Delivery</t>
  </si>
  <si>
    <t>Waiting for Delivery</t>
  </si>
  <si>
    <t>03/10/2026 - Check on this one, not sure it needed to be created</t>
  </si>
  <si>
    <t>HHHC</t>
  </si>
  <si>
    <t>PDFEDTSLMPML02</t>
  </si>
  <si>
    <t>Foxit PDF Editor for Teams - Subscription License - 1 license - 1 Year</t>
  </si>
  <si>
    <t>12LN000BUS</t>
  </si>
  <si>
    <t>Lenovo ThinkCentre neo 50q Gen 4  Desktop Computer - Intel Core i5 13th Gen i5-13420H - 16 GB - 256 GB SSD - Tiny - Black - Intel Chip - Windows 11 Pro - Intel UHD Graphics DDR4 SDRAM - English Keyboard - IEEE 802.11ax - 90 W</t>
  </si>
  <si>
    <t>26646</t>
  </si>
  <si>
    <t>5091C001</t>
  </si>
  <si>
    <t>182910OH</t>
  </si>
  <si>
    <t>Scheduled - With Customer</t>
  </si>
  <si>
    <t>Canon 069 Original Standard Yield Laser Toner Cartridge - Yellow - 1 Pack - 1900 Pages</t>
  </si>
  <si>
    <t>26684</t>
  </si>
  <si>
    <t>5092C001</t>
  </si>
  <si>
    <t>Canon 069 Original Standard Yield Laser Toner Cartridge - Magenta - 1 Pack - 1900 Pages</t>
  </si>
  <si>
    <t>5093C001</t>
  </si>
  <si>
    <t>Canon 069 Original Standard Yield Laser Toner Cartridge - Cyan - 1 Pack - 1900 Pages</t>
  </si>
  <si>
    <t>5094C001</t>
  </si>
  <si>
    <t>Canon 69 Original Standard Yield Laser Toner Cartridge - Black - 1 Pack - 2100 Pages</t>
  </si>
  <si>
    <t>7185C011</t>
  </si>
  <si>
    <t>Canon imageCLASS MF753Cdw II Wired &amp; Wireless Laser Multifunction Printer - Color - Black, White - Copier/Fax/Printer/Scanner - 35 ppm Mono/35 ppm Color Print - 1200 x 1200 dpi Print - Automatic Duplex Print - ADF Scanner - 600 x 600 dpi Optical Scan - Gi</t>
  </si>
  <si>
    <t>26685</t>
  </si>
  <si>
    <t>Garretson Team</t>
  </si>
  <si>
    <t>AVEPOINT-FLYSAAS-PEROBJECT</t>
  </si>
  <si>
    <t>03/10/2026 - slacked procurement</t>
  </si>
  <si>
    <t>Fly SaaS for Global Objects</t>
  </si>
  <si>
    <t>DeHart Plumbing, Heating &amp; Air, Inc.</t>
  </si>
  <si>
    <t>R07NF</t>
  </si>
  <si>
    <t>Dell CPU Mount for Thin Client, Monitor, Power Adapter - Black - VESA Mount Compatible</t>
  </si>
  <si>
    <t>26660</t>
  </si>
  <si>
    <t>VD5D2</t>
  </si>
  <si>
    <t>Dell Pro Micro QCM1250 Desktop Computer - Intel Core Ultra 5 235T - 16 GB - 512 GB SSD - Micro PC - Black - Intel Chip - Windows 11 Pro - Intel DDR5 SDRAM - English (US) Keyboard - IEEE 802.11ax Wireless LAN - 90 W</t>
  </si>
  <si>
    <t>Inland Star Distribution Center - Fresno</t>
  </si>
  <si>
    <t>PAN-PA-440</t>
  </si>
  <si>
    <t>03/10/2026 Project in progress</t>
  </si>
  <si>
    <t>Palo Alto Networks PA-440 Next Generation Firewall</t>
  </si>
  <si>
    <t>26665</t>
  </si>
  <si>
    <t>PAN-PA-440-BND-PRECISIONAI</t>
  </si>
  <si>
    <t>PA-440, Precision AI Network Security Subscription Bundle (Advanced Threat Prevention, Advanced URL Filtering, Advanced Wildfire, Ad vanced DNS Security, Advanced SD-WAN and Device Security ), 1 years (12 months) term</t>
  </si>
  <si>
    <t>PAN-SVC-BKLN-440</t>
  </si>
  <si>
    <t>PA-440, Partner enabled premium support, 1 year (12 months), term.</t>
  </si>
  <si>
    <t>City of Turlock</t>
  </si>
  <si>
    <t>#29038</t>
  </si>
  <si>
    <t>03/10/2026 - All Items Ordered</t>
  </si>
  <si>
    <t>1RU Horizontal Cable Management Finger Duct with Cover</t>
  </si>
  <si>
    <t>#316985</t>
  </si>
  <si>
    <t>Blank Shielded/Unshielded Patch Panel for Keystone Modules, 24-Port, 1RU with Cable Management Bar</t>
  </si>
  <si>
    <t>801-8200-N-10</t>
  </si>
  <si>
    <t>Watchdog Support ICX8200-24/P/F,48/P,C08ZP 10YR NDP</t>
  </si>
  <si>
    <t>E1MG-T-AO</t>
  </si>
  <si>
    <t>AddOn Brocade® E1MG-T Compatible TAA 100/1000Base-TX SFP Transceiver (Copper, 100m, RJ-45) - For Data Networking - 1 x RJ-45 10/100/1000Base-TX LAN - Twisted PairGigabit Ethernet - 10/100/1000Base-TX - Hot-swappable, Hot-pluggable - 1 - TAA Compliant</t>
  </si>
  <si>
    <t>ICX8200-24P</t>
  </si>
  <si>
    <t>RUCKUS Entry-Level+ Access 24 Ports 1G PoE Switch - 24 Ports - 25 Gigabit Ethernet, Gigabit Ethernet, 10 Gigabit Ethernet - 1000Base-T, 25GBase-X, 1000Base-X, 10GBase-X - 3 Layer Supported - 4 SFP Slots - 370 W PoE Budget - Optical Fiber, Twisted Pair</t>
  </si>
  <si>
    <t>PCUSA2</t>
  </si>
  <si>
    <t>POWER CORD NEMA5-15/C13</t>
  </si>
  <si>
    <t>#152425</t>
  </si>
  <si>
    <t>White Cat5e RJ45 (8P8C) Unshielded Toolless Keystone Jack Module, 10 pcs/Pack</t>
  </si>
  <si>
    <t>#74091</t>
  </si>
  <si>
    <t>6in (0.15m) Cat6 28AWG Snagless Unshielded Small Diameter High-Flex Ethernet Network Patch Cable, White</t>
  </si>
  <si>
    <t>#74092</t>
  </si>
  <si>
    <t>1ft (0.3m) Cat6 28AWG Snagless Unshielded Small Diameter High-Flex Ethernet Network Patch Cable, White</t>
  </si>
  <si>
    <t>03/10/2026 -slacked procurement</t>
  </si>
  <si>
    <t>Return Label for Kristy C Certain</t>
  </si>
  <si>
    <t>Weakley &amp; Arendt, LLP</t>
  </si>
  <si>
    <t>P01366-B21</t>
  </si>
  <si>
    <t>03/10/2026 -all items ordered</t>
  </si>
  <si>
    <t>HPE 96W Smart Storage Lithium-ion Battery with 145mm Cable Kit - P01366-B21</t>
  </si>
  <si>
    <t>26667</t>
  </si>
  <si>
    <t>Backorder</t>
  </si>
  <si>
    <t>P48918-B21</t>
  </si>
  <si>
    <t>HPE DL360 GEN11 STG CNTRL ENABLE CBL KIT</t>
  </si>
  <si>
    <t>P52416-B21</t>
  </si>
  <si>
    <t>HPE DL360 GEN11 OROC TM CBL KIT</t>
  </si>
  <si>
    <t>P58335-B21</t>
  </si>
  <si>
    <t>HPE MR408i-o Gen11 x8 Lanes 4GB Cache OCP SPDM Storage Controller - OCP NIC 3.0 - RAID 0, 1, 5, 6, 10, 50, 60 - PCIe Gen 4.0 x8 - 3-years , Powerful Performance; Enhanced Security; Software Supported</t>
  </si>
  <si>
    <t>P28352-B21</t>
  </si>
  <si>
    <t>HPE SAS Hard Drives - 2.5IN(SFF) - 2.4TB HDD - Interface Type SAS - Data Transfer Rate 12Gbps - Spindle Speed 10000RPM -  512e Multi Vendor - 3-year warranty</t>
  </si>
  <si>
    <t>California Rural Legal Assistance, Inc</t>
  </si>
  <si>
    <t>03/10/2026 - cabling</t>
  </si>
  <si>
    <t>Provide and install 10 foot user end patch cord (specify how many patch cables)</t>
  </si>
  <si>
    <t>Provide and install 1 foot host end patch cord (specify how many patch cables)</t>
  </si>
  <si>
    <t>Panoche Energy Center</t>
  </si>
  <si>
    <t>C9300-DNA-L-A-3Y</t>
  </si>
  <si>
    <t>DNA ADVANTAGE 3 YEAR LICENSE</t>
  </si>
  <si>
    <t>C9300X-12Y-A</t>
  </si>
  <si>
    <t>Catalyst 9300X 12x25G Fiber Ports, modular uplink Switch</t>
  </si>
  <si>
    <t>CON-L14HR-C9300X21</t>
  </si>
  <si>
    <t>CX LEVEL 1 24X7X4CATALYST 9300X 12X25G FIBER PORTS MODUL</t>
  </si>
  <si>
    <t>CON-L1SWT-C9300XXD</t>
  </si>
  <si>
    <t>CX LEVEL 1 SW SUB C9300 DNA ADVANTAGE,</t>
  </si>
  <si>
    <t>PWR-C1-715WAC-P/2</t>
  </si>
  <si>
    <t>715W AC 80+ platinum Config 1 Secondar</t>
  </si>
  <si>
    <t>DS425+</t>
  </si>
  <si>
    <t>Synology DiskStation  SAN/NAS Storage System - 1 x Intel Celeron J4125 Quad-core (4 Core) 2 GHz - 4 x HDD Supported - 0 x HDD Installed - 4 x SSD Supported - 0 x SSD Installed - 2 GB RAM DDR4 SDRAM - Serial ATA Controller - RAID Supported - 0, 1, 5,</t>
  </si>
  <si>
    <t>26706</t>
  </si>
  <si>
    <t>C9200CX-8P-2X2G-E</t>
  </si>
  <si>
    <t>Catalyst 9000 Compact Switch 8 port PoE+, 240W, Essentials</t>
  </si>
  <si>
    <t>C9200CX-DNAE8-3Y</t>
  </si>
  <si>
    <t>C9200CX CISCO DNA ESSENTIALS, 3Y TERM LICENSE, 8P</t>
  </si>
  <si>
    <t>CON-L14HR-C9200C88</t>
  </si>
  <si>
    <t>CX LEVEL 1 24X7X4 Catalyst 9000 Compact Switch 8 port PoE+</t>
  </si>
  <si>
    <t>CON-L1SWT-CCD9200P</t>
  </si>
  <si>
    <t>CX LEVEL 1 SW SUB C9200CX CISCO DNA ESSENTIALS, 8-PORT TER</t>
  </si>
  <si>
    <t>HAT5320-8T</t>
  </si>
  <si>
    <t>Synology  8 TB Hard Drive - 3.5" Internal - SATA (SATA/600) - NAS, Server Device Supported - 7200rpm</t>
  </si>
  <si>
    <t>Circle of Life - First Nations - Soaring Eagles</t>
  </si>
  <si>
    <t>H31LGE</t>
  </si>
  <si>
    <t>HPE Foundation Care - 3 Year - Warranty - Exchange</t>
  </si>
  <si>
    <t>JL809A#ABA</t>
  </si>
  <si>
    <t>HPE Instant On 1960 48G 40p Class4 8p Class6 PoE 2XGT 2SFP+ 600W Switch - 48 Ports - Manageable - 10 Gigabit Ethernet, Gigabit Ethernet - 10GBase-T, 10GBase-X, 10/100/1000Base-T - 2 Layer Supported - Modular - 100 W Power Consumption - 600 W PoE Budget -</t>
  </si>
  <si>
    <t>26714</t>
  </si>
  <si>
    <t>R9D19A</t>
  </si>
  <si>
    <t>HPE Instant On 10G SFP+ to SFP+ 1m Direct Attach Copper Cable - 3.28 ft SFP+ Network Cable for Network Device - First End: 1 x SFP+ Network - Second End: 1 x SFP+ Network - 10 Gbit/s</t>
  </si>
  <si>
    <t>CON-L1SWT-FPR1140M</t>
  </si>
  <si>
    <t>ENH SW SUB Cisco FPR1140 Threat</t>
  </si>
  <si>
    <t>North Shore High School</t>
  </si>
  <si>
    <t>XCIQ-PT0-C-EW-1YR-K12</t>
  </si>
  <si>
    <t>03/10/2026 SO in new status</t>
  </si>
  <si>
    <t>Extreme Networks ExtremeCloud IQ Pilot + 1 Year ExtremeWorks SaaS Support - Right-To-Use Subscription License - 1 License - 1 Year - Academic</t>
  </si>
  <si>
    <t>LIC-MS150-48-7Y</t>
  </si>
  <si>
    <t>03/10/2026 All items ordered</t>
  </si>
  <si>
    <t>Meraki MS150-48 Enterprise License and Support 7 Year</t>
  </si>
  <si>
    <t>MS150-48FP-4G</t>
  </si>
  <si>
    <t>Meraki MS150-48FP-4G L2 Stck Cld-Mngd 48GE 740W PoE Switch</t>
  </si>
  <si>
    <t>Return Label for Brad Pigott</t>
  </si>
  <si>
    <t>Encore Glass Inc.</t>
  </si>
  <si>
    <t>65304578CA</t>
  </si>
  <si>
    <t>Creative Cloud for teams All Apps - Multiple Platforms - Multi NorthAmerican Language</t>
  </si>
  <si>
    <t>65305159CA</t>
  </si>
  <si>
    <t>Photoshop for teams - Multiple Platforms - Multi NorthAmerican Language</t>
  </si>
  <si>
    <t>65305186CA</t>
  </si>
  <si>
    <t>Illustrator for teams - Multiple Platforms - Multi NorthAmerican Language</t>
  </si>
  <si>
    <t>65304520CA</t>
  </si>
  <si>
    <t>Adobe Acrobat Pro for Teams - Team Licensing Subscription - 1 User - 1 Year -</t>
  </si>
  <si>
    <t>65322487CA</t>
  </si>
  <si>
    <t>Acrobat Sign Solutions for business - Other (AWS)</t>
  </si>
  <si>
    <t>Advanced Radiology and Interventional Associates</t>
  </si>
  <si>
    <t>DP-DISCOUNT-5</t>
  </si>
  <si>
    <t>Special Pricing Discount</t>
  </si>
  <si>
    <t>210-BGSS</t>
  </si>
  <si>
    <t>PowerEdge R760XD2 Server</t>
  </si>
  <si>
    <t>321-BJLR</t>
  </si>
  <si>
    <t>3.5 Chassis with up to 24 SAS/SATA Drives PERC 11 GPU Capable 1 or 2 CPU</t>
  </si>
  <si>
    <t>330-BCGK</t>
  </si>
  <si>
    <t>Riser Config 2A 5x16 LP Slots (Gen4)</t>
  </si>
  <si>
    <t>338-CHTH</t>
  </si>
  <si>
    <t>Intel Xeon Silver 4416+ 2G 20C/40T 16GT/s 37.5M Cache Turbo HT (165W) DDR5-4000</t>
  </si>
  <si>
    <t>340-DGZP</t>
  </si>
  <si>
    <t>PowerEdge R760XD2 Shipping Material</t>
  </si>
  <si>
    <t>340-DGZR</t>
  </si>
  <si>
    <t>PowerEdge R760XD2 Shipping</t>
  </si>
  <si>
    <t>403-BCRZ</t>
  </si>
  <si>
    <t>BOSS-N1 controller card + with 2 M.2 960GB (RAID 1)</t>
  </si>
  <si>
    <t>405-AAYY</t>
  </si>
  <si>
    <t>PERC H755 Adapter Low Profile</t>
  </si>
  <si>
    <t>412-BBDB</t>
  </si>
  <si>
    <t>Heatsink for 2 CPU configuration Config 2</t>
  </si>
  <si>
    <t>450-AKWT</t>
  </si>
  <si>
    <t>Dual Hot Plug Power Supply Redundant (1+1) 1400W (100-240Vac)</t>
  </si>
  <si>
    <t>461-AAIG</t>
  </si>
  <si>
    <t>Trusted Platform Module 2.0 V6</t>
  </si>
  <si>
    <t>470-BBCP</t>
  </si>
  <si>
    <t>BOSS N1 cables and Bracket for R760XD2</t>
  </si>
  <si>
    <t>528-COYT</t>
  </si>
  <si>
    <t>Secured Component Verification</t>
  </si>
  <si>
    <t>528-CTID</t>
  </si>
  <si>
    <t>iDRAC9 Datacenter 16G</t>
  </si>
  <si>
    <t>528-CTZH</t>
  </si>
  <si>
    <t>OpenManage Enterprise Advanced Plus</t>
  </si>
  <si>
    <t>540-BCOC</t>
  </si>
  <si>
    <t>Broadcom 57414 Dual Port 10/25GbE SFP28 OCP NIC 3.0</t>
  </si>
  <si>
    <t>540-BDGV</t>
  </si>
  <si>
    <t>Broadcom 57414 Dual Port 10/25GbE SFP28 Adapter PCIe Low Profile V2</t>
  </si>
  <si>
    <t>709-BBFK</t>
  </si>
  <si>
    <t>Basic Next Business Day 36 Months</t>
  </si>
  <si>
    <t>750-BBCG</t>
  </si>
  <si>
    <t>High Performance Fan x6</t>
  </si>
  <si>
    <t>770-BDRQ</t>
  </si>
  <si>
    <t>Cable Management Arm 2U</t>
  </si>
  <si>
    <t>770-BFDD</t>
  </si>
  <si>
    <t>ReadyRails Sliding Rails Without Cable Management Arm (B23)</t>
  </si>
  <si>
    <t>865-BBMY</t>
  </si>
  <si>
    <t>ProSupport and Next Business Day Onsite Service Initial</t>
  </si>
  <si>
    <t>492-BBDI</t>
  </si>
  <si>
    <t>C13 to C14 PDU Style 12 AMP 6.5 Feet (2m) Power Cord North America</t>
  </si>
  <si>
    <t>GMGF0PWHT-0002-P</t>
  </si>
  <si>
    <t>Windows Server 2025 - 1 User CAL</t>
  </si>
  <si>
    <t>370-BBRN</t>
  </si>
  <si>
    <t>64GB RDIMM 5600MT/s Dual Rank</t>
  </si>
  <si>
    <t>407-BCBE</t>
  </si>
  <si>
    <t>Dell EMC PowerEdge SFP+ SR Optic 10GbE 850nm</t>
  </si>
  <si>
    <t>400-AXTF</t>
  </si>
  <si>
    <t>3.84TB SSD SATA Read Intensive 6Gbps 512 2.5in Hot-plug AG Drive 3.5in HYB CARR 1 DWPD</t>
  </si>
  <si>
    <t>161-BBWE</t>
  </si>
  <si>
    <t>20TB HDD SATA ISE 6Gbps 7.2K 512e 3.5in Hot-Plug AG Drive</t>
  </si>
  <si>
    <t>GMGF0PWHC-0006-P</t>
  </si>
  <si>
    <t>Windows Server 2025 Standard - 2 Core</t>
  </si>
  <si>
    <t>Return Label for Kyndra A Campbell</t>
  </si>
  <si>
    <t>Graceada Partners</t>
  </si>
  <si>
    <t>03/10/2026 - Cabling/project assigned</t>
  </si>
  <si>
    <t>901-R370-US02</t>
  </si>
  <si>
    <t>R370 Wi-Fi 7 Indoor Dual-band 2+2 AP US</t>
  </si>
  <si>
    <t>26752</t>
  </si>
  <si>
    <t>CLD-PROF-APSW-REC5</t>
  </si>
  <si>
    <t>RUCKUS ONE PROFESSIONAL 5-YR SUBSCRIPTION FOR 1 NETWORK DEVICE (AP OR SWITCH) FOR REC.</t>
  </si>
  <si>
    <t>PDFEDTSLMPML01</t>
  </si>
  <si>
    <t>Foxit PDF Editor - License - 1 license</t>
  </si>
  <si>
    <t>182915OH</t>
  </si>
  <si>
    <t>960-000694.1</t>
  </si>
  <si>
    <t>LOGITECH:HD Webcam C270</t>
  </si>
  <si>
    <t>ITG-REMOVE SW-UPDATE</t>
  </si>
  <si>
    <t>Bloatware Removal</t>
  </si>
  <si>
    <t>SUPER7B</t>
  </si>
  <si>
    <t>Eaton Tripp Lite Series Protect It! 7-Outlet Surge Protector, 7 ft. Cord with Right-Angle Plug, 2160 Joules, Diagnostic LEDs, Black Housing - 7 x NEMA 5-15R - 1800 VA - 2160 J - 120 V AC Input</t>
  </si>
  <si>
    <t>26747</t>
  </si>
  <si>
    <t>182913OH</t>
  </si>
  <si>
    <t>HU4A7AC</t>
  </si>
  <si>
    <t>HPE Tech Care Essential with Defective Media Retention - Service - Technical</t>
  </si>
  <si>
    <t>Sargent &amp; Bryan, Inc</t>
  </si>
  <si>
    <t>PAN-PA-220-ADVURL-R</t>
  </si>
  <si>
    <t>Palo Alto Advanced Threat Prevention - Subscription License Renewal - 1 Device - 1 Year</t>
  </si>
  <si>
    <t>PAN-PA-220-ATP-R</t>
  </si>
  <si>
    <t>Palo Alto Advanced Threat Prevention - Subscription License (Renewal) - 1 Device - 1 Year</t>
  </si>
  <si>
    <t>PAN-PA-220-AWF-R</t>
  </si>
  <si>
    <t>Palo Alto Advanced WildFire - Subscription License (Renewal) - 1 License - 1 Year</t>
  </si>
  <si>
    <t>PAN-PA-220-PAA-R</t>
  </si>
  <si>
    <t>PRISMA ACCESS AGENT SUB RNWL PA-220</t>
  </si>
  <si>
    <t>PAN-SVC-PREM-220-R</t>
  </si>
  <si>
    <t>Palo Alto Premium Support Program - Extended Service (Renewal) - 1 Year - Service - 24 x 7 x Next Business Day - Service Depot - Exchange - Parts - Electronic and Physical</t>
  </si>
  <si>
    <t>848061023787</t>
  </si>
  <si>
    <t>182919OH</t>
  </si>
  <si>
    <t>Anker USB Hub 4 Ports, Multiple USB 3.0 Hub, USB Splitter for Laptop, Extender for A Port Laptop, PC, Desktop and More [Charging Not Supported](2ft USB-A)</t>
  </si>
  <si>
    <t>City of Mendota</t>
  </si>
  <si>
    <t>T8I-00001</t>
  </si>
  <si>
    <t>Microsoft Docking Station - for Notebook, Monitor - 165 W - Thunderbolt 4 - 2 Displays Supported - 4K - 3840 x 2160 - 6 x USB Ports - 3 x USB Type-A Ports - USB Type-A - 3 x USB Type-C Ports - USB Type-C</t>
  </si>
  <si>
    <t>Hopebridge Autism Therapy Centers</t>
  </si>
  <si>
    <t>182927OH</t>
  </si>
  <si>
    <t>26764</t>
  </si>
  <si>
    <t>PC14250</t>
  </si>
  <si>
    <t>Dell Pro 14 Laptop - Intel(R) Core(TM) 5 120U (10 cores, up to 5.0 GHz) - 14", Non-Touch, FHD+ - 16 GB - 256 GB TLC SSD - Windows 11 Pro - Onsite/In-Home Service After Remote Diagnosis, 3 Year</t>
  </si>
  <si>
    <t>Arts and College Preparatory Academy</t>
  </si>
  <si>
    <t>Completed*</t>
  </si>
  <si>
    <t>Swap out the two cameras and install 6 other cam domes - all exterior</t>
  </si>
  <si>
    <t>DWC-MBW8WI2TX</t>
  </si>
  <si>
    <t>Digital Watchdog DWC-MBW8WI2TX MEGApix 4K Bullet IP Camera, 100' IR Range, 2.3mm Fixed Len</t>
  </si>
  <si>
    <t>26767</t>
  </si>
  <si>
    <t>Install new line and add new camera - swap coaxial line for ethernet line</t>
  </si>
  <si>
    <t>26770</t>
  </si>
  <si>
    <t>SP5010567</t>
  </si>
  <si>
    <t>Mv82, Mv84,Mv85 Top Cover</t>
  </si>
  <si>
    <t>03/10/2026 - SO in New status</t>
  </si>
  <si>
    <t>Complete run and installation of fisheye camera</t>
  </si>
  <si>
    <t>Replacement of AP ethernet cable</t>
  </si>
  <si>
    <t>UVC-AI-360</t>
  </si>
  <si>
    <t>Ubiquiti UniFi 5 Megapixel Indoor/Outdoor Network Camera - Color - Fisheye - H.264, MJPEG - 1920 x 1920 - 30 fps - CMOS - IK08 - IPX4 - Weather Proof, Tamper Resistant, Weather Resistant</t>
  </si>
  <si>
    <t>Cable Run and Installation for Complex Lines (wall drilling), short patch cabling with raceways</t>
  </si>
  <si>
    <t>Return Label for Shatara White</t>
  </si>
  <si>
    <t>Cabling</t>
  </si>
  <si>
    <t>Low Voltage Services</t>
  </si>
  <si>
    <t>Formulation Technology, Inc.</t>
  </si>
  <si>
    <t>SMTL1500RM3UCNC</t>
  </si>
  <si>
    <t>03/10/2026 - On hold</t>
  </si>
  <si>
    <t>APC Smart-UPS, Line Interactive, 1500VA, Lithium-ion, Rackmount 3U, 120V, 6x NEMA 5-15R outlets, SmartConnect Port+Network Card, Short Depth, AVR, LCD - 3U Rack-mountable - 3 Hour Recharge - 3.03 Minute Stand-by - 120 V AC Input - 120 V AC Output - Single</t>
  </si>
  <si>
    <t>26430</t>
  </si>
  <si>
    <t>MISC-CABLES</t>
  </si>
  <si>
    <t>TEST</t>
  </si>
  <si>
    <t>Miscellaneous Low Voltage Equipment</t>
  </si>
  <si>
    <t>25930</t>
  </si>
  <si>
    <t>Total</t>
  </si>
  <si>
    <t>Applied filters:
OrderDate 9/1/2025 - 2/28/2026
Class is Inventory or Non-Inventory
Total Price is not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</si>
</sst>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%;\-0.00%;0.00%"/>
  </numFmts>
  <fonts count="4" x14ac:knownFonts="1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43" fontId="0" fillId="2" borderId="1" xfId="1" applyFont="1" applyFill="1" applyBorder="1" applyAlignment="1">
      <alignment horizontal="center" wrapText="1"/>
    </xf>
    <xf numFmtId="0" fontId="0" fillId="2" borderId="1" xfId="1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43" fontId="0" fillId="0" borderId="0" xfId="1" applyFont="1"/>
    <xf numFmtId="43" fontId="1" fillId="0" borderId="0" xfId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14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21">
    <dxf>
      <numFmt numFmtId="1" formatCode="0"/>
    </dxf>
    <dxf>
      <numFmt numFmtId="1" formatCode="0"/>
    </dxf>
    <dxf>
      <numFmt numFmtId="165" formatCode="m/d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%;\-0.00%;0.00%"/>
    </dxf>
    <dxf>
      <numFmt numFmtId="0" formatCode="General"/>
    </dxf>
    <dxf>
      <numFmt numFmtId="0" formatCode="General"/>
    </dxf>
    <dxf>
      <numFmt numFmtId="165" formatCode="m/d/yyyy"/>
    </dxf>
    <dxf>
      <numFmt numFmtId="164" formatCode="0.00%;\-0.00%;0.00%"/>
    </dxf>
    <dxf>
      <numFmt numFmtId="164" formatCode="0.00%;\-0.00%;0.00%"/>
    </dxf>
    <dxf>
      <numFmt numFmtId="164" formatCode="0.00%;\-0.00%;0.00%"/>
    </dxf>
    <dxf>
      <numFmt numFmtId="164" formatCode="0.00%;\-0.00%;0.00%"/>
    </dxf>
    <dxf>
      <numFmt numFmtId="35" formatCode="_(* #,##0.00_);_(* \(#,##0.00\);_(* &quot;-&quot;??_);_(@_)"/>
    </dxf>
    <dxf>
      <numFmt numFmtId="165" formatCode="m/d/yyyy"/>
    </dxf>
    <dxf>
      <numFmt numFmtId="164" formatCode="0.00%;\-0.00%;0.00%"/>
    </dxf>
    <dxf>
      <numFmt numFmtId="4" formatCode="#,##0.00"/>
    </dxf>
    <dxf>
      <numFmt numFmtId="1" formatCode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jdizon/Downloads/Products%20Ordered%20Not%20Invoiced%202.3.2026%20(1).xlsx" TargetMode="External"/><Relationship Id="rId1" Type="http://schemas.openxmlformats.org/officeDocument/2006/relationships/externalLinkPath" Target="file:///C:/Users/jdizon/Downloads/Products%20Ordered%20Not%20Invoiced%202.3.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Products Ordered Not Invoiced 2"/>
    </sheetNames>
    <sheetDataSet>
      <sheetData sheetId="0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8608F-0946-4850-88CD-8A41B71BA30F}" name="Table1" displayName="Table1" ref="A1:AF255" totalsRowShown="0" headerRowBorderDxfId="20">
  <autoFilter ref="A1:AF255" xr:uid="{D018608F-0946-4850-88CD-8A41B71BA30F}"/>
  <sortState xmlns:xlrd2="http://schemas.microsoft.com/office/spreadsheetml/2017/richdata2" ref="A2:AF255">
    <sortCondition ref="Q1:Q255"/>
  </sortState>
  <tableColumns count="32">
    <tableColumn id="1" xr3:uid="{89D83820-47FD-445D-BC2D-AB4E46A5D6ED}" name="Customer"/>
    <tableColumn id="39" xr3:uid="{2BAF8848-3196-44B5-9020-075CCE1BF68F}" name="Location"/>
    <tableColumn id="40" xr3:uid="{8608563F-6B3A-4331-A7FE-DDF41DB087FA}" name="Sales Orders" dataDxfId="19"/>
    <tableColumn id="2" xr3:uid="{31448BFD-CD79-4B56-ADFB-5280F28AE516}" name="Product ID"/>
    <tableColumn id="3" xr3:uid="{0DF79E7C-C211-40A2-85FB-F2BE55ACA9A6}" name="Total Cost"/>
    <tableColumn id="4" xr3:uid="{E69D6C26-7082-49F3-ACC4-9560879A885B}" name="Total Price"/>
    <tableColumn id="5" xr3:uid="{FA09D498-49F5-41D5-85F5-54CD8BB94927}" name="Profit" dataDxfId="18"/>
    <tableColumn id="6" xr3:uid="{A6D2B174-EBF2-4C6E-9C66-568B10AF6149}" name="Margin" dataDxfId="17"/>
    <tableColumn id="41" xr3:uid="{788A4795-73D4-4D69-9576-C1432D7ED241}" name="Order Date" dataDxfId="16"/>
    <tableColumn id="38" xr3:uid="{7A528B84-CA24-4D56-9D83-BAB2C436F0F7}" name="Invoiced Amount_x000a_(Manually Entered)" dataDxfId="15" dataCellStyle="Comma">
      <calculatedColumnFormula array="1">_xlfn.XLOOKUP(1,(Table1[[#This Row],[Customer]]=[1]!Table1[Customer])*(Table1[[#This Row],[Sales Orders]]=[1]!Table1[Sales Order])*(Table1[[#This Row],[Product ID]]=[1]!Table1[Product ID]),[1]!Table1[Invoiced Amount
(Manually Entered)],0)</calculatedColumnFormula>
    </tableColumn>
    <tableColumn id="37" xr3:uid="{355241A8-D9C2-4387-84D8-46A4CB028436}" name="What was already billed prior to export_x000a_(Partial billing)" dataDxfId="14"/>
    <tableColumn id="36" xr3:uid="{0E031677-408C-466B-A7C9-13B7B98264FF}" name="Actual Total Left to bill" dataDxfId="13"/>
    <tableColumn id="35" xr3:uid="{AE2B046D-BB7C-4C30-B577-398FD8870655}" name="Write Off_x000a_(Put &quot;X&quot;)" dataDxfId="12"/>
    <tableColumn id="34" xr3:uid="{F46E7C65-6C3F-4C24-9A1E-5FF0974B9AE1}" name="Write Off_x000a_Amount $" dataDxfId="11"/>
    <tableColumn id="33" xr3:uid="{798D6848-67D9-4E33-99B4-15289646F180}" name="New Invoice_x000a_ Date" dataDxfId="10">
      <calculatedColumnFormula array="1">_xlfn.XLOOKUP(1,(Table1[[#This Row],[Customer]]=[1]!Table1[Customer])*(Table1[[#This Row],[Sales Orders]]=[1]!Table1[Sales Order])*(Table1[[#This Row],[Product ID]]=[1]!Table1[Product ID]),[1]!Table1[New Invoice
 Date],"")</calculatedColumnFormula>
    </tableColumn>
    <tableColumn id="32" xr3:uid="{A68EE0F3-CAB4-4654-ACD6-ACA43D1D482A}" name="New _x000a_Invoice #" dataDxfId="9">
      <calculatedColumnFormula array="1">_xlfn.XLOOKUP(1,(Table1[[#This Row],[Customer]]=[1]!Table1[Customer])*(Table1[[#This Row],[Sales Orders]]=[1]!Table1[Sales Order])*(Table1[[#This Row],[Product ID]]=[1]!Table1[Product ID]),[1]!Table1[New 
Invoice '#],"")</calculatedColumnFormula>
    </tableColumn>
    <tableColumn id="31" xr3:uid="{57ADDD13-2EDB-46B1-A8D8-E532B47A274A}" name="Notes" dataDxfId="8">
      <calculatedColumnFormula array="1">_xlfn.XLOOKUP(1,(Table1[[#This Row],[Customer]]=[1]!Table1[Customer])*(Table1[[#This Row],[Sales Orders]]=[1]!Table1[Sales Order])*(Table1[[#This Row],[Product ID]]=[1]!Table1[Product ID]),[1]!Table1[Notes],"")</calculatedColumnFormula>
    </tableColumn>
    <tableColumn id="30" xr3:uid="{08D04B63-9C68-4622-8921-7A66E874D34C}" name="Notes or Info. Last Updated Date in columns H - O" dataDxfId="7"/>
    <tableColumn id="7" xr3:uid="{CF654D3E-32D0-4847-9FF2-23F9EE1B247D}" name="Quantity" dataDxfId="6"/>
    <tableColumn id="8" xr3:uid="{7DC8E091-E168-4DD2-BF7E-DC42A4208800}" name="Quantity Picked"/>
    <tableColumn id="9" xr3:uid="{830EA6FD-19E3-41C3-A1A4-8EFB64BAACB0}" name="Quantity Shipped" dataDxfId="5"/>
    <tableColumn id="10" xr3:uid="{E2C0A1CD-DA54-4D32-8408-E4255B6A9891}" name="Opportunity ID" dataDxfId="4"/>
    <tableColumn id="11" xr3:uid="{EA0759A5-44D9-482F-B4B0-35BBD2CE1E75}" name="Sales Order ID" dataDxfId="3"/>
    <tableColumn id="12" xr3:uid="{58551532-52D0-46DC-BF8E-FC5C9EB20AD6}" name="Order Status"/>
    <tableColumn id="13" xr3:uid="{5BC7E220-3A9E-4F59-8192-412ECF217191}" name="Order Date2" dataDxfId="2"/>
    <tableColumn id="14" xr3:uid="{526E79FC-E2FA-4F4D-BE0D-A8F1B4FAA1A9}" name="Project ID" dataDxfId="1"/>
    <tableColumn id="15" xr3:uid="{182951BC-603D-4E6E-9743-D82710F9C572}" name="Project Status"/>
    <tableColumn id="16" xr3:uid="{92304DD6-4A4E-4250-AE86-98A7DF68DB31}" name="Ticket Number" dataDxfId="0"/>
    <tableColumn id="17" xr3:uid="{39263285-F699-46BE-A4B6-B5C38E6B98FF}" name="Ticket Status"/>
    <tableColumn id="18" xr3:uid="{9B6D8489-DAF9-4DD5-BF1C-B505B78ABE23}" name="Product Description"/>
    <tableColumn id="19" xr3:uid="{FEB9A360-57F9-407E-A240-F7277A29782F}" name="PO Number"/>
    <tableColumn id="20" xr3:uid="{30E5C431-838C-4D4F-8EE6-2A10EEB14F92}" name="PO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8"/>
  <sheetViews>
    <sheetView tabSelected="1" zoomScale="188" workbookViewId="0">
      <selection activeCell="G268" sqref="G268"/>
    </sheetView>
  </sheetViews>
  <sheetFormatPr baseColWidth="10" defaultColWidth="8.83203125" defaultRowHeight="15" x14ac:dyDescent="0.2"/>
  <cols>
    <col min="1" max="1" width="12.1640625" customWidth="1"/>
    <col min="2" max="2" width="12.1640625" hidden="1" customWidth="1"/>
    <col min="3" max="3" width="12.1640625" customWidth="1"/>
    <col min="4" max="4" width="12.5" customWidth="1"/>
    <col min="5" max="5" width="19.83203125" customWidth="1"/>
    <col min="6" max="6" width="22.83203125" customWidth="1"/>
    <col min="7" max="7" width="14.5" customWidth="1"/>
    <col min="8" max="8" width="10.5" bestFit="1" customWidth="1"/>
    <col min="9" max="9" width="12.6640625" customWidth="1"/>
    <col min="10" max="10" width="13.83203125" style="14" bestFit="1" customWidth="1"/>
    <col min="11" max="11" width="12.1640625" bestFit="1" customWidth="1"/>
    <col min="12" max="12" width="11.5" bestFit="1" customWidth="1"/>
    <col min="13" max="13" width="13.33203125" bestFit="1" customWidth="1"/>
    <col min="14" max="14" width="12.5" bestFit="1" customWidth="1"/>
    <col min="15" max="15" width="18.33203125" customWidth="1"/>
    <col min="16" max="16" width="17.5" customWidth="1"/>
    <col min="17" max="17" width="24.6640625" customWidth="1"/>
    <col min="18" max="18" width="46.5" customWidth="1"/>
    <col min="19" max="19" width="10.83203125" customWidth="1"/>
    <col min="20" max="20" width="17.33203125" customWidth="1"/>
    <col min="21" max="21" width="18.6640625" customWidth="1"/>
    <col min="22" max="22" width="16.5" customWidth="1"/>
    <col min="23" max="23" width="16" customWidth="1"/>
    <col min="24" max="24" width="14.5" customWidth="1"/>
    <col min="25" max="25" width="13" customWidth="1"/>
    <col min="26" max="26" width="12" customWidth="1"/>
    <col min="27" max="27" width="15.6640625" customWidth="1"/>
    <col min="28" max="28" width="16.33203125" customWidth="1"/>
    <col min="29" max="29" width="14.6640625" customWidth="1"/>
    <col min="30" max="30" width="21.1640625" customWidth="1"/>
    <col min="31" max="31" width="13.5" customWidth="1"/>
    <col min="32" max="32" width="11.83203125" customWidth="1"/>
  </cols>
  <sheetData>
    <row r="1" spans="1:32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1" t="s">
        <v>13</v>
      </c>
      <c r="O1" s="20" t="s">
        <v>14</v>
      </c>
      <c r="P1" s="21" t="s">
        <v>15</v>
      </c>
      <c r="Q1" s="12" t="s">
        <v>16</v>
      </c>
      <c r="R1" s="1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t="s">
        <v>32</v>
      </c>
      <c r="C2" s="5">
        <v>12563</v>
      </c>
      <c r="D2" t="s">
        <v>33</v>
      </c>
      <c r="E2">
        <v>115920</v>
      </c>
      <c r="F2">
        <v>139104</v>
      </c>
      <c r="G2" s="3">
        <v>23184</v>
      </c>
      <c r="H2" s="4">
        <v>0.16666666666666666</v>
      </c>
      <c r="I2" s="6">
        <v>45961</v>
      </c>
      <c r="J2" s="14" t="e" cm="1">
        <f t="array" ref="J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" s="4"/>
      <c r="L2" s="4"/>
      <c r="M2" s="4"/>
      <c r="N2" s="4"/>
      <c r="O2" s="6"/>
      <c r="Q2" t="e" cm="1">
        <f t="array" ref="Q2">_xlfn.XLOOKUP(1,(Table1[[#This Row],[Customer]]=[1]!Table1[Customer])*(Table1[[#This Row],[Sales Orders]]=[1]!Table1[Sales Order])*(Table1[[#This Row],[Product ID]]=[1]!Table1[Product ID]),[1]!Table1[Notes],"")</f>
        <v>#REF!</v>
      </c>
      <c r="R2" t="e" cm="1">
        <f t="array" ref="R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" s="5">
        <v>184</v>
      </c>
      <c r="T2">
        <v>184</v>
      </c>
      <c r="U2" s="5">
        <v>184</v>
      </c>
      <c r="V2" s="5">
        <v>20799</v>
      </c>
      <c r="W2" s="5">
        <v>12563</v>
      </c>
      <c r="X2" t="s">
        <v>34</v>
      </c>
      <c r="Y2" s="6">
        <v>45961</v>
      </c>
      <c r="Z2" s="5">
        <v>3104</v>
      </c>
      <c r="AA2" t="s">
        <v>35</v>
      </c>
      <c r="AB2" s="5"/>
      <c r="AD2" t="s">
        <v>36</v>
      </c>
      <c r="AE2" t="s">
        <v>37</v>
      </c>
      <c r="AF2" t="s">
        <v>38</v>
      </c>
    </row>
    <row r="3" spans="1:32" x14ac:dyDescent="0.2">
      <c r="A3" t="s">
        <v>39</v>
      </c>
      <c r="C3" s="5">
        <v>12468</v>
      </c>
      <c r="D3" t="s">
        <v>40</v>
      </c>
      <c r="E3">
        <v>251</v>
      </c>
      <c r="F3">
        <v>273.60000000000002</v>
      </c>
      <c r="G3" s="3">
        <v>22.600000000000023</v>
      </c>
      <c r="H3" s="4">
        <v>8.2602339181286621E-2</v>
      </c>
      <c r="I3" s="6">
        <v>45937</v>
      </c>
      <c r="J3" s="14" t="e" cm="1">
        <f t="array" ref="J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" s="4"/>
      <c r="L3" s="4"/>
      <c r="M3" s="4"/>
      <c r="N3" s="4"/>
      <c r="O3" s="6" t="e" cm="1">
        <f t="array" ref="O3">_xlfn.XLOOKUP(1,(Table1[[#This Row],[Customer]]=[1]!Table1[Customer])*(Table1[[#This Row],[Sales Orders]]=[1]!Table1[Sales Order])*(Table1[[#This Row],[Product ID]]=[1]!Table1[Product ID]),[1]!Table1[New Invoice
 Date],"")</f>
        <v>#REF!</v>
      </c>
      <c r="P3" t="e" cm="1">
        <f t="array" ref="P3">_xlfn.XLOOKUP(1,(Table1[[#This Row],[Customer]]=[1]!Table1[Customer])*(Table1[[#This Row],[Sales Orders]]=[1]!Table1[Sales Order])*(Table1[[#This Row],[Product ID]]=[1]!Table1[Product ID]),[1]!Table1[New 
Invoice '#],"")</f>
        <v>#REF!</v>
      </c>
      <c r="Q3" t="e" cm="1">
        <f t="array" ref="Q3">_xlfn.XLOOKUP(1,(Table1[[#This Row],[Customer]]=[1]!Table1[Customer])*(Table1[[#This Row],[Sales Orders]]=[1]!Table1[Sales Order])*(Table1[[#This Row],[Product ID]]=[1]!Table1[Product ID]),[1]!Table1[Notes],"")</f>
        <v>#REF!</v>
      </c>
      <c r="R3" t="e" cm="1">
        <f t="array" ref="R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" s="5">
        <v>1</v>
      </c>
      <c r="T3">
        <v>1</v>
      </c>
      <c r="U3" s="5">
        <v>1</v>
      </c>
      <c r="V3" s="5">
        <v>26976</v>
      </c>
      <c r="W3" s="5">
        <v>12468</v>
      </c>
      <c r="X3" t="s">
        <v>34</v>
      </c>
      <c r="Y3" s="6">
        <v>45937</v>
      </c>
      <c r="Z3" s="5"/>
      <c r="AB3" s="5">
        <v>2343416</v>
      </c>
      <c r="AC3" t="s">
        <v>41</v>
      </c>
      <c r="AD3" t="s">
        <v>42</v>
      </c>
    </row>
    <row r="4" spans="1:32" x14ac:dyDescent="0.2">
      <c r="A4" t="s">
        <v>43</v>
      </c>
      <c r="C4" s="5">
        <v>12710</v>
      </c>
      <c r="D4" t="s">
        <v>44</v>
      </c>
      <c r="E4">
        <v>845.5</v>
      </c>
      <c r="F4">
        <v>1014.6</v>
      </c>
      <c r="G4" s="3">
        <v>169.10000000000002</v>
      </c>
      <c r="H4" s="4">
        <v>0.16666666666666669</v>
      </c>
      <c r="I4" s="6">
        <v>46008</v>
      </c>
      <c r="J4" s="14" t="e" cm="1">
        <f t="array" ref="J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" s="4"/>
      <c r="L4" s="4"/>
      <c r="M4" s="4"/>
      <c r="N4" s="4"/>
      <c r="O4" s="6" t="e" cm="1">
        <f t="array" ref="O4">_xlfn.XLOOKUP(1,(Table1[[#This Row],[Customer]]=[1]!Table1[Customer])*(Table1[[#This Row],[Sales Orders]]=[1]!Table1[Sales Order])*(Table1[[#This Row],[Product ID]]=[1]!Table1[Product ID]),[1]!Table1[New Invoice
 Date],"")</f>
        <v>#REF!</v>
      </c>
      <c r="P4" t="e" cm="1">
        <f t="array" ref="P4">_xlfn.XLOOKUP(1,(Table1[[#This Row],[Customer]]=[1]!Table1[Customer])*(Table1[[#This Row],[Sales Orders]]=[1]!Table1[Sales Order])*(Table1[[#This Row],[Product ID]]=[1]!Table1[Product ID]),[1]!Table1[New 
Invoice '#],"")</f>
        <v>#REF!</v>
      </c>
      <c r="Q4" t="e" cm="1">
        <f t="array" ref="Q4">_xlfn.XLOOKUP(1,(Table1[[#This Row],[Customer]]=[1]!Table1[Customer])*(Table1[[#This Row],[Sales Orders]]=[1]!Table1[Sales Order])*(Table1[[#This Row],[Product ID]]=[1]!Table1[Product ID]),[1]!Table1[Notes],"")</f>
        <v>#REF!</v>
      </c>
      <c r="R4" t="e" cm="1">
        <f t="array" ref="R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" s="5">
        <v>1</v>
      </c>
      <c r="T4">
        <v>0</v>
      </c>
      <c r="U4" s="5">
        <v>0</v>
      </c>
      <c r="V4" s="5">
        <v>27336</v>
      </c>
      <c r="W4" s="5">
        <v>12710</v>
      </c>
      <c r="X4" t="s">
        <v>34</v>
      </c>
      <c r="Y4" s="6">
        <v>46008</v>
      </c>
      <c r="Z4" s="5">
        <v>3147</v>
      </c>
      <c r="AA4" t="s">
        <v>45</v>
      </c>
      <c r="AB4" s="5"/>
      <c r="AD4" t="s">
        <v>46</v>
      </c>
    </row>
    <row r="5" spans="1:32" x14ac:dyDescent="0.2">
      <c r="A5" t="s">
        <v>43</v>
      </c>
      <c r="C5" s="5">
        <v>12710</v>
      </c>
      <c r="D5" t="s">
        <v>47</v>
      </c>
      <c r="E5">
        <v>2175</v>
      </c>
      <c r="F5">
        <v>2610</v>
      </c>
      <c r="G5" s="3">
        <v>435</v>
      </c>
      <c r="H5" s="4">
        <v>0.16666666666666666</v>
      </c>
      <c r="I5" s="6">
        <v>46008</v>
      </c>
      <c r="J5" s="14" t="e" cm="1">
        <f t="array" ref="J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" s="4"/>
      <c r="L5" s="4"/>
      <c r="M5" s="4"/>
      <c r="N5" s="4"/>
      <c r="O5" s="6" t="e" cm="1">
        <f t="array" ref="O5">_xlfn.XLOOKUP(1,(Table1[[#This Row],[Customer]]=[1]!Table1[Customer])*(Table1[[#This Row],[Sales Orders]]=[1]!Table1[Sales Order])*(Table1[[#This Row],[Product ID]]=[1]!Table1[Product ID]),[1]!Table1[New Invoice
 Date],"")</f>
        <v>#REF!</v>
      </c>
      <c r="P5" t="e" cm="1">
        <f t="array" ref="P5">_xlfn.XLOOKUP(1,(Table1[[#This Row],[Customer]]=[1]!Table1[Customer])*(Table1[[#This Row],[Sales Orders]]=[1]!Table1[Sales Order])*(Table1[[#This Row],[Product ID]]=[1]!Table1[Product ID]),[1]!Table1[New 
Invoice '#],"")</f>
        <v>#REF!</v>
      </c>
      <c r="Q5" t="e" cm="1">
        <f t="array" ref="Q5">_xlfn.XLOOKUP(1,(Table1[[#This Row],[Customer]]=[1]!Table1[Customer])*(Table1[[#This Row],[Sales Orders]]=[1]!Table1[Sales Order])*(Table1[[#This Row],[Product ID]]=[1]!Table1[Product ID]),[1]!Table1[Notes],"")</f>
        <v>#REF!</v>
      </c>
      <c r="R5" t="e" cm="1">
        <f t="array" ref="R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" s="5">
        <v>1</v>
      </c>
      <c r="T5">
        <v>0</v>
      </c>
      <c r="U5" s="5">
        <v>0</v>
      </c>
      <c r="V5" s="5">
        <v>27336</v>
      </c>
      <c r="W5" s="5">
        <v>12710</v>
      </c>
      <c r="X5" t="s">
        <v>34</v>
      </c>
      <c r="Y5" s="6">
        <v>46008</v>
      </c>
      <c r="Z5" s="5">
        <v>3147</v>
      </c>
      <c r="AA5" t="s">
        <v>45</v>
      </c>
      <c r="AB5" s="5"/>
      <c r="AD5" t="s">
        <v>48</v>
      </c>
    </row>
    <row r="6" spans="1:32" x14ac:dyDescent="0.2">
      <c r="A6" t="s">
        <v>43</v>
      </c>
      <c r="C6" s="5">
        <v>12710</v>
      </c>
      <c r="D6" t="s">
        <v>49</v>
      </c>
      <c r="E6">
        <v>475</v>
      </c>
      <c r="F6">
        <v>570</v>
      </c>
      <c r="G6" s="3">
        <v>95</v>
      </c>
      <c r="H6" s="4">
        <v>0.16666666666666666</v>
      </c>
      <c r="I6" s="6">
        <v>46008</v>
      </c>
      <c r="J6" s="14" t="e" cm="1">
        <f t="array" ref="J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" s="4"/>
      <c r="L6" s="4"/>
      <c r="M6" s="4"/>
      <c r="N6" s="4"/>
      <c r="O6" s="6" t="e" cm="1">
        <f t="array" ref="O6">_xlfn.XLOOKUP(1,(Table1[[#This Row],[Customer]]=[1]!Table1[Customer])*(Table1[[#This Row],[Sales Orders]]=[1]!Table1[Sales Order])*(Table1[[#This Row],[Product ID]]=[1]!Table1[Product ID]),[1]!Table1[New Invoice
 Date],"")</f>
        <v>#REF!</v>
      </c>
      <c r="P6" t="e" cm="1">
        <f t="array" ref="P6">_xlfn.XLOOKUP(1,(Table1[[#This Row],[Customer]]=[1]!Table1[Customer])*(Table1[[#This Row],[Sales Orders]]=[1]!Table1[Sales Order])*(Table1[[#This Row],[Product ID]]=[1]!Table1[Product ID]),[1]!Table1[New 
Invoice '#],"")</f>
        <v>#REF!</v>
      </c>
      <c r="Q6" t="e" cm="1">
        <f t="array" ref="Q6">_xlfn.XLOOKUP(1,(Table1[[#This Row],[Customer]]=[1]!Table1[Customer])*(Table1[[#This Row],[Sales Orders]]=[1]!Table1[Sales Order])*(Table1[[#This Row],[Product ID]]=[1]!Table1[Product ID]),[1]!Table1[Notes],"")</f>
        <v>#REF!</v>
      </c>
      <c r="R6" t="e" cm="1">
        <f t="array" ref="R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" s="5">
        <v>1</v>
      </c>
      <c r="T6">
        <v>0</v>
      </c>
      <c r="U6" s="5">
        <v>0</v>
      </c>
      <c r="V6" s="5">
        <v>27336</v>
      </c>
      <c r="W6" s="5">
        <v>12710</v>
      </c>
      <c r="X6" t="s">
        <v>34</v>
      </c>
      <c r="Y6" s="6">
        <v>46008</v>
      </c>
      <c r="Z6" s="5">
        <v>3147</v>
      </c>
      <c r="AA6" t="s">
        <v>45</v>
      </c>
      <c r="AB6" s="5"/>
      <c r="AD6" t="s">
        <v>49</v>
      </c>
    </row>
    <row r="7" spans="1:32" x14ac:dyDescent="0.2">
      <c r="A7" t="s">
        <v>50</v>
      </c>
      <c r="C7" s="5">
        <v>12763</v>
      </c>
      <c r="D7" t="s">
        <v>51</v>
      </c>
      <c r="E7">
        <v>3197.25</v>
      </c>
      <c r="F7">
        <v>3675.75</v>
      </c>
      <c r="G7" s="3">
        <v>478.5</v>
      </c>
      <c r="H7" s="4">
        <v>0.13017751479289941</v>
      </c>
      <c r="I7" s="6">
        <v>46029</v>
      </c>
      <c r="J7" s="14" t="e" cm="1">
        <f t="array" ref="J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" s="4"/>
      <c r="L7" s="4"/>
      <c r="M7" s="4"/>
      <c r="N7" s="4"/>
      <c r="O7" s="6" t="e" cm="1">
        <f t="array" ref="O7">_xlfn.XLOOKUP(1,(Table1[[#This Row],[Customer]]=[1]!Table1[Customer])*(Table1[[#This Row],[Sales Orders]]=[1]!Table1[Sales Order])*(Table1[[#This Row],[Product ID]]=[1]!Table1[Product ID]),[1]!Table1[New Invoice
 Date],"")</f>
        <v>#REF!</v>
      </c>
      <c r="P7" t="e" cm="1">
        <f t="array" ref="P7">_xlfn.XLOOKUP(1,(Table1[[#This Row],[Customer]]=[1]!Table1[Customer])*(Table1[[#This Row],[Sales Orders]]=[1]!Table1[Sales Order])*(Table1[[#This Row],[Product ID]]=[1]!Table1[Product ID]),[1]!Table1[New 
Invoice '#],"")</f>
        <v>#REF!</v>
      </c>
      <c r="Q7" t="e" cm="1">
        <f t="array" ref="Q7">_xlfn.XLOOKUP(1,(Table1[[#This Row],[Customer]]=[1]!Table1[Customer])*(Table1[[#This Row],[Sales Orders]]=[1]!Table1[Sales Order])*(Table1[[#This Row],[Product ID]]=[1]!Table1[Product ID]),[1]!Table1[Notes],"")</f>
        <v>#REF!</v>
      </c>
      <c r="R7" t="e" cm="1">
        <f t="array" ref="R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" s="5">
        <v>725</v>
      </c>
      <c r="T7">
        <v>725</v>
      </c>
      <c r="U7" s="5">
        <v>725</v>
      </c>
      <c r="V7" s="5">
        <v>27445</v>
      </c>
      <c r="W7" s="5">
        <v>12763</v>
      </c>
      <c r="X7" t="s">
        <v>34</v>
      </c>
      <c r="Y7" s="6">
        <v>46029</v>
      </c>
      <c r="Z7" s="5"/>
      <c r="AB7" s="5"/>
      <c r="AD7" t="s">
        <v>52</v>
      </c>
      <c r="AE7" t="s">
        <v>53</v>
      </c>
      <c r="AF7" t="s">
        <v>38</v>
      </c>
    </row>
    <row r="8" spans="1:32" x14ac:dyDescent="0.2">
      <c r="A8" t="s">
        <v>54</v>
      </c>
      <c r="C8" s="5">
        <v>12772</v>
      </c>
      <c r="D8" t="s">
        <v>55</v>
      </c>
      <c r="E8">
        <v>1398.72</v>
      </c>
      <c r="F8">
        <v>1680</v>
      </c>
      <c r="G8" s="3">
        <v>281.27999999999997</v>
      </c>
      <c r="H8" s="4">
        <v>0.1674285714285714</v>
      </c>
      <c r="I8" s="6">
        <v>46031</v>
      </c>
      <c r="J8" s="14" t="e" cm="1">
        <f t="array" ref="J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" s="4"/>
      <c r="L8" s="4"/>
      <c r="M8" s="4"/>
      <c r="N8" s="4"/>
      <c r="O8" s="6" t="e" cm="1">
        <f t="array" ref="O8">_xlfn.XLOOKUP(1,(Table1[[#This Row],[Customer]]=[1]!Table1[Customer])*(Table1[[#This Row],[Sales Orders]]=[1]!Table1[Sales Order])*(Table1[[#This Row],[Product ID]]=[1]!Table1[Product ID]),[1]!Table1[New Invoice
 Date],"")</f>
        <v>#REF!</v>
      </c>
      <c r="P8" t="e" cm="1">
        <f t="array" ref="P8">_xlfn.XLOOKUP(1,(Table1[[#This Row],[Customer]]=[1]!Table1[Customer])*(Table1[[#This Row],[Sales Orders]]=[1]!Table1[Sales Order])*(Table1[[#This Row],[Product ID]]=[1]!Table1[Product ID]),[1]!Table1[New 
Invoice '#],"")</f>
        <v>#REF!</v>
      </c>
      <c r="Q8" t="e" cm="1">
        <f t="array" ref="Q8">_xlfn.XLOOKUP(1,(Table1[[#This Row],[Customer]]=[1]!Table1[Customer])*(Table1[[#This Row],[Sales Orders]]=[1]!Table1[Sales Order])*(Table1[[#This Row],[Product ID]]=[1]!Table1[Product ID]),[1]!Table1[Notes],"")</f>
        <v>#REF!</v>
      </c>
      <c r="R8" t="e" cm="1">
        <f t="array" ref="R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" s="5">
        <v>320</v>
      </c>
      <c r="T8">
        <v>320</v>
      </c>
      <c r="U8" s="5">
        <v>320</v>
      </c>
      <c r="V8" s="5">
        <v>27460</v>
      </c>
      <c r="W8" s="5">
        <v>12772</v>
      </c>
      <c r="X8" t="s">
        <v>34</v>
      </c>
      <c r="Y8" s="6">
        <v>46031</v>
      </c>
      <c r="Z8" s="5"/>
      <c r="AB8" s="5"/>
      <c r="AD8" t="s">
        <v>56</v>
      </c>
      <c r="AE8" t="s">
        <v>57</v>
      </c>
      <c r="AF8" t="s">
        <v>38</v>
      </c>
    </row>
    <row r="9" spans="1:32" x14ac:dyDescent="0.2">
      <c r="A9" t="s">
        <v>58</v>
      </c>
      <c r="C9" s="5">
        <v>12790</v>
      </c>
      <c r="D9" t="s">
        <v>59</v>
      </c>
      <c r="E9">
        <v>314</v>
      </c>
      <c r="F9">
        <v>418.8</v>
      </c>
      <c r="G9" s="3">
        <v>104.80000000000001</v>
      </c>
      <c r="H9" s="4">
        <v>0.25023877745940787</v>
      </c>
      <c r="I9" s="6">
        <v>46036</v>
      </c>
      <c r="J9" s="14" t="e" cm="1">
        <f t="array" ref="J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9" s="4"/>
      <c r="L9" s="4"/>
      <c r="M9" s="4"/>
      <c r="N9" s="4"/>
      <c r="O9" s="6" t="e" cm="1">
        <f t="array" ref="O9">_xlfn.XLOOKUP(1,(Table1[[#This Row],[Customer]]=[1]!Table1[Customer])*(Table1[[#This Row],[Sales Orders]]=[1]!Table1[Sales Order])*(Table1[[#This Row],[Product ID]]=[1]!Table1[Product ID]),[1]!Table1[New Invoice
 Date],"")</f>
        <v>#REF!</v>
      </c>
      <c r="P9" t="e" cm="1">
        <f t="array" ref="P9">_xlfn.XLOOKUP(1,(Table1[[#This Row],[Customer]]=[1]!Table1[Customer])*(Table1[[#This Row],[Sales Orders]]=[1]!Table1[Sales Order])*(Table1[[#This Row],[Product ID]]=[1]!Table1[Product ID]),[1]!Table1[New 
Invoice '#],"")</f>
        <v>#REF!</v>
      </c>
      <c r="Q9" t="e" cm="1">
        <f t="array" ref="Q9">_xlfn.XLOOKUP(1,(Table1[[#This Row],[Customer]]=[1]!Table1[Customer])*(Table1[[#This Row],[Sales Orders]]=[1]!Table1[Sales Order])*(Table1[[#This Row],[Product ID]]=[1]!Table1[Product ID]),[1]!Table1[Notes],"")</f>
        <v>#REF!</v>
      </c>
      <c r="R9" t="e" cm="1">
        <f t="array" ref="R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9" s="5">
        <v>1</v>
      </c>
      <c r="T9">
        <v>1</v>
      </c>
      <c r="U9" s="5">
        <v>1</v>
      </c>
      <c r="V9" s="5">
        <v>27555</v>
      </c>
      <c r="W9" s="5">
        <v>12790</v>
      </c>
      <c r="X9" t="s">
        <v>34</v>
      </c>
      <c r="Y9" s="6">
        <v>46036</v>
      </c>
      <c r="Z9" s="5"/>
      <c r="AB9" s="5"/>
      <c r="AD9" t="s">
        <v>60</v>
      </c>
      <c r="AE9" t="s">
        <v>61</v>
      </c>
      <c r="AF9" t="s">
        <v>38</v>
      </c>
    </row>
    <row r="10" spans="1:32" x14ac:dyDescent="0.2">
      <c r="A10" t="s">
        <v>58</v>
      </c>
      <c r="C10" s="5">
        <v>12790</v>
      </c>
      <c r="D10" t="s">
        <v>62</v>
      </c>
      <c r="E10">
        <v>0</v>
      </c>
      <c r="F10">
        <v>28.75</v>
      </c>
      <c r="G10" s="3">
        <v>28.75</v>
      </c>
      <c r="H10" s="4">
        <v>1</v>
      </c>
      <c r="I10" s="6">
        <v>46036</v>
      </c>
      <c r="J10" s="14" t="e" cm="1">
        <f t="array" ref="J1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0" s="4"/>
      <c r="L10" s="4"/>
      <c r="M10" s="4"/>
      <c r="N10" s="4"/>
      <c r="O10" s="6" t="e" cm="1">
        <f t="array" ref="O10">_xlfn.XLOOKUP(1,(Table1[[#This Row],[Customer]]=[1]!Table1[Customer])*(Table1[[#This Row],[Sales Orders]]=[1]!Table1[Sales Order])*(Table1[[#This Row],[Product ID]]=[1]!Table1[Product ID]),[1]!Table1[New Invoice
 Date],"")</f>
        <v>#REF!</v>
      </c>
      <c r="P10" t="e" cm="1">
        <f t="array" ref="P10">_xlfn.XLOOKUP(1,(Table1[[#This Row],[Customer]]=[1]!Table1[Customer])*(Table1[[#This Row],[Sales Orders]]=[1]!Table1[Sales Order])*(Table1[[#This Row],[Product ID]]=[1]!Table1[Product ID]),[1]!Table1[New 
Invoice '#],"")</f>
        <v>#REF!</v>
      </c>
      <c r="Q10" t="e" cm="1">
        <f t="array" ref="Q10">_xlfn.XLOOKUP(1,(Table1[[#This Row],[Customer]]=[1]!Table1[Customer])*(Table1[[#This Row],[Sales Orders]]=[1]!Table1[Sales Order])*(Table1[[#This Row],[Product ID]]=[1]!Table1[Product ID]),[1]!Table1[Notes],"")</f>
        <v>#REF!</v>
      </c>
      <c r="R10" t="e" cm="1">
        <f t="array" ref="R1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0" s="5">
        <v>1</v>
      </c>
      <c r="T10">
        <v>1</v>
      </c>
      <c r="U10" s="5">
        <v>1</v>
      </c>
      <c r="V10" s="5">
        <v>27555</v>
      </c>
      <c r="W10" s="5">
        <v>12790</v>
      </c>
      <c r="X10" t="s">
        <v>34</v>
      </c>
      <c r="Y10" s="6">
        <v>46036</v>
      </c>
      <c r="Z10" s="5"/>
      <c r="AB10" s="5"/>
      <c r="AD10" t="s">
        <v>63</v>
      </c>
      <c r="AE10" t="s">
        <v>61</v>
      </c>
      <c r="AF10" t="s">
        <v>38</v>
      </c>
    </row>
    <row r="11" spans="1:32" x14ac:dyDescent="0.2">
      <c r="A11" t="s">
        <v>64</v>
      </c>
      <c r="C11" s="5">
        <v>12816</v>
      </c>
      <c r="D11" t="s">
        <v>65</v>
      </c>
      <c r="E11">
        <v>786</v>
      </c>
      <c r="F11">
        <v>1022</v>
      </c>
      <c r="G11" s="3">
        <v>236</v>
      </c>
      <c r="H11" s="4">
        <v>0.2309197651663405</v>
      </c>
      <c r="I11" s="6">
        <v>46042</v>
      </c>
      <c r="J11" s="14" t="e" cm="1">
        <f t="array" ref="J1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1" s="4"/>
      <c r="L11" s="4"/>
      <c r="M11" s="4"/>
      <c r="N11" s="4"/>
      <c r="O11" s="6" t="e" cm="1">
        <f t="array" ref="O11">_xlfn.XLOOKUP(1,(Table1[[#This Row],[Customer]]=[1]!Table1[Customer])*(Table1[[#This Row],[Sales Orders]]=[1]!Table1[Sales Order])*(Table1[[#This Row],[Product ID]]=[1]!Table1[Product ID]),[1]!Table1[New Invoice
 Date],"")</f>
        <v>#REF!</v>
      </c>
      <c r="P11" t="e" cm="1">
        <f t="array" ref="P11">_xlfn.XLOOKUP(1,(Table1[[#This Row],[Customer]]=[1]!Table1[Customer])*(Table1[[#This Row],[Sales Orders]]=[1]!Table1[Sales Order])*(Table1[[#This Row],[Product ID]]=[1]!Table1[Product ID]),[1]!Table1[New 
Invoice '#],"")</f>
        <v>#REF!</v>
      </c>
      <c r="Q11" t="e" cm="1">
        <f t="array" ref="Q11">_xlfn.XLOOKUP(1,(Table1[[#This Row],[Customer]]=[1]!Table1[Customer])*(Table1[[#This Row],[Sales Orders]]=[1]!Table1[Sales Order])*(Table1[[#This Row],[Product ID]]=[1]!Table1[Product ID]),[1]!Table1[Notes],"")</f>
        <v>#REF!</v>
      </c>
      <c r="R11" t="e" cm="1">
        <f t="array" ref="R1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1" s="5">
        <v>1</v>
      </c>
      <c r="T11">
        <v>0</v>
      </c>
      <c r="U11" s="5">
        <v>0</v>
      </c>
      <c r="V11" s="5">
        <v>27592</v>
      </c>
      <c r="W11" s="5">
        <v>12816</v>
      </c>
      <c r="X11" t="s">
        <v>34</v>
      </c>
      <c r="Y11" s="6">
        <v>46042</v>
      </c>
      <c r="Z11" s="5"/>
      <c r="AB11" s="5"/>
      <c r="AD11" t="s">
        <v>66</v>
      </c>
    </row>
    <row r="12" spans="1:32" x14ac:dyDescent="0.2">
      <c r="A12" t="s">
        <v>67</v>
      </c>
      <c r="C12" s="5">
        <v>12775</v>
      </c>
      <c r="D12" t="s">
        <v>68</v>
      </c>
      <c r="E12">
        <v>877.66</v>
      </c>
      <c r="F12">
        <v>1053.19</v>
      </c>
      <c r="G12" s="3">
        <v>175.53000000000009</v>
      </c>
      <c r="H12" s="4">
        <v>0.16666508417284637</v>
      </c>
      <c r="I12" s="6">
        <v>46031</v>
      </c>
      <c r="J12" s="14" t="e" cm="1">
        <f t="array" ref="J1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" s="4"/>
      <c r="L12" s="4"/>
      <c r="M12" s="4"/>
      <c r="N12" s="4"/>
      <c r="O12" s="6" t="e" cm="1">
        <f t="array" ref="O12">_xlfn.XLOOKUP(1,(Table1[[#This Row],[Customer]]=[1]!Table1[Customer])*(Table1[[#This Row],[Sales Orders]]=[1]!Table1[Sales Order])*(Table1[[#This Row],[Product ID]]=[1]!Table1[Product ID]),[1]!Table1[New Invoice
 Date],"")</f>
        <v>#REF!</v>
      </c>
      <c r="P12" t="e" cm="1">
        <f t="array" ref="P12">_xlfn.XLOOKUP(1,(Table1[[#This Row],[Customer]]=[1]!Table1[Customer])*(Table1[[#This Row],[Sales Orders]]=[1]!Table1[Sales Order])*(Table1[[#This Row],[Product ID]]=[1]!Table1[Product ID]),[1]!Table1[New 
Invoice '#],"")</f>
        <v>#REF!</v>
      </c>
      <c r="Q12" t="e" cm="1">
        <f t="array" ref="Q12">_xlfn.XLOOKUP(1,(Table1[[#This Row],[Customer]]=[1]!Table1[Customer])*(Table1[[#This Row],[Sales Orders]]=[1]!Table1[Sales Order])*(Table1[[#This Row],[Product ID]]=[1]!Table1[Product ID]),[1]!Table1[Notes],"")</f>
        <v>#REF!</v>
      </c>
      <c r="R12" t="e" cm="1">
        <f t="array" ref="R1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2" s="5">
        <v>1</v>
      </c>
      <c r="T12">
        <v>1</v>
      </c>
      <c r="U12" s="5">
        <v>1</v>
      </c>
      <c r="V12" s="5">
        <v>27531</v>
      </c>
      <c r="W12" s="5">
        <v>12775</v>
      </c>
      <c r="X12" t="s">
        <v>34</v>
      </c>
      <c r="Y12" s="6">
        <v>46031</v>
      </c>
      <c r="Z12" s="5"/>
      <c r="AB12" s="5">
        <v>2412057</v>
      </c>
      <c r="AC12" t="s">
        <v>69</v>
      </c>
      <c r="AD12" t="s">
        <v>70</v>
      </c>
      <c r="AE12" t="s">
        <v>71</v>
      </c>
      <c r="AF12" t="s">
        <v>38</v>
      </c>
    </row>
    <row r="13" spans="1:32" x14ac:dyDescent="0.2">
      <c r="A13" t="s">
        <v>67</v>
      </c>
      <c r="C13" s="5">
        <v>12775</v>
      </c>
      <c r="D13" t="s">
        <v>62</v>
      </c>
      <c r="E13">
        <v>51.72</v>
      </c>
      <c r="F13">
        <v>51.72</v>
      </c>
      <c r="G13" s="3">
        <v>0</v>
      </c>
      <c r="H13" s="4">
        <v>0</v>
      </c>
      <c r="I13" s="6">
        <v>46031</v>
      </c>
      <c r="J13" s="14" t="e" cm="1">
        <f t="array" ref="J1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" s="4"/>
      <c r="L13" s="4"/>
      <c r="M13" s="4"/>
      <c r="N13" s="4"/>
      <c r="O13" s="6" t="e" cm="1">
        <f t="array" ref="O13">_xlfn.XLOOKUP(1,(Table1[[#This Row],[Customer]]=[1]!Table1[Customer])*(Table1[[#This Row],[Sales Orders]]=[1]!Table1[Sales Order])*(Table1[[#This Row],[Product ID]]=[1]!Table1[Product ID]),[1]!Table1[New Invoice
 Date],"")</f>
        <v>#REF!</v>
      </c>
      <c r="P13" t="e" cm="1">
        <f t="array" ref="P13">_xlfn.XLOOKUP(1,(Table1[[#This Row],[Customer]]=[1]!Table1[Customer])*(Table1[[#This Row],[Sales Orders]]=[1]!Table1[Sales Order])*(Table1[[#This Row],[Product ID]]=[1]!Table1[Product ID]),[1]!Table1[New 
Invoice '#],"")</f>
        <v>#REF!</v>
      </c>
      <c r="Q13" t="e" cm="1">
        <f t="array" ref="Q13">_xlfn.XLOOKUP(1,(Table1[[#This Row],[Customer]]=[1]!Table1[Customer])*(Table1[[#This Row],[Sales Orders]]=[1]!Table1[Sales Order])*(Table1[[#This Row],[Product ID]]=[1]!Table1[Product ID]),[1]!Table1[Notes],"")</f>
        <v>#REF!</v>
      </c>
      <c r="R13" t="e" cm="1">
        <f t="array" ref="R1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3" s="5">
        <v>1</v>
      </c>
      <c r="T13">
        <v>1</v>
      </c>
      <c r="U13" s="5">
        <v>1</v>
      </c>
      <c r="V13" s="5">
        <v>27531</v>
      </c>
      <c r="W13" s="5">
        <v>12775</v>
      </c>
      <c r="X13" t="s">
        <v>34</v>
      </c>
      <c r="Y13" s="6">
        <v>46031</v>
      </c>
      <c r="Z13" s="5"/>
      <c r="AB13" s="5">
        <v>2412057</v>
      </c>
      <c r="AC13" t="s">
        <v>69</v>
      </c>
      <c r="AD13" t="s">
        <v>72</v>
      </c>
      <c r="AE13" t="s">
        <v>71</v>
      </c>
      <c r="AF13" t="s">
        <v>38</v>
      </c>
    </row>
    <row r="14" spans="1:32" ht="16" x14ac:dyDescent="0.2">
      <c r="A14" t="s">
        <v>73</v>
      </c>
      <c r="C14" s="5">
        <v>12594</v>
      </c>
      <c r="D14" t="s">
        <v>74</v>
      </c>
      <c r="E14">
        <v>620.05999999999995</v>
      </c>
      <c r="F14">
        <v>721</v>
      </c>
      <c r="G14" s="3">
        <v>100.94000000000005</v>
      </c>
      <c r="H14" s="4">
        <v>0.14000000000000007</v>
      </c>
      <c r="I14" s="6">
        <v>45968</v>
      </c>
      <c r="J14" s="14" t="e" cm="1">
        <f t="array" ref="J1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" s="4"/>
      <c r="L14" s="4"/>
      <c r="M14" s="4"/>
      <c r="N14" s="4"/>
      <c r="O14" s="6" t="e" cm="1">
        <f t="array" ref="O14">_xlfn.XLOOKUP(1,(Table1[[#This Row],[Customer]]=[1]!Table1[Customer])*(Table1[[#This Row],[Sales Orders]]=[1]!Table1[Sales Order])*(Table1[[#This Row],[Product ID]]=[1]!Table1[Product ID]),[1]!Table1[New Invoice
 Date],"")</f>
        <v>#REF!</v>
      </c>
      <c r="P14" t="e" cm="1">
        <f t="array" ref="P14">_xlfn.XLOOKUP(1,(Table1[[#This Row],[Customer]]=[1]!Table1[Customer])*(Table1[[#This Row],[Sales Orders]]=[1]!Table1[Sales Order])*(Table1[[#This Row],[Product ID]]=[1]!Table1[Product ID]),[1]!Table1[New 
Invoice '#],"")</f>
        <v>#REF!</v>
      </c>
      <c r="Q14" s="16" t="s">
        <v>75</v>
      </c>
      <c r="R14" t="e" cm="1">
        <f t="array" ref="R1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4" s="5">
        <v>1</v>
      </c>
      <c r="T14">
        <v>1</v>
      </c>
      <c r="U14" s="5">
        <v>0</v>
      </c>
      <c r="V14" s="5">
        <v>26592</v>
      </c>
      <c r="W14" s="5">
        <v>12594</v>
      </c>
      <c r="X14" t="s">
        <v>76</v>
      </c>
      <c r="Y14" s="6">
        <v>45968</v>
      </c>
      <c r="Z14" s="5">
        <v>2981</v>
      </c>
      <c r="AA14" t="s">
        <v>35</v>
      </c>
      <c r="AB14" s="5"/>
      <c r="AD14" t="s">
        <v>77</v>
      </c>
      <c r="AE14" t="s">
        <v>78</v>
      </c>
      <c r="AF14" t="s">
        <v>38</v>
      </c>
    </row>
    <row r="15" spans="1:32" ht="16" x14ac:dyDescent="0.2">
      <c r="A15" t="s">
        <v>73</v>
      </c>
      <c r="C15" s="5">
        <v>12594</v>
      </c>
      <c r="D15" t="s">
        <v>79</v>
      </c>
      <c r="E15">
        <v>6.6</v>
      </c>
      <c r="F15">
        <v>7.92</v>
      </c>
      <c r="G15" s="3">
        <v>1.3200000000000003</v>
      </c>
      <c r="H15" s="4">
        <v>0.16666666666666671</v>
      </c>
      <c r="I15" s="6">
        <v>45968</v>
      </c>
      <c r="J15" s="14" t="e" cm="1">
        <f t="array" ref="J1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" s="4"/>
      <c r="L15" s="4"/>
      <c r="M15" s="4"/>
      <c r="N15" s="4"/>
      <c r="O15" s="6" t="e" cm="1">
        <f t="array" ref="O15">_xlfn.XLOOKUP(1,(Table1[[#This Row],[Customer]]=[1]!Table1[Customer])*(Table1[[#This Row],[Sales Orders]]=[1]!Table1[Sales Order])*(Table1[[#This Row],[Product ID]]=[1]!Table1[Product ID]),[1]!Table1[New Invoice
 Date],"")</f>
        <v>#REF!</v>
      </c>
      <c r="P15" t="e" cm="1">
        <f t="array" ref="P15">_xlfn.XLOOKUP(1,(Table1[[#This Row],[Customer]]=[1]!Table1[Customer])*(Table1[[#This Row],[Sales Orders]]=[1]!Table1[Sales Order])*(Table1[[#This Row],[Product ID]]=[1]!Table1[Product ID]),[1]!Table1[New 
Invoice '#],"")</f>
        <v>#REF!</v>
      </c>
      <c r="Q15" s="16" t="s">
        <v>75</v>
      </c>
      <c r="R15" t="e" cm="1">
        <f t="array" ref="R1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5" s="5">
        <v>2</v>
      </c>
      <c r="T15">
        <v>0</v>
      </c>
      <c r="U15" s="5">
        <v>0</v>
      </c>
      <c r="V15" s="5">
        <v>26592</v>
      </c>
      <c r="W15" s="5">
        <v>12594</v>
      </c>
      <c r="X15" t="s">
        <v>76</v>
      </c>
      <c r="Y15" s="6">
        <v>45968</v>
      </c>
      <c r="Z15" s="5">
        <v>2981</v>
      </c>
      <c r="AA15" t="s">
        <v>35</v>
      </c>
      <c r="AB15" s="5"/>
      <c r="AD15" t="s">
        <v>80</v>
      </c>
    </row>
    <row r="16" spans="1:32" ht="16" x14ac:dyDescent="0.2">
      <c r="A16" t="s">
        <v>81</v>
      </c>
      <c r="C16" s="5">
        <v>12596</v>
      </c>
      <c r="D16" t="s">
        <v>82</v>
      </c>
      <c r="E16">
        <v>120.21</v>
      </c>
      <c r="F16">
        <v>144.25</v>
      </c>
      <c r="G16" s="3">
        <v>24.040000000000006</v>
      </c>
      <c r="H16" s="4">
        <v>0.16665511265164648</v>
      </c>
      <c r="I16" s="6">
        <v>45968</v>
      </c>
      <c r="J16" s="14" t="e" cm="1">
        <f t="array" ref="J1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" s="4"/>
      <c r="L16" s="4"/>
      <c r="M16" s="4"/>
      <c r="N16" s="4"/>
      <c r="O16" s="6" t="e" cm="1">
        <f t="array" ref="O16">_xlfn.XLOOKUP(1,(Table1[[#This Row],[Customer]]=[1]!Table1[Customer])*(Table1[[#This Row],[Sales Orders]]=[1]!Table1[Sales Order])*(Table1[[#This Row],[Product ID]]=[1]!Table1[Product ID]),[1]!Table1[New Invoice
 Date],"")</f>
        <v>#REF!</v>
      </c>
      <c r="P16" t="e" cm="1">
        <f t="array" ref="P16">_xlfn.XLOOKUP(1,(Table1[[#This Row],[Customer]]=[1]!Table1[Customer])*(Table1[[#This Row],[Sales Orders]]=[1]!Table1[Sales Order])*(Table1[[#This Row],[Product ID]]=[1]!Table1[Product ID]),[1]!Table1[New 
Invoice '#],"")</f>
        <v>#REF!</v>
      </c>
      <c r="Q16" s="16" t="s">
        <v>75</v>
      </c>
      <c r="R16" t="e" cm="1">
        <f t="array" ref="R1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6" s="5">
        <v>1</v>
      </c>
      <c r="T16">
        <v>1</v>
      </c>
      <c r="U16" s="5">
        <v>0</v>
      </c>
      <c r="V16" s="5">
        <v>26592</v>
      </c>
      <c r="W16" s="5">
        <v>12596</v>
      </c>
      <c r="X16" t="s">
        <v>76</v>
      </c>
      <c r="Y16" s="6">
        <v>45968</v>
      </c>
      <c r="Z16" s="5">
        <v>2981</v>
      </c>
      <c r="AA16" t="s">
        <v>35</v>
      </c>
      <c r="AB16" s="5"/>
      <c r="AD16" t="s">
        <v>83</v>
      </c>
      <c r="AE16" t="s">
        <v>84</v>
      </c>
      <c r="AF16" t="s">
        <v>38</v>
      </c>
    </row>
    <row r="17" spans="1:32" ht="16" x14ac:dyDescent="0.2">
      <c r="A17" t="s">
        <v>81</v>
      </c>
      <c r="C17" s="5">
        <v>12596</v>
      </c>
      <c r="D17" t="s">
        <v>74</v>
      </c>
      <c r="E17">
        <v>1240.1199999999999</v>
      </c>
      <c r="F17">
        <v>1442</v>
      </c>
      <c r="G17" s="3">
        <v>201.88000000000011</v>
      </c>
      <c r="H17" s="4">
        <v>0.14000000000000007</v>
      </c>
      <c r="I17" s="6">
        <v>45968</v>
      </c>
      <c r="J17" s="14" t="e" cm="1">
        <f t="array" ref="J1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" s="4"/>
      <c r="L17" s="4"/>
      <c r="M17" s="4"/>
      <c r="N17" s="4"/>
      <c r="O17" s="6" t="e" cm="1">
        <f t="array" ref="O17">_xlfn.XLOOKUP(1,(Table1[[#This Row],[Customer]]=[1]!Table1[Customer])*(Table1[[#This Row],[Sales Orders]]=[1]!Table1[Sales Order])*(Table1[[#This Row],[Product ID]]=[1]!Table1[Product ID]),[1]!Table1[New Invoice
 Date],"")</f>
        <v>#REF!</v>
      </c>
      <c r="P17" t="e" cm="1">
        <f t="array" ref="P17">_xlfn.XLOOKUP(1,(Table1[[#This Row],[Customer]]=[1]!Table1[Customer])*(Table1[[#This Row],[Sales Orders]]=[1]!Table1[Sales Order])*(Table1[[#This Row],[Product ID]]=[1]!Table1[Product ID]),[1]!Table1[New 
Invoice '#],"")</f>
        <v>#REF!</v>
      </c>
      <c r="Q17" s="16" t="s">
        <v>75</v>
      </c>
      <c r="R17" t="e" cm="1">
        <f t="array" ref="R1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7" s="5">
        <v>2</v>
      </c>
      <c r="T17">
        <v>2</v>
      </c>
      <c r="U17" s="5">
        <v>0</v>
      </c>
      <c r="V17" s="5">
        <v>26592</v>
      </c>
      <c r="W17" s="5">
        <v>12596</v>
      </c>
      <c r="X17" t="s">
        <v>76</v>
      </c>
      <c r="Y17" s="6">
        <v>45968</v>
      </c>
      <c r="Z17" s="5">
        <v>2981</v>
      </c>
      <c r="AA17" t="s">
        <v>35</v>
      </c>
      <c r="AB17" s="5"/>
      <c r="AD17" t="s">
        <v>77</v>
      </c>
      <c r="AE17" t="s">
        <v>84</v>
      </c>
      <c r="AF17" t="s">
        <v>38</v>
      </c>
    </row>
    <row r="18" spans="1:32" ht="16" x14ac:dyDescent="0.2">
      <c r="A18" t="s">
        <v>81</v>
      </c>
      <c r="C18" s="5">
        <v>12596</v>
      </c>
      <c r="D18" t="s">
        <v>79</v>
      </c>
      <c r="E18">
        <v>13.2</v>
      </c>
      <c r="F18">
        <v>15.84</v>
      </c>
      <c r="G18" s="3">
        <v>2.6400000000000006</v>
      </c>
      <c r="H18" s="4">
        <v>0.16666666666666671</v>
      </c>
      <c r="I18" s="6">
        <v>45968</v>
      </c>
      <c r="J18" s="14" t="e" cm="1">
        <f t="array" ref="J1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" s="4"/>
      <c r="L18" s="4"/>
      <c r="M18" s="4"/>
      <c r="N18" s="4"/>
      <c r="O18" s="6" t="e" cm="1">
        <f t="array" ref="O18">_xlfn.XLOOKUP(1,(Table1[[#This Row],[Customer]]=[1]!Table1[Customer])*(Table1[[#This Row],[Sales Orders]]=[1]!Table1[Sales Order])*(Table1[[#This Row],[Product ID]]=[1]!Table1[Product ID]),[1]!Table1[New Invoice
 Date],"")</f>
        <v>#REF!</v>
      </c>
      <c r="P18" t="e" cm="1">
        <f t="array" ref="P18">_xlfn.XLOOKUP(1,(Table1[[#This Row],[Customer]]=[1]!Table1[Customer])*(Table1[[#This Row],[Sales Orders]]=[1]!Table1[Sales Order])*(Table1[[#This Row],[Product ID]]=[1]!Table1[Product ID]),[1]!Table1[New 
Invoice '#],"")</f>
        <v>#REF!</v>
      </c>
      <c r="Q18" s="16" t="s">
        <v>75</v>
      </c>
      <c r="R18" t="e" cm="1">
        <f t="array" ref="R1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8" s="5">
        <v>4</v>
      </c>
      <c r="T18">
        <v>0</v>
      </c>
      <c r="U18" s="5">
        <v>0</v>
      </c>
      <c r="V18" s="5">
        <v>26592</v>
      </c>
      <c r="W18" s="5">
        <v>12596</v>
      </c>
      <c r="X18" t="s">
        <v>76</v>
      </c>
      <c r="Y18" s="6">
        <v>45968</v>
      </c>
      <c r="Z18" s="5">
        <v>2981</v>
      </c>
      <c r="AA18" t="s">
        <v>35</v>
      </c>
      <c r="AB18" s="5"/>
      <c r="AD18" t="s">
        <v>80</v>
      </c>
    </row>
    <row r="19" spans="1:32" ht="16" x14ac:dyDescent="0.2">
      <c r="A19" t="s">
        <v>85</v>
      </c>
      <c r="C19" s="5">
        <v>12598</v>
      </c>
      <c r="D19" t="s">
        <v>82</v>
      </c>
      <c r="E19">
        <v>120.21</v>
      </c>
      <c r="F19">
        <v>144.25</v>
      </c>
      <c r="G19" s="3">
        <v>24.040000000000006</v>
      </c>
      <c r="H19" s="4">
        <v>0.16665511265164648</v>
      </c>
      <c r="I19" s="6">
        <v>45968</v>
      </c>
      <c r="J19" s="14" t="e" cm="1">
        <f t="array" ref="J1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" s="4"/>
      <c r="L19" s="4"/>
      <c r="M19" s="4"/>
      <c r="N19" s="4"/>
      <c r="O19" s="6" t="e" cm="1">
        <f t="array" ref="O19">_xlfn.XLOOKUP(1,(Table1[[#This Row],[Customer]]=[1]!Table1[Customer])*(Table1[[#This Row],[Sales Orders]]=[1]!Table1[Sales Order])*(Table1[[#This Row],[Product ID]]=[1]!Table1[Product ID]),[1]!Table1[New Invoice
 Date],"")</f>
        <v>#REF!</v>
      </c>
      <c r="P19" t="e" cm="1">
        <f t="array" ref="P19">_xlfn.XLOOKUP(1,(Table1[[#This Row],[Customer]]=[1]!Table1[Customer])*(Table1[[#This Row],[Sales Orders]]=[1]!Table1[Sales Order])*(Table1[[#This Row],[Product ID]]=[1]!Table1[Product ID]),[1]!Table1[New 
Invoice '#],"")</f>
        <v>#REF!</v>
      </c>
      <c r="Q19" s="16" t="s">
        <v>75</v>
      </c>
      <c r="R19" t="e" cm="1">
        <f t="array" ref="R1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9" s="5">
        <v>1</v>
      </c>
      <c r="T19">
        <v>1</v>
      </c>
      <c r="U19" s="5">
        <v>0</v>
      </c>
      <c r="V19" s="5">
        <v>26592</v>
      </c>
      <c r="W19" s="5">
        <v>12598</v>
      </c>
      <c r="X19" t="s">
        <v>76</v>
      </c>
      <c r="Y19" s="6">
        <v>45968</v>
      </c>
      <c r="Z19" s="5">
        <v>2981</v>
      </c>
      <c r="AA19" t="s">
        <v>35</v>
      </c>
      <c r="AB19" s="5"/>
      <c r="AD19" t="s">
        <v>83</v>
      </c>
      <c r="AE19" t="s">
        <v>86</v>
      </c>
      <c r="AF19" t="s">
        <v>38</v>
      </c>
    </row>
    <row r="20" spans="1:32" ht="16" x14ac:dyDescent="0.2">
      <c r="A20" t="s">
        <v>85</v>
      </c>
      <c r="C20" s="5">
        <v>12598</v>
      </c>
      <c r="D20" t="s">
        <v>74</v>
      </c>
      <c r="E20">
        <v>620.05999999999995</v>
      </c>
      <c r="F20">
        <v>721</v>
      </c>
      <c r="G20" s="3">
        <v>100.94000000000005</v>
      </c>
      <c r="H20" s="4">
        <v>0.14000000000000007</v>
      </c>
      <c r="I20" s="6">
        <v>45968</v>
      </c>
      <c r="J20" s="14" t="e" cm="1">
        <f t="array" ref="J2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0" s="4"/>
      <c r="L20" s="4"/>
      <c r="M20" s="4"/>
      <c r="N20" s="4"/>
      <c r="O20" s="6" t="e" cm="1">
        <f t="array" ref="O20">_xlfn.XLOOKUP(1,(Table1[[#This Row],[Customer]]=[1]!Table1[Customer])*(Table1[[#This Row],[Sales Orders]]=[1]!Table1[Sales Order])*(Table1[[#This Row],[Product ID]]=[1]!Table1[Product ID]),[1]!Table1[New Invoice
 Date],"")</f>
        <v>#REF!</v>
      </c>
      <c r="P20" t="e" cm="1">
        <f t="array" ref="P20">_xlfn.XLOOKUP(1,(Table1[[#This Row],[Customer]]=[1]!Table1[Customer])*(Table1[[#This Row],[Sales Orders]]=[1]!Table1[Sales Order])*(Table1[[#This Row],[Product ID]]=[1]!Table1[Product ID]),[1]!Table1[New 
Invoice '#],"")</f>
        <v>#REF!</v>
      </c>
      <c r="Q20" s="16" t="s">
        <v>75</v>
      </c>
      <c r="R20" t="e" cm="1">
        <f t="array" ref="R2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0" s="5">
        <v>1</v>
      </c>
      <c r="T20">
        <v>1</v>
      </c>
      <c r="U20" s="5">
        <v>0</v>
      </c>
      <c r="V20" s="5">
        <v>26592</v>
      </c>
      <c r="W20" s="5">
        <v>12598</v>
      </c>
      <c r="X20" t="s">
        <v>76</v>
      </c>
      <c r="Y20" s="6">
        <v>45968</v>
      </c>
      <c r="Z20" s="5">
        <v>2981</v>
      </c>
      <c r="AA20" t="s">
        <v>35</v>
      </c>
      <c r="AB20" s="5"/>
      <c r="AD20" t="s">
        <v>77</v>
      </c>
      <c r="AE20" t="s">
        <v>86</v>
      </c>
      <c r="AF20" t="s">
        <v>38</v>
      </c>
    </row>
    <row r="21" spans="1:32" ht="16" x14ac:dyDescent="0.2">
      <c r="A21" t="s">
        <v>85</v>
      </c>
      <c r="C21" s="5">
        <v>12598</v>
      </c>
      <c r="D21" t="s">
        <v>79</v>
      </c>
      <c r="E21">
        <v>6.6</v>
      </c>
      <c r="F21">
        <v>7.92</v>
      </c>
      <c r="G21" s="3">
        <v>1.3200000000000003</v>
      </c>
      <c r="H21" s="4">
        <v>0.16666666666666671</v>
      </c>
      <c r="I21" s="6">
        <v>45968</v>
      </c>
      <c r="J21" s="14" t="e" cm="1">
        <f t="array" ref="J2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1" s="4"/>
      <c r="L21" s="4"/>
      <c r="M21" s="4"/>
      <c r="N21" s="4"/>
      <c r="O21" s="6" t="e" cm="1">
        <f t="array" ref="O21">_xlfn.XLOOKUP(1,(Table1[[#This Row],[Customer]]=[1]!Table1[Customer])*(Table1[[#This Row],[Sales Orders]]=[1]!Table1[Sales Order])*(Table1[[#This Row],[Product ID]]=[1]!Table1[Product ID]),[1]!Table1[New Invoice
 Date],"")</f>
        <v>#REF!</v>
      </c>
      <c r="P21" t="e" cm="1">
        <f t="array" ref="P21">_xlfn.XLOOKUP(1,(Table1[[#This Row],[Customer]]=[1]!Table1[Customer])*(Table1[[#This Row],[Sales Orders]]=[1]!Table1[Sales Order])*(Table1[[#This Row],[Product ID]]=[1]!Table1[Product ID]),[1]!Table1[New 
Invoice '#],"")</f>
        <v>#REF!</v>
      </c>
      <c r="Q21" s="16" t="s">
        <v>75</v>
      </c>
      <c r="R21" t="e" cm="1">
        <f t="array" ref="R2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1" s="5">
        <v>2</v>
      </c>
      <c r="T21">
        <v>0</v>
      </c>
      <c r="U21" s="5">
        <v>0</v>
      </c>
      <c r="V21" s="5">
        <v>26592</v>
      </c>
      <c r="W21" s="5">
        <v>12598</v>
      </c>
      <c r="X21" t="s">
        <v>76</v>
      </c>
      <c r="Y21" s="6">
        <v>45968</v>
      </c>
      <c r="Z21" s="5">
        <v>2981</v>
      </c>
      <c r="AA21" t="s">
        <v>35</v>
      </c>
      <c r="AB21" s="5"/>
      <c r="AD21" t="s">
        <v>80</v>
      </c>
    </row>
    <row r="22" spans="1:32" ht="16" x14ac:dyDescent="0.2">
      <c r="A22" t="s">
        <v>87</v>
      </c>
      <c r="C22" s="5">
        <v>12600</v>
      </c>
      <c r="D22" t="s">
        <v>88</v>
      </c>
      <c r="E22">
        <v>112.78</v>
      </c>
      <c r="F22">
        <v>135.34</v>
      </c>
      <c r="G22" s="3">
        <v>22.560000000000002</v>
      </c>
      <c r="H22" s="4">
        <v>0.16669129599527119</v>
      </c>
      <c r="I22" s="6">
        <v>45968</v>
      </c>
      <c r="J22" s="14" t="e" cm="1">
        <f t="array" ref="J2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2" s="4"/>
      <c r="L22" s="4"/>
      <c r="M22" s="4"/>
      <c r="N22" s="4"/>
      <c r="O22" s="6" t="e" cm="1">
        <f t="array" ref="O22">_xlfn.XLOOKUP(1,(Table1[[#This Row],[Customer]]=[1]!Table1[Customer])*(Table1[[#This Row],[Sales Orders]]=[1]!Table1[Sales Order])*(Table1[[#This Row],[Product ID]]=[1]!Table1[Product ID]),[1]!Table1[New Invoice
 Date],"")</f>
        <v>#REF!</v>
      </c>
      <c r="P22" t="e" cm="1">
        <f t="array" ref="P22">_xlfn.XLOOKUP(1,(Table1[[#This Row],[Customer]]=[1]!Table1[Customer])*(Table1[[#This Row],[Sales Orders]]=[1]!Table1[Sales Order])*(Table1[[#This Row],[Product ID]]=[1]!Table1[Product ID]),[1]!Table1[New 
Invoice '#],"")</f>
        <v>#REF!</v>
      </c>
      <c r="Q22" s="16" t="s">
        <v>75</v>
      </c>
      <c r="R22" t="e" cm="1">
        <f t="array" ref="R2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2" s="5">
        <v>1</v>
      </c>
      <c r="T22">
        <v>1</v>
      </c>
      <c r="U22" s="5">
        <v>0</v>
      </c>
      <c r="V22" s="5">
        <v>26592</v>
      </c>
      <c r="W22" s="5">
        <v>12600</v>
      </c>
      <c r="X22" t="s">
        <v>76</v>
      </c>
      <c r="Y22" s="6">
        <v>45968</v>
      </c>
      <c r="Z22" s="5">
        <v>2981</v>
      </c>
      <c r="AA22" t="s">
        <v>35</v>
      </c>
      <c r="AB22" s="5"/>
      <c r="AD22" t="s">
        <v>89</v>
      </c>
      <c r="AE22" t="s">
        <v>90</v>
      </c>
      <c r="AF22" t="s">
        <v>38</v>
      </c>
    </row>
    <row r="23" spans="1:32" ht="16" x14ac:dyDescent="0.2">
      <c r="A23" t="s">
        <v>87</v>
      </c>
      <c r="C23" s="5">
        <v>12600</v>
      </c>
      <c r="D23" t="s">
        <v>91</v>
      </c>
      <c r="E23">
        <v>1359.23</v>
      </c>
      <c r="F23">
        <v>1580.5</v>
      </c>
      <c r="G23" s="3">
        <v>221.26999999999998</v>
      </c>
      <c r="H23" s="4">
        <v>0.13999999999999999</v>
      </c>
      <c r="I23" s="6">
        <v>45968</v>
      </c>
      <c r="J23" s="14" t="e" cm="1">
        <f t="array" ref="J2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" s="4"/>
      <c r="L23" s="4"/>
      <c r="M23" s="4"/>
      <c r="N23" s="4"/>
      <c r="O23" s="6" t="e" cm="1">
        <f t="array" ref="O23">_xlfn.XLOOKUP(1,(Table1[[#This Row],[Customer]]=[1]!Table1[Customer])*(Table1[[#This Row],[Sales Orders]]=[1]!Table1[Sales Order])*(Table1[[#This Row],[Product ID]]=[1]!Table1[Product ID]),[1]!Table1[New Invoice
 Date],"")</f>
        <v>#REF!</v>
      </c>
      <c r="P23" t="e" cm="1">
        <f t="array" ref="P23">_xlfn.XLOOKUP(1,(Table1[[#This Row],[Customer]]=[1]!Table1[Customer])*(Table1[[#This Row],[Sales Orders]]=[1]!Table1[Sales Order])*(Table1[[#This Row],[Product ID]]=[1]!Table1[Product ID]),[1]!Table1[New 
Invoice '#],"")</f>
        <v>#REF!</v>
      </c>
      <c r="Q23" s="16" t="s">
        <v>75</v>
      </c>
      <c r="R23" t="e" cm="1">
        <f t="array" ref="R2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3" s="5">
        <v>1</v>
      </c>
      <c r="T23">
        <v>1</v>
      </c>
      <c r="U23" s="5">
        <v>0</v>
      </c>
      <c r="V23" s="5">
        <v>26592</v>
      </c>
      <c r="W23" s="5">
        <v>12600</v>
      </c>
      <c r="X23" t="s">
        <v>76</v>
      </c>
      <c r="Y23" s="6">
        <v>45968</v>
      </c>
      <c r="Z23" s="5">
        <v>2981</v>
      </c>
      <c r="AA23" t="s">
        <v>35</v>
      </c>
      <c r="AB23" s="5"/>
      <c r="AD23" t="s">
        <v>92</v>
      </c>
      <c r="AE23" t="s">
        <v>90</v>
      </c>
      <c r="AF23" t="s">
        <v>38</v>
      </c>
    </row>
    <row r="24" spans="1:32" ht="16" x14ac:dyDescent="0.2">
      <c r="A24" t="s">
        <v>87</v>
      </c>
      <c r="C24" s="5">
        <v>12600</v>
      </c>
      <c r="D24" t="s">
        <v>74</v>
      </c>
      <c r="E24">
        <v>1860.18</v>
      </c>
      <c r="F24">
        <v>2163</v>
      </c>
      <c r="G24" s="3">
        <v>302.81999999999994</v>
      </c>
      <c r="H24" s="4">
        <v>0.13999999999999996</v>
      </c>
      <c r="I24" s="6">
        <v>45968</v>
      </c>
      <c r="J24" s="14" t="e" cm="1">
        <f t="array" ref="J2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" s="4"/>
      <c r="L24" s="4"/>
      <c r="M24" s="4"/>
      <c r="N24" s="4"/>
      <c r="O24" s="6" t="e" cm="1">
        <f t="array" ref="O24">_xlfn.XLOOKUP(1,(Table1[[#This Row],[Customer]]=[1]!Table1[Customer])*(Table1[[#This Row],[Sales Orders]]=[1]!Table1[Sales Order])*(Table1[[#This Row],[Product ID]]=[1]!Table1[Product ID]),[1]!Table1[New Invoice
 Date],"")</f>
        <v>#REF!</v>
      </c>
      <c r="P24" t="e" cm="1">
        <f t="array" ref="P24">_xlfn.XLOOKUP(1,(Table1[[#This Row],[Customer]]=[1]!Table1[Customer])*(Table1[[#This Row],[Sales Orders]]=[1]!Table1[Sales Order])*(Table1[[#This Row],[Product ID]]=[1]!Table1[Product ID]),[1]!Table1[New 
Invoice '#],"")</f>
        <v>#REF!</v>
      </c>
      <c r="Q24" s="16" t="s">
        <v>75</v>
      </c>
      <c r="R24" t="e" cm="1">
        <f t="array" ref="R2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4" s="5">
        <v>3</v>
      </c>
      <c r="T24">
        <v>3</v>
      </c>
      <c r="U24" s="5">
        <v>0</v>
      </c>
      <c r="V24" s="5">
        <v>26592</v>
      </c>
      <c r="W24" s="5">
        <v>12600</v>
      </c>
      <c r="X24" t="s">
        <v>76</v>
      </c>
      <c r="Y24" s="6">
        <v>45968</v>
      </c>
      <c r="Z24" s="5">
        <v>2981</v>
      </c>
      <c r="AA24" t="s">
        <v>35</v>
      </c>
      <c r="AB24" s="5"/>
      <c r="AD24" t="s">
        <v>77</v>
      </c>
      <c r="AE24" t="s">
        <v>90</v>
      </c>
      <c r="AF24" t="s">
        <v>38</v>
      </c>
    </row>
    <row r="25" spans="1:32" ht="16" x14ac:dyDescent="0.2">
      <c r="A25" t="s">
        <v>87</v>
      </c>
      <c r="C25" s="5">
        <v>12600</v>
      </c>
      <c r="D25" t="s">
        <v>79</v>
      </c>
      <c r="E25">
        <v>26.4</v>
      </c>
      <c r="F25">
        <v>31.68</v>
      </c>
      <c r="G25" s="3">
        <v>5.2800000000000011</v>
      </c>
      <c r="H25" s="4">
        <v>0.16666666666666671</v>
      </c>
      <c r="I25" s="6">
        <v>45968</v>
      </c>
      <c r="J25" s="14" t="e" cm="1">
        <f t="array" ref="J2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5" s="4"/>
      <c r="L25" s="4"/>
      <c r="M25" s="4"/>
      <c r="N25" s="4"/>
      <c r="O25" s="6" t="e" cm="1">
        <f t="array" ref="O25">_xlfn.XLOOKUP(1,(Table1[[#This Row],[Customer]]=[1]!Table1[Customer])*(Table1[[#This Row],[Sales Orders]]=[1]!Table1[Sales Order])*(Table1[[#This Row],[Product ID]]=[1]!Table1[Product ID]),[1]!Table1[New Invoice
 Date],"")</f>
        <v>#REF!</v>
      </c>
      <c r="P25" t="e" cm="1">
        <f t="array" ref="P25">_xlfn.XLOOKUP(1,(Table1[[#This Row],[Customer]]=[1]!Table1[Customer])*(Table1[[#This Row],[Sales Orders]]=[1]!Table1[Sales Order])*(Table1[[#This Row],[Product ID]]=[1]!Table1[Product ID]),[1]!Table1[New 
Invoice '#],"")</f>
        <v>#REF!</v>
      </c>
      <c r="Q25" s="16" t="s">
        <v>75</v>
      </c>
      <c r="R25" t="e" cm="1">
        <f t="array" ref="R2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5" s="5">
        <v>8</v>
      </c>
      <c r="T25">
        <v>0</v>
      </c>
      <c r="U25" s="5">
        <v>0</v>
      </c>
      <c r="V25" s="5">
        <v>26592</v>
      </c>
      <c r="W25" s="5">
        <v>12600</v>
      </c>
      <c r="X25" t="s">
        <v>76</v>
      </c>
      <c r="Y25" s="6">
        <v>45968</v>
      </c>
      <c r="Z25" s="5">
        <v>2981</v>
      </c>
      <c r="AA25" t="s">
        <v>35</v>
      </c>
      <c r="AB25" s="5"/>
      <c r="AD25" t="s">
        <v>80</v>
      </c>
    </row>
    <row r="26" spans="1:32" x14ac:dyDescent="0.2">
      <c r="A26" t="s">
        <v>93</v>
      </c>
      <c r="C26" s="5">
        <v>12603</v>
      </c>
      <c r="D26" t="s">
        <v>94</v>
      </c>
      <c r="E26">
        <v>3944.56</v>
      </c>
      <c r="F26">
        <v>4210</v>
      </c>
      <c r="G26" s="3">
        <v>265.44000000000005</v>
      </c>
      <c r="H26" s="4">
        <v>6.3049881235154412E-2</v>
      </c>
      <c r="I26" s="6">
        <v>45971</v>
      </c>
      <c r="J26" s="14" t="e" cm="1">
        <f t="array" ref="J2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6" s="4"/>
      <c r="L26" s="4"/>
      <c r="M26" s="4"/>
      <c r="N26" s="4"/>
      <c r="O26" s="6" t="e" cm="1">
        <f t="array" ref="O26">_xlfn.XLOOKUP(1,(Table1[[#This Row],[Customer]]=[1]!Table1[Customer])*(Table1[[#This Row],[Sales Orders]]=[1]!Table1[Sales Order])*(Table1[[#This Row],[Product ID]]=[1]!Table1[Product ID]),[1]!Table1[New Invoice
 Date],"")</f>
        <v>#REF!</v>
      </c>
      <c r="P26" t="e" cm="1">
        <f t="array" ref="P26">_xlfn.XLOOKUP(1,(Table1[[#This Row],[Customer]]=[1]!Table1[Customer])*(Table1[[#This Row],[Sales Orders]]=[1]!Table1[Sales Order])*(Table1[[#This Row],[Product ID]]=[1]!Table1[Product ID]),[1]!Table1[New 
Invoice '#],"")</f>
        <v>#REF!</v>
      </c>
      <c r="Q26" t="e" cm="1">
        <f t="array" ref="Q26">_xlfn.XLOOKUP(1,(Table1[[#This Row],[Customer]]=[1]!Table1[Customer])*(Table1[[#This Row],[Sales Orders]]=[1]!Table1[Sales Order])*(Table1[[#This Row],[Product ID]]=[1]!Table1[Product ID]),[1]!Table1[Notes],"")</f>
        <v>#REF!</v>
      </c>
      <c r="R26" t="e" cm="1">
        <f t="array" ref="R2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6" s="5">
        <v>2</v>
      </c>
      <c r="T26">
        <v>0</v>
      </c>
      <c r="U26" s="5">
        <v>0</v>
      </c>
      <c r="V26" s="5">
        <v>27255</v>
      </c>
      <c r="W26" s="5">
        <v>12603</v>
      </c>
      <c r="X26" t="s">
        <v>95</v>
      </c>
      <c r="Y26" s="6">
        <v>45971</v>
      </c>
      <c r="Z26" s="5"/>
      <c r="AB26" s="5"/>
      <c r="AD26" t="s">
        <v>96</v>
      </c>
    </row>
    <row r="27" spans="1:32" x14ac:dyDescent="0.2">
      <c r="A27" t="s">
        <v>93</v>
      </c>
      <c r="C27" s="5">
        <v>12604</v>
      </c>
      <c r="D27" t="s">
        <v>97</v>
      </c>
      <c r="E27">
        <v>2472.5</v>
      </c>
      <c r="F27">
        <v>3066</v>
      </c>
      <c r="G27" s="3">
        <v>593.5</v>
      </c>
      <c r="H27" s="4">
        <v>0.19357469015003262</v>
      </c>
      <c r="I27" s="6">
        <v>45971</v>
      </c>
      <c r="J27" s="14" t="e" cm="1">
        <f t="array" ref="J2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7" s="4"/>
      <c r="L27" s="4"/>
      <c r="M27" s="4"/>
      <c r="N27" s="4"/>
      <c r="O27" s="6" t="e" cm="1">
        <f t="array" ref="O27">_xlfn.XLOOKUP(1,(Table1[[#This Row],[Customer]]=[1]!Table1[Customer])*(Table1[[#This Row],[Sales Orders]]=[1]!Table1[Sales Order])*(Table1[[#This Row],[Product ID]]=[1]!Table1[Product ID]),[1]!Table1[New Invoice
 Date],"")</f>
        <v>#REF!</v>
      </c>
      <c r="P27" t="e" cm="1">
        <f t="array" ref="P27">_xlfn.XLOOKUP(1,(Table1[[#This Row],[Customer]]=[1]!Table1[Customer])*(Table1[[#This Row],[Sales Orders]]=[1]!Table1[Sales Order])*(Table1[[#This Row],[Product ID]]=[1]!Table1[Product ID]),[1]!Table1[New 
Invoice '#],"")</f>
        <v>#REF!</v>
      </c>
      <c r="Q27" t="e" cm="1">
        <f t="array" ref="Q27">_xlfn.XLOOKUP(1,(Table1[[#This Row],[Customer]]=[1]!Table1[Customer])*(Table1[[#This Row],[Sales Orders]]=[1]!Table1[Sales Order])*(Table1[[#This Row],[Product ID]]=[1]!Table1[Product ID]),[1]!Table1[Notes],"")</f>
        <v>#REF!</v>
      </c>
      <c r="R27" t="e" cm="1">
        <f t="array" ref="R2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7" s="5">
        <v>2</v>
      </c>
      <c r="T27">
        <v>0</v>
      </c>
      <c r="U27" s="5">
        <v>0</v>
      </c>
      <c r="V27" s="5">
        <v>27256</v>
      </c>
      <c r="W27" s="5">
        <v>12604</v>
      </c>
      <c r="X27" t="s">
        <v>98</v>
      </c>
      <c r="Y27" s="6">
        <v>45971</v>
      </c>
      <c r="Z27" s="5"/>
      <c r="AB27" s="5"/>
      <c r="AD27" t="s">
        <v>99</v>
      </c>
    </row>
    <row r="28" spans="1:32" x14ac:dyDescent="0.2">
      <c r="A28" t="s">
        <v>93</v>
      </c>
      <c r="C28" s="5">
        <v>12604</v>
      </c>
      <c r="D28" t="s">
        <v>94</v>
      </c>
      <c r="E28">
        <v>3944.56</v>
      </c>
      <c r="F28">
        <v>4210</v>
      </c>
      <c r="G28" s="3">
        <v>265.44000000000005</v>
      </c>
      <c r="H28" s="4">
        <v>6.3049881235154412E-2</v>
      </c>
      <c r="I28" s="6">
        <v>45971</v>
      </c>
      <c r="J28" s="14" t="e" cm="1">
        <f t="array" ref="J2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8" s="4"/>
      <c r="L28" s="4"/>
      <c r="M28" s="4"/>
      <c r="N28" s="4"/>
      <c r="O28" s="6" t="e" cm="1">
        <f t="array" ref="O28">_xlfn.XLOOKUP(1,(Table1[[#This Row],[Customer]]=[1]!Table1[Customer])*(Table1[[#This Row],[Sales Orders]]=[1]!Table1[Sales Order])*(Table1[[#This Row],[Product ID]]=[1]!Table1[Product ID]),[1]!Table1[New Invoice
 Date],"")</f>
        <v>#REF!</v>
      </c>
      <c r="P28" t="e" cm="1">
        <f t="array" ref="P28">_xlfn.XLOOKUP(1,(Table1[[#This Row],[Customer]]=[1]!Table1[Customer])*(Table1[[#This Row],[Sales Orders]]=[1]!Table1[Sales Order])*(Table1[[#This Row],[Product ID]]=[1]!Table1[Product ID]),[1]!Table1[New 
Invoice '#],"")</f>
        <v>#REF!</v>
      </c>
      <c r="Q28" t="e" cm="1">
        <f t="array" ref="Q28">_xlfn.XLOOKUP(1,(Table1[[#This Row],[Customer]]=[1]!Table1[Customer])*(Table1[[#This Row],[Sales Orders]]=[1]!Table1[Sales Order])*(Table1[[#This Row],[Product ID]]=[1]!Table1[Product ID]),[1]!Table1[Notes],"")</f>
        <v>#REF!</v>
      </c>
      <c r="R28" t="e" cm="1">
        <f t="array" ref="R2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8" s="5">
        <v>2</v>
      </c>
      <c r="T28">
        <v>0</v>
      </c>
      <c r="U28" s="5">
        <v>0</v>
      </c>
      <c r="V28" s="5">
        <v>27256</v>
      </c>
      <c r="W28" s="5">
        <v>12604</v>
      </c>
      <c r="X28" t="s">
        <v>98</v>
      </c>
      <c r="Y28" s="6">
        <v>45971</v>
      </c>
      <c r="Z28" s="5"/>
      <c r="AB28" s="5"/>
      <c r="AD28" t="s">
        <v>100</v>
      </c>
    </row>
    <row r="29" spans="1:32" x14ac:dyDescent="0.2">
      <c r="A29" t="s">
        <v>93</v>
      </c>
      <c r="C29" s="5">
        <v>12603</v>
      </c>
      <c r="D29" t="s">
        <v>97</v>
      </c>
      <c r="E29">
        <v>3708.75</v>
      </c>
      <c r="F29">
        <v>4599</v>
      </c>
      <c r="G29" s="3">
        <v>890.25</v>
      </c>
      <c r="H29" s="4">
        <v>0.19357469015003262</v>
      </c>
      <c r="I29" s="6">
        <v>45971</v>
      </c>
      <c r="J29" s="14" t="e" cm="1">
        <f t="array" ref="J2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9" s="4"/>
      <c r="L29" s="4"/>
      <c r="M29" s="4"/>
      <c r="N29" s="4"/>
      <c r="O29" s="6" t="e" cm="1">
        <f t="array" ref="O29">_xlfn.XLOOKUP(1,(Table1[[#This Row],[Customer]]=[1]!Table1[Customer])*(Table1[[#This Row],[Sales Orders]]=[1]!Table1[Sales Order])*(Table1[[#This Row],[Product ID]]=[1]!Table1[Product ID]),[1]!Table1[New Invoice
 Date],"")</f>
        <v>#REF!</v>
      </c>
      <c r="P29" t="e" cm="1">
        <f t="array" ref="P29">_xlfn.XLOOKUP(1,(Table1[[#This Row],[Customer]]=[1]!Table1[Customer])*(Table1[[#This Row],[Sales Orders]]=[1]!Table1[Sales Order])*(Table1[[#This Row],[Product ID]]=[1]!Table1[Product ID]),[1]!Table1[New 
Invoice '#],"")</f>
        <v>#REF!</v>
      </c>
      <c r="Q29" t="e" cm="1">
        <f t="array" ref="Q29">_xlfn.XLOOKUP(1,(Table1[[#This Row],[Customer]]=[1]!Table1[Customer])*(Table1[[#This Row],[Sales Orders]]=[1]!Table1[Sales Order])*(Table1[[#This Row],[Product ID]]=[1]!Table1[Product ID]),[1]!Table1[Notes],"")</f>
        <v>#REF!</v>
      </c>
      <c r="R29" t="e" cm="1">
        <f t="array" ref="R2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29" s="5">
        <v>3</v>
      </c>
      <c r="T29">
        <v>0</v>
      </c>
      <c r="U29" s="5">
        <v>0</v>
      </c>
      <c r="V29" s="5">
        <v>27255</v>
      </c>
      <c r="W29" s="5">
        <v>12603</v>
      </c>
      <c r="X29" t="s">
        <v>95</v>
      </c>
      <c r="Y29" s="6">
        <v>45971</v>
      </c>
      <c r="Z29" s="5"/>
      <c r="AB29" s="5"/>
      <c r="AD29" t="s">
        <v>99</v>
      </c>
    </row>
    <row r="30" spans="1:32" x14ac:dyDescent="0.2">
      <c r="A30" t="s">
        <v>93</v>
      </c>
      <c r="C30" s="5">
        <v>12604</v>
      </c>
      <c r="D30" t="s">
        <v>101</v>
      </c>
      <c r="E30">
        <v>4361.5</v>
      </c>
      <c r="F30">
        <v>5325</v>
      </c>
      <c r="G30" s="3">
        <v>963.5</v>
      </c>
      <c r="H30" s="4">
        <v>0.18093896713615024</v>
      </c>
      <c r="I30" s="6">
        <v>45971</v>
      </c>
      <c r="J30" s="14" t="e" cm="1">
        <f t="array" ref="J3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0" s="4"/>
      <c r="L30" s="4"/>
      <c r="M30" s="4"/>
      <c r="N30" s="4"/>
      <c r="O30" s="6" t="e" cm="1">
        <f t="array" ref="O30">_xlfn.XLOOKUP(1,(Table1[[#This Row],[Customer]]=[1]!Table1[Customer])*(Table1[[#This Row],[Sales Orders]]=[1]!Table1[Sales Order])*(Table1[[#This Row],[Product ID]]=[1]!Table1[Product ID]),[1]!Table1[New Invoice
 Date],"")</f>
        <v>#REF!</v>
      </c>
      <c r="P30" t="e" cm="1">
        <f t="array" ref="P30">_xlfn.XLOOKUP(1,(Table1[[#This Row],[Customer]]=[1]!Table1[Customer])*(Table1[[#This Row],[Sales Orders]]=[1]!Table1[Sales Order])*(Table1[[#This Row],[Product ID]]=[1]!Table1[Product ID]),[1]!Table1[New 
Invoice '#],"")</f>
        <v>#REF!</v>
      </c>
      <c r="Q30" t="e" cm="1">
        <f t="array" ref="Q30">_xlfn.XLOOKUP(1,(Table1[[#This Row],[Customer]]=[1]!Table1[Customer])*(Table1[[#This Row],[Sales Orders]]=[1]!Table1[Sales Order])*(Table1[[#This Row],[Product ID]]=[1]!Table1[Product ID]),[1]!Table1[Notes],"")</f>
        <v>#REF!</v>
      </c>
      <c r="R30" t="e" cm="1">
        <f t="array" ref="R3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0" s="5">
        <v>5</v>
      </c>
      <c r="T30">
        <v>0</v>
      </c>
      <c r="U30" s="5">
        <v>0</v>
      </c>
      <c r="V30" s="5">
        <v>27256</v>
      </c>
      <c r="W30" s="5">
        <v>12604</v>
      </c>
      <c r="X30" t="s">
        <v>98</v>
      </c>
      <c r="Y30" s="6">
        <v>45971</v>
      </c>
      <c r="Z30" s="5"/>
      <c r="AB30" s="5"/>
      <c r="AD30" t="s">
        <v>102</v>
      </c>
    </row>
    <row r="31" spans="1:32" x14ac:dyDescent="0.2">
      <c r="A31" t="s">
        <v>93</v>
      </c>
      <c r="C31" s="5">
        <v>12603</v>
      </c>
      <c r="D31" t="s">
        <v>101</v>
      </c>
      <c r="E31">
        <v>11339.9</v>
      </c>
      <c r="F31">
        <v>13845</v>
      </c>
      <c r="G31" s="3">
        <v>2505.1000000000004</v>
      </c>
      <c r="H31" s="4">
        <v>0.18093896713615026</v>
      </c>
      <c r="I31" s="6">
        <v>45971</v>
      </c>
      <c r="J31" s="14" t="e" cm="1">
        <f t="array" ref="J3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1" s="4"/>
      <c r="L31" s="4"/>
      <c r="M31" s="4"/>
      <c r="N31" s="4"/>
      <c r="O31" s="6" t="e" cm="1">
        <f t="array" ref="O31">_xlfn.XLOOKUP(1,(Table1[[#This Row],[Customer]]=[1]!Table1[Customer])*(Table1[[#This Row],[Sales Orders]]=[1]!Table1[Sales Order])*(Table1[[#This Row],[Product ID]]=[1]!Table1[Product ID]),[1]!Table1[New Invoice
 Date],"")</f>
        <v>#REF!</v>
      </c>
      <c r="P31" t="e" cm="1">
        <f t="array" ref="P31">_xlfn.XLOOKUP(1,(Table1[[#This Row],[Customer]]=[1]!Table1[Customer])*(Table1[[#This Row],[Sales Orders]]=[1]!Table1[Sales Order])*(Table1[[#This Row],[Product ID]]=[1]!Table1[Product ID]),[1]!Table1[New 
Invoice '#],"")</f>
        <v>#REF!</v>
      </c>
      <c r="Q31" t="e" cm="1">
        <f t="array" ref="Q31">_xlfn.XLOOKUP(1,(Table1[[#This Row],[Customer]]=[1]!Table1[Customer])*(Table1[[#This Row],[Sales Orders]]=[1]!Table1[Sales Order])*(Table1[[#This Row],[Product ID]]=[1]!Table1[Product ID]),[1]!Table1[Notes],"")</f>
        <v>#REF!</v>
      </c>
      <c r="R31" t="e" cm="1">
        <f t="array" ref="R3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1" s="5">
        <v>13</v>
      </c>
      <c r="T31">
        <v>0</v>
      </c>
      <c r="U31" s="5">
        <v>0</v>
      </c>
      <c r="V31" s="5">
        <v>27255</v>
      </c>
      <c r="W31" s="5">
        <v>12603</v>
      </c>
      <c r="X31" t="s">
        <v>95</v>
      </c>
      <c r="Y31" s="6">
        <v>45971</v>
      </c>
      <c r="Z31" s="5"/>
      <c r="AB31" s="5"/>
      <c r="AD31" t="s">
        <v>102</v>
      </c>
    </row>
    <row r="32" spans="1:32" ht="16" x14ac:dyDescent="0.2">
      <c r="A32" t="s">
        <v>103</v>
      </c>
      <c r="C32" s="5">
        <v>12628</v>
      </c>
      <c r="D32" t="s">
        <v>104</v>
      </c>
      <c r="E32">
        <v>2046.72</v>
      </c>
      <c r="F32">
        <v>2456.06</v>
      </c>
      <c r="G32" s="3">
        <v>409.33999999999992</v>
      </c>
      <c r="H32" s="4">
        <v>0.16666530947941008</v>
      </c>
      <c r="I32" s="6">
        <v>45978</v>
      </c>
      <c r="J32" s="14" t="e" cm="1">
        <f t="array" ref="J3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2" s="4"/>
      <c r="L32" s="4"/>
      <c r="M32" s="4"/>
      <c r="N32" s="4"/>
      <c r="O32" s="6" t="e" cm="1">
        <f t="array" ref="O32">_xlfn.XLOOKUP(1,(Table1[[#This Row],[Customer]]=[1]!Table1[Customer])*(Table1[[#This Row],[Sales Orders]]=[1]!Table1[Sales Order])*(Table1[[#This Row],[Product ID]]=[1]!Table1[Product ID]),[1]!Table1[New Invoice
 Date],"")</f>
        <v>#REF!</v>
      </c>
      <c r="P32" t="e" cm="1">
        <f t="array" ref="P32">_xlfn.XLOOKUP(1,(Table1[[#This Row],[Customer]]=[1]!Table1[Customer])*(Table1[[#This Row],[Sales Orders]]=[1]!Table1[Sales Order])*(Table1[[#This Row],[Product ID]]=[1]!Table1[Product ID]),[1]!Table1[New 
Invoice '#],"")</f>
        <v>#REF!</v>
      </c>
      <c r="Q32" s="16" t="s">
        <v>105</v>
      </c>
      <c r="R32" t="e" cm="1">
        <f t="array" ref="R3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2" s="5">
        <v>1</v>
      </c>
      <c r="T32">
        <v>0</v>
      </c>
      <c r="U32" s="5">
        <v>0</v>
      </c>
      <c r="V32" s="5">
        <v>27266</v>
      </c>
      <c r="W32" s="5">
        <v>12628</v>
      </c>
      <c r="X32" t="s">
        <v>106</v>
      </c>
      <c r="Y32" s="6">
        <v>45978</v>
      </c>
      <c r="Z32" s="5"/>
      <c r="AB32" s="5"/>
      <c r="AD32" t="s">
        <v>107</v>
      </c>
    </row>
    <row r="33" spans="1:30" ht="16" x14ac:dyDescent="0.2">
      <c r="A33" t="s">
        <v>103</v>
      </c>
      <c r="C33" s="5">
        <v>12628</v>
      </c>
      <c r="D33" t="s">
        <v>108</v>
      </c>
      <c r="E33">
        <v>295.2</v>
      </c>
      <c r="F33">
        <v>354.24</v>
      </c>
      <c r="G33" s="3">
        <v>59.04000000000002</v>
      </c>
      <c r="H33" s="4">
        <v>0.16666666666666671</v>
      </c>
      <c r="I33" s="6">
        <v>45978</v>
      </c>
      <c r="J33" s="14" t="e" cm="1">
        <f t="array" ref="J3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3" s="4"/>
      <c r="L33" s="4"/>
      <c r="M33" s="4"/>
      <c r="N33" s="4"/>
      <c r="O33" s="6" t="e" cm="1">
        <f t="array" ref="O33">_xlfn.XLOOKUP(1,(Table1[[#This Row],[Customer]]=[1]!Table1[Customer])*(Table1[[#This Row],[Sales Orders]]=[1]!Table1[Sales Order])*(Table1[[#This Row],[Product ID]]=[1]!Table1[Product ID]),[1]!Table1[New Invoice
 Date],"")</f>
        <v>#REF!</v>
      </c>
      <c r="P33" t="e" cm="1">
        <f t="array" ref="P33">_xlfn.XLOOKUP(1,(Table1[[#This Row],[Customer]]=[1]!Table1[Customer])*(Table1[[#This Row],[Sales Orders]]=[1]!Table1[Sales Order])*(Table1[[#This Row],[Product ID]]=[1]!Table1[Product ID]),[1]!Table1[New 
Invoice '#],"")</f>
        <v>#REF!</v>
      </c>
      <c r="Q33" s="16" t="s">
        <v>105</v>
      </c>
      <c r="R33" t="e" cm="1">
        <f t="array" ref="R3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3" s="5">
        <v>1</v>
      </c>
      <c r="T33">
        <v>0</v>
      </c>
      <c r="U33" s="5">
        <v>0</v>
      </c>
      <c r="V33" s="5">
        <v>27266</v>
      </c>
      <c r="W33" s="5">
        <v>12628</v>
      </c>
      <c r="X33" t="s">
        <v>106</v>
      </c>
      <c r="Y33" s="6">
        <v>45978</v>
      </c>
      <c r="Z33" s="5"/>
      <c r="AB33" s="5"/>
      <c r="AD33" t="s">
        <v>109</v>
      </c>
    </row>
    <row r="34" spans="1:30" ht="16" x14ac:dyDescent="0.2">
      <c r="A34" t="s">
        <v>110</v>
      </c>
      <c r="C34" s="5">
        <v>12659</v>
      </c>
      <c r="D34" t="s">
        <v>62</v>
      </c>
      <c r="E34">
        <v>275</v>
      </c>
      <c r="F34">
        <v>275</v>
      </c>
      <c r="G34" s="3">
        <v>0</v>
      </c>
      <c r="H34" s="4">
        <v>0</v>
      </c>
      <c r="I34" s="6">
        <v>45987</v>
      </c>
      <c r="J34" s="14" t="e" cm="1">
        <f t="array" ref="J3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4" s="4"/>
      <c r="L34" s="4"/>
      <c r="M34" s="4"/>
      <c r="N34" s="4"/>
      <c r="O34" s="6" t="e" cm="1">
        <f t="array" ref="O34">_xlfn.XLOOKUP(1,(Table1[[#This Row],[Customer]]=[1]!Table1[Customer])*(Table1[[#This Row],[Sales Orders]]=[1]!Table1[Sales Order])*(Table1[[#This Row],[Product ID]]=[1]!Table1[Product ID]),[1]!Table1[New Invoice
 Date],"")</f>
        <v>#REF!</v>
      </c>
      <c r="P34" t="e" cm="1">
        <f t="array" ref="P34">_xlfn.XLOOKUP(1,(Table1[[#This Row],[Customer]]=[1]!Table1[Customer])*(Table1[[#This Row],[Sales Orders]]=[1]!Table1[Sales Order])*(Table1[[#This Row],[Product ID]]=[1]!Table1[Product ID]),[1]!Table1[New 
Invoice '#],"")</f>
        <v>#REF!</v>
      </c>
      <c r="Q34" s="16" t="s">
        <v>105</v>
      </c>
      <c r="R34" t="e" cm="1">
        <f t="array" ref="R3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4" s="5">
        <v>1</v>
      </c>
      <c r="T34">
        <v>0</v>
      </c>
      <c r="U34" s="5">
        <v>0</v>
      </c>
      <c r="V34" s="5">
        <v>27181</v>
      </c>
      <c r="W34" s="5">
        <v>12659</v>
      </c>
      <c r="X34" t="s">
        <v>98</v>
      </c>
      <c r="Y34" s="6">
        <v>45987</v>
      </c>
      <c r="Z34" s="5">
        <v>3138</v>
      </c>
      <c r="AA34" t="s">
        <v>111</v>
      </c>
      <c r="AB34" s="5"/>
      <c r="AD34" t="s">
        <v>63</v>
      </c>
    </row>
    <row r="35" spans="1:30" ht="16" x14ac:dyDescent="0.2">
      <c r="A35" t="s">
        <v>110</v>
      </c>
      <c r="C35" s="5">
        <v>12659</v>
      </c>
      <c r="D35" t="s">
        <v>112</v>
      </c>
      <c r="E35">
        <v>42210.720000000001</v>
      </c>
      <c r="F35">
        <v>48000</v>
      </c>
      <c r="G35" s="3">
        <v>5789.2799999999988</v>
      </c>
      <c r="H35" s="4">
        <v>0.12060999999999998</v>
      </c>
      <c r="I35" s="6">
        <v>45987</v>
      </c>
      <c r="J35" s="14" t="e" cm="1">
        <f t="array" ref="J3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5" s="4"/>
      <c r="L35" s="4"/>
      <c r="M35" s="4"/>
      <c r="N35" s="4"/>
      <c r="O35" s="6" t="e" cm="1">
        <f t="array" ref="O35">_xlfn.XLOOKUP(1,(Table1[[#This Row],[Customer]]=[1]!Table1[Customer])*(Table1[[#This Row],[Sales Orders]]=[1]!Table1[Sales Order])*(Table1[[#This Row],[Product ID]]=[1]!Table1[Product ID]),[1]!Table1[New Invoice
 Date],"")</f>
        <v>#REF!</v>
      </c>
      <c r="P35" t="e" cm="1">
        <f t="array" ref="P35">_xlfn.XLOOKUP(1,(Table1[[#This Row],[Customer]]=[1]!Table1[Customer])*(Table1[[#This Row],[Sales Orders]]=[1]!Table1[Sales Order])*(Table1[[#This Row],[Product ID]]=[1]!Table1[Product ID]),[1]!Table1[New 
Invoice '#],"")</f>
        <v>#REF!</v>
      </c>
      <c r="Q35" s="16" t="s">
        <v>105</v>
      </c>
      <c r="R35" t="e" cm="1">
        <f t="array" ref="R3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5" s="5">
        <v>48</v>
      </c>
      <c r="T35">
        <v>0</v>
      </c>
      <c r="U35" s="5">
        <v>0</v>
      </c>
      <c r="V35" s="5">
        <v>27181</v>
      </c>
      <c r="W35" s="5">
        <v>12659</v>
      </c>
      <c r="X35" t="s">
        <v>98</v>
      </c>
      <c r="Y35" s="6">
        <v>45987</v>
      </c>
      <c r="Z35" s="5">
        <v>3138</v>
      </c>
      <c r="AA35" t="s">
        <v>111</v>
      </c>
      <c r="AB35" s="5"/>
      <c r="AD35" t="s">
        <v>113</v>
      </c>
    </row>
    <row r="36" spans="1:30" ht="16" x14ac:dyDescent="0.2">
      <c r="A36" t="s">
        <v>114</v>
      </c>
      <c r="C36" s="5">
        <v>12663</v>
      </c>
      <c r="D36" t="s">
        <v>47</v>
      </c>
      <c r="E36">
        <v>1150.95</v>
      </c>
      <c r="F36">
        <v>1381.14</v>
      </c>
      <c r="G36" s="3">
        <v>230.19000000000005</v>
      </c>
      <c r="H36" s="4">
        <v>0.16666666666666669</v>
      </c>
      <c r="I36" s="6">
        <v>45992</v>
      </c>
      <c r="J36" s="14" t="e" cm="1">
        <f t="array" ref="J3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6" s="4"/>
      <c r="L36" s="4"/>
      <c r="M36" s="4"/>
      <c r="N36" s="4"/>
      <c r="O36" s="6" t="e" cm="1">
        <f t="array" ref="O36">_xlfn.XLOOKUP(1,(Table1[[#This Row],[Customer]]=[1]!Table1[Customer])*(Table1[[#This Row],[Sales Orders]]=[1]!Table1[Sales Order])*(Table1[[#This Row],[Product ID]]=[1]!Table1[Product ID]),[1]!Table1[New Invoice
 Date],"")</f>
        <v>#REF!</v>
      </c>
      <c r="P36" t="e" cm="1">
        <f t="array" ref="P36">_xlfn.XLOOKUP(1,(Table1[[#This Row],[Customer]]=[1]!Table1[Customer])*(Table1[[#This Row],[Sales Orders]]=[1]!Table1[Sales Order])*(Table1[[#This Row],[Product ID]]=[1]!Table1[Product ID]),[1]!Table1[New 
Invoice '#],"")</f>
        <v>#REF!</v>
      </c>
      <c r="Q36" s="16" t="s">
        <v>105</v>
      </c>
      <c r="R36" t="e" cm="1">
        <f t="array" ref="R3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6" s="5">
        <v>1</v>
      </c>
      <c r="T36">
        <v>0</v>
      </c>
      <c r="U36" s="5">
        <v>0</v>
      </c>
      <c r="V36" s="5">
        <v>27353</v>
      </c>
      <c r="W36" s="5">
        <v>12663</v>
      </c>
      <c r="X36" t="s">
        <v>95</v>
      </c>
      <c r="Y36" s="6">
        <v>45992</v>
      </c>
      <c r="Z36" s="5">
        <v>3139</v>
      </c>
      <c r="AA36" t="s">
        <v>115</v>
      </c>
      <c r="AB36" s="5"/>
      <c r="AD36" t="s">
        <v>116</v>
      </c>
    </row>
    <row r="37" spans="1:30" ht="16" x14ac:dyDescent="0.2">
      <c r="A37" t="s">
        <v>117</v>
      </c>
      <c r="C37" s="5">
        <v>12707</v>
      </c>
      <c r="D37" t="s">
        <v>62</v>
      </c>
      <c r="E37">
        <v>173.61</v>
      </c>
      <c r="F37">
        <v>173.61</v>
      </c>
      <c r="G37" s="3">
        <v>0</v>
      </c>
      <c r="H37" s="4">
        <v>0</v>
      </c>
      <c r="I37" s="6">
        <v>46006</v>
      </c>
      <c r="J37" s="14" t="e" cm="1">
        <f t="array" ref="J3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7" s="4"/>
      <c r="L37" s="4"/>
      <c r="M37" s="4"/>
      <c r="N37" s="4"/>
      <c r="O37" s="6" t="e" cm="1">
        <f t="array" ref="O37">_xlfn.XLOOKUP(1,(Table1[[#This Row],[Customer]]=[1]!Table1[Customer])*(Table1[[#This Row],[Sales Orders]]=[1]!Table1[Sales Order])*(Table1[[#This Row],[Product ID]]=[1]!Table1[Product ID]),[1]!Table1[New Invoice
 Date],"")</f>
        <v>#REF!</v>
      </c>
      <c r="P37" t="e" cm="1">
        <f t="array" ref="P37">_xlfn.XLOOKUP(1,(Table1[[#This Row],[Customer]]=[1]!Table1[Customer])*(Table1[[#This Row],[Sales Orders]]=[1]!Table1[Sales Order])*(Table1[[#This Row],[Product ID]]=[1]!Table1[Product ID]),[1]!Table1[New 
Invoice '#],"")</f>
        <v>#REF!</v>
      </c>
      <c r="Q37" s="16" t="s">
        <v>118</v>
      </c>
      <c r="R37" t="e" cm="1">
        <f t="array" ref="R3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7" s="5">
        <v>1</v>
      </c>
      <c r="T37">
        <v>0</v>
      </c>
      <c r="U37" s="5">
        <v>0</v>
      </c>
      <c r="V37" s="5">
        <v>27429</v>
      </c>
      <c r="W37" s="5">
        <v>12707</v>
      </c>
      <c r="X37" t="s">
        <v>119</v>
      </c>
      <c r="Y37" s="6">
        <v>46006</v>
      </c>
      <c r="Z37" s="5"/>
      <c r="AB37" s="5"/>
      <c r="AD37" t="s">
        <v>120</v>
      </c>
    </row>
    <row r="38" spans="1:30" ht="16" x14ac:dyDescent="0.2">
      <c r="A38" t="s">
        <v>117</v>
      </c>
      <c r="C38" s="5">
        <v>12707</v>
      </c>
      <c r="D38" t="s">
        <v>62</v>
      </c>
      <c r="E38">
        <v>33.799999999999997</v>
      </c>
      <c r="F38">
        <v>33.799999999999997</v>
      </c>
      <c r="G38" s="3">
        <v>0</v>
      </c>
      <c r="H38" s="4">
        <v>0</v>
      </c>
      <c r="I38" s="6">
        <v>46006</v>
      </c>
      <c r="J38" s="14" t="e" cm="1">
        <f t="array" ref="J3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8" s="4"/>
      <c r="L38" s="4"/>
      <c r="M38" s="4"/>
      <c r="N38" s="4"/>
      <c r="O38" s="6" t="e" cm="1">
        <f t="array" ref="O38">_xlfn.XLOOKUP(1,(Table1[[#This Row],[Customer]]=[1]!Table1[Customer])*(Table1[[#This Row],[Sales Orders]]=[1]!Table1[Sales Order])*(Table1[[#This Row],[Product ID]]=[1]!Table1[Product ID]),[1]!Table1[New Invoice
 Date],"")</f>
        <v>#REF!</v>
      </c>
      <c r="P38" t="e" cm="1">
        <f t="array" ref="P38">_xlfn.XLOOKUP(1,(Table1[[#This Row],[Customer]]=[1]!Table1[Customer])*(Table1[[#This Row],[Sales Orders]]=[1]!Table1[Sales Order])*(Table1[[#This Row],[Product ID]]=[1]!Table1[Product ID]),[1]!Table1[New 
Invoice '#],"")</f>
        <v>#REF!</v>
      </c>
      <c r="Q38" s="16" t="s">
        <v>118</v>
      </c>
      <c r="R38" t="e" cm="1">
        <f t="array" ref="R3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8" s="5">
        <v>1</v>
      </c>
      <c r="T38">
        <v>0</v>
      </c>
      <c r="U38" s="5">
        <v>0</v>
      </c>
      <c r="V38" s="5">
        <v>27429</v>
      </c>
      <c r="W38" s="5">
        <v>12707</v>
      </c>
      <c r="X38" t="s">
        <v>119</v>
      </c>
      <c r="Y38" s="6">
        <v>46006</v>
      </c>
      <c r="Z38" s="5"/>
      <c r="AB38" s="5"/>
      <c r="AD38" t="s">
        <v>63</v>
      </c>
    </row>
    <row r="39" spans="1:30" ht="16" x14ac:dyDescent="0.2">
      <c r="A39" t="s">
        <v>117</v>
      </c>
      <c r="C39" s="5">
        <v>12707</v>
      </c>
      <c r="D39" t="s">
        <v>62</v>
      </c>
      <c r="E39">
        <v>127.3</v>
      </c>
      <c r="F39">
        <v>127.3</v>
      </c>
      <c r="G39" s="3">
        <v>0</v>
      </c>
      <c r="H39" s="4">
        <v>0</v>
      </c>
      <c r="I39" s="6">
        <v>46006</v>
      </c>
      <c r="J39" s="14" t="e" cm="1">
        <f t="array" ref="J3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39" s="4"/>
      <c r="L39" s="4"/>
      <c r="M39" s="4"/>
      <c r="N39" s="4"/>
      <c r="O39" s="6" t="e" cm="1">
        <f t="array" ref="O39">_xlfn.XLOOKUP(1,(Table1[[#This Row],[Customer]]=[1]!Table1[Customer])*(Table1[[#This Row],[Sales Orders]]=[1]!Table1[Sales Order])*(Table1[[#This Row],[Product ID]]=[1]!Table1[Product ID]),[1]!Table1[New Invoice
 Date],"")</f>
        <v>#REF!</v>
      </c>
      <c r="P39" t="e" cm="1">
        <f t="array" ref="P39">_xlfn.XLOOKUP(1,(Table1[[#This Row],[Customer]]=[1]!Table1[Customer])*(Table1[[#This Row],[Sales Orders]]=[1]!Table1[Sales Order])*(Table1[[#This Row],[Product ID]]=[1]!Table1[Product ID]),[1]!Table1[New 
Invoice '#],"")</f>
        <v>#REF!</v>
      </c>
      <c r="Q39" s="16" t="s">
        <v>118</v>
      </c>
      <c r="R39" t="e" cm="1">
        <f t="array" ref="R3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39" s="5">
        <v>1</v>
      </c>
      <c r="T39">
        <v>0</v>
      </c>
      <c r="U39" s="5">
        <v>0</v>
      </c>
      <c r="V39" s="5">
        <v>27429</v>
      </c>
      <c r="W39" s="5">
        <v>12707</v>
      </c>
      <c r="X39" t="s">
        <v>119</v>
      </c>
      <c r="Y39" s="6">
        <v>46006</v>
      </c>
      <c r="Z39" s="5"/>
      <c r="AB39" s="5"/>
      <c r="AD39" t="s">
        <v>121</v>
      </c>
    </row>
    <row r="40" spans="1:30" ht="16" x14ac:dyDescent="0.2">
      <c r="A40" t="s">
        <v>117</v>
      </c>
      <c r="C40" s="5">
        <v>12707</v>
      </c>
      <c r="D40" t="s">
        <v>62</v>
      </c>
      <c r="E40">
        <v>109.39</v>
      </c>
      <c r="F40">
        <v>109.39</v>
      </c>
      <c r="G40" s="3">
        <v>0</v>
      </c>
      <c r="H40" s="4">
        <v>0</v>
      </c>
      <c r="I40" s="6">
        <v>46006</v>
      </c>
      <c r="J40" s="14" t="e" cm="1">
        <f t="array" ref="J4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0" s="4"/>
      <c r="L40" s="4"/>
      <c r="M40" s="4"/>
      <c r="N40" s="4"/>
      <c r="O40" s="6" t="e" cm="1">
        <f t="array" ref="O40">_xlfn.XLOOKUP(1,(Table1[[#This Row],[Customer]]=[1]!Table1[Customer])*(Table1[[#This Row],[Sales Orders]]=[1]!Table1[Sales Order])*(Table1[[#This Row],[Product ID]]=[1]!Table1[Product ID]),[1]!Table1[New Invoice
 Date],"")</f>
        <v>#REF!</v>
      </c>
      <c r="P40" t="e" cm="1">
        <f t="array" ref="P40">_xlfn.XLOOKUP(1,(Table1[[#This Row],[Customer]]=[1]!Table1[Customer])*(Table1[[#This Row],[Sales Orders]]=[1]!Table1[Sales Order])*(Table1[[#This Row],[Product ID]]=[1]!Table1[Product ID]),[1]!Table1[New 
Invoice '#],"")</f>
        <v>#REF!</v>
      </c>
      <c r="Q40" s="16" t="s">
        <v>118</v>
      </c>
      <c r="R40" t="e" cm="1">
        <f t="array" ref="R4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0" s="5">
        <v>1</v>
      </c>
      <c r="T40">
        <v>0</v>
      </c>
      <c r="U40" s="5">
        <v>0</v>
      </c>
      <c r="V40" s="5">
        <v>27429</v>
      </c>
      <c r="W40" s="5">
        <v>12707</v>
      </c>
      <c r="X40" t="s">
        <v>119</v>
      </c>
      <c r="Y40" s="6">
        <v>46006</v>
      </c>
      <c r="Z40" s="5"/>
      <c r="AB40" s="5"/>
      <c r="AD40" t="s">
        <v>122</v>
      </c>
    </row>
    <row r="41" spans="1:30" ht="16" x14ac:dyDescent="0.2">
      <c r="A41" t="s">
        <v>117</v>
      </c>
      <c r="C41" s="5">
        <v>12707</v>
      </c>
      <c r="D41" t="s">
        <v>62</v>
      </c>
      <c r="E41">
        <v>27.19</v>
      </c>
      <c r="F41">
        <v>27.19</v>
      </c>
      <c r="G41" s="3">
        <v>0</v>
      </c>
      <c r="H41" s="4">
        <v>0</v>
      </c>
      <c r="I41" s="6">
        <v>46006</v>
      </c>
      <c r="J41" s="14" t="e" cm="1">
        <f t="array" ref="J4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1" s="4"/>
      <c r="L41" s="4"/>
      <c r="M41" s="4"/>
      <c r="N41" s="4"/>
      <c r="O41" s="6" t="e" cm="1">
        <f t="array" ref="O41">_xlfn.XLOOKUP(1,(Table1[[#This Row],[Customer]]=[1]!Table1[Customer])*(Table1[[#This Row],[Sales Orders]]=[1]!Table1[Sales Order])*(Table1[[#This Row],[Product ID]]=[1]!Table1[Product ID]),[1]!Table1[New Invoice
 Date],"")</f>
        <v>#REF!</v>
      </c>
      <c r="P41" t="e" cm="1">
        <f t="array" ref="P41">_xlfn.XLOOKUP(1,(Table1[[#This Row],[Customer]]=[1]!Table1[Customer])*(Table1[[#This Row],[Sales Orders]]=[1]!Table1[Sales Order])*(Table1[[#This Row],[Product ID]]=[1]!Table1[Product ID]),[1]!Table1[New 
Invoice '#],"")</f>
        <v>#REF!</v>
      </c>
      <c r="Q41" s="16" t="s">
        <v>118</v>
      </c>
      <c r="R41" t="e" cm="1">
        <f t="array" ref="R4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1" s="5">
        <v>1</v>
      </c>
      <c r="T41">
        <v>0</v>
      </c>
      <c r="U41" s="5">
        <v>0</v>
      </c>
      <c r="V41" s="5">
        <v>27429</v>
      </c>
      <c r="W41" s="5">
        <v>12707</v>
      </c>
      <c r="X41" t="s">
        <v>119</v>
      </c>
      <c r="Y41" s="6">
        <v>46006</v>
      </c>
      <c r="Z41" s="5"/>
      <c r="AB41" s="5"/>
      <c r="AD41" t="s">
        <v>123</v>
      </c>
    </row>
    <row r="42" spans="1:30" ht="16" x14ac:dyDescent="0.2">
      <c r="A42" t="s">
        <v>117</v>
      </c>
      <c r="C42" s="5">
        <v>12707</v>
      </c>
      <c r="D42" t="s">
        <v>62</v>
      </c>
      <c r="E42">
        <v>27.14</v>
      </c>
      <c r="F42">
        <v>27.14</v>
      </c>
      <c r="G42" s="3">
        <v>0</v>
      </c>
      <c r="H42" s="4">
        <v>0</v>
      </c>
      <c r="I42" s="6">
        <v>46006</v>
      </c>
      <c r="J42" s="14" t="e" cm="1">
        <f t="array" ref="J4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2" s="4"/>
      <c r="L42" s="4"/>
      <c r="M42" s="4"/>
      <c r="N42" s="4"/>
      <c r="O42" s="6" t="e" cm="1">
        <f t="array" ref="O42">_xlfn.XLOOKUP(1,(Table1[[#This Row],[Customer]]=[1]!Table1[Customer])*(Table1[[#This Row],[Sales Orders]]=[1]!Table1[Sales Order])*(Table1[[#This Row],[Product ID]]=[1]!Table1[Product ID]),[1]!Table1[New Invoice
 Date],"")</f>
        <v>#REF!</v>
      </c>
      <c r="P42" t="e" cm="1">
        <f t="array" ref="P42">_xlfn.XLOOKUP(1,(Table1[[#This Row],[Customer]]=[1]!Table1[Customer])*(Table1[[#This Row],[Sales Orders]]=[1]!Table1[Sales Order])*(Table1[[#This Row],[Product ID]]=[1]!Table1[Product ID]),[1]!Table1[New 
Invoice '#],"")</f>
        <v>#REF!</v>
      </c>
      <c r="Q42" s="16" t="s">
        <v>118</v>
      </c>
      <c r="R42" t="e" cm="1">
        <f t="array" ref="R4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2" s="5">
        <v>1</v>
      </c>
      <c r="T42">
        <v>0</v>
      </c>
      <c r="U42" s="5">
        <v>0</v>
      </c>
      <c r="V42" s="5">
        <v>27429</v>
      </c>
      <c r="W42" s="5">
        <v>12707</v>
      </c>
      <c r="X42" t="s">
        <v>119</v>
      </c>
      <c r="Y42" s="6">
        <v>46006</v>
      </c>
      <c r="Z42" s="5"/>
      <c r="AB42" s="5"/>
      <c r="AD42" t="s">
        <v>124</v>
      </c>
    </row>
    <row r="43" spans="1:30" ht="16" x14ac:dyDescent="0.2">
      <c r="A43" t="s">
        <v>117</v>
      </c>
      <c r="C43" s="5">
        <v>12707</v>
      </c>
      <c r="D43" t="s">
        <v>62</v>
      </c>
      <c r="E43">
        <v>53.5</v>
      </c>
      <c r="F43">
        <v>53.5</v>
      </c>
      <c r="G43" s="3">
        <v>0</v>
      </c>
      <c r="H43" s="4">
        <v>0</v>
      </c>
      <c r="I43" s="6">
        <v>46006</v>
      </c>
      <c r="J43" s="14" t="e" cm="1">
        <f t="array" ref="J4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3" s="4"/>
      <c r="L43" s="4"/>
      <c r="M43" s="4"/>
      <c r="N43" s="4"/>
      <c r="O43" s="6" t="e" cm="1">
        <f t="array" ref="O43">_xlfn.XLOOKUP(1,(Table1[[#This Row],[Customer]]=[1]!Table1[Customer])*(Table1[[#This Row],[Sales Orders]]=[1]!Table1[Sales Order])*(Table1[[#This Row],[Product ID]]=[1]!Table1[Product ID]),[1]!Table1[New Invoice
 Date],"")</f>
        <v>#REF!</v>
      </c>
      <c r="P43" t="e" cm="1">
        <f t="array" ref="P43">_xlfn.XLOOKUP(1,(Table1[[#This Row],[Customer]]=[1]!Table1[Customer])*(Table1[[#This Row],[Sales Orders]]=[1]!Table1[Sales Order])*(Table1[[#This Row],[Product ID]]=[1]!Table1[Product ID]),[1]!Table1[New 
Invoice '#],"")</f>
        <v>#REF!</v>
      </c>
      <c r="Q43" s="16" t="s">
        <v>118</v>
      </c>
      <c r="R43" t="e" cm="1">
        <f t="array" ref="R4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3" s="5">
        <v>1</v>
      </c>
      <c r="T43">
        <v>0</v>
      </c>
      <c r="U43" s="5">
        <v>0</v>
      </c>
      <c r="V43" s="5">
        <v>27429</v>
      </c>
      <c r="W43" s="5">
        <v>12707</v>
      </c>
      <c r="X43" t="s">
        <v>119</v>
      </c>
      <c r="Y43" s="6">
        <v>46006</v>
      </c>
      <c r="Z43" s="5"/>
      <c r="AB43" s="5"/>
      <c r="AD43" t="s">
        <v>125</v>
      </c>
    </row>
    <row r="44" spans="1:30" ht="16" x14ac:dyDescent="0.2">
      <c r="A44" t="s">
        <v>117</v>
      </c>
      <c r="C44" s="5">
        <v>12707</v>
      </c>
      <c r="D44" t="s">
        <v>62</v>
      </c>
      <c r="E44">
        <v>124.15</v>
      </c>
      <c r="F44">
        <v>124.15</v>
      </c>
      <c r="G44" s="3">
        <v>0</v>
      </c>
      <c r="H44" s="4">
        <v>0</v>
      </c>
      <c r="I44" s="6">
        <v>46006</v>
      </c>
      <c r="J44" s="14" t="e" cm="1">
        <f t="array" ref="J4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4" s="4"/>
      <c r="L44" s="4"/>
      <c r="M44" s="4"/>
      <c r="N44" s="4"/>
      <c r="O44" s="6" t="e" cm="1">
        <f t="array" ref="O44">_xlfn.XLOOKUP(1,(Table1[[#This Row],[Customer]]=[1]!Table1[Customer])*(Table1[[#This Row],[Sales Orders]]=[1]!Table1[Sales Order])*(Table1[[#This Row],[Product ID]]=[1]!Table1[Product ID]),[1]!Table1[New Invoice
 Date],"")</f>
        <v>#REF!</v>
      </c>
      <c r="P44" t="e" cm="1">
        <f t="array" ref="P44">_xlfn.XLOOKUP(1,(Table1[[#This Row],[Customer]]=[1]!Table1[Customer])*(Table1[[#This Row],[Sales Orders]]=[1]!Table1[Sales Order])*(Table1[[#This Row],[Product ID]]=[1]!Table1[Product ID]),[1]!Table1[New 
Invoice '#],"")</f>
        <v>#REF!</v>
      </c>
      <c r="Q44" s="16" t="s">
        <v>118</v>
      </c>
      <c r="R44" t="e" cm="1">
        <f t="array" ref="R4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4" s="5">
        <v>1</v>
      </c>
      <c r="T44">
        <v>0</v>
      </c>
      <c r="U44" s="5">
        <v>0</v>
      </c>
      <c r="V44" s="5">
        <v>27429</v>
      </c>
      <c r="W44" s="5">
        <v>12707</v>
      </c>
      <c r="X44" t="s">
        <v>119</v>
      </c>
      <c r="Y44" s="6">
        <v>46006</v>
      </c>
      <c r="Z44" s="5"/>
      <c r="AB44" s="5"/>
      <c r="AD44" t="s">
        <v>126</v>
      </c>
    </row>
    <row r="45" spans="1:30" ht="16" x14ac:dyDescent="0.2">
      <c r="A45" t="s">
        <v>117</v>
      </c>
      <c r="C45" s="5">
        <v>12707</v>
      </c>
      <c r="D45" t="s">
        <v>62</v>
      </c>
      <c r="E45">
        <v>28.41</v>
      </c>
      <c r="F45">
        <v>28.41</v>
      </c>
      <c r="G45" s="3">
        <v>0</v>
      </c>
      <c r="H45" s="4">
        <v>0</v>
      </c>
      <c r="I45" s="6">
        <v>46006</v>
      </c>
      <c r="J45" s="14" t="e" cm="1">
        <f t="array" ref="J4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5" s="4"/>
      <c r="L45" s="4"/>
      <c r="M45" s="4"/>
      <c r="N45" s="4"/>
      <c r="O45" s="6" t="e" cm="1">
        <f t="array" ref="O45">_xlfn.XLOOKUP(1,(Table1[[#This Row],[Customer]]=[1]!Table1[Customer])*(Table1[[#This Row],[Sales Orders]]=[1]!Table1[Sales Order])*(Table1[[#This Row],[Product ID]]=[1]!Table1[Product ID]),[1]!Table1[New Invoice
 Date],"")</f>
        <v>#REF!</v>
      </c>
      <c r="P45" t="e" cm="1">
        <f t="array" ref="P45">_xlfn.XLOOKUP(1,(Table1[[#This Row],[Customer]]=[1]!Table1[Customer])*(Table1[[#This Row],[Sales Orders]]=[1]!Table1[Sales Order])*(Table1[[#This Row],[Product ID]]=[1]!Table1[Product ID]),[1]!Table1[New 
Invoice '#],"")</f>
        <v>#REF!</v>
      </c>
      <c r="Q45" s="16" t="s">
        <v>118</v>
      </c>
      <c r="R45" t="e" cm="1">
        <f t="array" ref="R4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5" s="5">
        <v>1</v>
      </c>
      <c r="T45">
        <v>0</v>
      </c>
      <c r="U45" s="5">
        <v>0</v>
      </c>
      <c r="V45" s="5">
        <v>27429</v>
      </c>
      <c r="W45" s="5">
        <v>12707</v>
      </c>
      <c r="X45" t="s">
        <v>119</v>
      </c>
      <c r="Y45" s="6">
        <v>46006</v>
      </c>
      <c r="Z45" s="5"/>
      <c r="AB45" s="5"/>
      <c r="AD45" t="s">
        <v>127</v>
      </c>
    </row>
    <row r="46" spans="1:30" ht="16" x14ac:dyDescent="0.2">
      <c r="A46" t="s">
        <v>117</v>
      </c>
      <c r="C46" s="5">
        <v>12707</v>
      </c>
      <c r="D46" t="s">
        <v>62</v>
      </c>
      <c r="E46">
        <v>15.76</v>
      </c>
      <c r="F46">
        <v>15.76</v>
      </c>
      <c r="G46" s="3">
        <v>0</v>
      </c>
      <c r="H46" s="4">
        <v>0</v>
      </c>
      <c r="I46" s="6">
        <v>46006</v>
      </c>
      <c r="J46" s="14" t="e" cm="1">
        <f t="array" ref="J4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6" s="4"/>
      <c r="L46" s="4"/>
      <c r="M46" s="4"/>
      <c r="N46" s="4"/>
      <c r="O46" s="6" t="e" cm="1">
        <f t="array" ref="O46">_xlfn.XLOOKUP(1,(Table1[[#This Row],[Customer]]=[1]!Table1[Customer])*(Table1[[#This Row],[Sales Orders]]=[1]!Table1[Sales Order])*(Table1[[#This Row],[Product ID]]=[1]!Table1[Product ID]),[1]!Table1[New Invoice
 Date],"")</f>
        <v>#REF!</v>
      </c>
      <c r="P46" t="e" cm="1">
        <f t="array" ref="P46">_xlfn.XLOOKUP(1,(Table1[[#This Row],[Customer]]=[1]!Table1[Customer])*(Table1[[#This Row],[Sales Orders]]=[1]!Table1[Sales Order])*(Table1[[#This Row],[Product ID]]=[1]!Table1[Product ID]),[1]!Table1[New 
Invoice '#],"")</f>
        <v>#REF!</v>
      </c>
      <c r="Q46" s="16" t="s">
        <v>118</v>
      </c>
      <c r="R46" t="e" cm="1">
        <f t="array" ref="R4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6" s="5">
        <v>1</v>
      </c>
      <c r="T46">
        <v>0</v>
      </c>
      <c r="U46" s="5">
        <v>0</v>
      </c>
      <c r="V46" s="5">
        <v>27429</v>
      </c>
      <c r="W46" s="5">
        <v>12707</v>
      </c>
      <c r="X46" t="s">
        <v>119</v>
      </c>
      <c r="Y46" s="6">
        <v>46006</v>
      </c>
      <c r="Z46" s="5"/>
      <c r="AB46" s="5"/>
      <c r="AD46" t="s">
        <v>128</v>
      </c>
    </row>
    <row r="47" spans="1:30" ht="16" x14ac:dyDescent="0.2">
      <c r="A47" t="s">
        <v>117</v>
      </c>
      <c r="C47" s="5">
        <v>12707</v>
      </c>
      <c r="D47" t="s">
        <v>62</v>
      </c>
      <c r="E47">
        <v>29.09</v>
      </c>
      <c r="F47">
        <v>29.09</v>
      </c>
      <c r="G47" s="3">
        <v>0</v>
      </c>
      <c r="H47" s="4">
        <v>0</v>
      </c>
      <c r="I47" s="6">
        <v>46006</v>
      </c>
      <c r="J47" s="14" t="e" cm="1">
        <f t="array" ref="J4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7" s="4"/>
      <c r="L47" s="4"/>
      <c r="M47" s="4"/>
      <c r="N47" s="4"/>
      <c r="O47" s="6" t="e" cm="1">
        <f t="array" ref="O47">_xlfn.XLOOKUP(1,(Table1[[#This Row],[Customer]]=[1]!Table1[Customer])*(Table1[[#This Row],[Sales Orders]]=[1]!Table1[Sales Order])*(Table1[[#This Row],[Product ID]]=[1]!Table1[Product ID]),[1]!Table1[New Invoice
 Date],"")</f>
        <v>#REF!</v>
      </c>
      <c r="P47" t="e" cm="1">
        <f t="array" ref="P47">_xlfn.XLOOKUP(1,(Table1[[#This Row],[Customer]]=[1]!Table1[Customer])*(Table1[[#This Row],[Sales Orders]]=[1]!Table1[Sales Order])*(Table1[[#This Row],[Product ID]]=[1]!Table1[Product ID]),[1]!Table1[New 
Invoice '#],"")</f>
        <v>#REF!</v>
      </c>
      <c r="Q47" s="16" t="s">
        <v>118</v>
      </c>
      <c r="R47" t="e" cm="1">
        <f t="array" ref="R4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7" s="5">
        <v>1</v>
      </c>
      <c r="T47">
        <v>0</v>
      </c>
      <c r="U47" s="5">
        <v>0</v>
      </c>
      <c r="V47" s="5">
        <v>27429</v>
      </c>
      <c r="W47" s="5">
        <v>12707</v>
      </c>
      <c r="X47" t="s">
        <v>119</v>
      </c>
      <c r="Y47" s="6">
        <v>46006</v>
      </c>
      <c r="Z47" s="5"/>
      <c r="AB47" s="5"/>
      <c r="AD47" t="s">
        <v>129</v>
      </c>
    </row>
    <row r="48" spans="1:30" ht="16" x14ac:dyDescent="0.2">
      <c r="A48" t="s">
        <v>117</v>
      </c>
      <c r="C48" s="5">
        <v>12707</v>
      </c>
      <c r="D48" t="s">
        <v>62</v>
      </c>
      <c r="E48">
        <v>28.47</v>
      </c>
      <c r="F48">
        <v>28.47</v>
      </c>
      <c r="G48" s="3">
        <v>0</v>
      </c>
      <c r="H48" s="4">
        <v>0</v>
      </c>
      <c r="I48" s="6">
        <v>46006</v>
      </c>
      <c r="J48" s="14" t="e" cm="1">
        <f t="array" ref="J4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8" s="4"/>
      <c r="L48" s="4"/>
      <c r="M48" s="4"/>
      <c r="N48" s="4"/>
      <c r="O48" s="6" t="e" cm="1">
        <f t="array" ref="O48">_xlfn.XLOOKUP(1,(Table1[[#This Row],[Customer]]=[1]!Table1[Customer])*(Table1[[#This Row],[Sales Orders]]=[1]!Table1[Sales Order])*(Table1[[#This Row],[Product ID]]=[1]!Table1[Product ID]),[1]!Table1[New Invoice
 Date],"")</f>
        <v>#REF!</v>
      </c>
      <c r="P48" t="e" cm="1">
        <f t="array" ref="P48">_xlfn.XLOOKUP(1,(Table1[[#This Row],[Customer]]=[1]!Table1[Customer])*(Table1[[#This Row],[Sales Orders]]=[1]!Table1[Sales Order])*(Table1[[#This Row],[Product ID]]=[1]!Table1[Product ID]),[1]!Table1[New 
Invoice '#],"")</f>
        <v>#REF!</v>
      </c>
      <c r="Q48" s="16" t="s">
        <v>118</v>
      </c>
      <c r="R48" t="e" cm="1">
        <f t="array" ref="R4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8" s="5">
        <v>1</v>
      </c>
      <c r="T48">
        <v>0</v>
      </c>
      <c r="U48" s="5">
        <v>0</v>
      </c>
      <c r="V48" s="5">
        <v>27429</v>
      </c>
      <c r="W48" s="5">
        <v>12707</v>
      </c>
      <c r="X48" t="s">
        <v>119</v>
      </c>
      <c r="Y48" s="6">
        <v>46006</v>
      </c>
      <c r="Z48" s="5"/>
      <c r="AB48" s="5"/>
      <c r="AD48" t="s">
        <v>130</v>
      </c>
    </row>
    <row r="49" spans="1:32" ht="16" x14ac:dyDescent="0.2">
      <c r="A49" t="s">
        <v>117</v>
      </c>
      <c r="C49" s="5">
        <v>12707</v>
      </c>
      <c r="D49" t="s">
        <v>62</v>
      </c>
      <c r="E49">
        <v>31.23</v>
      </c>
      <c r="F49">
        <v>35</v>
      </c>
      <c r="G49" s="3">
        <v>3.7699999999999996</v>
      </c>
      <c r="H49" s="4">
        <v>0.10771428571428571</v>
      </c>
      <c r="I49" s="6">
        <v>46006</v>
      </c>
      <c r="J49" s="14" t="e" cm="1">
        <f t="array" ref="J4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49" s="4"/>
      <c r="L49" s="4"/>
      <c r="M49" s="4"/>
      <c r="N49" s="4"/>
      <c r="O49" s="6" t="e" cm="1">
        <f t="array" ref="O49">_xlfn.XLOOKUP(1,(Table1[[#This Row],[Customer]]=[1]!Table1[Customer])*(Table1[[#This Row],[Sales Orders]]=[1]!Table1[Sales Order])*(Table1[[#This Row],[Product ID]]=[1]!Table1[Product ID]),[1]!Table1[New Invoice
 Date],"")</f>
        <v>#REF!</v>
      </c>
      <c r="P49" t="e" cm="1">
        <f t="array" ref="P49">_xlfn.XLOOKUP(1,(Table1[[#This Row],[Customer]]=[1]!Table1[Customer])*(Table1[[#This Row],[Sales Orders]]=[1]!Table1[Sales Order])*(Table1[[#This Row],[Product ID]]=[1]!Table1[Product ID]),[1]!Table1[New 
Invoice '#],"")</f>
        <v>#REF!</v>
      </c>
      <c r="Q49" s="16" t="s">
        <v>118</v>
      </c>
      <c r="R49" t="e" cm="1">
        <f t="array" ref="R4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49" s="5">
        <v>1</v>
      </c>
      <c r="T49">
        <v>1</v>
      </c>
      <c r="U49" s="5">
        <v>0</v>
      </c>
      <c r="V49" s="5">
        <v>27429</v>
      </c>
      <c r="W49" s="5">
        <v>12707</v>
      </c>
      <c r="X49" t="s">
        <v>119</v>
      </c>
      <c r="Y49" s="6">
        <v>46006</v>
      </c>
      <c r="Z49" s="5"/>
      <c r="AB49" s="5"/>
      <c r="AD49" t="s">
        <v>131</v>
      </c>
      <c r="AE49" t="s">
        <v>132</v>
      </c>
      <c r="AF49" t="s">
        <v>38</v>
      </c>
    </row>
    <row r="50" spans="1:32" ht="16" x14ac:dyDescent="0.2">
      <c r="A50" t="s">
        <v>117</v>
      </c>
      <c r="C50" s="5">
        <v>12707</v>
      </c>
      <c r="D50" t="s">
        <v>62</v>
      </c>
      <c r="E50">
        <v>70.72</v>
      </c>
      <c r="F50">
        <v>70.72</v>
      </c>
      <c r="G50" s="3">
        <v>0</v>
      </c>
      <c r="H50" s="4">
        <v>0</v>
      </c>
      <c r="I50" s="6">
        <v>46006</v>
      </c>
      <c r="J50" s="14" t="e" cm="1">
        <f t="array" ref="J5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0" s="4"/>
      <c r="L50" s="4"/>
      <c r="M50" s="4"/>
      <c r="N50" s="4"/>
      <c r="O50" s="6" t="e" cm="1">
        <f t="array" ref="O50">_xlfn.XLOOKUP(1,(Table1[[#This Row],[Customer]]=[1]!Table1[Customer])*(Table1[[#This Row],[Sales Orders]]=[1]!Table1[Sales Order])*(Table1[[#This Row],[Product ID]]=[1]!Table1[Product ID]),[1]!Table1[New Invoice
 Date],"")</f>
        <v>#REF!</v>
      </c>
      <c r="P50" t="e" cm="1">
        <f t="array" ref="P50">_xlfn.XLOOKUP(1,(Table1[[#This Row],[Customer]]=[1]!Table1[Customer])*(Table1[[#This Row],[Sales Orders]]=[1]!Table1[Sales Order])*(Table1[[#This Row],[Product ID]]=[1]!Table1[Product ID]),[1]!Table1[New 
Invoice '#],"")</f>
        <v>#REF!</v>
      </c>
      <c r="Q50" s="16" t="s">
        <v>118</v>
      </c>
      <c r="R50" t="e" cm="1">
        <f t="array" ref="R5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0" s="5">
        <v>1</v>
      </c>
      <c r="T50">
        <v>1</v>
      </c>
      <c r="U50" s="5">
        <v>0</v>
      </c>
      <c r="V50" s="5">
        <v>27429</v>
      </c>
      <c r="W50" s="5">
        <v>12707</v>
      </c>
      <c r="X50" t="s">
        <v>119</v>
      </c>
      <c r="Y50" s="6">
        <v>46006</v>
      </c>
      <c r="Z50" s="5"/>
      <c r="AB50" s="5"/>
      <c r="AD50" t="s">
        <v>133</v>
      </c>
      <c r="AE50" t="s">
        <v>134</v>
      </c>
      <c r="AF50" t="s">
        <v>38</v>
      </c>
    </row>
    <row r="51" spans="1:32" ht="16" x14ac:dyDescent="0.2">
      <c r="A51" t="s">
        <v>117</v>
      </c>
      <c r="C51" s="5">
        <v>12707</v>
      </c>
      <c r="D51" t="s">
        <v>62</v>
      </c>
      <c r="E51">
        <v>28.65</v>
      </c>
      <c r="F51">
        <v>28.65</v>
      </c>
      <c r="G51" s="3">
        <v>0</v>
      </c>
      <c r="H51" s="4">
        <v>0</v>
      </c>
      <c r="I51" s="6">
        <v>46006</v>
      </c>
      <c r="J51" s="14" t="e" cm="1">
        <f t="array" ref="J5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1" s="4"/>
      <c r="L51" s="4"/>
      <c r="M51" s="4"/>
      <c r="N51" s="4"/>
      <c r="O51" s="6" t="e" cm="1">
        <f t="array" ref="O51">_xlfn.XLOOKUP(1,(Table1[[#This Row],[Customer]]=[1]!Table1[Customer])*(Table1[[#This Row],[Sales Orders]]=[1]!Table1[Sales Order])*(Table1[[#This Row],[Product ID]]=[1]!Table1[Product ID]),[1]!Table1[New Invoice
 Date],"")</f>
        <v>#REF!</v>
      </c>
      <c r="P51" t="e" cm="1">
        <f t="array" ref="P51">_xlfn.XLOOKUP(1,(Table1[[#This Row],[Customer]]=[1]!Table1[Customer])*(Table1[[#This Row],[Sales Orders]]=[1]!Table1[Sales Order])*(Table1[[#This Row],[Product ID]]=[1]!Table1[Product ID]),[1]!Table1[New 
Invoice '#],"")</f>
        <v>#REF!</v>
      </c>
      <c r="Q51" s="16" t="s">
        <v>118</v>
      </c>
      <c r="R51" t="e" cm="1">
        <f t="array" ref="R5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1" s="5">
        <v>1</v>
      </c>
      <c r="T51">
        <v>1</v>
      </c>
      <c r="U51" s="5">
        <v>0</v>
      </c>
      <c r="V51" s="5">
        <v>27429</v>
      </c>
      <c r="W51" s="5">
        <v>12707</v>
      </c>
      <c r="X51" t="s">
        <v>119</v>
      </c>
      <c r="Y51" s="6">
        <v>46006</v>
      </c>
      <c r="Z51" s="5"/>
      <c r="AB51" s="5"/>
      <c r="AD51" t="s">
        <v>135</v>
      </c>
      <c r="AE51" t="s">
        <v>136</v>
      </c>
      <c r="AF51" t="s">
        <v>38</v>
      </c>
    </row>
    <row r="52" spans="1:32" ht="16" x14ac:dyDescent="0.2">
      <c r="A52" t="s">
        <v>117</v>
      </c>
      <c r="C52" s="5">
        <v>12707</v>
      </c>
      <c r="D52" t="s">
        <v>62</v>
      </c>
      <c r="E52">
        <v>28.65</v>
      </c>
      <c r="F52">
        <v>28.65</v>
      </c>
      <c r="G52" s="3">
        <v>0</v>
      </c>
      <c r="H52" s="4">
        <v>0</v>
      </c>
      <c r="I52" s="6">
        <v>46006</v>
      </c>
      <c r="J52" s="14" t="e" cm="1">
        <f t="array" ref="J5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2" s="4"/>
      <c r="L52" s="4"/>
      <c r="M52" s="4"/>
      <c r="N52" s="4"/>
      <c r="O52" s="6" t="e" cm="1">
        <f t="array" ref="O52">_xlfn.XLOOKUP(1,(Table1[[#This Row],[Customer]]=[1]!Table1[Customer])*(Table1[[#This Row],[Sales Orders]]=[1]!Table1[Sales Order])*(Table1[[#This Row],[Product ID]]=[1]!Table1[Product ID]),[1]!Table1[New Invoice
 Date],"")</f>
        <v>#REF!</v>
      </c>
      <c r="P52" t="e" cm="1">
        <f t="array" ref="P52">_xlfn.XLOOKUP(1,(Table1[[#This Row],[Customer]]=[1]!Table1[Customer])*(Table1[[#This Row],[Sales Orders]]=[1]!Table1[Sales Order])*(Table1[[#This Row],[Product ID]]=[1]!Table1[Product ID]),[1]!Table1[New 
Invoice '#],"")</f>
        <v>#REF!</v>
      </c>
      <c r="Q52" s="16" t="s">
        <v>118</v>
      </c>
      <c r="R52" t="e" cm="1">
        <f t="array" ref="R5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2" s="5">
        <v>1</v>
      </c>
      <c r="T52">
        <v>1</v>
      </c>
      <c r="U52" s="5">
        <v>0</v>
      </c>
      <c r="V52" s="5">
        <v>27429</v>
      </c>
      <c r="W52" s="5">
        <v>12707</v>
      </c>
      <c r="X52" t="s">
        <v>119</v>
      </c>
      <c r="Y52" s="6">
        <v>46006</v>
      </c>
      <c r="Z52" s="5"/>
      <c r="AB52" s="5"/>
      <c r="AD52" t="s">
        <v>137</v>
      </c>
      <c r="AE52" t="s">
        <v>138</v>
      </c>
      <c r="AF52" t="s">
        <v>38</v>
      </c>
    </row>
    <row r="53" spans="1:32" x14ac:dyDescent="0.2">
      <c r="A53" t="s">
        <v>139</v>
      </c>
      <c r="C53" s="5">
        <v>12768</v>
      </c>
      <c r="D53" t="s">
        <v>47</v>
      </c>
      <c r="E53">
        <v>594</v>
      </c>
      <c r="F53">
        <v>712.8</v>
      </c>
      <c r="G53" s="3">
        <v>118.79999999999995</v>
      </c>
      <c r="H53" s="4">
        <v>0.1666666666666666</v>
      </c>
      <c r="I53" s="6">
        <v>46029</v>
      </c>
      <c r="J53" s="14" t="e" cm="1">
        <f t="array" ref="J5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3" s="4"/>
      <c r="L53" s="4"/>
      <c r="M53" s="4"/>
      <c r="N53" s="4"/>
      <c r="O53" s="6" t="e" cm="1">
        <f t="array" ref="O53">_xlfn.XLOOKUP(1,(Table1[[#This Row],[Customer]]=[1]!Table1[Customer])*(Table1[[#This Row],[Sales Orders]]=[1]!Table1[Sales Order])*(Table1[[#This Row],[Product ID]]=[1]!Table1[Product ID]),[1]!Table1[New Invoice
 Date],"")</f>
        <v>#REF!</v>
      </c>
      <c r="P53" t="e" cm="1">
        <f t="array" ref="P53">_xlfn.XLOOKUP(1,(Table1[[#This Row],[Customer]]=[1]!Table1[Customer])*(Table1[[#This Row],[Sales Orders]]=[1]!Table1[Sales Order])*(Table1[[#This Row],[Product ID]]=[1]!Table1[Product ID]),[1]!Table1[New 
Invoice '#],"")</f>
        <v>#REF!</v>
      </c>
      <c r="Q53" t="e" cm="1">
        <f t="array" ref="Q53">_xlfn.XLOOKUP(1,(Table1[[#This Row],[Customer]]=[1]!Table1[Customer])*(Table1[[#This Row],[Sales Orders]]=[1]!Table1[Sales Order])*(Table1[[#This Row],[Product ID]]=[1]!Table1[Product ID]),[1]!Table1[Notes],"")</f>
        <v>#REF!</v>
      </c>
      <c r="R53" t="e" cm="1">
        <f t="array" ref="R5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3" s="5">
        <v>1</v>
      </c>
      <c r="T53">
        <v>0</v>
      </c>
      <c r="U53" s="5">
        <v>0</v>
      </c>
      <c r="V53" s="5">
        <v>27364</v>
      </c>
      <c r="W53" s="5">
        <v>12768</v>
      </c>
      <c r="X53" t="s">
        <v>98</v>
      </c>
      <c r="Y53" s="6">
        <v>46029</v>
      </c>
      <c r="Z53" s="5">
        <v>3160</v>
      </c>
      <c r="AA53" t="s">
        <v>140</v>
      </c>
      <c r="AB53" s="5"/>
      <c r="AD53" t="s">
        <v>141</v>
      </c>
    </row>
    <row r="54" spans="1:32" x14ac:dyDescent="0.2">
      <c r="A54" t="s">
        <v>139</v>
      </c>
      <c r="C54" s="5">
        <v>12768</v>
      </c>
      <c r="D54" t="s">
        <v>142</v>
      </c>
      <c r="E54">
        <v>263.33999999999997</v>
      </c>
      <c r="F54">
        <v>316.01</v>
      </c>
      <c r="G54" s="3">
        <v>52.670000000000016</v>
      </c>
      <c r="H54" s="4">
        <v>0.16667194076136838</v>
      </c>
      <c r="I54" s="6">
        <v>46029</v>
      </c>
      <c r="J54" s="14" t="e" cm="1">
        <f t="array" ref="J5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4" s="4"/>
      <c r="L54" s="4"/>
      <c r="M54" s="4"/>
      <c r="N54" s="4"/>
      <c r="O54" s="6" t="e" cm="1">
        <f t="array" ref="O54">_xlfn.XLOOKUP(1,(Table1[[#This Row],[Customer]]=[1]!Table1[Customer])*(Table1[[#This Row],[Sales Orders]]=[1]!Table1[Sales Order])*(Table1[[#This Row],[Product ID]]=[1]!Table1[Product ID]),[1]!Table1[New Invoice
 Date],"")</f>
        <v>#REF!</v>
      </c>
      <c r="P54" t="e" cm="1">
        <f t="array" ref="P54">_xlfn.XLOOKUP(1,(Table1[[#This Row],[Customer]]=[1]!Table1[Customer])*(Table1[[#This Row],[Sales Orders]]=[1]!Table1[Sales Order])*(Table1[[#This Row],[Product ID]]=[1]!Table1[Product ID]),[1]!Table1[New 
Invoice '#],"")</f>
        <v>#REF!</v>
      </c>
      <c r="Q54" t="e" cm="1">
        <f t="array" ref="Q54">_xlfn.XLOOKUP(1,(Table1[[#This Row],[Customer]]=[1]!Table1[Customer])*(Table1[[#This Row],[Sales Orders]]=[1]!Table1[Sales Order])*(Table1[[#This Row],[Product ID]]=[1]!Table1[Product ID]),[1]!Table1[Notes],"")</f>
        <v>#REF!</v>
      </c>
      <c r="R54" t="e" cm="1">
        <f t="array" ref="R5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4" s="5">
        <v>1</v>
      </c>
      <c r="T54">
        <v>1</v>
      </c>
      <c r="U54" s="5">
        <v>1</v>
      </c>
      <c r="V54" s="5">
        <v>27364</v>
      </c>
      <c r="W54" s="5">
        <v>12768</v>
      </c>
      <c r="X54" t="s">
        <v>98</v>
      </c>
      <c r="Y54" s="6">
        <v>46029</v>
      </c>
      <c r="Z54" s="5">
        <v>3160</v>
      </c>
      <c r="AA54" t="s">
        <v>140</v>
      </c>
      <c r="AB54" s="5"/>
      <c r="AD54" t="s">
        <v>143</v>
      </c>
      <c r="AE54" t="s">
        <v>144</v>
      </c>
      <c r="AF54" t="s">
        <v>38</v>
      </c>
    </row>
    <row r="55" spans="1:32" x14ac:dyDescent="0.2">
      <c r="A55" t="s">
        <v>139</v>
      </c>
      <c r="C55" s="5">
        <v>12768</v>
      </c>
      <c r="D55" t="s">
        <v>62</v>
      </c>
      <c r="E55">
        <v>28.08</v>
      </c>
      <c r="F55">
        <v>33.700000000000003</v>
      </c>
      <c r="G55" s="3">
        <v>5.6200000000000045</v>
      </c>
      <c r="H55" s="4">
        <v>0.16676557863501495</v>
      </c>
      <c r="I55" s="6">
        <v>46029</v>
      </c>
      <c r="J55" s="14" t="e" cm="1">
        <f t="array" ref="J5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5" s="4"/>
      <c r="L55" s="4"/>
      <c r="M55" s="4"/>
      <c r="N55" s="4"/>
      <c r="O55" s="6" t="e" cm="1">
        <f t="array" ref="O55">_xlfn.XLOOKUP(1,(Table1[[#This Row],[Customer]]=[1]!Table1[Customer])*(Table1[[#This Row],[Sales Orders]]=[1]!Table1[Sales Order])*(Table1[[#This Row],[Product ID]]=[1]!Table1[Product ID]),[1]!Table1[New Invoice
 Date],"")</f>
        <v>#REF!</v>
      </c>
      <c r="P55" t="e" cm="1">
        <f t="array" ref="P55">_xlfn.XLOOKUP(1,(Table1[[#This Row],[Customer]]=[1]!Table1[Customer])*(Table1[[#This Row],[Sales Orders]]=[1]!Table1[Sales Order])*(Table1[[#This Row],[Product ID]]=[1]!Table1[Product ID]),[1]!Table1[New 
Invoice '#],"")</f>
        <v>#REF!</v>
      </c>
      <c r="Q55" t="e" cm="1">
        <f t="array" ref="Q55">_xlfn.XLOOKUP(1,(Table1[[#This Row],[Customer]]=[1]!Table1[Customer])*(Table1[[#This Row],[Sales Orders]]=[1]!Table1[Sales Order])*(Table1[[#This Row],[Product ID]]=[1]!Table1[Product ID]),[1]!Table1[Notes],"")</f>
        <v>#REF!</v>
      </c>
      <c r="R55" t="e" cm="1">
        <f t="array" ref="R5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5" s="5">
        <v>1</v>
      </c>
      <c r="T55">
        <v>1</v>
      </c>
      <c r="U55" s="5">
        <v>1</v>
      </c>
      <c r="V55" s="5">
        <v>27364</v>
      </c>
      <c r="W55" s="5">
        <v>12768</v>
      </c>
      <c r="X55" t="s">
        <v>98</v>
      </c>
      <c r="Y55" s="6">
        <v>46029</v>
      </c>
      <c r="Z55" s="5">
        <v>3160</v>
      </c>
      <c r="AA55" t="s">
        <v>140</v>
      </c>
      <c r="AB55" s="5"/>
      <c r="AD55" t="s">
        <v>63</v>
      </c>
      <c r="AE55" t="s">
        <v>144</v>
      </c>
      <c r="AF55" t="s">
        <v>38</v>
      </c>
    </row>
    <row r="56" spans="1:32" x14ac:dyDescent="0.2">
      <c r="A56" t="s">
        <v>139</v>
      </c>
      <c r="C56" s="5">
        <v>12768</v>
      </c>
      <c r="D56" t="s">
        <v>145</v>
      </c>
      <c r="E56">
        <v>57.83</v>
      </c>
      <c r="F56">
        <v>69.400000000000006</v>
      </c>
      <c r="G56" s="3">
        <v>11.570000000000007</v>
      </c>
      <c r="H56" s="4">
        <v>0.16671469740634015</v>
      </c>
      <c r="I56" s="6">
        <v>46029</v>
      </c>
      <c r="J56" s="14" t="e" cm="1">
        <f t="array" ref="J5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6" s="4"/>
      <c r="L56" s="4"/>
      <c r="M56" s="4"/>
      <c r="N56" s="4"/>
      <c r="O56" s="6" t="e" cm="1">
        <f t="array" ref="O56">_xlfn.XLOOKUP(1,(Table1[[#This Row],[Customer]]=[1]!Table1[Customer])*(Table1[[#This Row],[Sales Orders]]=[1]!Table1[Sales Order])*(Table1[[#This Row],[Product ID]]=[1]!Table1[Product ID]),[1]!Table1[New Invoice
 Date],"")</f>
        <v>#REF!</v>
      </c>
      <c r="P56" t="e" cm="1">
        <f t="array" ref="P56">_xlfn.XLOOKUP(1,(Table1[[#This Row],[Customer]]=[1]!Table1[Customer])*(Table1[[#This Row],[Sales Orders]]=[1]!Table1[Sales Order])*(Table1[[#This Row],[Product ID]]=[1]!Table1[Product ID]),[1]!Table1[New 
Invoice '#],"")</f>
        <v>#REF!</v>
      </c>
      <c r="Q56" t="e" cm="1">
        <f t="array" ref="Q56">_xlfn.XLOOKUP(1,(Table1[[#This Row],[Customer]]=[1]!Table1[Customer])*(Table1[[#This Row],[Sales Orders]]=[1]!Table1[Sales Order])*(Table1[[#This Row],[Product ID]]=[1]!Table1[Product ID]),[1]!Table1[Notes],"")</f>
        <v>#REF!</v>
      </c>
      <c r="R56" t="e" cm="1">
        <f t="array" ref="R5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6" s="5">
        <v>1</v>
      </c>
      <c r="T56">
        <v>1</v>
      </c>
      <c r="U56" s="5">
        <v>1</v>
      </c>
      <c r="V56" s="5">
        <v>27364</v>
      </c>
      <c r="W56" s="5">
        <v>12768</v>
      </c>
      <c r="X56" t="s">
        <v>98</v>
      </c>
      <c r="Y56" s="6">
        <v>46029</v>
      </c>
      <c r="Z56" s="5">
        <v>3160</v>
      </c>
      <c r="AA56" t="s">
        <v>140</v>
      </c>
      <c r="AB56" s="5"/>
      <c r="AD56" t="s">
        <v>146</v>
      </c>
      <c r="AE56" t="s">
        <v>144</v>
      </c>
      <c r="AF56" t="s">
        <v>38</v>
      </c>
    </row>
    <row r="57" spans="1:32" ht="16" x14ac:dyDescent="0.2">
      <c r="A57" t="s">
        <v>147</v>
      </c>
      <c r="C57" s="5">
        <v>12785</v>
      </c>
      <c r="D57" t="s">
        <v>148</v>
      </c>
      <c r="E57">
        <v>3429.75</v>
      </c>
      <c r="F57">
        <v>4115.7</v>
      </c>
      <c r="G57" s="3">
        <v>685.94999999999982</v>
      </c>
      <c r="H57" s="4">
        <v>0.16666666666666663</v>
      </c>
      <c r="I57" s="6">
        <v>46035</v>
      </c>
      <c r="J57" s="14" t="e" cm="1">
        <f t="array" ref="J5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7" s="4"/>
      <c r="L57" s="4"/>
      <c r="M57" s="4"/>
      <c r="N57" s="4"/>
      <c r="O57" s="6" t="e" cm="1">
        <f t="array" ref="O57">_xlfn.XLOOKUP(1,(Table1[[#This Row],[Customer]]=[1]!Table1[Customer])*(Table1[[#This Row],[Sales Orders]]=[1]!Table1[Sales Order])*(Table1[[#This Row],[Product ID]]=[1]!Table1[Product ID]),[1]!Table1[New Invoice
 Date],"")</f>
        <v>#REF!</v>
      </c>
      <c r="P57" t="e" cm="1">
        <f t="array" ref="P57">_xlfn.XLOOKUP(1,(Table1[[#This Row],[Customer]]=[1]!Table1[Customer])*(Table1[[#This Row],[Sales Orders]]=[1]!Table1[Sales Order])*(Table1[[#This Row],[Product ID]]=[1]!Table1[Product ID]),[1]!Table1[New 
Invoice '#],"")</f>
        <v>#REF!</v>
      </c>
      <c r="Q57" s="16" t="s">
        <v>149</v>
      </c>
      <c r="R57" t="e" cm="1">
        <f t="array" ref="R5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7" s="5">
        <v>1</v>
      </c>
      <c r="T57">
        <v>0</v>
      </c>
      <c r="U57" s="5">
        <v>0</v>
      </c>
      <c r="V57" s="5"/>
      <c r="W57" s="5">
        <v>12785</v>
      </c>
      <c r="X57" t="s">
        <v>95</v>
      </c>
      <c r="Y57" s="6">
        <v>46035</v>
      </c>
      <c r="Z57" s="5"/>
      <c r="AB57" s="5"/>
      <c r="AD57" t="s">
        <v>150</v>
      </c>
    </row>
    <row r="58" spans="1:32" ht="16" x14ac:dyDescent="0.2">
      <c r="A58" t="s">
        <v>151</v>
      </c>
      <c r="C58" s="5">
        <v>12792</v>
      </c>
      <c r="D58" t="s">
        <v>152</v>
      </c>
      <c r="E58">
        <v>533.70000000000005</v>
      </c>
      <c r="F58">
        <v>620.17999999999995</v>
      </c>
      <c r="G58" s="3">
        <v>86.479999999999905</v>
      </c>
      <c r="H58" s="4">
        <v>0.13944338740365686</v>
      </c>
      <c r="I58" s="6">
        <v>46037</v>
      </c>
      <c r="J58" s="14" t="e" cm="1">
        <f t="array" ref="J5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8" s="4"/>
      <c r="L58" s="4"/>
      <c r="M58" s="4"/>
      <c r="N58" s="4"/>
      <c r="O58" s="6" t="e" cm="1">
        <f t="array" ref="O58">_xlfn.XLOOKUP(1,(Table1[[#This Row],[Customer]]=[1]!Table1[Customer])*(Table1[[#This Row],[Sales Orders]]=[1]!Table1[Sales Order])*(Table1[[#This Row],[Product ID]]=[1]!Table1[Product ID]),[1]!Table1[New Invoice
 Date],"")</f>
        <v>#REF!</v>
      </c>
      <c r="P58" t="e" cm="1">
        <f t="array" ref="P58">_xlfn.XLOOKUP(1,(Table1[[#This Row],[Customer]]=[1]!Table1[Customer])*(Table1[[#This Row],[Sales Orders]]=[1]!Table1[Sales Order])*(Table1[[#This Row],[Product ID]]=[1]!Table1[Product ID]),[1]!Table1[New 
Invoice '#],"")</f>
        <v>#REF!</v>
      </c>
      <c r="Q58" s="17" t="s">
        <v>153</v>
      </c>
      <c r="R58" t="e" cm="1">
        <f t="array" ref="R5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8" s="5">
        <v>2</v>
      </c>
      <c r="T58">
        <v>0</v>
      </c>
      <c r="U58" s="5">
        <v>0</v>
      </c>
      <c r="V58" s="5">
        <v>27478</v>
      </c>
      <c r="W58" s="5">
        <v>12792</v>
      </c>
      <c r="X58" t="s">
        <v>106</v>
      </c>
      <c r="Y58" s="6">
        <v>46037</v>
      </c>
      <c r="Z58" s="5"/>
      <c r="AB58" s="5"/>
      <c r="AD58" t="s">
        <v>154</v>
      </c>
    </row>
    <row r="59" spans="1:32" ht="16" x14ac:dyDescent="0.2">
      <c r="A59" t="s">
        <v>39</v>
      </c>
      <c r="C59" s="5">
        <v>12799</v>
      </c>
      <c r="D59" t="s">
        <v>62</v>
      </c>
      <c r="E59">
        <v>44.75</v>
      </c>
      <c r="F59">
        <v>100</v>
      </c>
      <c r="G59" s="3">
        <v>55.25</v>
      </c>
      <c r="H59" s="4">
        <v>0.55249999999999999</v>
      </c>
      <c r="I59" s="6">
        <v>46038</v>
      </c>
      <c r="J59" s="14" t="e" cm="1">
        <f t="array" ref="J5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59" s="4"/>
      <c r="L59" s="4"/>
      <c r="M59" s="4"/>
      <c r="N59" s="4"/>
      <c r="O59" s="6" t="e" cm="1">
        <f t="array" ref="O59">_xlfn.XLOOKUP(1,(Table1[[#This Row],[Customer]]=[1]!Table1[Customer])*(Table1[[#This Row],[Sales Orders]]=[1]!Table1[Sales Order])*(Table1[[#This Row],[Product ID]]=[1]!Table1[Product ID]),[1]!Table1[New Invoice
 Date],"")</f>
        <v>#REF!</v>
      </c>
      <c r="P59" t="e" cm="1">
        <f t="array" ref="P59">_xlfn.XLOOKUP(1,(Table1[[#This Row],[Customer]]=[1]!Table1[Customer])*(Table1[[#This Row],[Sales Orders]]=[1]!Table1[Sales Order])*(Table1[[#This Row],[Product ID]]=[1]!Table1[Product ID]),[1]!Table1[New 
Invoice '#],"")</f>
        <v>#REF!</v>
      </c>
      <c r="Q59" s="17" t="s">
        <v>118</v>
      </c>
      <c r="R59" t="e" cm="1">
        <f t="array" ref="R5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59" s="5">
        <v>1</v>
      </c>
      <c r="T59">
        <v>0</v>
      </c>
      <c r="U59" s="5">
        <v>0</v>
      </c>
      <c r="V59" s="5">
        <v>27578</v>
      </c>
      <c r="W59" s="5">
        <v>12799</v>
      </c>
      <c r="X59" t="s">
        <v>98</v>
      </c>
      <c r="Y59" s="6">
        <v>46038</v>
      </c>
      <c r="Z59" s="5"/>
      <c r="AB59" s="5">
        <v>2414672</v>
      </c>
      <c r="AC59" t="s">
        <v>155</v>
      </c>
      <c r="AD59" t="s">
        <v>63</v>
      </c>
    </row>
    <row r="60" spans="1:32" ht="16" x14ac:dyDescent="0.2">
      <c r="A60" t="s">
        <v>39</v>
      </c>
      <c r="C60" s="5">
        <v>12799</v>
      </c>
      <c r="D60" t="s">
        <v>62</v>
      </c>
      <c r="E60">
        <v>1900</v>
      </c>
      <c r="F60">
        <v>1900</v>
      </c>
      <c r="G60" s="3">
        <v>0</v>
      </c>
      <c r="H60" s="4">
        <v>0</v>
      </c>
      <c r="I60" s="6">
        <v>46038</v>
      </c>
      <c r="J60" s="14" t="e" cm="1">
        <f t="array" ref="J6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0" s="4"/>
      <c r="L60" s="4"/>
      <c r="M60" s="4"/>
      <c r="N60" s="4"/>
      <c r="O60" s="6" t="e" cm="1">
        <f t="array" ref="O60">_xlfn.XLOOKUP(1,(Table1[[#This Row],[Customer]]=[1]!Table1[Customer])*(Table1[[#This Row],[Sales Orders]]=[1]!Table1[Sales Order])*(Table1[[#This Row],[Product ID]]=[1]!Table1[Product ID]),[1]!Table1[New Invoice
 Date],"")</f>
        <v>#REF!</v>
      </c>
      <c r="P60" t="e" cm="1">
        <f t="array" ref="P60">_xlfn.XLOOKUP(1,(Table1[[#This Row],[Customer]]=[1]!Table1[Customer])*(Table1[[#This Row],[Sales Orders]]=[1]!Table1[Sales Order])*(Table1[[#This Row],[Product ID]]=[1]!Table1[Product ID]),[1]!Table1[New 
Invoice '#],"")</f>
        <v>#REF!</v>
      </c>
      <c r="Q60" s="17" t="s">
        <v>118</v>
      </c>
      <c r="R60" t="e" cm="1">
        <f t="array" ref="R6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0" s="5">
        <v>1</v>
      </c>
      <c r="T60">
        <v>0</v>
      </c>
      <c r="U60" s="5">
        <v>0</v>
      </c>
      <c r="V60" s="5">
        <v>27578</v>
      </c>
      <c r="W60" s="5">
        <v>12799</v>
      </c>
      <c r="X60" t="s">
        <v>98</v>
      </c>
      <c r="Y60" s="6">
        <v>46038</v>
      </c>
      <c r="Z60" s="5"/>
      <c r="AB60" s="5">
        <v>2414672</v>
      </c>
      <c r="AC60" t="s">
        <v>155</v>
      </c>
      <c r="AD60" t="s">
        <v>156</v>
      </c>
    </row>
    <row r="61" spans="1:32" ht="16" x14ac:dyDescent="0.2">
      <c r="A61" t="s">
        <v>39</v>
      </c>
      <c r="C61" s="5">
        <v>12798</v>
      </c>
      <c r="D61" t="s">
        <v>62</v>
      </c>
      <c r="E61">
        <v>50</v>
      </c>
      <c r="F61">
        <v>50</v>
      </c>
      <c r="G61" s="3">
        <v>0</v>
      </c>
      <c r="H61" s="4">
        <v>0</v>
      </c>
      <c r="I61" s="6">
        <v>46038</v>
      </c>
      <c r="J61" s="14" t="e" cm="1">
        <f t="array" ref="J6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1" s="4"/>
      <c r="L61" s="4"/>
      <c r="M61" s="4"/>
      <c r="N61" s="4"/>
      <c r="O61" s="6" t="e" cm="1">
        <f t="array" ref="O61">_xlfn.XLOOKUP(1,(Table1[[#This Row],[Customer]]=[1]!Table1[Customer])*(Table1[[#This Row],[Sales Orders]]=[1]!Table1[Sales Order])*(Table1[[#This Row],[Product ID]]=[1]!Table1[Product ID]),[1]!Table1[New Invoice
 Date],"")</f>
        <v>#REF!</v>
      </c>
      <c r="P61" t="e" cm="1">
        <f t="array" ref="P61">_xlfn.XLOOKUP(1,(Table1[[#This Row],[Customer]]=[1]!Table1[Customer])*(Table1[[#This Row],[Sales Orders]]=[1]!Table1[Sales Order])*(Table1[[#This Row],[Product ID]]=[1]!Table1[Product ID]),[1]!Table1[New 
Invoice '#],"")</f>
        <v>#REF!</v>
      </c>
      <c r="Q61" s="17" t="s">
        <v>118</v>
      </c>
      <c r="R61" t="e" cm="1">
        <f t="array" ref="R6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1" s="5">
        <v>1</v>
      </c>
      <c r="T61">
        <v>0</v>
      </c>
      <c r="U61" s="5">
        <v>0</v>
      </c>
      <c r="V61" s="5">
        <v>27579</v>
      </c>
      <c r="W61" s="5">
        <v>12798</v>
      </c>
      <c r="X61" t="s">
        <v>98</v>
      </c>
      <c r="Y61" s="6">
        <v>46038</v>
      </c>
      <c r="Z61" s="5"/>
      <c r="AB61" s="5"/>
      <c r="AD61" t="s">
        <v>157</v>
      </c>
    </row>
    <row r="62" spans="1:32" ht="16" x14ac:dyDescent="0.2">
      <c r="A62" t="s">
        <v>39</v>
      </c>
      <c r="C62" s="5">
        <v>12799</v>
      </c>
      <c r="D62" t="s">
        <v>158</v>
      </c>
      <c r="E62">
        <v>3817.65</v>
      </c>
      <c r="F62">
        <v>4620</v>
      </c>
      <c r="G62" s="3">
        <v>802.34999999999991</v>
      </c>
      <c r="H62" s="4">
        <v>0.17366883116883114</v>
      </c>
      <c r="I62" s="6">
        <v>46038</v>
      </c>
      <c r="J62" s="14" t="e" cm="1">
        <f t="array" ref="J6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2" s="4"/>
      <c r="L62" s="4"/>
      <c r="M62" s="4"/>
      <c r="N62" s="4"/>
      <c r="O62" s="6" t="e" cm="1">
        <f t="array" ref="O62">_xlfn.XLOOKUP(1,(Table1[[#This Row],[Customer]]=[1]!Table1[Customer])*(Table1[[#This Row],[Sales Orders]]=[1]!Table1[Sales Order])*(Table1[[#This Row],[Product ID]]=[1]!Table1[Product ID]),[1]!Table1[New Invoice
 Date],"")</f>
        <v>#REF!</v>
      </c>
      <c r="P62" t="e" cm="1">
        <f t="array" ref="P62">_xlfn.XLOOKUP(1,(Table1[[#This Row],[Customer]]=[1]!Table1[Customer])*(Table1[[#This Row],[Sales Orders]]=[1]!Table1[Sales Order])*(Table1[[#This Row],[Product ID]]=[1]!Table1[Product ID]),[1]!Table1[New 
Invoice '#],"")</f>
        <v>#REF!</v>
      </c>
      <c r="Q62" s="17" t="s">
        <v>118</v>
      </c>
      <c r="R62" t="e" cm="1">
        <f t="array" ref="R6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2" s="5">
        <v>5</v>
      </c>
      <c r="T62">
        <v>5</v>
      </c>
      <c r="U62" s="5">
        <v>0</v>
      </c>
      <c r="V62" s="5">
        <v>27578</v>
      </c>
      <c r="W62" s="5">
        <v>12799</v>
      </c>
      <c r="X62" t="s">
        <v>98</v>
      </c>
      <c r="Y62" s="6">
        <v>46038</v>
      </c>
      <c r="Z62" s="5"/>
      <c r="AB62" s="5">
        <v>2414672</v>
      </c>
      <c r="AC62" t="s">
        <v>155</v>
      </c>
      <c r="AD62" t="s">
        <v>159</v>
      </c>
    </row>
    <row r="63" spans="1:32" ht="16" x14ac:dyDescent="0.2">
      <c r="A63" t="s">
        <v>39</v>
      </c>
      <c r="C63" s="5">
        <v>12799</v>
      </c>
      <c r="D63" t="s">
        <v>160</v>
      </c>
      <c r="E63">
        <v>15791.25</v>
      </c>
      <c r="F63">
        <v>18480</v>
      </c>
      <c r="G63" s="3">
        <v>2688.75</v>
      </c>
      <c r="H63" s="4">
        <v>0.14549512987013</v>
      </c>
      <c r="I63" s="6">
        <v>46038</v>
      </c>
      <c r="J63" s="14" t="e" cm="1">
        <f t="array" ref="J6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3" s="4"/>
      <c r="L63" s="4"/>
      <c r="M63" s="4"/>
      <c r="N63" s="4"/>
      <c r="O63" s="6" t="e" cm="1">
        <f t="array" ref="O63">_xlfn.XLOOKUP(1,(Table1[[#This Row],[Customer]]=[1]!Table1[Customer])*(Table1[[#This Row],[Sales Orders]]=[1]!Table1[Sales Order])*(Table1[[#This Row],[Product ID]]=[1]!Table1[Product ID]),[1]!Table1[New Invoice
 Date],"")</f>
        <v>#REF!</v>
      </c>
      <c r="P63" t="e" cm="1">
        <f t="array" ref="P63">_xlfn.XLOOKUP(1,(Table1[[#This Row],[Customer]]=[1]!Table1[Customer])*(Table1[[#This Row],[Sales Orders]]=[1]!Table1[Sales Order])*(Table1[[#This Row],[Product ID]]=[1]!Table1[Product ID]),[1]!Table1[New 
Invoice '#],"")</f>
        <v>#REF!</v>
      </c>
      <c r="Q63" s="17" t="s">
        <v>118</v>
      </c>
      <c r="R63" t="e" cm="1">
        <f t="array" ref="R6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3" s="5">
        <v>20</v>
      </c>
      <c r="T63">
        <v>20</v>
      </c>
      <c r="U63" s="5">
        <v>0</v>
      </c>
      <c r="V63" s="5">
        <v>27578</v>
      </c>
      <c r="W63" s="5">
        <v>12799</v>
      </c>
      <c r="X63" t="s">
        <v>98</v>
      </c>
      <c r="Y63" s="6">
        <v>46038</v>
      </c>
      <c r="Z63" s="5"/>
      <c r="AB63" s="5">
        <v>2414672</v>
      </c>
      <c r="AC63" t="s">
        <v>155</v>
      </c>
      <c r="AD63" t="s">
        <v>159</v>
      </c>
    </row>
    <row r="64" spans="1:32" ht="16" x14ac:dyDescent="0.2">
      <c r="A64" t="s">
        <v>39</v>
      </c>
      <c r="C64" s="5">
        <v>12799</v>
      </c>
      <c r="D64" t="s">
        <v>161</v>
      </c>
      <c r="E64">
        <v>4037.25</v>
      </c>
      <c r="F64">
        <v>5000</v>
      </c>
      <c r="G64" s="3">
        <v>962.75</v>
      </c>
      <c r="H64" s="4">
        <v>0.19255</v>
      </c>
      <c r="I64" s="6">
        <v>46038</v>
      </c>
      <c r="J64" s="14" t="e" cm="1">
        <f t="array" ref="J6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4" s="4"/>
      <c r="L64" s="4"/>
      <c r="M64" s="4"/>
      <c r="N64" s="4"/>
      <c r="O64" s="6" t="e" cm="1">
        <f t="array" ref="O64">_xlfn.XLOOKUP(1,(Table1[[#This Row],[Customer]]=[1]!Table1[Customer])*(Table1[[#This Row],[Sales Orders]]=[1]!Table1[Sales Order])*(Table1[[#This Row],[Product ID]]=[1]!Table1[Product ID]),[1]!Table1[New Invoice
 Date],"")</f>
        <v>#REF!</v>
      </c>
      <c r="P64" t="e" cm="1">
        <f t="array" ref="P64">_xlfn.XLOOKUP(1,(Table1[[#This Row],[Customer]]=[1]!Table1[Customer])*(Table1[[#This Row],[Sales Orders]]=[1]!Table1[Sales Order])*(Table1[[#This Row],[Product ID]]=[1]!Table1[Product ID]),[1]!Table1[New 
Invoice '#],"")</f>
        <v>#REF!</v>
      </c>
      <c r="Q64" s="17" t="s">
        <v>118</v>
      </c>
      <c r="R64" t="e" cm="1">
        <f t="array" ref="R6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4" s="5">
        <v>25</v>
      </c>
      <c r="T64">
        <v>25</v>
      </c>
      <c r="U64" s="5">
        <v>0</v>
      </c>
      <c r="V64" s="5">
        <v>27578</v>
      </c>
      <c r="W64" s="5">
        <v>12799</v>
      </c>
      <c r="X64" t="s">
        <v>98</v>
      </c>
      <c r="Y64" s="6">
        <v>46038</v>
      </c>
      <c r="Z64" s="5"/>
      <c r="AB64" s="5">
        <v>2414672</v>
      </c>
      <c r="AC64" t="s">
        <v>155</v>
      </c>
      <c r="AD64" t="s">
        <v>162</v>
      </c>
    </row>
    <row r="65" spans="1:32" ht="16" x14ac:dyDescent="0.2">
      <c r="A65" t="s">
        <v>39</v>
      </c>
      <c r="C65" s="5">
        <v>12799</v>
      </c>
      <c r="D65" t="s">
        <v>163</v>
      </c>
      <c r="E65">
        <v>576.25</v>
      </c>
      <c r="F65">
        <v>692</v>
      </c>
      <c r="G65" s="3">
        <v>115.75</v>
      </c>
      <c r="H65" s="4">
        <v>0.16726878612716764</v>
      </c>
      <c r="I65" s="6">
        <v>46038</v>
      </c>
      <c r="J65" s="14" t="e" cm="1">
        <f t="array" ref="J6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5" s="4"/>
      <c r="L65" s="4"/>
      <c r="M65" s="4"/>
      <c r="N65" s="4"/>
      <c r="O65" s="6" t="e" cm="1">
        <f t="array" ref="O65">_xlfn.XLOOKUP(1,(Table1[[#This Row],[Customer]]=[1]!Table1[Customer])*(Table1[[#This Row],[Sales Orders]]=[1]!Table1[Sales Order])*(Table1[[#This Row],[Product ID]]=[1]!Table1[Product ID]),[1]!Table1[New Invoice
 Date],"")</f>
        <v>#REF!</v>
      </c>
      <c r="P65" t="e" cm="1">
        <f t="array" ref="P65">_xlfn.XLOOKUP(1,(Table1[[#This Row],[Customer]]=[1]!Table1[Customer])*(Table1[[#This Row],[Sales Orders]]=[1]!Table1[Sales Order])*(Table1[[#This Row],[Product ID]]=[1]!Table1[Product ID]),[1]!Table1[New 
Invoice '#],"")</f>
        <v>#REF!</v>
      </c>
      <c r="Q65" s="17" t="s">
        <v>118</v>
      </c>
      <c r="R65" t="e" cm="1">
        <f t="array" ref="R6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5" s="5">
        <v>25</v>
      </c>
      <c r="T65">
        <v>25</v>
      </c>
      <c r="U65" s="5">
        <v>0</v>
      </c>
      <c r="V65" s="5">
        <v>27578</v>
      </c>
      <c r="W65" s="5">
        <v>12799</v>
      </c>
      <c r="X65" t="s">
        <v>98</v>
      </c>
      <c r="Y65" s="6">
        <v>46038</v>
      </c>
      <c r="Z65" s="5"/>
      <c r="AB65" s="5">
        <v>2414672</v>
      </c>
      <c r="AC65" t="s">
        <v>155</v>
      </c>
      <c r="AD65" t="s">
        <v>164</v>
      </c>
    </row>
    <row r="66" spans="1:32" ht="16" x14ac:dyDescent="0.2">
      <c r="A66" t="s">
        <v>39</v>
      </c>
      <c r="C66" s="5">
        <v>12799</v>
      </c>
      <c r="D66" t="s">
        <v>165</v>
      </c>
      <c r="E66">
        <v>536.88</v>
      </c>
      <c r="F66">
        <v>587.5</v>
      </c>
      <c r="G66" s="3">
        <v>50.620000000000005</v>
      </c>
      <c r="H66" s="4">
        <v>8.6161702127659584E-2</v>
      </c>
      <c r="I66" s="6">
        <v>46038</v>
      </c>
      <c r="J66" s="14" t="e" cm="1">
        <f t="array" ref="J6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6" s="4"/>
      <c r="L66" s="4"/>
      <c r="M66" s="4"/>
      <c r="N66" s="4"/>
      <c r="O66" s="6" t="e" cm="1">
        <f t="array" ref="O66">_xlfn.XLOOKUP(1,(Table1[[#This Row],[Customer]]=[1]!Table1[Customer])*(Table1[[#This Row],[Sales Orders]]=[1]!Table1[Sales Order])*(Table1[[#This Row],[Product ID]]=[1]!Table1[Product ID]),[1]!Table1[New Invoice
 Date],"")</f>
        <v>#REF!</v>
      </c>
      <c r="P66" t="e" cm="1">
        <f t="array" ref="P66">_xlfn.XLOOKUP(1,(Table1[[#This Row],[Customer]]=[1]!Table1[Customer])*(Table1[[#This Row],[Sales Orders]]=[1]!Table1[Sales Order])*(Table1[[#This Row],[Product ID]]=[1]!Table1[Product ID]),[1]!Table1[New 
Invoice '#],"")</f>
        <v>#REF!</v>
      </c>
      <c r="Q66" s="17" t="s">
        <v>118</v>
      </c>
      <c r="R66" t="e" cm="1">
        <f t="array" ref="R6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6" s="5">
        <v>25</v>
      </c>
      <c r="T66">
        <v>25</v>
      </c>
      <c r="U66" s="5">
        <v>0</v>
      </c>
      <c r="V66" s="5">
        <v>27578</v>
      </c>
      <c r="W66" s="5">
        <v>12799</v>
      </c>
      <c r="X66" t="s">
        <v>98</v>
      </c>
      <c r="Y66" s="6">
        <v>46038</v>
      </c>
      <c r="Z66" s="5"/>
      <c r="AB66" s="5">
        <v>2414672</v>
      </c>
      <c r="AC66" t="s">
        <v>155</v>
      </c>
      <c r="AD66" t="s">
        <v>166</v>
      </c>
    </row>
    <row r="67" spans="1:32" ht="16" x14ac:dyDescent="0.2">
      <c r="A67" t="s">
        <v>39</v>
      </c>
      <c r="C67" s="5">
        <v>12799</v>
      </c>
      <c r="D67" t="s">
        <v>167</v>
      </c>
      <c r="E67">
        <v>7297.1699799999997</v>
      </c>
      <c r="F67">
        <v>8595.1</v>
      </c>
      <c r="G67" s="3">
        <v>1297.9300200000007</v>
      </c>
      <c r="H67" s="4">
        <v>0.15100813486754089</v>
      </c>
      <c r="I67" s="6">
        <v>46038</v>
      </c>
      <c r="J67" s="14" t="e" cm="1">
        <f t="array" ref="J6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7" s="4"/>
      <c r="L67" s="4"/>
      <c r="M67" s="4"/>
      <c r="N67" s="4"/>
      <c r="O67" s="6" t="e" cm="1">
        <f t="array" ref="O67">_xlfn.XLOOKUP(1,(Table1[[#This Row],[Customer]]=[1]!Table1[Customer])*(Table1[[#This Row],[Sales Orders]]=[1]!Table1[Sales Order])*(Table1[[#This Row],[Product ID]]=[1]!Table1[Product ID]),[1]!Table1[New Invoice
 Date],"")</f>
        <v>#REF!</v>
      </c>
      <c r="P67" t="e" cm="1">
        <f t="array" ref="P67">_xlfn.XLOOKUP(1,(Table1[[#This Row],[Customer]]=[1]!Table1[Customer])*(Table1[[#This Row],[Sales Orders]]=[1]!Table1[Sales Order])*(Table1[[#This Row],[Product ID]]=[1]!Table1[Product ID]),[1]!Table1[New 
Invoice '#],"")</f>
        <v>#REF!</v>
      </c>
      <c r="Q67" s="17" t="s">
        <v>118</v>
      </c>
      <c r="R67" t="e" cm="1">
        <f t="array" ref="R6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7" s="5">
        <v>46</v>
      </c>
      <c r="T67">
        <v>46</v>
      </c>
      <c r="U67" s="5">
        <v>0</v>
      </c>
      <c r="V67" s="5">
        <v>27578</v>
      </c>
      <c r="W67" s="5">
        <v>12799</v>
      </c>
      <c r="X67" t="s">
        <v>98</v>
      </c>
      <c r="Y67" s="6">
        <v>46038</v>
      </c>
      <c r="Z67" s="5"/>
      <c r="AB67" s="5">
        <v>2414672</v>
      </c>
      <c r="AC67" t="s">
        <v>155</v>
      </c>
      <c r="AD67" t="s">
        <v>168</v>
      </c>
    </row>
    <row r="68" spans="1:32" ht="16" x14ac:dyDescent="0.2">
      <c r="A68" t="s">
        <v>169</v>
      </c>
      <c r="C68" s="5">
        <v>12810</v>
      </c>
      <c r="D68" t="s">
        <v>170</v>
      </c>
      <c r="E68">
        <v>8160.48</v>
      </c>
      <c r="F68">
        <v>10260.24</v>
      </c>
      <c r="G68" s="3">
        <v>2099.7600000000002</v>
      </c>
      <c r="H68" s="4">
        <v>0.20465018362143578</v>
      </c>
      <c r="I68" s="6">
        <v>46041</v>
      </c>
      <c r="J68" s="14" t="e" cm="1">
        <f t="array" ref="J6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8" s="4"/>
      <c r="L68" s="4"/>
      <c r="M68" s="4"/>
      <c r="N68" s="4"/>
      <c r="O68" s="6" t="e" cm="1">
        <f t="array" ref="O68">_xlfn.XLOOKUP(1,(Table1[[#This Row],[Customer]]=[1]!Table1[Customer])*(Table1[[#This Row],[Sales Orders]]=[1]!Table1[Sales Order])*(Table1[[#This Row],[Product ID]]=[1]!Table1[Product ID]),[1]!Table1[New Invoice
 Date],"")</f>
        <v>#REF!</v>
      </c>
      <c r="P68" t="e" cm="1">
        <f t="array" ref="P68">_xlfn.XLOOKUP(1,(Table1[[#This Row],[Customer]]=[1]!Table1[Customer])*(Table1[[#This Row],[Sales Orders]]=[1]!Table1[Sales Order])*(Table1[[#This Row],[Product ID]]=[1]!Table1[Product ID]),[1]!Table1[New 
Invoice '#],"")</f>
        <v>#REF!</v>
      </c>
      <c r="Q68" s="18" t="s">
        <v>171</v>
      </c>
      <c r="R68" t="e" cm="1">
        <f t="array" ref="R6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8" s="5">
        <v>24</v>
      </c>
      <c r="T68">
        <v>0</v>
      </c>
      <c r="U68" s="5">
        <v>0</v>
      </c>
      <c r="V68" s="5">
        <v>26775</v>
      </c>
      <c r="W68" s="5">
        <v>12810</v>
      </c>
      <c r="X68" t="s">
        <v>119</v>
      </c>
      <c r="Y68" s="6">
        <v>46041</v>
      </c>
      <c r="Z68" s="5"/>
      <c r="AB68" s="5">
        <v>2415552</v>
      </c>
      <c r="AC68" t="s">
        <v>172</v>
      </c>
      <c r="AD68" t="s">
        <v>173</v>
      </c>
    </row>
    <row r="69" spans="1:32" ht="16" x14ac:dyDescent="0.2">
      <c r="A69" t="s">
        <v>169</v>
      </c>
      <c r="C69" s="5">
        <v>12810</v>
      </c>
      <c r="D69" t="s">
        <v>174</v>
      </c>
      <c r="E69">
        <v>0</v>
      </c>
      <c r="F69">
        <v>96</v>
      </c>
      <c r="G69" s="3">
        <v>96</v>
      </c>
      <c r="H69" s="4">
        <v>1</v>
      </c>
      <c r="I69" s="6">
        <v>46041</v>
      </c>
      <c r="J69" s="14" t="e" cm="1">
        <f t="array" ref="J6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69" s="4"/>
      <c r="L69" s="4"/>
      <c r="M69" s="4"/>
      <c r="N69" s="4"/>
      <c r="O69" s="6" t="e" cm="1">
        <f t="array" ref="O69">_xlfn.XLOOKUP(1,(Table1[[#This Row],[Customer]]=[1]!Table1[Customer])*(Table1[[#This Row],[Sales Orders]]=[1]!Table1[Sales Order])*(Table1[[#This Row],[Product ID]]=[1]!Table1[Product ID]),[1]!Table1[New Invoice
 Date],"")</f>
        <v>#REF!</v>
      </c>
      <c r="P69" t="e" cm="1">
        <f t="array" ref="P69">_xlfn.XLOOKUP(1,(Table1[[#This Row],[Customer]]=[1]!Table1[Customer])*(Table1[[#This Row],[Sales Orders]]=[1]!Table1[Sales Order])*(Table1[[#This Row],[Product ID]]=[1]!Table1[Product ID]),[1]!Table1[New 
Invoice '#],"")</f>
        <v>#REF!</v>
      </c>
      <c r="Q69" s="18" t="s">
        <v>171</v>
      </c>
      <c r="R69" t="e" cm="1">
        <f t="array" ref="R6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69" s="5">
        <v>24</v>
      </c>
      <c r="T69">
        <v>0</v>
      </c>
      <c r="U69" s="5">
        <v>0</v>
      </c>
      <c r="V69" s="5">
        <v>26775</v>
      </c>
      <c r="W69" s="5">
        <v>12810</v>
      </c>
      <c r="X69" t="s">
        <v>119</v>
      </c>
      <c r="Y69" s="6">
        <v>46041</v>
      </c>
      <c r="Z69" s="5"/>
      <c r="AB69" s="5">
        <v>2415552</v>
      </c>
      <c r="AC69" t="s">
        <v>172</v>
      </c>
      <c r="AD69" t="s">
        <v>175</v>
      </c>
    </row>
    <row r="70" spans="1:32" ht="16" x14ac:dyDescent="0.2">
      <c r="A70" t="s">
        <v>169</v>
      </c>
      <c r="C70" s="5">
        <v>12810</v>
      </c>
      <c r="D70" t="s">
        <v>176</v>
      </c>
      <c r="E70">
        <v>712.56</v>
      </c>
      <c r="F70">
        <v>855.12</v>
      </c>
      <c r="G70" s="3">
        <v>142.56000000000006</v>
      </c>
      <c r="H70" s="4">
        <v>0.16671344372719626</v>
      </c>
      <c r="I70" s="6">
        <v>46041</v>
      </c>
      <c r="J70" s="14" t="e" cm="1">
        <f t="array" ref="J7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0" s="4"/>
      <c r="L70" s="4"/>
      <c r="M70" s="4"/>
      <c r="N70" s="4"/>
      <c r="O70" s="6" t="e" cm="1">
        <f t="array" ref="O70">_xlfn.XLOOKUP(1,(Table1[[#This Row],[Customer]]=[1]!Table1[Customer])*(Table1[[#This Row],[Sales Orders]]=[1]!Table1[Sales Order])*(Table1[[#This Row],[Product ID]]=[1]!Table1[Product ID]),[1]!Table1[New Invoice
 Date],"")</f>
        <v>#REF!</v>
      </c>
      <c r="P70" t="e" cm="1">
        <f t="array" ref="P70">_xlfn.XLOOKUP(1,(Table1[[#This Row],[Customer]]=[1]!Table1[Customer])*(Table1[[#This Row],[Sales Orders]]=[1]!Table1[Sales Order])*(Table1[[#This Row],[Product ID]]=[1]!Table1[Product ID]),[1]!Table1[New 
Invoice '#],"")</f>
        <v>#REF!</v>
      </c>
      <c r="Q70" s="18" t="s">
        <v>171</v>
      </c>
      <c r="R70" t="e" cm="1">
        <f t="array" ref="R7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0" s="5">
        <v>24</v>
      </c>
      <c r="T70">
        <v>24</v>
      </c>
      <c r="U70" s="5">
        <v>0</v>
      </c>
      <c r="V70" s="5">
        <v>26775</v>
      </c>
      <c r="W70" s="5">
        <v>12810</v>
      </c>
      <c r="X70" t="s">
        <v>119</v>
      </c>
      <c r="Y70" s="6">
        <v>46041</v>
      </c>
      <c r="Z70" s="5"/>
      <c r="AB70" s="5">
        <v>2415552</v>
      </c>
      <c r="AC70" t="s">
        <v>172</v>
      </c>
      <c r="AD70" t="s">
        <v>177</v>
      </c>
      <c r="AE70" t="s">
        <v>178</v>
      </c>
      <c r="AF70" t="s">
        <v>38</v>
      </c>
    </row>
    <row r="71" spans="1:32" ht="16" x14ac:dyDescent="0.2">
      <c r="A71" t="s">
        <v>179</v>
      </c>
      <c r="C71" s="5">
        <v>12817</v>
      </c>
      <c r="D71" t="s">
        <v>62</v>
      </c>
      <c r="E71">
        <v>50</v>
      </c>
      <c r="F71">
        <v>50</v>
      </c>
      <c r="G71" s="3">
        <v>0</v>
      </c>
      <c r="H71" s="4">
        <v>0</v>
      </c>
      <c r="I71" s="6">
        <v>46042</v>
      </c>
      <c r="J71" s="14" t="e" cm="1">
        <f t="array" ref="J7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1" s="4"/>
      <c r="L71" s="4"/>
      <c r="M71" s="4"/>
      <c r="N71" s="4"/>
      <c r="O71" s="6" t="e" cm="1">
        <f t="array" ref="O71">_xlfn.XLOOKUP(1,(Table1[[#This Row],[Customer]]=[1]!Table1[Customer])*(Table1[[#This Row],[Sales Orders]]=[1]!Table1[Sales Order])*(Table1[[#This Row],[Product ID]]=[1]!Table1[Product ID]),[1]!Table1[New Invoice
 Date],"")</f>
        <v>#REF!</v>
      </c>
      <c r="P71" t="e" cm="1">
        <f t="array" ref="P71">_xlfn.XLOOKUP(1,(Table1[[#This Row],[Customer]]=[1]!Table1[Customer])*(Table1[[#This Row],[Sales Orders]]=[1]!Table1[Sales Order])*(Table1[[#This Row],[Product ID]]=[1]!Table1[Product ID]),[1]!Table1[New 
Invoice '#],"")</f>
        <v>#REF!</v>
      </c>
      <c r="Q71" s="17" t="s">
        <v>180</v>
      </c>
      <c r="R71" t="e" cm="1">
        <f t="array" ref="R7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1" s="5">
        <v>1</v>
      </c>
      <c r="T71">
        <v>0</v>
      </c>
      <c r="U71" s="5">
        <v>0</v>
      </c>
      <c r="V71" s="5">
        <v>27224</v>
      </c>
      <c r="W71" s="5">
        <v>12817</v>
      </c>
      <c r="X71" t="s">
        <v>95</v>
      </c>
      <c r="Y71" s="6">
        <v>46042</v>
      </c>
      <c r="Z71" s="5">
        <v>3166</v>
      </c>
      <c r="AA71" t="s">
        <v>115</v>
      </c>
      <c r="AB71" s="5"/>
      <c r="AD71" t="s">
        <v>63</v>
      </c>
    </row>
    <row r="72" spans="1:32" ht="16" x14ac:dyDescent="0.2">
      <c r="A72" t="s">
        <v>179</v>
      </c>
      <c r="C72" s="5">
        <v>12817</v>
      </c>
      <c r="D72" t="s">
        <v>181</v>
      </c>
      <c r="E72">
        <v>699.99</v>
      </c>
      <c r="F72">
        <v>839.99</v>
      </c>
      <c r="G72" s="3">
        <v>140</v>
      </c>
      <c r="H72" s="4">
        <v>0.16666865081727164</v>
      </c>
      <c r="I72" s="6">
        <v>46042</v>
      </c>
      <c r="J72" s="14" t="e" cm="1">
        <f t="array" ref="J7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2" s="4"/>
      <c r="L72" s="4"/>
      <c r="M72" s="4"/>
      <c r="N72" s="4"/>
      <c r="O72" s="6" t="e" cm="1">
        <f t="array" ref="O72">_xlfn.XLOOKUP(1,(Table1[[#This Row],[Customer]]=[1]!Table1[Customer])*(Table1[[#This Row],[Sales Orders]]=[1]!Table1[Sales Order])*(Table1[[#This Row],[Product ID]]=[1]!Table1[Product ID]),[1]!Table1[New Invoice
 Date],"")</f>
        <v>#REF!</v>
      </c>
      <c r="P72" t="e" cm="1">
        <f t="array" ref="P72">_xlfn.XLOOKUP(1,(Table1[[#This Row],[Customer]]=[1]!Table1[Customer])*(Table1[[#This Row],[Sales Orders]]=[1]!Table1[Sales Order])*(Table1[[#This Row],[Product ID]]=[1]!Table1[Product ID]),[1]!Table1[New 
Invoice '#],"")</f>
        <v>#REF!</v>
      </c>
      <c r="Q72" s="17" t="s">
        <v>180</v>
      </c>
      <c r="R72" t="e" cm="1">
        <f t="array" ref="R7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2" s="5">
        <v>1</v>
      </c>
      <c r="T72">
        <v>1</v>
      </c>
      <c r="U72" s="5">
        <v>0</v>
      </c>
      <c r="V72" s="5">
        <v>27224</v>
      </c>
      <c r="W72" s="5">
        <v>12817</v>
      </c>
      <c r="X72" t="s">
        <v>95</v>
      </c>
      <c r="Y72" s="6">
        <v>46042</v>
      </c>
      <c r="Z72" s="5">
        <v>3166</v>
      </c>
      <c r="AA72" t="s">
        <v>115</v>
      </c>
      <c r="AB72" s="5"/>
      <c r="AD72" t="s">
        <v>182</v>
      </c>
      <c r="AE72" t="s">
        <v>183</v>
      </c>
      <c r="AF72" t="s">
        <v>38</v>
      </c>
    </row>
    <row r="73" spans="1:32" ht="32" x14ac:dyDescent="0.2">
      <c r="A73" t="s">
        <v>184</v>
      </c>
      <c r="C73" s="5">
        <v>12820</v>
      </c>
      <c r="D73" t="s">
        <v>185</v>
      </c>
      <c r="E73">
        <v>117.26</v>
      </c>
      <c r="F73">
        <v>140.72</v>
      </c>
      <c r="G73" s="3">
        <v>23.459999999999994</v>
      </c>
      <c r="H73" s="4">
        <v>0.16671404206935755</v>
      </c>
      <c r="I73" s="6">
        <v>46043</v>
      </c>
      <c r="J73" s="14" t="e" cm="1">
        <f t="array" ref="J7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3" s="4"/>
      <c r="L73" s="4"/>
      <c r="M73" s="4"/>
      <c r="N73" s="4"/>
      <c r="O73" s="6" t="e" cm="1">
        <f t="array" ref="O73">_xlfn.XLOOKUP(1,(Table1[[#This Row],[Customer]]=[1]!Table1[Customer])*(Table1[[#This Row],[Sales Orders]]=[1]!Table1[Sales Order])*(Table1[[#This Row],[Product ID]]=[1]!Table1[Product ID]),[1]!Table1[New Invoice
 Date],"")</f>
        <v>#REF!</v>
      </c>
      <c r="P73" t="e" cm="1">
        <f t="array" ref="P73">_xlfn.XLOOKUP(1,(Table1[[#This Row],[Customer]]=[1]!Table1[Customer])*(Table1[[#This Row],[Sales Orders]]=[1]!Table1[Sales Order])*(Table1[[#This Row],[Product ID]]=[1]!Table1[Product ID]),[1]!Table1[New 
Invoice '#],"")</f>
        <v>#REF!</v>
      </c>
      <c r="Q73" s="17" t="s">
        <v>186</v>
      </c>
      <c r="R73" t="e" cm="1">
        <f t="array" ref="R7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3" s="5">
        <v>2</v>
      </c>
      <c r="T73">
        <v>0</v>
      </c>
      <c r="U73" s="5">
        <v>0</v>
      </c>
      <c r="V73" s="5">
        <v>27601</v>
      </c>
      <c r="W73" s="5">
        <v>12820</v>
      </c>
      <c r="X73" t="s">
        <v>95</v>
      </c>
      <c r="Y73" s="6">
        <v>46043</v>
      </c>
      <c r="Z73" s="5"/>
      <c r="AB73" s="5"/>
      <c r="AD73" t="s">
        <v>187</v>
      </c>
    </row>
    <row r="74" spans="1:32" ht="32" x14ac:dyDescent="0.2">
      <c r="A74" t="s">
        <v>184</v>
      </c>
      <c r="C74" s="5">
        <v>12820</v>
      </c>
      <c r="D74" t="s">
        <v>188</v>
      </c>
      <c r="E74">
        <v>1373.5</v>
      </c>
      <c r="F74">
        <v>1648.25</v>
      </c>
      <c r="G74" s="3">
        <v>274.75</v>
      </c>
      <c r="H74" s="4">
        <v>0.16669194600333687</v>
      </c>
      <c r="I74" s="6">
        <v>46043</v>
      </c>
      <c r="J74" s="14" t="e" cm="1">
        <f t="array" ref="J7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4" s="4"/>
      <c r="L74" s="4"/>
      <c r="M74" s="4"/>
      <c r="N74" s="4"/>
      <c r="O74" s="6" t="e" cm="1">
        <f t="array" ref="O74">_xlfn.XLOOKUP(1,(Table1[[#This Row],[Customer]]=[1]!Table1[Customer])*(Table1[[#This Row],[Sales Orders]]=[1]!Table1[Sales Order])*(Table1[[#This Row],[Product ID]]=[1]!Table1[Product ID]),[1]!Table1[New Invoice
 Date],"")</f>
        <v>#REF!</v>
      </c>
      <c r="P74" t="e" cm="1">
        <f t="array" ref="P74">_xlfn.XLOOKUP(1,(Table1[[#This Row],[Customer]]=[1]!Table1[Customer])*(Table1[[#This Row],[Sales Orders]]=[1]!Table1[Sales Order])*(Table1[[#This Row],[Product ID]]=[1]!Table1[Product ID]),[1]!Table1[New 
Invoice '#],"")</f>
        <v>#REF!</v>
      </c>
      <c r="Q74" s="17" t="s">
        <v>186</v>
      </c>
      <c r="R74" t="e" cm="1">
        <f t="array" ref="R7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4" s="5">
        <v>25</v>
      </c>
      <c r="T74">
        <v>0</v>
      </c>
      <c r="U74" s="5">
        <v>0</v>
      </c>
      <c r="V74" s="5">
        <v>27601</v>
      </c>
      <c r="W74" s="5">
        <v>12820</v>
      </c>
      <c r="X74" t="s">
        <v>95</v>
      </c>
      <c r="Y74" s="6">
        <v>46043</v>
      </c>
      <c r="Z74" s="5"/>
      <c r="AB74" s="5"/>
      <c r="AD74" t="s">
        <v>189</v>
      </c>
    </row>
    <row r="75" spans="1:32" ht="16" x14ac:dyDescent="0.2">
      <c r="A75" t="s">
        <v>190</v>
      </c>
      <c r="C75" s="5">
        <v>12831</v>
      </c>
      <c r="D75" t="s">
        <v>191</v>
      </c>
      <c r="E75">
        <v>765</v>
      </c>
      <c r="F75">
        <v>900</v>
      </c>
      <c r="G75" s="3">
        <v>135</v>
      </c>
      <c r="H75" s="4">
        <v>0.15</v>
      </c>
      <c r="I75" s="6">
        <v>46045</v>
      </c>
      <c r="J75" s="14" t="e" cm="1">
        <f t="array" ref="J7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5" s="4"/>
      <c r="L75" s="4"/>
      <c r="M75" s="4"/>
      <c r="N75" s="4"/>
      <c r="O75" s="6" t="e" cm="1">
        <f t="array" ref="O75">_xlfn.XLOOKUP(1,(Table1[[#This Row],[Customer]]=[1]!Table1[Customer])*(Table1[[#This Row],[Sales Orders]]=[1]!Table1[Sales Order])*(Table1[[#This Row],[Product ID]]=[1]!Table1[Product ID]),[1]!Table1[New Invoice
 Date],"")</f>
        <v>#REF!</v>
      </c>
      <c r="P75" t="e" cm="1">
        <f t="array" ref="P75">_xlfn.XLOOKUP(1,(Table1[[#This Row],[Customer]]=[1]!Table1[Customer])*(Table1[[#This Row],[Sales Orders]]=[1]!Table1[Sales Order])*(Table1[[#This Row],[Product ID]]=[1]!Table1[Product ID]),[1]!Table1[New 
Invoice '#],"")</f>
        <v>#REF!</v>
      </c>
      <c r="Q75" s="17" t="s">
        <v>192</v>
      </c>
      <c r="R75" t="e" cm="1">
        <f t="array" ref="R7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5" s="5">
        <v>10</v>
      </c>
      <c r="T75">
        <v>10</v>
      </c>
      <c r="U75" s="5">
        <v>0</v>
      </c>
      <c r="V75" s="5">
        <v>27626</v>
      </c>
      <c r="W75" s="5">
        <v>12831</v>
      </c>
      <c r="X75" t="s">
        <v>193</v>
      </c>
      <c r="Y75" s="6">
        <v>46045</v>
      </c>
      <c r="Z75" s="5">
        <v>2932</v>
      </c>
      <c r="AA75" t="s">
        <v>35</v>
      </c>
      <c r="AB75" s="5"/>
      <c r="AD75" t="s">
        <v>194</v>
      </c>
      <c r="AE75" t="s">
        <v>195</v>
      </c>
      <c r="AF75" t="s">
        <v>38</v>
      </c>
    </row>
    <row r="76" spans="1:32" ht="32" x14ac:dyDescent="0.2">
      <c r="A76" t="s">
        <v>39</v>
      </c>
      <c r="C76" s="5">
        <v>12835</v>
      </c>
      <c r="D76" t="s">
        <v>62</v>
      </c>
      <c r="E76">
        <v>50</v>
      </c>
      <c r="F76">
        <v>50</v>
      </c>
      <c r="G76" s="3">
        <v>0</v>
      </c>
      <c r="H76" s="4">
        <v>0</v>
      </c>
      <c r="I76" s="6">
        <v>46048</v>
      </c>
      <c r="J76" s="14" t="e" cm="1">
        <f t="array" ref="J7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6" s="4"/>
      <c r="L76" s="4"/>
      <c r="M76" s="4"/>
      <c r="N76" s="4"/>
      <c r="O76" s="6" t="e" cm="1">
        <f t="array" ref="O76">_xlfn.XLOOKUP(1,(Table1[[#This Row],[Customer]]=[1]!Table1[Customer])*(Table1[[#This Row],[Sales Orders]]=[1]!Table1[Sales Order])*(Table1[[#This Row],[Product ID]]=[1]!Table1[Product ID]),[1]!Table1[New Invoice
 Date],"")</f>
        <v>#REF!</v>
      </c>
      <c r="P76" t="e" cm="1">
        <f t="array" ref="P76">_xlfn.XLOOKUP(1,(Table1[[#This Row],[Customer]]=[1]!Table1[Customer])*(Table1[[#This Row],[Sales Orders]]=[1]!Table1[Sales Order])*(Table1[[#This Row],[Product ID]]=[1]!Table1[Product ID]),[1]!Table1[New 
Invoice '#],"")</f>
        <v>#REF!</v>
      </c>
      <c r="Q76" s="17" t="s">
        <v>186</v>
      </c>
      <c r="R76" t="e" cm="1">
        <f t="array" ref="R7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6" s="5">
        <v>1</v>
      </c>
      <c r="T76">
        <v>0</v>
      </c>
      <c r="U76" s="5">
        <v>0</v>
      </c>
      <c r="V76" s="5">
        <v>27654</v>
      </c>
      <c r="W76" s="5">
        <v>12835</v>
      </c>
      <c r="X76" t="s">
        <v>98</v>
      </c>
      <c r="Y76" s="6">
        <v>46048</v>
      </c>
      <c r="Z76" s="5"/>
      <c r="AB76" s="5"/>
      <c r="AD76" t="s">
        <v>196</v>
      </c>
    </row>
    <row r="77" spans="1:32" ht="32" x14ac:dyDescent="0.2">
      <c r="A77" t="s">
        <v>39</v>
      </c>
      <c r="C77" s="5">
        <v>12835</v>
      </c>
      <c r="D77" t="s">
        <v>62</v>
      </c>
      <c r="E77">
        <v>50</v>
      </c>
      <c r="F77">
        <v>50</v>
      </c>
      <c r="G77" s="3">
        <v>0</v>
      </c>
      <c r="H77" s="4">
        <v>0</v>
      </c>
      <c r="I77" s="6">
        <v>46048</v>
      </c>
      <c r="J77" s="14" t="e" cm="1">
        <f t="array" ref="J7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7" s="4"/>
      <c r="L77" s="4"/>
      <c r="M77" s="4"/>
      <c r="N77" s="4"/>
      <c r="O77" s="6" t="e" cm="1">
        <f t="array" ref="O77">_xlfn.XLOOKUP(1,(Table1[[#This Row],[Customer]]=[1]!Table1[Customer])*(Table1[[#This Row],[Sales Orders]]=[1]!Table1[Sales Order])*(Table1[[#This Row],[Product ID]]=[1]!Table1[Product ID]),[1]!Table1[New Invoice
 Date],"")</f>
        <v>#REF!</v>
      </c>
      <c r="P77" t="e" cm="1">
        <f t="array" ref="P77">_xlfn.XLOOKUP(1,(Table1[[#This Row],[Customer]]=[1]!Table1[Customer])*(Table1[[#This Row],[Sales Orders]]=[1]!Table1[Sales Order])*(Table1[[#This Row],[Product ID]]=[1]!Table1[Product ID]),[1]!Table1[New 
Invoice '#],"")</f>
        <v>#REF!</v>
      </c>
      <c r="Q77" s="17" t="s">
        <v>186</v>
      </c>
      <c r="R77" t="e" cm="1">
        <f t="array" ref="R7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7" s="5">
        <v>1</v>
      </c>
      <c r="T77">
        <v>0</v>
      </c>
      <c r="U77" s="5">
        <v>0</v>
      </c>
      <c r="V77" s="5">
        <v>27654</v>
      </c>
      <c r="W77" s="5">
        <v>12835</v>
      </c>
      <c r="X77" t="s">
        <v>98</v>
      </c>
      <c r="Y77" s="6">
        <v>46048</v>
      </c>
      <c r="Z77" s="5"/>
      <c r="AB77" s="5"/>
      <c r="AD77" t="s">
        <v>197</v>
      </c>
    </row>
    <row r="78" spans="1:32" ht="32" x14ac:dyDescent="0.2">
      <c r="A78" t="s">
        <v>198</v>
      </c>
      <c r="C78" s="5">
        <v>12839</v>
      </c>
      <c r="D78" t="s">
        <v>199</v>
      </c>
      <c r="E78">
        <v>5391.36</v>
      </c>
      <c r="F78">
        <v>6474.24</v>
      </c>
      <c r="G78" s="3">
        <v>1082.8800000000001</v>
      </c>
      <c r="H78" s="4">
        <v>0.16725978647686834</v>
      </c>
      <c r="I78" s="6">
        <v>46049</v>
      </c>
      <c r="J78" s="14" t="e" cm="1">
        <f t="array" ref="J7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8" s="4"/>
      <c r="L78" s="4"/>
      <c r="M78" s="4"/>
      <c r="N78" s="4"/>
      <c r="O78" s="6" t="e" cm="1">
        <f t="array" ref="O78">_xlfn.XLOOKUP(1,(Table1[[#This Row],[Customer]]=[1]!Table1[Customer])*(Table1[[#This Row],[Sales Orders]]=[1]!Table1[Sales Order])*(Table1[[#This Row],[Product ID]]=[1]!Table1[Product ID]),[1]!Table1[New Invoice
 Date],"")</f>
        <v>#REF!</v>
      </c>
      <c r="P78" t="e" cm="1">
        <f t="array" ref="P78">_xlfn.XLOOKUP(1,(Table1[[#This Row],[Customer]]=[1]!Table1[Customer])*(Table1[[#This Row],[Sales Orders]]=[1]!Table1[Sales Order])*(Table1[[#This Row],[Product ID]]=[1]!Table1[Product ID]),[1]!Table1[New 
Invoice '#],"")</f>
        <v>#REF!</v>
      </c>
      <c r="Q78" s="17" t="s">
        <v>186</v>
      </c>
      <c r="R78" t="e" cm="1">
        <f t="array" ref="R7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8" s="5">
        <v>2304</v>
      </c>
      <c r="T78">
        <v>0</v>
      </c>
      <c r="U78" s="5">
        <v>0</v>
      </c>
      <c r="V78" s="5">
        <v>27428</v>
      </c>
      <c r="W78" s="5">
        <v>12839</v>
      </c>
      <c r="X78" t="s">
        <v>119</v>
      </c>
      <c r="Y78" s="6">
        <v>46049</v>
      </c>
      <c r="Z78" s="5"/>
      <c r="AB78" s="5"/>
      <c r="AD78" t="s">
        <v>200</v>
      </c>
    </row>
    <row r="79" spans="1:32" x14ac:dyDescent="0.2">
      <c r="A79" t="s">
        <v>201</v>
      </c>
      <c r="C79" s="5">
        <v>12846</v>
      </c>
      <c r="D79" t="s">
        <v>202</v>
      </c>
      <c r="E79">
        <v>199</v>
      </c>
      <c r="F79">
        <v>258</v>
      </c>
      <c r="G79" s="3">
        <v>59</v>
      </c>
      <c r="H79" s="4">
        <v>0.22868217054263565</v>
      </c>
      <c r="I79" s="6">
        <v>46050</v>
      </c>
      <c r="J79" s="14" t="e" cm="1">
        <f t="array" ref="J7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79" s="4"/>
      <c r="L79" s="4"/>
      <c r="M79" s="4"/>
      <c r="N79" s="4"/>
      <c r="O79" s="6" t="e" cm="1">
        <f t="array" ref="O79">_xlfn.XLOOKUP(1,(Table1[[#This Row],[Customer]]=[1]!Table1[Customer])*(Table1[[#This Row],[Sales Orders]]=[1]!Table1[Sales Order])*(Table1[[#This Row],[Product ID]]=[1]!Table1[Product ID]),[1]!Table1[New Invoice
 Date],"")</f>
        <v>#REF!</v>
      </c>
      <c r="P79" t="e" cm="1">
        <f t="array" ref="P79">_xlfn.XLOOKUP(1,(Table1[[#This Row],[Customer]]=[1]!Table1[Customer])*(Table1[[#This Row],[Sales Orders]]=[1]!Table1[Sales Order])*(Table1[[#This Row],[Product ID]]=[1]!Table1[Product ID]),[1]!Table1[New 
Invoice '#],"")</f>
        <v>#REF!</v>
      </c>
      <c r="Q79" t="e" cm="1">
        <f t="array" ref="Q79">_xlfn.XLOOKUP(1,(Table1[[#This Row],[Customer]]=[1]!Table1[Customer])*(Table1[[#This Row],[Sales Orders]]=[1]!Table1[Sales Order])*(Table1[[#This Row],[Product ID]]=[1]!Table1[Product ID]),[1]!Table1[Notes],"")</f>
        <v>#REF!</v>
      </c>
      <c r="R79" t="e" cm="1">
        <f t="array" ref="R7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79" s="5">
        <v>1</v>
      </c>
      <c r="T79">
        <v>0</v>
      </c>
      <c r="U79" s="5">
        <v>0</v>
      </c>
      <c r="V79" s="5">
        <v>27661</v>
      </c>
      <c r="W79" s="5">
        <v>12846</v>
      </c>
      <c r="X79" t="s">
        <v>106</v>
      </c>
      <c r="Y79" s="6">
        <v>46050</v>
      </c>
      <c r="Z79" s="5"/>
      <c r="AB79" s="5"/>
      <c r="AD79" t="s">
        <v>203</v>
      </c>
    </row>
    <row r="80" spans="1:32" ht="32" x14ac:dyDescent="0.2">
      <c r="A80" t="s">
        <v>58</v>
      </c>
      <c r="C80" s="5">
        <v>12853</v>
      </c>
      <c r="D80" t="s">
        <v>62</v>
      </c>
      <c r="E80">
        <v>13.4</v>
      </c>
      <c r="F80">
        <v>15.41</v>
      </c>
      <c r="G80" s="3">
        <v>2.0099999999999998</v>
      </c>
      <c r="H80" s="4">
        <v>0.13043478260869565</v>
      </c>
      <c r="I80" s="6">
        <v>46051</v>
      </c>
      <c r="J80" s="14" t="e" cm="1">
        <f t="array" ref="J8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0" s="4"/>
      <c r="L80" s="4"/>
      <c r="M80" s="4"/>
      <c r="N80" s="4"/>
      <c r="O80" s="6" t="e" cm="1">
        <f t="array" ref="O80">_xlfn.XLOOKUP(1,(Table1[[#This Row],[Customer]]=[1]!Table1[Customer])*(Table1[[#This Row],[Sales Orders]]=[1]!Table1[Sales Order])*(Table1[[#This Row],[Product ID]]=[1]!Table1[Product ID]),[1]!Table1[New Invoice
 Date],"")</f>
        <v>#REF!</v>
      </c>
      <c r="P80" t="e" cm="1">
        <f t="array" ref="P80">_xlfn.XLOOKUP(1,(Table1[[#This Row],[Customer]]=[1]!Table1[Customer])*(Table1[[#This Row],[Sales Orders]]=[1]!Table1[Sales Order])*(Table1[[#This Row],[Product ID]]=[1]!Table1[Product ID]),[1]!Table1[New 
Invoice '#],"")</f>
        <v>#REF!</v>
      </c>
      <c r="Q80" s="17" t="s">
        <v>186</v>
      </c>
      <c r="R80" t="e" cm="1">
        <f t="array" ref="R8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0" s="5">
        <v>1</v>
      </c>
      <c r="T80">
        <v>0</v>
      </c>
      <c r="U80" s="5">
        <v>0</v>
      </c>
      <c r="V80" s="5">
        <v>27673</v>
      </c>
      <c r="W80" s="5">
        <v>12853</v>
      </c>
      <c r="X80" t="s">
        <v>95</v>
      </c>
      <c r="Y80" s="6">
        <v>46051</v>
      </c>
      <c r="Z80" s="5"/>
      <c r="AB80" s="5"/>
      <c r="AD80" t="s">
        <v>63</v>
      </c>
    </row>
    <row r="81" spans="1:32" ht="32" x14ac:dyDescent="0.2">
      <c r="A81" t="s">
        <v>58</v>
      </c>
      <c r="C81" s="5">
        <v>12853</v>
      </c>
      <c r="D81" t="s">
        <v>204</v>
      </c>
      <c r="E81">
        <v>28.2</v>
      </c>
      <c r="F81">
        <v>28.8</v>
      </c>
      <c r="G81" s="3">
        <v>0.60000000000000142</v>
      </c>
      <c r="H81" s="4">
        <v>2.0833333333333381E-2</v>
      </c>
      <c r="I81" s="6">
        <v>46051</v>
      </c>
      <c r="J81" s="14" t="e" cm="1">
        <f t="array" ref="J8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1" s="4"/>
      <c r="L81" s="4"/>
      <c r="M81" s="4"/>
      <c r="N81" s="4"/>
      <c r="O81" s="6" t="e" cm="1">
        <f t="array" ref="O81">_xlfn.XLOOKUP(1,(Table1[[#This Row],[Customer]]=[1]!Table1[Customer])*(Table1[[#This Row],[Sales Orders]]=[1]!Table1[Sales Order])*(Table1[[#This Row],[Product ID]]=[1]!Table1[Product ID]),[1]!Table1[New Invoice
 Date],"")</f>
        <v>#REF!</v>
      </c>
      <c r="P81" t="e" cm="1">
        <f t="array" ref="P81">_xlfn.XLOOKUP(1,(Table1[[#This Row],[Customer]]=[1]!Table1[Customer])*(Table1[[#This Row],[Sales Orders]]=[1]!Table1[Sales Order])*(Table1[[#This Row],[Product ID]]=[1]!Table1[Product ID]),[1]!Table1[New 
Invoice '#],"")</f>
        <v>#REF!</v>
      </c>
      <c r="Q81" s="17" t="s">
        <v>186</v>
      </c>
      <c r="R81" t="e" cm="1">
        <f t="array" ref="R8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1" s="5">
        <v>3</v>
      </c>
      <c r="T81">
        <v>0</v>
      </c>
      <c r="U81" s="5">
        <v>0</v>
      </c>
      <c r="V81" s="5">
        <v>27673</v>
      </c>
      <c r="W81" s="5">
        <v>12853</v>
      </c>
      <c r="X81" t="s">
        <v>95</v>
      </c>
      <c r="Y81" s="6">
        <v>46051</v>
      </c>
      <c r="Z81" s="5"/>
      <c r="AB81" s="5"/>
      <c r="AD81" t="s">
        <v>205</v>
      </c>
    </row>
    <row r="82" spans="1:32" ht="32" x14ac:dyDescent="0.2">
      <c r="A82" t="s">
        <v>58</v>
      </c>
      <c r="C82" s="5">
        <v>12853</v>
      </c>
      <c r="D82" t="s">
        <v>206</v>
      </c>
      <c r="E82">
        <v>348</v>
      </c>
      <c r="F82">
        <v>405</v>
      </c>
      <c r="G82" s="3">
        <v>57</v>
      </c>
      <c r="H82" s="4">
        <v>0.14074074074074075</v>
      </c>
      <c r="I82" s="6">
        <v>46051</v>
      </c>
      <c r="J82" s="14" t="e" cm="1">
        <f t="array" ref="J8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2" s="4"/>
      <c r="L82" s="4"/>
      <c r="M82" s="4"/>
      <c r="N82" s="4"/>
      <c r="O82" s="6" t="e" cm="1">
        <f t="array" ref="O82">_xlfn.XLOOKUP(1,(Table1[[#This Row],[Customer]]=[1]!Table1[Customer])*(Table1[[#This Row],[Sales Orders]]=[1]!Table1[Sales Order])*(Table1[[#This Row],[Product ID]]=[1]!Table1[Product ID]),[1]!Table1[New Invoice
 Date],"")</f>
        <v>#REF!</v>
      </c>
      <c r="P82" t="e" cm="1">
        <f t="array" ref="P82">_xlfn.XLOOKUP(1,(Table1[[#This Row],[Customer]]=[1]!Table1[Customer])*(Table1[[#This Row],[Sales Orders]]=[1]!Table1[Sales Order])*(Table1[[#This Row],[Product ID]]=[1]!Table1[Product ID]),[1]!Table1[New 
Invoice '#],"")</f>
        <v>#REF!</v>
      </c>
      <c r="Q82" s="17" t="s">
        <v>186</v>
      </c>
      <c r="R82" t="e" cm="1">
        <f t="array" ref="R8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2" s="5">
        <v>3</v>
      </c>
      <c r="T82">
        <v>0</v>
      </c>
      <c r="U82" s="5">
        <v>0</v>
      </c>
      <c r="V82" s="5">
        <v>27673</v>
      </c>
      <c r="W82" s="5">
        <v>12853</v>
      </c>
      <c r="X82" t="s">
        <v>95</v>
      </c>
      <c r="Y82" s="6">
        <v>46051</v>
      </c>
      <c r="Z82" s="5"/>
      <c r="AB82" s="5"/>
      <c r="AD82" t="s">
        <v>207</v>
      </c>
    </row>
    <row r="83" spans="1:32" ht="32" x14ac:dyDescent="0.2">
      <c r="A83" t="s">
        <v>58</v>
      </c>
      <c r="C83" s="5">
        <v>12853</v>
      </c>
      <c r="D83" t="s">
        <v>208</v>
      </c>
      <c r="E83">
        <v>140</v>
      </c>
      <c r="F83">
        <v>150</v>
      </c>
      <c r="G83" s="3">
        <v>10</v>
      </c>
      <c r="H83" s="4">
        <v>6.6666666666666666E-2</v>
      </c>
      <c r="I83" s="6">
        <v>46051</v>
      </c>
      <c r="J83" s="14" t="e" cm="1">
        <f t="array" ref="J8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3" s="4"/>
      <c r="L83" s="4"/>
      <c r="M83" s="4"/>
      <c r="N83" s="4"/>
      <c r="O83" s="6" t="e" cm="1">
        <f t="array" ref="O83">_xlfn.XLOOKUP(1,(Table1[[#This Row],[Customer]]=[1]!Table1[Customer])*(Table1[[#This Row],[Sales Orders]]=[1]!Table1[Sales Order])*(Table1[[#This Row],[Product ID]]=[1]!Table1[Product ID]),[1]!Table1[New Invoice
 Date],"")</f>
        <v>#REF!</v>
      </c>
      <c r="P83" t="e" cm="1">
        <f t="array" ref="P83">_xlfn.XLOOKUP(1,(Table1[[#This Row],[Customer]]=[1]!Table1[Customer])*(Table1[[#This Row],[Sales Orders]]=[1]!Table1[Sales Order])*(Table1[[#This Row],[Product ID]]=[1]!Table1[Product ID]),[1]!Table1[New 
Invoice '#],"")</f>
        <v>#REF!</v>
      </c>
      <c r="Q83" s="17" t="s">
        <v>186</v>
      </c>
      <c r="R83" t="e" cm="1">
        <f t="array" ref="R8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3" s="5">
        <v>5</v>
      </c>
      <c r="T83">
        <v>0</v>
      </c>
      <c r="U83" s="5">
        <v>0</v>
      </c>
      <c r="V83" s="5">
        <v>27673</v>
      </c>
      <c r="W83" s="5">
        <v>12853</v>
      </c>
      <c r="X83" t="s">
        <v>95</v>
      </c>
      <c r="Y83" s="6">
        <v>46051</v>
      </c>
      <c r="Z83" s="5"/>
      <c r="AB83" s="5"/>
      <c r="AD83" t="s">
        <v>209</v>
      </c>
    </row>
    <row r="84" spans="1:32" x14ac:dyDescent="0.2">
      <c r="A84" t="s">
        <v>210</v>
      </c>
      <c r="C84" s="5">
        <v>12859</v>
      </c>
      <c r="D84" t="s">
        <v>211</v>
      </c>
      <c r="E84">
        <v>43.37</v>
      </c>
      <c r="F84">
        <v>52.04</v>
      </c>
      <c r="G84" s="3">
        <v>8.6700000000000017</v>
      </c>
      <c r="H84" s="4">
        <v>0.16660261337432747</v>
      </c>
      <c r="I84" s="6">
        <v>46052</v>
      </c>
      <c r="J84" s="14" t="e" cm="1">
        <f t="array" ref="J8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4" s="4"/>
      <c r="L84" s="4"/>
      <c r="M84" s="4"/>
      <c r="N84" s="4"/>
      <c r="O84" s="6" t="e" cm="1">
        <f t="array" ref="O84">_xlfn.XLOOKUP(1,(Table1[[#This Row],[Customer]]=[1]!Table1[Customer])*(Table1[[#This Row],[Sales Orders]]=[1]!Table1[Sales Order])*(Table1[[#This Row],[Product ID]]=[1]!Table1[Product ID]),[1]!Table1[New Invoice
 Date],"")</f>
        <v>#REF!</v>
      </c>
      <c r="P84" t="e" cm="1">
        <f t="array" ref="P84">_xlfn.XLOOKUP(1,(Table1[[#This Row],[Customer]]=[1]!Table1[Customer])*(Table1[[#This Row],[Sales Orders]]=[1]!Table1[Sales Order])*(Table1[[#This Row],[Product ID]]=[1]!Table1[Product ID]),[1]!Table1[New 
Invoice '#],"")</f>
        <v>#REF!</v>
      </c>
      <c r="Q84" t="s">
        <v>212</v>
      </c>
      <c r="R84" t="e" cm="1">
        <f t="array" ref="R8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4" s="5">
        <v>1</v>
      </c>
      <c r="T84">
        <v>1</v>
      </c>
      <c r="U84" s="5">
        <v>0</v>
      </c>
      <c r="V84" s="5">
        <v>26689</v>
      </c>
      <c r="W84" s="5">
        <v>12859</v>
      </c>
      <c r="X84" t="s">
        <v>193</v>
      </c>
      <c r="Y84" s="6">
        <v>46052</v>
      </c>
      <c r="Z84" s="5">
        <v>3176</v>
      </c>
      <c r="AA84" t="s">
        <v>213</v>
      </c>
      <c r="AB84" s="5"/>
      <c r="AD84" t="s">
        <v>214</v>
      </c>
      <c r="AE84" t="s">
        <v>215</v>
      </c>
      <c r="AF84" t="s">
        <v>38</v>
      </c>
    </row>
    <row r="85" spans="1:32" x14ac:dyDescent="0.2">
      <c r="A85" t="s">
        <v>210</v>
      </c>
      <c r="C85" s="5">
        <v>12859</v>
      </c>
      <c r="D85" t="s">
        <v>211</v>
      </c>
      <c r="E85">
        <v>213.75</v>
      </c>
      <c r="F85">
        <v>260.2</v>
      </c>
      <c r="G85" s="3">
        <v>46.449999999999989</v>
      </c>
      <c r="H85" s="4">
        <v>0.17851652574942348</v>
      </c>
      <c r="I85" s="6">
        <v>46052</v>
      </c>
      <c r="J85" s="14" t="e" cm="1">
        <f t="array" ref="J8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5" s="4"/>
      <c r="L85" s="4"/>
      <c r="M85" s="4"/>
      <c r="N85" s="4"/>
      <c r="O85" s="6" t="e" cm="1">
        <f t="array" ref="O85">_xlfn.XLOOKUP(1,(Table1[[#This Row],[Customer]]=[1]!Table1[Customer])*(Table1[[#This Row],[Sales Orders]]=[1]!Table1[Sales Order])*(Table1[[#This Row],[Product ID]]=[1]!Table1[Product ID]),[1]!Table1[New Invoice
 Date],"")</f>
        <v>#REF!</v>
      </c>
      <c r="P85" t="e" cm="1">
        <f t="array" ref="P85">_xlfn.XLOOKUP(1,(Table1[[#This Row],[Customer]]=[1]!Table1[Customer])*(Table1[[#This Row],[Sales Orders]]=[1]!Table1[Sales Order])*(Table1[[#This Row],[Product ID]]=[1]!Table1[Product ID]),[1]!Table1[New 
Invoice '#],"")</f>
        <v>#REF!</v>
      </c>
      <c r="Q85" t="s">
        <v>212</v>
      </c>
      <c r="R85" t="e" cm="1">
        <f t="array" ref="R8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5" s="5">
        <v>5</v>
      </c>
      <c r="T85">
        <v>5</v>
      </c>
      <c r="U85" s="5">
        <v>0</v>
      </c>
      <c r="V85" s="5">
        <v>26689</v>
      </c>
      <c r="W85" s="5">
        <v>12859</v>
      </c>
      <c r="X85" t="s">
        <v>193</v>
      </c>
      <c r="Y85" s="6">
        <v>46052</v>
      </c>
      <c r="Z85" s="5">
        <v>3176</v>
      </c>
      <c r="AA85" t="s">
        <v>213</v>
      </c>
      <c r="AB85" s="5"/>
      <c r="AD85" t="s">
        <v>214</v>
      </c>
      <c r="AE85" t="s">
        <v>216</v>
      </c>
      <c r="AF85" t="s">
        <v>38</v>
      </c>
    </row>
    <row r="86" spans="1:32" x14ac:dyDescent="0.2">
      <c r="A86" t="s">
        <v>39</v>
      </c>
      <c r="C86" s="5">
        <v>12863</v>
      </c>
      <c r="D86" t="s">
        <v>62</v>
      </c>
      <c r="E86">
        <v>100</v>
      </c>
      <c r="F86">
        <v>400</v>
      </c>
      <c r="G86" s="3">
        <v>300</v>
      </c>
      <c r="H86" s="4">
        <v>0.75</v>
      </c>
      <c r="I86" s="6">
        <v>46052</v>
      </c>
      <c r="J86" s="14" t="e" cm="1">
        <f t="array" ref="J8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6" s="4"/>
      <c r="L86" s="4"/>
      <c r="M86" s="4"/>
      <c r="N86" s="4"/>
      <c r="O86" s="6" t="e" cm="1">
        <f t="array" ref="O86">_xlfn.XLOOKUP(1,(Table1[[#This Row],[Customer]]=[1]!Table1[Customer])*(Table1[[#This Row],[Sales Orders]]=[1]!Table1[Sales Order])*(Table1[[#This Row],[Product ID]]=[1]!Table1[Product ID]),[1]!Table1[New Invoice
 Date],"")</f>
        <v>#REF!</v>
      </c>
      <c r="P86" t="e" cm="1">
        <f t="array" ref="P86">_xlfn.XLOOKUP(1,(Table1[[#This Row],[Customer]]=[1]!Table1[Customer])*(Table1[[#This Row],[Sales Orders]]=[1]!Table1[Sales Order])*(Table1[[#This Row],[Product ID]]=[1]!Table1[Product ID]),[1]!Table1[New 
Invoice '#],"")</f>
        <v>#REF!</v>
      </c>
      <c r="Q86" t="s">
        <v>217</v>
      </c>
      <c r="R86" t="e" cm="1">
        <f t="array" ref="R8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6" s="5">
        <v>1</v>
      </c>
      <c r="T86">
        <v>0</v>
      </c>
      <c r="U86" s="5">
        <v>0</v>
      </c>
      <c r="V86" s="5">
        <v>27687</v>
      </c>
      <c r="W86" s="5">
        <v>12863</v>
      </c>
      <c r="X86" t="s">
        <v>106</v>
      </c>
      <c r="Y86" s="6">
        <v>46052</v>
      </c>
      <c r="Z86" s="5"/>
      <c r="AB86" s="5">
        <v>2419616</v>
      </c>
      <c r="AC86" t="s">
        <v>155</v>
      </c>
      <c r="AD86" t="s">
        <v>156</v>
      </c>
    </row>
    <row r="87" spans="1:32" x14ac:dyDescent="0.2">
      <c r="A87" t="s">
        <v>39</v>
      </c>
      <c r="C87" s="5">
        <v>12864</v>
      </c>
      <c r="D87" t="s">
        <v>62</v>
      </c>
      <c r="E87">
        <v>27.33</v>
      </c>
      <c r="F87">
        <v>50</v>
      </c>
      <c r="G87" s="3">
        <v>22.67</v>
      </c>
      <c r="H87" s="4">
        <v>0.45340000000000003</v>
      </c>
      <c r="I87" s="6">
        <v>46052</v>
      </c>
      <c r="J87" s="14" t="e" cm="1">
        <f t="array" ref="J8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7" s="4"/>
      <c r="L87" s="4"/>
      <c r="M87" s="4"/>
      <c r="N87" s="4"/>
      <c r="O87" s="6" t="e" cm="1">
        <f t="array" ref="O87">_xlfn.XLOOKUP(1,(Table1[[#This Row],[Customer]]=[1]!Table1[Customer])*(Table1[[#This Row],[Sales Orders]]=[1]!Table1[Sales Order])*(Table1[[#This Row],[Product ID]]=[1]!Table1[Product ID]),[1]!Table1[New Invoice
 Date],"")</f>
        <v>#REF!</v>
      </c>
      <c r="P87" t="e" cm="1">
        <f t="array" ref="P87">_xlfn.XLOOKUP(1,(Table1[[#This Row],[Customer]]=[1]!Table1[Customer])*(Table1[[#This Row],[Sales Orders]]=[1]!Table1[Sales Order])*(Table1[[#This Row],[Product ID]]=[1]!Table1[Product ID]),[1]!Table1[New 
Invoice '#],"")</f>
        <v>#REF!</v>
      </c>
      <c r="Q87" t="s">
        <v>217</v>
      </c>
      <c r="R87" t="e" cm="1">
        <f t="array" ref="R8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7" s="5">
        <v>1</v>
      </c>
      <c r="T87">
        <v>0</v>
      </c>
      <c r="U87" s="5">
        <v>0</v>
      </c>
      <c r="V87" s="5">
        <v>27689</v>
      </c>
      <c r="W87" s="5">
        <v>12864</v>
      </c>
      <c r="X87" t="s">
        <v>95</v>
      </c>
      <c r="Y87" s="6">
        <v>46052</v>
      </c>
      <c r="Z87" s="5"/>
      <c r="AB87" s="5"/>
      <c r="AD87" t="s">
        <v>157</v>
      </c>
    </row>
    <row r="88" spans="1:32" x14ac:dyDescent="0.2">
      <c r="A88" t="s">
        <v>39</v>
      </c>
      <c r="C88" s="5">
        <v>12863</v>
      </c>
      <c r="D88" t="s">
        <v>218</v>
      </c>
      <c r="E88">
        <v>9804.9500000000007</v>
      </c>
      <c r="F88">
        <v>11250</v>
      </c>
      <c r="G88" s="3">
        <v>1445.0499999999993</v>
      </c>
      <c r="H88" s="4">
        <v>0.12844888888888883</v>
      </c>
      <c r="I88" s="6">
        <v>46052</v>
      </c>
      <c r="J88" s="14" t="e" cm="1">
        <f t="array" ref="J8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8" s="4"/>
      <c r="L88" s="4"/>
      <c r="M88" s="4"/>
      <c r="N88" s="4"/>
      <c r="O88" s="6" t="e" cm="1">
        <f t="array" ref="O88">_xlfn.XLOOKUP(1,(Table1[[#This Row],[Customer]]=[1]!Table1[Customer])*(Table1[[#This Row],[Sales Orders]]=[1]!Table1[Sales Order])*(Table1[[#This Row],[Product ID]]=[1]!Table1[Product ID]),[1]!Table1[New Invoice
 Date],"")</f>
        <v>#REF!</v>
      </c>
      <c r="P88" t="e" cm="1">
        <f t="array" ref="P88">_xlfn.XLOOKUP(1,(Table1[[#This Row],[Customer]]=[1]!Table1[Customer])*(Table1[[#This Row],[Sales Orders]]=[1]!Table1[Sales Order])*(Table1[[#This Row],[Product ID]]=[1]!Table1[Product ID]),[1]!Table1[New 
Invoice '#],"")</f>
        <v>#REF!</v>
      </c>
      <c r="Q88" t="s">
        <v>217</v>
      </c>
      <c r="R88" t="e" cm="1">
        <f t="array" ref="R8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88" s="5">
        <v>5</v>
      </c>
      <c r="T88">
        <v>0</v>
      </c>
      <c r="U88" s="5">
        <v>0</v>
      </c>
      <c r="V88" s="5">
        <v>27687</v>
      </c>
      <c r="W88" s="5">
        <v>12863</v>
      </c>
      <c r="X88" t="s">
        <v>106</v>
      </c>
      <c r="Y88" s="6">
        <v>46052</v>
      </c>
      <c r="Z88" s="5"/>
      <c r="AB88" s="5">
        <v>2419616</v>
      </c>
      <c r="AC88" t="s">
        <v>155</v>
      </c>
      <c r="AD88" t="s">
        <v>219</v>
      </c>
    </row>
    <row r="89" spans="1:32" x14ac:dyDescent="0.2">
      <c r="A89" t="s">
        <v>220</v>
      </c>
      <c r="C89" s="5">
        <v>12872</v>
      </c>
      <c r="D89" t="s">
        <v>221</v>
      </c>
      <c r="E89">
        <v>98.48</v>
      </c>
      <c r="F89">
        <v>118.18</v>
      </c>
      <c r="G89" s="3">
        <v>19.700000000000003</v>
      </c>
      <c r="H89" s="4">
        <v>0.16669487222880353</v>
      </c>
      <c r="I89" s="6">
        <v>46056</v>
      </c>
      <c r="J89" s="14" t="e" cm="1">
        <f t="array" ref="J8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89" s="4"/>
      <c r="L89" s="4"/>
      <c r="M89" s="4"/>
      <c r="N89" s="4"/>
      <c r="O89" s="6" t="e" cm="1">
        <f t="array" ref="O89">_xlfn.XLOOKUP(1,(Table1[[#This Row],[Customer]]=[1]!Table1[Customer])*(Table1[[#This Row],[Sales Orders]]=[1]!Table1[Sales Order])*(Table1[[#This Row],[Product ID]]=[1]!Table1[Product ID]),[1]!Table1[New Invoice
 Date],"")</f>
        <v>#REF!</v>
      </c>
      <c r="P89" t="e" cm="1">
        <f t="array" ref="P89">_xlfn.XLOOKUP(1,(Table1[[#This Row],[Customer]]=[1]!Table1[Customer])*(Table1[[#This Row],[Sales Orders]]=[1]!Table1[Sales Order])*(Table1[[#This Row],[Product ID]]=[1]!Table1[Product ID]),[1]!Table1[New 
Invoice '#],"")</f>
        <v>#REF!</v>
      </c>
      <c r="Q89" t="e" cm="1">
        <f t="array" ref="Q89">_xlfn.XLOOKUP(1,(Table1[[#This Row],[Customer]]=[1]!Table1[Customer])*(Table1[[#This Row],[Sales Orders]]=[1]!Table1[Sales Order])*(Table1[[#This Row],[Product ID]]=[1]!Table1[Product ID]),[1]!Table1[Notes],"")</f>
        <v>#REF!</v>
      </c>
      <c r="R89" t="s">
        <v>192</v>
      </c>
      <c r="S89" s="5">
        <v>1</v>
      </c>
      <c r="T89">
        <v>1</v>
      </c>
      <c r="U89" s="5">
        <v>0</v>
      </c>
      <c r="V89" s="5">
        <v>27619</v>
      </c>
      <c r="W89" s="5">
        <v>12872</v>
      </c>
      <c r="X89" t="s">
        <v>193</v>
      </c>
      <c r="Y89" s="6">
        <v>46056</v>
      </c>
      <c r="Z89" s="5">
        <v>2979</v>
      </c>
      <c r="AA89" t="s">
        <v>111</v>
      </c>
      <c r="AB89" s="5"/>
      <c r="AD89" t="s">
        <v>222</v>
      </c>
      <c r="AE89" t="s">
        <v>223</v>
      </c>
      <c r="AF89" t="s">
        <v>38</v>
      </c>
    </row>
    <row r="90" spans="1:32" x14ac:dyDescent="0.2">
      <c r="A90" t="s">
        <v>220</v>
      </c>
      <c r="C90" s="5">
        <v>12872</v>
      </c>
      <c r="D90" t="s">
        <v>224</v>
      </c>
      <c r="E90">
        <v>4528.8</v>
      </c>
      <c r="F90">
        <v>5434.56</v>
      </c>
      <c r="G90" s="3">
        <v>905.76000000000022</v>
      </c>
      <c r="H90" s="4">
        <v>0.16666666666666669</v>
      </c>
      <c r="I90" s="6">
        <v>46056</v>
      </c>
      <c r="J90" s="14" t="e" cm="1">
        <f t="array" ref="J9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90" s="4"/>
      <c r="L90" s="4"/>
      <c r="M90" s="4"/>
      <c r="N90" s="4"/>
      <c r="O90" s="6" t="e" cm="1">
        <f t="array" ref="O90">_xlfn.XLOOKUP(1,(Table1[[#This Row],[Customer]]=[1]!Table1[Customer])*(Table1[[#This Row],[Sales Orders]]=[1]!Table1[Sales Order])*(Table1[[#This Row],[Product ID]]=[1]!Table1[Product ID]),[1]!Table1[New Invoice
 Date],"")</f>
        <v>#REF!</v>
      </c>
      <c r="P90" t="e" cm="1">
        <f t="array" ref="P90">_xlfn.XLOOKUP(1,(Table1[[#This Row],[Customer]]=[1]!Table1[Customer])*(Table1[[#This Row],[Sales Orders]]=[1]!Table1[Sales Order])*(Table1[[#This Row],[Product ID]]=[1]!Table1[Product ID]),[1]!Table1[New 
Invoice '#],"")</f>
        <v>#REF!</v>
      </c>
      <c r="Q90" t="e" cm="1">
        <f t="array" ref="Q90">_xlfn.XLOOKUP(1,(Table1[[#This Row],[Customer]]=[1]!Table1[Customer])*(Table1[[#This Row],[Sales Orders]]=[1]!Table1[Sales Order])*(Table1[[#This Row],[Product ID]]=[1]!Table1[Product ID]),[1]!Table1[Notes],"")</f>
        <v>#REF!</v>
      </c>
      <c r="R90" t="s">
        <v>192</v>
      </c>
      <c r="S90" s="5">
        <v>1</v>
      </c>
      <c r="T90">
        <v>1</v>
      </c>
      <c r="U90" s="5">
        <v>0</v>
      </c>
      <c r="V90" s="5">
        <v>27619</v>
      </c>
      <c r="W90" s="5">
        <v>12872</v>
      </c>
      <c r="X90" t="s">
        <v>193</v>
      </c>
      <c r="Y90" s="6">
        <v>46056</v>
      </c>
      <c r="Z90" s="5">
        <v>2979</v>
      </c>
      <c r="AA90" t="s">
        <v>111</v>
      </c>
      <c r="AB90" s="5"/>
      <c r="AD90" t="s">
        <v>225</v>
      </c>
      <c r="AE90" t="s">
        <v>223</v>
      </c>
      <c r="AF90" t="s">
        <v>38</v>
      </c>
    </row>
    <row r="91" spans="1:32" x14ac:dyDescent="0.2">
      <c r="A91" t="s">
        <v>220</v>
      </c>
      <c r="C91" s="5">
        <v>12872</v>
      </c>
      <c r="D91" t="s">
        <v>226</v>
      </c>
      <c r="E91">
        <v>105.83</v>
      </c>
      <c r="F91">
        <v>127</v>
      </c>
      <c r="G91" s="3">
        <v>21.17</v>
      </c>
      <c r="H91" s="4">
        <v>0.16669291338582679</v>
      </c>
      <c r="I91" s="6">
        <v>46056</v>
      </c>
      <c r="J91" s="14" t="e" cm="1">
        <f t="array" ref="J9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91" s="4"/>
      <c r="L91" s="4"/>
      <c r="M91" s="4"/>
      <c r="N91" s="4"/>
      <c r="O91" s="6" t="e" cm="1">
        <f t="array" ref="O91">_xlfn.XLOOKUP(1,(Table1[[#This Row],[Customer]]=[1]!Table1[Customer])*(Table1[[#This Row],[Sales Orders]]=[1]!Table1[Sales Order])*(Table1[[#This Row],[Product ID]]=[1]!Table1[Product ID]),[1]!Table1[New Invoice
 Date],"")</f>
        <v>#REF!</v>
      </c>
      <c r="P91" t="e" cm="1">
        <f t="array" ref="P91">_xlfn.XLOOKUP(1,(Table1[[#This Row],[Customer]]=[1]!Table1[Customer])*(Table1[[#This Row],[Sales Orders]]=[1]!Table1[Sales Order])*(Table1[[#This Row],[Product ID]]=[1]!Table1[Product ID]),[1]!Table1[New 
Invoice '#],"")</f>
        <v>#REF!</v>
      </c>
      <c r="Q91" t="e" cm="1">
        <f t="array" ref="Q91">_xlfn.XLOOKUP(1,(Table1[[#This Row],[Customer]]=[1]!Table1[Customer])*(Table1[[#This Row],[Sales Orders]]=[1]!Table1[Sales Order])*(Table1[[#This Row],[Product ID]]=[1]!Table1[Product ID]),[1]!Table1[Notes],"")</f>
        <v>#REF!</v>
      </c>
      <c r="R91" t="s">
        <v>192</v>
      </c>
      <c r="S91" s="5">
        <v>1</v>
      </c>
      <c r="T91">
        <v>1</v>
      </c>
      <c r="U91" s="5">
        <v>0</v>
      </c>
      <c r="V91" s="5">
        <v>27619</v>
      </c>
      <c r="W91" s="5">
        <v>12872</v>
      </c>
      <c r="X91" t="s">
        <v>193</v>
      </c>
      <c r="Y91" s="6">
        <v>46056</v>
      </c>
      <c r="Z91" s="5">
        <v>2979</v>
      </c>
      <c r="AA91" t="s">
        <v>111</v>
      </c>
      <c r="AB91" s="5"/>
      <c r="AD91" t="s">
        <v>227</v>
      </c>
      <c r="AE91" t="s">
        <v>223</v>
      </c>
      <c r="AF91" t="s">
        <v>38</v>
      </c>
    </row>
    <row r="92" spans="1:32" x14ac:dyDescent="0.2">
      <c r="A92" t="s">
        <v>220</v>
      </c>
      <c r="C92" s="5">
        <v>12872</v>
      </c>
      <c r="D92" t="s">
        <v>228</v>
      </c>
      <c r="E92">
        <v>751.12</v>
      </c>
      <c r="F92">
        <v>901.34</v>
      </c>
      <c r="G92" s="3">
        <v>150.22000000000003</v>
      </c>
      <c r="H92" s="4">
        <v>0.16666296846916814</v>
      </c>
      <c r="I92" s="6">
        <v>46056</v>
      </c>
      <c r="J92" s="14" t="e" cm="1">
        <f t="array" ref="J9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92" s="4"/>
      <c r="L92" s="4"/>
      <c r="M92" s="4"/>
      <c r="N92" s="4"/>
      <c r="O92" s="6" t="e" cm="1">
        <f t="array" ref="O92">_xlfn.XLOOKUP(1,(Table1[[#This Row],[Customer]]=[1]!Table1[Customer])*(Table1[[#This Row],[Sales Orders]]=[1]!Table1[Sales Order])*(Table1[[#This Row],[Product ID]]=[1]!Table1[Product ID]),[1]!Table1[New Invoice
 Date],"")</f>
        <v>#REF!</v>
      </c>
      <c r="P92" t="e" cm="1">
        <f t="array" ref="P92">_xlfn.XLOOKUP(1,(Table1[[#This Row],[Customer]]=[1]!Table1[Customer])*(Table1[[#This Row],[Sales Orders]]=[1]!Table1[Sales Order])*(Table1[[#This Row],[Product ID]]=[1]!Table1[Product ID]),[1]!Table1[New 
Invoice '#],"")</f>
        <v>#REF!</v>
      </c>
      <c r="Q92" t="e" cm="1">
        <f t="array" ref="Q92">_xlfn.XLOOKUP(1,(Table1[[#This Row],[Customer]]=[1]!Table1[Customer])*(Table1[[#This Row],[Sales Orders]]=[1]!Table1[Sales Order])*(Table1[[#This Row],[Product ID]]=[1]!Table1[Product ID]),[1]!Table1[Notes],"")</f>
        <v>#REF!</v>
      </c>
      <c r="R92" t="s">
        <v>192</v>
      </c>
      <c r="S92" s="5">
        <v>1</v>
      </c>
      <c r="T92">
        <v>1</v>
      </c>
      <c r="U92" s="5">
        <v>0</v>
      </c>
      <c r="V92" s="5">
        <v>27619</v>
      </c>
      <c r="W92" s="5">
        <v>12872</v>
      </c>
      <c r="X92" t="s">
        <v>193</v>
      </c>
      <c r="Y92" s="6">
        <v>46056</v>
      </c>
      <c r="Z92" s="5">
        <v>2979</v>
      </c>
      <c r="AA92" t="s">
        <v>111</v>
      </c>
      <c r="AB92" s="5"/>
      <c r="AD92" t="s">
        <v>229</v>
      </c>
      <c r="AE92" t="s">
        <v>223</v>
      </c>
      <c r="AF92" t="s">
        <v>38</v>
      </c>
    </row>
    <row r="93" spans="1:32" x14ac:dyDescent="0.2">
      <c r="A93" t="s">
        <v>184</v>
      </c>
      <c r="C93" s="5">
        <v>12876</v>
      </c>
      <c r="D93" t="s">
        <v>230</v>
      </c>
      <c r="E93">
        <v>9.4</v>
      </c>
      <c r="F93">
        <v>11.21</v>
      </c>
      <c r="G93" s="3">
        <v>1.8100000000000005</v>
      </c>
      <c r="H93" s="4">
        <v>0.16146297948260485</v>
      </c>
      <c r="I93" s="6">
        <v>46057</v>
      </c>
      <c r="J93" s="14">
        <v>11.21</v>
      </c>
      <c r="K93" s="4"/>
      <c r="L93" s="4"/>
      <c r="M93" s="4"/>
      <c r="N93" s="4"/>
      <c r="O93" s="6">
        <v>46087</v>
      </c>
      <c r="P93" t="s">
        <v>231</v>
      </c>
      <c r="Q93" t="e" cm="1">
        <f t="array" ref="Q93">_xlfn.XLOOKUP(1,(Table1[[#This Row],[Customer]]=[1]!Table1[Customer])*(Table1[[#This Row],[Sales Orders]]=[1]!Table1[Sales Order])*(Table1[[#This Row],[Product ID]]=[1]!Table1[Product ID]),[1]!Table1[Notes],"")</f>
        <v>#REF!</v>
      </c>
      <c r="R93" t="e" cm="1">
        <f t="array" ref="R9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93" s="5">
        <v>1</v>
      </c>
      <c r="T93">
        <v>1</v>
      </c>
      <c r="U93" s="5">
        <v>1</v>
      </c>
      <c r="V93" s="5">
        <v>27645</v>
      </c>
      <c r="W93" s="5">
        <v>12876</v>
      </c>
      <c r="X93" t="s">
        <v>34</v>
      </c>
      <c r="Y93" s="6">
        <v>46057</v>
      </c>
      <c r="Z93" s="5"/>
      <c r="AB93" s="5">
        <v>2421965</v>
      </c>
      <c r="AC93" t="s">
        <v>232</v>
      </c>
      <c r="AD93" t="s">
        <v>233</v>
      </c>
      <c r="AE93" t="s">
        <v>234</v>
      </c>
      <c r="AF93" t="s">
        <v>38</v>
      </c>
    </row>
    <row r="94" spans="1:32" x14ac:dyDescent="0.2">
      <c r="A94" t="s">
        <v>184</v>
      </c>
      <c r="C94" s="5">
        <v>12876</v>
      </c>
      <c r="D94" t="s">
        <v>62</v>
      </c>
      <c r="E94">
        <v>11.66</v>
      </c>
      <c r="F94">
        <v>15.22</v>
      </c>
      <c r="G94" s="3">
        <v>3.5600000000000005</v>
      </c>
      <c r="H94" s="4">
        <v>0.23390275952693826</v>
      </c>
      <c r="I94" s="6">
        <v>46057</v>
      </c>
      <c r="J94" s="14">
        <v>15.22</v>
      </c>
      <c r="K94" s="4"/>
      <c r="L94" s="4"/>
      <c r="M94" s="4"/>
      <c r="N94" s="4"/>
      <c r="O94" s="6">
        <v>46087</v>
      </c>
      <c r="P94" t="s">
        <v>231</v>
      </c>
      <c r="Q94" t="e" cm="1">
        <f t="array" ref="Q94">_xlfn.XLOOKUP(1,(Table1[[#This Row],[Customer]]=[1]!Table1[Customer])*(Table1[[#This Row],[Sales Orders]]=[1]!Table1[Sales Order])*(Table1[[#This Row],[Product ID]]=[1]!Table1[Product ID]),[1]!Table1[Notes],"")</f>
        <v>#REF!</v>
      </c>
      <c r="R94" t="e" cm="1">
        <f t="array" ref="R9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94" s="5">
        <v>1</v>
      </c>
      <c r="T94">
        <v>1</v>
      </c>
      <c r="U94" s="5">
        <v>1</v>
      </c>
      <c r="V94" s="5">
        <v>27645</v>
      </c>
      <c r="W94" s="5">
        <v>12876</v>
      </c>
      <c r="X94" t="s">
        <v>34</v>
      </c>
      <c r="Y94" s="6">
        <v>46057</v>
      </c>
      <c r="Z94" s="5"/>
      <c r="AB94" s="5">
        <v>2421965</v>
      </c>
      <c r="AC94" t="s">
        <v>232</v>
      </c>
      <c r="AD94" t="s">
        <v>235</v>
      </c>
      <c r="AE94" t="s">
        <v>234</v>
      </c>
      <c r="AF94" t="s">
        <v>38</v>
      </c>
    </row>
    <row r="95" spans="1:32" x14ac:dyDescent="0.2">
      <c r="A95" t="s">
        <v>184</v>
      </c>
      <c r="C95" s="5">
        <v>12876</v>
      </c>
      <c r="D95" t="s">
        <v>206</v>
      </c>
      <c r="E95">
        <v>116</v>
      </c>
      <c r="F95">
        <v>139.19999999999999</v>
      </c>
      <c r="G95" s="3">
        <v>23.199999999999989</v>
      </c>
      <c r="H95" s="4">
        <v>0.1666666666666666</v>
      </c>
      <c r="I95" s="6">
        <v>46057</v>
      </c>
      <c r="J95" s="14">
        <v>139.19999999999999</v>
      </c>
      <c r="K95" s="4"/>
      <c r="L95" s="4"/>
      <c r="M95" s="4"/>
      <c r="N95" s="4"/>
      <c r="O95" s="6">
        <v>46087</v>
      </c>
      <c r="P95" t="s">
        <v>231</v>
      </c>
      <c r="Q95" t="e" cm="1">
        <f t="array" ref="Q95">_xlfn.XLOOKUP(1,(Table1[[#This Row],[Customer]]=[1]!Table1[Customer])*(Table1[[#This Row],[Sales Orders]]=[1]!Table1[Sales Order])*(Table1[[#This Row],[Product ID]]=[1]!Table1[Product ID]),[1]!Table1[Notes],"")</f>
        <v>#REF!</v>
      </c>
      <c r="R95" t="e" cm="1">
        <f t="array" ref="R9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95" s="5">
        <v>1</v>
      </c>
      <c r="T95">
        <v>1</v>
      </c>
      <c r="U95" s="5">
        <v>1</v>
      </c>
      <c r="V95" s="5">
        <v>27645</v>
      </c>
      <c r="W95" s="5">
        <v>12876</v>
      </c>
      <c r="X95" t="s">
        <v>34</v>
      </c>
      <c r="Y95" s="6">
        <v>46057</v>
      </c>
      <c r="Z95" s="5"/>
      <c r="AB95" s="5">
        <v>2421965</v>
      </c>
      <c r="AC95" t="s">
        <v>232</v>
      </c>
      <c r="AD95" t="s">
        <v>207</v>
      </c>
      <c r="AE95" t="s">
        <v>234</v>
      </c>
      <c r="AF95" t="s">
        <v>38</v>
      </c>
    </row>
    <row r="96" spans="1:32" x14ac:dyDescent="0.2">
      <c r="A96" t="s">
        <v>236</v>
      </c>
      <c r="C96" s="5">
        <v>12879</v>
      </c>
      <c r="D96" t="s">
        <v>211</v>
      </c>
      <c r="E96">
        <v>256.5</v>
      </c>
      <c r="F96">
        <v>312.24</v>
      </c>
      <c r="G96" s="3">
        <v>55.740000000000009</v>
      </c>
      <c r="H96" s="4">
        <v>0.17851652574942353</v>
      </c>
      <c r="I96" s="6">
        <v>46057</v>
      </c>
      <c r="J96" s="14" t="e" cm="1">
        <f t="array" ref="J9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96" s="4"/>
      <c r="L96" s="4"/>
      <c r="M96" s="4"/>
      <c r="N96" s="4"/>
      <c r="O96" s="6" t="e" cm="1">
        <f t="array" ref="O96">_xlfn.XLOOKUP(1,(Table1[[#This Row],[Customer]]=[1]!Table1[Customer])*(Table1[[#This Row],[Sales Orders]]=[1]!Table1[Sales Order])*(Table1[[#This Row],[Product ID]]=[1]!Table1[Product ID]),[1]!Table1[New Invoice
 Date],"")</f>
        <v>#REF!</v>
      </c>
      <c r="P96" t="e" cm="1">
        <f t="array" ref="P96">_xlfn.XLOOKUP(1,(Table1[[#This Row],[Customer]]=[1]!Table1[Customer])*(Table1[[#This Row],[Sales Orders]]=[1]!Table1[Sales Order])*(Table1[[#This Row],[Product ID]]=[1]!Table1[Product ID]),[1]!Table1[New 
Invoice '#],"")</f>
        <v>#REF!</v>
      </c>
      <c r="Q96" t="e" cm="1">
        <f t="array" ref="Q96">_xlfn.XLOOKUP(1,(Table1[[#This Row],[Customer]]=[1]!Table1[Customer])*(Table1[[#This Row],[Sales Orders]]=[1]!Table1[Sales Order])*(Table1[[#This Row],[Product ID]]=[1]!Table1[Product ID]),[1]!Table1[Notes],"")</f>
        <v>#REF!</v>
      </c>
      <c r="R96" t="s">
        <v>237</v>
      </c>
      <c r="S96" s="5">
        <v>6</v>
      </c>
      <c r="T96">
        <v>6</v>
      </c>
      <c r="U96" s="5">
        <v>0</v>
      </c>
      <c r="V96" s="5">
        <v>26525</v>
      </c>
      <c r="W96" s="5">
        <v>12879</v>
      </c>
      <c r="X96" t="s">
        <v>193</v>
      </c>
      <c r="Y96" s="6">
        <v>46057</v>
      </c>
      <c r="Z96" s="5">
        <v>3179</v>
      </c>
      <c r="AA96" t="s">
        <v>35</v>
      </c>
      <c r="AB96" s="5"/>
      <c r="AD96" t="s">
        <v>214</v>
      </c>
      <c r="AE96" t="s">
        <v>238</v>
      </c>
      <c r="AF96" t="s">
        <v>38</v>
      </c>
    </row>
    <row r="97" spans="1:32" x14ac:dyDescent="0.2">
      <c r="A97" t="s">
        <v>239</v>
      </c>
      <c r="C97" s="5">
        <v>12888</v>
      </c>
      <c r="D97" t="s">
        <v>62</v>
      </c>
      <c r="E97">
        <v>25</v>
      </c>
      <c r="F97">
        <v>25</v>
      </c>
      <c r="G97" s="3">
        <v>0</v>
      </c>
      <c r="H97" s="4">
        <v>0</v>
      </c>
      <c r="I97" s="6">
        <v>46058</v>
      </c>
      <c r="J97" s="14">
        <v>25</v>
      </c>
      <c r="K97" s="4"/>
      <c r="L97" s="4"/>
      <c r="M97" s="4"/>
      <c r="N97" s="4"/>
      <c r="O97" s="6">
        <v>46090</v>
      </c>
      <c r="P97">
        <v>182925</v>
      </c>
      <c r="Q97" t="e" cm="1">
        <f t="array" ref="Q97">_xlfn.XLOOKUP(1,(Table1[[#This Row],[Customer]]=[1]!Table1[Customer])*(Table1[[#This Row],[Sales Orders]]=[1]!Table1[Sales Order])*(Table1[[#This Row],[Product ID]]=[1]!Table1[Product ID]),[1]!Table1[Notes],"")</f>
        <v>#REF!</v>
      </c>
      <c r="R97" t="e" cm="1">
        <f t="array" ref="R97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97" s="5">
        <v>1</v>
      </c>
      <c r="T97">
        <v>0</v>
      </c>
      <c r="U97" s="5">
        <v>0</v>
      </c>
      <c r="V97" s="5">
        <v>27669</v>
      </c>
      <c r="W97" s="5">
        <v>12888</v>
      </c>
      <c r="X97" t="s">
        <v>193</v>
      </c>
      <c r="Y97" s="6">
        <v>46058</v>
      </c>
      <c r="Z97" s="5">
        <v>3180</v>
      </c>
      <c r="AA97" t="s">
        <v>140</v>
      </c>
      <c r="AB97" s="5"/>
      <c r="AD97" t="s">
        <v>240</v>
      </c>
    </row>
    <row r="98" spans="1:32" x14ac:dyDescent="0.2">
      <c r="A98" t="s">
        <v>239</v>
      </c>
      <c r="C98" s="5">
        <v>12888</v>
      </c>
      <c r="D98" t="s">
        <v>62</v>
      </c>
      <c r="E98">
        <v>26.96</v>
      </c>
      <c r="F98">
        <v>26.96</v>
      </c>
      <c r="G98" s="3">
        <v>0</v>
      </c>
      <c r="H98" s="4">
        <v>0</v>
      </c>
      <c r="I98" s="6">
        <v>46058</v>
      </c>
      <c r="J98" s="14">
        <v>26.96</v>
      </c>
      <c r="K98" s="4"/>
      <c r="L98" s="4"/>
      <c r="M98" s="4"/>
      <c r="N98" s="4"/>
      <c r="O98" s="6">
        <v>46090</v>
      </c>
      <c r="P98">
        <v>182925</v>
      </c>
      <c r="Q98" t="e" cm="1">
        <f t="array" ref="Q98">_xlfn.XLOOKUP(1,(Table1[[#This Row],[Customer]]=[1]!Table1[Customer])*(Table1[[#This Row],[Sales Orders]]=[1]!Table1[Sales Order])*(Table1[[#This Row],[Product ID]]=[1]!Table1[Product ID]),[1]!Table1[Notes],"")</f>
        <v>#REF!</v>
      </c>
      <c r="R98" t="e" cm="1">
        <f t="array" ref="R9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98" s="5">
        <v>1</v>
      </c>
      <c r="T98">
        <v>1</v>
      </c>
      <c r="U98" s="5">
        <v>0</v>
      </c>
      <c r="V98" s="5">
        <v>27669</v>
      </c>
      <c r="W98" s="5">
        <v>12888</v>
      </c>
      <c r="X98" t="s">
        <v>193</v>
      </c>
      <c r="Y98" s="6">
        <v>46058</v>
      </c>
      <c r="Z98" s="5">
        <v>3180</v>
      </c>
      <c r="AA98" t="s">
        <v>140</v>
      </c>
      <c r="AB98" s="5"/>
      <c r="AD98" t="s">
        <v>241</v>
      </c>
      <c r="AE98" t="s">
        <v>242</v>
      </c>
      <c r="AF98" t="s">
        <v>38</v>
      </c>
    </row>
    <row r="99" spans="1:32" x14ac:dyDescent="0.2">
      <c r="A99" t="s">
        <v>239</v>
      </c>
      <c r="C99" s="5">
        <v>12888</v>
      </c>
      <c r="D99" t="s">
        <v>243</v>
      </c>
      <c r="E99">
        <v>348.02</v>
      </c>
      <c r="F99">
        <v>453.6</v>
      </c>
      <c r="G99" s="3">
        <v>105.58000000000004</v>
      </c>
      <c r="H99" s="4">
        <v>0.23276014109347451</v>
      </c>
      <c r="I99" s="6">
        <v>46058</v>
      </c>
      <c r="J99" s="14">
        <v>453.6</v>
      </c>
      <c r="K99" s="4"/>
      <c r="L99" s="4"/>
      <c r="M99" s="4"/>
      <c r="N99" s="4"/>
      <c r="O99" s="6">
        <v>46090</v>
      </c>
      <c r="P99">
        <v>182925</v>
      </c>
      <c r="Q99" t="e" cm="1">
        <f t="array" ref="Q99">_xlfn.XLOOKUP(1,(Table1[[#This Row],[Customer]]=[1]!Table1[Customer])*(Table1[[#This Row],[Sales Orders]]=[1]!Table1[Sales Order])*(Table1[[#This Row],[Product ID]]=[1]!Table1[Product ID]),[1]!Table1[Notes],"")</f>
        <v>#REF!</v>
      </c>
      <c r="R99" t="e" cm="1">
        <f t="array" ref="R99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99" s="5">
        <v>2</v>
      </c>
      <c r="T99">
        <v>2</v>
      </c>
      <c r="U99" s="5">
        <v>0</v>
      </c>
      <c r="V99" s="5">
        <v>27669</v>
      </c>
      <c r="W99" s="5">
        <v>12888</v>
      </c>
      <c r="X99" t="s">
        <v>193</v>
      </c>
      <c r="Y99" s="6">
        <v>46058</v>
      </c>
      <c r="Z99" s="5">
        <v>3180</v>
      </c>
      <c r="AA99" t="s">
        <v>140</v>
      </c>
      <c r="AB99" s="5"/>
      <c r="AD99" t="s">
        <v>244</v>
      </c>
      <c r="AE99" t="s">
        <v>242</v>
      </c>
      <c r="AF99" t="s">
        <v>38</v>
      </c>
    </row>
    <row r="100" spans="1:32" x14ac:dyDescent="0.2">
      <c r="A100" t="s">
        <v>64</v>
      </c>
      <c r="C100" s="5">
        <v>12903</v>
      </c>
      <c r="D100" t="s">
        <v>47</v>
      </c>
      <c r="E100">
        <v>450</v>
      </c>
      <c r="F100">
        <v>675</v>
      </c>
      <c r="G100" s="3">
        <v>225</v>
      </c>
      <c r="H100" s="4">
        <v>0.33333333333333331</v>
      </c>
      <c r="I100" s="6">
        <v>46062</v>
      </c>
      <c r="J100" s="14">
        <v>675</v>
      </c>
      <c r="K100" s="4"/>
      <c r="L100" s="4"/>
      <c r="M100" s="4"/>
      <c r="N100" s="4"/>
      <c r="O100" s="6">
        <v>46087</v>
      </c>
      <c r="P100" s="19" t="s">
        <v>245</v>
      </c>
      <c r="Q100" t="e" cm="1">
        <f t="array" ref="Q100">_xlfn.XLOOKUP(1,(Table1[[#This Row],[Customer]]=[1]!Table1[Customer])*(Table1[[#This Row],[Sales Orders]]=[1]!Table1[Sales Order])*(Table1[[#This Row],[Product ID]]=[1]!Table1[Product ID]),[1]!Table1[Notes],"")</f>
        <v>#REF!</v>
      </c>
      <c r="R100" t="e" cm="1">
        <f t="array" ref="R100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00" s="5">
        <v>1</v>
      </c>
      <c r="T100">
        <v>0</v>
      </c>
      <c r="U100" s="5">
        <v>0</v>
      </c>
      <c r="V100" s="5"/>
      <c r="W100" s="5">
        <v>12903</v>
      </c>
      <c r="X100" t="s">
        <v>98</v>
      </c>
      <c r="Y100" s="6">
        <v>46062</v>
      </c>
      <c r="Z100" s="5">
        <v>3182</v>
      </c>
      <c r="AA100" t="s">
        <v>140</v>
      </c>
      <c r="AB100" s="5"/>
      <c r="AD100" t="s">
        <v>246</v>
      </c>
    </row>
    <row r="101" spans="1:32" x14ac:dyDescent="0.2">
      <c r="A101" t="s">
        <v>247</v>
      </c>
      <c r="C101" s="5">
        <v>12893</v>
      </c>
      <c r="D101" t="s">
        <v>47</v>
      </c>
      <c r="E101">
        <v>324</v>
      </c>
      <c r="F101">
        <v>388.8</v>
      </c>
      <c r="G101" s="3">
        <v>64.800000000000011</v>
      </c>
      <c r="H101" s="4">
        <v>0.16666666666666669</v>
      </c>
      <c r="I101" s="6">
        <v>46062</v>
      </c>
      <c r="J101" s="14">
        <v>388.8</v>
      </c>
      <c r="K101" s="4"/>
      <c r="L101" s="4"/>
      <c r="M101" s="4"/>
      <c r="N101" s="4"/>
      <c r="O101" s="6">
        <v>46087</v>
      </c>
      <c r="P101" s="19" t="s">
        <v>245</v>
      </c>
      <c r="Q101" t="e" cm="1">
        <f t="array" ref="Q101">_xlfn.XLOOKUP(1,(Table1[[#This Row],[Customer]]=[1]!Table1[Customer])*(Table1[[#This Row],[Sales Orders]]=[1]!Table1[Sales Order])*(Table1[[#This Row],[Product ID]]=[1]!Table1[Product ID]),[1]!Table1[Notes],"")</f>
        <v>#REF!</v>
      </c>
      <c r="R101" t="s">
        <v>248</v>
      </c>
      <c r="S101" s="5">
        <v>1</v>
      </c>
      <c r="T101">
        <v>0</v>
      </c>
      <c r="U101" s="5">
        <v>0</v>
      </c>
      <c r="V101" s="5">
        <v>27150</v>
      </c>
      <c r="W101" s="5">
        <v>12893</v>
      </c>
      <c r="X101" t="s">
        <v>98</v>
      </c>
      <c r="Y101" s="6">
        <v>46062</v>
      </c>
      <c r="Z101" s="5">
        <v>3181</v>
      </c>
      <c r="AA101" t="s">
        <v>140</v>
      </c>
      <c r="AB101" s="5"/>
      <c r="AD101" t="s">
        <v>141</v>
      </c>
    </row>
    <row r="102" spans="1:32" x14ac:dyDescent="0.2">
      <c r="A102" t="s">
        <v>247</v>
      </c>
      <c r="C102" s="5">
        <v>12893</v>
      </c>
      <c r="D102" t="s">
        <v>249</v>
      </c>
      <c r="E102">
        <v>659.14</v>
      </c>
      <c r="F102">
        <v>790.97</v>
      </c>
      <c r="G102" s="3">
        <v>131.83000000000004</v>
      </c>
      <c r="H102" s="4">
        <v>0.16666877378408793</v>
      </c>
      <c r="I102" s="6">
        <v>46062</v>
      </c>
      <c r="J102" s="14" t="e" cm="1">
        <f t="array" ref="J10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02" s="4"/>
      <c r="L102" s="4"/>
      <c r="M102" s="4"/>
      <c r="N102" s="4"/>
      <c r="O102" s="6" t="e" cm="1">
        <f t="array" ref="O102">_xlfn.XLOOKUP(1,(Table1[[#This Row],[Customer]]=[1]!Table1[Customer])*(Table1[[#This Row],[Sales Orders]]=[1]!Table1[Sales Order])*(Table1[[#This Row],[Product ID]]=[1]!Table1[Product ID]),[1]!Table1[New Invoice
 Date],"")</f>
        <v>#REF!</v>
      </c>
      <c r="P102" t="e" cm="1">
        <f t="array" ref="P102">_xlfn.XLOOKUP(1,(Table1[[#This Row],[Customer]]=[1]!Table1[Customer])*(Table1[[#This Row],[Sales Orders]]=[1]!Table1[Sales Order])*(Table1[[#This Row],[Product ID]]=[1]!Table1[Product ID]),[1]!Table1[New 
Invoice '#],"")</f>
        <v>#REF!</v>
      </c>
      <c r="Q102" t="e" cm="1">
        <f t="array" ref="Q102">_xlfn.XLOOKUP(1,(Table1[[#This Row],[Customer]]=[1]!Table1[Customer])*(Table1[[#This Row],[Sales Orders]]=[1]!Table1[Sales Order])*(Table1[[#This Row],[Product ID]]=[1]!Table1[Product ID]),[1]!Table1[Notes],"")</f>
        <v>#REF!</v>
      </c>
      <c r="R102" t="s">
        <v>248</v>
      </c>
      <c r="S102" s="5">
        <v>1</v>
      </c>
      <c r="T102">
        <v>1</v>
      </c>
      <c r="U102" s="5">
        <v>1</v>
      </c>
      <c r="V102" s="5">
        <v>27150</v>
      </c>
      <c r="W102" s="5">
        <v>12893</v>
      </c>
      <c r="X102" t="s">
        <v>98</v>
      </c>
      <c r="Y102" s="6">
        <v>46062</v>
      </c>
      <c r="Z102" s="5">
        <v>3181</v>
      </c>
      <c r="AA102" t="s">
        <v>140</v>
      </c>
      <c r="AB102" s="5"/>
      <c r="AD102" t="s">
        <v>250</v>
      </c>
      <c r="AE102" t="s">
        <v>251</v>
      </c>
      <c r="AF102" t="s">
        <v>38</v>
      </c>
    </row>
    <row r="103" spans="1:32" x14ac:dyDescent="0.2">
      <c r="A103" t="s">
        <v>247</v>
      </c>
      <c r="C103" s="5">
        <v>12893</v>
      </c>
      <c r="D103" t="s">
        <v>62</v>
      </c>
      <c r="E103">
        <v>14.08</v>
      </c>
      <c r="F103">
        <v>16.899999999999999</v>
      </c>
      <c r="G103" s="3">
        <v>2.8199999999999985</v>
      </c>
      <c r="H103" s="4">
        <v>0.16686390532544371</v>
      </c>
      <c r="I103" s="6">
        <v>46062</v>
      </c>
      <c r="J103" s="14" t="e" cm="1">
        <f t="array" ref="J10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03" s="4"/>
      <c r="L103" s="4"/>
      <c r="M103" s="4"/>
      <c r="N103" s="4"/>
      <c r="O103" s="6" t="e" cm="1">
        <f t="array" ref="O103">_xlfn.XLOOKUP(1,(Table1[[#This Row],[Customer]]=[1]!Table1[Customer])*(Table1[[#This Row],[Sales Orders]]=[1]!Table1[Sales Order])*(Table1[[#This Row],[Product ID]]=[1]!Table1[Product ID]),[1]!Table1[New Invoice
 Date],"")</f>
        <v>#REF!</v>
      </c>
      <c r="P103" t="e" cm="1">
        <f t="array" ref="P103">_xlfn.XLOOKUP(1,(Table1[[#This Row],[Customer]]=[1]!Table1[Customer])*(Table1[[#This Row],[Sales Orders]]=[1]!Table1[Sales Order])*(Table1[[#This Row],[Product ID]]=[1]!Table1[Product ID]),[1]!Table1[New 
Invoice '#],"")</f>
        <v>#REF!</v>
      </c>
      <c r="Q103" t="e" cm="1">
        <f t="array" ref="Q103">_xlfn.XLOOKUP(1,(Table1[[#This Row],[Customer]]=[1]!Table1[Customer])*(Table1[[#This Row],[Sales Orders]]=[1]!Table1[Sales Order])*(Table1[[#This Row],[Product ID]]=[1]!Table1[Product ID]),[1]!Table1[Notes],"")</f>
        <v>#REF!</v>
      </c>
      <c r="R103" t="s">
        <v>248</v>
      </c>
      <c r="S103" s="5">
        <v>1</v>
      </c>
      <c r="T103">
        <v>1</v>
      </c>
      <c r="U103" s="5">
        <v>1</v>
      </c>
      <c r="V103" s="5">
        <v>27150</v>
      </c>
      <c r="W103" s="5">
        <v>12893</v>
      </c>
      <c r="X103" t="s">
        <v>98</v>
      </c>
      <c r="Y103" s="6">
        <v>46062</v>
      </c>
      <c r="Z103" s="5">
        <v>3181</v>
      </c>
      <c r="AA103" t="s">
        <v>140</v>
      </c>
      <c r="AB103" s="5"/>
      <c r="AD103" t="s">
        <v>63</v>
      </c>
      <c r="AE103" t="s">
        <v>251</v>
      </c>
      <c r="AF103" t="s">
        <v>38</v>
      </c>
    </row>
    <row r="104" spans="1:32" x14ac:dyDescent="0.2">
      <c r="A104" t="s">
        <v>39</v>
      </c>
      <c r="C104" s="5">
        <v>12902</v>
      </c>
      <c r="D104" t="s">
        <v>62</v>
      </c>
      <c r="E104">
        <v>35.32</v>
      </c>
      <c r="F104">
        <v>35.32</v>
      </c>
      <c r="G104" s="3">
        <v>0</v>
      </c>
      <c r="H104" s="4">
        <v>0</v>
      </c>
      <c r="I104" s="6">
        <v>46062</v>
      </c>
      <c r="J104" s="14" t="e" cm="1">
        <f t="array" ref="J10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04" s="4"/>
      <c r="L104" s="4"/>
      <c r="M104" s="4"/>
      <c r="N104" s="4"/>
      <c r="O104" s="6" t="e" cm="1">
        <f t="array" ref="O104">_xlfn.XLOOKUP(1,(Table1[[#This Row],[Customer]]=[1]!Table1[Customer])*(Table1[[#This Row],[Sales Orders]]=[1]!Table1[Sales Order])*(Table1[[#This Row],[Product ID]]=[1]!Table1[Product ID]),[1]!Table1[New Invoice
 Date],"")</f>
        <v>#REF!</v>
      </c>
      <c r="P104" t="e" cm="1">
        <f t="array" ref="P104">_xlfn.XLOOKUP(1,(Table1[[#This Row],[Customer]]=[1]!Table1[Customer])*(Table1[[#This Row],[Sales Orders]]=[1]!Table1[Sales Order])*(Table1[[#This Row],[Product ID]]=[1]!Table1[Product ID]),[1]!Table1[New 
Invoice '#],"")</f>
        <v>#REF!</v>
      </c>
      <c r="Q104" t="e" cm="1">
        <f t="array" ref="Q104">_xlfn.XLOOKUP(1,(Table1[[#This Row],[Customer]]=[1]!Table1[Customer])*(Table1[[#This Row],[Sales Orders]]=[1]!Table1[Sales Order])*(Table1[[#This Row],[Product ID]]=[1]!Table1[Product ID]),[1]!Table1[Notes],"")</f>
        <v>#REF!</v>
      </c>
      <c r="R104" t="s">
        <v>252</v>
      </c>
      <c r="S104" s="5">
        <v>1</v>
      </c>
      <c r="T104">
        <v>0</v>
      </c>
      <c r="U104" s="5">
        <v>0</v>
      </c>
      <c r="V104" s="5">
        <v>27745</v>
      </c>
      <c r="W104" s="5">
        <v>12902</v>
      </c>
      <c r="X104" t="s">
        <v>98</v>
      </c>
      <c r="Y104" s="6">
        <v>46062</v>
      </c>
      <c r="Z104" s="5"/>
      <c r="AB104" s="5">
        <v>2423244</v>
      </c>
      <c r="AC104" t="s">
        <v>253</v>
      </c>
      <c r="AD104" t="s">
        <v>63</v>
      </c>
    </row>
    <row r="105" spans="1:32" x14ac:dyDescent="0.2">
      <c r="A105" t="s">
        <v>39</v>
      </c>
      <c r="C105" s="5">
        <v>12902</v>
      </c>
      <c r="D105" t="s">
        <v>160</v>
      </c>
      <c r="E105">
        <v>777.08</v>
      </c>
      <c r="F105">
        <v>924</v>
      </c>
      <c r="G105" s="3">
        <v>146.91999999999996</v>
      </c>
      <c r="H105" s="4">
        <v>0.15900432900432895</v>
      </c>
      <c r="I105" s="6">
        <v>46062</v>
      </c>
      <c r="J105" s="14" t="e" cm="1">
        <f t="array" ref="J10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05" s="4"/>
      <c r="L105" s="4"/>
      <c r="M105" s="4"/>
      <c r="N105" s="4"/>
      <c r="O105" s="6" t="e" cm="1">
        <f t="array" ref="O105">_xlfn.XLOOKUP(1,(Table1[[#This Row],[Customer]]=[1]!Table1[Customer])*(Table1[[#This Row],[Sales Orders]]=[1]!Table1[Sales Order])*(Table1[[#This Row],[Product ID]]=[1]!Table1[Product ID]),[1]!Table1[New Invoice
 Date],"")</f>
        <v>#REF!</v>
      </c>
      <c r="P105" t="e" cm="1">
        <f t="array" ref="P105">_xlfn.XLOOKUP(1,(Table1[[#This Row],[Customer]]=[1]!Table1[Customer])*(Table1[[#This Row],[Sales Orders]]=[1]!Table1[Sales Order])*(Table1[[#This Row],[Product ID]]=[1]!Table1[Product ID]),[1]!Table1[New 
Invoice '#],"")</f>
        <v>#REF!</v>
      </c>
      <c r="Q105" t="e" cm="1">
        <f t="array" ref="Q105">_xlfn.XLOOKUP(1,(Table1[[#This Row],[Customer]]=[1]!Table1[Customer])*(Table1[[#This Row],[Sales Orders]]=[1]!Table1[Sales Order])*(Table1[[#This Row],[Product ID]]=[1]!Table1[Product ID]),[1]!Table1[Notes],"")</f>
        <v>#REF!</v>
      </c>
      <c r="R105" t="s">
        <v>252</v>
      </c>
      <c r="S105" s="5">
        <v>1</v>
      </c>
      <c r="T105">
        <v>1</v>
      </c>
      <c r="U105" s="5">
        <v>1</v>
      </c>
      <c r="V105" s="5">
        <v>27745</v>
      </c>
      <c r="W105" s="5">
        <v>12902</v>
      </c>
      <c r="X105" t="s">
        <v>98</v>
      </c>
      <c r="Y105" s="6">
        <v>46062</v>
      </c>
      <c r="Z105" s="5"/>
      <c r="AB105" s="5">
        <v>2423244</v>
      </c>
      <c r="AC105" t="s">
        <v>253</v>
      </c>
      <c r="AD105" t="s">
        <v>159</v>
      </c>
    </row>
    <row r="106" spans="1:32" x14ac:dyDescent="0.2">
      <c r="A106" t="s">
        <v>39</v>
      </c>
      <c r="C106" s="5">
        <v>12902</v>
      </c>
      <c r="D106" t="s">
        <v>62</v>
      </c>
      <c r="E106">
        <v>54.86</v>
      </c>
      <c r="F106">
        <v>65.83</v>
      </c>
      <c r="G106" s="3">
        <v>10.969999999999999</v>
      </c>
      <c r="H106" s="4">
        <v>0.16664134892905968</v>
      </c>
      <c r="I106" s="6">
        <v>46062</v>
      </c>
      <c r="J106" s="14" t="e" cm="1">
        <f t="array" ref="J10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06" s="4"/>
      <c r="L106" s="4"/>
      <c r="M106" s="4"/>
      <c r="N106" s="4"/>
      <c r="O106" s="6" t="e" cm="1">
        <f t="array" ref="O106">_xlfn.XLOOKUP(1,(Table1[[#This Row],[Customer]]=[1]!Table1[Customer])*(Table1[[#This Row],[Sales Orders]]=[1]!Table1[Sales Order])*(Table1[[#This Row],[Product ID]]=[1]!Table1[Product ID]),[1]!Table1[New Invoice
 Date],"")</f>
        <v>#REF!</v>
      </c>
      <c r="P106" t="e" cm="1">
        <f t="array" ref="P106">_xlfn.XLOOKUP(1,(Table1[[#This Row],[Customer]]=[1]!Table1[Customer])*(Table1[[#This Row],[Sales Orders]]=[1]!Table1[Sales Order])*(Table1[[#This Row],[Product ID]]=[1]!Table1[Product ID]),[1]!Table1[New 
Invoice '#],"")</f>
        <v>#REF!</v>
      </c>
      <c r="Q106" t="e" cm="1">
        <f t="array" ref="Q106">_xlfn.XLOOKUP(1,(Table1[[#This Row],[Customer]]=[1]!Table1[Customer])*(Table1[[#This Row],[Sales Orders]]=[1]!Table1[Sales Order])*(Table1[[#This Row],[Product ID]]=[1]!Table1[Product ID]),[1]!Table1[Notes],"")</f>
        <v>#REF!</v>
      </c>
      <c r="R106" t="s">
        <v>252</v>
      </c>
      <c r="S106" s="5">
        <v>1</v>
      </c>
      <c r="T106">
        <v>1</v>
      </c>
      <c r="U106" s="5">
        <v>1</v>
      </c>
      <c r="V106" s="5">
        <v>27745</v>
      </c>
      <c r="W106" s="5">
        <v>12902</v>
      </c>
      <c r="X106" t="s">
        <v>98</v>
      </c>
      <c r="Y106" s="6">
        <v>46062</v>
      </c>
      <c r="Z106" s="5"/>
      <c r="AB106" s="5">
        <v>2423244</v>
      </c>
      <c r="AC106" t="s">
        <v>253</v>
      </c>
      <c r="AD106" t="s">
        <v>157</v>
      </c>
    </row>
    <row r="107" spans="1:32" ht="32" x14ac:dyDescent="0.2">
      <c r="A107" t="s">
        <v>43</v>
      </c>
      <c r="C107" s="5">
        <v>12909</v>
      </c>
      <c r="D107" t="s">
        <v>49</v>
      </c>
      <c r="E107">
        <v>0</v>
      </c>
      <c r="F107">
        <v>150</v>
      </c>
      <c r="G107" s="3">
        <v>150</v>
      </c>
      <c r="H107" s="4">
        <v>1</v>
      </c>
      <c r="I107" s="6">
        <v>46063</v>
      </c>
      <c r="J107" s="14" t="e" cm="1">
        <f t="array" ref="J10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07" s="4"/>
      <c r="L107" s="4"/>
      <c r="M107" s="4"/>
      <c r="N107" s="4"/>
      <c r="O107" s="6" t="e" cm="1">
        <f t="array" ref="O107">_xlfn.XLOOKUP(1,(Table1[[#This Row],[Customer]]=[1]!Table1[Customer])*(Table1[[#This Row],[Sales Orders]]=[1]!Table1[Sales Order])*(Table1[[#This Row],[Product ID]]=[1]!Table1[Product ID]),[1]!Table1[New Invoice
 Date],"")</f>
        <v>#REF!</v>
      </c>
      <c r="P107" t="e" cm="1">
        <f t="array" ref="P107">_xlfn.XLOOKUP(1,(Table1[[#This Row],[Customer]]=[1]!Table1[Customer])*(Table1[[#This Row],[Sales Orders]]=[1]!Table1[Sales Order])*(Table1[[#This Row],[Product ID]]=[1]!Table1[Product ID]),[1]!Table1[New 
Invoice '#],"")</f>
        <v>#REF!</v>
      </c>
      <c r="Q107" t="e" cm="1">
        <f t="array" ref="Q107">_xlfn.XLOOKUP(1,(Table1[[#This Row],[Customer]]=[1]!Table1[Customer])*(Table1[[#This Row],[Sales Orders]]=[1]!Table1[Sales Order])*(Table1[[#This Row],[Product ID]]=[1]!Table1[Product ID]),[1]!Table1[Notes],"")</f>
        <v>#REF!</v>
      </c>
      <c r="R107" s="17" t="s">
        <v>254</v>
      </c>
      <c r="S107" s="5">
        <v>1</v>
      </c>
      <c r="T107">
        <v>0</v>
      </c>
      <c r="U107" s="5">
        <v>0</v>
      </c>
      <c r="V107" s="5">
        <v>27729</v>
      </c>
      <c r="W107" s="5">
        <v>12909</v>
      </c>
      <c r="X107" t="s">
        <v>106</v>
      </c>
      <c r="Y107" s="6">
        <v>46063</v>
      </c>
      <c r="Z107" s="5"/>
      <c r="AB107" s="5"/>
      <c r="AD107" t="s">
        <v>49</v>
      </c>
    </row>
    <row r="108" spans="1:32" x14ac:dyDescent="0.2">
      <c r="A108" t="s">
        <v>255</v>
      </c>
      <c r="C108" s="5">
        <v>12907</v>
      </c>
      <c r="D108" t="s">
        <v>256</v>
      </c>
      <c r="E108">
        <v>2220.75</v>
      </c>
      <c r="F108">
        <v>2593.29</v>
      </c>
      <c r="G108" s="3">
        <v>372.53999999999996</v>
      </c>
      <c r="H108" s="4">
        <v>0.14365535670904525</v>
      </c>
      <c r="I108" s="6">
        <v>46063</v>
      </c>
      <c r="J108" s="14">
        <v>2593.29</v>
      </c>
      <c r="K108" s="4"/>
      <c r="L108" s="4"/>
      <c r="M108" s="4"/>
      <c r="N108" s="4"/>
      <c r="O108" s="6">
        <v>46090</v>
      </c>
      <c r="P108">
        <v>182922</v>
      </c>
      <c r="Q108" t="e" cm="1">
        <f t="array" ref="Q108">_xlfn.XLOOKUP(1,(Table1[[#This Row],[Customer]]=[1]!Table1[Customer])*(Table1[[#This Row],[Sales Orders]]=[1]!Table1[Sales Order])*(Table1[[#This Row],[Product ID]]=[1]!Table1[Product ID]),[1]!Table1[Notes],"")</f>
        <v>#REF!</v>
      </c>
      <c r="R108" t="e" cm="1">
        <f t="array" ref="R108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08" s="5">
        <v>21</v>
      </c>
      <c r="T108">
        <v>0</v>
      </c>
      <c r="U108" s="5">
        <v>0</v>
      </c>
      <c r="V108" s="5">
        <v>27370</v>
      </c>
      <c r="W108" s="5">
        <v>12907</v>
      </c>
      <c r="X108" t="s">
        <v>106</v>
      </c>
      <c r="Y108" s="6">
        <v>46063</v>
      </c>
      <c r="Z108" s="5"/>
      <c r="AB108" s="5"/>
      <c r="AD108" t="s">
        <v>257</v>
      </c>
    </row>
    <row r="109" spans="1:32" x14ac:dyDescent="0.2">
      <c r="A109" t="s">
        <v>39</v>
      </c>
      <c r="C109" s="5">
        <v>12906</v>
      </c>
      <c r="D109" t="s">
        <v>258</v>
      </c>
      <c r="E109">
        <v>743.43</v>
      </c>
      <c r="F109">
        <v>814</v>
      </c>
      <c r="G109" s="3">
        <v>70.57000000000005</v>
      </c>
      <c r="H109" s="4">
        <v>8.6695331695331751E-2</v>
      </c>
      <c r="I109" s="6">
        <v>46063</v>
      </c>
      <c r="J109" s="14" t="e" cm="1">
        <f t="array" ref="J10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09" s="4"/>
      <c r="L109" s="4"/>
      <c r="M109" s="4"/>
      <c r="N109" s="4"/>
      <c r="O109" s="6" t="e" cm="1">
        <f t="array" ref="O109">_xlfn.XLOOKUP(1,(Table1[[#This Row],[Customer]]=[1]!Table1[Customer])*(Table1[[#This Row],[Sales Orders]]=[1]!Table1[Sales Order])*(Table1[[#This Row],[Product ID]]=[1]!Table1[Product ID]),[1]!Table1[New Invoice
 Date],"")</f>
        <v>#REF!</v>
      </c>
      <c r="P109" t="e" cm="1">
        <f t="array" ref="P109">_xlfn.XLOOKUP(1,(Table1[[#This Row],[Customer]]=[1]!Table1[Customer])*(Table1[[#This Row],[Sales Orders]]=[1]!Table1[Sales Order])*(Table1[[#This Row],[Product ID]]=[1]!Table1[Product ID]),[1]!Table1[New 
Invoice '#],"")</f>
        <v>#REF!</v>
      </c>
      <c r="Q109" t="e" cm="1">
        <f t="array" ref="Q109">_xlfn.XLOOKUP(1,(Table1[[#This Row],[Customer]]=[1]!Table1[Customer])*(Table1[[#This Row],[Sales Orders]]=[1]!Table1[Sales Order])*(Table1[[#This Row],[Product ID]]=[1]!Table1[Product ID]),[1]!Table1[Notes],"")</f>
        <v>#REF!</v>
      </c>
      <c r="R109" t="s">
        <v>252</v>
      </c>
      <c r="S109" s="5">
        <v>1</v>
      </c>
      <c r="T109">
        <v>1</v>
      </c>
      <c r="U109" s="5">
        <v>1</v>
      </c>
      <c r="V109" s="5">
        <v>27752</v>
      </c>
      <c r="W109" s="5">
        <v>12906</v>
      </c>
      <c r="X109" t="s">
        <v>34</v>
      </c>
      <c r="Y109" s="6">
        <v>46063</v>
      </c>
      <c r="Z109" s="5"/>
      <c r="AB109" s="5">
        <v>2423637</v>
      </c>
      <c r="AC109" t="s">
        <v>253</v>
      </c>
      <c r="AD109" t="s">
        <v>259</v>
      </c>
      <c r="AE109" t="s">
        <v>260</v>
      </c>
      <c r="AF109" t="s">
        <v>38</v>
      </c>
    </row>
    <row r="110" spans="1:32" x14ac:dyDescent="0.2">
      <c r="A110" t="s">
        <v>39</v>
      </c>
      <c r="C110" s="5">
        <v>12906</v>
      </c>
      <c r="D110" t="s">
        <v>62</v>
      </c>
      <c r="E110">
        <v>27.62</v>
      </c>
      <c r="F110">
        <v>100</v>
      </c>
      <c r="G110" s="3">
        <v>72.38</v>
      </c>
      <c r="H110" s="4">
        <v>0.7238</v>
      </c>
      <c r="I110" s="6">
        <v>46063</v>
      </c>
      <c r="J110" s="14" t="e" cm="1">
        <f t="array" ref="J11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10" s="4"/>
      <c r="L110" s="4"/>
      <c r="M110" s="4"/>
      <c r="N110" s="4"/>
      <c r="O110" s="6" t="e" cm="1">
        <f t="array" ref="O110">_xlfn.XLOOKUP(1,(Table1[[#This Row],[Customer]]=[1]!Table1[Customer])*(Table1[[#This Row],[Sales Orders]]=[1]!Table1[Sales Order])*(Table1[[#This Row],[Product ID]]=[1]!Table1[Product ID]),[1]!Table1[New Invoice
 Date],"")</f>
        <v>#REF!</v>
      </c>
      <c r="P110" t="e" cm="1">
        <f t="array" ref="P110">_xlfn.XLOOKUP(1,(Table1[[#This Row],[Customer]]=[1]!Table1[Customer])*(Table1[[#This Row],[Sales Orders]]=[1]!Table1[Sales Order])*(Table1[[#This Row],[Product ID]]=[1]!Table1[Product ID]),[1]!Table1[New 
Invoice '#],"")</f>
        <v>#REF!</v>
      </c>
      <c r="Q110" t="e" cm="1">
        <f t="array" ref="Q110">_xlfn.XLOOKUP(1,(Table1[[#This Row],[Customer]]=[1]!Table1[Customer])*(Table1[[#This Row],[Sales Orders]]=[1]!Table1[Sales Order])*(Table1[[#This Row],[Product ID]]=[1]!Table1[Product ID]),[1]!Table1[Notes],"")</f>
        <v>#REF!</v>
      </c>
      <c r="R110" t="s">
        <v>252</v>
      </c>
      <c r="S110" s="5">
        <v>1</v>
      </c>
      <c r="T110">
        <v>1</v>
      </c>
      <c r="U110" s="5">
        <v>1</v>
      </c>
      <c r="V110" s="5">
        <v>27752</v>
      </c>
      <c r="W110" s="5">
        <v>12906</v>
      </c>
      <c r="X110" t="s">
        <v>34</v>
      </c>
      <c r="Y110" s="6">
        <v>46063</v>
      </c>
      <c r="Z110" s="5"/>
      <c r="AB110" s="5">
        <v>2423637</v>
      </c>
      <c r="AC110" t="s">
        <v>253</v>
      </c>
      <c r="AD110" t="s">
        <v>156</v>
      </c>
    </row>
    <row r="111" spans="1:32" x14ac:dyDescent="0.2">
      <c r="A111" t="s">
        <v>184</v>
      </c>
      <c r="C111" s="5">
        <v>12913</v>
      </c>
      <c r="D111" t="s">
        <v>261</v>
      </c>
      <c r="E111">
        <v>125.28</v>
      </c>
      <c r="F111">
        <v>150.34</v>
      </c>
      <c r="G111" s="3">
        <v>25.060000000000002</v>
      </c>
      <c r="H111" s="4">
        <v>0.16668883863243317</v>
      </c>
      <c r="I111" s="6">
        <v>46064</v>
      </c>
      <c r="J111" s="14">
        <v>150.34</v>
      </c>
      <c r="K111" s="4"/>
      <c r="L111" s="4"/>
      <c r="M111" s="4"/>
      <c r="N111" s="4"/>
      <c r="O111" s="6">
        <v>46087</v>
      </c>
      <c r="P111" t="s">
        <v>262</v>
      </c>
      <c r="Q111" t="e" cm="1">
        <f t="array" ref="Q111">_xlfn.XLOOKUP(1,(Table1[[#This Row],[Customer]]=[1]!Table1[Customer])*(Table1[[#This Row],[Sales Orders]]=[1]!Table1[Sales Order])*(Table1[[#This Row],[Product ID]]=[1]!Table1[Product ID]),[1]!Table1[Notes],"")</f>
        <v>#REF!</v>
      </c>
      <c r="R111" t="e" cm="1">
        <f t="array" ref="R111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11" s="5">
        <v>1</v>
      </c>
      <c r="T111">
        <v>1</v>
      </c>
      <c r="U111" s="5">
        <v>1</v>
      </c>
      <c r="V111" s="5">
        <v>27643</v>
      </c>
      <c r="W111" s="5">
        <v>12913</v>
      </c>
      <c r="X111" t="s">
        <v>34</v>
      </c>
      <c r="Y111" s="6">
        <v>46064</v>
      </c>
      <c r="Z111" s="5"/>
      <c r="AB111" s="5">
        <v>2426214</v>
      </c>
      <c r="AC111" t="s">
        <v>263</v>
      </c>
      <c r="AD111" t="s">
        <v>264</v>
      </c>
      <c r="AE111" t="s">
        <v>265</v>
      </c>
      <c r="AF111" t="s">
        <v>38</v>
      </c>
    </row>
    <row r="112" spans="1:32" x14ac:dyDescent="0.2">
      <c r="A112" t="s">
        <v>184</v>
      </c>
      <c r="C112" s="5">
        <v>12913</v>
      </c>
      <c r="D112" t="s">
        <v>266</v>
      </c>
      <c r="E112">
        <v>125.28</v>
      </c>
      <c r="F112">
        <v>150.34</v>
      </c>
      <c r="G112" s="3">
        <v>25.060000000000002</v>
      </c>
      <c r="H112" s="4">
        <v>0.16668883863243317</v>
      </c>
      <c r="I112" s="6">
        <v>46064</v>
      </c>
      <c r="J112" s="14">
        <v>150.34</v>
      </c>
      <c r="K112" s="4"/>
      <c r="L112" s="4"/>
      <c r="M112" s="4"/>
      <c r="N112" s="4"/>
      <c r="O112" s="6">
        <v>46087</v>
      </c>
      <c r="P112" t="s">
        <v>262</v>
      </c>
      <c r="Q112" t="e" cm="1">
        <f t="array" ref="Q112">_xlfn.XLOOKUP(1,(Table1[[#This Row],[Customer]]=[1]!Table1[Customer])*(Table1[[#This Row],[Sales Orders]]=[1]!Table1[Sales Order])*(Table1[[#This Row],[Product ID]]=[1]!Table1[Product ID]),[1]!Table1[Notes],"")</f>
        <v>#REF!</v>
      </c>
      <c r="R112" t="e" cm="1">
        <f t="array" ref="R112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12" s="5">
        <v>1</v>
      </c>
      <c r="T112">
        <v>1</v>
      </c>
      <c r="U112" s="5">
        <v>1</v>
      </c>
      <c r="V112" s="5">
        <v>27643</v>
      </c>
      <c r="W112" s="5">
        <v>12913</v>
      </c>
      <c r="X112" t="s">
        <v>34</v>
      </c>
      <c r="Y112" s="6">
        <v>46064</v>
      </c>
      <c r="Z112" s="5"/>
      <c r="AB112" s="5">
        <v>2426214</v>
      </c>
      <c r="AC112" t="s">
        <v>263</v>
      </c>
      <c r="AD112" t="s">
        <v>267</v>
      </c>
      <c r="AE112" t="s">
        <v>265</v>
      </c>
      <c r="AF112" t="s">
        <v>38</v>
      </c>
    </row>
    <row r="113" spans="1:32" x14ac:dyDescent="0.2">
      <c r="A113" t="s">
        <v>184</v>
      </c>
      <c r="C113" s="5">
        <v>12913</v>
      </c>
      <c r="D113" t="s">
        <v>268</v>
      </c>
      <c r="E113">
        <v>125.28</v>
      </c>
      <c r="F113">
        <v>150.34</v>
      </c>
      <c r="G113" s="3">
        <v>25.060000000000002</v>
      </c>
      <c r="H113" s="4">
        <v>0.16668883863243317</v>
      </c>
      <c r="I113" s="6">
        <v>46064</v>
      </c>
      <c r="J113" s="14">
        <v>150.34</v>
      </c>
      <c r="K113" s="4"/>
      <c r="L113" s="4"/>
      <c r="M113" s="4"/>
      <c r="N113" s="4"/>
      <c r="O113" s="6">
        <v>46087</v>
      </c>
      <c r="P113" t="s">
        <v>262</v>
      </c>
      <c r="Q113" t="e" cm="1">
        <f t="array" ref="Q113">_xlfn.XLOOKUP(1,(Table1[[#This Row],[Customer]]=[1]!Table1[Customer])*(Table1[[#This Row],[Sales Orders]]=[1]!Table1[Sales Order])*(Table1[[#This Row],[Product ID]]=[1]!Table1[Product ID]),[1]!Table1[Notes],"")</f>
        <v>#REF!</v>
      </c>
      <c r="R113" t="e" cm="1">
        <f t="array" ref="R113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13" s="5">
        <v>1</v>
      </c>
      <c r="T113">
        <v>1</v>
      </c>
      <c r="U113" s="5">
        <v>1</v>
      </c>
      <c r="V113" s="5">
        <v>27643</v>
      </c>
      <c r="W113" s="5">
        <v>12913</v>
      </c>
      <c r="X113" t="s">
        <v>34</v>
      </c>
      <c r="Y113" s="6">
        <v>46064</v>
      </c>
      <c r="Z113" s="5"/>
      <c r="AB113" s="5">
        <v>2426214</v>
      </c>
      <c r="AC113" t="s">
        <v>263</v>
      </c>
      <c r="AD113" t="s">
        <v>269</v>
      </c>
      <c r="AE113" t="s">
        <v>265</v>
      </c>
      <c r="AF113" t="s">
        <v>38</v>
      </c>
    </row>
    <row r="114" spans="1:32" x14ac:dyDescent="0.2">
      <c r="A114" t="s">
        <v>184</v>
      </c>
      <c r="C114" s="5">
        <v>12913</v>
      </c>
      <c r="D114" t="s">
        <v>270</v>
      </c>
      <c r="E114">
        <v>104.28</v>
      </c>
      <c r="F114">
        <v>125.14</v>
      </c>
      <c r="G114" s="3">
        <v>20.86</v>
      </c>
      <c r="H114" s="4">
        <v>0.16669330350007991</v>
      </c>
      <c r="I114" s="6">
        <v>46064</v>
      </c>
      <c r="J114" s="14">
        <v>125.14</v>
      </c>
      <c r="K114" s="4"/>
      <c r="L114" s="4"/>
      <c r="M114" s="4"/>
      <c r="N114" s="4"/>
      <c r="O114" s="6">
        <v>46087</v>
      </c>
      <c r="P114" t="s">
        <v>262</v>
      </c>
      <c r="Q114" t="e" cm="1">
        <f t="array" ref="Q114">_xlfn.XLOOKUP(1,(Table1[[#This Row],[Customer]]=[1]!Table1[Customer])*(Table1[[#This Row],[Sales Orders]]=[1]!Table1[Sales Order])*(Table1[[#This Row],[Product ID]]=[1]!Table1[Product ID]),[1]!Table1[Notes],"")</f>
        <v>#REF!</v>
      </c>
      <c r="R114" t="e" cm="1">
        <f t="array" ref="R114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14" s="5">
        <v>1</v>
      </c>
      <c r="T114">
        <v>1</v>
      </c>
      <c r="U114" s="5">
        <v>1</v>
      </c>
      <c r="V114" s="5">
        <v>27643</v>
      </c>
      <c r="W114" s="5">
        <v>12913</v>
      </c>
      <c r="X114" t="s">
        <v>34</v>
      </c>
      <c r="Y114" s="6">
        <v>46064</v>
      </c>
      <c r="Z114" s="5"/>
      <c r="AB114" s="5">
        <v>2426214</v>
      </c>
      <c r="AC114" t="s">
        <v>263</v>
      </c>
      <c r="AD114" t="s">
        <v>271</v>
      </c>
      <c r="AE114" t="s">
        <v>265</v>
      </c>
      <c r="AF114" t="s">
        <v>38</v>
      </c>
    </row>
    <row r="115" spans="1:32" x14ac:dyDescent="0.2">
      <c r="A115" t="s">
        <v>184</v>
      </c>
      <c r="C115" s="5">
        <v>12913</v>
      </c>
      <c r="D115" t="s">
        <v>272</v>
      </c>
      <c r="E115">
        <v>396</v>
      </c>
      <c r="F115">
        <v>712.14</v>
      </c>
      <c r="G115" s="3">
        <v>316.14</v>
      </c>
      <c r="H115" s="4">
        <v>0.44392956441149212</v>
      </c>
      <c r="I115" s="6">
        <v>46064</v>
      </c>
      <c r="J115" s="14">
        <v>712.14</v>
      </c>
      <c r="K115" s="4"/>
      <c r="L115" s="4"/>
      <c r="M115" s="4"/>
      <c r="N115" s="4"/>
      <c r="O115" s="6">
        <v>46087</v>
      </c>
      <c r="P115" t="s">
        <v>262</v>
      </c>
      <c r="Q115" t="e" cm="1">
        <f t="array" ref="Q115">_xlfn.XLOOKUP(1,(Table1[[#This Row],[Customer]]=[1]!Table1[Customer])*(Table1[[#This Row],[Sales Orders]]=[1]!Table1[Sales Order])*(Table1[[#This Row],[Product ID]]=[1]!Table1[Product ID]),[1]!Table1[Notes],"")</f>
        <v>#REF!</v>
      </c>
      <c r="R115" t="e" cm="1">
        <f t="array" ref="R115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15" s="5">
        <v>1</v>
      </c>
      <c r="T115">
        <v>1</v>
      </c>
      <c r="U115" s="5">
        <v>1</v>
      </c>
      <c r="V115" s="5">
        <v>27643</v>
      </c>
      <c r="W115" s="5">
        <v>12913</v>
      </c>
      <c r="X115" t="s">
        <v>34</v>
      </c>
      <c r="Y115" s="6">
        <v>46064</v>
      </c>
      <c r="Z115" s="5"/>
      <c r="AB115" s="5">
        <v>2426214</v>
      </c>
      <c r="AC115" t="s">
        <v>263</v>
      </c>
      <c r="AD115" t="s">
        <v>273</v>
      </c>
      <c r="AE115" t="s">
        <v>274</v>
      </c>
      <c r="AF115" t="s">
        <v>38</v>
      </c>
    </row>
    <row r="116" spans="1:32" x14ac:dyDescent="0.2">
      <c r="A116" t="s">
        <v>184</v>
      </c>
      <c r="C116" s="5">
        <v>12913</v>
      </c>
      <c r="D116" t="s">
        <v>62</v>
      </c>
      <c r="E116">
        <v>13.3</v>
      </c>
      <c r="F116">
        <v>28.8</v>
      </c>
      <c r="G116" s="3">
        <v>15.5</v>
      </c>
      <c r="H116" s="4">
        <v>0.53819444444444442</v>
      </c>
      <c r="I116" s="6">
        <v>46064</v>
      </c>
      <c r="J116" s="14">
        <v>28.8</v>
      </c>
      <c r="K116" s="4"/>
      <c r="L116" s="4"/>
      <c r="M116" s="4"/>
      <c r="N116" s="4"/>
      <c r="O116" s="6">
        <v>46087</v>
      </c>
      <c r="P116" t="s">
        <v>262</v>
      </c>
      <c r="Q116" t="e" cm="1">
        <f t="array" ref="Q116">_xlfn.XLOOKUP(1,(Table1[[#This Row],[Customer]]=[1]!Table1[Customer])*(Table1[[#This Row],[Sales Orders]]=[1]!Table1[Sales Order])*(Table1[[#This Row],[Product ID]]=[1]!Table1[Product ID]),[1]!Table1[Notes],"")</f>
        <v>#REF!</v>
      </c>
      <c r="R116" t="e" cm="1">
        <f t="array" ref="R116">_xlfn.XLOOKUP(1,(Table1[[#This Row],[Customer]]=[1]!Table1[Customer])*(Table1[[#This Row],[Sales Orders]]=[1]!Table1[Sales Order])*(Table1[[#This Row],[Product ID]]=[1]!Table1[Product ID]),[1]!Table1[Notes or Info. Last Updated Date in columns H - O],"")</f>
        <v>#REF!</v>
      </c>
      <c r="S116" s="5">
        <v>1</v>
      </c>
      <c r="T116">
        <v>1</v>
      </c>
      <c r="U116" s="5">
        <v>1</v>
      </c>
      <c r="V116" s="5">
        <v>27643</v>
      </c>
      <c r="W116" s="5">
        <v>12913</v>
      </c>
      <c r="X116" t="s">
        <v>34</v>
      </c>
      <c r="Y116" s="6">
        <v>46064</v>
      </c>
      <c r="Z116" s="5"/>
      <c r="AB116" s="5">
        <v>2426214</v>
      </c>
      <c r="AC116" t="s">
        <v>263</v>
      </c>
      <c r="AD116" t="s">
        <v>63</v>
      </c>
      <c r="AE116" t="s">
        <v>265</v>
      </c>
      <c r="AF116" t="s">
        <v>38</v>
      </c>
    </row>
    <row r="117" spans="1:32" x14ac:dyDescent="0.2">
      <c r="A117" t="s">
        <v>275</v>
      </c>
      <c r="C117" s="5">
        <v>12912</v>
      </c>
      <c r="D117" t="s">
        <v>276</v>
      </c>
      <c r="E117">
        <v>729.12</v>
      </c>
      <c r="F117">
        <v>776.16</v>
      </c>
      <c r="G117" s="3">
        <v>47.039999999999964</v>
      </c>
      <c r="H117" s="4">
        <v>6.0606060606060559E-2</v>
      </c>
      <c r="I117" s="6">
        <v>46064</v>
      </c>
      <c r="J117" s="14" t="e" cm="1">
        <f t="array" ref="J11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17" s="4"/>
      <c r="L117" s="4"/>
      <c r="M117" s="4"/>
      <c r="N117" s="4"/>
      <c r="O117" s="6" t="e" cm="1">
        <f t="array" ref="O117">_xlfn.XLOOKUP(1,(Table1[[#This Row],[Customer]]=[1]!Table1[Customer])*(Table1[[#This Row],[Sales Orders]]=[1]!Table1[Sales Order])*(Table1[[#This Row],[Product ID]]=[1]!Table1[Product ID]),[1]!Table1[New Invoice
 Date],"")</f>
        <v>#REF!</v>
      </c>
      <c r="P117" t="e" cm="1">
        <f t="array" ref="P117">_xlfn.XLOOKUP(1,(Table1[[#This Row],[Customer]]=[1]!Table1[Customer])*(Table1[[#This Row],[Sales Orders]]=[1]!Table1[Sales Order])*(Table1[[#This Row],[Product ID]]=[1]!Table1[Product ID]),[1]!Table1[New 
Invoice '#],"")</f>
        <v>#REF!</v>
      </c>
      <c r="Q117" t="e" cm="1">
        <f t="array" ref="Q117">_xlfn.XLOOKUP(1,(Table1[[#This Row],[Customer]]=[1]!Table1[Customer])*(Table1[[#This Row],[Sales Orders]]=[1]!Table1[Sales Order])*(Table1[[#This Row],[Product ID]]=[1]!Table1[Product ID]),[1]!Table1[Notes],"")</f>
        <v>#REF!</v>
      </c>
      <c r="R117" t="s">
        <v>277</v>
      </c>
      <c r="S117" s="5">
        <v>98</v>
      </c>
      <c r="T117">
        <v>0</v>
      </c>
      <c r="U117" s="5">
        <v>0</v>
      </c>
      <c r="V117" s="5">
        <v>27710</v>
      </c>
      <c r="W117" s="5">
        <v>12912</v>
      </c>
      <c r="X117" t="s">
        <v>119</v>
      </c>
      <c r="Y117" s="6">
        <v>46064</v>
      </c>
      <c r="Z117" s="5">
        <v>3144</v>
      </c>
      <c r="AA117" t="s">
        <v>111</v>
      </c>
      <c r="AB117" s="5"/>
      <c r="AD117" t="s">
        <v>278</v>
      </c>
    </row>
    <row r="118" spans="1:32" x14ac:dyDescent="0.2">
      <c r="A118" t="s">
        <v>279</v>
      </c>
      <c r="C118" s="5">
        <v>12921</v>
      </c>
      <c r="D118" t="s">
        <v>280</v>
      </c>
      <c r="E118">
        <v>37.08</v>
      </c>
      <c r="F118">
        <v>44.5</v>
      </c>
      <c r="G118" s="3">
        <v>7.4200000000000017</v>
      </c>
      <c r="H118" s="4">
        <v>0.1667415730337079</v>
      </c>
      <c r="I118" s="6">
        <v>46065</v>
      </c>
      <c r="J118" s="14" t="e" cm="1">
        <f t="array" ref="J11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18" s="4"/>
      <c r="L118" s="4"/>
      <c r="M118" s="4"/>
      <c r="N118" s="4"/>
      <c r="O118" s="6" t="e" cm="1">
        <f t="array" ref="O118">_xlfn.XLOOKUP(1,(Table1[[#This Row],[Customer]]=[1]!Table1[Customer])*(Table1[[#This Row],[Sales Orders]]=[1]!Table1[Sales Order])*(Table1[[#This Row],[Product ID]]=[1]!Table1[Product ID]),[1]!Table1[New Invoice
 Date],"")</f>
        <v>#REF!</v>
      </c>
      <c r="P118" t="e" cm="1">
        <f t="array" ref="P118">_xlfn.XLOOKUP(1,(Table1[[#This Row],[Customer]]=[1]!Table1[Customer])*(Table1[[#This Row],[Sales Orders]]=[1]!Table1[Sales Order])*(Table1[[#This Row],[Product ID]]=[1]!Table1[Product ID]),[1]!Table1[New 
Invoice '#],"")</f>
        <v>#REF!</v>
      </c>
      <c r="Q118" t="e" cm="1">
        <f t="array" ref="Q118">_xlfn.XLOOKUP(1,(Table1[[#This Row],[Customer]]=[1]!Table1[Customer])*(Table1[[#This Row],[Sales Orders]]=[1]!Table1[Sales Order])*(Table1[[#This Row],[Product ID]]=[1]!Table1[Product ID]),[1]!Table1[Notes],"")</f>
        <v>#REF!</v>
      </c>
      <c r="R118" t="s">
        <v>217</v>
      </c>
      <c r="S118" s="5">
        <v>1</v>
      </c>
      <c r="T118">
        <v>1</v>
      </c>
      <c r="U118" s="5">
        <v>0</v>
      </c>
      <c r="V118" s="5">
        <v>27747</v>
      </c>
      <c r="W118" s="5">
        <v>12921</v>
      </c>
      <c r="X118" t="s">
        <v>193</v>
      </c>
      <c r="Y118" s="6">
        <v>46065</v>
      </c>
      <c r="Z118" s="5">
        <v>3187</v>
      </c>
      <c r="AA118" t="s">
        <v>111</v>
      </c>
      <c r="AB118" s="5"/>
      <c r="AD118" t="s">
        <v>281</v>
      </c>
      <c r="AE118" t="s">
        <v>282</v>
      </c>
      <c r="AF118" t="s">
        <v>38</v>
      </c>
    </row>
    <row r="119" spans="1:32" x14ac:dyDescent="0.2">
      <c r="A119" t="s">
        <v>279</v>
      </c>
      <c r="C119" s="5">
        <v>12921</v>
      </c>
      <c r="D119" t="s">
        <v>283</v>
      </c>
      <c r="E119">
        <v>1073.25</v>
      </c>
      <c r="F119">
        <v>1287.9000000000001</v>
      </c>
      <c r="G119" s="3">
        <v>214.65000000000009</v>
      </c>
      <c r="H119" s="4">
        <v>0.16666666666666671</v>
      </c>
      <c r="I119" s="6">
        <v>46065</v>
      </c>
      <c r="J119" s="14" t="e" cm="1">
        <f t="array" ref="J11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19" s="4"/>
      <c r="L119" s="4"/>
      <c r="M119" s="4"/>
      <c r="N119" s="4"/>
      <c r="O119" s="6" t="e" cm="1">
        <f t="array" ref="O119">_xlfn.XLOOKUP(1,(Table1[[#This Row],[Customer]]=[1]!Table1[Customer])*(Table1[[#This Row],[Sales Orders]]=[1]!Table1[Sales Order])*(Table1[[#This Row],[Product ID]]=[1]!Table1[Product ID]),[1]!Table1[New Invoice
 Date],"")</f>
        <v>#REF!</v>
      </c>
      <c r="P119" t="e" cm="1">
        <f t="array" ref="P119">_xlfn.XLOOKUP(1,(Table1[[#This Row],[Customer]]=[1]!Table1[Customer])*(Table1[[#This Row],[Sales Orders]]=[1]!Table1[Sales Order])*(Table1[[#This Row],[Product ID]]=[1]!Table1[Product ID]),[1]!Table1[New 
Invoice '#],"")</f>
        <v>#REF!</v>
      </c>
      <c r="Q119" t="e" cm="1">
        <f t="array" ref="Q119">_xlfn.XLOOKUP(1,(Table1[[#This Row],[Customer]]=[1]!Table1[Customer])*(Table1[[#This Row],[Sales Orders]]=[1]!Table1[Sales Order])*(Table1[[#This Row],[Product ID]]=[1]!Table1[Product ID]),[1]!Table1[Notes],"")</f>
        <v>#REF!</v>
      </c>
      <c r="R119" t="s">
        <v>217</v>
      </c>
      <c r="S119" s="5">
        <v>1</v>
      </c>
      <c r="T119">
        <v>1</v>
      </c>
      <c r="U119" s="5">
        <v>0</v>
      </c>
      <c r="V119" s="5">
        <v>27747</v>
      </c>
      <c r="W119" s="5">
        <v>12921</v>
      </c>
      <c r="X119" t="s">
        <v>193</v>
      </c>
      <c r="Y119" s="6">
        <v>46065</v>
      </c>
      <c r="Z119" s="5">
        <v>3187</v>
      </c>
      <c r="AA119" t="s">
        <v>111</v>
      </c>
      <c r="AB119" s="5"/>
      <c r="AD119" t="s">
        <v>284</v>
      </c>
      <c r="AE119" t="s">
        <v>282</v>
      </c>
      <c r="AF119" t="s">
        <v>38</v>
      </c>
    </row>
    <row r="120" spans="1:32" x14ac:dyDescent="0.2">
      <c r="A120" t="s">
        <v>285</v>
      </c>
      <c r="C120" s="5">
        <v>12925</v>
      </c>
      <c r="D120" t="s">
        <v>286</v>
      </c>
      <c r="E120">
        <v>2691</v>
      </c>
      <c r="F120">
        <v>4036.5</v>
      </c>
      <c r="G120" s="3">
        <v>1345.5</v>
      </c>
      <c r="H120" s="4">
        <v>0.33333333333333331</v>
      </c>
      <c r="I120" s="6">
        <v>46065</v>
      </c>
      <c r="J120" s="14" t="e" cm="1">
        <f t="array" ref="J12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0" s="4"/>
      <c r="L120" s="4"/>
      <c r="M120" s="4"/>
      <c r="N120" s="4"/>
      <c r="O120" s="6" t="e" cm="1">
        <f t="array" ref="O120">_xlfn.XLOOKUP(1,(Table1[[#This Row],[Customer]]=[1]!Table1[Customer])*(Table1[[#This Row],[Sales Orders]]=[1]!Table1[Sales Order])*(Table1[[#This Row],[Product ID]]=[1]!Table1[Product ID]),[1]!Table1[New Invoice
 Date],"")</f>
        <v>#REF!</v>
      </c>
      <c r="P120" t="e" cm="1">
        <f t="array" ref="P120">_xlfn.XLOOKUP(1,(Table1[[#This Row],[Customer]]=[1]!Table1[Customer])*(Table1[[#This Row],[Sales Orders]]=[1]!Table1[Sales Order])*(Table1[[#This Row],[Product ID]]=[1]!Table1[Product ID]),[1]!Table1[New 
Invoice '#],"")</f>
        <v>#REF!</v>
      </c>
      <c r="Q120" t="e" cm="1">
        <f t="array" ref="Q120">_xlfn.XLOOKUP(1,(Table1[[#This Row],[Customer]]=[1]!Table1[Customer])*(Table1[[#This Row],[Sales Orders]]=[1]!Table1[Sales Order])*(Table1[[#This Row],[Product ID]]=[1]!Table1[Product ID]),[1]!Table1[Notes],"")</f>
        <v>#REF!</v>
      </c>
      <c r="R120" t="s">
        <v>287</v>
      </c>
      <c r="S120" s="5">
        <v>3</v>
      </c>
      <c r="T120">
        <v>3</v>
      </c>
      <c r="U120" s="5">
        <v>0</v>
      </c>
      <c r="V120" s="5">
        <v>27586</v>
      </c>
      <c r="W120" s="5">
        <v>12925</v>
      </c>
      <c r="X120" t="s">
        <v>193</v>
      </c>
      <c r="Y120" s="6">
        <v>46065</v>
      </c>
      <c r="Z120" s="5">
        <v>3189</v>
      </c>
      <c r="AA120" t="s">
        <v>111</v>
      </c>
      <c r="AB120" s="5"/>
      <c r="AD120" t="s">
        <v>288</v>
      </c>
      <c r="AE120" t="s">
        <v>289</v>
      </c>
      <c r="AF120" t="s">
        <v>38</v>
      </c>
    </row>
    <row r="121" spans="1:32" x14ac:dyDescent="0.2">
      <c r="A121" t="s">
        <v>285</v>
      </c>
      <c r="C121" s="5">
        <v>12925</v>
      </c>
      <c r="D121" t="s">
        <v>290</v>
      </c>
      <c r="E121">
        <v>2268</v>
      </c>
      <c r="F121">
        <v>2948.4</v>
      </c>
      <c r="G121" s="3">
        <v>680.40000000000009</v>
      </c>
      <c r="H121" s="4">
        <v>0.23076923076923078</v>
      </c>
      <c r="I121" s="6">
        <v>46065</v>
      </c>
      <c r="J121" s="14" t="e" cm="1">
        <f t="array" ref="J12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1" s="4"/>
      <c r="L121" s="4"/>
      <c r="M121" s="4"/>
      <c r="N121" s="4"/>
      <c r="O121" s="6" t="e" cm="1">
        <f t="array" ref="O121">_xlfn.XLOOKUP(1,(Table1[[#This Row],[Customer]]=[1]!Table1[Customer])*(Table1[[#This Row],[Sales Orders]]=[1]!Table1[Sales Order])*(Table1[[#This Row],[Product ID]]=[1]!Table1[Product ID]),[1]!Table1[New Invoice
 Date],"")</f>
        <v>#REF!</v>
      </c>
      <c r="P121" t="e" cm="1">
        <f t="array" ref="P121">_xlfn.XLOOKUP(1,(Table1[[#This Row],[Customer]]=[1]!Table1[Customer])*(Table1[[#This Row],[Sales Orders]]=[1]!Table1[Sales Order])*(Table1[[#This Row],[Product ID]]=[1]!Table1[Product ID]),[1]!Table1[New 
Invoice '#],"")</f>
        <v>#REF!</v>
      </c>
      <c r="Q121" t="e" cm="1">
        <f t="array" ref="Q121">_xlfn.XLOOKUP(1,(Table1[[#This Row],[Customer]]=[1]!Table1[Customer])*(Table1[[#This Row],[Sales Orders]]=[1]!Table1[Sales Order])*(Table1[[#This Row],[Product ID]]=[1]!Table1[Product ID]),[1]!Table1[Notes],"")</f>
        <v>#REF!</v>
      </c>
      <c r="R121" t="s">
        <v>287</v>
      </c>
      <c r="S121" s="5">
        <v>3</v>
      </c>
      <c r="T121">
        <v>3</v>
      </c>
      <c r="U121" s="5">
        <v>0</v>
      </c>
      <c r="V121" s="5">
        <v>27586</v>
      </c>
      <c r="W121" s="5">
        <v>12925</v>
      </c>
      <c r="X121" t="s">
        <v>193</v>
      </c>
      <c r="Y121" s="6">
        <v>46065</v>
      </c>
      <c r="Z121" s="5">
        <v>3189</v>
      </c>
      <c r="AA121" t="s">
        <v>111</v>
      </c>
      <c r="AB121" s="5"/>
      <c r="AD121" t="s">
        <v>291</v>
      </c>
      <c r="AE121" t="s">
        <v>289</v>
      </c>
      <c r="AF121" t="s">
        <v>38</v>
      </c>
    </row>
    <row r="122" spans="1:32" x14ac:dyDescent="0.2">
      <c r="A122" t="s">
        <v>285</v>
      </c>
      <c r="C122" s="5">
        <v>12925</v>
      </c>
      <c r="D122" t="s">
        <v>292</v>
      </c>
      <c r="E122">
        <v>756</v>
      </c>
      <c r="F122">
        <v>982.8</v>
      </c>
      <c r="G122" s="3">
        <v>226.79999999999995</v>
      </c>
      <c r="H122" s="4">
        <v>0.23076923076923073</v>
      </c>
      <c r="I122" s="6">
        <v>46065</v>
      </c>
      <c r="J122" s="14" t="e" cm="1">
        <f t="array" ref="J12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2" s="4"/>
      <c r="L122" s="4"/>
      <c r="M122" s="4"/>
      <c r="N122" s="4"/>
      <c r="O122" s="6" t="e" cm="1">
        <f t="array" ref="O122">_xlfn.XLOOKUP(1,(Table1[[#This Row],[Customer]]=[1]!Table1[Customer])*(Table1[[#This Row],[Sales Orders]]=[1]!Table1[Sales Order])*(Table1[[#This Row],[Product ID]]=[1]!Table1[Product ID]),[1]!Table1[New Invoice
 Date],"")</f>
        <v>#REF!</v>
      </c>
      <c r="P122" t="e" cm="1">
        <f t="array" ref="P122">_xlfn.XLOOKUP(1,(Table1[[#This Row],[Customer]]=[1]!Table1[Customer])*(Table1[[#This Row],[Sales Orders]]=[1]!Table1[Sales Order])*(Table1[[#This Row],[Product ID]]=[1]!Table1[Product ID]),[1]!Table1[New 
Invoice '#],"")</f>
        <v>#REF!</v>
      </c>
      <c r="Q122" t="e" cm="1">
        <f t="array" ref="Q122">_xlfn.XLOOKUP(1,(Table1[[#This Row],[Customer]]=[1]!Table1[Customer])*(Table1[[#This Row],[Sales Orders]]=[1]!Table1[Sales Order])*(Table1[[#This Row],[Product ID]]=[1]!Table1[Product ID]),[1]!Table1[Notes],"")</f>
        <v>#REF!</v>
      </c>
      <c r="R122" t="s">
        <v>287</v>
      </c>
      <c r="S122" s="5">
        <v>3</v>
      </c>
      <c r="T122">
        <v>3</v>
      </c>
      <c r="U122" s="5">
        <v>0</v>
      </c>
      <c r="V122" s="5">
        <v>27586</v>
      </c>
      <c r="W122" s="5">
        <v>12925</v>
      </c>
      <c r="X122" t="s">
        <v>193</v>
      </c>
      <c r="Y122" s="6">
        <v>46065</v>
      </c>
      <c r="Z122" s="5">
        <v>3189</v>
      </c>
      <c r="AA122" t="s">
        <v>111</v>
      </c>
      <c r="AB122" s="5"/>
      <c r="AD122" t="s">
        <v>293</v>
      </c>
      <c r="AE122" t="s">
        <v>289</v>
      </c>
      <c r="AF122" t="s">
        <v>38</v>
      </c>
    </row>
    <row r="123" spans="1:32" x14ac:dyDescent="0.2">
      <c r="A123" t="s">
        <v>294</v>
      </c>
      <c r="C123" s="5">
        <v>12927</v>
      </c>
      <c r="D123" t="s">
        <v>295</v>
      </c>
      <c r="E123">
        <v>36</v>
      </c>
      <c r="F123">
        <v>43.2</v>
      </c>
      <c r="G123" s="3">
        <v>7.2000000000000028</v>
      </c>
      <c r="H123" s="4">
        <v>0.16666666666666671</v>
      </c>
      <c r="I123" s="6">
        <v>46066</v>
      </c>
      <c r="J123" s="14" t="e" cm="1">
        <f t="array" ref="J12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3" s="4"/>
      <c r="L123" s="4"/>
      <c r="M123" s="4"/>
      <c r="N123" s="4"/>
      <c r="O123" s="6" t="e" cm="1">
        <f t="array" ref="O123">_xlfn.XLOOKUP(1,(Table1[[#This Row],[Customer]]=[1]!Table1[Customer])*(Table1[[#This Row],[Sales Orders]]=[1]!Table1[Sales Order])*(Table1[[#This Row],[Product ID]]=[1]!Table1[Product ID]),[1]!Table1[New Invoice
 Date],"")</f>
        <v>#REF!</v>
      </c>
      <c r="P123" t="e" cm="1">
        <f t="array" ref="P123">_xlfn.XLOOKUP(1,(Table1[[#This Row],[Customer]]=[1]!Table1[Customer])*(Table1[[#This Row],[Sales Orders]]=[1]!Table1[Sales Order])*(Table1[[#This Row],[Product ID]]=[1]!Table1[Product ID]),[1]!Table1[New 
Invoice '#],"")</f>
        <v>#REF!</v>
      </c>
      <c r="Q123" t="e" cm="1">
        <f t="array" ref="Q123">_xlfn.XLOOKUP(1,(Table1[[#This Row],[Customer]]=[1]!Table1[Customer])*(Table1[[#This Row],[Sales Orders]]=[1]!Table1[Sales Order])*(Table1[[#This Row],[Product ID]]=[1]!Table1[Product ID]),[1]!Table1[Notes],"")</f>
        <v>#REF!</v>
      </c>
      <c r="R123" t="s">
        <v>296</v>
      </c>
      <c r="S123" s="5">
        <v>2</v>
      </c>
      <c r="T123">
        <v>0</v>
      </c>
      <c r="U123" s="5">
        <v>0</v>
      </c>
      <c r="V123" s="5">
        <v>26744</v>
      </c>
      <c r="W123" s="5">
        <v>12927</v>
      </c>
      <c r="X123" t="s">
        <v>106</v>
      </c>
      <c r="Y123" s="6">
        <v>46066</v>
      </c>
      <c r="Z123" s="5"/>
      <c r="AB123" s="5"/>
      <c r="AD123" t="s">
        <v>297</v>
      </c>
    </row>
    <row r="124" spans="1:32" x14ac:dyDescent="0.2">
      <c r="A124" t="s">
        <v>294</v>
      </c>
      <c r="C124" s="5">
        <v>12927</v>
      </c>
      <c r="D124" t="s">
        <v>298</v>
      </c>
      <c r="E124">
        <v>80</v>
      </c>
      <c r="F124">
        <v>96</v>
      </c>
      <c r="G124" s="3">
        <v>16</v>
      </c>
      <c r="H124" s="4">
        <v>0.16666666666666666</v>
      </c>
      <c r="I124" s="6">
        <v>46066</v>
      </c>
      <c r="J124" s="14" t="e" cm="1">
        <f t="array" ref="J12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4" s="4"/>
      <c r="L124" s="4"/>
      <c r="M124" s="4"/>
      <c r="N124" s="4"/>
      <c r="O124" s="6" t="e" cm="1">
        <f t="array" ref="O124">_xlfn.XLOOKUP(1,(Table1[[#This Row],[Customer]]=[1]!Table1[Customer])*(Table1[[#This Row],[Sales Orders]]=[1]!Table1[Sales Order])*(Table1[[#This Row],[Product ID]]=[1]!Table1[Product ID]),[1]!Table1[New Invoice
 Date],"")</f>
        <v>#REF!</v>
      </c>
      <c r="P124" t="e" cm="1">
        <f t="array" ref="P124">_xlfn.XLOOKUP(1,(Table1[[#This Row],[Customer]]=[1]!Table1[Customer])*(Table1[[#This Row],[Sales Orders]]=[1]!Table1[Sales Order])*(Table1[[#This Row],[Product ID]]=[1]!Table1[Product ID]),[1]!Table1[New 
Invoice '#],"")</f>
        <v>#REF!</v>
      </c>
      <c r="Q124" t="e" cm="1">
        <f t="array" ref="Q124">_xlfn.XLOOKUP(1,(Table1[[#This Row],[Customer]]=[1]!Table1[Customer])*(Table1[[#This Row],[Sales Orders]]=[1]!Table1[Sales Order])*(Table1[[#This Row],[Product ID]]=[1]!Table1[Product ID]),[1]!Table1[Notes],"")</f>
        <v>#REF!</v>
      </c>
      <c r="R124" t="s">
        <v>296</v>
      </c>
      <c r="S124" s="5">
        <v>2</v>
      </c>
      <c r="T124">
        <v>0</v>
      </c>
      <c r="U124" s="5">
        <v>0</v>
      </c>
      <c r="V124" s="5">
        <v>26744</v>
      </c>
      <c r="W124" s="5">
        <v>12927</v>
      </c>
      <c r="X124" t="s">
        <v>106</v>
      </c>
      <c r="Y124" s="6">
        <v>46066</v>
      </c>
      <c r="Z124" s="5"/>
      <c r="AB124" s="5"/>
      <c r="AD124" t="s">
        <v>299</v>
      </c>
    </row>
    <row r="125" spans="1:32" x14ac:dyDescent="0.2">
      <c r="A125" t="s">
        <v>294</v>
      </c>
      <c r="C125" s="5">
        <v>12927</v>
      </c>
      <c r="D125" t="s">
        <v>300</v>
      </c>
      <c r="E125">
        <v>2057.2199999999998</v>
      </c>
      <c r="F125">
        <v>2468.66</v>
      </c>
      <c r="G125" s="3">
        <v>411.44000000000005</v>
      </c>
      <c r="H125" s="4">
        <v>0.16666531640647156</v>
      </c>
      <c r="I125" s="6">
        <v>46066</v>
      </c>
      <c r="J125" s="14" t="e" cm="1">
        <f t="array" ref="J12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5" s="4"/>
      <c r="L125" s="4"/>
      <c r="M125" s="4"/>
      <c r="N125" s="4"/>
      <c r="O125" s="6" t="e" cm="1">
        <f t="array" ref="O125">_xlfn.XLOOKUP(1,(Table1[[#This Row],[Customer]]=[1]!Table1[Customer])*(Table1[[#This Row],[Sales Orders]]=[1]!Table1[Sales Order])*(Table1[[#This Row],[Product ID]]=[1]!Table1[Product ID]),[1]!Table1[New Invoice
 Date],"")</f>
        <v>#REF!</v>
      </c>
      <c r="P125" t="e" cm="1">
        <f t="array" ref="P125">_xlfn.XLOOKUP(1,(Table1[[#This Row],[Customer]]=[1]!Table1[Customer])*(Table1[[#This Row],[Sales Orders]]=[1]!Table1[Sales Order])*(Table1[[#This Row],[Product ID]]=[1]!Table1[Product ID]),[1]!Table1[New 
Invoice '#],"")</f>
        <v>#REF!</v>
      </c>
      <c r="Q125" t="e" cm="1">
        <f t="array" ref="Q125">_xlfn.XLOOKUP(1,(Table1[[#This Row],[Customer]]=[1]!Table1[Customer])*(Table1[[#This Row],[Sales Orders]]=[1]!Table1[Sales Order])*(Table1[[#This Row],[Product ID]]=[1]!Table1[Product ID]),[1]!Table1[Notes],"")</f>
        <v>#REF!</v>
      </c>
      <c r="R125" t="s">
        <v>296</v>
      </c>
      <c r="S125" s="5">
        <v>2</v>
      </c>
      <c r="T125">
        <v>0</v>
      </c>
      <c r="U125" s="5">
        <v>0</v>
      </c>
      <c r="V125" s="5">
        <v>26744</v>
      </c>
      <c r="W125" s="5">
        <v>12927</v>
      </c>
      <c r="X125" t="s">
        <v>106</v>
      </c>
      <c r="Y125" s="6">
        <v>46066</v>
      </c>
      <c r="Z125" s="5"/>
      <c r="AB125" s="5"/>
      <c r="AD125" t="s">
        <v>301</v>
      </c>
    </row>
    <row r="126" spans="1:32" x14ac:dyDescent="0.2">
      <c r="A126" t="s">
        <v>294</v>
      </c>
      <c r="C126" s="5">
        <v>12927</v>
      </c>
      <c r="D126" t="s">
        <v>302</v>
      </c>
      <c r="E126">
        <v>103.74</v>
      </c>
      <c r="F126">
        <v>124.48</v>
      </c>
      <c r="G126" s="3">
        <v>20.740000000000009</v>
      </c>
      <c r="H126" s="4">
        <v>0.16661311053984582</v>
      </c>
      <c r="I126" s="6">
        <v>46066</v>
      </c>
      <c r="J126" s="14" t="e" cm="1">
        <f t="array" ref="J12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6" s="4"/>
      <c r="L126" s="4"/>
      <c r="M126" s="4"/>
      <c r="N126" s="4"/>
      <c r="O126" s="6" t="e" cm="1">
        <f t="array" ref="O126">_xlfn.XLOOKUP(1,(Table1[[#This Row],[Customer]]=[1]!Table1[Customer])*(Table1[[#This Row],[Sales Orders]]=[1]!Table1[Sales Order])*(Table1[[#This Row],[Product ID]]=[1]!Table1[Product ID]),[1]!Table1[New Invoice
 Date],"")</f>
        <v>#REF!</v>
      </c>
      <c r="P126" t="e" cm="1">
        <f t="array" ref="P126">_xlfn.XLOOKUP(1,(Table1[[#This Row],[Customer]]=[1]!Table1[Customer])*(Table1[[#This Row],[Sales Orders]]=[1]!Table1[Sales Order])*(Table1[[#This Row],[Product ID]]=[1]!Table1[Product ID]),[1]!Table1[New 
Invoice '#],"")</f>
        <v>#REF!</v>
      </c>
      <c r="Q126" t="e" cm="1">
        <f t="array" ref="Q126">_xlfn.XLOOKUP(1,(Table1[[#This Row],[Customer]]=[1]!Table1[Customer])*(Table1[[#This Row],[Sales Orders]]=[1]!Table1[Sales Order])*(Table1[[#This Row],[Product ID]]=[1]!Table1[Product ID]),[1]!Table1[Notes],"")</f>
        <v>#REF!</v>
      </c>
      <c r="R126" t="s">
        <v>296</v>
      </c>
      <c r="S126" s="5">
        <v>2</v>
      </c>
      <c r="T126">
        <v>0</v>
      </c>
      <c r="U126" s="5">
        <v>0</v>
      </c>
      <c r="V126" s="5">
        <v>26744</v>
      </c>
      <c r="W126" s="5">
        <v>12927</v>
      </c>
      <c r="X126" t="s">
        <v>106</v>
      </c>
      <c r="Y126" s="6">
        <v>46066</v>
      </c>
      <c r="Z126" s="5"/>
      <c r="AB126" s="5"/>
      <c r="AD126" t="s">
        <v>303</v>
      </c>
    </row>
    <row r="127" spans="1:32" x14ac:dyDescent="0.2">
      <c r="A127" t="s">
        <v>294</v>
      </c>
      <c r="C127" s="5">
        <v>12927</v>
      </c>
      <c r="D127" t="s">
        <v>304</v>
      </c>
      <c r="E127">
        <v>2709.48</v>
      </c>
      <c r="F127">
        <v>3251.38</v>
      </c>
      <c r="G127" s="3">
        <v>541.90000000000009</v>
      </c>
      <c r="H127" s="4">
        <v>0.16666769187237421</v>
      </c>
      <c r="I127" s="6">
        <v>46066</v>
      </c>
      <c r="J127" s="14" t="e" cm="1">
        <f t="array" ref="J12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7" s="4"/>
      <c r="L127" s="4"/>
      <c r="M127" s="4"/>
      <c r="N127" s="4"/>
      <c r="O127" s="6" t="e" cm="1">
        <f t="array" ref="O127">_xlfn.XLOOKUP(1,(Table1[[#This Row],[Customer]]=[1]!Table1[Customer])*(Table1[[#This Row],[Sales Orders]]=[1]!Table1[Sales Order])*(Table1[[#This Row],[Product ID]]=[1]!Table1[Product ID]),[1]!Table1[New Invoice
 Date],"")</f>
        <v>#REF!</v>
      </c>
      <c r="P127" t="e" cm="1">
        <f t="array" ref="P127">_xlfn.XLOOKUP(1,(Table1[[#This Row],[Customer]]=[1]!Table1[Customer])*(Table1[[#This Row],[Sales Orders]]=[1]!Table1[Sales Order])*(Table1[[#This Row],[Product ID]]=[1]!Table1[Product ID]),[1]!Table1[New 
Invoice '#],"")</f>
        <v>#REF!</v>
      </c>
      <c r="Q127" t="e" cm="1">
        <f t="array" ref="Q127">_xlfn.XLOOKUP(1,(Table1[[#This Row],[Customer]]=[1]!Table1[Customer])*(Table1[[#This Row],[Sales Orders]]=[1]!Table1[Sales Order])*(Table1[[#This Row],[Product ID]]=[1]!Table1[Product ID]),[1]!Table1[Notes],"")</f>
        <v>#REF!</v>
      </c>
      <c r="R127" t="s">
        <v>296</v>
      </c>
      <c r="S127" s="5">
        <v>2</v>
      </c>
      <c r="T127">
        <v>0</v>
      </c>
      <c r="U127" s="5">
        <v>0</v>
      </c>
      <c r="V127" s="5">
        <v>26744</v>
      </c>
      <c r="W127" s="5">
        <v>12927</v>
      </c>
      <c r="X127" t="s">
        <v>106</v>
      </c>
      <c r="Y127" s="6">
        <v>46066</v>
      </c>
      <c r="Z127" s="5"/>
      <c r="AB127" s="5"/>
      <c r="AD127" t="s">
        <v>305</v>
      </c>
    </row>
    <row r="128" spans="1:32" x14ac:dyDescent="0.2">
      <c r="A128" t="s">
        <v>294</v>
      </c>
      <c r="C128" s="5">
        <v>12927</v>
      </c>
      <c r="D128" t="s">
        <v>306</v>
      </c>
      <c r="E128">
        <v>44.58</v>
      </c>
      <c r="F128">
        <v>56.96</v>
      </c>
      <c r="G128" s="3">
        <v>12.380000000000003</v>
      </c>
      <c r="H128" s="4">
        <v>0.21734550561797758</v>
      </c>
      <c r="I128" s="6">
        <v>46066</v>
      </c>
      <c r="J128" s="14" t="e" cm="1">
        <f t="array" ref="J12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8" s="4"/>
      <c r="L128" s="4"/>
      <c r="M128" s="4"/>
      <c r="N128" s="4"/>
      <c r="O128" s="6" t="e" cm="1">
        <f t="array" ref="O128">_xlfn.XLOOKUP(1,(Table1[[#This Row],[Customer]]=[1]!Table1[Customer])*(Table1[[#This Row],[Sales Orders]]=[1]!Table1[Sales Order])*(Table1[[#This Row],[Product ID]]=[1]!Table1[Product ID]),[1]!Table1[New Invoice
 Date],"")</f>
        <v>#REF!</v>
      </c>
      <c r="P128" t="e" cm="1">
        <f t="array" ref="P128">_xlfn.XLOOKUP(1,(Table1[[#This Row],[Customer]]=[1]!Table1[Customer])*(Table1[[#This Row],[Sales Orders]]=[1]!Table1[Sales Order])*(Table1[[#This Row],[Product ID]]=[1]!Table1[Product ID]),[1]!Table1[New 
Invoice '#],"")</f>
        <v>#REF!</v>
      </c>
      <c r="Q128" t="e" cm="1">
        <f t="array" ref="Q128">_xlfn.XLOOKUP(1,(Table1[[#This Row],[Customer]]=[1]!Table1[Customer])*(Table1[[#This Row],[Sales Orders]]=[1]!Table1[Sales Order])*(Table1[[#This Row],[Product ID]]=[1]!Table1[Product ID]),[1]!Table1[Notes],"")</f>
        <v>#REF!</v>
      </c>
      <c r="R128" t="s">
        <v>296</v>
      </c>
      <c r="S128" s="5">
        <v>2</v>
      </c>
      <c r="T128">
        <v>0</v>
      </c>
      <c r="U128" s="5">
        <v>0</v>
      </c>
      <c r="V128" s="5">
        <v>26744</v>
      </c>
      <c r="W128" s="5">
        <v>12927</v>
      </c>
      <c r="X128" t="s">
        <v>106</v>
      </c>
      <c r="Y128" s="6">
        <v>46066</v>
      </c>
      <c r="Z128" s="5"/>
      <c r="AB128" s="5"/>
      <c r="AD128" t="s">
        <v>307</v>
      </c>
    </row>
    <row r="129" spans="1:32" x14ac:dyDescent="0.2">
      <c r="A129" t="s">
        <v>294</v>
      </c>
      <c r="C129" s="5">
        <v>12927</v>
      </c>
      <c r="D129" t="s">
        <v>308</v>
      </c>
      <c r="E129">
        <v>135</v>
      </c>
      <c r="F129">
        <v>162</v>
      </c>
      <c r="G129" s="3">
        <v>27</v>
      </c>
      <c r="H129" s="4">
        <v>0.16666666666666666</v>
      </c>
      <c r="I129" s="6">
        <v>46066</v>
      </c>
      <c r="J129" s="14" t="e" cm="1">
        <f t="array" ref="J12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29" s="4"/>
      <c r="L129" s="4"/>
      <c r="M129" s="4"/>
      <c r="N129" s="4"/>
      <c r="O129" s="6" t="e" cm="1">
        <f t="array" ref="O129">_xlfn.XLOOKUP(1,(Table1[[#This Row],[Customer]]=[1]!Table1[Customer])*(Table1[[#This Row],[Sales Orders]]=[1]!Table1[Sales Order])*(Table1[[#This Row],[Product ID]]=[1]!Table1[Product ID]),[1]!Table1[New Invoice
 Date],"")</f>
        <v>#REF!</v>
      </c>
      <c r="P129" t="e" cm="1">
        <f t="array" ref="P129">_xlfn.XLOOKUP(1,(Table1[[#This Row],[Customer]]=[1]!Table1[Customer])*(Table1[[#This Row],[Sales Orders]]=[1]!Table1[Sales Order])*(Table1[[#This Row],[Product ID]]=[1]!Table1[Product ID]),[1]!Table1[New 
Invoice '#],"")</f>
        <v>#REF!</v>
      </c>
      <c r="Q129" t="e" cm="1">
        <f t="array" ref="Q129">_xlfn.XLOOKUP(1,(Table1[[#This Row],[Customer]]=[1]!Table1[Customer])*(Table1[[#This Row],[Sales Orders]]=[1]!Table1[Sales Order])*(Table1[[#This Row],[Product ID]]=[1]!Table1[Product ID]),[1]!Table1[Notes],"")</f>
        <v>#REF!</v>
      </c>
      <c r="R129" t="s">
        <v>296</v>
      </c>
      <c r="S129" s="5">
        <v>5</v>
      </c>
      <c r="T129">
        <v>0</v>
      </c>
      <c r="U129" s="5">
        <v>0</v>
      </c>
      <c r="V129" s="5">
        <v>26744</v>
      </c>
      <c r="W129" s="5">
        <v>12927</v>
      </c>
      <c r="X129" t="s">
        <v>106</v>
      </c>
      <c r="Y129" s="6">
        <v>46066</v>
      </c>
      <c r="Z129" s="5"/>
      <c r="AB129" s="5"/>
      <c r="AD129" t="s">
        <v>309</v>
      </c>
    </row>
    <row r="130" spans="1:32" x14ac:dyDescent="0.2">
      <c r="A130" t="s">
        <v>294</v>
      </c>
      <c r="C130" s="5">
        <v>12927</v>
      </c>
      <c r="D130" t="s">
        <v>310</v>
      </c>
      <c r="E130">
        <v>93.6</v>
      </c>
      <c r="F130">
        <v>112.32</v>
      </c>
      <c r="G130" s="3">
        <v>18.72</v>
      </c>
      <c r="H130" s="4">
        <v>0.16666666666666666</v>
      </c>
      <c r="I130" s="6">
        <v>46066</v>
      </c>
      <c r="J130" s="14" t="e" cm="1">
        <f t="array" ref="J13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0" s="4"/>
      <c r="L130" s="4"/>
      <c r="M130" s="4"/>
      <c r="N130" s="4"/>
      <c r="O130" s="6" t="e" cm="1">
        <f t="array" ref="O130">_xlfn.XLOOKUP(1,(Table1[[#This Row],[Customer]]=[1]!Table1[Customer])*(Table1[[#This Row],[Sales Orders]]=[1]!Table1[Sales Order])*(Table1[[#This Row],[Product ID]]=[1]!Table1[Product ID]),[1]!Table1[New Invoice
 Date],"")</f>
        <v>#REF!</v>
      </c>
      <c r="P130" t="e" cm="1">
        <f t="array" ref="P130">_xlfn.XLOOKUP(1,(Table1[[#This Row],[Customer]]=[1]!Table1[Customer])*(Table1[[#This Row],[Sales Orders]]=[1]!Table1[Sales Order])*(Table1[[#This Row],[Product ID]]=[1]!Table1[Product ID]),[1]!Table1[New 
Invoice '#],"")</f>
        <v>#REF!</v>
      </c>
      <c r="Q130" t="e" cm="1">
        <f t="array" ref="Q130">_xlfn.XLOOKUP(1,(Table1[[#This Row],[Customer]]=[1]!Table1[Customer])*(Table1[[#This Row],[Sales Orders]]=[1]!Table1[Sales Order])*(Table1[[#This Row],[Product ID]]=[1]!Table1[Product ID]),[1]!Table1[Notes],"")</f>
        <v>#REF!</v>
      </c>
      <c r="R130" t="s">
        <v>296</v>
      </c>
      <c r="S130" s="5">
        <v>26</v>
      </c>
      <c r="T130">
        <v>0</v>
      </c>
      <c r="U130" s="5">
        <v>0</v>
      </c>
      <c r="V130" s="5">
        <v>26744</v>
      </c>
      <c r="W130" s="5">
        <v>12927</v>
      </c>
      <c r="X130" t="s">
        <v>106</v>
      </c>
      <c r="Y130" s="6">
        <v>46066</v>
      </c>
      <c r="Z130" s="5"/>
      <c r="AB130" s="5"/>
      <c r="AD130" t="s">
        <v>311</v>
      </c>
    </row>
    <row r="131" spans="1:32" x14ac:dyDescent="0.2">
      <c r="A131" t="s">
        <v>294</v>
      </c>
      <c r="C131" s="5">
        <v>12927</v>
      </c>
      <c r="D131" t="s">
        <v>312</v>
      </c>
      <c r="E131">
        <v>96.2</v>
      </c>
      <c r="F131">
        <v>115.44</v>
      </c>
      <c r="G131" s="3">
        <v>19.239999999999995</v>
      </c>
      <c r="H131" s="4">
        <v>0.16666666666666663</v>
      </c>
      <c r="I131" s="6">
        <v>46066</v>
      </c>
      <c r="J131" s="14" t="e" cm="1">
        <f t="array" ref="J13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1" s="4"/>
      <c r="L131" s="4"/>
      <c r="M131" s="4"/>
      <c r="N131" s="4"/>
      <c r="O131" s="6" t="e" cm="1">
        <f t="array" ref="O131">_xlfn.XLOOKUP(1,(Table1[[#This Row],[Customer]]=[1]!Table1[Customer])*(Table1[[#This Row],[Sales Orders]]=[1]!Table1[Sales Order])*(Table1[[#This Row],[Product ID]]=[1]!Table1[Product ID]),[1]!Table1[New Invoice
 Date],"")</f>
        <v>#REF!</v>
      </c>
      <c r="P131" t="e" cm="1">
        <f t="array" ref="P131">_xlfn.XLOOKUP(1,(Table1[[#This Row],[Customer]]=[1]!Table1[Customer])*(Table1[[#This Row],[Sales Orders]]=[1]!Table1[Sales Order])*(Table1[[#This Row],[Product ID]]=[1]!Table1[Product ID]),[1]!Table1[New 
Invoice '#],"")</f>
        <v>#REF!</v>
      </c>
      <c r="Q131" t="e" cm="1">
        <f t="array" ref="Q131">_xlfn.XLOOKUP(1,(Table1[[#This Row],[Customer]]=[1]!Table1[Customer])*(Table1[[#This Row],[Sales Orders]]=[1]!Table1[Sales Order])*(Table1[[#This Row],[Product ID]]=[1]!Table1[Product ID]),[1]!Table1[Notes],"")</f>
        <v>#REF!</v>
      </c>
      <c r="R131" t="s">
        <v>296</v>
      </c>
      <c r="S131" s="5">
        <v>26</v>
      </c>
      <c r="T131">
        <v>0</v>
      </c>
      <c r="U131" s="5">
        <v>0</v>
      </c>
      <c r="V131" s="5">
        <v>26744</v>
      </c>
      <c r="W131" s="5">
        <v>12927</v>
      </c>
      <c r="X131" t="s">
        <v>106</v>
      </c>
      <c r="Y131" s="6">
        <v>46066</v>
      </c>
      <c r="Z131" s="5"/>
      <c r="AB131" s="5"/>
      <c r="AD131" t="s">
        <v>313</v>
      </c>
    </row>
    <row r="132" spans="1:32" x14ac:dyDescent="0.2">
      <c r="A132" t="s">
        <v>39</v>
      </c>
      <c r="C132" s="5">
        <v>12931</v>
      </c>
      <c r="D132" t="s">
        <v>62</v>
      </c>
      <c r="E132">
        <v>50</v>
      </c>
      <c r="F132">
        <v>50</v>
      </c>
      <c r="G132" s="3">
        <v>0</v>
      </c>
      <c r="H132" s="4">
        <v>0</v>
      </c>
      <c r="I132" s="6">
        <v>46066</v>
      </c>
      <c r="J132" s="14" t="e" cm="1">
        <f t="array" ref="J13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2" s="4"/>
      <c r="L132" s="4"/>
      <c r="M132" s="4"/>
      <c r="N132" s="4"/>
      <c r="O132" s="6" t="e" cm="1">
        <f t="array" ref="O132">_xlfn.XLOOKUP(1,(Table1[[#This Row],[Customer]]=[1]!Table1[Customer])*(Table1[[#This Row],[Sales Orders]]=[1]!Table1[Sales Order])*(Table1[[#This Row],[Product ID]]=[1]!Table1[Product ID]),[1]!Table1[New Invoice
 Date],"")</f>
        <v>#REF!</v>
      </c>
      <c r="P132" t="e" cm="1">
        <f t="array" ref="P132">_xlfn.XLOOKUP(1,(Table1[[#This Row],[Customer]]=[1]!Table1[Customer])*(Table1[[#This Row],[Sales Orders]]=[1]!Table1[Sales Order])*(Table1[[#This Row],[Product ID]]=[1]!Table1[Product ID]),[1]!Table1[New 
Invoice '#],"")</f>
        <v>#REF!</v>
      </c>
      <c r="Q132" t="e" cm="1">
        <f t="array" ref="Q132">_xlfn.XLOOKUP(1,(Table1[[#This Row],[Customer]]=[1]!Table1[Customer])*(Table1[[#This Row],[Sales Orders]]=[1]!Table1[Sales Order])*(Table1[[#This Row],[Product ID]]=[1]!Table1[Product ID]),[1]!Table1[Notes],"")</f>
        <v>#REF!</v>
      </c>
      <c r="R132" t="s">
        <v>314</v>
      </c>
      <c r="S132" s="5">
        <v>1</v>
      </c>
      <c r="T132">
        <v>0</v>
      </c>
      <c r="U132" s="5">
        <v>0</v>
      </c>
      <c r="V132" s="5">
        <v>27769</v>
      </c>
      <c r="W132" s="5">
        <v>12931</v>
      </c>
      <c r="X132" t="s">
        <v>98</v>
      </c>
      <c r="Y132" s="6">
        <v>46066</v>
      </c>
      <c r="Z132" s="5"/>
      <c r="AB132" s="5"/>
      <c r="AD132" t="s">
        <v>315</v>
      </c>
    </row>
    <row r="133" spans="1:32" x14ac:dyDescent="0.2">
      <c r="A133" t="s">
        <v>316</v>
      </c>
      <c r="C133" s="5">
        <v>12926</v>
      </c>
      <c r="D133" t="s">
        <v>317</v>
      </c>
      <c r="E133">
        <v>41.21</v>
      </c>
      <c r="F133">
        <v>89.12</v>
      </c>
      <c r="G133" s="3">
        <v>47.910000000000004</v>
      </c>
      <c r="H133" s="4">
        <v>0.53758976660682223</v>
      </c>
      <c r="I133" s="6">
        <v>46066</v>
      </c>
      <c r="J133" s="14" t="e" cm="1">
        <f t="array" ref="J13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3" s="4"/>
      <c r="L133" s="4"/>
      <c r="M133" s="4"/>
      <c r="N133" s="4"/>
      <c r="O133" s="6" t="e" cm="1">
        <f t="array" ref="O133">_xlfn.XLOOKUP(1,(Table1[[#This Row],[Customer]]=[1]!Table1[Customer])*(Table1[[#This Row],[Sales Orders]]=[1]!Table1[Sales Order])*(Table1[[#This Row],[Product ID]]=[1]!Table1[Product ID]),[1]!Table1[New Invoice
 Date],"")</f>
        <v>#REF!</v>
      </c>
      <c r="P133" t="e" cm="1">
        <f t="array" ref="P133">_xlfn.XLOOKUP(1,(Table1[[#This Row],[Customer]]=[1]!Table1[Customer])*(Table1[[#This Row],[Sales Orders]]=[1]!Table1[Sales Order])*(Table1[[#This Row],[Product ID]]=[1]!Table1[Product ID]),[1]!Table1[New 
Invoice '#],"")</f>
        <v>#REF!</v>
      </c>
      <c r="Q133" t="e" cm="1">
        <f t="array" ref="Q133">_xlfn.XLOOKUP(1,(Table1[[#This Row],[Customer]]=[1]!Table1[Customer])*(Table1[[#This Row],[Sales Orders]]=[1]!Table1[Sales Order])*(Table1[[#This Row],[Product ID]]=[1]!Table1[Product ID]),[1]!Table1[Notes],"")</f>
        <v>#REF!</v>
      </c>
      <c r="R133" t="s">
        <v>318</v>
      </c>
      <c r="S133" s="5">
        <v>1</v>
      </c>
      <c r="T133">
        <v>1</v>
      </c>
      <c r="U133" s="5">
        <v>1</v>
      </c>
      <c r="V133" s="5">
        <v>27686</v>
      </c>
      <c r="W133" s="5">
        <v>12926</v>
      </c>
      <c r="X133" t="s">
        <v>119</v>
      </c>
      <c r="Y133" s="6">
        <v>46066</v>
      </c>
      <c r="Z133" s="5">
        <v>3113</v>
      </c>
      <c r="AA133" t="s">
        <v>115</v>
      </c>
      <c r="AB133" s="5"/>
      <c r="AD133" t="s">
        <v>319</v>
      </c>
      <c r="AE133" t="s">
        <v>320</v>
      </c>
      <c r="AF133" t="s">
        <v>321</v>
      </c>
    </row>
    <row r="134" spans="1:32" x14ac:dyDescent="0.2">
      <c r="A134" t="s">
        <v>316</v>
      </c>
      <c r="C134" s="5">
        <v>12926</v>
      </c>
      <c r="D134" t="s">
        <v>322</v>
      </c>
      <c r="E134">
        <v>9.69</v>
      </c>
      <c r="F134">
        <v>20.49</v>
      </c>
      <c r="G134" s="3">
        <v>10.799999999999999</v>
      </c>
      <c r="H134" s="4">
        <v>0.52708638360175697</v>
      </c>
      <c r="I134" s="6">
        <v>46066</v>
      </c>
      <c r="J134" s="14" t="e" cm="1">
        <f t="array" ref="J13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4" s="4"/>
      <c r="L134" s="4"/>
      <c r="M134" s="4"/>
      <c r="N134" s="4"/>
      <c r="O134" s="6" t="e" cm="1">
        <f t="array" ref="O134">_xlfn.XLOOKUP(1,(Table1[[#This Row],[Customer]]=[1]!Table1[Customer])*(Table1[[#This Row],[Sales Orders]]=[1]!Table1[Sales Order])*(Table1[[#This Row],[Product ID]]=[1]!Table1[Product ID]),[1]!Table1[New Invoice
 Date],"")</f>
        <v>#REF!</v>
      </c>
      <c r="P134" t="e" cm="1">
        <f t="array" ref="P134">_xlfn.XLOOKUP(1,(Table1[[#This Row],[Customer]]=[1]!Table1[Customer])*(Table1[[#This Row],[Sales Orders]]=[1]!Table1[Sales Order])*(Table1[[#This Row],[Product ID]]=[1]!Table1[Product ID]),[1]!Table1[New 
Invoice '#],"")</f>
        <v>#REF!</v>
      </c>
      <c r="Q134" t="e" cm="1">
        <f t="array" ref="Q134">_xlfn.XLOOKUP(1,(Table1[[#This Row],[Customer]]=[1]!Table1[Customer])*(Table1[[#This Row],[Sales Orders]]=[1]!Table1[Sales Order])*(Table1[[#This Row],[Product ID]]=[1]!Table1[Product ID]),[1]!Table1[Notes],"")</f>
        <v>#REF!</v>
      </c>
      <c r="R134" t="s">
        <v>318</v>
      </c>
      <c r="S134" s="5">
        <v>1</v>
      </c>
      <c r="T134">
        <v>1</v>
      </c>
      <c r="U134" s="5">
        <v>1</v>
      </c>
      <c r="V134" s="5">
        <v>27686</v>
      </c>
      <c r="W134" s="5">
        <v>12926</v>
      </c>
      <c r="X134" t="s">
        <v>119</v>
      </c>
      <c r="Y134" s="6">
        <v>46066</v>
      </c>
      <c r="Z134" s="5">
        <v>3113</v>
      </c>
      <c r="AA134" t="s">
        <v>115</v>
      </c>
      <c r="AB134" s="5"/>
      <c r="AD134" t="s">
        <v>323</v>
      </c>
      <c r="AE134" t="s">
        <v>320</v>
      </c>
      <c r="AF134" t="s">
        <v>321</v>
      </c>
    </row>
    <row r="135" spans="1:32" x14ac:dyDescent="0.2">
      <c r="A135" t="s">
        <v>316</v>
      </c>
      <c r="C135" s="5">
        <v>12926</v>
      </c>
      <c r="D135" t="s">
        <v>324</v>
      </c>
      <c r="E135">
        <v>393.26</v>
      </c>
      <c r="F135">
        <v>377.99</v>
      </c>
      <c r="G135" s="3">
        <v>-15.269999999999982</v>
      </c>
      <c r="H135" s="4">
        <v>-4.0397894124183133E-2</v>
      </c>
      <c r="I135" s="6">
        <v>46066</v>
      </c>
      <c r="J135" s="14" t="e" cm="1">
        <f t="array" ref="J13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5" s="4"/>
      <c r="L135" s="4"/>
      <c r="M135" s="4"/>
      <c r="N135" s="4"/>
      <c r="O135" s="6" t="e" cm="1">
        <f t="array" ref="O135">_xlfn.XLOOKUP(1,(Table1[[#This Row],[Customer]]=[1]!Table1[Customer])*(Table1[[#This Row],[Sales Orders]]=[1]!Table1[Sales Order])*(Table1[[#This Row],[Product ID]]=[1]!Table1[Product ID]),[1]!Table1[New Invoice
 Date],"")</f>
        <v>#REF!</v>
      </c>
      <c r="P135" t="e" cm="1">
        <f t="array" ref="P135">_xlfn.XLOOKUP(1,(Table1[[#This Row],[Customer]]=[1]!Table1[Customer])*(Table1[[#This Row],[Sales Orders]]=[1]!Table1[Sales Order])*(Table1[[#This Row],[Product ID]]=[1]!Table1[Product ID]),[1]!Table1[New 
Invoice '#],"")</f>
        <v>#REF!</v>
      </c>
      <c r="Q135" t="e" cm="1">
        <f t="array" ref="Q135">_xlfn.XLOOKUP(1,(Table1[[#This Row],[Customer]]=[1]!Table1[Customer])*(Table1[[#This Row],[Sales Orders]]=[1]!Table1[Sales Order])*(Table1[[#This Row],[Product ID]]=[1]!Table1[Product ID]),[1]!Table1[Notes],"")</f>
        <v>#REF!</v>
      </c>
      <c r="R135" t="s">
        <v>318</v>
      </c>
      <c r="S135" s="5">
        <v>1</v>
      </c>
      <c r="T135">
        <v>1</v>
      </c>
      <c r="U135" s="5">
        <v>1</v>
      </c>
      <c r="V135" s="5">
        <v>27686</v>
      </c>
      <c r="W135" s="5">
        <v>12926</v>
      </c>
      <c r="X135" t="s">
        <v>119</v>
      </c>
      <c r="Y135" s="6">
        <v>46066</v>
      </c>
      <c r="Z135" s="5">
        <v>3113</v>
      </c>
      <c r="AA135" t="s">
        <v>115</v>
      </c>
      <c r="AB135" s="5"/>
      <c r="AD135" t="s">
        <v>325</v>
      </c>
      <c r="AE135" t="s">
        <v>320</v>
      </c>
      <c r="AF135" t="s">
        <v>321</v>
      </c>
    </row>
    <row r="136" spans="1:32" x14ac:dyDescent="0.2">
      <c r="A136" t="s">
        <v>316</v>
      </c>
      <c r="C136" s="5">
        <v>12926</v>
      </c>
      <c r="D136" t="s">
        <v>326</v>
      </c>
      <c r="E136">
        <v>623.44000000000005</v>
      </c>
      <c r="F136">
        <v>585.11</v>
      </c>
      <c r="G136" s="3">
        <v>-38.330000000000041</v>
      </c>
      <c r="H136" s="4">
        <v>-6.550904958042085E-2</v>
      </c>
      <c r="I136" s="6">
        <v>46066</v>
      </c>
      <c r="J136" s="14" t="e" cm="1">
        <f t="array" ref="J13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6" s="4"/>
      <c r="L136" s="4"/>
      <c r="M136" s="4"/>
      <c r="N136" s="4"/>
      <c r="O136" s="6" t="e" cm="1">
        <f t="array" ref="O136">_xlfn.XLOOKUP(1,(Table1[[#This Row],[Customer]]=[1]!Table1[Customer])*(Table1[[#This Row],[Sales Orders]]=[1]!Table1[Sales Order])*(Table1[[#This Row],[Product ID]]=[1]!Table1[Product ID]),[1]!Table1[New Invoice
 Date],"")</f>
        <v>#REF!</v>
      </c>
      <c r="P136" t="e" cm="1">
        <f t="array" ref="P136">_xlfn.XLOOKUP(1,(Table1[[#This Row],[Customer]]=[1]!Table1[Customer])*(Table1[[#This Row],[Sales Orders]]=[1]!Table1[Sales Order])*(Table1[[#This Row],[Product ID]]=[1]!Table1[Product ID]),[1]!Table1[New 
Invoice '#],"")</f>
        <v>#REF!</v>
      </c>
      <c r="Q136" t="e" cm="1">
        <f t="array" ref="Q136">_xlfn.XLOOKUP(1,(Table1[[#This Row],[Customer]]=[1]!Table1[Customer])*(Table1[[#This Row],[Sales Orders]]=[1]!Table1[Sales Order])*(Table1[[#This Row],[Product ID]]=[1]!Table1[Product ID]),[1]!Table1[Notes],"")</f>
        <v>#REF!</v>
      </c>
      <c r="R136" t="s">
        <v>318</v>
      </c>
      <c r="S136" s="5">
        <v>1</v>
      </c>
      <c r="T136">
        <v>1</v>
      </c>
      <c r="U136" s="5">
        <v>1</v>
      </c>
      <c r="V136" s="5">
        <v>27686</v>
      </c>
      <c r="W136" s="5">
        <v>12926</v>
      </c>
      <c r="X136" t="s">
        <v>119</v>
      </c>
      <c r="Y136" s="6">
        <v>46066</v>
      </c>
      <c r="Z136" s="5">
        <v>3113</v>
      </c>
      <c r="AA136" t="s">
        <v>115</v>
      </c>
      <c r="AB136" s="5"/>
      <c r="AD136" t="s">
        <v>327</v>
      </c>
      <c r="AE136" t="s">
        <v>320</v>
      </c>
      <c r="AF136" t="s">
        <v>321</v>
      </c>
    </row>
    <row r="137" spans="1:32" x14ac:dyDescent="0.2">
      <c r="A137" t="s">
        <v>316</v>
      </c>
      <c r="C137" s="5">
        <v>12926</v>
      </c>
      <c r="D137" t="s">
        <v>328</v>
      </c>
      <c r="E137">
        <v>3142.56</v>
      </c>
      <c r="F137">
        <v>3142.56</v>
      </c>
      <c r="G137" s="3">
        <v>0</v>
      </c>
      <c r="H137" s="4">
        <v>0</v>
      </c>
      <c r="I137" s="6">
        <v>46066</v>
      </c>
      <c r="J137" s="14" t="e" cm="1">
        <f t="array" ref="J13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7" s="4"/>
      <c r="L137" s="4"/>
      <c r="M137" s="4"/>
      <c r="N137" s="4"/>
      <c r="O137" s="6" t="e" cm="1">
        <f t="array" ref="O137">_xlfn.XLOOKUP(1,(Table1[[#This Row],[Customer]]=[1]!Table1[Customer])*(Table1[[#This Row],[Sales Orders]]=[1]!Table1[Sales Order])*(Table1[[#This Row],[Product ID]]=[1]!Table1[Product ID]),[1]!Table1[New Invoice
 Date],"")</f>
        <v>#REF!</v>
      </c>
      <c r="P137" t="e" cm="1">
        <f t="array" ref="P137">_xlfn.XLOOKUP(1,(Table1[[#This Row],[Customer]]=[1]!Table1[Customer])*(Table1[[#This Row],[Sales Orders]]=[1]!Table1[Sales Order])*(Table1[[#This Row],[Product ID]]=[1]!Table1[Product ID]),[1]!Table1[New 
Invoice '#],"")</f>
        <v>#REF!</v>
      </c>
      <c r="Q137" t="e" cm="1">
        <f t="array" ref="Q137">_xlfn.XLOOKUP(1,(Table1[[#This Row],[Customer]]=[1]!Table1[Customer])*(Table1[[#This Row],[Sales Orders]]=[1]!Table1[Sales Order])*(Table1[[#This Row],[Product ID]]=[1]!Table1[Product ID]),[1]!Table1[Notes],"")</f>
        <v>#REF!</v>
      </c>
      <c r="R137" t="s">
        <v>318</v>
      </c>
      <c r="S137" s="5">
        <v>8</v>
      </c>
      <c r="T137">
        <v>0</v>
      </c>
      <c r="U137" s="5">
        <v>0</v>
      </c>
      <c r="V137" s="5">
        <v>27686</v>
      </c>
      <c r="W137" s="5">
        <v>12926</v>
      </c>
      <c r="X137" t="s">
        <v>119</v>
      </c>
      <c r="Y137" s="6">
        <v>46066</v>
      </c>
      <c r="Z137" s="5">
        <v>3113</v>
      </c>
      <c r="AA137" t="s">
        <v>115</v>
      </c>
      <c r="AB137" s="5"/>
      <c r="AD137" t="s">
        <v>329</v>
      </c>
    </row>
    <row r="138" spans="1:32" x14ac:dyDescent="0.2">
      <c r="A138" t="s">
        <v>330</v>
      </c>
      <c r="C138" s="5">
        <v>12942</v>
      </c>
      <c r="D138" t="s">
        <v>44</v>
      </c>
      <c r="E138">
        <v>8718.11</v>
      </c>
      <c r="F138">
        <v>10461.73</v>
      </c>
      <c r="G138" s="3">
        <v>1743.619999999999</v>
      </c>
      <c r="H138" s="4">
        <v>0.16666650735585789</v>
      </c>
      <c r="I138" s="6">
        <v>46070</v>
      </c>
      <c r="J138" s="14" t="e" cm="1">
        <f t="array" ref="J13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8" s="4"/>
      <c r="L138" s="4"/>
      <c r="M138" s="4"/>
      <c r="N138" s="4"/>
      <c r="O138" s="6" t="e" cm="1">
        <f t="array" ref="O138">_xlfn.XLOOKUP(1,(Table1[[#This Row],[Customer]]=[1]!Table1[Customer])*(Table1[[#This Row],[Sales Orders]]=[1]!Table1[Sales Order])*(Table1[[#This Row],[Product ID]]=[1]!Table1[Product ID]),[1]!Table1[New Invoice
 Date],"")</f>
        <v>#REF!</v>
      </c>
      <c r="P138" t="e" cm="1">
        <f t="array" ref="P138">_xlfn.XLOOKUP(1,(Table1[[#This Row],[Customer]]=[1]!Table1[Customer])*(Table1[[#This Row],[Sales Orders]]=[1]!Table1[Sales Order])*(Table1[[#This Row],[Product ID]]=[1]!Table1[Product ID]),[1]!Table1[New 
Invoice '#],"")</f>
        <v>#REF!</v>
      </c>
      <c r="Q138" t="e" cm="1">
        <f t="array" ref="Q138">_xlfn.XLOOKUP(1,(Table1[[#This Row],[Customer]]=[1]!Table1[Customer])*(Table1[[#This Row],[Sales Orders]]=[1]!Table1[Sales Order])*(Table1[[#This Row],[Product ID]]=[1]!Table1[Product ID]),[1]!Table1[Notes],"")</f>
        <v>#REF!</v>
      </c>
      <c r="R138" t="s">
        <v>331</v>
      </c>
      <c r="S138" s="5">
        <v>1</v>
      </c>
      <c r="T138">
        <v>0</v>
      </c>
      <c r="U138" s="5">
        <v>0</v>
      </c>
      <c r="V138" s="5">
        <v>25242</v>
      </c>
      <c r="W138" s="5">
        <v>12942</v>
      </c>
      <c r="X138" t="s">
        <v>119</v>
      </c>
      <c r="Y138" s="6">
        <v>46070</v>
      </c>
      <c r="Z138" s="5">
        <v>3193</v>
      </c>
      <c r="AA138" t="s">
        <v>115</v>
      </c>
      <c r="AB138" s="5"/>
      <c r="AD138" t="s">
        <v>46</v>
      </c>
    </row>
    <row r="139" spans="1:32" x14ac:dyDescent="0.2">
      <c r="A139" t="s">
        <v>330</v>
      </c>
      <c r="C139" s="5">
        <v>12942</v>
      </c>
      <c r="D139" t="s">
        <v>47</v>
      </c>
      <c r="E139">
        <v>15660</v>
      </c>
      <c r="F139">
        <v>18792</v>
      </c>
      <c r="G139" s="3">
        <v>3132</v>
      </c>
      <c r="H139" s="4">
        <v>0.16666666666666666</v>
      </c>
      <c r="I139" s="6">
        <v>46070</v>
      </c>
      <c r="J139" s="14" t="e" cm="1">
        <f t="array" ref="J13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39" s="4"/>
      <c r="L139" s="4"/>
      <c r="M139" s="4"/>
      <c r="N139" s="4"/>
      <c r="O139" s="6" t="e" cm="1">
        <f t="array" ref="O139">_xlfn.XLOOKUP(1,(Table1[[#This Row],[Customer]]=[1]!Table1[Customer])*(Table1[[#This Row],[Sales Orders]]=[1]!Table1[Sales Order])*(Table1[[#This Row],[Product ID]]=[1]!Table1[Product ID]),[1]!Table1[New Invoice
 Date],"")</f>
        <v>#REF!</v>
      </c>
      <c r="P139" t="e" cm="1">
        <f t="array" ref="P139">_xlfn.XLOOKUP(1,(Table1[[#This Row],[Customer]]=[1]!Table1[Customer])*(Table1[[#This Row],[Sales Orders]]=[1]!Table1[Sales Order])*(Table1[[#This Row],[Product ID]]=[1]!Table1[Product ID]),[1]!Table1[New 
Invoice '#],"")</f>
        <v>#REF!</v>
      </c>
      <c r="Q139" t="e" cm="1">
        <f t="array" ref="Q139">_xlfn.XLOOKUP(1,(Table1[[#This Row],[Customer]]=[1]!Table1[Customer])*(Table1[[#This Row],[Sales Orders]]=[1]!Table1[Sales Order])*(Table1[[#This Row],[Product ID]]=[1]!Table1[Product ID]),[1]!Table1[Notes],"")</f>
        <v>#REF!</v>
      </c>
      <c r="R139" t="s">
        <v>331</v>
      </c>
      <c r="S139" s="5">
        <v>1</v>
      </c>
      <c r="T139">
        <v>0</v>
      </c>
      <c r="U139" s="5">
        <v>0</v>
      </c>
      <c r="V139" s="5">
        <v>25242</v>
      </c>
      <c r="W139" s="5">
        <v>12942</v>
      </c>
      <c r="X139" t="s">
        <v>119</v>
      </c>
      <c r="Y139" s="6">
        <v>46070</v>
      </c>
      <c r="Z139" s="5">
        <v>3193</v>
      </c>
      <c r="AA139" t="s">
        <v>115</v>
      </c>
      <c r="AB139" s="5"/>
      <c r="AD139" t="s">
        <v>48</v>
      </c>
    </row>
    <row r="140" spans="1:32" x14ac:dyDescent="0.2">
      <c r="A140" t="s">
        <v>330</v>
      </c>
      <c r="C140" s="5">
        <v>12942</v>
      </c>
      <c r="D140" t="s">
        <v>47</v>
      </c>
      <c r="E140">
        <v>1217.52</v>
      </c>
      <c r="F140">
        <v>1461.38</v>
      </c>
      <c r="G140" s="3">
        <v>243.86000000000013</v>
      </c>
      <c r="H140" s="4">
        <v>0.16686967113276499</v>
      </c>
      <c r="I140" s="6">
        <v>46070</v>
      </c>
      <c r="J140" s="14" t="e" cm="1">
        <f t="array" ref="J14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0" s="4"/>
      <c r="L140" s="4"/>
      <c r="M140" s="4"/>
      <c r="N140" s="4"/>
      <c r="O140" s="6" t="e" cm="1">
        <f t="array" ref="O140">_xlfn.XLOOKUP(1,(Table1[[#This Row],[Customer]]=[1]!Table1[Customer])*(Table1[[#This Row],[Sales Orders]]=[1]!Table1[Sales Order])*(Table1[[#This Row],[Product ID]]=[1]!Table1[Product ID]),[1]!Table1[New Invoice
 Date],"")</f>
        <v>#REF!</v>
      </c>
      <c r="P140" t="e" cm="1">
        <f t="array" ref="P140">_xlfn.XLOOKUP(1,(Table1[[#This Row],[Customer]]=[1]!Table1[Customer])*(Table1[[#This Row],[Sales Orders]]=[1]!Table1[Sales Order])*(Table1[[#This Row],[Product ID]]=[1]!Table1[Product ID]),[1]!Table1[New 
Invoice '#],"")</f>
        <v>#REF!</v>
      </c>
      <c r="Q140" t="e" cm="1">
        <f t="array" ref="Q140">_xlfn.XLOOKUP(1,(Table1[[#This Row],[Customer]]=[1]!Table1[Customer])*(Table1[[#This Row],[Sales Orders]]=[1]!Table1[Sales Order])*(Table1[[#This Row],[Product ID]]=[1]!Table1[Product ID]),[1]!Table1[Notes],"")</f>
        <v>#REF!</v>
      </c>
      <c r="R140" t="s">
        <v>331</v>
      </c>
      <c r="S140" s="5">
        <v>89</v>
      </c>
      <c r="T140">
        <v>0</v>
      </c>
      <c r="U140" s="5">
        <v>0</v>
      </c>
      <c r="V140" s="5">
        <v>25242</v>
      </c>
      <c r="W140" s="5">
        <v>12942</v>
      </c>
      <c r="X140" t="s">
        <v>119</v>
      </c>
      <c r="Y140" s="6">
        <v>46070</v>
      </c>
      <c r="Z140" s="5">
        <v>3193</v>
      </c>
      <c r="AA140" t="s">
        <v>115</v>
      </c>
      <c r="AB140" s="5"/>
      <c r="AD140" t="s">
        <v>332</v>
      </c>
    </row>
    <row r="141" spans="1:32" x14ac:dyDescent="0.2">
      <c r="A141" t="s">
        <v>330</v>
      </c>
      <c r="C141" s="5">
        <v>12942</v>
      </c>
      <c r="D141" t="s">
        <v>47</v>
      </c>
      <c r="E141">
        <v>541.44000000000005</v>
      </c>
      <c r="F141">
        <v>649.91999999999996</v>
      </c>
      <c r="G141" s="3">
        <v>108.4799999999999</v>
      </c>
      <c r="H141" s="4">
        <v>0.16691285081240753</v>
      </c>
      <c r="I141" s="6">
        <v>46070</v>
      </c>
      <c r="J141" s="14" t="e" cm="1">
        <f t="array" ref="J14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1" s="4"/>
      <c r="L141" s="4"/>
      <c r="M141" s="4"/>
      <c r="N141" s="4"/>
      <c r="O141" s="6" t="e" cm="1">
        <f t="array" ref="O141">_xlfn.XLOOKUP(1,(Table1[[#This Row],[Customer]]=[1]!Table1[Customer])*(Table1[[#This Row],[Sales Orders]]=[1]!Table1[Sales Order])*(Table1[[#This Row],[Product ID]]=[1]!Table1[Product ID]),[1]!Table1[New Invoice
 Date],"")</f>
        <v>#REF!</v>
      </c>
      <c r="P141" t="e" cm="1">
        <f t="array" ref="P141">_xlfn.XLOOKUP(1,(Table1[[#This Row],[Customer]]=[1]!Table1[Customer])*(Table1[[#This Row],[Sales Orders]]=[1]!Table1[Sales Order])*(Table1[[#This Row],[Product ID]]=[1]!Table1[Product ID]),[1]!Table1[New 
Invoice '#],"")</f>
        <v>#REF!</v>
      </c>
      <c r="Q141" t="e" cm="1">
        <f t="array" ref="Q141">_xlfn.XLOOKUP(1,(Table1[[#This Row],[Customer]]=[1]!Table1[Customer])*(Table1[[#This Row],[Sales Orders]]=[1]!Table1[Sales Order])*(Table1[[#This Row],[Product ID]]=[1]!Table1[Product ID]),[1]!Table1[Notes],"")</f>
        <v>#REF!</v>
      </c>
      <c r="R141" t="s">
        <v>331</v>
      </c>
      <c r="S141" s="5">
        <v>96</v>
      </c>
      <c r="T141">
        <v>0</v>
      </c>
      <c r="U141" s="5">
        <v>0</v>
      </c>
      <c r="V141" s="5">
        <v>25242</v>
      </c>
      <c r="W141" s="5">
        <v>12942</v>
      </c>
      <c r="X141" t="s">
        <v>119</v>
      </c>
      <c r="Y141" s="6">
        <v>46070</v>
      </c>
      <c r="Z141" s="5">
        <v>3193</v>
      </c>
      <c r="AA141" t="s">
        <v>115</v>
      </c>
      <c r="AB141" s="5"/>
      <c r="AD141" t="s">
        <v>333</v>
      </c>
    </row>
    <row r="142" spans="1:32" x14ac:dyDescent="0.2">
      <c r="A142" t="s">
        <v>334</v>
      </c>
      <c r="C142" s="5">
        <v>12937</v>
      </c>
      <c r="D142" t="s">
        <v>335</v>
      </c>
      <c r="E142">
        <v>1402.79</v>
      </c>
      <c r="F142">
        <v>1823.63</v>
      </c>
      <c r="G142" s="3">
        <v>420.84000000000015</v>
      </c>
      <c r="H142" s="4">
        <v>0.23077049620811246</v>
      </c>
      <c r="I142" s="6">
        <v>46070</v>
      </c>
      <c r="J142" s="14" t="e" cm="1">
        <f t="array" ref="J14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2" s="4"/>
      <c r="L142" s="4"/>
      <c r="M142" s="4"/>
      <c r="N142" s="4"/>
      <c r="O142" s="6" t="e" cm="1">
        <f t="array" ref="O142">_xlfn.XLOOKUP(1,(Table1[[#This Row],[Customer]]=[1]!Table1[Customer])*(Table1[[#This Row],[Sales Orders]]=[1]!Table1[Sales Order])*(Table1[[#This Row],[Product ID]]=[1]!Table1[Product ID]),[1]!Table1[New Invoice
 Date],"")</f>
        <v>#REF!</v>
      </c>
      <c r="P142" t="e" cm="1">
        <f t="array" ref="P142">_xlfn.XLOOKUP(1,(Table1[[#This Row],[Customer]]=[1]!Table1[Customer])*(Table1[[#This Row],[Sales Orders]]=[1]!Table1[Sales Order])*(Table1[[#This Row],[Product ID]]=[1]!Table1[Product ID]),[1]!Table1[New 
Invoice '#],"")</f>
        <v>#REF!</v>
      </c>
      <c r="Q142" t="e" cm="1">
        <f t="array" ref="Q142">_xlfn.XLOOKUP(1,(Table1[[#This Row],[Customer]]=[1]!Table1[Customer])*(Table1[[#This Row],[Sales Orders]]=[1]!Table1[Sales Order])*(Table1[[#This Row],[Product ID]]=[1]!Table1[Product ID]),[1]!Table1[Notes],"")</f>
        <v>#REF!</v>
      </c>
      <c r="R142" t="s">
        <v>296</v>
      </c>
      <c r="S142" s="5">
        <v>1</v>
      </c>
      <c r="T142">
        <v>0</v>
      </c>
      <c r="U142" s="5">
        <v>0</v>
      </c>
      <c r="V142" s="5">
        <v>25594</v>
      </c>
      <c r="W142" s="5">
        <v>12937</v>
      </c>
      <c r="X142" t="s">
        <v>119</v>
      </c>
      <c r="Y142" s="6">
        <v>46070</v>
      </c>
      <c r="Z142" s="5">
        <v>3192</v>
      </c>
      <c r="AA142" t="s">
        <v>115</v>
      </c>
      <c r="AB142" s="5"/>
      <c r="AD142" t="s">
        <v>336</v>
      </c>
    </row>
    <row r="143" spans="1:32" x14ac:dyDescent="0.2">
      <c r="A143" t="s">
        <v>334</v>
      </c>
      <c r="C143" s="5">
        <v>12937</v>
      </c>
      <c r="D143" t="s">
        <v>337</v>
      </c>
      <c r="E143">
        <v>12746.17</v>
      </c>
      <c r="F143">
        <v>16570.02</v>
      </c>
      <c r="G143" s="3">
        <v>3823.8500000000004</v>
      </c>
      <c r="H143" s="4">
        <v>0.23076918434618668</v>
      </c>
      <c r="I143" s="6">
        <v>46070</v>
      </c>
      <c r="J143" s="14" t="e" cm="1">
        <f t="array" ref="J14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3" s="4"/>
      <c r="L143" s="4"/>
      <c r="M143" s="4"/>
      <c r="N143" s="4"/>
      <c r="O143" s="6" t="e" cm="1">
        <f t="array" ref="O143">_xlfn.XLOOKUP(1,(Table1[[#This Row],[Customer]]=[1]!Table1[Customer])*(Table1[[#This Row],[Sales Orders]]=[1]!Table1[Sales Order])*(Table1[[#This Row],[Product ID]]=[1]!Table1[Product ID]),[1]!Table1[New Invoice
 Date],"")</f>
        <v>#REF!</v>
      </c>
      <c r="P143" t="e" cm="1">
        <f t="array" ref="P143">_xlfn.XLOOKUP(1,(Table1[[#This Row],[Customer]]=[1]!Table1[Customer])*(Table1[[#This Row],[Sales Orders]]=[1]!Table1[Sales Order])*(Table1[[#This Row],[Product ID]]=[1]!Table1[Product ID]),[1]!Table1[New 
Invoice '#],"")</f>
        <v>#REF!</v>
      </c>
      <c r="Q143" t="e" cm="1">
        <f t="array" ref="Q143">_xlfn.XLOOKUP(1,(Table1[[#This Row],[Customer]]=[1]!Table1[Customer])*(Table1[[#This Row],[Sales Orders]]=[1]!Table1[Sales Order])*(Table1[[#This Row],[Product ID]]=[1]!Table1[Product ID]),[1]!Table1[Notes],"")</f>
        <v>#REF!</v>
      </c>
      <c r="R143" t="s">
        <v>296</v>
      </c>
      <c r="S143" s="5">
        <v>1</v>
      </c>
      <c r="T143">
        <v>0</v>
      </c>
      <c r="U143" s="5">
        <v>0</v>
      </c>
      <c r="V143" s="5">
        <v>25594</v>
      </c>
      <c r="W143" s="5">
        <v>12937</v>
      </c>
      <c r="X143" t="s">
        <v>119</v>
      </c>
      <c r="Y143" s="6">
        <v>46070</v>
      </c>
      <c r="Z143" s="5">
        <v>3192</v>
      </c>
      <c r="AA143" t="s">
        <v>115</v>
      </c>
      <c r="AB143" s="5"/>
      <c r="AD143" t="s">
        <v>338</v>
      </c>
    </row>
    <row r="144" spans="1:32" x14ac:dyDescent="0.2">
      <c r="A144" t="s">
        <v>334</v>
      </c>
      <c r="C144" s="5">
        <v>12937</v>
      </c>
      <c r="D144" t="s">
        <v>339</v>
      </c>
      <c r="E144">
        <v>10147.25</v>
      </c>
      <c r="F144">
        <v>13191.42</v>
      </c>
      <c r="G144" s="3">
        <v>3044.17</v>
      </c>
      <c r="H144" s="4">
        <v>0.23076893920442226</v>
      </c>
      <c r="I144" s="6">
        <v>46070</v>
      </c>
      <c r="J144" s="14" t="e" cm="1">
        <f t="array" ref="J14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4" s="4"/>
      <c r="L144" s="4"/>
      <c r="M144" s="4"/>
      <c r="N144" s="4"/>
      <c r="O144" s="6" t="e" cm="1">
        <f t="array" ref="O144">_xlfn.XLOOKUP(1,(Table1[[#This Row],[Customer]]=[1]!Table1[Customer])*(Table1[[#This Row],[Sales Orders]]=[1]!Table1[Sales Order])*(Table1[[#This Row],[Product ID]]=[1]!Table1[Product ID]),[1]!Table1[New Invoice
 Date],"")</f>
        <v>#REF!</v>
      </c>
      <c r="P144" t="e" cm="1">
        <f t="array" ref="P144">_xlfn.XLOOKUP(1,(Table1[[#This Row],[Customer]]=[1]!Table1[Customer])*(Table1[[#This Row],[Sales Orders]]=[1]!Table1[Sales Order])*(Table1[[#This Row],[Product ID]]=[1]!Table1[Product ID]),[1]!Table1[New 
Invoice '#],"")</f>
        <v>#REF!</v>
      </c>
      <c r="Q144" t="e" cm="1">
        <f t="array" ref="Q144">_xlfn.XLOOKUP(1,(Table1[[#This Row],[Customer]]=[1]!Table1[Customer])*(Table1[[#This Row],[Sales Orders]]=[1]!Table1[Sales Order])*(Table1[[#This Row],[Product ID]]=[1]!Table1[Product ID]),[1]!Table1[Notes],"")</f>
        <v>#REF!</v>
      </c>
      <c r="R144" t="s">
        <v>296</v>
      </c>
      <c r="S144" s="5">
        <v>1</v>
      </c>
      <c r="T144">
        <v>0</v>
      </c>
      <c r="U144" s="5">
        <v>0</v>
      </c>
      <c r="V144" s="5">
        <v>25594</v>
      </c>
      <c r="W144" s="5">
        <v>12937</v>
      </c>
      <c r="X144" t="s">
        <v>119</v>
      </c>
      <c r="Y144" s="6">
        <v>46070</v>
      </c>
      <c r="Z144" s="5">
        <v>3192</v>
      </c>
      <c r="AA144" t="s">
        <v>115</v>
      </c>
      <c r="AB144" s="5"/>
      <c r="AD144" t="s">
        <v>340</v>
      </c>
    </row>
    <row r="145" spans="1:32" x14ac:dyDescent="0.2">
      <c r="A145" t="s">
        <v>334</v>
      </c>
      <c r="C145" s="5">
        <v>12937</v>
      </c>
      <c r="D145" t="s">
        <v>341</v>
      </c>
      <c r="E145">
        <v>428.4</v>
      </c>
      <c r="F145">
        <v>556.91999999999996</v>
      </c>
      <c r="G145" s="3">
        <v>128.51999999999998</v>
      </c>
      <c r="H145" s="4">
        <v>0.23076923076923075</v>
      </c>
      <c r="I145" s="6">
        <v>46070</v>
      </c>
      <c r="J145" s="14" t="e" cm="1">
        <f t="array" ref="J14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5" s="4"/>
      <c r="L145" s="4"/>
      <c r="M145" s="4"/>
      <c r="N145" s="4"/>
      <c r="O145" s="6" t="e" cm="1">
        <f t="array" ref="O145">_xlfn.XLOOKUP(1,(Table1[[#This Row],[Customer]]=[1]!Table1[Customer])*(Table1[[#This Row],[Sales Orders]]=[1]!Table1[Sales Order])*(Table1[[#This Row],[Product ID]]=[1]!Table1[Product ID]),[1]!Table1[New Invoice
 Date],"")</f>
        <v>#REF!</v>
      </c>
      <c r="P145" t="e" cm="1">
        <f t="array" ref="P145">_xlfn.XLOOKUP(1,(Table1[[#This Row],[Customer]]=[1]!Table1[Customer])*(Table1[[#This Row],[Sales Orders]]=[1]!Table1[Sales Order])*(Table1[[#This Row],[Product ID]]=[1]!Table1[Product ID]),[1]!Table1[New 
Invoice '#],"")</f>
        <v>#REF!</v>
      </c>
      <c r="Q145" t="e" cm="1">
        <f t="array" ref="Q145">_xlfn.XLOOKUP(1,(Table1[[#This Row],[Customer]]=[1]!Table1[Customer])*(Table1[[#This Row],[Sales Orders]]=[1]!Table1[Sales Order])*(Table1[[#This Row],[Product ID]]=[1]!Table1[Product ID]),[1]!Table1[Notes],"")</f>
        <v>#REF!</v>
      </c>
      <c r="R145" t="s">
        <v>296</v>
      </c>
      <c r="S145" s="5">
        <v>1</v>
      </c>
      <c r="T145">
        <v>0</v>
      </c>
      <c r="U145" s="5">
        <v>0</v>
      </c>
      <c r="V145" s="5">
        <v>25594</v>
      </c>
      <c r="W145" s="5">
        <v>12937</v>
      </c>
      <c r="X145" t="s">
        <v>119</v>
      </c>
      <c r="Y145" s="6">
        <v>46070</v>
      </c>
      <c r="Z145" s="5">
        <v>3192</v>
      </c>
      <c r="AA145" t="s">
        <v>115</v>
      </c>
      <c r="AB145" s="5"/>
      <c r="AD145" t="s">
        <v>342</v>
      </c>
    </row>
    <row r="146" spans="1:32" x14ac:dyDescent="0.2">
      <c r="A146" t="s">
        <v>334</v>
      </c>
      <c r="C146" s="5">
        <v>12937</v>
      </c>
      <c r="D146" t="s">
        <v>343</v>
      </c>
      <c r="E146">
        <v>902.04</v>
      </c>
      <c r="F146">
        <v>1172.6500000000001</v>
      </c>
      <c r="G146" s="3">
        <v>270.61000000000013</v>
      </c>
      <c r="H146" s="4">
        <v>0.23076791881635619</v>
      </c>
      <c r="I146" s="6">
        <v>46070</v>
      </c>
      <c r="J146" s="14" t="e" cm="1">
        <f t="array" ref="J14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6" s="4"/>
      <c r="L146" s="4"/>
      <c r="M146" s="4"/>
      <c r="N146" s="4"/>
      <c r="O146" s="6" t="e" cm="1">
        <f t="array" ref="O146">_xlfn.XLOOKUP(1,(Table1[[#This Row],[Customer]]=[1]!Table1[Customer])*(Table1[[#This Row],[Sales Orders]]=[1]!Table1[Sales Order])*(Table1[[#This Row],[Product ID]]=[1]!Table1[Product ID]),[1]!Table1[New Invoice
 Date],"")</f>
        <v>#REF!</v>
      </c>
      <c r="P146" t="e" cm="1">
        <f t="array" ref="P146">_xlfn.XLOOKUP(1,(Table1[[#This Row],[Customer]]=[1]!Table1[Customer])*(Table1[[#This Row],[Sales Orders]]=[1]!Table1[Sales Order])*(Table1[[#This Row],[Product ID]]=[1]!Table1[Product ID]),[1]!Table1[New 
Invoice '#],"")</f>
        <v>#REF!</v>
      </c>
      <c r="Q146" t="e" cm="1">
        <f t="array" ref="Q146">_xlfn.XLOOKUP(1,(Table1[[#This Row],[Customer]]=[1]!Table1[Customer])*(Table1[[#This Row],[Sales Orders]]=[1]!Table1[Sales Order])*(Table1[[#This Row],[Product ID]]=[1]!Table1[Product ID]),[1]!Table1[Notes],"")</f>
        <v>#REF!</v>
      </c>
      <c r="R146" t="s">
        <v>296</v>
      </c>
      <c r="S146" s="5">
        <v>1</v>
      </c>
      <c r="T146">
        <v>0</v>
      </c>
      <c r="U146" s="5">
        <v>0</v>
      </c>
      <c r="V146" s="5">
        <v>25594</v>
      </c>
      <c r="W146" s="5">
        <v>12937</v>
      </c>
      <c r="X146" t="s">
        <v>119</v>
      </c>
      <c r="Y146" s="6">
        <v>46070</v>
      </c>
      <c r="Z146" s="5">
        <v>3192</v>
      </c>
      <c r="AA146" t="s">
        <v>115</v>
      </c>
      <c r="AB146" s="5"/>
      <c r="AD146" t="s">
        <v>344</v>
      </c>
    </row>
    <row r="147" spans="1:32" x14ac:dyDescent="0.2">
      <c r="A147" t="s">
        <v>334</v>
      </c>
      <c r="C147" s="5">
        <v>12939</v>
      </c>
      <c r="D147" t="s">
        <v>345</v>
      </c>
      <c r="E147">
        <v>485.4</v>
      </c>
      <c r="F147">
        <v>582.48</v>
      </c>
      <c r="G147" s="3">
        <v>97.080000000000041</v>
      </c>
      <c r="H147" s="4">
        <v>0.16666666666666674</v>
      </c>
      <c r="I147" s="6">
        <v>46070</v>
      </c>
      <c r="J147" s="14" t="e" cm="1">
        <f t="array" ref="J14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7" s="4"/>
      <c r="L147" s="4"/>
      <c r="M147" s="4"/>
      <c r="N147" s="4"/>
      <c r="O147" s="6" t="e" cm="1">
        <f t="array" ref="O147">_xlfn.XLOOKUP(1,(Table1[[#This Row],[Customer]]=[1]!Table1[Customer])*(Table1[[#This Row],[Sales Orders]]=[1]!Table1[Sales Order])*(Table1[[#This Row],[Product ID]]=[1]!Table1[Product ID]),[1]!Table1[New Invoice
 Date],"")</f>
        <v>#REF!</v>
      </c>
      <c r="P147" t="e" cm="1">
        <f t="array" ref="P147">_xlfn.XLOOKUP(1,(Table1[[#This Row],[Customer]]=[1]!Table1[Customer])*(Table1[[#This Row],[Sales Orders]]=[1]!Table1[Sales Order])*(Table1[[#This Row],[Product ID]]=[1]!Table1[Product ID]),[1]!Table1[New 
Invoice '#],"")</f>
        <v>#REF!</v>
      </c>
      <c r="Q147" t="e" cm="1">
        <f t="array" ref="Q147">_xlfn.XLOOKUP(1,(Table1[[#This Row],[Customer]]=[1]!Table1[Customer])*(Table1[[#This Row],[Sales Orders]]=[1]!Table1[Sales Order])*(Table1[[#This Row],[Product ID]]=[1]!Table1[Product ID]),[1]!Table1[Notes],"")</f>
        <v>#REF!</v>
      </c>
      <c r="R147" t="s">
        <v>296</v>
      </c>
      <c r="S147" s="5">
        <v>1</v>
      </c>
      <c r="T147">
        <v>1</v>
      </c>
      <c r="U147" s="5">
        <v>0</v>
      </c>
      <c r="V147" s="5">
        <v>25661</v>
      </c>
      <c r="W147" s="5">
        <v>12939</v>
      </c>
      <c r="X147" t="s">
        <v>193</v>
      </c>
      <c r="Y147" s="6">
        <v>46070</v>
      </c>
      <c r="Z147" s="5">
        <v>3191</v>
      </c>
      <c r="AA147" t="s">
        <v>35</v>
      </c>
      <c r="AB147" s="5"/>
      <c r="AD147" t="s">
        <v>346</v>
      </c>
      <c r="AE147" t="s">
        <v>347</v>
      </c>
      <c r="AF147" t="s">
        <v>38</v>
      </c>
    </row>
    <row r="148" spans="1:32" x14ac:dyDescent="0.2">
      <c r="A148" t="s">
        <v>334</v>
      </c>
      <c r="C148" s="5">
        <v>12937</v>
      </c>
      <c r="D148" t="s">
        <v>348</v>
      </c>
      <c r="E148">
        <v>2397.2399999999998</v>
      </c>
      <c r="F148">
        <v>3116.42</v>
      </c>
      <c r="G148" s="3">
        <v>719.18000000000029</v>
      </c>
      <c r="H148" s="4">
        <v>0.23077120542160565</v>
      </c>
      <c r="I148" s="6">
        <v>46070</v>
      </c>
      <c r="J148" s="14" t="e" cm="1">
        <f t="array" ref="J14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8" s="4"/>
      <c r="L148" s="4"/>
      <c r="M148" s="4"/>
      <c r="N148" s="4"/>
      <c r="O148" s="6" t="e" cm="1">
        <f t="array" ref="O148">_xlfn.XLOOKUP(1,(Table1[[#This Row],[Customer]]=[1]!Table1[Customer])*(Table1[[#This Row],[Sales Orders]]=[1]!Table1[Sales Order])*(Table1[[#This Row],[Product ID]]=[1]!Table1[Product ID]),[1]!Table1[New Invoice
 Date],"")</f>
        <v>#REF!</v>
      </c>
      <c r="P148" t="e" cm="1">
        <f t="array" ref="P148">_xlfn.XLOOKUP(1,(Table1[[#This Row],[Customer]]=[1]!Table1[Customer])*(Table1[[#This Row],[Sales Orders]]=[1]!Table1[Sales Order])*(Table1[[#This Row],[Product ID]]=[1]!Table1[Product ID]),[1]!Table1[New 
Invoice '#],"")</f>
        <v>#REF!</v>
      </c>
      <c r="Q148" t="e" cm="1">
        <f t="array" ref="Q148">_xlfn.XLOOKUP(1,(Table1[[#This Row],[Customer]]=[1]!Table1[Customer])*(Table1[[#This Row],[Sales Orders]]=[1]!Table1[Sales Order])*(Table1[[#This Row],[Product ID]]=[1]!Table1[Product ID]),[1]!Table1[Notes],"")</f>
        <v>#REF!</v>
      </c>
      <c r="R148" t="s">
        <v>296</v>
      </c>
      <c r="S148" s="5">
        <v>2</v>
      </c>
      <c r="T148">
        <v>0</v>
      </c>
      <c r="U148" s="5">
        <v>0</v>
      </c>
      <c r="V148" s="5">
        <v>25594</v>
      </c>
      <c r="W148" s="5">
        <v>12937</v>
      </c>
      <c r="X148" t="s">
        <v>119</v>
      </c>
      <c r="Y148" s="6">
        <v>46070</v>
      </c>
      <c r="Z148" s="5">
        <v>3192</v>
      </c>
      <c r="AA148" t="s">
        <v>115</v>
      </c>
      <c r="AB148" s="5"/>
      <c r="AD148" t="s">
        <v>349</v>
      </c>
    </row>
    <row r="149" spans="1:32" x14ac:dyDescent="0.2">
      <c r="A149" t="s">
        <v>334</v>
      </c>
      <c r="C149" s="5">
        <v>12937</v>
      </c>
      <c r="D149" t="s">
        <v>350</v>
      </c>
      <c r="E149">
        <v>389.66</v>
      </c>
      <c r="F149">
        <v>506.56</v>
      </c>
      <c r="G149" s="3">
        <v>116.89999999999998</v>
      </c>
      <c r="H149" s="4">
        <v>0.23077226784586224</v>
      </c>
      <c r="I149" s="6">
        <v>46070</v>
      </c>
      <c r="J149" s="14" t="e" cm="1">
        <f t="array" ref="J14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49" s="4"/>
      <c r="L149" s="4"/>
      <c r="M149" s="4"/>
      <c r="N149" s="4"/>
      <c r="O149" s="6" t="e" cm="1">
        <f t="array" ref="O149">_xlfn.XLOOKUP(1,(Table1[[#This Row],[Customer]]=[1]!Table1[Customer])*(Table1[[#This Row],[Sales Orders]]=[1]!Table1[Sales Order])*(Table1[[#This Row],[Product ID]]=[1]!Table1[Product ID]),[1]!Table1[New Invoice
 Date],"")</f>
        <v>#REF!</v>
      </c>
      <c r="P149" t="e" cm="1">
        <f t="array" ref="P149">_xlfn.XLOOKUP(1,(Table1[[#This Row],[Customer]]=[1]!Table1[Customer])*(Table1[[#This Row],[Sales Orders]]=[1]!Table1[Sales Order])*(Table1[[#This Row],[Product ID]]=[1]!Table1[Product ID]),[1]!Table1[New 
Invoice '#],"")</f>
        <v>#REF!</v>
      </c>
      <c r="Q149" t="e" cm="1">
        <f t="array" ref="Q149">_xlfn.XLOOKUP(1,(Table1[[#This Row],[Customer]]=[1]!Table1[Customer])*(Table1[[#This Row],[Sales Orders]]=[1]!Table1[Sales Order])*(Table1[[#This Row],[Product ID]]=[1]!Table1[Product ID]),[1]!Table1[Notes],"")</f>
        <v>#REF!</v>
      </c>
      <c r="R149" t="s">
        <v>296</v>
      </c>
      <c r="S149" s="5">
        <v>2</v>
      </c>
      <c r="T149">
        <v>0</v>
      </c>
      <c r="U149" s="5">
        <v>0</v>
      </c>
      <c r="V149" s="5">
        <v>25594</v>
      </c>
      <c r="W149" s="5">
        <v>12937</v>
      </c>
      <c r="X149" t="s">
        <v>119</v>
      </c>
      <c r="Y149" s="6">
        <v>46070</v>
      </c>
      <c r="Z149" s="5">
        <v>3192</v>
      </c>
      <c r="AA149" t="s">
        <v>115</v>
      </c>
      <c r="AB149" s="5"/>
      <c r="AD149" t="s">
        <v>351</v>
      </c>
    </row>
    <row r="150" spans="1:32" x14ac:dyDescent="0.2">
      <c r="A150" t="s">
        <v>334</v>
      </c>
      <c r="C150" s="5">
        <v>12937</v>
      </c>
      <c r="D150" t="s">
        <v>352</v>
      </c>
      <c r="E150">
        <v>2396.02</v>
      </c>
      <c r="F150">
        <v>3114.82</v>
      </c>
      <c r="G150" s="3">
        <v>718.80000000000018</v>
      </c>
      <c r="H150" s="4">
        <v>0.23076774901920502</v>
      </c>
      <c r="I150" s="6">
        <v>46070</v>
      </c>
      <c r="J150" s="14" t="e" cm="1">
        <f t="array" ref="J15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0" s="4"/>
      <c r="L150" s="4"/>
      <c r="M150" s="4"/>
      <c r="N150" s="4"/>
      <c r="O150" s="6" t="e" cm="1">
        <f t="array" ref="O150">_xlfn.XLOOKUP(1,(Table1[[#This Row],[Customer]]=[1]!Table1[Customer])*(Table1[[#This Row],[Sales Orders]]=[1]!Table1[Sales Order])*(Table1[[#This Row],[Product ID]]=[1]!Table1[Product ID]),[1]!Table1[New Invoice
 Date],"")</f>
        <v>#REF!</v>
      </c>
      <c r="P150" t="e" cm="1">
        <f t="array" ref="P150">_xlfn.XLOOKUP(1,(Table1[[#This Row],[Customer]]=[1]!Table1[Customer])*(Table1[[#This Row],[Sales Orders]]=[1]!Table1[Sales Order])*(Table1[[#This Row],[Product ID]]=[1]!Table1[Product ID]),[1]!Table1[New 
Invoice '#],"")</f>
        <v>#REF!</v>
      </c>
      <c r="Q150" t="e" cm="1">
        <f t="array" ref="Q150">_xlfn.XLOOKUP(1,(Table1[[#This Row],[Customer]]=[1]!Table1[Customer])*(Table1[[#This Row],[Sales Orders]]=[1]!Table1[Sales Order])*(Table1[[#This Row],[Product ID]]=[1]!Table1[Product ID]),[1]!Table1[Notes],"")</f>
        <v>#REF!</v>
      </c>
      <c r="R150" t="s">
        <v>296</v>
      </c>
      <c r="S150" s="5">
        <v>2</v>
      </c>
      <c r="T150">
        <v>0</v>
      </c>
      <c r="U150" s="5">
        <v>0</v>
      </c>
      <c r="V150" s="5">
        <v>25594</v>
      </c>
      <c r="W150" s="5">
        <v>12937</v>
      </c>
      <c r="X150" t="s">
        <v>119</v>
      </c>
      <c r="Y150" s="6">
        <v>46070</v>
      </c>
      <c r="Z150" s="5">
        <v>3192</v>
      </c>
      <c r="AA150" t="s">
        <v>115</v>
      </c>
      <c r="AB150" s="5"/>
      <c r="AD150" t="s">
        <v>353</v>
      </c>
    </row>
    <row r="151" spans="1:32" x14ac:dyDescent="0.2">
      <c r="A151" t="s">
        <v>334</v>
      </c>
      <c r="C151" s="5">
        <v>12937</v>
      </c>
      <c r="D151" t="s">
        <v>354</v>
      </c>
      <c r="E151">
        <v>94.4</v>
      </c>
      <c r="F151">
        <v>122.72</v>
      </c>
      <c r="G151" s="3">
        <v>28.319999999999993</v>
      </c>
      <c r="H151" s="4">
        <v>0.23076923076923073</v>
      </c>
      <c r="I151" s="6">
        <v>46070</v>
      </c>
      <c r="J151" s="14" t="e" cm="1">
        <f t="array" ref="J15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1" s="4"/>
      <c r="L151" s="4"/>
      <c r="M151" s="4"/>
      <c r="N151" s="4"/>
      <c r="O151" s="6" t="e" cm="1">
        <f t="array" ref="O151">_xlfn.XLOOKUP(1,(Table1[[#This Row],[Customer]]=[1]!Table1[Customer])*(Table1[[#This Row],[Sales Orders]]=[1]!Table1[Sales Order])*(Table1[[#This Row],[Product ID]]=[1]!Table1[Product ID]),[1]!Table1[New Invoice
 Date],"")</f>
        <v>#REF!</v>
      </c>
      <c r="P151" t="e" cm="1">
        <f t="array" ref="P151">_xlfn.XLOOKUP(1,(Table1[[#This Row],[Customer]]=[1]!Table1[Customer])*(Table1[[#This Row],[Sales Orders]]=[1]!Table1[Sales Order])*(Table1[[#This Row],[Product ID]]=[1]!Table1[Product ID]),[1]!Table1[New 
Invoice '#],"")</f>
        <v>#REF!</v>
      </c>
      <c r="Q151" t="e" cm="1">
        <f t="array" ref="Q151">_xlfn.XLOOKUP(1,(Table1[[#This Row],[Customer]]=[1]!Table1[Customer])*(Table1[[#This Row],[Sales Orders]]=[1]!Table1[Sales Order])*(Table1[[#This Row],[Product ID]]=[1]!Table1[Product ID]),[1]!Table1[Notes],"")</f>
        <v>#REF!</v>
      </c>
      <c r="R151" t="s">
        <v>296</v>
      </c>
      <c r="S151" s="5">
        <v>2</v>
      </c>
      <c r="T151">
        <v>0</v>
      </c>
      <c r="U151" s="5">
        <v>0</v>
      </c>
      <c r="V151" s="5">
        <v>25594</v>
      </c>
      <c r="W151" s="5">
        <v>12937</v>
      </c>
      <c r="X151" t="s">
        <v>119</v>
      </c>
      <c r="Y151" s="6">
        <v>46070</v>
      </c>
      <c r="Z151" s="5">
        <v>3192</v>
      </c>
      <c r="AA151" t="s">
        <v>115</v>
      </c>
      <c r="AB151" s="5"/>
      <c r="AD151" t="s">
        <v>355</v>
      </c>
    </row>
    <row r="152" spans="1:32" x14ac:dyDescent="0.2">
      <c r="A152" t="s">
        <v>334</v>
      </c>
      <c r="C152" s="5">
        <v>12939</v>
      </c>
      <c r="D152" t="s">
        <v>356</v>
      </c>
      <c r="E152">
        <v>1701.04</v>
      </c>
      <c r="F152">
        <v>2041.24</v>
      </c>
      <c r="G152" s="3">
        <v>340.20000000000005</v>
      </c>
      <c r="H152" s="4">
        <v>0.16666340067801927</v>
      </c>
      <c r="I152" s="6">
        <v>46070</v>
      </c>
      <c r="J152" s="14" t="e" cm="1">
        <f t="array" ref="J15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2" s="4"/>
      <c r="L152" s="4"/>
      <c r="M152" s="4"/>
      <c r="N152" s="4"/>
      <c r="O152" s="6" t="e" cm="1">
        <f t="array" ref="O152">_xlfn.XLOOKUP(1,(Table1[[#This Row],[Customer]]=[1]!Table1[Customer])*(Table1[[#This Row],[Sales Orders]]=[1]!Table1[Sales Order])*(Table1[[#This Row],[Product ID]]=[1]!Table1[Product ID]),[1]!Table1[New Invoice
 Date],"")</f>
        <v>#REF!</v>
      </c>
      <c r="P152" t="e" cm="1">
        <f t="array" ref="P152">_xlfn.XLOOKUP(1,(Table1[[#This Row],[Customer]]=[1]!Table1[Customer])*(Table1[[#This Row],[Sales Orders]]=[1]!Table1[Sales Order])*(Table1[[#This Row],[Product ID]]=[1]!Table1[Product ID]),[1]!Table1[New 
Invoice '#],"")</f>
        <v>#REF!</v>
      </c>
      <c r="Q152" t="e" cm="1">
        <f t="array" ref="Q152">_xlfn.XLOOKUP(1,(Table1[[#This Row],[Customer]]=[1]!Table1[Customer])*(Table1[[#This Row],[Sales Orders]]=[1]!Table1[Sales Order])*(Table1[[#This Row],[Product ID]]=[1]!Table1[Product ID]),[1]!Table1[Notes],"")</f>
        <v>#REF!</v>
      </c>
      <c r="R152" t="s">
        <v>237</v>
      </c>
      <c r="S152" s="5">
        <v>4</v>
      </c>
      <c r="T152">
        <v>4</v>
      </c>
      <c r="U152" s="5">
        <v>0</v>
      </c>
      <c r="V152" s="5">
        <v>25661</v>
      </c>
      <c r="W152" s="5">
        <v>12939</v>
      </c>
      <c r="X152" t="s">
        <v>193</v>
      </c>
      <c r="Y152" s="6">
        <v>46070</v>
      </c>
      <c r="Z152" s="5">
        <v>3191</v>
      </c>
      <c r="AA152" t="s">
        <v>35</v>
      </c>
      <c r="AB152" s="5"/>
      <c r="AD152" t="s">
        <v>357</v>
      </c>
      <c r="AE152" t="s">
        <v>347</v>
      </c>
      <c r="AF152" t="s">
        <v>38</v>
      </c>
    </row>
    <row r="153" spans="1:32" x14ac:dyDescent="0.2">
      <c r="A153" t="s">
        <v>358</v>
      </c>
      <c r="C153" s="5">
        <v>12950</v>
      </c>
      <c r="D153" t="s">
        <v>359</v>
      </c>
      <c r="E153">
        <v>155.94999999999999</v>
      </c>
      <c r="F153">
        <v>187.14</v>
      </c>
      <c r="G153" s="3">
        <v>31.189999999999998</v>
      </c>
      <c r="H153" s="4">
        <v>0.16666666666666666</v>
      </c>
      <c r="I153" s="6">
        <v>46071</v>
      </c>
      <c r="J153" s="14" t="e" cm="1">
        <f t="array" ref="J15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3" s="4"/>
      <c r="L153" s="4"/>
      <c r="M153" s="4"/>
      <c r="N153" s="4"/>
      <c r="O153" s="6" t="e" cm="1">
        <f t="array" ref="O153">_xlfn.XLOOKUP(1,(Table1[[#This Row],[Customer]]=[1]!Table1[Customer])*(Table1[[#This Row],[Sales Orders]]=[1]!Table1[Sales Order])*(Table1[[#This Row],[Product ID]]=[1]!Table1[Product ID]),[1]!Table1[New Invoice
 Date],"")</f>
        <v>#REF!</v>
      </c>
      <c r="P153" t="e" cm="1">
        <f t="array" ref="P153">_xlfn.XLOOKUP(1,(Table1[[#This Row],[Customer]]=[1]!Table1[Customer])*(Table1[[#This Row],[Sales Orders]]=[1]!Table1[Sales Order])*(Table1[[#This Row],[Product ID]]=[1]!Table1[Product ID]),[1]!Table1[New 
Invoice '#],"")</f>
        <v>#REF!</v>
      </c>
      <c r="Q153" t="e" cm="1">
        <f t="array" ref="Q153">_xlfn.XLOOKUP(1,(Table1[[#This Row],[Customer]]=[1]!Table1[Customer])*(Table1[[#This Row],[Sales Orders]]=[1]!Table1[Sales Order])*(Table1[[#This Row],[Product ID]]=[1]!Table1[Product ID]),[1]!Table1[Notes],"")</f>
        <v>#REF!</v>
      </c>
      <c r="R153" t="s">
        <v>296</v>
      </c>
      <c r="S153" s="5">
        <v>1</v>
      </c>
      <c r="T153">
        <v>0</v>
      </c>
      <c r="U153" s="5">
        <v>0</v>
      </c>
      <c r="V153" s="5">
        <v>27656</v>
      </c>
      <c r="W153" s="5">
        <v>12950</v>
      </c>
      <c r="X153" t="s">
        <v>95</v>
      </c>
      <c r="Y153" s="6">
        <v>46071</v>
      </c>
      <c r="Z153" s="5"/>
      <c r="AB153" s="5"/>
      <c r="AD153" t="s">
        <v>360</v>
      </c>
    </row>
    <row r="154" spans="1:32" x14ac:dyDescent="0.2">
      <c r="A154" t="s">
        <v>358</v>
      </c>
      <c r="C154" s="5">
        <v>12950</v>
      </c>
      <c r="D154" t="s">
        <v>62</v>
      </c>
      <c r="E154">
        <v>0</v>
      </c>
      <c r="F154">
        <v>25</v>
      </c>
      <c r="G154" s="3">
        <v>25</v>
      </c>
      <c r="H154" s="4">
        <v>1</v>
      </c>
      <c r="I154" s="6">
        <v>46071</v>
      </c>
      <c r="J154" s="14" t="e" cm="1">
        <f t="array" ref="J15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4" s="4"/>
      <c r="L154" s="4"/>
      <c r="M154" s="4"/>
      <c r="N154" s="4"/>
      <c r="O154" s="6" t="e" cm="1">
        <f t="array" ref="O154">_xlfn.XLOOKUP(1,(Table1[[#This Row],[Customer]]=[1]!Table1[Customer])*(Table1[[#This Row],[Sales Orders]]=[1]!Table1[Sales Order])*(Table1[[#This Row],[Product ID]]=[1]!Table1[Product ID]),[1]!Table1[New Invoice
 Date],"")</f>
        <v>#REF!</v>
      </c>
      <c r="P154" t="e" cm="1">
        <f t="array" ref="P154">_xlfn.XLOOKUP(1,(Table1[[#This Row],[Customer]]=[1]!Table1[Customer])*(Table1[[#This Row],[Sales Orders]]=[1]!Table1[Sales Order])*(Table1[[#This Row],[Product ID]]=[1]!Table1[Product ID]),[1]!Table1[New 
Invoice '#],"")</f>
        <v>#REF!</v>
      </c>
      <c r="Q154" t="e" cm="1">
        <f t="array" ref="Q154">_xlfn.XLOOKUP(1,(Table1[[#This Row],[Customer]]=[1]!Table1[Customer])*(Table1[[#This Row],[Sales Orders]]=[1]!Table1[Sales Order])*(Table1[[#This Row],[Product ID]]=[1]!Table1[Product ID]),[1]!Table1[Notes],"")</f>
        <v>#REF!</v>
      </c>
      <c r="R154" t="s">
        <v>296</v>
      </c>
      <c r="S154" s="5">
        <v>1</v>
      </c>
      <c r="T154">
        <v>0</v>
      </c>
      <c r="U154" s="5">
        <v>0</v>
      </c>
      <c r="V154" s="5">
        <v>27656</v>
      </c>
      <c r="W154" s="5">
        <v>12950</v>
      </c>
      <c r="X154" t="s">
        <v>95</v>
      </c>
      <c r="Y154" s="6">
        <v>46071</v>
      </c>
      <c r="Z154" s="5"/>
      <c r="AB154" s="5"/>
      <c r="AD154" t="s">
        <v>63</v>
      </c>
    </row>
    <row r="155" spans="1:32" x14ac:dyDescent="0.2">
      <c r="A155" t="s">
        <v>358</v>
      </c>
      <c r="C155" s="5">
        <v>12950</v>
      </c>
      <c r="D155" t="s">
        <v>361</v>
      </c>
      <c r="E155">
        <v>1508.11</v>
      </c>
      <c r="F155">
        <v>1809.73</v>
      </c>
      <c r="G155" s="3">
        <v>301.62000000000012</v>
      </c>
      <c r="H155" s="4">
        <v>0.16666574571897472</v>
      </c>
      <c r="I155" s="6">
        <v>46071</v>
      </c>
      <c r="J155" s="14" t="e" cm="1">
        <f t="array" ref="J15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5" s="4"/>
      <c r="L155" s="4"/>
      <c r="M155" s="4"/>
      <c r="N155" s="4"/>
      <c r="O155" s="6" t="e" cm="1">
        <f t="array" ref="O155">_xlfn.XLOOKUP(1,(Table1[[#This Row],[Customer]]=[1]!Table1[Customer])*(Table1[[#This Row],[Sales Orders]]=[1]!Table1[Sales Order])*(Table1[[#This Row],[Product ID]]=[1]!Table1[Product ID]),[1]!Table1[New Invoice
 Date],"")</f>
        <v>#REF!</v>
      </c>
      <c r="P155" t="e" cm="1">
        <f t="array" ref="P155">_xlfn.XLOOKUP(1,(Table1[[#This Row],[Customer]]=[1]!Table1[Customer])*(Table1[[#This Row],[Sales Orders]]=[1]!Table1[Sales Order])*(Table1[[#This Row],[Product ID]]=[1]!Table1[Product ID]),[1]!Table1[New 
Invoice '#],"")</f>
        <v>#REF!</v>
      </c>
      <c r="Q155" t="e" cm="1">
        <f t="array" ref="Q155">_xlfn.XLOOKUP(1,(Table1[[#This Row],[Customer]]=[1]!Table1[Customer])*(Table1[[#This Row],[Sales Orders]]=[1]!Table1[Sales Order])*(Table1[[#This Row],[Product ID]]=[1]!Table1[Product ID]),[1]!Table1[Notes],"")</f>
        <v>#REF!</v>
      </c>
      <c r="R155" t="s">
        <v>296</v>
      </c>
      <c r="S155" s="5">
        <v>1</v>
      </c>
      <c r="T155">
        <v>1</v>
      </c>
      <c r="U155" s="5">
        <v>1</v>
      </c>
      <c r="V155" s="5">
        <v>27656</v>
      </c>
      <c r="W155" s="5">
        <v>12950</v>
      </c>
      <c r="X155" t="s">
        <v>95</v>
      </c>
      <c r="Y155" s="6">
        <v>46071</v>
      </c>
      <c r="Z155" s="5"/>
      <c r="AB155" s="5"/>
      <c r="AD155" t="s">
        <v>362</v>
      </c>
      <c r="AE155" t="s">
        <v>363</v>
      </c>
      <c r="AF155" t="s">
        <v>106</v>
      </c>
    </row>
    <row r="156" spans="1:32" x14ac:dyDescent="0.2">
      <c r="A156" t="s">
        <v>358</v>
      </c>
      <c r="C156" s="5">
        <v>12950</v>
      </c>
      <c r="D156" t="s">
        <v>364</v>
      </c>
      <c r="E156">
        <v>89.42</v>
      </c>
      <c r="F156">
        <v>107.3</v>
      </c>
      <c r="G156" s="3">
        <v>17.879999999999995</v>
      </c>
      <c r="H156" s="4">
        <v>0.16663560111835971</v>
      </c>
      <c r="I156" s="6">
        <v>46071</v>
      </c>
      <c r="J156" s="14" t="e" cm="1">
        <f t="array" ref="J15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6" s="4"/>
      <c r="L156" s="4"/>
      <c r="M156" s="4"/>
      <c r="N156" s="4"/>
      <c r="O156" s="6" t="e" cm="1">
        <f t="array" ref="O156">_xlfn.XLOOKUP(1,(Table1[[#This Row],[Customer]]=[1]!Table1[Customer])*(Table1[[#This Row],[Sales Orders]]=[1]!Table1[Sales Order])*(Table1[[#This Row],[Product ID]]=[1]!Table1[Product ID]),[1]!Table1[New Invoice
 Date],"")</f>
        <v>#REF!</v>
      </c>
      <c r="P156" t="e" cm="1">
        <f t="array" ref="P156">_xlfn.XLOOKUP(1,(Table1[[#This Row],[Customer]]=[1]!Table1[Customer])*(Table1[[#This Row],[Sales Orders]]=[1]!Table1[Sales Order])*(Table1[[#This Row],[Product ID]]=[1]!Table1[Product ID]),[1]!Table1[New 
Invoice '#],"")</f>
        <v>#REF!</v>
      </c>
      <c r="Q156" t="e" cm="1">
        <f t="array" ref="Q156">_xlfn.XLOOKUP(1,(Table1[[#This Row],[Customer]]=[1]!Table1[Customer])*(Table1[[#This Row],[Sales Orders]]=[1]!Table1[Sales Order])*(Table1[[#This Row],[Product ID]]=[1]!Table1[Product ID]),[1]!Table1[Notes],"")</f>
        <v>#REF!</v>
      </c>
      <c r="R156" t="s">
        <v>296</v>
      </c>
      <c r="S156" s="5">
        <v>2</v>
      </c>
      <c r="T156">
        <v>2</v>
      </c>
      <c r="U156" s="5">
        <v>2</v>
      </c>
      <c r="V156" s="5">
        <v>27656</v>
      </c>
      <c r="W156" s="5">
        <v>12950</v>
      </c>
      <c r="X156" t="s">
        <v>95</v>
      </c>
      <c r="Y156" s="6">
        <v>46071</v>
      </c>
      <c r="Z156" s="5"/>
      <c r="AB156" s="5"/>
      <c r="AD156" t="s">
        <v>365</v>
      </c>
      <c r="AE156" t="s">
        <v>363</v>
      </c>
      <c r="AF156" t="s">
        <v>106</v>
      </c>
    </row>
    <row r="157" spans="1:32" x14ac:dyDescent="0.2">
      <c r="A157" t="s">
        <v>147</v>
      </c>
      <c r="C157" s="5">
        <v>12951</v>
      </c>
      <c r="D157" t="s">
        <v>366</v>
      </c>
      <c r="E157">
        <v>897.82</v>
      </c>
      <c r="F157">
        <v>1077.3800000000001</v>
      </c>
      <c r="G157" s="3">
        <v>179.56000000000006</v>
      </c>
      <c r="H157" s="4">
        <v>0.1666635727412798</v>
      </c>
      <c r="I157" s="6">
        <v>46071</v>
      </c>
      <c r="J157" s="14" t="e" cm="1">
        <f t="array" ref="J15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7" s="4"/>
      <c r="L157" s="4"/>
      <c r="M157" s="4"/>
      <c r="N157" s="4"/>
      <c r="O157" s="6" t="e" cm="1">
        <f t="array" ref="O157">_xlfn.XLOOKUP(1,(Table1[[#This Row],[Customer]]=[1]!Table1[Customer])*(Table1[[#This Row],[Sales Orders]]=[1]!Table1[Sales Order])*(Table1[[#This Row],[Product ID]]=[1]!Table1[Product ID]),[1]!Table1[New Invoice
 Date],"")</f>
        <v>#REF!</v>
      </c>
      <c r="P157" t="e" cm="1">
        <f t="array" ref="P157">_xlfn.XLOOKUP(1,(Table1[[#This Row],[Customer]]=[1]!Table1[Customer])*(Table1[[#This Row],[Sales Orders]]=[1]!Table1[Sales Order])*(Table1[[#This Row],[Product ID]]=[1]!Table1[Product ID]),[1]!Table1[New 
Invoice '#],"")</f>
        <v>#REF!</v>
      </c>
      <c r="Q157" t="e" cm="1">
        <f t="array" ref="Q157">_xlfn.XLOOKUP(1,(Table1[[#This Row],[Customer]]=[1]!Table1[Customer])*(Table1[[#This Row],[Sales Orders]]=[1]!Table1[Sales Order])*(Table1[[#This Row],[Product ID]]=[1]!Table1[Product ID]),[1]!Table1[Notes],"")</f>
        <v>#REF!</v>
      </c>
      <c r="R157" t="s">
        <v>296</v>
      </c>
      <c r="S157" s="5">
        <v>1</v>
      </c>
      <c r="T157">
        <v>0</v>
      </c>
      <c r="U157" s="5">
        <v>0</v>
      </c>
      <c r="V157" s="5">
        <v>27798</v>
      </c>
      <c r="W157" s="5">
        <v>12951</v>
      </c>
      <c r="X157" t="s">
        <v>95</v>
      </c>
      <c r="Y157" s="6">
        <v>46071</v>
      </c>
      <c r="Z157" s="5"/>
      <c r="AB157" s="5"/>
      <c r="AD157" t="s">
        <v>367</v>
      </c>
    </row>
    <row r="158" spans="1:32" x14ac:dyDescent="0.2">
      <c r="A158" t="s">
        <v>147</v>
      </c>
      <c r="C158" s="5">
        <v>12951</v>
      </c>
      <c r="D158" t="s">
        <v>148</v>
      </c>
      <c r="E158">
        <v>2953.4</v>
      </c>
      <c r="F158">
        <v>3544.08</v>
      </c>
      <c r="G158" s="3">
        <v>590.67999999999984</v>
      </c>
      <c r="H158" s="4">
        <v>0.16666666666666663</v>
      </c>
      <c r="I158" s="6">
        <v>46071</v>
      </c>
      <c r="J158" s="14" t="e" cm="1">
        <f t="array" ref="J15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8" s="4"/>
      <c r="L158" s="4"/>
      <c r="M158" s="4"/>
      <c r="N158" s="4"/>
      <c r="O158" s="6" t="e" cm="1">
        <f t="array" ref="O158">_xlfn.XLOOKUP(1,(Table1[[#This Row],[Customer]]=[1]!Table1[Customer])*(Table1[[#This Row],[Sales Orders]]=[1]!Table1[Sales Order])*(Table1[[#This Row],[Product ID]]=[1]!Table1[Product ID]),[1]!Table1[New Invoice
 Date],"")</f>
        <v>#REF!</v>
      </c>
      <c r="P158" t="e" cm="1">
        <f t="array" ref="P158">_xlfn.XLOOKUP(1,(Table1[[#This Row],[Customer]]=[1]!Table1[Customer])*(Table1[[#This Row],[Sales Orders]]=[1]!Table1[Sales Order])*(Table1[[#This Row],[Product ID]]=[1]!Table1[Product ID]),[1]!Table1[New 
Invoice '#],"")</f>
        <v>#REF!</v>
      </c>
      <c r="Q158" t="e" cm="1">
        <f t="array" ref="Q158">_xlfn.XLOOKUP(1,(Table1[[#This Row],[Customer]]=[1]!Table1[Customer])*(Table1[[#This Row],[Sales Orders]]=[1]!Table1[Sales Order])*(Table1[[#This Row],[Product ID]]=[1]!Table1[Product ID]),[1]!Table1[Notes],"")</f>
        <v>#REF!</v>
      </c>
      <c r="R158" t="s">
        <v>296</v>
      </c>
      <c r="S158" s="5">
        <v>1</v>
      </c>
      <c r="T158">
        <v>0</v>
      </c>
      <c r="U158" s="5">
        <v>0</v>
      </c>
      <c r="V158" s="5">
        <v>27798</v>
      </c>
      <c r="W158" s="5">
        <v>12951</v>
      </c>
      <c r="X158" t="s">
        <v>95</v>
      </c>
      <c r="Y158" s="6">
        <v>46071</v>
      </c>
      <c r="Z158" s="5"/>
      <c r="AB158" s="5"/>
      <c r="AD158" t="s">
        <v>150</v>
      </c>
    </row>
    <row r="159" spans="1:32" x14ac:dyDescent="0.2">
      <c r="A159" t="s">
        <v>368</v>
      </c>
      <c r="C159" s="5">
        <v>12943</v>
      </c>
      <c r="D159" t="s">
        <v>369</v>
      </c>
      <c r="E159">
        <v>138.5</v>
      </c>
      <c r="F159">
        <v>166.2</v>
      </c>
      <c r="G159" s="3">
        <v>27.699999999999989</v>
      </c>
      <c r="H159" s="4">
        <v>0.1666666666666666</v>
      </c>
      <c r="I159" s="6">
        <v>46071</v>
      </c>
      <c r="J159" s="14" t="e" cm="1">
        <f t="array" ref="J15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59" s="4"/>
      <c r="L159" s="4"/>
      <c r="M159" s="4"/>
      <c r="N159" s="4"/>
      <c r="O159" s="6" t="e" cm="1">
        <f t="array" ref="O159">_xlfn.XLOOKUP(1,(Table1[[#This Row],[Customer]]=[1]!Table1[Customer])*(Table1[[#This Row],[Sales Orders]]=[1]!Table1[Sales Order])*(Table1[[#This Row],[Product ID]]=[1]!Table1[Product ID]),[1]!Table1[New Invoice
 Date],"")</f>
        <v>#REF!</v>
      </c>
      <c r="P159" t="e" cm="1">
        <f t="array" ref="P159">_xlfn.XLOOKUP(1,(Table1[[#This Row],[Customer]]=[1]!Table1[Customer])*(Table1[[#This Row],[Sales Orders]]=[1]!Table1[Sales Order])*(Table1[[#This Row],[Product ID]]=[1]!Table1[Product ID]),[1]!Table1[New 
Invoice '#],"")</f>
        <v>#REF!</v>
      </c>
      <c r="Q159" t="e" cm="1">
        <f t="array" ref="Q159">_xlfn.XLOOKUP(1,(Table1[[#This Row],[Customer]]=[1]!Table1[Customer])*(Table1[[#This Row],[Sales Orders]]=[1]!Table1[Sales Order])*(Table1[[#This Row],[Product ID]]=[1]!Table1[Product ID]),[1]!Table1[Notes],"")</f>
        <v>#REF!</v>
      </c>
      <c r="R159" t="s">
        <v>370</v>
      </c>
      <c r="S159" s="5">
        <v>1</v>
      </c>
      <c r="T159">
        <v>0</v>
      </c>
      <c r="U159" s="5">
        <v>0</v>
      </c>
      <c r="V159" s="5">
        <v>27516</v>
      </c>
      <c r="W159" s="5">
        <v>12943</v>
      </c>
      <c r="X159" t="s">
        <v>106</v>
      </c>
      <c r="Y159" s="6">
        <v>46071</v>
      </c>
      <c r="Z159" s="5"/>
      <c r="AB159" s="5"/>
      <c r="AD159" t="s">
        <v>371</v>
      </c>
    </row>
    <row r="160" spans="1:32" x14ac:dyDescent="0.2">
      <c r="A160" t="s">
        <v>368</v>
      </c>
      <c r="C160" s="5">
        <v>12943</v>
      </c>
      <c r="D160" t="s">
        <v>369</v>
      </c>
      <c r="E160">
        <v>914.41</v>
      </c>
      <c r="F160">
        <v>1097.32</v>
      </c>
      <c r="G160" s="3">
        <v>182.90999999999997</v>
      </c>
      <c r="H160" s="4">
        <v>0.1666879305945394</v>
      </c>
      <c r="I160" s="6">
        <v>46071</v>
      </c>
      <c r="J160" s="14" t="e" cm="1">
        <f t="array" ref="J16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0" s="4"/>
      <c r="L160" s="4"/>
      <c r="M160" s="4"/>
      <c r="N160" s="4"/>
      <c r="O160" s="6" t="e" cm="1">
        <f t="array" ref="O160">_xlfn.XLOOKUP(1,(Table1[[#This Row],[Customer]]=[1]!Table1[Customer])*(Table1[[#This Row],[Sales Orders]]=[1]!Table1[Sales Order])*(Table1[[#This Row],[Product ID]]=[1]!Table1[Product ID]),[1]!Table1[New Invoice
 Date],"")</f>
        <v>#REF!</v>
      </c>
      <c r="P160" t="e" cm="1">
        <f t="array" ref="P160">_xlfn.XLOOKUP(1,(Table1[[#This Row],[Customer]]=[1]!Table1[Customer])*(Table1[[#This Row],[Sales Orders]]=[1]!Table1[Sales Order])*(Table1[[#This Row],[Product ID]]=[1]!Table1[Product ID]),[1]!Table1[New 
Invoice '#],"")</f>
        <v>#REF!</v>
      </c>
      <c r="Q160" t="e" cm="1">
        <f t="array" ref="Q160">_xlfn.XLOOKUP(1,(Table1[[#This Row],[Customer]]=[1]!Table1[Customer])*(Table1[[#This Row],[Sales Orders]]=[1]!Table1[Sales Order])*(Table1[[#This Row],[Product ID]]=[1]!Table1[Product ID]),[1]!Table1[Notes],"")</f>
        <v>#REF!</v>
      </c>
      <c r="R160" t="s">
        <v>370</v>
      </c>
      <c r="S160" s="5">
        <v>7</v>
      </c>
      <c r="T160">
        <v>0</v>
      </c>
      <c r="U160" s="5">
        <v>0</v>
      </c>
      <c r="V160" s="5">
        <v>27516</v>
      </c>
      <c r="W160" s="5">
        <v>12943</v>
      </c>
      <c r="X160" t="s">
        <v>106</v>
      </c>
      <c r="Y160" s="6">
        <v>46071</v>
      </c>
      <c r="Z160" s="5"/>
      <c r="AB160" s="5"/>
      <c r="AD160" t="s">
        <v>371</v>
      </c>
    </row>
    <row r="161" spans="1:30" x14ac:dyDescent="0.2">
      <c r="A161" t="s">
        <v>93</v>
      </c>
      <c r="C161" s="5">
        <v>12948</v>
      </c>
      <c r="D161" t="s">
        <v>372</v>
      </c>
      <c r="E161">
        <v>5415.9</v>
      </c>
      <c r="F161">
        <v>6228.2</v>
      </c>
      <c r="G161" s="3">
        <v>812.30000000000018</v>
      </c>
      <c r="H161" s="4">
        <v>0.13042291512796639</v>
      </c>
      <c r="I161" s="6">
        <v>46071</v>
      </c>
      <c r="J161" s="14" t="e" cm="1">
        <f t="array" ref="J16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1" s="4"/>
      <c r="L161" s="4"/>
      <c r="M161" s="4"/>
      <c r="N161" s="4"/>
      <c r="O161" s="6" t="e" cm="1">
        <f t="array" ref="O161">_xlfn.XLOOKUP(1,(Table1[[#This Row],[Customer]]=[1]!Table1[Customer])*(Table1[[#This Row],[Sales Orders]]=[1]!Table1[Sales Order])*(Table1[[#This Row],[Product ID]]=[1]!Table1[Product ID]),[1]!Table1[New Invoice
 Date],"")</f>
        <v>#REF!</v>
      </c>
      <c r="P161" t="e" cm="1">
        <f t="array" ref="P161">_xlfn.XLOOKUP(1,(Table1[[#This Row],[Customer]]=[1]!Table1[Customer])*(Table1[[#This Row],[Sales Orders]]=[1]!Table1[Sales Order])*(Table1[[#This Row],[Product ID]]=[1]!Table1[Product ID]),[1]!Table1[New 
Invoice '#],"")</f>
        <v>#REF!</v>
      </c>
      <c r="Q161" t="e" cm="1">
        <f t="array" ref="Q161">_xlfn.XLOOKUP(1,(Table1[[#This Row],[Customer]]=[1]!Table1[Customer])*(Table1[[#This Row],[Sales Orders]]=[1]!Table1[Sales Order])*(Table1[[#This Row],[Product ID]]=[1]!Table1[Product ID]),[1]!Table1[Notes],"")</f>
        <v>#REF!</v>
      </c>
      <c r="R161" t="s">
        <v>373</v>
      </c>
      <c r="S161" s="5">
        <v>10</v>
      </c>
      <c r="T161">
        <v>0</v>
      </c>
      <c r="U161" s="5">
        <v>0</v>
      </c>
      <c r="V161" s="5">
        <v>27614</v>
      </c>
      <c r="W161" s="5">
        <v>12948</v>
      </c>
      <c r="X161" t="s">
        <v>95</v>
      </c>
      <c r="Y161" s="6">
        <v>46071</v>
      </c>
      <c r="Z161" s="5"/>
      <c r="AB161" s="5"/>
      <c r="AD161" t="s">
        <v>374</v>
      </c>
    </row>
    <row r="162" spans="1:30" x14ac:dyDescent="0.2">
      <c r="A162" t="s">
        <v>93</v>
      </c>
      <c r="C162" s="5">
        <v>12948</v>
      </c>
      <c r="D162" t="s">
        <v>375</v>
      </c>
      <c r="E162">
        <v>19053.3</v>
      </c>
      <c r="F162">
        <v>24977.3</v>
      </c>
      <c r="G162" s="3">
        <v>5924</v>
      </c>
      <c r="H162" s="4">
        <v>0.23717535522254207</v>
      </c>
      <c r="I162" s="6">
        <v>46071</v>
      </c>
      <c r="J162" s="14" t="e" cm="1">
        <f t="array" ref="J16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2" s="4"/>
      <c r="L162" s="4"/>
      <c r="M162" s="4"/>
      <c r="N162" s="4"/>
      <c r="O162" s="6" t="e" cm="1">
        <f t="array" ref="O162">_xlfn.XLOOKUP(1,(Table1[[#This Row],[Customer]]=[1]!Table1[Customer])*(Table1[[#This Row],[Sales Orders]]=[1]!Table1[Sales Order])*(Table1[[#This Row],[Product ID]]=[1]!Table1[Product ID]),[1]!Table1[New Invoice
 Date],"")</f>
        <v>#REF!</v>
      </c>
      <c r="P162" t="e" cm="1">
        <f t="array" ref="P162">_xlfn.XLOOKUP(1,(Table1[[#This Row],[Customer]]=[1]!Table1[Customer])*(Table1[[#This Row],[Sales Orders]]=[1]!Table1[Sales Order])*(Table1[[#This Row],[Product ID]]=[1]!Table1[Product ID]),[1]!Table1[New 
Invoice '#],"")</f>
        <v>#REF!</v>
      </c>
      <c r="Q162" t="e" cm="1">
        <f t="array" ref="Q162">_xlfn.XLOOKUP(1,(Table1[[#This Row],[Customer]]=[1]!Table1[Customer])*(Table1[[#This Row],[Sales Orders]]=[1]!Table1[Sales Order])*(Table1[[#This Row],[Product ID]]=[1]!Table1[Product ID]),[1]!Table1[Notes],"")</f>
        <v>#REF!</v>
      </c>
      <c r="R162" t="s">
        <v>373</v>
      </c>
      <c r="S162" s="5">
        <v>10</v>
      </c>
      <c r="T162">
        <v>0</v>
      </c>
      <c r="U162" s="5">
        <v>0</v>
      </c>
      <c r="V162" s="5">
        <v>27614</v>
      </c>
      <c r="W162" s="5">
        <v>12948</v>
      </c>
      <c r="X162" t="s">
        <v>95</v>
      </c>
      <c r="Y162" s="6">
        <v>46071</v>
      </c>
      <c r="Z162" s="5"/>
      <c r="AB162" s="5"/>
      <c r="AD162" t="s">
        <v>376</v>
      </c>
    </row>
    <row r="163" spans="1:30" x14ac:dyDescent="0.2">
      <c r="A163" t="s">
        <v>117</v>
      </c>
      <c r="C163" s="5">
        <v>12954</v>
      </c>
      <c r="D163" t="s">
        <v>88</v>
      </c>
      <c r="E163">
        <v>154</v>
      </c>
      <c r="F163">
        <v>135.34</v>
      </c>
      <c r="G163" s="3">
        <v>-18.659999999999997</v>
      </c>
      <c r="H163" s="4">
        <v>-0.13787498152800351</v>
      </c>
      <c r="I163" s="6">
        <v>46071</v>
      </c>
      <c r="J163" s="14" t="e" cm="1">
        <f t="array" ref="J16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3" s="4"/>
      <c r="L163" s="4"/>
      <c r="M163" s="4"/>
      <c r="N163" s="4"/>
      <c r="O163" s="6" t="e" cm="1">
        <f t="array" ref="O163">_xlfn.XLOOKUP(1,(Table1[[#This Row],[Customer]]=[1]!Table1[Customer])*(Table1[[#This Row],[Sales Orders]]=[1]!Table1[Sales Order])*(Table1[[#This Row],[Product ID]]=[1]!Table1[Product ID]),[1]!Table1[New Invoice
 Date],"")</f>
        <v>#REF!</v>
      </c>
      <c r="P163" t="e" cm="1">
        <f t="array" ref="P163">_xlfn.XLOOKUP(1,(Table1[[#This Row],[Customer]]=[1]!Table1[Customer])*(Table1[[#This Row],[Sales Orders]]=[1]!Table1[Sales Order])*(Table1[[#This Row],[Product ID]]=[1]!Table1[Product ID]),[1]!Table1[New 
Invoice '#],"")</f>
        <v>#REF!</v>
      </c>
      <c r="Q163" t="e" cm="1">
        <f t="array" ref="Q163">_xlfn.XLOOKUP(1,(Table1[[#This Row],[Customer]]=[1]!Table1[Customer])*(Table1[[#This Row],[Sales Orders]]=[1]!Table1[Sales Order])*(Table1[[#This Row],[Product ID]]=[1]!Table1[Product ID]),[1]!Table1[Notes],"")</f>
        <v>#REF!</v>
      </c>
      <c r="R163" t="s">
        <v>373</v>
      </c>
      <c r="S163" s="5">
        <v>1</v>
      </c>
      <c r="T163">
        <v>0</v>
      </c>
      <c r="U163" s="5">
        <v>0</v>
      </c>
      <c r="V163" s="5">
        <v>26592</v>
      </c>
      <c r="W163" s="5">
        <v>12954</v>
      </c>
      <c r="X163" t="s">
        <v>119</v>
      </c>
      <c r="Y163" s="6">
        <v>46071</v>
      </c>
      <c r="Z163" s="5"/>
      <c r="AB163" s="5"/>
      <c r="AD163" t="s">
        <v>89</v>
      </c>
    </row>
    <row r="164" spans="1:30" x14ac:dyDescent="0.2">
      <c r="A164" t="s">
        <v>39</v>
      </c>
      <c r="C164" s="5">
        <v>12952</v>
      </c>
      <c r="D164" t="s">
        <v>62</v>
      </c>
      <c r="E164">
        <v>14.6</v>
      </c>
      <c r="F164">
        <v>50</v>
      </c>
      <c r="G164" s="3">
        <v>35.4</v>
      </c>
      <c r="H164" s="4">
        <v>0.70799999999999996</v>
      </c>
      <c r="I164" s="6">
        <v>46071</v>
      </c>
      <c r="J164" s="14" t="e" cm="1">
        <f t="array" ref="J16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4" s="4"/>
      <c r="L164" s="4"/>
      <c r="M164" s="4"/>
      <c r="N164" s="4"/>
      <c r="O164" s="6" t="e" cm="1">
        <f t="array" ref="O164">_xlfn.XLOOKUP(1,(Table1[[#This Row],[Customer]]=[1]!Table1[Customer])*(Table1[[#This Row],[Sales Orders]]=[1]!Table1[Sales Order])*(Table1[[#This Row],[Product ID]]=[1]!Table1[Product ID]),[1]!Table1[New Invoice
 Date],"")</f>
        <v>#REF!</v>
      </c>
      <c r="P164" t="e" cm="1">
        <f t="array" ref="P164">_xlfn.XLOOKUP(1,(Table1[[#This Row],[Customer]]=[1]!Table1[Customer])*(Table1[[#This Row],[Sales Orders]]=[1]!Table1[Sales Order])*(Table1[[#This Row],[Product ID]]=[1]!Table1[Product ID]),[1]!Table1[New 
Invoice '#],"")</f>
        <v>#REF!</v>
      </c>
      <c r="Q164" t="e" cm="1">
        <f t="array" ref="Q164">_xlfn.XLOOKUP(1,(Table1[[#This Row],[Customer]]=[1]!Table1[Customer])*(Table1[[#This Row],[Sales Orders]]=[1]!Table1[Sales Order])*(Table1[[#This Row],[Product ID]]=[1]!Table1[Product ID]),[1]!Table1[Notes],"")</f>
        <v>#REF!</v>
      </c>
      <c r="R164" t="s">
        <v>373</v>
      </c>
      <c r="S164" s="5">
        <v>1</v>
      </c>
      <c r="T164">
        <v>0</v>
      </c>
      <c r="U164" s="5">
        <v>0</v>
      </c>
      <c r="V164" s="5">
        <v>27799</v>
      </c>
      <c r="W164" s="5">
        <v>12952</v>
      </c>
      <c r="X164" t="s">
        <v>95</v>
      </c>
      <c r="Y164" s="6">
        <v>46071</v>
      </c>
      <c r="Z164" s="5"/>
      <c r="AB164" s="5"/>
      <c r="AD164" t="s">
        <v>377</v>
      </c>
    </row>
    <row r="165" spans="1:30" x14ac:dyDescent="0.2">
      <c r="A165" t="s">
        <v>378</v>
      </c>
      <c r="C165" s="5">
        <v>12970</v>
      </c>
      <c r="D165" t="s">
        <v>379</v>
      </c>
      <c r="E165">
        <v>2244.12</v>
      </c>
      <c r="F165">
        <v>2315.7600000000002</v>
      </c>
      <c r="G165" s="3">
        <v>71.640000000000327</v>
      </c>
      <c r="H165" s="4">
        <v>3.0935848274432722E-2</v>
      </c>
      <c r="I165" s="6">
        <v>46072</v>
      </c>
      <c r="J165" s="14" t="e" cm="1">
        <f t="array" ref="J16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5" s="4"/>
      <c r="L165" s="4"/>
      <c r="M165" s="4"/>
      <c r="N165" s="4"/>
      <c r="O165" s="6" t="e" cm="1">
        <f t="array" ref="O165">_xlfn.XLOOKUP(1,(Table1[[#This Row],[Customer]]=[1]!Table1[Customer])*(Table1[[#This Row],[Sales Orders]]=[1]!Table1[Sales Order])*(Table1[[#This Row],[Product ID]]=[1]!Table1[Product ID]),[1]!Table1[New Invoice
 Date],"")</f>
        <v>#REF!</v>
      </c>
      <c r="P165" t="e" cm="1">
        <f t="array" ref="P165">_xlfn.XLOOKUP(1,(Table1[[#This Row],[Customer]]=[1]!Table1[Customer])*(Table1[[#This Row],[Sales Orders]]=[1]!Table1[Sales Order])*(Table1[[#This Row],[Product ID]]=[1]!Table1[Product ID]),[1]!Table1[New 
Invoice '#],"")</f>
        <v>#REF!</v>
      </c>
      <c r="Q165" t="e" cm="1">
        <f t="array" ref="Q165">_xlfn.XLOOKUP(1,(Table1[[#This Row],[Customer]]=[1]!Table1[Customer])*(Table1[[#This Row],[Sales Orders]]=[1]!Table1[Sales Order])*(Table1[[#This Row],[Product ID]]=[1]!Table1[Product ID]),[1]!Table1[Notes],"")</f>
        <v>#REF!</v>
      </c>
      <c r="R165" t="s">
        <v>217</v>
      </c>
      <c r="S165" s="5">
        <v>2</v>
      </c>
      <c r="T165">
        <v>0</v>
      </c>
      <c r="U165" s="5">
        <v>0</v>
      </c>
      <c r="V165" s="5">
        <v>27749</v>
      </c>
      <c r="W165" s="5">
        <v>12970</v>
      </c>
      <c r="X165" t="s">
        <v>119</v>
      </c>
      <c r="Y165" s="6">
        <v>46072</v>
      </c>
      <c r="Z165" s="5"/>
      <c r="AB165" s="5"/>
      <c r="AD165" t="s">
        <v>380</v>
      </c>
    </row>
    <row r="166" spans="1:30" x14ac:dyDescent="0.2">
      <c r="A166" t="s">
        <v>378</v>
      </c>
      <c r="C166" s="5">
        <v>12970</v>
      </c>
      <c r="D166" t="s">
        <v>381</v>
      </c>
      <c r="E166">
        <v>1705.24</v>
      </c>
      <c r="F166">
        <v>1759.68</v>
      </c>
      <c r="G166" s="3">
        <v>54.440000000000055</v>
      </c>
      <c r="H166" s="4">
        <v>3.0937443171485755E-2</v>
      </c>
      <c r="I166" s="6">
        <v>46072</v>
      </c>
      <c r="J166" s="14" t="e" cm="1">
        <f t="array" ref="J16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6" s="4"/>
      <c r="L166" s="4"/>
      <c r="M166" s="4"/>
      <c r="N166" s="4"/>
      <c r="O166" s="6" t="e" cm="1">
        <f t="array" ref="O166">_xlfn.XLOOKUP(1,(Table1[[#This Row],[Customer]]=[1]!Table1[Customer])*(Table1[[#This Row],[Sales Orders]]=[1]!Table1[Sales Order])*(Table1[[#This Row],[Product ID]]=[1]!Table1[Product ID]),[1]!Table1[New Invoice
 Date],"")</f>
        <v>#REF!</v>
      </c>
      <c r="P166" t="e" cm="1">
        <f t="array" ref="P166">_xlfn.XLOOKUP(1,(Table1[[#This Row],[Customer]]=[1]!Table1[Customer])*(Table1[[#This Row],[Sales Orders]]=[1]!Table1[Sales Order])*(Table1[[#This Row],[Product ID]]=[1]!Table1[Product ID]),[1]!Table1[New 
Invoice '#],"")</f>
        <v>#REF!</v>
      </c>
      <c r="Q166" t="e" cm="1">
        <f t="array" ref="Q166">_xlfn.XLOOKUP(1,(Table1[[#This Row],[Customer]]=[1]!Table1[Customer])*(Table1[[#This Row],[Sales Orders]]=[1]!Table1[Sales Order])*(Table1[[#This Row],[Product ID]]=[1]!Table1[Product ID]),[1]!Table1[Notes],"")</f>
        <v>#REF!</v>
      </c>
      <c r="R166" t="s">
        <v>217</v>
      </c>
      <c r="S166" s="5">
        <v>4</v>
      </c>
      <c r="T166">
        <v>0</v>
      </c>
      <c r="U166" s="5">
        <v>0</v>
      </c>
      <c r="V166" s="5">
        <v>27749</v>
      </c>
      <c r="W166" s="5">
        <v>12970</v>
      </c>
      <c r="X166" t="s">
        <v>119</v>
      </c>
      <c r="Y166" s="6">
        <v>46072</v>
      </c>
      <c r="Z166" s="5"/>
      <c r="AB166" s="5"/>
      <c r="AD166" t="s">
        <v>382</v>
      </c>
    </row>
    <row r="167" spans="1:30" x14ac:dyDescent="0.2">
      <c r="A167" t="s">
        <v>378</v>
      </c>
      <c r="C167" s="5">
        <v>12970</v>
      </c>
      <c r="D167" t="s">
        <v>383</v>
      </c>
      <c r="E167">
        <v>2984.17</v>
      </c>
      <c r="F167">
        <v>3079.44</v>
      </c>
      <c r="G167" s="3">
        <v>95.269999999999982</v>
      </c>
      <c r="H167" s="4">
        <v>3.093744317148572E-2</v>
      </c>
      <c r="I167" s="6">
        <v>46072</v>
      </c>
      <c r="J167" s="14" t="e" cm="1">
        <f t="array" ref="J16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7" s="4"/>
      <c r="L167" s="4"/>
      <c r="M167" s="4"/>
      <c r="N167" s="4"/>
      <c r="O167" s="6" t="e" cm="1">
        <f t="array" ref="O167">_xlfn.XLOOKUP(1,(Table1[[#This Row],[Customer]]=[1]!Table1[Customer])*(Table1[[#This Row],[Sales Orders]]=[1]!Table1[Sales Order])*(Table1[[#This Row],[Product ID]]=[1]!Table1[Product ID]),[1]!Table1[New Invoice
 Date],"")</f>
        <v>#REF!</v>
      </c>
      <c r="P167" t="e" cm="1">
        <f t="array" ref="P167">_xlfn.XLOOKUP(1,(Table1[[#This Row],[Customer]]=[1]!Table1[Customer])*(Table1[[#This Row],[Sales Orders]]=[1]!Table1[Sales Order])*(Table1[[#This Row],[Product ID]]=[1]!Table1[Product ID]),[1]!Table1[New 
Invoice '#],"")</f>
        <v>#REF!</v>
      </c>
      <c r="Q167" t="e" cm="1">
        <f t="array" ref="Q167">_xlfn.XLOOKUP(1,(Table1[[#This Row],[Customer]]=[1]!Table1[Customer])*(Table1[[#This Row],[Sales Orders]]=[1]!Table1[Sales Order])*(Table1[[#This Row],[Product ID]]=[1]!Table1[Product ID]),[1]!Table1[Notes],"")</f>
        <v>#REF!</v>
      </c>
      <c r="R167" t="s">
        <v>217</v>
      </c>
      <c r="S167" s="5">
        <v>7</v>
      </c>
      <c r="T167">
        <v>0</v>
      </c>
      <c r="U167" s="5">
        <v>0</v>
      </c>
      <c r="V167" s="5">
        <v>27749</v>
      </c>
      <c r="W167" s="5">
        <v>12970</v>
      </c>
      <c r="X167" t="s">
        <v>119</v>
      </c>
      <c r="Y167" s="6">
        <v>46072</v>
      </c>
      <c r="Z167" s="5"/>
      <c r="AB167" s="5"/>
      <c r="AD167" t="s">
        <v>384</v>
      </c>
    </row>
    <row r="168" spans="1:30" x14ac:dyDescent="0.2">
      <c r="A168" t="s">
        <v>378</v>
      </c>
      <c r="C168" s="5">
        <v>12970</v>
      </c>
      <c r="D168" t="s">
        <v>385</v>
      </c>
      <c r="E168">
        <v>5770.47</v>
      </c>
      <c r="F168">
        <v>6290.04</v>
      </c>
      <c r="G168" s="3">
        <v>519.56999999999971</v>
      </c>
      <c r="H168" s="4">
        <v>8.2602018429135546E-2</v>
      </c>
      <c r="I168" s="6">
        <v>46072</v>
      </c>
      <c r="J168" s="14" t="e" cm="1">
        <f t="array" ref="J16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8" s="4"/>
      <c r="L168" s="4"/>
      <c r="M168" s="4"/>
      <c r="N168" s="4"/>
      <c r="O168" s="6" t="e" cm="1">
        <f t="array" ref="O168">_xlfn.XLOOKUP(1,(Table1[[#This Row],[Customer]]=[1]!Table1[Customer])*(Table1[[#This Row],[Sales Orders]]=[1]!Table1[Sales Order])*(Table1[[#This Row],[Product ID]]=[1]!Table1[Product ID]),[1]!Table1[New Invoice
 Date],"")</f>
        <v>#REF!</v>
      </c>
      <c r="P168" t="e" cm="1">
        <f t="array" ref="P168">_xlfn.XLOOKUP(1,(Table1[[#This Row],[Customer]]=[1]!Table1[Customer])*(Table1[[#This Row],[Sales Orders]]=[1]!Table1[Sales Order])*(Table1[[#This Row],[Product ID]]=[1]!Table1[Product ID]),[1]!Table1[New 
Invoice '#],"")</f>
        <v>#REF!</v>
      </c>
      <c r="Q168" t="e" cm="1">
        <f t="array" ref="Q168">_xlfn.XLOOKUP(1,(Table1[[#This Row],[Customer]]=[1]!Table1[Customer])*(Table1[[#This Row],[Sales Orders]]=[1]!Table1[Sales Order])*(Table1[[#This Row],[Product ID]]=[1]!Table1[Product ID]),[1]!Table1[Notes],"")</f>
        <v>#REF!</v>
      </c>
      <c r="R168" t="s">
        <v>217</v>
      </c>
      <c r="S168" s="5">
        <v>23</v>
      </c>
      <c r="T168">
        <v>0</v>
      </c>
      <c r="U168" s="5">
        <v>0</v>
      </c>
      <c r="V168" s="5">
        <v>27749</v>
      </c>
      <c r="W168" s="5">
        <v>12970</v>
      </c>
      <c r="X168" t="s">
        <v>119</v>
      </c>
      <c r="Y168" s="6">
        <v>46072</v>
      </c>
      <c r="Z168" s="5"/>
      <c r="AB168" s="5"/>
      <c r="AD168" t="s">
        <v>386</v>
      </c>
    </row>
    <row r="169" spans="1:30" x14ac:dyDescent="0.2">
      <c r="A169" t="s">
        <v>378</v>
      </c>
      <c r="C169" s="5">
        <v>12971</v>
      </c>
      <c r="D169" t="s">
        <v>387</v>
      </c>
      <c r="E169">
        <v>7400</v>
      </c>
      <c r="F169">
        <v>8900</v>
      </c>
      <c r="G169" s="3">
        <v>1500</v>
      </c>
      <c r="H169" s="4">
        <v>0.16853932584269662</v>
      </c>
      <c r="I169" s="6">
        <v>46072</v>
      </c>
      <c r="J169" s="14" t="e" cm="1">
        <f t="array" ref="J16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69" s="4"/>
      <c r="L169" s="4"/>
      <c r="M169" s="4"/>
      <c r="N169" s="4"/>
      <c r="O169" s="6" t="e" cm="1">
        <f t="array" ref="O169">_xlfn.XLOOKUP(1,(Table1[[#This Row],[Customer]]=[1]!Table1[Customer])*(Table1[[#This Row],[Sales Orders]]=[1]!Table1[Sales Order])*(Table1[[#This Row],[Product ID]]=[1]!Table1[Product ID]),[1]!Table1[New Invoice
 Date],"")</f>
        <v>#REF!</v>
      </c>
      <c r="P169" t="e" cm="1">
        <f t="array" ref="P169">_xlfn.XLOOKUP(1,(Table1[[#This Row],[Customer]]=[1]!Table1[Customer])*(Table1[[#This Row],[Sales Orders]]=[1]!Table1[Sales Order])*(Table1[[#This Row],[Product ID]]=[1]!Table1[Product ID]),[1]!Table1[New 
Invoice '#],"")</f>
        <v>#REF!</v>
      </c>
      <c r="Q169" t="e" cm="1">
        <f t="array" ref="Q169">_xlfn.XLOOKUP(1,(Table1[[#This Row],[Customer]]=[1]!Table1[Customer])*(Table1[[#This Row],[Sales Orders]]=[1]!Table1[Sales Order])*(Table1[[#This Row],[Product ID]]=[1]!Table1[Product ID]),[1]!Table1[Notes],"")</f>
        <v>#REF!</v>
      </c>
      <c r="R169" t="s">
        <v>217</v>
      </c>
      <c r="S169" s="5">
        <v>5000</v>
      </c>
      <c r="T169">
        <v>0</v>
      </c>
      <c r="U169" s="5">
        <v>0</v>
      </c>
      <c r="V169" s="5">
        <v>27749</v>
      </c>
      <c r="W169" s="5">
        <v>12971</v>
      </c>
      <c r="X169" t="s">
        <v>119</v>
      </c>
      <c r="Y169" s="6">
        <v>46072</v>
      </c>
      <c r="Z169" s="5"/>
      <c r="AB169" s="5"/>
      <c r="AD169" t="s">
        <v>388</v>
      </c>
    </row>
    <row r="170" spans="1:30" x14ac:dyDescent="0.2">
      <c r="A170" t="s">
        <v>117</v>
      </c>
      <c r="C170" s="5">
        <v>12962</v>
      </c>
      <c r="D170" t="s">
        <v>88</v>
      </c>
      <c r="E170">
        <v>417.07</v>
      </c>
      <c r="F170">
        <v>406.02</v>
      </c>
      <c r="G170" s="3">
        <v>-11.049999999999983</v>
      </c>
      <c r="H170" s="4">
        <v>-2.7215408107974935E-2</v>
      </c>
      <c r="I170" s="6">
        <v>46072</v>
      </c>
      <c r="J170" s="14" t="e" cm="1">
        <f t="array" ref="J17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0" s="4"/>
      <c r="L170" s="4"/>
      <c r="M170" s="4"/>
      <c r="N170" s="4"/>
      <c r="O170" s="6" t="e" cm="1">
        <f t="array" ref="O170">_xlfn.XLOOKUP(1,(Table1[[#This Row],[Customer]]=[1]!Table1[Customer])*(Table1[[#This Row],[Sales Orders]]=[1]!Table1[Sales Order])*(Table1[[#This Row],[Product ID]]=[1]!Table1[Product ID]),[1]!Table1[New Invoice
 Date],"")</f>
        <v>#REF!</v>
      </c>
      <c r="P170" t="e" cm="1">
        <f t="array" ref="P170">_xlfn.XLOOKUP(1,(Table1[[#This Row],[Customer]]=[1]!Table1[Customer])*(Table1[[#This Row],[Sales Orders]]=[1]!Table1[Sales Order])*(Table1[[#This Row],[Product ID]]=[1]!Table1[Product ID]),[1]!Table1[New 
Invoice '#],"")</f>
        <v>#REF!</v>
      </c>
      <c r="Q170" t="e" cm="1">
        <f t="array" ref="Q170">_xlfn.XLOOKUP(1,(Table1[[#This Row],[Customer]]=[1]!Table1[Customer])*(Table1[[#This Row],[Sales Orders]]=[1]!Table1[Sales Order])*(Table1[[#This Row],[Product ID]]=[1]!Table1[Product ID]),[1]!Table1[Notes],"")</f>
        <v>#REF!</v>
      </c>
      <c r="R170" t="s">
        <v>296</v>
      </c>
      <c r="S170" s="5">
        <v>1</v>
      </c>
      <c r="T170">
        <v>0</v>
      </c>
      <c r="U170" s="5">
        <v>0</v>
      </c>
      <c r="V170" s="5">
        <v>26592</v>
      </c>
      <c r="W170" s="5">
        <v>12962</v>
      </c>
      <c r="X170" t="s">
        <v>119</v>
      </c>
      <c r="Y170" s="6">
        <v>46072</v>
      </c>
      <c r="Z170" s="5"/>
      <c r="AB170" s="5"/>
      <c r="AD170" t="s">
        <v>89</v>
      </c>
    </row>
    <row r="171" spans="1:30" x14ac:dyDescent="0.2">
      <c r="A171" t="s">
        <v>389</v>
      </c>
      <c r="C171" s="5">
        <v>12976</v>
      </c>
      <c r="D171" t="s">
        <v>390</v>
      </c>
      <c r="E171">
        <v>0</v>
      </c>
      <c r="F171">
        <v>-5585.84</v>
      </c>
      <c r="G171" s="3">
        <v>-5585.84</v>
      </c>
      <c r="H171" s="4">
        <v>1</v>
      </c>
      <c r="I171" s="6">
        <v>46073</v>
      </c>
      <c r="J171" s="14" t="e" cm="1">
        <f t="array" ref="J17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1" s="4"/>
      <c r="L171" s="4"/>
      <c r="M171" s="4"/>
      <c r="N171" s="4"/>
      <c r="O171" s="6" t="e" cm="1">
        <f t="array" ref="O171">_xlfn.XLOOKUP(1,(Table1[[#This Row],[Customer]]=[1]!Table1[Customer])*(Table1[[#This Row],[Sales Orders]]=[1]!Table1[Sales Order])*(Table1[[#This Row],[Product ID]]=[1]!Table1[Product ID]),[1]!Table1[New Invoice
 Date],"")</f>
        <v>#REF!</v>
      </c>
      <c r="P171" t="e" cm="1">
        <f t="array" ref="P171">_xlfn.XLOOKUP(1,(Table1[[#This Row],[Customer]]=[1]!Table1[Customer])*(Table1[[#This Row],[Sales Orders]]=[1]!Table1[Sales Order])*(Table1[[#This Row],[Product ID]]=[1]!Table1[Product ID]),[1]!Table1[New 
Invoice '#],"")</f>
        <v>#REF!</v>
      </c>
      <c r="Q171" t="e" cm="1">
        <f t="array" ref="Q171">_xlfn.XLOOKUP(1,(Table1[[#This Row],[Customer]]=[1]!Table1[Customer])*(Table1[[#This Row],[Sales Orders]]=[1]!Table1[Sales Order])*(Table1[[#This Row],[Product ID]]=[1]!Table1[Product ID]),[1]!Table1[Notes],"")</f>
        <v>#REF!</v>
      </c>
      <c r="R171" t="s">
        <v>296</v>
      </c>
      <c r="S171" s="5">
        <v>1</v>
      </c>
      <c r="T171">
        <v>0</v>
      </c>
      <c r="U171" s="5">
        <v>0</v>
      </c>
      <c r="V171" s="5"/>
      <c r="W171" s="5">
        <v>12976</v>
      </c>
      <c r="X171" t="s">
        <v>119</v>
      </c>
      <c r="Y171" s="6">
        <v>46073</v>
      </c>
      <c r="Z171" s="5">
        <v>3197</v>
      </c>
      <c r="AA171" t="s">
        <v>115</v>
      </c>
      <c r="AB171" s="5"/>
      <c r="AD171" t="s">
        <v>391</v>
      </c>
    </row>
    <row r="172" spans="1:30" x14ac:dyDescent="0.2">
      <c r="A172" t="s">
        <v>389</v>
      </c>
      <c r="C172" s="5">
        <v>12976</v>
      </c>
      <c r="D172" t="s">
        <v>392</v>
      </c>
      <c r="E172">
        <v>3019.94</v>
      </c>
      <c r="F172">
        <v>3623.92</v>
      </c>
      <c r="G172" s="3">
        <v>603.98</v>
      </c>
      <c r="H172" s="4">
        <v>0.16666482703812446</v>
      </c>
      <c r="I172" s="6">
        <v>46073</v>
      </c>
      <c r="J172" s="14" t="e" cm="1">
        <f t="array" ref="J17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2" s="4"/>
      <c r="L172" s="4"/>
      <c r="M172" s="4"/>
      <c r="N172" s="4"/>
      <c r="O172" s="6" t="e" cm="1">
        <f t="array" ref="O172">_xlfn.XLOOKUP(1,(Table1[[#This Row],[Customer]]=[1]!Table1[Customer])*(Table1[[#This Row],[Sales Orders]]=[1]!Table1[Sales Order])*(Table1[[#This Row],[Product ID]]=[1]!Table1[Product ID]),[1]!Table1[New Invoice
 Date],"")</f>
        <v>#REF!</v>
      </c>
      <c r="P172" t="e" cm="1">
        <f t="array" ref="P172">_xlfn.XLOOKUP(1,(Table1[[#This Row],[Customer]]=[1]!Table1[Customer])*(Table1[[#This Row],[Sales Orders]]=[1]!Table1[Sales Order])*(Table1[[#This Row],[Product ID]]=[1]!Table1[Product ID]),[1]!Table1[New 
Invoice '#],"")</f>
        <v>#REF!</v>
      </c>
      <c r="Q172" t="e" cm="1">
        <f t="array" ref="Q172">_xlfn.XLOOKUP(1,(Table1[[#This Row],[Customer]]=[1]!Table1[Customer])*(Table1[[#This Row],[Sales Orders]]=[1]!Table1[Sales Order])*(Table1[[#This Row],[Product ID]]=[1]!Table1[Product ID]),[1]!Table1[Notes],"")</f>
        <v>#REF!</v>
      </c>
      <c r="R172" t="s">
        <v>296</v>
      </c>
      <c r="S172" s="5">
        <v>2</v>
      </c>
      <c r="T172">
        <v>0</v>
      </c>
      <c r="U172" s="5">
        <v>0</v>
      </c>
      <c r="V172" s="5"/>
      <c r="W172" s="5">
        <v>12976</v>
      </c>
      <c r="X172" t="s">
        <v>119</v>
      </c>
      <c r="Y172" s="6">
        <v>46073</v>
      </c>
      <c r="Z172" s="5">
        <v>3197</v>
      </c>
      <c r="AA172" t="s">
        <v>115</v>
      </c>
      <c r="AB172" s="5"/>
      <c r="AD172" t="s">
        <v>393</v>
      </c>
    </row>
    <row r="173" spans="1:30" x14ac:dyDescent="0.2">
      <c r="A173" t="s">
        <v>389</v>
      </c>
      <c r="C173" s="5">
        <v>12976</v>
      </c>
      <c r="D173" t="s">
        <v>394</v>
      </c>
      <c r="E173">
        <v>706.98</v>
      </c>
      <c r="F173">
        <v>848.38</v>
      </c>
      <c r="G173" s="3">
        <v>141.39999999999998</v>
      </c>
      <c r="H173" s="4">
        <v>0.1666705957236144</v>
      </c>
      <c r="I173" s="6">
        <v>46073</v>
      </c>
      <c r="J173" s="14" t="e" cm="1">
        <f t="array" ref="J17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3" s="4"/>
      <c r="L173" s="4"/>
      <c r="M173" s="4"/>
      <c r="N173" s="4"/>
      <c r="O173" s="6" t="e" cm="1">
        <f t="array" ref="O173">_xlfn.XLOOKUP(1,(Table1[[#This Row],[Customer]]=[1]!Table1[Customer])*(Table1[[#This Row],[Sales Orders]]=[1]!Table1[Sales Order])*(Table1[[#This Row],[Product ID]]=[1]!Table1[Product ID]),[1]!Table1[New Invoice
 Date],"")</f>
        <v>#REF!</v>
      </c>
      <c r="P173" t="e" cm="1">
        <f t="array" ref="P173">_xlfn.XLOOKUP(1,(Table1[[#This Row],[Customer]]=[1]!Table1[Customer])*(Table1[[#This Row],[Sales Orders]]=[1]!Table1[Sales Order])*(Table1[[#This Row],[Product ID]]=[1]!Table1[Product ID]),[1]!Table1[New 
Invoice '#],"")</f>
        <v>#REF!</v>
      </c>
      <c r="Q173" t="e" cm="1">
        <f t="array" ref="Q173">_xlfn.XLOOKUP(1,(Table1[[#This Row],[Customer]]=[1]!Table1[Customer])*(Table1[[#This Row],[Sales Orders]]=[1]!Table1[Sales Order])*(Table1[[#This Row],[Product ID]]=[1]!Table1[Product ID]),[1]!Table1[Notes],"")</f>
        <v>#REF!</v>
      </c>
      <c r="R173" t="s">
        <v>296</v>
      </c>
      <c r="S173" s="5">
        <v>2</v>
      </c>
      <c r="T173">
        <v>0</v>
      </c>
      <c r="U173" s="5">
        <v>0</v>
      </c>
      <c r="V173" s="5"/>
      <c r="W173" s="5">
        <v>12976</v>
      </c>
      <c r="X173" t="s">
        <v>119</v>
      </c>
      <c r="Y173" s="6">
        <v>46073</v>
      </c>
      <c r="Z173" s="5">
        <v>3197</v>
      </c>
      <c r="AA173" t="s">
        <v>115</v>
      </c>
      <c r="AB173" s="5"/>
      <c r="AD173" t="s">
        <v>395</v>
      </c>
    </row>
    <row r="174" spans="1:30" x14ac:dyDescent="0.2">
      <c r="A174" t="s">
        <v>389</v>
      </c>
      <c r="C174" s="5">
        <v>12976</v>
      </c>
      <c r="D174" t="s">
        <v>396</v>
      </c>
      <c r="E174">
        <v>12.94</v>
      </c>
      <c r="F174">
        <v>15.52</v>
      </c>
      <c r="G174" s="3">
        <v>2.58</v>
      </c>
      <c r="H174" s="4">
        <v>0.16623711340206188</v>
      </c>
      <c r="I174" s="6">
        <v>46073</v>
      </c>
      <c r="J174" s="14" t="e" cm="1">
        <f t="array" ref="J17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4" s="4"/>
      <c r="L174" s="4"/>
      <c r="M174" s="4"/>
      <c r="N174" s="4"/>
      <c r="O174" s="6" t="e" cm="1">
        <f t="array" ref="O174">_xlfn.XLOOKUP(1,(Table1[[#This Row],[Customer]]=[1]!Table1[Customer])*(Table1[[#This Row],[Sales Orders]]=[1]!Table1[Sales Order])*(Table1[[#This Row],[Product ID]]=[1]!Table1[Product ID]),[1]!Table1[New Invoice
 Date],"")</f>
        <v>#REF!</v>
      </c>
      <c r="P174" t="e" cm="1">
        <f t="array" ref="P174">_xlfn.XLOOKUP(1,(Table1[[#This Row],[Customer]]=[1]!Table1[Customer])*(Table1[[#This Row],[Sales Orders]]=[1]!Table1[Sales Order])*(Table1[[#This Row],[Product ID]]=[1]!Table1[Product ID]),[1]!Table1[New 
Invoice '#],"")</f>
        <v>#REF!</v>
      </c>
      <c r="Q174" t="e" cm="1">
        <f t="array" ref="Q174">_xlfn.XLOOKUP(1,(Table1[[#This Row],[Customer]]=[1]!Table1[Customer])*(Table1[[#This Row],[Sales Orders]]=[1]!Table1[Sales Order])*(Table1[[#This Row],[Product ID]]=[1]!Table1[Product ID]),[1]!Table1[Notes],"")</f>
        <v>#REF!</v>
      </c>
      <c r="R174" t="s">
        <v>296</v>
      </c>
      <c r="S174" s="5">
        <v>2</v>
      </c>
      <c r="T174">
        <v>0</v>
      </c>
      <c r="U174" s="5">
        <v>0</v>
      </c>
      <c r="V174" s="5"/>
      <c r="W174" s="5">
        <v>12976</v>
      </c>
      <c r="X174" t="s">
        <v>119</v>
      </c>
      <c r="Y174" s="6">
        <v>46073</v>
      </c>
      <c r="Z174" s="5">
        <v>3197</v>
      </c>
      <c r="AA174" t="s">
        <v>115</v>
      </c>
      <c r="AB174" s="5"/>
      <c r="AD174" t="s">
        <v>397</v>
      </c>
    </row>
    <row r="175" spans="1:30" x14ac:dyDescent="0.2">
      <c r="A175" t="s">
        <v>389</v>
      </c>
      <c r="C175" s="5">
        <v>12976</v>
      </c>
      <c r="D175" t="s">
        <v>398</v>
      </c>
      <c r="E175">
        <v>3019.2</v>
      </c>
      <c r="F175">
        <v>3623.04</v>
      </c>
      <c r="G175" s="3">
        <v>603.84000000000015</v>
      </c>
      <c r="H175" s="4">
        <v>0.16666666666666671</v>
      </c>
      <c r="I175" s="6">
        <v>46073</v>
      </c>
      <c r="J175" s="14" t="e" cm="1">
        <f t="array" ref="J17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5" s="4"/>
      <c r="L175" s="4"/>
      <c r="M175" s="4"/>
      <c r="N175" s="4"/>
      <c r="O175" s="6" t="e" cm="1">
        <f t="array" ref="O175">_xlfn.XLOOKUP(1,(Table1[[#This Row],[Customer]]=[1]!Table1[Customer])*(Table1[[#This Row],[Sales Orders]]=[1]!Table1[Sales Order])*(Table1[[#This Row],[Product ID]]=[1]!Table1[Product ID]),[1]!Table1[New Invoice
 Date],"")</f>
        <v>#REF!</v>
      </c>
      <c r="P175" t="e" cm="1">
        <f t="array" ref="P175">_xlfn.XLOOKUP(1,(Table1[[#This Row],[Customer]]=[1]!Table1[Customer])*(Table1[[#This Row],[Sales Orders]]=[1]!Table1[Sales Order])*(Table1[[#This Row],[Product ID]]=[1]!Table1[Product ID]),[1]!Table1[New 
Invoice '#],"")</f>
        <v>#REF!</v>
      </c>
      <c r="Q175" t="e" cm="1">
        <f t="array" ref="Q175">_xlfn.XLOOKUP(1,(Table1[[#This Row],[Customer]]=[1]!Table1[Customer])*(Table1[[#This Row],[Sales Orders]]=[1]!Table1[Sales Order])*(Table1[[#This Row],[Product ID]]=[1]!Table1[Product ID]),[1]!Table1[Notes],"")</f>
        <v>#REF!</v>
      </c>
      <c r="R175" t="s">
        <v>296</v>
      </c>
      <c r="S175" s="5">
        <v>2</v>
      </c>
      <c r="T175">
        <v>0</v>
      </c>
      <c r="U175" s="5">
        <v>0</v>
      </c>
      <c r="V175" s="5"/>
      <c r="W175" s="5">
        <v>12976</v>
      </c>
      <c r="X175" t="s">
        <v>119</v>
      </c>
      <c r="Y175" s="6">
        <v>46073</v>
      </c>
      <c r="Z175" s="5">
        <v>3197</v>
      </c>
      <c r="AA175" t="s">
        <v>115</v>
      </c>
      <c r="AB175" s="5"/>
      <c r="AD175" t="s">
        <v>399</v>
      </c>
    </row>
    <row r="176" spans="1:30" x14ac:dyDescent="0.2">
      <c r="A176" t="s">
        <v>389</v>
      </c>
      <c r="C176" s="5">
        <v>12976</v>
      </c>
      <c r="D176" t="s">
        <v>400</v>
      </c>
      <c r="E176">
        <v>69</v>
      </c>
      <c r="F176">
        <v>82.8</v>
      </c>
      <c r="G176" s="3">
        <v>13.799999999999997</v>
      </c>
      <c r="H176" s="4">
        <v>0.16666666666666663</v>
      </c>
      <c r="I176" s="6">
        <v>46073</v>
      </c>
      <c r="J176" s="14" t="e" cm="1">
        <f t="array" ref="J17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6" s="4"/>
      <c r="L176" s="4"/>
      <c r="M176" s="4"/>
      <c r="N176" s="4"/>
      <c r="O176" s="6" t="e" cm="1">
        <f t="array" ref="O176">_xlfn.XLOOKUP(1,(Table1[[#This Row],[Customer]]=[1]!Table1[Customer])*(Table1[[#This Row],[Sales Orders]]=[1]!Table1[Sales Order])*(Table1[[#This Row],[Product ID]]=[1]!Table1[Product ID]),[1]!Table1[New Invoice
 Date],"")</f>
        <v>#REF!</v>
      </c>
      <c r="P176" t="e" cm="1">
        <f t="array" ref="P176">_xlfn.XLOOKUP(1,(Table1[[#This Row],[Customer]]=[1]!Table1[Customer])*(Table1[[#This Row],[Sales Orders]]=[1]!Table1[Sales Order])*(Table1[[#This Row],[Product ID]]=[1]!Table1[Product ID]),[1]!Table1[New 
Invoice '#],"")</f>
        <v>#REF!</v>
      </c>
      <c r="Q176" t="e" cm="1">
        <f t="array" ref="Q176">_xlfn.XLOOKUP(1,(Table1[[#This Row],[Customer]]=[1]!Table1[Customer])*(Table1[[#This Row],[Sales Orders]]=[1]!Table1[Sales Order])*(Table1[[#This Row],[Product ID]]=[1]!Table1[Product ID]),[1]!Table1[Notes],"")</f>
        <v>#REF!</v>
      </c>
      <c r="R176" t="s">
        <v>296</v>
      </c>
      <c r="S176" s="5">
        <v>2</v>
      </c>
      <c r="T176">
        <v>0</v>
      </c>
      <c r="U176" s="5">
        <v>0</v>
      </c>
      <c r="V176" s="5"/>
      <c r="W176" s="5">
        <v>12976</v>
      </c>
      <c r="X176" t="s">
        <v>119</v>
      </c>
      <c r="Y176" s="6">
        <v>46073</v>
      </c>
      <c r="Z176" s="5">
        <v>3197</v>
      </c>
      <c r="AA176" t="s">
        <v>115</v>
      </c>
      <c r="AB176" s="5"/>
      <c r="AD176" t="s">
        <v>401</v>
      </c>
    </row>
    <row r="177" spans="1:30" x14ac:dyDescent="0.2">
      <c r="A177" t="s">
        <v>389</v>
      </c>
      <c r="C177" s="5">
        <v>12976</v>
      </c>
      <c r="D177" t="s">
        <v>402</v>
      </c>
      <c r="E177">
        <v>18.88</v>
      </c>
      <c r="F177">
        <v>22.66</v>
      </c>
      <c r="G177" s="3">
        <v>3.7800000000000011</v>
      </c>
      <c r="H177" s="4">
        <v>0.16681376875551637</v>
      </c>
      <c r="I177" s="6">
        <v>46073</v>
      </c>
      <c r="J177" s="14" t="e" cm="1">
        <f t="array" ref="J17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7" s="4"/>
      <c r="L177" s="4"/>
      <c r="M177" s="4"/>
      <c r="N177" s="4"/>
      <c r="O177" s="6" t="e" cm="1">
        <f t="array" ref="O177">_xlfn.XLOOKUP(1,(Table1[[#This Row],[Customer]]=[1]!Table1[Customer])*(Table1[[#This Row],[Sales Orders]]=[1]!Table1[Sales Order])*(Table1[[#This Row],[Product ID]]=[1]!Table1[Product ID]),[1]!Table1[New Invoice
 Date],"")</f>
        <v>#REF!</v>
      </c>
      <c r="P177" t="e" cm="1">
        <f t="array" ref="P177">_xlfn.XLOOKUP(1,(Table1[[#This Row],[Customer]]=[1]!Table1[Customer])*(Table1[[#This Row],[Sales Orders]]=[1]!Table1[Sales Order])*(Table1[[#This Row],[Product ID]]=[1]!Table1[Product ID]),[1]!Table1[New 
Invoice '#],"")</f>
        <v>#REF!</v>
      </c>
      <c r="Q177" t="e" cm="1">
        <f t="array" ref="Q177">_xlfn.XLOOKUP(1,(Table1[[#This Row],[Customer]]=[1]!Table1[Customer])*(Table1[[#This Row],[Sales Orders]]=[1]!Table1[Sales Order])*(Table1[[#This Row],[Product ID]]=[1]!Table1[Product ID]),[1]!Table1[Notes],"")</f>
        <v>#REF!</v>
      </c>
      <c r="R177" t="s">
        <v>296</v>
      </c>
      <c r="S177" s="5">
        <v>2</v>
      </c>
      <c r="T177">
        <v>0</v>
      </c>
      <c r="U177" s="5">
        <v>0</v>
      </c>
      <c r="V177" s="5"/>
      <c r="W177" s="5">
        <v>12976</v>
      </c>
      <c r="X177" t="s">
        <v>119</v>
      </c>
      <c r="Y177" s="6">
        <v>46073</v>
      </c>
      <c r="Z177" s="5">
        <v>3197</v>
      </c>
      <c r="AA177" t="s">
        <v>115</v>
      </c>
      <c r="AB177" s="5"/>
      <c r="AD177" t="s">
        <v>403</v>
      </c>
    </row>
    <row r="178" spans="1:30" x14ac:dyDescent="0.2">
      <c r="A178" t="s">
        <v>389</v>
      </c>
      <c r="C178" s="5">
        <v>12976</v>
      </c>
      <c r="D178" t="s">
        <v>404</v>
      </c>
      <c r="E178">
        <v>2381.4</v>
      </c>
      <c r="F178">
        <v>2857.68</v>
      </c>
      <c r="G178" s="3">
        <v>476.27999999999975</v>
      </c>
      <c r="H178" s="4">
        <v>0.16666666666666657</v>
      </c>
      <c r="I178" s="6">
        <v>46073</v>
      </c>
      <c r="J178" s="14" t="e" cm="1">
        <f t="array" ref="J17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8" s="4"/>
      <c r="L178" s="4"/>
      <c r="M178" s="4"/>
      <c r="N178" s="4"/>
      <c r="O178" s="6" t="e" cm="1">
        <f t="array" ref="O178">_xlfn.XLOOKUP(1,(Table1[[#This Row],[Customer]]=[1]!Table1[Customer])*(Table1[[#This Row],[Sales Orders]]=[1]!Table1[Sales Order])*(Table1[[#This Row],[Product ID]]=[1]!Table1[Product ID]),[1]!Table1[New Invoice
 Date],"")</f>
        <v>#REF!</v>
      </c>
      <c r="P178" t="e" cm="1">
        <f t="array" ref="P178">_xlfn.XLOOKUP(1,(Table1[[#This Row],[Customer]]=[1]!Table1[Customer])*(Table1[[#This Row],[Sales Orders]]=[1]!Table1[Sales Order])*(Table1[[#This Row],[Product ID]]=[1]!Table1[Product ID]),[1]!Table1[New 
Invoice '#],"")</f>
        <v>#REF!</v>
      </c>
      <c r="Q178" t="e" cm="1">
        <f t="array" ref="Q178">_xlfn.XLOOKUP(1,(Table1[[#This Row],[Customer]]=[1]!Table1[Customer])*(Table1[[#This Row],[Sales Orders]]=[1]!Table1[Sales Order])*(Table1[[#This Row],[Product ID]]=[1]!Table1[Product ID]),[1]!Table1[Notes],"")</f>
        <v>#REF!</v>
      </c>
      <c r="R178" t="s">
        <v>296</v>
      </c>
      <c r="S178" s="5">
        <v>2</v>
      </c>
      <c r="T178">
        <v>0</v>
      </c>
      <c r="U178" s="5">
        <v>0</v>
      </c>
      <c r="V178" s="5"/>
      <c r="W178" s="5">
        <v>12976</v>
      </c>
      <c r="X178" t="s">
        <v>119</v>
      </c>
      <c r="Y178" s="6">
        <v>46073</v>
      </c>
      <c r="Z178" s="5">
        <v>3197</v>
      </c>
      <c r="AA178" t="s">
        <v>115</v>
      </c>
      <c r="AB178" s="5"/>
      <c r="AD178" t="s">
        <v>405</v>
      </c>
    </row>
    <row r="179" spans="1:30" x14ac:dyDescent="0.2">
      <c r="A179" t="s">
        <v>389</v>
      </c>
      <c r="C179" s="5">
        <v>12976</v>
      </c>
      <c r="D179" t="s">
        <v>406</v>
      </c>
      <c r="E179">
        <v>1062.04</v>
      </c>
      <c r="F179">
        <v>1274.44</v>
      </c>
      <c r="G179" s="3">
        <v>212.40000000000009</v>
      </c>
      <c r="H179" s="4">
        <v>0.16666143561093508</v>
      </c>
      <c r="I179" s="6">
        <v>46073</v>
      </c>
      <c r="J179" s="14" t="e" cm="1">
        <f t="array" ref="J17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79" s="4"/>
      <c r="L179" s="4"/>
      <c r="M179" s="4"/>
      <c r="N179" s="4"/>
      <c r="O179" s="6" t="e" cm="1">
        <f t="array" ref="O179">_xlfn.XLOOKUP(1,(Table1[[#This Row],[Customer]]=[1]!Table1[Customer])*(Table1[[#This Row],[Sales Orders]]=[1]!Table1[Sales Order])*(Table1[[#This Row],[Product ID]]=[1]!Table1[Product ID]),[1]!Table1[New Invoice
 Date],"")</f>
        <v>#REF!</v>
      </c>
      <c r="P179" t="e" cm="1">
        <f t="array" ref="P179">_xlfn.XLOOKUP(1,(Table1[[#This Row],[Customer]]=[1]!Table1[Customer])*(Table1[[#This Row],[Sales Orders]]=[1]!Table1[Sales Order])*(Table1[[#This Row],[Product ID]]=[1]!Table1[Product ID]),[1]!Table1[New 
Invoice '#],"")</f>
        <v>#REF!</v>
      </c>
      <c r="Q179" t="e" cm="1">
        <f t="array" ref="Q179">_xlfn.XLOOKUP(1,(Table1[[#This Row],[Customer]]=[1]!Table1[Customer])*(Table1[[#This Row],[Sales Orders]]=[1]!Table1[Sales Order])*(Table1[[#This Row],[Product ID]]=[1]!Table1[Product ID]),[1]!Table1[Notes],"")</f>
        <v>#REF!</v>
      </c>
      <c r="R179" t="s">
        <v>296</v>
      </c>
      <c r="S179" s="5">
        <v>2</v>
      </c>
      <c r="T179">
        <v>0</v>
      </c>
      <c r="U179" s="5">
        <v>0</v>
      </c>
      <c r="V179" s="5"/>
      <c r="W179" s="5">
        <v>12976</v>
      </c>
      <c r="X179" t="s">
        <v>119</v>
      </c>
      <c r="Y179" s="6">
        <v>46073</v>
      </c>
      <c r="Z179" s="5">
        <v>3197</v>
      </c>
      <c r="AA179" t="s">
        <v>115</v>
      </c>
      <c r="AB179" s="5"/>
      <c r="AD179" t="s">
        <v>407</v>
      </c>
    </row>
    <row r="180" spans="1:30" x14ac:dyDescent="0.2">
      <c r="A180" t="s">
        <v>389</v>
      </c>
      <c r="C180" s="5">
        <v>12976</v>
      </c>
      <c r="D180" t="s">
        <v>408</v>
      </c>
      <c r="E180">
        <v>89.32</v>
      </c>
      <c r="F180">
        <v>107.18</v>
      </c>
      <c r="G180" s="3">
        <v>17.860000000000014</v>
      </c>
      <c r="H180" s="4">
        <v>0.1666355663370033</v>
      </c>
      <c r="I180" s="6">
        <v>46073</v>
      </c>
      <c r="J180" s="14" t="e" cm="1">
        <f t="array" ref="J18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0" s="4"/>
      <c r="L180" s="4"/>
      <c r="M180" s="4"/>
      <c r="N180" s="4"/>
      <c r="O180" s="6" t="e" cm="1">
        <f t="array" ref="O180">_xlfn.XLOOKUP(1,(Table1[[#This Row],[Customer]]=[1]!Table1[Customer])*(Table1[[#This Row],[Sales Orders]]=[1]!Table1[Sales Order])*(Table1[[#This Row],[Product ID]]=[1]!Table1[Product ID]),[1]!Table1[New Invoice
 Date],"")</f>
        <v>#REF!</v>
      </c>
      <c r="P180" t="e" cm="1">
        <f t="array" ref="P180">_xlfn.XLOOKUP(1,(Table1[[#This Row],[Customer]]=[1]!Table1[Customer])*(Table1[[#This Row],[Sales Orders]]=[1]!Table1[Sales Order])*(Table1[[#This Row],[Product ID]]=[1]!Table1[Product ID]),[1]!Table1[New 
Invoice '#],"")</f>
        <v>#REF!</v>
      </c>
      <c r="Q180" t="e" cm="1">
        <f t="array" ref="Q180">_xlfn.XLOOKUP(1,(Table1[[#This Row],[Customer]]=[1]!Table1[Customer])*(Table1[[#This Row],[Sales Orders]]=[1]!Table1[Sales Order])*(Table1[[#This Row],[Product ID]]=[1]!Table1[Product ID]),[1]!Table1[Notes],"")</f>
        <v>#REF!</v>
      </c>
      <c r="R180" t="s">
        <v>296</v>
      </c>
      <c r="S180" s="5">
        <v>2</v>
      </c>
      <c r="T180">
        <v>0</v>
      </c>
      <c r="U180" s="5">
        <v>0</v>
      </c>
      <c r="V180" s="5"/>
      <c r="W180" s="5">
        <v>12976</v>
      </c>
      <c r="X180" t="s">
        <v>119</v>
      </c>
      <c r="Y180" s="6">
        <v>46073</v>
      </c>
      <c r="Z180" s="5">
        <v>3197</v>
      </c>
      <c r="AA180" t="s">
        <v>115</v>
      </c>
      <c r="AB180" s="5"/>
      <c r="AD180" t="s">
        <v>409</v>
      </c>
    </row>
    <row r="181" spans="1:30" x14ac:dyDescent="0.2">
      <c r="A181" t="s">
        <v>389</v>
      </c>
      <c r="C181" s="5">
        <v>12976</v>
      </c>
      <c r="D181" t="s">
        <v>410</v>
      </c>
      <c r="E181">
        <v>539.29999999999995</v>
      </c>
      <c r="F181">
        <v>647.16</v>
      </c>
      <c r="G181" s="3">
        <v>107.86000000000001</v>
      </c>
      <c r="H181" s="4">
        <v>0.16666666666666669</v>
      </c>
      <c r="I181" s="6">
        <v>46073</v>
      </c>
      <c r="J181" s="14" t="e" cm="1">
        <f t="array" ref="J18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1" s="4"/>
      <c r="L181" s="4"/>
      <c r="M181" s="4"/>
      <c r="N181" s="4"/>
      <c r="O181" s="6" t="e" cm="1">
        <f t="array" ref="O181">_xlfn.XLOOKUP(1,(Table1[[#This Row],[Customer]]=[1]!Table1[Customer])*(Table1[[#This Row],[Sales Orders]]=[1]!Table1[Sales Order])*(Table1[[#This Row],[Product ID]]=[1]!Table1[Product ID]),[1]!Table1[New Invoice
 Date],"")</f>
        <v>#REF!</v>
      </c>
      <c r="P181" t="e" cm="1">
        <f t="array" ref="P181">_xlfn.XLOOKUP(1,(Table1[[#This Row],[Customer]]=[1]!Table1[Customer])*(Table1[[#This Row],[Sales Orders]]=[1]!Table1[Sales Order])*(Table1[[#This Row],[Product ID]]=[1]!Table1[Product ID]),[1]!Table1[New 
Invoice '#],"")</f>
        <v>#REF!</v>
      </c>
      <c r="Q181" t="e" cm="1">
        <f t="array" ref="Q181">_xlfn.XLOOKUP(1,(Table1[[#This Row],[Customer]]=[1]!Table1[Customer])*(Table1[[#This Row],[Sales Orders]]=[1]!Table1[Sales Order])*(Table1[[#This Row],[Product ID]]=[1]!Table1[Product ID]),[1]!Table1[Notes],"")</f>
        <v>#REF!</v>
      </c>
      <c r="R181" t="s">
        <v>296</v>
      </c>
      <c r="S181" s="5">
        <v>2</v>
      </c>
      <c r="T181">
        <v>0</v>
      </c>
      <c r="U181" s="5">
        <v>0</v>
      </c>
      <c r="V181" s="5"/>
      <c r="W181" s="5">
        <v>12976</v>
      </c>
      <c r="X181" t="s">
        <v>119</v>
      </c>
      <c r="Y181" s="6">
        <v>46073</v>
      </c>
      <c r="Z181" s="5">
        <v>3197</v>
      </c>
      <c r="AA181" t="s">
        <v>115</v>
      </c>
      <c r="AB181" s="5"/>
      <c r="AD181" t="s">
        <v>411</v>
      </c>
    </row>
    <row r="182" spans="1:30" x14ac:dyDescent="0.2">
      <c r="A182" t="s">
        <v>389</v>
      </c>
      <c r="C182" s="5">
        <v>12976</v>
      </c>
      <c r="D182" t="s">
        <v>412</v>
      </c>
      <c r="E182">
        <v>38.159999999999997</v>
      </c>
      <c r="F182">
        <v>45.8</v>
      </c>
      <c r="G182" s="3">
        <v>7.6400000000000006</v>
      </c>
      <c r="H182" s="4">
        <v>0.16681222707423582</v>
      </c>
      <c r="I182" s="6">
        <v>46073</v>
      </c>
      <c r="J182" s="14" t="e" cm="1">
        <f t="array" ref="J18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2" s="4"/>
      <c r="L182" s="4"/>
      <c r="M182" s="4"/>
      <c r="N182" s="4"/>
      <c r="O182" s="6" t="e" cm="1">
        <f t="array" ref="O182">_xlfn.XLOOKUP(1,(Table1[[#This Row],[Customer]]=[1]!Table1[Customer])*(Table1[[#This Row],[Sales Orders]]=[1]!Table1[Sales Order])*(Table1[[#This Row],[Product ID]]=[1]!Table1[Product ID]),[1]!Table1[New Invoice
 Date],"")</f>
        <v>#REF!</v>
      </c>
      <c r="P182" t="e" cm="1">
        <f t="array" ref="P182">_xlfn.XLOOKUP(1,(Table1[[#This Row],[Customer]]=[1]!Table1[Customer])*(Table1[[#This Row],[Sales Orders]]=[1]!Table1[Sales Order])*(Table1[[#This Row],[Product ID]]=[1]!Table1[Product ID]),[1]!Table1[New 
Invoice '#],"")</f>
        <v>#REF!</v>
      </c>
      <c r="Q182" t="e" cm="1">
        <f t="array" ref="Q182">_xlfn.XLOOKUP(1,(Table1[[#This Row],[Customer]]=[1]!Table1[Customer])*(Table1[[#This Row],[Sales Orders]]=[1]!Table1[Sales Order])*(Table1[[#This Row],[Product ID]]=[1]!Table1[Product ID]),[1]!Table1[Notes],"")</f>
        <v>#REF!</v>
      </c>
      <c r="R182" t="s">
        <v>296</v>
      </c>
      <c r="S182" s="5">
        <v>2</v>
      </c>
      <c r="T182">
        <v>0</v>
      </c>
      <c r="U182" s="5">
        <v>0</v>
      </c>
      <c r="V182" s="5"/>
      <c r="W182" s="5">
        <v>12976</v>
      </c>
      <c r="X182" t="s">
        <v>119</v>
      </c>
      <c r="Y182" s="6">
        <v>46073</v>
      </c>
      <c r="Z182" s="5">
        <v>3197</v>
      </c>
      <c r="AA182" t="s">
        <v>115</v>
      </c>
      <c r="AB182" s="5"/>
      <c r="AD182" t="s">
        <v>413</v>
      </c>
    </row>
    <row r="183" spans="1:30" x14ac:dyDescent="0.2">
      <c r="A183" t="s">
        <v>389</v>
      </c>
      <c r="C183" s="5">
        <v>12976</v>
      </c>
      <c r="D183" t="s">
        <v>414</v>
      </c>
      <c r="E183">
        <v>19.28</v>
      </c>
      <c r="F183">
        <v>23.14</v>
      </c>
      <c r="G183" s="3">
        <v>3.8599999999999994</v>
      </c>
      <c r="H183" s="4">
        <v>0.1668107173725151</v>
      </c>
      <c r="I183" s="6">
        <v>46073</v>
      </c>
      <c r="J183" s="14" t="e" cm="1">
        <f t="array" ref="J18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3" s="4"/>
      <c r="L183" s="4"/>
      <c r="M183" s="4"/>
      <c r="N183" s="4"/>
      <c r="O183" s="6" t="e" cm="1">
        <f t="array" ref="O183">_xlfn.XLOOKUP(1,(Table1[[#This Row],[Customer]]=[1]!Table1[Customer])*(Table1[[#This Row],[Sales Orders]]=[1]!Table1[Sales Order])*(Table1[[#This Row],[Product ID]]=[1]!Table1[Product ID]),[1]!Table1[New Invoice
 Date],"")</f>
        <v>#REF!</v>
      </c>
      <c r="P183" t="e" cm="1">
        <f t="array" ref="P183">_xlfn.XLOOKUP(1,(Table1[[#This Row],[Customer]]=[1]!Table1[Customer])*(Table1[[#This Row],[Sales Orders]]=[1]!Table1[Sales Order])*(Table1[[#This Row],[Product ID]]=[1]!Table1[Product ID]),[1]!Table1[New 
Invoice '#],"")</f>
        <v>#REF!</v>
      </c>
      <c r="Q183" t="e" cm="1">
        <f t="array" ref="Q183">_xlfn.XLOOKUP(1,(Table1[[#This Row],[Customer]]=[1]!Table1[Customer])*(Table1[[#This Row],[Sales Orders]]=[1]!Table1[Sales Order])*(Table1[[#This Row],[Product ID]]=[1]!Table1[Product ID]),[1]!Table1[Notes],"")</f>
        <v>#REF!</v>
      </c>
      <c r="R183" t="s">
        <v>296</v>
      </c>
      <c r="S183" s="5">
        <v>2</v>
      </c>
      <c r="T183">
        <v>0</v>
      </c>
      <c r="U183" s="5">
        <v>0</v>
      </c>
      <c r="V183" s="5"/>
      <c r="W183" s="5">
        <v>12976</v>
      </c>
      <c r="X183" t="s">
        <v>119</v>
      </c>
      <c r="Y183" s="6">
        <v>46073</v>
      </c>
      <c r="Z183" s="5">
        <v>3197</v>
      </c>
      <c r="AA183" t="s">
        <v>115</v>
      </c>
      <c r="AB183" s="5"/>
      <c r="AD183" t="s">
        <v>415</v>
      </c>
    </row>
    <row r="184" spans="1:30" x14ac:dyDescent="0.2">
      <c r="A184" t="s">
        <v>389</v>
      </c>
      <c r="C184" s="5">
        <v>12976</v>
      </c>
      <c r="D184" t="s">
        <v>416</v>
      </c>
      <c r="E184">
        <v>38.159999999999997</v>
      </c>
      <c r="F184">
        <v>45.8</v>
      </c>
      <c r="G184" s="3">
        <v>7.6400000000000006</v>
      </c>
      <c r="H184" s="4">
        <v>0.16681222707423582</v>
      </c>
      <c r="I184" s="6">
        <v>46073</v>
      </c>
      <c r="J184" s="14" t="e" cm="1">
        <f t="array" ref="J18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4" s="4"/>
      <c r="L184" s="4"/>
      <c r="M184" s="4"/>
      <c r="N184" s="4"/>
      <c r="O184" s="6" t="e" cm="1">
        <f t="array" ref="O184">_xlfn.XLOOKUP(1,(Table1[[#This Row],[Customer]]=[1]!Table1[Customer])*(Table1[[#This Row],[Sales Orders]]=[1]!Table1[Sales Order])*(Table1[[#This Row],[Product ID]]=[1]!Table1[Product ID]),[1]!Table1[New Invoice
 Date],"")</f>
        <v>#REF!</v>
      </c>
      <c r="P184" t="e" cm="1">
        <f t="array" ref="P184">_xlfn.XLOOKUP(1,(Table1[[#This Row],[Customer]]=[1]!Table1[Customer])*(Table1[[#This Row],[Sales Orders]]=[1]!Table1[Sales Order])*(Table1[[#This Row],[Product ID]]=[1]!Table1[Product ID]),[1]!Table1[New 
Invoice '#],"")</f>
        <v>#REF!</v>
      </c>
      <c r="Q184" t="e" cm="1">
        <f t="array" ref="Q184">_xlfn.XLOOKUP(1,(Table1[[#This Row],[Customer]]=[1]!Table1[Customer])*(Table1[[#This Row],[Sales Orders]]=[1]!Table1[Sales Order])*(Table1[[#This Row],[Product ID]]=[1]!Table1[Product ID]),[1]!Table1[Notes],"")</f>
        <v>#REF!</v>
      </c>
      <c r="R184" t="s">
        <v>296</v>
      </c>
      <c r="S184" s="5">
        <v>2</v>
      </c>
      <c r="T184">
        <v>0</v>
      </c>
      <c r="U184" s="5">
        <v>0</v>
      </c>
      <c r="V184" s="5"/>
      <c r="W184" s="5">
        <v>12976</v>
      </c>
      <c r="X184" t="s">
        <v>119</v>
      </c>
      <c r="Y184" s="6">
        <v>46073</v>
      </c>
      <c r="Z184" s="5">
        <v>3197</v>
      </c>
      <c r="AA184" t="s">
        <v>115</v>
      </c>
      <c r="AB184" s="5"/>
      <c r="AD184" t="s">
        <v>417</v>
      </c>
    </row>
    <row r="185" spans="1:30" x14ac:dyDescent="0.2">
      <c r="A185" t="s">
        <v>389</v>
      </c>
      <c r="C185" s="5">
        <v>12976</v>
      </c>
      <c r="D185" t="s">
        <v>418</v>
      </c>
      <c r="E185">
        <v>451.42</v>
      </c>
      <c r="F185">
        <v>541.70000000000005</v>
      </c>
      <c r="G185" s="3">
        <v>90.28000000000003</v>
      </c>
      <c r="H185" s="4">
        <v>0.16666051319918779</v>
      </c>
      <c r="I185" s="6">
        <v>46073</v>
      </c>
      <c r="J185" s="14" t="e" cm="1">
        <f t="array" ref="J18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5" s="4"/>
      <c r="L185" s="4"/>
      <c r="M185" s="4"/>
      <c r="N185" s="4"/>
      <c r="O185" s="6" t="e" cm="1">
        <f t="array" ref="O185">_xlfn.XLOOKUP(1,(Table1[[#This Row],[Customer]]=[1]!Table1[Customer])*(Table1[[#This Row],[Sales Orders]]=[1]!Table1[Sales Order])*(Table1[[#This Row],[Product ID]]=[1]!Table1[Product ID]),[1]!Table1[New Invoice
 Date],"")</f>
        <v>#REF!</v>
      </c>
      <c r="P185" t="e" cm="1">
        <f t="array" ref="P185">_xlfn.XLOOKUP(1,(Table1[[#This Row],[Customer]]=[1]!Table1[Customer])*(Table1[[#This Row],[Sales Orders]]=[1]!Table1[Sales Order])*(Table1[[#This Row],[Product ID]]=[1]!Table1[Product ID]),[1]!Table1[New 
Invoice '#],"")</f>
        <v>#REF!</v>
      </c>
      <c r="Q185" t="e" cm="1">
        <f t="array" ref="Q185">_xlfn.XLOOKUP(1,(Table1[[#This Row],[Customer]]=[1]!Table1[Customer])*(Table1[[#This Row],[Sales Orders]]=[1]!Table1[Sales Order])*(Table1[[#This Row],[Product ID]]=[1]!Table1[Product ID]),[1]!Table1[Notes],"")</f>
        <v>#REF!</v>
      </c>
      <c r="R185" t="s">
        <v>296</v>
      </c>
      <c r="S185" s="5">
        <v>2</v>
      </c>
      <c r="T185">
        <v>0</v>
      </c>
      <c r="U185" s="5">
        <v>0</v>
      </c>
      <c r="V185" s="5"/>
      <c r="W185" s="5">
        <v>12976</v>
      </c>
      <c r="X185" t="s">
        <v>119</v>
      </c>
      <c r="Y185" s="6">
        <v>46073</v>
      </c>
      <c r="Z185" s="5">
        <v>3197</v>
      </c>
      <c r="AA185" t="s">
        <v>115</v>
      </c>
      <c r="AB185" s="5"/>
      <c r="AD185" t="s">
        <v>419</v>
      </c>
    </row>
    <row r="186" spans="1:30" x14ac:dyDescent="0.2">
      <c r="A186" t="s">
        <v>389</v>
      </c>
      <c r="C186" s="5">
        <v>12976</v>
      </c>
      <c r="D186" t="s">
        <v>420</v>
      </c>
      <c r="E186">
        <v>230.9</v>
      </c>
      <c r="F186">
        <v>277.08</v>
      </c>
      <c r="G186" s="3">
        <v>46.179999999999978</v>
      </c>
      <c r="H186" s="4">
        <v>0.1666666666666666</v>
      </c>
      <c r="I186" s="6">
        <v>46073</v>
      </c>
      <c r="J186" s="14" t="e" cm="1">
        <f t="array" ref="J18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6" s="4"/>
      <c r="L186" s="4"/>
      <c r="M186" s="4"/>
      <c r="N186" s="4"/>
      <c r="O186" s="6" t="e" cm="1">
        <f t="array" ref="O186">_xlfn.XLOOKUP(1,(Table1[[#This Row],[Customer]]=[1]!Table1[Customer])*(Table1[[#This Row],[Sales Orders]]=[1]!Table1[Sales Order])*(Table1[[#This Row],[Product ID]]=[1]!Table1[Product ID]),[1]!Table1[New Invoice
 Date],"")</f>
        <v>#REF!</v>
      </c>
      <c r="P186" t="e" cm="1">
        <f t="array" ref="P186">_xlfn.XLOOKUP(1,(Table1[[#This Row],[Customer]]=[1]!Table1[Customer])*(Table1[[#This Row],[Sales Orders]]=[1]!Table1[Sales Order])*(Table1[[#This Row],[Product ID]]=[1]!Table1[Product ID]),[1]!Table1[New 
Invoice '#],"")</f>
        <v>#REF!</v>
      </c>
      <c r="Q186" t="e" cm="1">
        <f t="array" ref="Q186">_xlfn.XLOOKUP(1,(Table1[[#This Row],[Customer]]=[1]!Table1[Customer])*(Table1[[#This Row],[Sales Orders]]=[1]!Table1[Sales Order])*(Table1[[#This Row],[Product ID]]=[1]!Table1[Product ID]),[1]!Table1[Notes],"")</f>
        <v>#REF!</v>
      </c>
      <c r="R186" t="s">
        <v>296</v>
      </c>
      <c r="S186" s="5">
        <v>2</v>
      </c>
      <c r="T186">
        <v>0</v>
      </c>
      <c r="U186" s="5">
        <v>0</v>
      </c>
      <c r="V186" s="5"/>
      <c r="W186" s="5">
        <v>12976</v>
      </c>
      <c r="X186" t="s">
        <v>119</v>
      </c>
      <c r="Y186" s="6">
        <v>46073</v>
      </c>
      <c r="Z186" s="5">
        <v>3197</v>
      </c>
      <c r="AA186" t="s">
        <v>115</v>
      </c>
      <c r="AB186" s="5"/>
      <c r="AD186" t="s">
        <v>421</v>
      </c>
    </row>
    <row r="187" spans="1:30" x14ac:dyDescent="0.2">
      <c r="A187" t="s">
        <v>389</v>
      </c>
      <c r="C187" s="5">
        <v>12976</v>
      </c>
      <c r="D187" t="s">
        <v>422</v>
      </c>
      <c r="E187">
        <v>273.3</v>
      </c>
      <c r="F187">
        <v>327.96</v>
      </c>
      <c r="G187" s="3">
        <v>54.659999999999968</v>
      </c>
      <c r="H187" s="4">
        <v>0.16666666666666657</v>
      </c>
      <c r="I187" s="6">
        <v>46073</v>
      </c>
      <c r="J187" s="14" t="e" cm="1">
        <f t="array" ref="J18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7" s="4"/>
      <c r="L187" s="4"/>
      <c r="M187" s="4"/>
      <c r="N187" s="4"/>
      <c r="O187" s="6" t="e" cm="1">
        <f t="array" ref="O187">_xlfn.XLOOKUP(1,(Table1[[#This Row],[Customer]]=[1]!Table1[Customer])*(Table1[[#This Row],[Sales Orders]]=[1]!Table1[Sales Order])*(Table1[[#This Row],[Product ID]]=[1]!Table1[Product ID]),[1]!Table1[New Invoice
 Date],"")</f>
        <v>#REF!</v>
      </c>
      <c r="P187" t="e" cm="1">
        <f t="array" ref="P187">_xlfn.XLOOKUP(1,(Table1[[#This Row],[Customer]]=[1]!Table1[Customer])*(Table1[[#This Row],[Sales Orders]]=[1]!Table1[Sales Order])*(Table1[[#This Row],[Product ID]]=[1]!Table1[Product ID]),[1]!Table1[New 
Invoice '#],"")</f>
        <v>#REF!</v>
      </c>
      <c r="Q187" t="e" cm="1">
        <f t="array" ref="Q187">_xlfn.XLOOKUP(1,(Table1[[#This Row],[Customer]]=[1]!Table1[Customer])*(Table1[[#This Row],[Sales Orders]]=[1]!Table1[Sales Order])*(Table1[[#This Row],[Product ID]]=[1]!Table1[Product ID]),[1]!Table1[Notes],"")</f>
        <v>#REF!</v>
      </c>
      <c r="R187" t="s">
        <v>296</v>
      </c>
      <c r="S187" s="5">
        <v>2</v>
      </c>
      <c r="T187">
        <v>0</v>
      </c>
      <c r="U187" s="5">
        <v>0</v>
      </c>
      <c r="V187" s="5"/>
      <c r="W187" s="5">
        <v>12976</v>
      </c>
      <c r="X187" t="s">
        <v>119</v>
      </c>
      <c r="Y187" s="6">
        <v>46073</v>
      </c>
      <c r="Z187" s="5">
        <v>3197</v>
      </c>
      <c r="AA187" t="s">
        <v>115</v>
      </c>
      <c r="AB187" s="5"/>
      <c r="AD187" t="s">
        <v>423</v>
      </c>
    </row>
    <row r="188" spans="1:30" x14ac:dyDescent="0.2">
      <c r="A188" t="s">
        <v>389</v>
      </c>
      <c r="C188" s="5">
        <v>12976</v>
      </c>
      <c r="D188" t="s">
        <v>424</v>
      </c>
      <c r="E188">
        <v>273.3</v>
      </c>
      <c r="F188">
        <v>327.96</v>
      </c>
      <c r="G188" s="3">
        <v>54.659999999999968</v>
      </c>
      <c r="H188" s="4">
        <v>0.16666666666666657</v>
      </c>
      <c r="I188" s="6">
        <v>46073</v>
      </c>
      <c r="J188" s="14" t="e" cm="1">
        <f t="array" ref="J18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8" s="4"/>
      <c r="L188" s="4"/>
      <c r="M188" s="4"/>
      <c r="N188" s="4"/>
      <c r="O188" s="6" t="e" cm="1">
        <f t="array" ref="O188">_xlfn.XLOOKUP(1,(Table1[[#This Row],[Customer]]=[1]!Table1[Customer])*(Table1[[#This Row],[Sales Orders]]=[1]!Table1[Sales Order])*(Table1[[#This Row],[Product ID]]=[1]!Table1[Product ID]),[1]!Table1[New Invoice
 Date],"")</f>
        <v>#REF!</v>
      </c>
      <c r="P188" t="e" cm="1">
        <f t="array" ref="P188">_xlfn.XLOOKUP(1,(Table1[[#This Row],[Customer]]=[1]!Table1[Customer])*(Table1[[#This Row],[Sales Orders]]=[1]!Table1[Sales Order])*(Table1[[#This Row],[Product ID]]=[1]!Table1[Product ID]),[1]!Table1[New 
Invoice '#],"")</f>
        <v>#REF!</v>
      </c>
      <c r="Q188" t="e" cm="1">
        <f t="array" ref="Q188">_xlfn.XLOOKUP(1,(Table1[[#This Row],[Customer]]=[1]!Table1[Customer])*(Table1[[#This Row],[Sales Orders]]=[1]!Table1[Sales Order])*(Table1[[#This Row],[Product ID]]=[1]!Table1[Product ID]),[1]!Table1[Notes],"")</f>
        <v>#REF!</v>
      </c>
      <c r="R188" t="s">
        <v>296</v>
      </c>
      <c r="S188" s="5">
        <v>2</v>
      </c>
      <c r="T188">
        <v>0</v>
      </c>
      <c r="U188" s="5">
        <v>0</v>
      </c>
      <c r="V188" s="5"/>
      <c r="W188" s="5">
        <v>12976</v>
      </c>
      <c r="X188" t="s">
        <v>119</v>
      </c>
      <c r="Y188" s="6">
        <v>46073</v>
      </c>
      <c r="Z188" s="5">
        <v>3197</v>
      </c>
      <c r="AA188" t="s">
        <v>115</v>
      </c>
      <c r="AB188" s="5"/>
      <c r="AD188" t="s">
        <v>425</v>
      </c>
    </row>
    <row r="189" spans="1:30" x14ac:dyDescent="0.2">
      <c r="A189" t="s">
        <v>389</v>
      </c>
      <c r="C189" s="5">
        <v>12976</v>
      </c>
      <c r="D189" t="s">
        <v>426</v>
      </c>
      <c r="E189">
        <v>0.02</v>
      </c>
      <c r="F189">
        <v>0.02</v>
      </c>
      <c r="G189" s="3">
        <v>0</v>
      </c>
      <c r="H189" s="4">
        <v>0</v>
      </c>
      <c r="I189" s="6">
        <v>46073</v>
      </c>
      <c r="J189" s="14" t="e" cm="1">
        <f t="array" ref="J18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89" s="4"/>
      <c r="L189" s="4"/>
      <c r="M189" s="4"/>
      <c r="N189" s="4"/>
      <c r="O189" s="6" t="e" cm="1">
        <f t="array" ref="O189">_xlfn.XLOOKUP(1,(Table1[[#This Row],[Customer]]=[1]!Table1[Customer])*(Table1[[#This Row],[Sales Orders]]=[1]!Table1[Sales Order])*(Table1[[#This Row],[Product ID]]=[1]!Table1[Product ID]),[1]!Table1[New Invoice
 Date],"")</f>
        <v>#REF!</v>
      </c>
      <c r="P189" t="e" cm="1">
        <f t="array" ref="P189">_xlfn.XLOOKUP(1,(Table1[[#This Row],[Customer]]=[1]!Table1[Customer])*(Table1[[#This Row],[Sales Orders]]=[1]!Table1[Sales Order])*(Table1[[#This Row],[Product ID]]=[1]!Table1[Product ID]),[1]!Table1[New 
Invoice '#],"")</f>
        <v>#REF!</v>
      </c>
      <c r="Q189" t="e" cm="1">
        <f t="array" ref="Q189">_xlfn.XLOOKUP(1,(Table1[[#This Row],[Customer]]=[1]!Table1[Customer])*(Table1[[#This Row],[Sales Orders]]=[1]!Table1[Sales Order])*(Table1[[#This Row],[Product ID]]=[1]!Table1[Product ID]),[1]!Table1[Notes],"")</f>
        <v>#REF!</v>
      </c>
      <c r="R189" t="s">
        <v>296</v>
      </c>
      <c r="S189" s="5">
        <v>2</v>
      </c>
      <c r="T189">
        <v>0</v>
      </c>
      <c r="U189" s="5">
        <v>0</v>
      </c>
      <c r="V189" s="5"/>
      <c r="W189" s="5">
        <v>12976</v>
      </c>
      <c r="X189" t="s">
        <v>119</v>
      </c>
      <c r="Y189" s="6">
        <v>46073</v>
      </c>
      <c r="Z189" s="5">
        <v>3197</v>
      </c>
      <c r="AA189" t="s">
        <v>115</v>
      </c>
      <c r="AB189" s="5"/>
      <c r="AD189" t="s">
        <v>427</v>
      </c>
    </row>
    <row r="190" spans="1:30" x14ac:dyDescent="0.2">
      <c r="A190" t="s">
        <v>389</v>
      </c>
      <c r="C190" s="5">
        <v>12976</v>
      </c>
      <c r="D190" t="s">
        <v>428</v>
      </c>
      <c r="E190">
        <v>76.7</v>
      </c>
      <c r="F190">
        <v>92.04</v>
      </c>
      <c r="G190" s="3">
        <v>15.340000000000003</v>
      </c>
      <c r="H190" s="4">
        <v>0.16666666666666669</v>
      </c>
      <c r="I190" s="6">
        <v>46073</v>
      </c>
      <c r="J190" s="14" t="e" cm="1">
        <f t="array" ref="J19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0" s="4"/>
      <c r="L190" s="4"/>
      <c r="M190" s="4"/>
      <c r="N190" s="4"/>
      <c r="O190" s="6" t="e" cm="1">
        <f t="array" ref="O190">_xlfn.XLOOKUP(1,(Table1[[#This Row],[Customer]]=[1]!Table1[Customer])*(Table1[[#This Row],[Sales Orders]]=[1]!Table1[Sales Order])*(Table1[[#This Row],[Product ID]]=[1]!Table1[Product ID]),[1]!Table1[New Invoice
 Date],"")</f>
        <v>#REF!</v>
      </c>
      <c r="P190" t="e" cm="1">
        <f t="array" ref="P190">_xlfn.XLOOKUP(1,(Table1[[#This Row],[Customer]]=[1]!Table1[Customer])*(Table1[[#This Row],[Sales Orders]]=[1]!Table1[Sales Order])*(Table1[[#This Row],[Product ID]]=[1]!Table1[Product ID]),[1]!Table1[New 
Invoice '#],"")</f>
        <v>#REF!</v>
      </c>
      <c r="Q190" t="e" cm="1">
        <f t="array" ref="Q190">_xlfn.XLOOKUP(1,(Table1[[#This Row],[Customer]]=[1]!Table1[Customer])*(Table1[[#This Row],[Sales Orders]]=[1]!Table1[Sales Order])*(Table1[[#This Row],[Product ID]]=[1]!Table1[Product ID]),[1]!Table1[Notes],"")</f>
        <v>#REF!</v>
      </c>
      <c r="R190" t="s">
        <v>296</v>
      </c>
      <c r="S190" s="5">
        <v>2</v>
      </c>
      <c r="T190">
        <v>0</v>
      </c>
      <c r="U190" s="5">
        <v>0</v>
      </c>
      <c r="V190" s="5"/>
      <c r="W190" s="5">
        <v>12976</v>
      </c>
      <c r="X190" t="s">
        <v>119</v>
      </c>
      <c r="Y190" s="6">
        <v>46073</v>
      </c>
      <c r="Z190" s="5">
        <v>3197</v>
      </c>
      <c r="AA190" t="s">
        <v>115</v>
      </c>
      <c r="AB190" s="5"/>
      <c r="AD190" t="s">
        <v>429</v>
      </c>
    </row>
    <row r="191" spans="1:30" x14ac:dyDescent="0.2">
      <c r="A191" t="s">
        <v>389</v>
      </c>
      <c r="C191" s="5">
        <v>12976</v>
      </c>
      <c r="D191" t="s">
        <v>430</v>
      </c>
      <c r="E191">
        <v>32.42</v>
      </c>
      <c r="F191">
        <v>38.9</v>
      </c>
      <c r="G191" s="3">
        <v>6.4799999999999969</v>
      </c>
      <c r="H191" s="4">
        <v>0.16658097686375314</v>
      </c>
      <c r="I191" s="6">
        <v>46073</v>
      </c>
      <c r="J191" s="14" t="e" cm="1">
        <f t="array" ref="J19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1" s="4"/>
      <c r="L191" s="4"/>
      <c r="M191" s="4"/>
      <c r="N191" s="4"/>
      <c r="O191" s="6" t="e" cm="1">
        <f t="array" ref="O191">_xlfn.XLOOKUP(1,(Table1[[#This Row],[Customer]]=[1]!Table1[Customer])*(Table1[[#This Row],[Sales Orders]]=[1]!Table1[Sales Order])*(Table1[[#This Row],[Product ID]]=[1]!Table1[Product ID]),[1]!Table1[New Invoice
 Date],"")</f>
        <v>#REF!</v>
      </c>
      <c r="P191" t="e" cm="1">
        <f t="array" ref="P191">_xlfn.XLOOKUP(1,(Table1[[#This Row],[Customer]]=[1]!Table1[Customer])*(Table1[[#This Row],[Sales Orders]]=[1]!Table1[Sales Order])*(Table1[[#This Row],[Product ID]]=[1]!Table1[Product ID]),[1]!Table1[New 
Invoice '#],"")</f>
        <v>#REF!</v>
      </c>
      <c r="Q191" t="e" cm="1">
        <f t="array" ref="Q191">_xlfn.XLOOKUP(1,(Table1[[#This Row],[Customer]]=[1]!Table1[Customer])*(Table1[[#This Row],[Sales Orders]]=[1]!Table1[Sales Order])*(Table1[[#This Row],[Product ID]]=[1]!Table1[Product ID]),[1]!Table1[Notes],"")</f>
        <v>#REF!</v>
      </c>
      <c r="R191" t="s">
        <v>296</v>
      </c>
      <c r="S191" s="5">
        <v>2</v>
      </c>
      <c r="T191">
        <v>0</v>
      </c>
      <c r="U191" s="5">
        <v>0</v>
      </c>
      <c r="V191" s="5"/>
      <c r="W191" s="5">
        <v>12976</v>
      </c>
      <c r="X191" t="s">
        <v>119</v>
      </c>
      <c r="Y191" s="6">
        <v>46073</v>
      </c>
      <c r="Z191" s="5">
        <v>3197</v>
      </c>
      <c r="AA191" t="s">
        <v>115</v>
      </c>
      <c r="AB191" s="5"/>
      <c r="AD191" t="s">
        <v>431</v>
      </c>
    </row>
    <row r="192" spans="1:30" x14ac:dyDescent="0.2">
      <c r="A192" t="s">
        <v>389</v>
      </c>
      <c r="C192" s="5">
        <v>12976</v>
      </c>
      <c r="D192" t="s">
        <v>432</v>
      </c>
      <c r="E192">
        <v>129.19999999999999</v>
      </c>
      <c r="F192">
        <v>155.04</v>
      </c>
      <c r="G192" s="3">
        <v>25.840000000000003</v>
      </c>
      <c r="H192" s="4">
        <v>0.16666666666666669</v>
      </c>
      <c r="I192" s="6">
        <v>46073</v>
      </c>
      <c r="J192" s="14" t="e" cm="1">
        <f t="array" ref="J19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2" s="4"/>
      <c r="L192" s="4"/>
      <c r="M192" s="4"/>
      <c r="N192" s="4"/>
      <c r="O192" s="6" t="e" cm="1">
        <f t="array" ref="O192">_xlfn.XLOOKUP(1,(Table1[[#This Row],[Customer]]=[1]!Table1[Customer])*(Table1[[#This Row],[Sales Orders]]=[1]!Table1[Sales Order])*(Table1[[#This Row],[Product ID]]=[1]!Table1[Product ID]),[1]!Table1[New Invoice
 Date],"")</f>
        <v>#REF!</v>
      </c>
      <c r="P192" t="e" cm="1">
        <f t="array" ref="P192">_xlfn.XLOOKUP(1,(Table1[[#This Row],[Customer]]=[1]!Table1[Customer])*(Table1[[#This Row],[Sales Orders]]=[1]!Table1[Sales Order])*(Table1[[#This Row],[Product ID]]=[1]!Table1[Product ID]),[1]!Table1[New 
Invoice '#],"")</f>
        <v>#REF!</v>
      </c>
      <c r="Q192" t="e" cm="1">
        <f t="array" ref="Q192">_xlfn.XLOOKUP(1,(Table1[[#This Row],[Customer]]=[1]!Table1[Customer])*(Table1[[#This Row],[Sales Orders]]=[1]!Table1[Sales Order])*(Table1[[#This Row],[Product ID]]=[1]!Table1[Product ID]),[1]!Table1[Notes],"")</f>
        <v>#REF!</v>
      </c>
      <c r="R192" t="s">
        <v>296</v>
      </c>
      <c r="S192" s="5">
        <v>2</v>
      </c>
      <c r="T192">
        <v>0</v>
      </c>
      <c r="U192" s="5">
        <v>0</v>
      </c>
      <c r="V192" s="5"/>
      <c r="W192" s="5">
        <v>12976</v>
      </c>
      <c r="X192" t="s">
        <v>119</v>
      </c>
      <c r="Y192" s="6">
        <v>46073</v>
      </c>
      <c r="Z192" s="5">
        <v>3197</v>
      </c>
      <c r="AA192" t="s">
        <v>115</v>
      </c>
      <c r="AB192" s="5"/>
      <c r="AD192" t="s">
        <v>433</v>
      </c>
    </row>
    <row r="193" spans="1:32" x14ac:dyDescent="0.2">
      <c r="A193" t="s">
        <v>389</v>
      </c>
      <c r="C193" s="5">
        <v>12976</v>
      </c>
      <c r="D193" t="s">
        <v>434</v>
      </c>
      <c r="E193">
        <v>3898.12</v>
      </c>
      <c r="F193">
        <v>4677.74</v>
      </c>
      <c r="G193" s="3">
        <v>779.61999999999989</v>
      </c>
      <c r="H193" s="4">
        <v>0.1666659540718381</v>
      </c>
      <c r="I193" s="6">
        <v>46073</v>
      </c>
      <c r="J193" s="14" t="e" cm="1">
        <f t="array" ref="J19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3" s="4"/>
      <c r="L193" s="4"/>
      <c r="M193" s="4"/>
      <c r="N193" s="4"/>
      <c r="O193" s="6" t="e" cm="1">
        <f t="array" ref="O193">_xlfn.XLOOKUP(1,(Table1[[#This Row],[Customer]]=[1]!Table1[Customer])*(Table1[[#This Row],[Sales Orders]]=[1]!Table1[Sales Order])*(Table1[[#This Row],[Product ID]]=[1]!Table1[Product ID]),[1]!Table1[New Invoice
 Date],"")</f>
        <v>#REF!</v>
      </c>
      <c r="P193" t="e" cm="1">
        <f t="array" ref="P193">_xlfn.XLOOKUP(1,(Table1[[#This Row],[Customer]]=[1]!Table1[Customer])*(Table1[[#This Row],[Sales Orders]]=[1]!Table1[Sales Order])*(Table1[[#This Row],[Product ID]]=[1]!Table1[Product ID]),[1]!Table1[New 
Invoice '#],"")</f>
        <v>#REF!</v>
      </c>
      <c r="Q193" t="e" cm="1">
        <f t="array" ref="Q193">_xlfn.XLOOKUP(1,(Table1[[#This Row],[Customer]]=[1]!Table1[Customer])*(Table1[[#This Row],[Sales Orders]]=[1]!Table1[Sales Order])*(Table1[[#This Row],[Product ID]]=[1]!Table1[Product ID]),[1]!Table1[Notes],"")</f>
        <v>#REF!</v>
      </c>
      <c r="R193" t="s">
        <v>296</v>
      </c>
      <c r="S193" s="5">
        <v>2</v>
      </c>
      <c r="T193">
        <v>0</v>
      </c>
      <c r="U193" s="5">
        <v>0</v>
      </c>
      <c r="V193" s="5"/>
      <c r="W193" s="5">
        <v>12976</v>
      </c>
      <c r="X193" t="s">
        <v>119</v>
      </c>
      <c r="Y193" s="6">
        <v>46073</v>
      </c>
      <c r="Z193" s="5">
        <v>3197</v>
      </c>
      <c r="AA193" t="s">
        <v>115</v>
      </c>
      <c r="AB193" s="5"/>
      <c r="AD193" t="s">
        <v>435</v>
      </c>
    </row>
    <row r="194" spans="1:32" x14ac:dyDescent="0.2">
      <c r="A194" t="s">
        <v>389</v>
      </c>
      <c r="C194" s="5">
        <v>12976</v>
      </c>
      <c r="D194" t="s">
        <v>436</v>
      </c>
      <c r="E194">
        <v>9.24</v>
      </c>
      <c r="F194">
        <v>11.08</v>
      </c>
      <c r="G194" s="3">
        <v>1.8399999999999999</v>
      </c>
      <c r="H194" s="4">
        <v>0.16606498194945846</v>
      </c>
      <c r="I194" s="6">
        <v>46073</v>
      </c>
      <c r="J194" s="14" t="e" cm="1">
        <f t="array" ref="J19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4" s="4"/>
      <c r="L194" s="4"/>
      <c r="M194" s="4"/>
      <c r="N194" s="4"/>
      <c r="O194" s="6" t="e" cm="1">
        <f t="array" ref="O194">_xlfn.XLOOKUP(1,(Table1[[#This Row],[Customer]]=[1]!Table1[Customer])*(Table1[[#This Row],[Sales Orders]]=[1]!Table1[Sales Order])*(Table1[[#This Row],[Product ID]]=[1]!Table1[Product ID]),[1]!Table1[New Invoice
 Date],"")</f>
        <v>#REF!</v>
      </c>
      <c r="P194" t="e" cm="1">
        <f t="array" ref="P194">_xlfn.XLOOKUP(1,(Table1[[#This Row],[Customer]]=[1]!Table1[Customer])*(Table1[[#This Row],[Sales Orders]]=[1]!Table1[Sales Order])*(Table1[[#This Row],[Product ID]]=[1]!Table1[Product ID]),[1]!Table1[New 
Invoice '#],"")</f>
        <v>#REF!</v>
      </c>
      <c r="Q194" t="e" cm="1">
        <f t="array" ref="Q194">_xlfn.XLOOKUP(1,(Table1[[#This Row],[Customer]]=[1]!Table1[Customer])*(Table1[[#This Row],[Sales Orders]]=[1]!Table1[Sales Order])*(Table1[[#This Row],[Product ID]]=[1]!Table1[Product ID]),[1]!Table1[Notes],"")</f>
        <v>#REF!</v>
      </c>
      <c r="R194" t="s">
        <v>296</v>
      </c>
      <c r="S194" s="5">
        <v>4</v>
      </c>
      <c r="T194">
        <v>0</v>
      </c>
      <c r="U194" s="5">
        <v>0</v>
      </c>
      <c r="V194" s="5"/>
      <c r="W194" s="5">
        <v>12976</v>
      </c>
      <c r="X194" t="s">
        <v>119</v>
      </c>
      <c r="Y194" s="6">
        <v>46073</v>
      </c>
      <c r="Z194" s="5">
        <v>3197</v>
      </c>
      <c r="AA194" t="s">
        <v>115</v>
      </c>
      <c r="AB194" s="5"/>
      <c r="AD194" t="s">
        <v>437</v>
      </c>
    </row>
    <row r="195" spans="1:32" x14ac:dyDescent="0.2">
      <c r="A195" t="s">
        <v>389</v>
      </c>
      <c r="C195" s="5">
        <v>12976</v>
      </c>
      <c r="D195" t="s">
        <v>438</v>
      </c>
      <c r="E195">
        <v>218.9</v>
      </c>
      <c r="F195">
        <v>250</v>
      </c>
      <c r="G195" s="3">
        <v>31.099999999999994</v>
      </c>
      <c r="H195" s="4">
        <v>0.12439999999999998</v>
      </c>
      <c r="I195" s="6">
        <v>46073</v>
      </c>
      <c r="J195" s="14" t="e" cm="1">
        <f t="array" ref="J19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5" s="4"/>
      <c r="L195" s="4"/>
      <c r="M195" s="4"/>
      <c r="N195" s="4"/>
      <c r="O195" s="6" t="e" cm="1">
        <f t="array" ref="O195">_xlfn.XLOOKUP(1,(Table1[[#This Row],[Customer]]=[1]!Table1[Customer])*(Table1[[#This Row],[Sales Orders]]=[1]!Table1[Sales Order])*(Table1[[#This Row],[Product ID]]=[1]!Table1[Product ID]),[1]!Table1[New Invoice
 Date],"")</f>
        <v>#REF!</v>
      </c>
      <c r="P195" t="e" cm="1">
        <f t="array" ref="P195">_xlfn.XLOOKUP(1,(Table1[[#This Row],[Customer]]=[1]!Table1[Customer])*(Table1[[#This Row],[Sales Orders]]=[1]!Table1[Sales Order])*(Table1[[#This Row],[Product ID]]=[1]!Table1[Product ID]),[1]!Table1[New 
Invoice '#],"")</f>
        <v>#REF!</v>
      </c>
      <c r="Q195" t="e" cm="1">
        <f t="array" ref="Q195">_xlfn.XLOOKUP(1,(Table1[[#This Row],[Customer]]=[1]!Table1[Customer])*(Table1[[#This Row],[Sales Orders]]=[1]!Table1[Sales Order])*(Table1[[#This Row],[Product ID]]=[1]!Table1[Product ID]),[1]!Table1[Notes],"")</f>
        <v>#REF!</v>
      </c>
      <c r="R195" t="s">
        <v>296</v>
      </c>
      <c r="S195" s="5">
        <v>5</v>
      </c>
      <c r="T195">
        <v>0</v>
      </c>
      <c r="U195" s="5">
        <v>0</v>
      </c>
      <c r="V195" s="5"/>
      <c r="W195" s="5">
        <v>12976</v>
      </c>
      <c r="X195" t="s">
        <v>119</v>
      </c>
      <c r="Y195" s="6">
        <v>46073</v>
      </c>
      <c r="Z195" s="5">
        <v>3197</v>
      </c>
      <c r="AA195" t="s">
        <v>115</v>
      </c>
      <c r="AB195" s="5"/>
      <c r="AD195" t="s">
        <v>439</v>
      </c>
    </row>
    <row r="196" spans="1:32" x14ac:dyDescent="0.2">
      <c r="A196" t="s">
        <v>389</v>
      </c>
      <c r="C196" s="5">
        <v>12976</v>
      </c>
      <c r="D196" t="s">
        <v>440</v>
      </c>
      <c r="E196">
        <v>12624</v>
      </c>
      <c r="F196">
        <v>15148.8</v>
      </c>
      <c r="G196" s="3">
        <v>2524.7999999999993</v>
      </c>
      <c r="H196" s="4">
        <v>0.16666666666666663</v>
      </c>
      <c r="I196" s="6">
        <v>46073</v>
      </c>
      <c r="J196" s="14" t="e" cm="1">
        <f t="array" ref="J19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6" s="4"/>
      <c r="L196" s="4"/>
      <c r="M196" s="4"/>
      <c r="N196" s="4"/>
      <c r="O196" s="6" t="e" cm="1">
        <f t="array" ref="O196">_xlfn.XLOOKUP(1,(Table1[[#This Row],[Customer]]=[1]!Table1[Customer])*(Table1[[#This Row],[Sales Orders]]=[1]!Table1[Sales Order])*(Table1[[#This Row],[Product ID]]=[1]!Table1[Product ID]),[1]!Table1[New Invoice
 Date],"")</f>
        <v>#REF!</v>
      </c>
      <c r="P196" t="e" cm="1">
        <f t="array" ref="P196">_xlfn.XLOOKUP(1,(Table1[[#This Row],[Customer]]=[1]!Table1[Customer])*(Table1[[#This Row],[Sales Orders]]=[1]!Table1[Sales Order])*(Table1[[#This Row],[Product ID]]=[1]!Table1[Product ID]),[1]!Table1[New 
Invoice '#],"")</f>
        <v>#REF!</v>
      </c>
      <c r="Q196" t="e" cm="1">
        <f t="array" ref="Q196">_xlfn.XLOOKUP(1,(Table1[[#This Row],[Customer]]=[1]!Table1[Customer])*(Table1[[#This Row],[Sales Orders]]=[1]!Table1[Sales Order])*(Table1[[#This Row],[Product ID]]=[1]!Table1[Product ID]),[1]!Table1[Notes],"")</f>
        <v>#REF!</v>
      </c>
      <c r="R196" t="s">
        <v>296</v>
      </c>
      <c r="S196" s="5">
        <v>8</v>
      </c>
      <c r="T196">
        <v>0</v>
      </c>
      <c r="U196" s="5">
        <v>0</v>
      </c>
      <c r="V196" s="5"/>
      <c r="W196" s="5">
        <v>12976</v>
      </c>
      <c r="X196" t="s">
        <v>119</v>
      </c>
      <c r="Y196" s="6">
        <v>46073</v>
      </c>
      <c r="Z196" s="5">
        <v>3197</v>
      </c>
      <c r="AA196" t="s">
        <v>115</v>
      </c>
      <c r="AB196" s="5"/>
      <c r="AD196" t="s">
        <v>441</v>
      </c>
    </row>
    <row r="197" spans="1:32" x14ac:dyDescent="0.2">
      <c r="A197" t="s">
        <v>389</v>
      </c>
      <c r="C197" s="5">
        <v>12976</v>
      </c>
      <c r="D197" t="s">
        <v>442</v>
      </c>
      <c r="E197">
        <v>368.48</v>
      </c>
      <c r="F197">
        <v>442.16</v>
      </c>
      <c r="G197" s="3">
        <v>73.680000000000007</v>
      </c>
      <c r="H197" s="4">
        <v>0.16663651166998372</v>
      </c>
      <c r="I197" s="6">
        <v>46073</v>
      </c>
      <c r="J197" s="14" t="e" cm="1">
        <f t="array" ref="J19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7" s="4"/>
      <c r="L197" s="4"/>
      <c r="M197" s="4"/>
      <c r="N197" s="4"/>
      <c r="O197" s="6" t="e" cm="1">
        <f t="array" ref="O197">_xlfn.XLOOKUP(1,(Table1[[#This Row],[Customer]]=[1]!Table1[Customer])*(Table1[[#This Row],[Sales Orders]]=[1]!Table1[Sales Order])*(Table1[[#This Row],[Product ID]]=[1]!Table1[Product ID]),[1]!Table1[New Invoice
 Date],"")</f>
        <v>#REF!</v>
      </c>
      <c r="P197" t="e" cm="1">
        <f t="array" ref="P197">_xlfn.XLOOKUP(1,(Table1[[#This Row],[Customer]]=[1]!Table1[Customer])*(Table1[[#This Row],[Sales Orders]]=[1]!Table1[Sales Order])*(Table1[[#This Row],[Product ID]]=[1]!Table1[Product ID]),[1]!Table1[New 
Invoice '#],"")</f>
        <v>#REF!</v>
      </c>
      <c r="Q197" t="e" cm="1">
        <f t="array" ref="Q197">_xlfn.XLOOKUP(1,(Table1[[#This Row],[Customer]]=[1]!Table1[Customer])*(Table1[[#This Row],[Sales Orders]]=[1]!Table1[Sales Order])*(Table1[[#This Row],[Product ID]]=[1]!Table1[Product ID]),[1]!Table1[Notes],"")</f>
        <v>#REF!</v>
      </c>
      <c r="R197" t="s">
        <v>296</v>
      </c>
      <c r="S197" s="5">
        <v>8</v>
      </c>
      <c r="T197">
        <v>0</v>
      </c>
      <c r="U197" s="5">
        <v>0</v>
      </c>
      <c r="V197" s="5"/>
      <c r="W197" s="5">
        <v>12976</v>
      </c>
      <c r="X197" t="s">
        <v>119</v>
      </c>
      <c r="Y197" s="6">
        <v>46073</v>
      </c>
      <c r="Z197" s="5">
        <v>3197</v>
      </c>
      <c r="AA197" t="s">
        <v>115</v>
      </c>
      <c r="AB197" s="5"/>
      <c r="AD197" t="s">
        <v>443</v>
      </c>
    </row>
    <row r="198" spans="1:32" x14ac:dyDescent="0.2">
      <c r="A198" t="s">
        <v>389</v>
      </c>
      <c r="C198" s="5">
        <v>12976</v>
      </c>
      <c r="D198" t="s">
        <v>444</v>
      </c>
      <c r="E198">
        <v>28884.48</v>
      </c>
      <c r="F198">
        <v>34661.4</v>
      </c>
      <c r="G198" s="3">
        <v>5776.9200000000019</v>
      </c>
      <c r="H198" s="4">
        <v>0.16666724367740487</v>
      </c>
      <c r="I198" s="6">
        <v>46073</v>
      </c>
      <c r="J198" s="14" t="e" cm="1">
        <f t="array" ref="J19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8" s="4"/>
      <c r="L198" s="4"/>
      <c r="M198" s="4"/>
      <c r="N198" s="4"/>
      <c r="O198" s="6" t="e" cm="1">
        <f t="array" ref="O198">_xlfn.XLOOKUP(1,(Table1[[#This Row],[Customer]]=[1]!Table1[Customer])*(Table1[[#This Row],[Sales Orders]]=[1]!Table1[Sales Order])*(Table1[[#This Row],[Product ID]]=[1]!Table1[Product ID]),[1]!Table1[New Invoice
 Date],"")</f>
        <v>#REF!</v>
      </c>
      <c r="P198" t="e" cm="1">
        <f t="array" ref="P198">_xlfn.XLOOKUP(1,(Table1[[#This Row],[Customer]]=[1]!Table1[Customer])*(Table1[[#This Row],[Sales Orders]]=[1]!Table1[Sales Order])*(Table1[[#This Row],[Product ID]]=[1]!Table1[Product ID]),[1]!Table1[New 
Invoice '#],"")</f>
        <v>#REF!</v>
      </c>
      <c r="Q198" t="e" cm="1">
        <f t="array" ref="Q198">_xlfn.XLOOKUP(1,(Table1[[#This Row],[Customer]]=[1]!Table1[Customer])*(Table1[[#This Row],[Sales Orders]]=[1]!Table1[Sales Order])*(Table1[[#This Row],[Product ID]]=[1]!Table1[Product ID]),[1]!Table1[Notes],"")</f>
        <v>#REF!</v>
      </c>
      <c r="R198" t="s">
        <v>296</v>
      </c>
      <c r="S198" s="5">
        <v>12</v>
      </c>
      <c r="T198">
        <v>0</v>
      </c>
      <c r="U198" s="5">
        <v>0</v>
      </c>
      <c r="V198" s="5"/>
      <c r="W198" s="5">
        <v>12976</v>
      </c>
      <c r="X198" t="s">
        <v>119</v>
      </c>
      <c r="Y198" s="6">
        <v>46073</v>
      </c>
      <c r="Z198" s="5">
        <v>3197</v>
      </c>
      <c r="AA198" t="s">
        <v>115</v>
      </c>
      <c r="AB198" s="5"/>
      <c r="AD198" t="s">
        <v>445</v>
      </c>
    </row>
    <row r="199" spans="1:32" x14ac:dyDescent="0.2">
      <c r="A199" t="s">
        <v>389</v>
      </c>
      <c r="C199" s="5">
        <v>12976</v>
      </c>
      <c r="D199" t="s">
        <v>446</v>
      </c>
      <c r="E199">
        <v>10855.52</v>
      </c>
      <c r="F199">
        <v>13026.56</v>
      </c>
      <c r="G199" s="3">
        <v>2171.0399999999991</v>
      </c>
      <c r="H199" s="4">
        <v>0.16666257246732821</v>
      </c>
      <c r="I199" s="6">
        <v>46073</v>
      </c>
      <c r="J199" s="14" t="e" cm="1">
        <f t="array" ref="J19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199" s="4"/>
      <c r="L199" s="4"/>
      <c r="M199" s="4"/>
      <c r="N199" s="4"/>
      <c r="O199" s="6" t="e" cm="1">
        <f t="array" ref="O199">_xlfn.XLOOKUP(1,(Table1[[#This Row],[Customer]]=[1]!Table1[Customer])*(Table1[[#This Row],[Sales Orders]]=[1]!Table1[Sales Order])*(Table1[[#This Row],[Product ID]]=[1]!Table1[Product ID]),[1]!Table1[New Invoice
 Date],"")</f>
        <v>#REF!</v>
      </c>
      <c r="P199" t="e" cm="1">
        <f t="array" ref="P199">_xlfn.XLOOKUP(1,(Table1[[#This Row],[Customer]]=[1]!Table1[Customer])*(Table1[[#This Row],[Sales Orders]]=[1]!Table1[Sales Order])*(Table1[[#This Row],[Product ID]]=[1]!Table1[Product ID]),[1]!Table1[New 
Invoice '#],"")</f>
        <v>#REF!</v>
      </c>
      <c r="Q199" t="e" cm="1">
        <f t="array" ref="Q199">_xlfn.XLOOKUP(1,(Table1[[#This Row],[Customer]]=[1]!Table1[Customer])*(Table1[[#This Row],[Sales Orders]]=[1]!Table1[Sales Order])*(Table1[[#This Row],[Product ID]]=[1]!Table1[Product ID]),[1]!Table1[Notes],"")</f>
        <v>#REF!</v>
      </c>
      <c r="R199" t="s">
        <v>296</v>
      </c>
      <c r="S199" s="5">
        <v>16</v>
      </c>
      <c r="T199">
        <v>0</v>
      </c>
      <c r="U199" s="5">
        <v>0</v>
      </c>
      <c r="V199" s="5"/>
      <c r="W199" s="5">
        <v>12976</v>
      </c>
      <c r="X199" t="s">
        <v>119</v>
      </c>
      <c r="Y199" s="6">
        <v>46073</v>
      </c>
      <c r="Z199" s="5">
        <v>3197</v>
      </c>
      <c r="AA199" t="s">
        <v>115</v>
      </c>
      <c r="AB199" s="5"/>
      <c r="AD199" t="s">
        <v>447</v>
      </c>
    </row>
    <row r="200" spans="1:32" x14ac:dyDescent="0.2">
      <c r="A200" t="s">
        <v>389</v>
      </c>
      <c r="C200" s="5">
        <v>12976</v>
      </c>
      <c r="D200" t="s">
        <v>448</v>
      </c>
      <c r="E200">
        <v>5148</v>
      </c>
      <c r="F200">
        <v>5880</v>
      </c>
      <c r="G200" s="3">
        <v>732</v>
      </c>
      <c r="H200" s="4">
        <v>0.12448979591836734</v>
      </c>
      <c r="I200" s="6">
        <v>46073</v>
      </c>
      <c r="J200" s="14" t="e" cm="1">
        <f t="array" ref="J20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00" s="4"/>
      <c r="L200" s="4"/>
      <c r="M200" s="4"/>
      <c r="N200" s="4"/>
      <c r="O200" s="6" t="e" cm="1">
        <f t="array" ref="O200">_xlfn.XLOOKUP(1,(Table1[[#This Row],[Customer]]=[1]!Table1[Customer])*(Table1[[#This Row],[Sales Orders]]=[1]!Table1[Sales Order])*(Table1[[#This Row],[Product ID]]=[1]!Table1[Product ID]),[1]!Table1[New Invoice
 Date],"")</f>
        <v>#REF!</v>
      </c>
      <c r="P200" t="e" cm="1">
        <f t="array" ref="P200">_xlfn.XLOOKUP(1,(Table1[[#This Row],[Customer]]=[1]!Table1[Customer])*(Table1[[#This Row],[Sales Orders]]=[1]!Table1[Sales Order])*(Table1[[#This Row],[Product ID]]=[1]!Table1[Product ID]),[1]!Table1[New 
Invoice '#],"")</f>
        <v>#REF!</v>
      </c>
      <c r="Q200" t="e" cm="1">
        <f t="array" ref="Q200">_xlfn.XLOOKUP(1,(Table1[[#This Row],[Customer]]=[1]!Table1[Customer])*(Table1[[#This Row],[Sales Orders]]=[1]!Table1[Sales Order])*(Table1[[#This Row],[Product ID]]=[1]!Table1[Product ID]),[1]!Table1[Notes],"")</f>
        <v>#REF!</v>
      </c>
      <c r="R200" t="s">
        <v>296</v>
      </c>
      <c r="S200" s="5">
        <v>40</v>
      </c>
      <c r="T200">
        <v>0</v>
      </c>
      <c r="U200" s="5">
        <v>0</v>
      </c>
      <c r="V200" s="5"/>
      <c r="W200" s="5">
        <v>12976</v>
      </c>
      <c r="X200" t="s">
        <v>119</v>
      </c>
      <c r="Y200" s="6">
        <v>46073</v>
      </c>
      <c r="Z200" s="5">
        <v>3197</v>
      </c>
      <c r="AA200" t="s">
        <v>115</v>
      </c>
      <c r="AB200" s="5"/>
      <c r="AD200" t="s">
        <v>449</v>
      </c>
    </row>
    <row r="201" spans="1:32" x14ac:dyDescent="0.2">
      <c r="A201" t="s">
        <v>39</v>
      </c>
      <c r="C201" s="5">
        <v>12975</v>
      </c>
      <c r="D201" t="s">
        <v>62</v>
      </c>
      <c r="E201">
        <v>27.44</v>
      </c>
      <c r="F201">
        <v>50</v>
      </c>
      <c r="G201" s="3">
        <v>22.56</v>
      </c>
      <c r="H201" s="4">
        <v>0.45119999999999999</v>
      </c>
      <c r="I201" s="6">
        <v>46073</v>
      </c>
      <c r="J201" s="14" t="e" cm="1">
        <f t="array" ref="J20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01" s="4"/>
      <c r="L201" s="4"/>
      <c r="M201" s="4"/>
      <c r="N201" s="4"/>
      <c r="O201" s="6" t="e" cm="1">
        <f t="array" ref="O201">_xlfn.XLOOKUP(1,(Table1[[#This Row],[Customer]]=[1]!Table1[Customer])*(Table1[[#This Row],[Sales Orders]]=[1]!Table1[Sales Order])*(Table1[[#This Row],[Product ID]]=[1]!Table1[Product ID]),[1]!Table1[New Invoice
 Date],"")</f>
        <v>#REF!</v>
      </c>
      <c r="P201" t="e" cm="1">
        <f t="array" ref="P201">_xlfn.XLOOKUP(1,(Table1[[#This Row],[Customer]]=[1]!Table1[Customer])*(Table1[[#This Row],[Sales Orders]]=[1]!Table1[Sales Order])*(Table1[[#This Row],[Product ID]]=[1]!Table1[Product ID]),[1]!Table1[New 
Invoice '#],"")</f>
        <v>#REF!</v>
      </c>
      <c r="Q201" t="e" cm="1">
        <f t="array" ref="Q201">_xlfn.XLOOKUP(1,(Table1[[#This Row],[Customer]]=[1]!Table1[Customer])*(Table1[[#This Row],[Sales Orders]]=[1]!Table1[Sales Order])*(Table1[[#This Row],[Product ID]]=[1]!Table1[Product ID]),[1]!Table1[Notes],"")</f>
        <v>#REF!</v>
      </c>
      <c r="R201" t="s">
        <v>296</v>
      </c>
      <c r="S201" s="5">
        <v>1</v>
      </c>
      <c r="T201">
        <v>0</v>
      </c>
      <c r="U201" s="5">
        <v>0</v>
      </c>
      <c r="V201" s="5">
        <v>27821</v>
      </c>
      <c r="W201" s="5">
        <v>12975</v>
      </c>
      <c r="X201" t="s">
        <v>95</v>
      </c>
      <c r="Y201" s="6">
        <v>46073</v>
      </c>
      <c r="Z201" s="5"/>
      <c r="AB201" s="5"/>
      <c r="AD201" t="s">
        <v>450</v>
      </c>
    </row>
    <row r="202" spans="1:32" x14ac:dyDescent="0.2">
      <c r="A202" t="s">
        <v>451</v>
      </c>
      <c r="C202" s="5">
        <v>12985</v>
      </c>
      <c r="D202" t="s">
        <v>44</v>
      </c>
      <c r="E202">
        <v>265.58</v>
      </c>
      <c r="F202">
        <v>318.7</v>
      </c>
      <c r="G202" s="3">
        <v>53.120000000000005</v>
      </c>
      <c r="H202" s="4">
        <v>0.16667712582365862</v>
      </c>
      <c r="I202" s="6">
        <v>46076</v>
      </c>
      <c r="J202" s="14" t="e" cm="1">
        <f t="array" ref="J20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02" s="4"/>
      <c r="L202" s="4"/>
      <c r="M202" s="4"/>
      <c r="N202" s="4"/>
      <c r="O202" s="6" t="e" cm="1">
        <f t="array" ref="O202">_xlfn.XLOOKUP(1,(Table1[[#This Row],[Customer]]=[1]!Table1[Customer])*(Table1[[#This Row],[Sales Orders]]=[1]!Table1[Sales Order])*(Table1[[#This Row],[Product ID]]=[1]!Table1[Product ID]),[1]!Table1[New Invoice
 Date],"")</f>
        <v>#REF!</v>
      </c>
      <c r="P202" t="e" cm="1">
        <f t="array" ref="P202">_xlfn.XLOOKUP(1,(Table1[[#This Row],[Customer]]=[1]!Table1[Customer])*(Table1[[#This Row],[Sales Orders]]=[1]!Table1[Sales Order])*(Table1[[#This Row],[Product ID]]=[1]!Table1[Product ID]),[1]!Table1[New 
Invoice '#],"")</f>
        <v>#REF!</v>
      </c>
      <c r="Q202" t="e" cm="1">
        <f t="array" ref="Q202">_xlfn.XLOOKUP(1,(Table1[[#This Row],[Customer]]=[1]!Table1[Customer])*(Table1[[#This Row],[Sales Orders]]=[1]!Table1[Sales Order])*(Table1[[#This Row],[Product ID]]=[1]!Table1[Product ID]),[1]!Table1[Notes],"")</f>
        <v>#REF!</v>
      </c>
      <c r="R202" t="s">
        <v>452</v>
      </c>
      <c r="S202" s="5">
        <v>1</v>
      </c>
      <c r="T202">
        <v>0</v>
      </c>
      <c r="U202" s="5">
        <v>0</v>
      </c>
      <c r="V202" s="5">
        <v>22933</v>
      </c>
      <c r="W202" s="5">
        <v>12985</v>
      </c>
      <c r="X202" t="s">
        <v>193</v>
      </c>
      <c r="Y202" s="6">
        <v>46076</v>
      </c>
      <c r="Z202" s="5">
        <v>3211</v>
      </c>
      <c r="AA202" t="s">
        <v>140</v>
      </c>
      <c r="AB202" s="5"/>
      <c r="AD202" t="s">
        <v>46</v>
      </c>
    </row>
    <row r="203" spans="1:32" x14ac:dyDescent="0.2">
      <c r="A203" t="s">
        <v>451</v>
      </c>
      <c r="C203" s="5">
        <v>12985</v>
      </c>
      <c r="D203" t="s">
        <v>47</v>
      </c>
      <c r="E203">
        <v>1344</v>
      </c>
      <c r="F203">
        <v>1612.8</v>
      </c>
      <c r="G203" s="3">
        <v>268.79999999999995</v>
      </c>
      <c r="H203" s="4">
        <v>0.16666666666666663</v>
      </c>
      <c r="I203" s="6">
        <v>46076</v>
      </c>
      <c r="J203" s="14" t="e" cm="1">
        <f t="array" ref="J20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03" s="4"/>
      <c r="L203" s="4"/>
      <c r="M203" s="4"/>
      <c r="N203" s="4"/>
      <c r="O203" s="6" t="e" cm="1">
        <f t="array" ref="O203">_xlfn.XLOOKUP(1,(Table1[[#This Row],[Customer]]=[1]!Table1[Customer])*(Table1[[#This Row],[Sales Orders]]=[1]!Table1[Sales Order])*(Table1[[#This Row],[Product ID]]=[1]!Table1[Product ID]),[1]!Table1[New Invoice
 Date],"")</f>
        <v>#REF!</v>
      </c>
      <c r="P203" t="e" cm="1">
        <f t="array" ref="P203">_xlfn.XLOOKUP(1,(Table1[[#This Row],[Customer]]=[1]!Table1[Customer])*(Table1[[#This Row],[Sales Orders]]=[1]!Table1[Sales Order])*(Table1[[#This Row],[Product ID]]=[1]!Table1[Product ID]),[1]!Table1[New 
Invoice '#],"")</f>
        <v>#REF!</v>
      </c>
      <c r="Q203" t="e" cm="1">
        <f t="array" ref="Q203">_xlfn.XLOOKUP(1,(Table1[[#This Row],[Customer]]=[1]!Table1[Customer])*(Table1[[#This Row],[Sales Orders]]=[1]!Table1[Sales Order])*(Table1[[#This Row],[Product ID]]=[1]!Table1[Product ID]),[1]!Table1[Notes],"")</f>
        <v>#REF!</v>
      </c>
      <c r="R203" t="s">
        <v>452</v>
      </c>
      <c r="S203" s="5">
        <v>1</v>
      </c>
      <c r="T203">
        <v>0</v>
      </c>
      <c r="U203" s="5">
        <v>0</v>
      </c>
      <c r="V203" s="5">
        <v>22933</v>
      </c>
      <c r="W203" s="5">
        <v>12985</v>
      </c>
      <c r="X203" t="s">
        <v>193</v>
      </c>
      <c r="Y203" s="6">
        <v>46076</v>
      </c>
      <c r="Z203" s="5">
        <v>3211</v>
      </c>
      <c r="AA203" t="s">
        <v>140</v>
      </c>
      <c r="AB203" s="5"/>
      <c r="AD203" t="s">
        <v>48</v>
      </c>
    </row>
    <row r="204" spans="1:32" x14ac:dyDescent="0.2">
      <c r="A204" t="s">
        <v>451</v>
      </c>
      <c r="C204" s="5">
        <v>12985</v>
      </c>
      <c r="D204" t="s">
        <v>453</v>
      </c>
      <c r="E204">
        <v>2992.5</v>
      </c>
      <c r="F204">
        <v>3591</v>
      </c>
      <c r="G204" s="3">
        <v>598.5</v>
      </c>
      <c r="H204" s="4">
        <v>0.16666666666666666</v>
      </c>
      <c r="I204" s="6">
        <v>46076</v>
      </c>
      <c r="J204" s="14" t="e" cm="1">
        <f t="array" ref="J20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04" s="4"/>
      <c r="L204" s="4"/>
      <c r="M204" s="4"/>
      <c r="N204" s="4"/>
      <c r="O204" s="6" t="e" cm="1">
        <f t="array" ref="O204">_xlfn.XLOOKUP(1,(Table1[[#This Row],[Customer]]=[1]!Table1[Customer])*(Table1[[#This Row],[Sales Orders]]=[1]!Table1[Sales Order])*(Table1[[#This Row],[Product ID]]=[1]!Table1[Product ID]),[1]!Table1[New Invoice
 Date],"")</f>
        <v>#REF!</v>
      </c>
      <c r="P204" t="e" cm="1">
        <f t="array" ref="P204">_xlfn.XLOOKUP(1,(Table1[[#This Row],[Customer]]=[1]!Table1[Customer])*(Table1[[#This Row],[Sales Orders]]=[1]!Table1[Sales Order])*(Table1[[#This Row],[Product ID]]=[1]!Table1[Product ID]),[1]!Table1[New 
Invoice '#],"")</f>
        <v>#REF!</v>
      </c>
      <c r="Q204" t="e" cm="1">
        <f t="array" ref="Q204">_xlfn.XLOOKUP(1,(Table1[[#This Row],[Customer]]=[1]!Table1[Customer])*(Table1[[#This Row],[Sales Orders]]=[1]!Table1[Sales Order])*(Table1[[#This Row],[Product ID]]=[1]!Table1[Product ID]),[1]!Table1[Notes],"")</f>
        <v>#REF!</v>
      </c>
      <c r="R204" t="s">
        <v>452</v>
      </c>
      <c r="S204" s="5">
        <v>6</v>
      </c>
      <c r="T204">
        <v>6</v>
      </c>
      <c r="U204" s="5">
        <v>0</v>
      </c>
      <c r="V204" s="5">
        <v>22933</v>
      </c>
      <c r="W204" s="5">
        <v>12985</v>
      </c>
      <c r="X204" t="s">
        <v>193</v>
      </c>
      <c r="Y204" s="6">
        <v>46076</v>
      </c>
      <c r="Z204" s="5">
        <v>3211</v>
      </c>
      <c r="AA204" t="s">
        <v>140</v>
      </c>
      <c r="AB204" s="5"/>
      <c r="AD204" t="s">
        <v>454</v>
      </c>
      <c r="AE204" t="s">
        <v>455</v>
      </c>
      <c r="AF204" t="s">
        <v>38</v>
      </c>
    </row>
    <row r="205" spans="1:32" x14ac:dyDescent="0.2">
      <c r="A205" t="s">
        <v>451</v>
      </c>
      <c r="C205" s="5">
        <v>12985</v>
      </c>
      <c r="D205" t="s">
        <v>456</v>
      </c>
      <c r="E205">
        <v>2560.38</v>
      </c>
      <c r="F205">
        <v>3072.48</v>
      </c>
      <c r="G205" s="3">
        <v>512.09999999999991</v>
      </c>
      <c r="H205" s="4">
        <v>0.16667317606623963</v>
      </c>
      <c r="I205" s="6">
        <v>46076</v>
      </c>
      <c r="J205" s="14" t="e" cm="1">
        <f t="array" ref="J20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05" s="4"/>
      <c r="L205" s="4"/>
      <c r="M205" s="4"/>
      <c r="N205" s="4"/>
      <c r="O205" s="6" t="e" cm="1">
        <f t="array" ref="O205">_xlfn.XLOOKUP(1,(Table1[[#This Row],[Customer]]=[1]!Table1[Customer])*(Table1[[#This Row],[Sales Orders]]=[1]!Table1[Sales Order])*(Table1[[#This Row],[Product ID]]=[1]!Table1[Product ID]),[1]!Table1[New Invoice
 Date],"")</f>
        <v>#REF!</v>
      </c>
      <c r="P205" t="e" cm="1">
        <f t="array" ref="P205">_xlfn.XLOOKUP(1,(Table1[[#This Row],[Customer]]=[1]!Table1[Customer])*(Table1[[#This Row],[Sales Orders]]=[1]!Table1[Sales Order])*(Table1[[#This Row],[Product ID]]=[1]!Table1[Product ID]),[1]!Table1[New 
Invoice '#],"")</f>
        <v>#REF!</v>
      </c>
      <c r="Q205" t="e" cm="1">
        <f t="array" ref="Q205">_xlfn.XLOOKUP(1,(Table1[[#This Row],[Customer]]=[1]!Table1[Customer])*(Table1[[#This Row],[Sales Orders]]=[1]!Table1[Sales Order])*(Table1[[#This Row],[Product ID]]=[1]!Table1[Product ID]),[1]!Table1[Notes],"")</f>
        <v>#REF!</v>
      </c>
      <c r="R205" t="s">
        <v>452</v>
      </c>
      <c r="S205" s="5">
        <v>6</v>
      </c>
      <c r="T205">
        <v>6</v>
      </c>
      <c r="U205" s="5">
        <v>0</v>
      </c>
      <c r="V205" s="5">
        <v>22933</v>
      </c>
      <c r="W205" s="5">
        <v>12985</v>
      </c>
      <c r="X205" t="s">
        <v>193</v>
      </c>
      <c r="Y205" s="6">
        <v>46076</v>
      </c>
      <c r="Z205" s="5">
        <v>3211</v>
      </c>
      <c r="AA205" t="s">
        <v>140</v>
      </c>
      <c r="AB205" s="5"/>
      <c r="AD205" t="s">
        <v>457</v>
      </c>
      <c r="AE205" t="s">
        <v>455</v>
      </c>
      <c r="AF205" t="s">
        <v>38</v>
      </c>
    </row>
    <row r="206" spans="1:32" x14ac:dyDescent="0.2">
      <c r="A206" t="s">
        <v>255</v>
      </c>
      <c r="C206" s="5">
        <v>12978</v>
      </c>
      <c r="D206" t="s">
        <v>458</v>
      </c>
      <c r="E206">
        <v>103.22</v>
      </c>
      <c r="F206">
        <v>110</v>
      </c>
      <c r="G206" s="3">
        <v>6.7800000000000011</v>
      </c>
      <c r="H206" s="4">
        <v>6.1636363636363649E-2</v>
      </c>
      <c r="I206" s="6">
        <v>46076</v>
      </c>
      <c r="J206" s="14" t="e" cm="1">
        <f t="array" ref="J20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06" s="4"/>
      <c r="L206" s="4"/>
      <c r="M206" s="4"/>
      <c r="N206" s="4"/>
      <c r="O206" s="6" t="e" cm="1">
        <f t="array" ref="O206">_xlfn.XLOOKUP(1,(Table1[[#This Row],[Customer]]=[1]!Table1[Customer])*(Table1[[#This Row],[Sales Orders]]=[1]!Table1[Sales Order])*(Table1[[#This Row],[Product ID]]=[1]!Table1[Product ID]),[1]!Table1[New Invoice
 Date],"")</f>
        <v>#REF!</v>
      </c>
      <c r="P206" t="e" cm="1">
        <f t="array" ref="P206">_xlfn.XLOOKUP(1,(Table1[[#This Row],[Customer]]=[1]!Table1[Customer])*(Table1[[#This Row],[Sales Orders]]=[1]!Table1[Sales Order])*(Table1[[#This Row],[Product ID]]=[1]!Table1[Product ID]),[1]!Table1[New 
Invoice '#],"")</f>
        <v>#REF!</v>
      </c>
      <c r="Q206" t="e" cm="1">
        <f t="array" ref="Q206">_xlfn.XLOOKUP(1,(Table1[[#This Row],[Customer]]=[1]!Table1[Customer])*(Table1[[#This Row],[Sales Orders]]=[1]!Table1[Sales Order])*(Table1[[#This Row],[Product ID]]=[1]!Table1[Product ID]),[1]!Table1[Notes],"")</f>
        <v>#REF!</v>
      </c>
      <c r="R206" t="s">
        <v>296</v>
      </c>
      <c r="S206" s="5">
        <v>1</v>
      </c>
      <c r="T206">
        <v>0</v>
      </c>
      <c r="U206" s="5">
        <v>0</v>
      </c>
      <c r="V206" s="5">
        <v>27824</v>
      </c>
      <c r="W206" s="5">
        <v>12978</v>
      </c>
      <c r="X206" t="s">
        <v>119</v>
      </c>
      <c r="Y206" s="6">
        <v>46076</v>
      </c>
      <c r="Z206" s="5"/>
      <c r="AB206" s="5"/>
      <c r="AD206" t="s">
        <v>459</v>
      </c>
    </row>
    <row r="207" spans="1:32" x14ac:dyDescent="0.2">
      <c r="A207" t="s">
        <v>39</v>
      </c>
      <c r="C207" s="5">
        <v>12979</v>
      </c>
      <c r="D207" t="s">
        <v>160</v>
      </c>
      <c r="E207">
        <v>803.53</v>
      </c>
      <c r="F207">
        <v>924</v>
      </c>
      <c r="G207" s="3">
        <v>120.47000000000003</v>
      </c>
      <c r="H207" s="4">
        <v>0.1303787878787879</v>
      </c>
      <c r="I207" s="6">
        <v>46076</v>
      </c>
      <c r="J207" s="14">
        <v>924</v>
      </c>
      <c r="K207" s="4"/>
      <c r="L207" s="4"/>
      <c r="M207" s="4"/>
      <c r="N207" s="4"/>
      <c r="O207" s="6">
        <v>46090</v>
      </c>
      <c r="P207" t="s">
        <v>460</v>
      </c>
      <c r="Q207" t="e" cm="1">
        <f t="array" ref="Q207">_xlfn.XLOOKUP(1,(Table1[[#This Row],[Customer]]=[1]!Table1[Customer])*(Table1[[#This Row],[Sales Orders]]=[1]!Table1[Sales Order])*(Table1[[#This Row],[Product ID]]=[1]!Table1[Product ID]),[1]!Table1[Notes],"")</f>
        <v>#REF!</v>
      </c>
      <c r="S207" s="5">
        <v>1</v>
      </c>
      <c r="T207">
        <v>0</v>
      </c>
      <c r="U207" s="5">
        <v>0</v>
      </c>
      <c r="V207" s="5">
        <v>27826</v>
      </c>
      <c r="W207" s="5">
        <v>12979</v>
      </c>
      <c r="X207" t="s">
        <v>98</v>
      </c>
      <c r="Y207" s="6">
        <v>46076</v>
      </c>
      <c r="Z207" s="5"/>
      <c r="AB207" s="5">
        <v>2430825</v>
      </c>
      <c r="AC207" t="s">
        <v>253</v>
      </c>
      <c r="AD207" t="s">
        <v>159</v>
      </c>
    </row>
    <row r="208" spans="1:32" x14ac:dyDescent="0.2">
      <c r="A208" t="s">
        <v>39</v>
      </c>
      <c r="C208" s="5">
        <v>12979</v>
      </c>
      <c r="D208" t="s">
        <v>161</v>
      </c>
      <c r="E208">
        <v>157.29</v>
      </c>
      <c r="F208">
        <v>200</v>
      </c>
      <c r="G208" s="3">
        <v>42.710000000000008</v>
      </c>
      <c r="H208" s="4">
        <v>0.21355000000000005</v>
      </c>
      <c r="I208" s="6">
        <v>46076</v>
      </c>
      <c r="J208" s="14">
        <v>200</v>
      </c>
      <c r="K208" s="4"/>
      <c r="L208" s="4"/>
      <c r="M208" s="4"/>
      <c r="N208" s="4"/>
      <c r="O208" s="6">
        <v>46090</v>
      </c>
      <c r="P208" t="s">
        <v>460</v>
      </c>
      <c r="Q208" t="e" cm="1">
        <f t="array" ref="Q208">_xlfn.XLOOKUP(1,(Table1[[#This Row],[Customer]]=[1]!Table1[Customer])*(Table1[[#This Row],[Sales Orders]]=[1]!Table1[Sales Order])*(Table1[[#This Row],[Product ID]]=[1]!Table1[Product ID]),[1]!Table1[Notes],"")</f>
        <v>#REF!</v>
      </c>
      <c r="S208" s="5">
        <v>1</v>
      </c>
      <c r="T208">
        <v>0</v>
      </c>
      <c r="U208" s="5">
        <v>0</v>
      </c>
      <c r="V208" s="5">
        <v>27826</v>
      </c>
      <c r="W208" s="5">
        <v>12979</v>
      </c>
      <c r="X208" t="s">
        <v>98</v>
      </c>
      <c r="Y208" s="6">
        <v>46076</v>
      </c>
      <c r="Z208" s="5"/>
      <c r="AB208" s="5">
        <v>2430825</v>
      </c>
      <c r="AC208" t="s">
        <v>253</v>
      </c>
      <c r="AD208" t="s">
        <v>162</v>
      </c>
    </row>
    <row r="209" spans="1:32" x14ac:dyDescent="0.2">
      <c r="A209" t="s">
        <v>39</v>
      </c>
      <c r="C209" s="5">
        <v>12979</v>
      </c>
      <c r="D209" t="s">
        <v>163</v>
      </c>
      <c r="E209">
        <v>23.05</v>
      </c>
      <c r="F209">
        <v>27.68</v>
      </c>
      <c r="G209" s="3">
        <v>4.629999999999999</v>
      </c>
      <c r="H209" s="4">
        <v>0.16726878612716758</v>
      </c>
      <c r="I209" s="6">
        <v>46076</v>
      </c>
      <c r="J209" s="14">
        <v>27.68</v>
      </c>
      <c r="K209" s="4"/>
      <c r="L209" s="4"/>
      <c r="M209" s="4"/>
      <c r="N209" s="4"/>
      <c r="O209" s="6">
        <v>46090</v>
      </c>
      <c r="P209" t="s">
        <v>460</v>
      </c>
      <c r="Q209" t="e" cm="1">
        <f t="array" ref="Q209">_xlfn.XLOOKUP(1,(Table1[[#This Row],[Customer]]=[1]!Table1[Customer])*(Table1[[#This Row],[Sales Orders]]=[1]!Table1[Sales Order])*(Table1[[#This Row],[Product ID]]=[1]!Table1[Product ID]),[1]!Table1[Notes],"")</f>
        <v>#REF!</v>
      </c>
      <c r="S209" s="5">
        <v>1</v>
      </c>
      <c r="T209">
        <v>0</v>
      </c>
      <c r="U209" s="5">
        <v>0</v>
      </c>
      <c r="V209" s="5">
        <v>27826</v>
      </c>
      <c r="W209" s="5">
        <v>12979</v>
      </c>
      <c r="X209" t="s">
        <v>98</v>
      </c>
      <c r="Y209" s="6">
        <v>46076</v>
      </c>
      <c r="Z209" s="5"/>
      <c r="AB209" s="5">
        <v>2430825</v>
      </c>
      <c r="AC209" t="s">
        <v>253</v>
      </c>
      <c r="AD209" t="s">
        <v>164</v>
      </c>
    </row>
    <row r="210" spans="1:32" x14ac:dyDescent="0.2">
      <c r="A210" t="s">
        <v>39</v>
      </c>
      <c r="C210" s="5">
        <v>12979</v>
      </c>
      <c r="D210" t="s">
        <v>461</v>
      </c>
      <c r="E210">
        <v>27.3</v>
      </c>
      <c r="F210">
        <v>32</v>
      </c>
      <c r="G210" s="3">
        <v>4.6999999999999993</v>
      </c>
      <c r="H210" s="4">
        <v>0.14687499999999998</v>
      </c>
      <c r="I210" s="6">
        <v>46076</v>
      </c>
      <c r="J210" s="14">
        <v>32</v>
      </c>
      <c r="K210" s="4"/>
      <c r="L210" s="4"/>
      <c r="M210" s="4"/>
      <c r="N210" s="4"/>
      <c r="O210" s="6">
        <v>46090</v>
      </c>
      <c r="P210" t="s">
        <v>460</v>
      </c>
      <c r="Q210" t="e" cm="1">
        <f t="array" ref="Q210">_xlfn.XLOOKUP(1,(Table1[[#This Row],[Customer]]=[1]!Table1[Customer])*(Table1[[#This Row],[Sales Orders]]=[1]!Table1[Sales Order])*(Table1[[#This Row],[Product ID]]=[1]!Table1[Product ID]),[1]!Table1[Notes],"")</f>
        <v>#REF!</v>
      </c>
      <c r="S210" s="5">
        <v>1</v>
      </c>
      <c r="T210">
        <v>0</v>
      </c>
      <c r="U210" s="5">
        <v>0</v>
      </c>
      <c r="V210" s="5">
        <v>27826</v>
      </c>
      <c r="W210" s="5">
        <v>12979</v>
      </c>
      <c r="X210" t="s">
        <v>98</v>
      </c>
      <c r="Y210" s="6">
        <v>46076</v>
      </c>
      <c r="Z210" s="5"/>
      <c r="AB210" s="5">
        <v>2430825</v>
      </c>
      <c r="AC210" t="s">
        <v>253</v>
      </c>
      <c r="AD210" t="s">
        <v>462</v>
      </c>
    </row>
    <row r="211" spans="1:32" x14ac:dyDescent="0.2">
      <c r="A211" t="s">
        <v>39</v>
      </c>
      <c r="C211" s="5">
        <v>12979</v>
      </c>
      <c r="D211" t="s">
        <v>165</v>
      </c>
      <c r="E211">
        <v>21.89</v>
      </c>
      <c r="F211">
        <v>23.5</v>
      </c>
      <c r="G211" s="3">
        <v>1.6099999999999994</v>
      </c>
      <c r="H211" s="4">
        <v>6.8510638297872323E-2</v>
      </c>
      <c r="I211" s="6">
        <v>46076</v>
      </c>
      <c r="J211" s="14">
        <v>23.5</v>
      </c>
      <c r="K211" s="4"/>
      <c r="L211" s="4"/>
      <c r="M211" s="4"/>
      <c r="N211" s="4"/>
      <c r="O211" s="6">
        <v>46090</v>
      </c>
      <c r="P211" t="s">
        <v>460</v>
      </c>
      <c r="Q211" t="e" cm="1">
        <f t="array" ref="Q211">_xlfn.XLOOKUP(1,(Table1[[#This Row],[Customer]]=[1]!Table1[Customer])*(Table1[[#This Row],[Sales Orders]]=[1]!Table1[Sales Order])*(Table1[[#This Row],[Product ID]]=[1]!Table1[Product ID]),[1]!Table1[Notes],"")</f>
        <v>#REF!</v>
      </c>
      <c r="S211" s="5">
        <v>1</v>
      </c>
      <c r="T211">
        <v>0</v>
      </c>
      <c r="U211" s="5">
        <v>0</v>
      </c>
      <c r="V211" s="5">
        <v>27826</v>
      </c>
      <c r="W211" s="5">
        <v>12979</v>
      </c>
      <c r="X211" t="s">
        <v>98</v>
      </c>
      <c r="Y211" s="6">
        <v>46076</v>
      </c>
      <c r="Z211" s="5"/>
      <c r="AB211" s="5">
        <v>2430825</v>
      </c>
      <c r="AC211" t="s">
        <v>253</v>
      </c>
      <c r="AD211" t="s">
        <v>166</v>
      </c>
    </row>
    <row r="212" spans="1:32" x14ac:dyDescent="0.2">
      <c r="A212" t="s">
        <v>39</v>
      </c>
      <c r="C212" s="5">
        <v>12979</v>
      </c>
      <c r="D212" t="s">
        <v>463</v>
      </c>
      <c r="E212">
        <v>15.52</v>
      </c>
      <c r="F212">
        <v>17.850000000000001</v>
      </c>
      <c r="G212" s="3">
        <v>2.3300000000000018</v>
      </c>
      <c r="H212" s="4">
        <v>0.13053221288515415</v>
      </c>
      <c r="I212" s="6">
        <v>46076</v>
      </c>
      <c r="J212" s="14">
        <v>17.850000000000001</v>
      </c>
      <c r="K212" s="4"/>
      <c r="L212" s="4"/>
      <c r="M212" s="4"/>
      <c r="N212" s="4"/>
      <c r="O212" s="6">
        <v>46090</v>
      </c>
      <c r="P212" t="s">
        <v>460</v>
      </c>
      <c r="Q212" t="e" cm="1">
        <f t="array" ref="Q212">_xlfn.XLOOKUP(1,(Table1[[#This Row],[Customer]]=[1]!Table1[Customer])*(Table1[[#This Row],[Sales Orders]]=[1]!Table1[Sales Order])*(Table1[[#This Row],[Product ID]]=[1]!Table1[Product ID]),[1]!Table1[Notes],"")</f>
        <v>#REF!</v>
      </c>
      <c r="S212" s="5">
        <v>1</v>
      </c>
      <c r="T212">
        <v>0</v>
      </c>
      <c r="U212" s="5">
        <v>0</v>
      </c>
      <c r="V212" s="5">
        <v>27826</v>
      </c>
      <c r="W212" s="5">
        <v>12979</v>
      </c>
      <c r="X212" t="s">
        <v>98</v>
      </c>
      <c r="Y212" s="6">
        <v>46076</v>
      </c>
      <c r="Z212" s="5"/>
      <c r="AB212" s="5">
        <v>2430825</v>
      </c>
      <c r="AC212" t="s">
        <v>253</v>
      </c>
      <c r="AD212" t="s">
        <v>464</v>
      </c>
    </row>
    <row r="213" spans="1:32" x14ac:dyDescent="0.2">
      <c r="A213" t="s">
        <v>39</v>
      </c>
      <c r="C213" s="5">
        <v>12979</v>
      </c>
      <c r="D213" t="s">
        <v>465</v>
      </c>
      <c r="E213">
        <v>22.08</v>
      </c>
      <c r="F213">
        <v>26.5</v>
      </c>
      <c r="G213" s="3">
        <v>4.4200000000000017</v>
      </c>
      <c r="H213" s="4">
        <v>0.16679245283018873</v>
      </c>
      <c r="I213" s="6">
        <v>46076</v>
      </c>
      <c r="J213" s="14">
        <v>26.5</v>
      </c>
      <c r="K213" s="4"/>
      <c r="L213" s="4"/>
      <c r="M213" s="4"/>
      <c r="N213" s="4"/>
      <c r="O213" s="6">
        <v>46090</v>
      </c>
      <c r="P213" t="s">
        <v>460</v>
      </c>
      <c r="Q213" t="e" cm="1">
        <f t="array" ref="Q213">_xlfn.XLOOKUP(1,(Table1[[#This Row],[Customer]]=[1]!Table1[Customer])*(Table1[[#This Row],[Sales Orders]]=[1]!Table1[Sales Order])*(Table1[[#This Row],[Product ID]]=[1]!Table1[Product ID]),[1]!Table1[Notes],"")</f>
        <v>#REF!</v>
      </c>
      <c r="S213" s="5">
        <v>1</v>
      </c>
      <c r="T213">
        <v>0</v>
      </c>
      <c r="U213" s="5">
        <v>0</v>
      </c>
      <c r="V213" s="5">
        <v>27826</v>
      </c>
      <c r="W213" s="5">
        <v>12979</v>
      </c>
      <c r="X213" t="s">
        <v>98</v>
      </c>
      <c r="Y213" s="6">
        <v>46076</v>
      </c>
      <c r="Z213" s="5"/>
      <c r="AB213" s="5">
        <v>2430825</v>
      </c>
      <c r="AC213" t="s">
        <v>253</v>
      </c>
      <c r="AD213" t="s">
        <v>466</v>
      </c>
    </row>
    <row r="214" spans="1:32" x14ac:dyDescent="0.2">
      <c r="A214" t="s">
        <v>39</v>
      </c>
      <c r="C214" s="5">
        <v>12979</v>
      </c>
      <c r="D214" t="s">
        <v>62</v>
      </c>
      <c r="E214">
        <v>215.72</v>
      </c>
      <c r="F214">
        <v>215.72</v>
      </c>
      <c r="G214" s="3">
        <v>0</v>
      </c>
      <c r="H214" s="4">
        <v>0</v>
      </c>
      <c r="I214" s="6">
        <v>46076</v>
      </c>
      <c r="J214" s="14">
        <v>215.72</v>
      </c>
      <c r="K214" s="4"/>
      <c r="L214" s="4"/>
      <c r="M214" s="4"/>
      <c r="N214" s="4"/>
      <c r="O214" s="6">
        <v>46090</v>
      </c>
      <c r="P214" t="s">
        <v>460</v>
      </c>
      <c r="Q214" t="e" cm="1">
        <f t="array" ref="Q214">_xlfn.XLOOKUP(1,(Table1[[#This Row],[Customer]]=[1]!Table1[Customer])*(Table1[[#This Row],[Sales Orders]]=[1]!Table1[Sales Order])*(Table1[[#This Row],[Product ID]]=[1]!Table1[Product ID]),[1]!Table1[Notes],"")</f>
        <v>#REF!</v>
      </c>
      <c r="S214" s="5">
        <v>1</v>
      </c>
      <c r="T214">
        <v>1</v>
      </c>
      <c r="U214" s="5">
        <v>0</v>
      </c>
      <c r="V214" s="5">
        <v>27826</v>
      </c>
      <c r="W214" s="5">
        <v>12979</v>
      </c>
      <c r="X214" t="s">
        <v>98</v>
      </c>
      <c r="Y214" s="6">
        <v>46076</v>
      </c>
      <c r="Z214" s="5"/>
      <c r="AB214" s="5">
        <v>2430825</v>
      </c>
      <c r="AC214" t="s">
        <v>253</v>
      </c>
      <c r="AD214" t="s">
        <v>63</v>
      </c>
      <c r="AE214" t="s">
        <v>467</v>
      </c>
      <c r="AF214" t="s">
        <v>38</v>
      </c>
    </row>
    <row r="215" spans="1:32" x14ac:dyDescent="0.2">
      <c r="A215" t="s">
        <v>39</v>
      </c>
      <c r="C215" s="5">
        <v>12979</v>
      </c>
      <c r="D215" t="s">
        <v>167</v>
      </c>
      <c r="E215">
        <v>327.10000000000002</v>
      </c>
      <c r="F215">
        <v>494.2</v>
      </c>
      <c r="G215" s="3">
        <v>167.09999999999997</v>
      </c>
      <c r="H215" s="4">
        <v>0.33812221772561712</v>
      </c>
      <c r="I215" s="6">
        <v>46076</v>
      </c>
      <c r="J215" s="14">
        <v>494.2</v>
      </c>
      <c r="K215" s="4"/>
      <c r="L215" s="4"/>
      <c r="M215" s="4"/>
      <c r="N215" s="4"/>
      <c r="O215" s="6">
        <v>46090</v>
      </c>
      <c r="P215" t="s">
        <v>460</v>
      </c>
      <c r="Q215" t="e" cm="1">
        <f t="array" ref="Q215">_xlfn.XLOOKUP(1,(Table1[[#This Row],[Customer]]=[1]!Table1[Customer])*(Table1[[#This Row],[Sales Orders]]=[1]!Table1[Sales Order])*(Table1[[#This Row],[Product ID]]=[1]!Table1[Product ID]),[1]!Table1[Notes],"")</f>
        <v>#REF!</v>
      </c>
      <c r="S215" s="5">
        <v>2</v>
      </c>
      <c r="T215">
        <v>0</v>
      </c>
      <c r="U215" s="5">
        <v>0</v>
      </c>
      <c r="V215" s="5">
        <v>27826</v>
      </c>
      <c r="W215" s="5">
        <v>12979</v>
      </c>
      <c r="X215" t="s">
        <v>98</v>
      </c>
      <c r="Y215" s="6">
        <v>46076</v>
      </c>
      <c r="Z215" s="5"/>
      <c r="AB215" s="5">
        <v>2430825</v>
      </c>
      <c r="AC215" t="s">
        <v>253</v>
      </c>
      <c r="AD215" t="s">
        <v>168</v>
      </c>
    </row>
    <row r="216" spans="1:32" x14ac:dyDescent="0.2">
      <c r="A216" t="s">
        <v>184</v>
      </c>
      <c r="C216" s="5">
        <v>12989</v>
      </c>
      <c r="D216" t="s">
        <v>62</v>
      </c>
      <c r="E216">
        <v>11.66</v>
      </c>
      <c r="F216">
        <v>13.99</v>
      </c>
      <c r="G216" s="3">
        <v>2.33</v>
      </c>
      <c r="H216" s="4">
        <v>0.16654753395282346</v>
      </c>
      <c r="I216" s="6">
        <v>46077</v>
      </c>
      <c r="J216" s="14">
        <v>13.99</v>
      </c>
      <c r="K216" s="4"/>
      <c r="L216" s="4"/>
      <c r="M216" s="4"/>
      <c r="N216" s="4"/>
      <c r="O216" s="6">
        <v>46087</v>
      </c>
      <c r="P216" t="s">
        <v>468</v>
      </c>
      <c r="Q216" t="e" cm="1">
        <f t="array" ref="Q216">_xlfn.XLOOKUP(1,(Table1[[#This Row],[Customer]]=[1]!Table1[Customer])*(Table1[[#This Row],[Sales Orders]]=[1]!Table1[Sales Order])*(Table1[[#This Row],[Product ID]]=[1]!Table1[Product ID]),[1]!Table1[Notes],"")</f>
        <v>#REF!</v>
      </c>
      <c r="S216" s="5">
        <v>1</v>
      </c>
      <c r="T216">
        <v>0</v>
      </c>
      <c r="U216" s="5">
        <v>0</v>
      </c>
      <c r="V216" s="5">
        <v>27541</v>
      </c>
      <c r="W216" s="5">
        <v>12989</v>
      </c>
      <c r="X216" t="s">
        <v>95</v>
      </c>
      <c r="Y216" s="6">
        <v>46077</v>
      </c>
      <c r="Z216" s="5"/>
      <c r="AB216" s="5">
        <v>2431323</v>
      </c>
      <c r="AC216" t="s">
        <v>172</v>
      </c>
      <c r="AD216" t="s">
        <v>63</v>
      </c>
    </row>
    <row r="217" spans="1:32" x14ac:dyDescent="0.2">
      <c r="A217" t="s">
        <v>184</v>
      </c>
      <c r="C217" s="5">
        <v>12989</v>
      </c>
      <c r="D217" t="s">
        <v>206</v>
      </c>
      <c r="E217">
        <v>116</v>
      </c>
      <c r="F217">
        <v>139.19999999999999</v>
      </c>
      <c r="G217" s="3">
        <v>23.199999999999989</v>
      </c>
      <c r="H217" s="4">
        <v>0.1666666666666666</v>
      </c>
      <c r="I217" s="6">
        <v>46077</v>
      </c>
      <c r="J217" s="14">
        <v>139.19999999999999</v>
      </c>
      <c r="K217" s="4"/>
      <c r="L217" s="4"/>
      <c r="M217" s="4"/>
      <c r="N217" s="4"/>
      <c r="O217" s="6">
        <v>46087</v>
      </c>
      <c r="P217" t="s">
        <v>468</v>
      </c>
      <c r="Q217" t="e" cm="1">
        <f t="array" ref="Q217">_xlfn.XLOOKUP(1,(Table1[[#This Row],[Customer]]=[1]!Table1[Customer])*(Table1[[#This Row],[Sales Orders]]=[1]!Table1[Sales Order])*(Table1[[#This Row],[Product ID]]=[1]!Table1[Product ID]),[1]!Table1[Notes],"")</f>
        <v>#REF!</v>
      </c>
      <c r="S217" s="5">
        <v>1</v>
      </c>
      <c r="T217">
        <v>0</v>
      </c>
      <c r="U217" s="5">
        <v>0</v>
      </c>
      <c r="V217" s="5">
        <v>27541</v>
      </c>
      <c r="W217" s="5">
        <v>12989</v>
      </c>
      <c r="X217" t="s">
        <v>95</v>
      </c>
      <c r="Y217" s="6">
        <v>46077</v>
      </c>
      <c r="Z217" s="5"/>
      <c r="AB217" s="5">
        <v>2431323</v>
      </c>
      <c r="AC217" t="s">
        <v>172</v>
      </c>
      <c r="AD217" t="s">
        <v>207</v>
      </c>
    </row>
    <row r="218" spans="1:32" x14ac:dyDescent="0.2">
      <c r="A218" t="s">
        <v>334</v>
      </c>
      <c r="C218" s="5">
        <v>12986</v>
      </c>
      <c r="D218" t="s">
        <v>469</v>
      </c>
      <c r="E218">
        <v>39.36</v>
      </c>
      <c r="F218">
        <v>59.04</v>
      </c>
      <c r="G218" s="3">
        <v>19.68</v>
      </c>
      <c r="H218" s="4">
        <v>0.33333333333333331</v>
      </c>
      <c r="I218" s="6">
        <v>46077</v>
      </c>
      <c r="J218" s="14" t="e" cm="1">
        <f t="array" ref="J21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18" s="4"/>
      <c r="L218" s="4"/>
      <c r="M218" s="4"/>
      <c r="N218" s="4"/>
      <c r="O218" s="6" t="e" cm="1">
        <f t="array" ref="O218">_xlfn.XLOOKUP(1,(Table1[[#This Row],[Customer]]=[1]!Table1[Customer])*(Table1[[#This Row],[Sales Orders]]=[1]!Table1[Sales Order])*(Table1[[#This Row],[Product ID]]=[1]!Table1[Product ID]),[1]!Table1[New Invoice
 Date],"")</f>
        <v>#REF!</v>
      </c>
      <c r="P218" t="e" cm="1">
        <f t="array" ref="P218">_xlfn.XLOOKUP(1,(Table1[[#This Row],[Customer]]=[1]!Table1[Customer])*(Table1[[#This Row],[Sales Orders]]=[1]!Table1[Sales Order])*(Table1[[#This Row],[Product ID]]=[1]!Table1[Product ID]),[1]!Table1[New 
Invoice '#],"")</f>
        <v>#REF!</v>
      </c>
      <c r="Q218" t="e" cm="1">
        <f t="array" ref="Q218">_xlfn.XLOOKUP(1,(Table1[[#This Row],[Customer]]=[1]!Table1[Customer])*(Table1[[#This Row],[Sales Orders]]=[1]!Table1[Sales Order])*(Table1[[#This Row],[Product ID]]=[1]!Table1[Product ID]),[1]!Table1[Notes],"")</f>
        <v>#REF!</v>
      </c>
      <c r="R218" t="s">
        <v>296</v>
      </c>
      <c r="S218" s="5">
        <v>1</v>
      </c>
      <c r="T218">
        <v>0</v>
      </c>
      <c r="U218" s="5">
        <v>0</v>
      </c>
      <c r="V218" s="5"/>
      <c r="W218" s="5">
        <v>12986</v>
      </c>
      <c r="X218" t="s">
        <v>95</v>
      </c>
      <c r="Y218" s="6">
        <v>46077</v>
      </c>
      <c r="Z218" s="5"/>
      <c r="AB218" s="5"/>
      <c r="AD218" t="s">
        <v>470</v>
      </c>
    </row>
    <row r="219" spans="1:32" x14ac:dyDescent="0.2">
      <c r="A219" t="s">
        <v>471</v>
      </c>
      <c r="C219" s="5">
        <v>12990</v>
      </c>
      <c r="D219" t="s">
        <v>472</v>
      </c>
      <c r="E219">
        <v>273.60000000000002</v>
      </c>
      <c r="F219">
        <v>328.32</v>
      </c>
      <c r="G219" s="3">
        <v>54.71999999999997</v>
      </c>
      <c r="H219" s="4">
        <v>0.16666666666666657</v>
      </c>
      <c r="I219" s="6">
        <v>46077</v>
      </c>
      <c r="J219" s="14" t="e" cm="1">
        <f t="array" ref="J21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19" s="4"/>
      <c r="L219" s="4"/>
      <c r="M219" s="4"/>
      <c r="N219" s="4"/>
      <c r="O219" s="6" t="e" cm="1">
        <f t="array" ref="O219">_xlfn.XLOOKUP(1,(Table1[[#This Row],[Customer]]=[1]!Table1[Customer])*(Table1[[#This Row],[Sales Orders]]=[1]!Table1[Sales Order])*(Table1[[#This Row],[Product ID]]=[1]!Table1[Product ID]),[1]!Table1[New Invoice
 Date],"")</f>
        <v>#REF!</v>
      </c>
      <c r="P219" t="e" cm="1">
        <f t="array" ref="P219">_xlfn.XLOOKUP(1,(Table1[[#This Row],[Customer]]=[1]!Table1[Customer])*(Table1[[#This Row],[Sales Orders]]=[1]!Table1[Sales Order])*(Table1[[#This Row],[Product ID]]=[1]!Table1[Product ID]),[1]!Table1[New 
Invoice '#],"")</f>
        <v>#REF!</v>
      </c>
      <c r="Q219" t="e" cm="1">
        <f t="array" ref="Q219">_xlfn.XLOOKUP(1,(Table1[[#This Row],[Customer]]=[1]!Table1[Customer])*(Table1[[#This Row],[Sales Orders]]=[1]!Table1[Sales Order])*(Table1[[#This Row],[Product ID]]=[1]!Table1[Product ID]),[1]!Table1[Notes],"")</f>
        <v>#REF!</v>
      </c>
      <c r="R219" t="s">
        <v>277</v>
      </c>
      <c r="S219" s="5">
        <v>1</v>
      </c>
      <c r="T219">
        <v>0</v>
      </c>
      <c r="U219" s="5">
        <v>0</v>
      </c>
      <c r="V219" s="5">
        <v>26826</v>
      </c>
      <c r="W219" s="5">
        <v>12990</v>
      </c>
      <c r="X219" t="s">
        <v>106</v>
      </c>
      <c r="Y219" s="6">
        <v>46077</v>
      </c>
      <c r="Z219" s="5"/>
      <c r="AB219" s="5"/>
      <c r="AD219" t="s">
        <v>473</v>
      </c>
    </row>
    <row r="220" spans="1:32" x14ac:dyDescent="0.2">
      <c r="A220" t="s">
        <v>471</v>
      </c>
      <c r="C220" s="5">
        <v>12990</v>
      </c>
      <c r="D220" t="s">
        <v>474</v>
      </c>
      <c r="E220">
        <v>273.60000000000002</v>
      </c>
      <c r="F220">
        <v>328.32</v>
      </c>
      <c r="G220" s="3">
        <v>54.71999999999997</v>
      </c>
      <c r="H220" s="4">
        <v>0.16666666666666657</v>
      </c>
      <c r="I220" s="6">
        <v>46077</v>
      </c>
      <c r="J220" s="14" t="e" cm="1">
        <f t="array" ref="J22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20" s="4"/>
      <c r="L220" s="4"/>
      <c r="M220" s="4"/>
      <c r="N220" s="4"/>
      <c r="O220" s="6" t="e" cm="1">
        <f t="array" ref="O220">_xlfn.XLOOKUP(1,(Table1[[#This Row],[Customer]]=[1]!Table1[Customer])*(Table1[[#This Row],[Sales Orders]]=[1]!Table1[Sales Order])*(Table1[[#This Row],[Product ID]]=[1]!Table1[Product ID]),[1]!Table1[New Invoice
 Date],"")</f>
        <v>#REF!</v>
      </c>
      <c r="P220" t="e" cm="1">
        <f t="array" ref="P220">_xlfn.XLOOKUP(1,(Table1[[#This Row],[Customer]]=[1]!Table1[Customer])*(Table1[[#This Row],[Sales Orders]]=[1]!Table1[Sales Order])*(Table1[[#This Row],[Product ID]]=[1]!Table1[Product ID]),[1]!Table1[New 
Invoice '#],"")</f>
        <v>#REF!</v>
      </c>
      <c r="Q220" t="e" cm="1">
        <f t="array" ref="Q220">_xlfn.XLOOKUP(1,(Table1[[#This Row],[Customer]]=[1]!Table1[Customer])*(Table1[[#This Row],[Sales Orders]]=[1]!Table1[Sales Order])*(Table1[[#This Row],[Product ID]]=[1]!Table1[Product ID]),[1]!Table1[Notes],"")</f>
        <v>#REF!</v>
      </c>
      <c r="R220" t="s">
        <v>277</v>
      </c>
      <c r="S220" s="5">
        <v>1</v>
      </c>
      <c r="T220">
        <v>0</v>
      </c>
      <c r="U220" s="5">
        <v>0</v>
      </c>
      <c r="V220" s="5">
        <v>26826</v>
      </c>
      <c r="W220" s="5">
        <v>12990</v>
      </c>
      <c r="X220" t="s">
        <v>106</v>
      </c>
      <c r="Y220" s="6">
        <v>46077</v>
      </c>
      <c r="Z220" s="5"/>
      <c r="AB220" s="5"/>
      <c r="AD220" t="s">
        <v>475</v>
      </c>
    </row>
    <row r="221" spans="1:32" x14ac:dyDescent="0.2">
      <c r="A221" t="s">
        <v>471</v>
      </c>
      <c r="C221" s="5">
        <v>12990</v>
      </c>
      <c r="D221" t="s">
        <v>476</v>
      </c>
      <c r="E221">
        <v>273.60000000000002</v>
      </c>
      <c r="F221">
        <v>328.32</v>
      </c>
      <c r="G221" s="3">
        <v>54.71999999999997</v>
      </c>
      <c r="H221" s="4">
        <v>0.16666666666666657</v>
      </c>
      <c r="I221" s="6">
        <v>46077</v>
      </c>
      <c r="J221" s="14" t="e" cm="1">
        <f t="array" ref="J22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21" s="4"/>
      <c r="L221" s="4"/>
      <c r="M221" s="4"/>
      <c r="N221" s="4"/>
      <c r="O221" s="6" t="e" cm="1">
        <f t="array" ref="O221">_xlfn.XLOOKUP(1,(Table1[[#This Row],[Customer]]=[1]!Table1[Customer])*(Table1[[#This Row],[Sales Orders]]=[1]!Table1[Sales Order])*(Table1[[#This Row],[Product ID]]=[1]!Table1[Product ID]),[1]!Table1[New Invoice
 Date],"")</f>
        <v>#REF!</v>
      </c>
      <c r="P221" t="e" cm="1">
        <f t="array" ref="P221">_xlfn.XLOOKUP(1,(Table1[[#This Row],[Customer]]=[1]!Table1[Customer])*(Table1[[#This Row],[Sales Orders]]=[1]!Table1[Sales Order])*(Table1[[#This Row],[Product ID]]=[1]!Table1[Product ID]),[1]!Table1[New 
Invoice '#],"")</f>
        <v>#REF!</v>
      </c>
      <c r="Q221" t="e" cm="1">
        <f t="array" ref="Q221">_xlfn.XLOOKUP(1,(Table1[[#This Row],[Customer]]=[1]!Table1[Customer])*(Table1[[#This Row],[Sales Orders]]=[1]!Table1[Sales Order])*(Table1[[#This Row],[Product ID]]=[1]!Table1[Product ID]),[1]!Table1[Notes],"")</f>
        <v>#REF!</v>
      </c>
      <c r="R221" t="s">
        <v>277</v>
      </c>
      <c r="S221" s="5">
        <v>1</v>
      </c>
      <c r="T221">
        <v>0</v>
      </c>
      <c r="U221" s="5">
        <v>0</v>
      </c>
      <c r="V221" s="5">
        <v>26826</v>
      </c>
      <c r="W221" s="5">
        <v>12990</v>
      </c>
      <c r="X221" t="s">
        <v>106</v>
      </c>
      <c r="Y221" s="6">
        <v>46077</v>
      </c>
      <c r="Z221" s="5"/>
      <c r="AB221" s="5"/>
      <c r="AD221" t="s">
        <v>477</v>
      </c>
    </row>
    <row r="222" spans="1:32" x14ac:dyDescent="0.2">
      <c r="A222" t="s">
        <v>471</v>
      </c>
      <c r="C222" s="5">
        <v>12990</v>
      </c>
      <c r="D222" t="s">
        <v>478</v>
      </c>
      <c r="E222">
        <v>190</v>
      </c>
      <c r="F222">
        <v>228</v>
      </c>
      <c r="G222" s="3">
        <v>38</v>
      </c>
      <c r="H222" s="4">
        <v>0.16666666666666666</v>
      </c>
      <c r="I222" s="6">
        <v>46077</v>
      </c>
      <c r="J222" s="14" t="e" cm="1">
        <f t="array" ref="J22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22" s="4"/>
      <c r="L222" s="4"/>
      <c r="M222" s="4"/>
      <c r="N222" s="4"/>
      <c r="O222" s="6" t="e" cm="1">
        <f t="array" ref="O222">_xlfn.XLOOKUP(1,(Table1[[#This Row],[Customer]]=[1]!Table1[Customer])*(Table1[[#This Row],[Sales Orders]]=[1]!Table1[Sales Order])*(Table1[[#This Row],[Product ID]]=[1]!Table1[Product ID]),[1]!Table1[New Invoice
 Date],"")</f>
        <v>#REF!</v>
      </c>
      <c r="P222" t="e" cm="1">
        <f t="array" ref="P222">_xlfn.XLOOKUP(1,(Table1[[#This Row],[Customer]]=[1]!Table1[Customer])*(Table1[[#This Row],[Sales Orders]]=[1]!Table1[Sales Order])*(Table1[[#This Row],[Product ID]]=[1]!Table1[Product ID]),[1]!Table1[New 
Invoice '#],"")</f>
        <v>#REF!</v>
      </c>
      <c r="Q222" t="e" cm="1">
        <f t="array" ref="Q222">_xlfn.XLOOKUP(1,(Table1[[#This Row],[Customer]]=[1]!Table1[Customer])*(Table1[[#This Row],[Sales Orders]]=[1]!Table1[Sales Order])*(Table1[[#This Row],[Product ID]]=[1]!Table1[Product ID]),[1]!Table1[Notes],"")</f>
        <v>#REF!</v>
      </c>
      <c r="R222" t="s">
        <v>277</v>
      </c>
      <c r="S222" s="5">
        <v>1</v>
      </c>
      <c r="T222">
        <v>0</v>
      </c>
      <c r="U222" s="5">
        <v>0</v>
      </c>
      <c r="V222" s="5">
        <v>26826</v>
      </c>
      <c r="W222" s="5">
        <v>12990</v>
      </c>
      <c r="X222" t="s">
        <v>106</v>
      </c>
      <c r="Y222" s="6">
        <v>46077</v>
      </c>
      <c r="Z222" s="5"/>
      <c r="AB222" s="5"/>
      <c r="AD222" t="s">
        <v>479</v>
      </c>
    </row>
    <row r="223" spans="1:32" x14ac:dyDescent="0.2">
      <c r="A223" t="s">
        <v>471</v>
      </c>
      <c r="C223" s="5">
        <v>12990</v>
      </c>
      <c r="D223" t="s">
        <v>480</v>
      </c>
      <c r="E223">
        <v>228.8</v>
      </c>
      <c r="F223">
        <v>274.56</v>
      </c>
      <c r="G223" s="3">
        <v>45.759999999999991</v>
      </c>
      <c r="H223" s="4">
        <v>0.16666666666666663</v>
      </c>
      <c r="I223" s="6">
        <v>46077</v>
      </c>
      <c r="J223" s="14" t="e" cm="1">
        <f t="array" ref="J22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23" s="4"/>
      <c r="L223" s="4"/>
      <c r="M223" s="4"/>
      <c r="N223" s="4"/>
      <c r="O223" s="6" t="e" cm="1">
        <f t="array" ref="O223">_xlfn.XLOOKUP(1,(Table1[[#This Row],[Customer]]=[1]!Table1[Customer])*(Table1[[#This Row],[Sales Orders]]=[1]!Table1[Sales Order])*(Table1[[#This Row],[Product ID]]=[1]!Table1[Product ID]),[1]!Table1[New Invoice
 Date],"")</f>
        <v>#REF!</v>
      </c>
      <c r="P223" t="e" cm="1">
        <f t="array" ref="P223">_xlfn.XLOOKUP(1,(Table1[[#This Row],[Customer]]=[1]!Table1[Customer])*(Table1[[#This Row],[Sales Orders]]=[1]!Table1[Sales Order])*(Table1[[#This Row],[Product ID]]=[1]!Table1[Product ID]),[1]!Table1[New 
Invoice '#],"")</f>
        <v>#REF!</v>
      </c>
      <c r="Q223" t="e" cm="1">
        <f t="array" ref="Q223">_xlfn.XLOOKUP(1,(Table1[[#This Row],[Customer]]=[1]!Table1[Customer])*(Table1[[#This Row],[Sales Orders]]=[1]!Table1[Sales Order])*(Table1[[#This Row],[Product ID]]=[1]!Table1[Product ID]),[1]!Table1[Notes],"")</f>
        <v>#REF!</v>
      </c>
      <c r="R223" t="s">
        <v>277</v>
      </c>
      <c r="S223" s="5">
        <v>1</v>
      </c>
      <c r="T223">
        <v>0</v>
      </c>
      <c r="U223" s="5">
        <v>0</v>
      </c>
      <c r="V223" s="5">
        <v>26826</v>
      </c>
      <c r="W223" s="5">
        <v>12990</v>
      </c>
      <c r="X223" t="s">
        <v>106</v>
      </c>
      <c r="Y223" s="6">
        <v>46077</v>
      </c>
      <c r="Z223" s="5"/>
      <c r="AB223" s="5"/>
      <c r="AD223" t="s">
        <v>481</v>
      </c>
    </row>
    <row r="224" spans="1:32" x14ac:dyDescent="0.2">
      <c r="A224" t="s">
        <v>184</v>
      </c>
      <c r="C224" s="5">
        <v>12991</v>
      </c>
      <c r="D224" t="s">
        <v>482</v>
      </c>
      <c r="E224">
        <v>7.98</v>
      </c>
      <c r="F224">
        <v>9.58</v>
      </c>
      <c r="G224" s="3">
        <v>1.5999999999999996</v>
      </c>
      <c r="H224" s="4">
        <v>0.16701461377870561</v>
      </c>
      <c r="I224" s="6">
        <v>46078</v>
      </c>
      <c r="J224" s="14">
        <v>9.58</v>
      </c>
      <c r="K224" s="4"/>
      <c r="L224" s="4"/>
      <c r="M224" s="4"/>
      <c r="N224" s="4"/>
      <c r="O224" s="6">
        <v>46090</v>
      </c>
      <c r="P224" t="s">
        <v>483</v>
      </c>
      <c r="Q224" t="e" cm="1">
        <f t="array" ref="Q224">_xlfn.XLOOKUP(1,(Table1[[#This Row],[Customer]]=[1]!Table1[Customer])*(Table1[[#This Row],[Sales Orders]]=[1]!Table1[Sales Order])*(Table1[[#This Row],[Product ID]]=[1]!Table1[Product ID]),[1]!Table1[Notes],"")</f>
        <v>#REF!</v>
      </c>
      <c r="S224" s="5">
        <v>1</v>
      </c>
      <c r="T224">
        <v>0</v>
      </c>
      <c r="U224" s="5">
        <v>0</v>
      </c>
      <c r="V224" s="5">
        <v>27440</v>
      </c>
      <c r="W224" s="5">
        <v>12991</v>
      </c>
      <c r="X224" t="s">
        <v>95</v>
      </c>
      <c r="Y224" s="6">
        <v>46078</v>
      </c>
      <c r="Z224" s="5"/>
      <c r="AB224" s="5"/>
      <c r="AD224" t="s">
        <v>484</v>
      </c>
    </row>
    <row r="225" spans="1:32" x14ac:dyDescent="0.2">
      <c r="A225" t="s">
        <v>184</v>
      </c>
      <c r="C225" s="5">
        <v>12991</v>
      </c>
      <c r="D225" t="s">
        <v>62</v>
      </c>
      <c r="E225">
        <v>6.99</v>
      </c>
      <c r="F225">
        <v>8.0399999999999991</v>
      </c>
      <c r="G225" s="3">
        <v>1.0499999999999989</v>
      </c>
      <c r="H225" s="4">
        <v>0.13059701492537301</v>
      </c>
      <c r="I225" s="6">
        <v>46078</v>
      </c>
      <c r="J225" s="14">
        <v>8.0399999999999991</v>
      </c>
      <c r="K225" s="4"/>
      <c r="L225" s="4"/>
      <c r="M225" s="4"/>
      <c r="N225" s="4"/>
      <c r="O225" s="6">
        <v>46090</v>
      </c>
      <c r="P225" t="s">
        <v>483</v>
      </c>
      <c r="Q225" t="e" cm="1">
        <f t="array" ref="Q225">_xlfn.XLOOKUP(1,(Table1[[#This Row],[Customer]]=[1]!Table1[Customer])*(Table1[[#This Row],[Sales Orders]]=[1]!Table1[Sales Order])*(Table1[[#This Row],[Product ID]]=[1]!Table1[Product ID]),[1]!Table1[Notes],"")</f>
        <v>#REF!</v>
      </c>
      <c r="S225" s="5">
        <v>1</v>
      </c>
      <c r="T225">
        <v>0</v>
      </c>
      <c r="U225" s="5">
        <v>0</v>
      </c>
      <c r="V225" s="5">
        <v>27440</v>
      </c>
      <c r="W225" s="5">
        <v>12991</v>
      </c>
      <c r="X225" t="s">
        <v>95</v>
      </c>
      <c r="Y225" s="6">
        <v>46078</v>
      </c>
      <c r="Z225" s="5"/>
      <c r="AB225" s="5"/>
      <c r="AD225" t="s">
        <v>63</v>
      </c>
    </row>
    <row r="226" spans="1:32" x14ac:dyDescent="0.2">
      <c r="A226" t="s">
        <v>485</v>
      </c>
      <c r="C226" s="5">
        <v>12992</v>
      </c>
      <c r="D226" t="s">
        <v>62</v>
      </c>
      <c r="E226">
        <v>23.4</v>
      </c>
      <c r="F226">
        <v>19.100000000000001</v>
      </c>
      <c r="G226" s="3">
        <v>-4.2999999999999972</v>
      </c>
      <c r="H226" s="4">
        <v>-0.22513089005235584</v>
      </c>
      <c r="I226" s="6">
        <v>46078</v>
      </c>
      <c r="K226" s="4"/>
      <c r="L226" s="4"/>
      <c r="M226" s="4"/>
      <c r="N226" s="4"/>
      <c r="O226" s="6" t="e" cm="1">
        <f t="array" ref="O226">_xlfn.XLOOKUP(1,(Table1[[#This Row],[Customer]]=[1]!Table1[Customer])*(Table1[[#This Row],[Sales Orders]]=[1]!Table1[Sales Order])*(Table1[[#This Row],[Product ID]]=[1]!Table1[Product ID]),[1]!Table1[New Invoice
 Date],"")</f>
        <v>#REF!</v>
      </c>
      <c r="P226" t="e" cm="1">
        <f t="array" ref="P226">_xlfn.XLOOKUP(1,(Table1[[#This Row],[Customer]]=[1]!Table1[Customer])*(Table1[[#This Row],[Sales Orders]]=[1]!Table1[Sales Order])*(Table1[[#This Row],[Product ID]]=[1]!Table1[Product ID]),[1]!Table1[New 
Invoice '#],"")</f>
        <v>#REF!</v>
      </c>
      <c r="Q226" t="e" cm="1">
        <f t="array" ref="Q226">_xlfn.XLOOKUP(1,(Table1[[#This Row],[Customer]]=[1]!Table1[Customer])*(Table1[[#This Row],[Sales Orders]]=[1]!Table1[Sales Order])*(Table1[[#This Row],[Product ID]]=[1]!Table1[Product ID]),[1]!Table1[Notes],"")</f>
        <v>#REF!</v>
      </c>
      <c r="R226" t="s">
        <v>296</v>
      </c>
      <c r="S226" s="5">
        <v>1</v>
      </c>
      <c r="T226">
        <v>0</v>
      </c>
      <c r="U226" s="5">
        <v>0</v>
      </c>
      <c r="V226" s="5">
        <v>27814</v>
      </c>
      <c r="W226" s="5">
        <v>12992</v>
      </c>
      <c r="X226" t="s">
        <v>119</v>
      </c>
      <c r="Y226" s="6">
        <v>46078</v>
      </c>
      <c r="Z226" s="5"/>
      <c r="AB226" s="5"/>
      <c r="AD226" t="s">
        <v>63</v>
      </c>
    </row>
    <row r="227" spans="1:32" x14ac:dyDescent="0.2">
      <c r="A227" t="s">
        <v>485</v>
      </c>
      <c r="C227" s="5">
        <v>12992</v>
      </c>
      <c r="D227" t="s">
        <v>486</v>
      </c>
      <c r="E227">
        <v>660.9</v>
      </c>
      <c r="F227">
        <v>793.08</v>
      </c>
      <c r="G227" s="3">
        <v>132.18000000000006</v>
      </c>
      <c r="H227" s="4">
        <v>0.16666666666666674</v>
      </c>
      <c r="I227" s="6">
        <v>46078</v>
      </c>
      <c r="J227" s="14" t="e" cm="1">
        <f t="array" ref="J22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27" s="4"/>
      <c r="L227" s="4"/>
      <c r="M227" s="4"/>
      <c r="N227" s="4"/>
      <c r="O227" s="6" t="e" cm="1">
        <f t="array" ref="O227">_xlfn.XLOOKUP(1,(Table1[[#This Row],[Customer]]=[1]!Table1[Customer])*(Table1[[#This Row],[Sales Orders]]=[1]!Table1[Sales Order])*(Table1[[#This Row],[Product ID]]=[1]!Table1[Product ID]),[1]!Table1[New Invoice
 Date],"")</f>
        <v>#REF!</v>
      </c>
      <c r="P227" t="e" cm="1">
        <f t="array" ref="P227">_xlfn.XLOOKUP(1,(Table1[[#This Row],[Customer]]=[1]!Table1[Customer])*(Table1[[#This Row],[Sales Orders]]=[1]!Table1[Sales Order])*(Table1[[#This Row],[Product ID]]=[1]!Table1[Product ID]),[1]!Table1[New 
Invoice '#],"")</f>
        <v>#REF!</v>
      </c>
      <c r="Q227" t="e" cm="1">
        <f t="array" ref="Q227">_xlfn.XLOOKUP(1,(Table1[[#This Row],[Customer]]=[1]!Table1[Customer])*(Table1[[#This Row],[Sales Orders]]=[1]!Table1[Sales Order])*(Table1[[#This Row],[Product ID]]=[1]!Table1[Product ID]),[1]!Table1[Notes],"")</f>
        <v>#REF!</v>
      </c>
      <c r="R227" t="s">
        <v>296</v>
      </c>
      <c r="S227" s="5">
        <v>3</v>
      </c>
      <c r="T227">
        <v>0</v>
      </c>
      <c r="U227" s="5">
        <v>0</v>
      </c>
      <c r="V227" s="5">
        <v>27814</v>
      </c>
      <c r="W227" s="5">
        <v>12992</v>
      </c>
      <c r="X227" t="s">
        <v>119</v>
      </c>
      <c r="Y227" s="6">
        <v>46078</v>
      </c>
      <c r="Z227" s="5"/>
      <c r="AB227" s="5"/>
      <c r="AD227" t="s">
        <v>487</v>
      </c>
    </row>
    <row r="228" spans="1:32" x14ac:dyDescent="0.2">
      <c r="A228" t="s">
        <v>488</v>
      </c>
      <c r="C228" s="5">
        <v>12994</v>
      </c>
      <c r="D228" t="s">
        <v>62</v>
      </c>
      <c r="E228">
        <v>381.70000000000005</v>
      </c>
      <c r="F228">
        <v>381.70000000000005</v>
      </c>
      <c r="G228" s="3">
        <v>0</v>
      </c>
      <c r="H228" s="4">
        <v>0</v>
      </c>
      <c r="I228" s="6">
        <v>46078</v>
      </c>
      <c r="J228" s="14">
        <v>381.7</v>
      </c>
      <c r="K228" s="4"/>
      <c r="L228" s="4"/>
      <c r="M228" s="4"/>
      <c r="N228" s="4"/>
      <c r="O228" s="6">
        <v>46091</v>
      </c>
      <c r="P228" t="s">
        <v>489</v>
      </c>
      <c r="Q228" t="e" cm="1">
        <f t="array" ref="Q228">_xlfn.XLOOKUP(1,(Table1[[#This Row],[Customer]]=[1]!Table1[Customer])*(Table1[[#This Row],[Sales Orders]]=[1]!Table1[Sales Order])*(Table1[[#This Row],[Product ID]]=[1]!Table1[Product ID]),[1]!Table1[Notes],"")</f>
        <v>#REF!</v>
      </c>
      <c r="S228" s="5">
        <v>1</v>
      </c>
      <c r="T228">
        <v>0</v>
      </c>
      <c r="U228" s="5">
        <v>0</v>
      </c>
      <c r="V228" s="5">
        <v>27855</v>
      </c>
      <c r="W228" s="5">
        <v>12994</v>
      </c>
      <c r="X228" t="s">
        <v>98</v>
      </c>
      <c r="Y228" s="6">
        <v>46078</v>
      </c>
      <c r="Z228" s="5"/>
      <c r="AB228" s="5">
        <v>2432032</v>
      </c>
      <c r="AC228" t="s">
        <v>253</v>
      </c>
      <c r="AD228" t="s">
        <v>63</v>
      </c>
    </row>
    <row r="229" spans="1:32" x14ac:dyDescent="0.2">
      <c r="A229" t="s">
        <v>488</v>
      </c>
      <c r="C229" s="5">
        <v>12993</v>
      </c>
      <c r="D229" t="s">
        <v>62</v>
      </c>
      <c r="E229">
        <v>54.7</v>
      </c>
      <c r="F229">
        <v>65.64</v>
      </c>
      <c r="G229" s="3">
        <v>10.939999999999998</v>
      </c>
      <c r="H229" s="4">
        <v>0.16666666666666663</v>
      </c>
      <c r="I229" s="6">
        <v>46078</v>
      </c>
      <c r="J229" s="14">
        <v>65.64</v>
      </c>
      <c r="K229" s="4"/>
      <c r="L229" s="4"/>
      <c r="M229" s="4"/>
      <c r="N229" s="4"/>
      <c r="O229" s="6">
        <v>46091</v>
      </c>
      <c r="P229" t="s">
        <v>489</v>
      </c>
      <c r="Q229" t="e" cm="1">
        <f t="array" ref="Q229">_xlfn.XLOOKUP(1,(Table1[[#This Row],[Customer]]=[1]!Table1[Customer])*(Table1[[#This Row],[Sales Orders]]=[1]!Table1[Sales Order])*(Table1[[#This Row],[Product ID]]=[1]!Table1[Product ID]),[1]!Table1[Notes],"")</f>
        <v>#REF!</v>
      </c>
      <c r="S229" s="5">
        <v>1</v>
      </c>
      <c r="T229">
        <v>1</v>
      </c>
      <c r="U229" s="5">
        <v>0</v>
      </c>
      <c r="V229" s="5">
        <v>27854</v>
      </c>
      <c r="W229" s="5">
        <v>12993</v>
      </c>
      <c r="X229" t="s">
        <v>98</v>
      </c>
      <c r="Y229" s="6">
        <v>46078</v>
      </c>
      <c r="Z229" s="5"/>
      <c r="AB229" s="5">
        <v>2432028</v>
      </c>
      <c r="AC229" t="s">
        <v>253</v>
      </c>
      <c r="AD229" t="s">
        <v>63</v>
      </c>
      <c r="AE229" t="s">
        <v>490</v>
      </c>
      <c r="AF229" t="s">
        <v>38</v>
      </c>
    </row>
    <row r="230" spans="1:32" x14ac:dyDescent="0.2">
      <c r="A230" t="s">
        <v>488</v>
      </c>
      <c r="C230" s="5">
        <v>12993</v>
      </c>
      <c r="D230" t="s">
        <v>491</v>
      </c>
      <c r="E230">
        <v>1513.2</v>
      </c>
      <c r="F230">
        <v>1700</v>
      </c>
      <c r="G230" s="3">
        <v>186.79999999999995</v>
      </c>
      <c r="H230" s="4">
        <v>0.10988235294117644</v>
      </c>
      <c r="I230" s="6">
        <v>46078</v>
      </c>
      <c r="J230" s="14">
        <v>1700</v>
      </c>
      <c r="K230" s="4"/>
      <c r="L230" s="4"/>
      <c r="M230" s="4"/>
      <c r="N230" s="4"/>
      <c r="O230" s="6">
        <v>46091</v>
      </c>
      <c r="P230" t="s">
        <v>489</v>
      </c>
      <c r="Q230" t="e" cm="1">
        <f t="array" ref="Q230">_xlfn.XLOOKUP(1,(Table1[[#This Row],[Customer]]=[1]!Table1[Customer])*(Table1[[#This Row],[Sales Orders]]=[1]!Table1[Sales Order])*(Table1[[#This Row],[Product ID]]=[1]!Table1[Product ID]),[1]!Table1[Notes],"")</f>
        <v>#REF!</v>
      </c>
      <c r="S230" s="5">
        <v>2</v>
      </c>
      <c r="T230">
        <v>2</v>
      </c>
      <c r="U230" s="5">
        <v>2</v>
      </c>
      <c r="V230" s="5">
        <v>27854</v>
      </c>
      <c r="W230" s="5">
        <v>12993</v>
      </c>
      <c r="X230" t="s">
        <v>98</v>
      </c>
      <c r="Y230" s="6">
        <v>46078</v>
      </c>
      <c r="Z230" s="5"/>
      <c r="AB230" s="5">
        <v>2432028</v>
      </c>
      <c r="AC230" t="s">
        <v>253</v>
      </c>
      <c r="AD230" t="s">
        <v>492</v>
      </c>
    </row>
    <row r="231" spans="1:32" x14ac:dyDescent="0.2">
      <c r="A231" t="s">
        <v>488</v>
      </c>
      <c r="C231" s="5">
        <v>12994</v>
      </c>
      <c r="D231" t="s">
        <v>491</v>
      </c>
      <c r="E231">
        <v>6052.8</v>
      </c>
      <c r="F231">
        <v>6800</v>
      </c>
      <c r="G231" s="3">
        <v>747.19999999999982</v>
      </c>
      <c r="H231" s="4">
        <v>0.10988235294117644</v>
      </c>
      <c r="I231" s="6">
        <v>46078</v>
      </c>
      <c r="J231" s="14">
        <v>6800</v>
      </c>
      <c r="K231" s="4"/>
      <c r="L231" s="4"/>
      <c r="M231" s="4"/>
      <c r="N231" s="4"/>
      <c r="O231" s="6">
        <v>46091</v>
      </c>
      <c r="P231" t="s">
        <v>489</v>
      </c>
      <c r="Q231" t="e" cm="1">
        <f t="array" ref="Q231">_xlfn.XLOOKUP(1,(Table1[[#This Row],[Customer]]=[1]!Table1[Customer])*(Table1[[#This Row],[Sales Orders]]=[1]!Table1[Sales Order])*(Table1[[#This Row],[Product ID]]=[1]!Table1[Product ID]),[1]!Table1[Notes],"")</f>
        <v>#REF!</v>
      </c>
      <c r="S231" s="5">
        <v>8</v>
      </c>
      <c r="T231">
        <v>8</v>
      </c>
      <c r="U231" s="5">
        <v>8</v>
      </c>
      <c r="V231" s="5">
        <v>27855</v>
      </c>
      <c r="W231" s="5">
        <v>12994</v>
      </c>
      <c r="X231" t="s">
        <v>98</v>
      </c>
      <c r="Y231" s="6">
        <v>46078</v>
      </c>
      <c r="Z231" s="5"/>
      <c r="AB231" s="5">
        <v>2432032</v>
      </c>
      <c r="AC231" t="s">
        <v>253</v>
      </c>
      <c r="AD231" t="s">
        <v>492</v>
      </c>
    </row>
    <row r="232" spans="1:32" x14ac:dyDescent="0.2">
      <c r="A232" t="s">
        <v>39</v>
      </c>
      <c r="C232" s="5">
        <v>12998</v>
      </c>
      <c r="D232" t="s">
        <v>62</v>
      </c>
      <c r="E232">
        <v>1116.9599999999998</v>
      </c>
      <c r="F232">
        <v>1116.9599999999998</v>
      </c>
      <c r="G232" s="3">
        <v>0</v>
      </c>
      <c r="H232" s="4">
        <v>0</v>
      </c>
      <c r="I232" s="6">
        <v>46079</v>
      </c>
      <c r="J232" s="14" t="e" cm="1">
        <f t="array" ref="J23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2" s="4"/>
      <c r="L232" s="4"/>
      <c r="M232" s="4"/>
      <c r="N232" s="4"/>
      <c r="O232" s="6" t="e" cm="1">
        <f t="array" ref="O232">_xlfn.XLOOKUP(1,(Table1[[#This Row],[Customer]]=[1]!Table1[Customer])*(Table1[[#This Row],[Sales Orders]]=[1]!Table1[Sales Order])*(Table1[[#This Row],[Product ID]]=[1]!Table1[Product ID]),[1]!Table1[New Invoice
 Date],"")</f>
        <v>#REF!</v>
      </c>
      <c r="P232" t="e" cm="1">
        <f t="array" ref="P232">_xlfn.XLOOKUP(1,(Table1[[#This Row],[Customer]]=[1]!Table1[Customer])*(Table1[[#This Row],[Sales Orders]]=[1]!Table1[Sales Order])*(Table1[[#This Row],[Product ID]]=[1]!Table1[Product ID]),[1]!Table1[New 
Invoice '#],"")</f>
        <v>#REF!</v>
      </c>
      <c r="Q232" t="e" cm="1">
        <f t="array" ref="Q232">_xlfn.XLOOKUP(1,(Table1[[#This Row],[Customer]]=[1]!Table1[Customer])*(Table1[[#This Row],[Sales Orders]]=[1]!Table1[Sales Order])*(Table1[[#This Row],[Product ID]]=[1]!Table1[Product ID]),[1]!Table1[Notes],"")</f>
        <v>#REF!</v>
      </c>
      <c r="R232" t="s">
        <v>252</v>
      </c>
      <c r="S232" s="5">
        <v>1</v>
      </c>
      <c r="T232">
        <v>0</v>
      </c>
      <c r="U232" s="5">
        <v>0</v>
      </c>
      <c r="V232" s="5">
        <v>27873</v>
      </c>
      <c r="W232" s="5">
        <v>12998</v>
      </c>
      <c r="X232" t="s">
        <v>98</v>
      </c>
      <c r="Y232" s="6">
        <v>46079</v>
      </c>
      <c r="Z232" s="5"/>
      <c r="AB232" s="5">
        <v>2432618</v>
      </c>
      <c r="AC232" t="s">
        <v>253</v>
      </c>
      <c r="AD232" t="s">
        <v>63</v>
      </c>
    </row>
    <row r="233" spans="1:32" x14ac:dyDescent="0.2">
      <c r="A233" t="s">
        <v>39</v>
      </c>
      <c r="C233" s="5">
        <v>12998</v>
      </c>
      <c r="D233" t="s">
        <v>160</v>
      </c>
      <c r="E233">
        <v>6216.64</v>
      </c>
      <c r="F233">
        <v>7392</v>
      </c>
      <c r="G233" s="3">
        <v>1175.3599999999997</v>
      </c>
      <c r="H233" s="4">
        <v>0.15900432900432895</v>
      </c>
      <c r="I233" s="6">
        <v>46079</v>
      </c>
      <c r="J233" s="14" t="e" cm="1">
        <f t="array" ref="J23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3" s="4"/>
      <c r="L233" s="4"/>
      <c r="M233" s="4"/>
      <c r="N233" s="4"/>
      <c r="O233" s="6" t="e" cm="1">
        <f t="array" ref="O233">_xlfn.XLOOKUP(1,(Table1[[#This Row],[Customer]]=[1]!Table1[Customer])*(Table1[[#This Row],[Sales Orders]]=[1]!Table1[Sales Order])*(Table1[[#This Row],[Product ID]]=[1]!Table1[Product ID]),[1]!Table1[New Invoice
 Date],"")</f>
        <v>#REF!</v>
      </c>
      <c r="P233" t="e" cm="1">
        <f t="array" ref="P233">_xlfn.XLOOKUP(1,(Table1[[#This Row],[Customer]]=[1]!Table1[Customer])*(Table1[[#This Row],[Sales Orders]]=[1]!Table1[Sales Order])*(Table1[[#This Row],[Product ID]]=[1]!Table1[Product ID]),[1]!Table1[New 
Invoice '#],"")</f>
        <v>#REF!</v>
      </c>
      <c r="Q233" t="e" cm="1">
        <f t="array" ref="Q233">_xlfn.XLOOKUP(1,(Table1[[#This Row],[Customer]]=[1]!Table1[Customer])*(Table1[[#This Row],[Sales Orders]]=[1]!Table1[Sales Order])*(Table1[[#This Row],[Product ID]]=[1]!Table1[Product ID]),[1]!Table1[Notes],"")</f>
        <v>#REF!</v>
      </c>
      <c r="R233" t="s">
        <v>252</v>
      </c>
      <c r="S233" s="5">
        <v>8</v>
      </c>
      <c r="T233">
        <v>8</v>
      </c>
      <c r="U233" s="5">
        <v>8</v>
      </c>
      <c r="V233" s="5">
        <v>27873</v>
      </c>
      <c r="W233" s="5">
        <v>12998</v>
      </c>
      <c r="X233" t="s">
        <v>98</v>
      </c>
      <c r="Y233" s="6">
        <v>46079</v>
      </c>
      <c r="Z233" s="5"/>
      <c r="AB233" s="5">
        <v>2432618</v>
      </c>
      <c r="AC233" t="s">
        <v>253</v>
      </c>
      <c r="AD233" t="s">
        <v>159</v>
      </c>
    </row>
    <row r="234" spans="1:32" x14ac:dyDescent="0.2">
      <c r="A234" t="s">
        <v>39</v>
      </c>
      <c r="C234" s="5">
        <v>12998</v>
      </c>
      <c r="D234" t="s">
        <v>161</v>
      </c>
      <c r="E234">
        <v>1258.32</v>
      </c>
      <c r="F234">
        <v>1600</v>
      </c>
      <c r="G234" s="3">
        <v>341.68000000000006</v>
      </c>
      <c r="H234" s="4">
        <v>0.21355000000000005</v>
      </c>
      <c r="I234" s="6">
        <v>46079</v>
      </c>
      <c r="J234" s="14" t="e" cm="1">
        <f t="array" ref="J23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4" s="4"/>
      <c r="L234" s="4"/>
      <c r="M234" s="4"/>
      <c r="N234" s="4"/>
      <c r="O234" s="6" t="e" cm="1">
        <f t="array" ref="O234">_xlfn.XLOOKUP(1,(Table1[[#This Row],[Customer]]=[1]!Table1[Customer])*(Table1[[#This Row],[Sales Orders]]=[1]!Table1[Sales Order])*(Table1[[#This Row],[Product ID]]=[1]!Table1[Product ID]),[1]!Table1[New Invoice
 Date],"")</f>
        <v>#REF!</v>
      </c>
      <c r="P234" t="e" cm="1">
        <f t="array" ref="P234">_xlfn.XLOOKUP(1,(Table1[[#This Row],[Customer]]=[1]!Table1[Customer])*(Table1[[#This Row],[Sales Orders]]=[1]!Table1[Sales Order])*(Table1[[#This Row],[Product ID]]=[1]!Table1[Product ID]),[1]!Table1[New 
Invoice '#],"")</f>
        <v>#REF!</v>
      </c>
      <c r="Q234" t="e" cm="1">
        <f t="array" ref="Q234">_xlfn.XLOOKUP(1,(Table1[[#This Row],[Customer]]=[1]!Table1[Customer])*(Table1[[#This Row],[Sales Orders]]=[1]!Table1[Sales Order])*(Table1[[#This Row],[Product ID]]=[1]!Table1[Product ID]),[1]!Table1[Notes],"")</f>
        <v>#REF!</v>
      </c>
      <c r="R234" t="s">
        <v>252</v>
      </c>
      <c r="S234" s="5">
        <v>8</v>
      </c>
      <c r="T234">
        <v>8</v>
      </c>
      <c r="U234" s="5">
        <v>8</v>
      </c>
      <c r="V234" s="5">
        <v>27873</v>
      </c>
      <c r="W234" s="5">
        <v>12998</v>
      </c>
      <c r="X234" t="s">
        <v>98</v>
      </c>
      <c r="Y234" s="6">
        <v>46079</v>
      </c>
      <c r="Z234" s="5"/>
      <c r="AB234" s="5">
        <v>2432618</v>
      </c>
      <c r="AC234" t="s">
        <v>253</v>
      </c>
      <c r="AD234" t="s">
        <v>162</v>
      </c>
    </row>
    <row r="235" spans="1:32" x14ac:dyDescent="0.2">
      <c r="A235" t="s">
        <v>39</v>
      </c>
      <c r="C235" s="5">
        <v>12998</v>
      </c>
      <c r="D235" t="s">
        <v>163</v>
      </c>
      <c r="E235">
        <v>194.24</v>
      </c>
      <c r="F235">
        <v>221.44</v>
      </c>
      <c r="G235" s="3">
        <v>27.199999999999989</v>
      </c>
      <c r="H235" s="4">
        <v>0.12283236994219648</v>
      </c>
      <c r="I235" s="6">
        <v>46079</v>
      </c>
      <c r="J235" s="14" t="e" cm="1">
        <f t="array" ref="J23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5" s="4"/>
      <c r="L235" s="4"/>
      <c r="M235" s="4"/>
      <c r="N235" s="4"/>
      <c r="O235" s="6" t="e" cm="1">
        <f t="array" ref="O235">_xlfn.XLOOKUP(1,(Table1[[#This Row],[Customer]]=[1]!Table1[Customer])*(Table1[[#This Row],[Sales Orders]]=[1]!Table1[Sales Order])*(Table1[[#This Row],[Product ID]]=[1]!Table1[Product ID]),[1]!Table1[New Invoice
 Date],"")</f>
        <v>#REF!</v>
      </c>
      <c r="P235" t="e" cm="1">
        <f t="array" ref="P235">_xlfn.XLOOKUP(1,(Table1[[#This Row],[Customer]]=[1]!Table1[Customer])*(Table1[[#This Row],[Sales Orders]]=[1]!Table1[Sales Order])*(Table1[[#This Row],[Product ID]]=[1]!Table1[Product ID]),[1]!Table1[New 
Invoice '#],"")</f>
        <v>#REF!</v>
      </c>
      <c r="Q235" t="e" cm="1">
        <f t="array" ref="Q235">_xlfn.XLOOKUP(1,(Table1[[#This Row],[Customer]]=[1]!Table1[Customer])*(Table1[[#This Row],[Sales Orders]]=[1]!Table1[Sales Order])*(Table1[[#This Row],[Product ID]]=[1]!Table1[Product ID]),[1]!Table1[Notes],"")</f>
        <v>#REF!</v>
      </c>
      <c r="R235" t="s">
        <v>252</v>
      </c>
      <c r="S235" s="5">
        <v>8</v>
      </c>
      <c r="T235">
        <v>8</v>
      </c>
      <c r="U235" s="5">
        <v>8</v>
      </c>
      <c r="V235" s="5">
        <v>27873</v>
      </c>
      <c r="W235" s="5">
        <v>12998</v>
      </c>
      <c r="X235" t="s">
        <v>98</v>
      </c>
      <c r="Y235" s="6">
        <v>46079</v>
      </c>
      <c r="Z235" s="5"/>
      <c r="AB235" s="5">
        <v>2432618</v>
      </c>
      <c r="AC235" t="s">
        <v>253</v>
      </c>
      <c r="AD235" t="s">
        <v>164</v>
      </c>
    </row>
    <row r="236" spans="1:32" x14ac:dyDescent="0.2">
      <c r="A236" t="s">
        <v>39</v>
      </c>
      <c r="C236" s="5">
        <v>12998</v>
      </c>
      <c r="D236" t="s">
        <v>461</v>
      </c>
      <c r="E236">
        <v>219.2</v>
      </c>
      <c r="F236">
        <v>256</v>
      </c>
      <c r="G236" s="3">
        <v>36.800000000000011</v>
      </c>
      <c r="H236" s="4">
        <v>0.14375000000000004</v>
      </c>
      <c r="I236" s="6">
        <v>46079</v>
      </c>
      <c r="J236" s="14" t="e" cm="1">
        <f t="array" ref="J23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6" s="4"/>
      <c r="L236" s="4"/>
      <c r="M236" s="4"/>
      <c r="N236" s="4"/>
      <c r="O236" s="6" t="e" cm="1">
        <f t="array" ref="O236">_xlfn.XLOOKUP(1,(Table1[[#This Row],[Customer]]=[1]!Table1[Customer])*(Table1[[#This Row],[Sales Orders]]=[1]!Table1[Sales Order])*(Table1[[#This Row],[Product ID]]=[1]!Table1[Product ID]),[1]!Table1[New Invoice
 Date],"")</f>
        <v>#REF!</v>
      </c>
      <c r="P236" t="e" cm="1">
        <f t="array" ref="P236">_xlfn.XLOOKUP(1,(Table1[[#This Row],[Customer]]=[1]!Table1[Customer])*(Table1[[#This Row],[Sales Orders]]=[1]!Table1[Sales Order])*(Table1[[#This Row],[Product ID]]=[1]!Table1[Product ID]),[1]!Table1[New 
Invoice '#],"")</f>
        <v>#REF!</v>
      </c>
      <c r="Q236" t="e" cm="1">
        <f t="array" ref="Q236">_xlfn.XLOOKUP(1,(Table1[[#This Row],[Customer]]=[1]!Table1[Customer])*(Table1[[#This Row],[Sales Orders]]=[1]!Table1[Sales Order])*(Table1[[#This Row],[Product ID]]=[1]!Table1[Product ID]),[1]!Table1[Notes],"")</f>
        <v>#REF!</v>
      </c>
      <c r="R236" t="s">
        <v>252</v>
      </c>
      <c r="S236" s="5">
        <v>8</v>
      </c>
      <c r="T236">
        <v>8</v>
      </c>
      <c r="U236" s="5">
        <v>8</v>
      </c>
      <c r="V236" s="5">
        <v>27873</v>
      </c>
      <c r="W236" s="5">
        <v>12998</v>
      </c>
      <c r="X236" t="s">
        <v>98</v>
      </c>
      <c r="Y236" s="6">
        <v>46079</v>
      </c>
      <c r="Z236" s="5"/>
      <c r="AB236" s="5">
        <v>2432618</v>
      </c>
      <c r="AC236" t="s">
        <v>253</v>
      </c>
      <c r="AD236" t="s">
        <v>462</v>
      </c>
    </row>
    <row r="237" spans="1:32" x14ac:dyDescent="0.2">
      <c r="A237" t="s">
        <v>39</v>
      </c>
      <c r="C237" s="5">
        <v>12998</v>
      </c>
      <c r="D237" t="s">
        <v>165</v>
      </c>
      <c r="E237">
        <v>175.12</v>
      </c>
      <c r="F237">
        <v>188</v>
      </c>
      <c r="G237" s="3">
        <v>12.879999999999995</v>
      </c>
      <c r="H237" s="4">
        <v>6.8510638297872323E-2</v>
      </c>
      <c r="I237" s="6">
        <v>46079</v>
      </c>
      <c r="J237" s="14" t="e" cm="1">
        <f t="array" ref="J23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7" s="4"/>
      <c r="L237" s="4"/>
      <c r="M237" s="4"/>
      <c r="N237" s="4"/>
      <c r="O237" s="6" t="e" cm="1">
        <f t="array" ref="O237">_xlfn.XLOOKUP(1,(Table1[[#This Row],[Customer]]=[1]!Table1[Customer])*(Table1[[#This Row],[Sales Orders]]=[1]!Table1[Sales Order])*(Table1[[#This Row],[Product ID]]=[1]!Table1[Product ID]),[1]!Table1[New Invoice
 Date],"")</f>
        <v>#REF!</v>
      </c>
      <c r="P237" t="e" cm="1">
        <f t="array" ref="P237">_xlfn.XLOOKUP(1,(Table1[[#This Row],[Customer]]=[1]!Table1[Customer])*(Table1[[#This Row],[Sales Orders]]=[1]!Table1[Sales Order])*(Table1[[#This Row],[Product ID]]=[1]!Table1[Product ID]),[1]!Table1[New 
Invoice '#],"")</f>
        <v>#REF!</v>
      </c>
      <c r="Q237" t="e" cm="1">
        <f t="array" ref="Q237">_xlfn.XLOOKUP(1,(Table1[[#This Row],[Customer]]=[1]!Table1[Customer])*(Table1[[#This Row],[Sales Orders]]=[1]!Table1[Sales Order])*(Table1[[#This Row],[Product ID]]=[1]!Table1[Product ID]),[1]!Table1[Notes],"")</f>
        <v>#REF!</v>
      </c>
      <c r="R237" t="s">
        <v>252</v>
      </c>
      <c r="S237" s="5">
        <v>8</v>
      </c>
      <c r="T237">
        <v>8</v>
      </c>
      <c r="U237" s="5">
        <v>8</v>
      </c>
      <c r="V237" s="5">
        <v>27873</v>
      </c>
      <c r="W237" s="5">
        <v>12998</v>
      </c>
      <c r="X237" t="s">
        <v>98</v>
      </c>
      <c r="Y237" s="6">
        <v>46079</v>
      </c>
      <c r="Z237" s="5"/>
      <c r="AB237" s="5">
        <v>2432618</v>
      </c>
      <c r="AC237" t="s">
        <v>253</v>
      </c>
      <c r="AD237" t="s">
        <v>166</v>
      </c>
    </row>
    <row r="238" spans="1:32" x14ac:dyDescent="0.2">
      <c r="A238" t="s">
        <v>39</v>
      </c>
      <c r="C238" s="5">
        <v>12998</v>
      </c>
      <c r="D238" t="s">
        <v>463</v>
      </c>
      <c r="E238">
        <v>124.16</v>
      </c>
      <c r="F238">
        <v>142.80000000000001</v>
      </c>
      <c r="G238" s="3">
        <v>18.640000000000015</v>
      </c>
      <c r="H238" s="4">
        <v>0.13053221288515415</v>
      </c>
      <c r="I238" s="6">
        <v>46079</v>
      </c>
      <c r="J238" s="14" t="e" cm="1">
        <f t="array" ref="J23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8" s="4"/>
      <c r="L238" s="4"/>
      <c r="M238" s="4"/>
      <c r="N238" s="4"/>
      <c r="O238" s="6" t="e" cm="1">
        <f t="array" ref="O238">_xlfn.XLOOKUP(1,(Table1[[#This Row],[Customer]]=[1]!Table1[Customer])*(Table1[[#This Row],[Sales Orders]]=[1]!Table1[Sales Order])*(Table1[[#This Row],[Product ID]]=[1]!Table1[Product ID]),[1]!Table1[New Invoice
 Date],"")</f>
        <v>#REF!</v>
      </c>
      <c r="P238" t="e" cm="1">
        <f t="array" ref="P238">_xlfn.XLOOKUP(1,(Table1[[#This Row],[Customer]]=[1]!Table1[Customer])*(Table1[[#This Row],[Sales Orders]]=[1]!Table1[Sales Order])*(Table1[[#This Row],[Product ID]]=[1]!Table1[Product ID]),[1]!Table1[New 
Invoice '#],"")</f>
        <v>#REF!</v>
      </c>
      <c r="Q238" t="e" cm="1">
        <f t="array" ref="Q238">_xlfn.XLOOKUP(1,(Table1[[#This Row],[Customer]]=[1]!Table1[Customer])*(Table1[[#This Row],[Sales Orders]]=[1]!Table1[Sales Order])*(Table1[[#This Row],[Product ID]]=[1]!Table1[Product ID]),[1]!Table1[Notes],"")</f>
        <v>#REF!</v>
      </c>
      <c r="R238" t="s">
        <v>252</v>
      </c>
      <c r="S238" s="5">
        <v>8</v>
      </c>
      <c r="T238">
        <v>8</v>
      </c>
      <c r="U238" s="5">
        <v>8</v>
      </c>
      <c r="V238" s="5">
        <v>27873</v>
      </c>
      <c r="W238" s="5">
        <v>12998</v>
      </c>
      <c r="X238" t="s">
        <v>98</v>
      </c>
      <c r="Y238" s="6">
        <v>46079</v>
      </c>
      <c r="Z238" s="5"/>
      <c r="AB238" s="5">
        <v>2432618</v>
      </c>
      <c r="AC238" t="s">
        <v>253</v>
      </c>
      <c r="AD238" t="s">
        <v>464</v>
      </c>
    </row>
    <row r="239" spans="1:32" x14ac:dyDescent="0.2">
      <c r="A239" t="s">
        <v>39</v>
      </c>
      <c r="C239" s="5">
        <v>12998</v>
      </c>
      <c r="D239" t="s">
        <v>465</v>
      </c>
      <c r="E239">
        <v>176.64</v>
      </c>
      <c r="F239">
        <v>212</v>
      </c>
      <c r="G239" s="3">
        <v>35.360000000000014</v>
      </c>
      <c r="H239" s="4">
        <v>0.16679245283018873</v>
      </c>
      <c r="I239" s="6">
        <v>46079</v>
      </c>
      <c r="J239" s="14" t="e" cm="1">
        <f t="array" ref="J23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39" s="4"/>
      <c r="L239" s="4"/>
      <c r="M239" s="4"/>
      <c r="N239" s="4"/>
      <c r="O239" s="6" t="e" cm="1">
        <f t="array" ref="O239">_xlfn.XLOOKUP(1,(Table1[[#This Row],[Customer]]=[1]!Table1[Customer])*(Table1[[#This Row],[Sales Orders]]=[1]!Table1[Sales Order])*(Table1[[#This Row],[Product ID]]=[1]!Table1[Product ID]),[1]!Table1[New Invoice
 Date],"")</f>
        <v>#REF!</v>
      </c>
      <c r="P239" t="e" cm="1">
        <f t="array" ref="P239">_xlfn.XLOOKUP(1,(Table1[[#This Row],[Customer]]=[1]!Table1[Customer])*(Table1[[#This Row],[Sales Orders]]=[1]!Table1[Sales Order])*(Table1[[#This Row],[Product ID]]=[1]!Table1[Product ID]),[1]!Table1[New 
Invoice '#],"")</f>
        <v>#REF!</v>
      </c>
      <c r="Q239" t="e" cm="1">
        <f t="array" ref="Q239">_xlfn.XLOOKUP(1,(Table1[[#This Row],[Customer]]=[1]!Table1[Customer])*(Table1[[#This Row],[Sales Orders]]=[1]!Table1[Sales Order])*(Table1[[#This Row],[Product ID]]=[1]!Table1[Product ID]),[1]!Table1[Notes],"")</f>
        <v>#REF!</v>
      </c>
      <c r="R239" t="s">
        <v>252</v>
      </c>
      <c r="S239" s="5">
        <v>8</v>
      </c>
      <c r="T239">
        <v>8</v>
      </c>
      <c r="U239" s="5">
        <v>8</v>
      </c>
      <c r="V239" s="5">
        <v>27873</v>
      </c>
      <c r="W239" s="5">
        <v>12998</v>
      </c>
      <c r="X239" t="s">
        <v>98</v>
      </c>
      <c r="Y239" s="6">
        <v>46079</v>
      </c>
      <c r="Z239" s="5"/>
      <c r="AB239" s="5">
        <v>2432618</v>
      </c>
      <c r="AC239" t="s">
        <v>253</v>
      </c>
      <c r="AD239" t="s">
        <v>466</v>
      </c>
    </row>
    <row r="240" spans="1:32" x14ac:dyDescent="0.2">
      <c r="A240" t="s">
        <v>39</v>
      </c>
      <c r="C240" s="5">
        <v>12998</v>
      </c>
      <c r="D240" t="s">
        <v>167</v>
      </c>
      <c r="E240">
        <v>2491.36</v>
      </c>
      <c r="F240">
        <v>3953.6</v>
      </c>
      <c r="G240" s="3">
        <v>1462.2399999999998</v>
      </c>
      <c r="H240" s="4">
        <v>0.36985026305139612</v>
      </c>
      <c r="I240" s="6">
        <v>46079</v>
      </c>
      <c r="J240" s="14" t="e" cm="1">
        <f t="array" ref="J24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0" s="4"/>
      <c r="L240" s="4"/>
      <c r="M240" s="4"/>
      <c r="N240" s="4"/>
      <c r="O240" s="6" t="e" cm="1">
        <f t="array" ref="O240">_xlfn.XLOOKUP(1,(Table1[[#This Row],[Customer]]=[1]!Table1[Customer])*(Table1[[#This Row],[Sales Orders]]=[1]!Table1[Sales Order])*(Table1[[#This Row],[Product ID]]=[1]!Table1[Product ID]),[1]!Table1[New Invoice
 Date],"")</f>
        <v>#REF!</v>
      </c>
      <c r="P240" t="e" cm="1">
        <f t="array" ref="P240">_xlfn.XLOOKUP(1,(Table1[[#This Row],[Customer]]=[1]!Table1[Customer])*(Table1[[#This Row],[Sales Orders]]=[1]!Table1[Sales Order])*(Table1[[#This Row],[Product ID]]=[1]!Table1[Product ID]),[1]!Table1[New 
Invoice '#],"")</f>
        <v>#REF!</v>
      </c>
      <c r="Q240" t="e" cm="1">
        <f t="array" ref="Q240">_xlfn.XLOOKUP(1,(Table1[[#This Row],[Customer]]=[1]!Table1[Customer])*(Table1[[#This Row],[Sales Orders]]=[1]!Table1[Sales Order])*(Table1[[#This Row],[Product ID]]=[1]!Table1[Product ID]),[1]!Table1[Notes],"")</f>
        <v>#REF!</v>
      </c>
      <c r="R240" t="s">
        <v>252</v>
      </c>
      <c r="S240" s="5">
        <v>16</v>
      </c>
      <c r="T240">
        <v>16</v>
      </c>
      <c r="U240" s="5">
        <v>16</v>
      </c>
      <c r="V240" s="5">
        <v>27873</v>
      </c>
      <c r="W240" s="5">
        <v>12998</v>
      </c>
      <c r="X240" t="s">
        <v>98</v>
      </c>
      <c r="Y240" s="6">
        <v>46079</v>
      </c>
      <c r="Z240" s="5"/>
      <c r="AB240" s="5">
        <v>2432618</v>
      </c>
      <c r="AC240" t="s">
        <v>253</v>
      </c>
      <c r="AD240" t="s">
        <v>168</v>
      </c>
    </row>
    <row r="241" spans="1:32" x14ac:dyDescent="0.2">
      <c r="A241" t="s">
        <v>493</v>
      </c>
      <c r="C241" s="5">
        <v>13001</v>
      </c>
      <c r="D241" t="s">
        <v>47</v>
      </c>
      <c r="E241">
        <v>150</v>
      </c>
      <c r="F241">
        <v>1</v>
      </c>
      <c r="G241" s="3">
        <v>-149</v>
      </c>
      <c r="H241" s="4">
        <v>-149</v>
      </c>
      <c r="I241" s="6">
        <v>46080</v>
      </c>
      <c r="J241" s="14" t="e" cm="1">
        <f t="array" ref="J24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1" s="4"/>
      <c r="L241" s="4"/>
      <c r="M241" s="4"/>
      <c r="N241" s="4"/>
      <c r="O241" s="6" t="e" cm="1">
        <f t="array" ref="O241">_xlfn.XLOOKUP(1,(Table1[[#This Row],[Customer]]=[1]!Table1[Customer])*(Table1[[#This Row],[Sales Orders]]=[1]!Table1[Sales Order])*(Table1[[#This Row],[Product ID]]=[1]!Table1[Product ID]),[1]!Table1[New Invoice
 Date],"")</f>
        <v>#REF!</v>
      </c>
      <c r="P241" t="e" cm="1">
        <f t="array" ref="P241">_xlfn.XLOOKUP(1,(Table1[[#This Row],[Customer]]=[1]!Table1[Customer])*(Table1[[#This Row],[Sales Orders]]=[1]!Table1[Sales Order])*(Table1[[#This Row],[Product ID]]=[1]!Table1[Product ID]),[1]!Table1[New 
Invoice '#],"")</f>
        <v>#REF!</v>
      </c>
      <c r="Q241" t="e" cm="1">
        <f t="array" ref="Q241">_xlfn.XLOOKUP(1,(Table1[[#This Row],[Customer]]=[1]!Table1[Customer])*(Table1[[#This Row],[Sales Orders]]=[1]!Table1[Sales Order])*(Table1[[#This Row],[Product ID]]=[1]!Table1[Product ID]),[1]!Table1[Notes],"")</f>
        <v>#REF!</v>
      </c>
      <c r="R241" t="s">
        <v>296</v>
      </c>
      <c r="S241" s="5">
        <v>1</v>
      </c>
      <c r="T241">
        <v>0</v>
      </c>
      <c r="U241" s="5">
        <v>0</v>
      </c>
      <c r="V241" s="5">
        <v>26815</v>
      </c>
      <c r="W241" s="5">
        <v>13001</v>
      </c>
      <c r="X241" t="s">
        <v>95</v>
      </c>
      <c r="Y241" s="6">
        <v>46080</v>
      </c>
      <c r="Z241" s="5"/>
      <c r="AB241" s="5">
        <v>2434767</v>
      </c>
      <c r="AC241" t="s">
        <v>494</v>
      </c>
      <c r="AD241" t="s">
        <v>141</v>
      </c>
    </row>
    <row r="242" spans="1:32" x14ac:dyDescent="0.2">
      <c r="A242" t="s">
        <v>493</v>
      </c>
      <c r="C242" s="5">
        <v>13001</v>
      </c>
      <c r="D242" t="s">
        <v>47</v>
      </c>
      <c r="E242">
        <v>500</v>
      </c>
      <c r="F242">
        <v>600</v>
      </c>
      <c r="G242" s="3">
        <v>100</v>
      </c>
      <c r="H242" s="4">
        <v>0.16666666666666666</v>
      </c>
      <c r="I242" s="6">
        <v>46080</v>
      </c>
      <c r="J242" s="14" t="e" cm="1">
        <f t="array" ref="J24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2" s="4"/>
      <c r="L242" s="4"/>
      <c r="M242" s="4"/>
      <c r="N242" s="4"/>
      <c r="O242" s="6" t="e" cm="1">
        <f t="array" ref="O242">_xlfn.XLOOKUP(1,(Table1[[#This Row],[Customer]]=[1]!Table1[Customer])*(Table1[[#This Row],[Sales Orders]]=[1]!Table1[Sales Order])*(Table1[[#This Row],[Product ID]]=[1]!Table1[Product ID]),[1]!Table1[New Invoice
 Date],"")</f>
        <v>#REF!</v>
      </c>
      <c r="P242" t="e" cm="1">
        <f t="array" ref="P242">_xlfn.XLOOKUP(1,(Table1[[#This Row],[Customer]]=[1]!Table1[Customer])*(Table1[[#This Row],[Sales Orders]]=[1]!Table1[Sales Order])*(Table1[[#This Row],[Product ID]]=[1]!Table1[Product ID]),[1]!Table1[New 
Invoice '#],"")</f>
        <v>#REF!</v>
      </c>
      <c r="Q242" t="e" cm="1">
        <f t="array" ref="Q242">_xlfn.XLOOKUP(1,(Table1[[#This Row],[Customer]]=[1]!Table1[Customer])*(Table1[[#This Row],[Sales Orders]]=[1]!Table1[Sales Order])*(Table1[[#This Row],[Product ID]]=[1]!Table1[Product ID]),[1]!Table1[Notes],"")</f>
        <v>#REF!</v>
      </c>
      <c r="R242" t="s">
        <v>296</v>
      </c>
      <c r="S242" s="5">
        <v>1</v>
      </c>
      <c r="T242">
        <v>0</v>
      </c>
      <c r="U242" s="5">
        <v>0</v>
      </c>
      <c r="V242" s="5">
        <v>26815</v>
      </c>
      <c r="W242" s="5">
        <v>13001</v>
      </c>
      <c r="X242" t="s">
        <v>95</v>
      </c>
      <c r="Y242" s="6">
        <v>46080</v>
      </c>
      <c r="Z242" s="5"/>
      <c r="AB242" s="5">
        <v>2434767</v>
      </c>
      <c r="AC242" t="s">
        <v>494</v>
      </c>
      <c r="AD242" t="s">
        <v>495</v>
      </c>
    </row>
    <row r="243" spans="1:32" x14ac:dyDescent="0.2">
      <c r="A243" t="s">
        <v>493</v>
      </c>
      <c r="C243" s="5">
        <v>13001</v>
      </c>
      <c r="D243" t="s">
        <v>496</v>
      </c>
      <c r="E243">
        <v>602.26</v>
      </c>
      <c r="F243">
        <v>800</v>
      </c>
      <c r="G243" s="3">
        <v>197.74</v>
      </c>
      <c r="H243" s="4">
        <v>0.24717500000000001</v>
      </c>
      <c r="I243" s="6">
        <v>46080</v>
      </c>
      <c r="J243" s="14" t="e" cm="1">
        <f t="array" ref="J24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3" s="4"/>
      <c r="L243" s="4"/>
      <c r="M243" s="4"/>
      <c r="N243" s="4"/>
      <c r="O243" s="6" t="e" cm="1">
        <f t="array" ref="O243">_xlfn.XLOOKUP(1,(Table1[[#This Row],[Customer]]=[1]!Table1[Customer])*(Table1[[#This Row],[Sales Orders]]=[1]!Table1[Sales Order])*(Table1[[#This Row],[Product ID]]=[1]!Table1[Product ID]),[1]!Table1[New Invoice
 Date],"")</f>
        <v>#REF!</v>
      </c>
      <c r="P243" t="e" cm="1">
        <f t="array" ref="P243">_xlfn.XLOOKUP(1,(Table1[[#This Row],[Customer]]=[1]!Table1[Customer])*(Table1[[#This Row],[Sales Orders]]=[1]!Table1[Sales Order])*(Table1[[#This Row],[Product ID]]=[1]!Table1[Product ID]),[1]!Table1[New 
Invoice '#],"")</f>
        <v>#REF!</v>
      </c>
      <c r="Q243" t="e" cm="1">
        <f t="array" ref="Q243">_xlfn.XLOOKUP(1,(Table1[[#This Row],[Customer]]=[1]!Table1[Customer])*(Table1[[#This Row],[Sales Orders]]=[1]!Table1[Sales Order])*(Table1[[#This Row],[Product ID]]=[1]!Table1[Product ID]),[1]!Table1[Notes],"")</f>
        <v>#REF!</v>
      </c>
      <c r="R243" t="s">
        <v>296</v>
      </c>
      <c r="S243" s="5">
        <v>1</v>
      </c>
      <c r="T243">
        <v>1</v>
      </c>
      <c r="U243" s="5">
        <v>0</v>
      </c>
      <c r="V243" s="5">
        <v>26815</v>
      </c>
      <c r="W243" s="5">
        <v>13001</v>
      </c>
      <c r="X243" t="s">
        <v>95</v>
      </c>
      <c r="Y243" s="6">
        <v>46080</v>
      </c>
      <c r="Z243" s="5"/>
      <c r="AB243" s="5">
        <v>2434767</v>
      </c>
      <c r="AC243" t="s">
        <v>494</v>
      </c>
      <c r="AD243" t="s">
        <v>497</v>
      </c>
      <c r="AE243" t="s">
        <v>498</v>
      </c>
      <c r="AF243" t="s">
        <v>38</v>
      </c>
    </row>
    <row r="244" spans="1:32" x14ac:dyDescent="0.2">
      <c r="A244" t="s">
        <v>493</v>
      </c>
      <c r="C244" s="5">
        <v>13001</v>
      </c>
      <c r="D244" t="s">
        <v>47</v>
      </c>
      <c r="E244">
        <v>525</v>
      </c>
      <c r="F244">
        <v>350</v>
      </c>
      <c r="G244" s="3">
        <v>-175</v>
      </c>
      <c r="H244" s="4">
        <v>-0.5</v>
      </c>
      <c r="I244" s="6">
        <v>46080</v>
      </c>
      <c r="J244" s="14" t="e" cm="1">
        <f t="array" ref="J24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4" s="4"/>
      <c r="L244" s="4"/>
      <c r="M244" s="4"/>
      <c r="N244" s="4"/>
      <c r="O244" s="6" t="e" cm="1">
        <f t="array" ref="O244">_xlfn.XLOOKUP(1,(Table1[[#This Row],[Customer]]=[1]!Table1[Customer])*(Table1[[#This Row],[Sales Orders]]=[1]!Table1[Sales Order])*(Table1[[#This Row],[Product ID]]=[1]!Table1[Product ID]),[1]!Table1[New Invoice
 Date],"")</f>
        <v>#REF!</v>
      </c>
      <c r="P244" t="e" cm="1">
        <f t="array" ref="P244">_xlfn.XLOOKUP(1,(Table1[[#This Row],[Customer]]=[1]!Table1[Customer])*(Table1[[#This Row],[Sales Orders]]=[1]!Table1[Sales Order])*(Table1[[#This Row],[Product ID]]=[1]!Table1[Product ID]),[1]!Table1[New 
Invoice '#],"")</f>
        <v>#REF!</v>
      </c>
      <c r="Q244" t="e" cm="1">
        <f t="array" ref="Q244">_xlfn.XLOOKUP(1,(Table1[[#This Row],[Customer]]=[1]!Table1[Customer])*(Table1[[#This Row],[Sales Orders]]=[1]!Table1[Sales Order])*(Table1[[#This Row],[Product ID]]=[1]!Table1[Product ID]),[1]!Table1[Notes],"")</f>
        <v>#REF!</v>
      </c>
      <c r="R244" t="s">
        <v>296</v>
      </c>
      <c r="S244" s="5">
        <v>1</v>
      </c>
      <c r="T244">
        <v>1</v>
      </c>
      <c r="U244" s="5">
        <v>0</v>
      </c>
      <c r="V244" s="5">
        <v>26815</v>
      </c>
      <c r="W244" s="5">
        <v>13001</v>
      </c>
      <c r="X244" t="s">
        <v>95</v>
      </c>
      <c r="Y244" s="6">
        <v>46080</v>
      </c>
      <c r="Z244" s="5"/>
      <c r="AB244" s="5">
        <v>2434767</v>
      </c>
      <c r="AC244" t="s">
        <v>494</v>
      </c>
      <c r="AD244" t="s">
        <v>499</v>
      </c>
      <c r="AE244" t="s">
        <v>500</v>
      </c>
      <c r="AF244" t="s">
        <v>38</v>
      </c>
    </row>
    <row r="245" spans="1:32" x14ac:dyDescent="0.2">
      <c r="A245" t="s">
        <v>493</v>
      </c>
      <c r="C245" s="5">
        <v>13001</v>
      </c>
      <c r="D245" t="s">
        <v>501</v>
      </c>
      <c r="E245">
        <v>37.979999999999997</v>
      </c>
      <c r="F245">
        <v>200</v>
      </c>
      <c r="G245" s="3">
        <v>162.02000000000001</v>
      </c>
      <c r="H245" s="4">
        <v>0.81010000000000004</v>
      </c>
      <c r="I245" s="6">
        <v>46080</v>
      </c>
      <c r="J245" s="14" t="e" cm="1">
        <f t="array" ref="J24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5" s="4"/>
      <c r="L245" s="4"/>
      <c r="M245" s="4"/>
      <c r="N245" s="4"/>
      <c r="O245" s="6" t="e" cm="1">
        <f t="array" ref="O245">_xlfn.XLOOKUP(1,(Table1[[#This Row],[Customer]]=[1]!Table1[Customer])*(Table1[[#This Row],[Sales Orders]]=[1]!Table1[Sales Order])*(Table1[[#This Row],[Product ID]]=[1]!Table1[Product ID]),[1]!Table1[New Invoice
 Date],"")</f>
        <v>#REF!</v>
      </c>
      <c r="P245" t="e" cm="1">
        <f t="array" ref="P245">_xlfn.XLOOKUP(1,(Table1[[#This Row],[Customer]]=[1]!Table1[Customer])*(Table1[[#This Row],[Sales Orders]]=[1]!Table1[Sales Order])*(Table1[[#This Row],[Product ID]]=[1]!Table1[Product ID]),[1]!Table1[New 
Invoice '#],"")</f>
        <v>#REF!</v>
      </c>
      <c r="Q245" t="e" cm="1">
        <f t="array" ref="Q245">_xlfn.XLOOKUP(1,(Table1[[#This Row],[Customer]]=[1]!Table1[Customer])*(Table1[[#This Row],[Sales Orders]]=[1]!Table1[Sales Order])*(Table1[[#This Row],[Product ID]]=[1]!Table1[Product ID]),[1]!Table1[Notes],"")</f>
        <v>#REF!</v>
      </c>
      <c r="R245" t="s">
        <v>296</v>
      </c>
      <c r="S245" s="5">
        <v>2</v>
      </c>
      <c r="T245">
        <v>0</v>
      </c>
      <c r="U245" s="5">
        <v>0</v>
      </c>
      <c r="V245" s="5">
        <v>26815</v>
      </c>
      <c r="W245" s="5">
        <v>13001</v>
      </c>
      <c r="X245" t="s">
        <v>95</v>
      </c>
      <c r="Y245" s="6">
        <v>46080</v>
      </c>
      <c r="Z245" s="5"/>
      <c r="AB245" s="5">
        <v>2434767</v>
      </c>
      <c r="AC245" t="s">
        <v>494</v>
      </c>
      <c r="AD245" t="s">
        <v>502</v>
      </c>
    </row>
    <row r="246" spans="1:32" x14ac:dyDescent="0.2">
      <c r="A246" t="s">
        <v>50</v>
      </c>
      <c r="C246" s="5">
        <v>13018</v>
      </c>
      <c r="D246" t="s">
        <v>385</v>
      </c>
      <c r="E246">
        <v>264.12</v>
      </c>
      <c r="F246">
        <v>287.12</v>
      </c>
      <c r="G246" s="3">
        <v>23</v>
      </c>
      <c r="H246" s="4">
        <v>8.0105879074951244E-2</v>
      </c>
      <c r="I246" s="6">
        <v>46080</v>
      </c>
      <c r="J246" s="14" t="e" cm="1">
        <f t="array" ref="J246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6" s="4"/>
      <c r="L246" s="4"/>
      <c r="M246" s="4"/>
      <c r="N246" s="4"/>
      <c r="O246" s="6" t="e" cm="1">
        <f t="array" ref="O246">_xlfn.XLOOKUP(1,(Table1[[#This Row],[Customer]]=[1]!Table1[Customer])*(Table1[[#This Row],[Sales Orders]]=[1]!Table1[Sales Order])*(Table1[[#This Row],[Product ID]]=[1]!Table1[Product ID]),[1]!Table1[New Invoice
 Date],"")</f>
        <v>#REF!</v>
      </c>
      <c r="P246" t="e" cm="1">
        <f t="array" ref="P246">_xlfn.XLOOKUP(1,(Table1[[#This Row],[Customer]]=[1]!Table1[Customer])*(Table1[[#This Row],[Sales Orders]]=[1]!Table1[Sales Order])*(Table1[[#This Row],[Product ID]]=[1]!Table1[Product ID]),[1]!Table1[New 
Invoice '#],"")</f>
        <v>#REF!</v>
      </c>
      <c r="Q246" t="e" cm="1">
        <f t="array" ref="Q246">_xlfn.XLOOKUP(1,(Table1[[#This Row],[Customer]]=[1]!Table1[Customer])*(Table1[[#This Row],[Sales Orders]]=[1]!Table1[Sales Order])*(Table1[[#This Row],[Product ID]]=[1]!Table1[Product ID]),[1]!Table1[Notes],"")</f>
        <v>#REF!</v>
      </c>
      <c r="R246" t="s">
        <v>503</v>
      </c>
      <c r="S246" s="5">
        <v>1</v>
      </c>
      <c r="T246">
        <v>0</v>
      </c>
      <c r="U246" s="5">
        <v>0</v>
      </c>
      <c r="V246" s="5">
        <v>27838</v>
      </c>
      <c r="W246" s="5">
        <v>13018</v>
      </c>
      <c r="X246" t="s">
        <v>106</v>
      </c>
      <c r="Y246" s="6">
        <v>46080</v>
      </c>
      <c r="Z246" s="5"/>
      <c r="AB246" s="5"/>
      <c r="AD246" t="s">
        <v>386</v>
      </c>
    </row>
    <row r="247" spans="1:32" x14ac:dyDescent="0.2">
      <c r="A247" t="s">
        <v>368</v>
      </c>
      <c r="C247" s="5">
        <v>13004</v>
      </c>
      <c r="D247" t="s">
        <v>47</v>
      </c>
      <c r="E247">
        <v>297</v>
      </c>
      <c r="F247">
        <v>356.4</v>
      </c>
      <c r="G247" s="3">
        <v>59.399999999999977</v>
      </c>
      <c r="H247" s="4">
        <v>0.1666666666666666</v>
      </c>
      <c r="I247" s="6">
        <v>46080</v>
      </c>
      <c r="J247" s="14" t="e" cm="1">
        <f t="array" ref="J247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7" s="4"/>
      <c r="L247" s="4"/>
      <c r="M247" s="4"/>
      <c r="N247" s="4"/>
      <c r="O247" s="6" t="e" cm="1">
        <f t="array" ref="O247">_xlfn.XLOOKUP(1,(Table1[[#This Row],[Customer]]=[1]!Table1[Customer])*(Table1[[#This Row],[Sales Orders]]=[1]!Table1[Sales Order])*(Table1[[#This Row],[Product ID]]=[1]!Table1[Product ID]),[1]!Table1[New Invoice
 Date],"")</f>
        <v>#REF!</v>
      </c>
      <c r="P247" t="e" cm="1">
        <f t="array" ref="P247">_xlfn.XLOOKUP(1,(Table1[[#This Row],[Customer]]=[1]!Table1[Customer])*(Table1[[#This Row],[Sales Orders]]=[1]!Table1[Sales Order])*(Table1[[#This Row],[Product ID]]=[1]!Table1[Product ID]),[1]!Table1[New 
Invoice '#],"")</f>
        <v>#REF!</v>
      </c>
      <c r="Q247" t="e" cm="1">
        <f t="array" ref="Q247">_xlfn.XLOOKUP(1,(Table1[[#This Row],[Customer]]=[1]!Table1[Customer])*(Table1[[#This Row],[Sales Orders]]=[1]!Table1[Sales Order])*(Table1[[#This Row],[Product ID]]=[1]!Table1[Product ID]),[1]!Table1[Notes],"")</f>
        <v>#REF!</v>
      </c>
      <c r="R247" t="s">
        <v>296</v>
      </c>
      <c r="S247" s="5">
        <v>1</v>
      </c>
      <c r="T247">
        <v>0</v>
      </c>
      <c r="U247" s="5">
        <v>0</v>
      </c>
      <c r="V247" s="5">
        <v>27831</v>
      </c>
      <c r="W247" s="5">
        <v>13004</v>
      </c>
      <c r="X247" t="s">
        <v>95</v>
      </c>
      <c r="Y247" s="6">
        <v>46080</v>
      </c>
      <c r="Z247" s="5">
        <v>3203</v>
      </c>
      <c r="AA247" t="s">
        <v>115</v>
      </c>
      <c r="AB247" s="5"/>
      <c r="AD247" t="s">
        <v>504</v>
      </c>
    </row>
    <row r="248" spans="1:32" x14ac:dyDescent="0.2">
      <c r="A248" t="s">
        <v>368</v>
      </c>
      <c r="C248" s="5">
        <v>13004</v>
      </c>
      <c r="D248" t="s">
        <v>47</v>
      </c>
      <c r="E248">
        <v>297</v>
      </c>
      <c r="F248">
        <v>356.4</v>
      </c>
      <c r="G248" s="3">
        <v>59.399999999999977</v>
      </c>
      <c r="H248" s="4">
        <v>0.1666666666666666</v>
      </c>
      <c r="I248" s="6">
        <v>46080</v>
      </c>
      <c r="J248" s="14" t="e" cm="1">
        <f t="array" ref="J248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8" s="4"/>
      <c r="L248" s="4"/>
      <c r="M248" s="4"/>
      <c r="N248" s="4"/>
      <c r="O248" s="6" t="e" cm="1">
        <f t="array" ref="O248">_xlfn.XLOOKUP(1,(Table1[[#This Row],[Customer]]=[1]!Table1[Customer])*(Table1[[#This Row],[Sales Orders]]=[1]!Table1[Sales Order])*(Table1[[#This Row],[Product ID]]=[1]!Table1[Product ID]),[1]!Table1[New Invoice
 Date],"")</f>
        <v>#REF!</v>
      </c>
      <c r="P248" t="e" cm="1">
        <f t="array" ref="P248">_xlfn.XLOOKUP(1,(Table1[[#This Row],[Customer]]=[1]!Table1[Customer])*(Table1[[#This Row],[Sales Orders]]=[1]!Table1[Sales Order])*(Table1[[#This Row],[Product ID]]=[1]!Table1[Product ID]),[1]!Table1[New 
Invoice '#],"")</f>
        <v>#REF!</v>
      </c>
      <c r="Q248" t="e" cm="1">
        <f t="array" ref="Q248">_xlfn.XLOOKUP(1,(Table1[[#This Row],[Customer]]=[1]!Table1[Customer])*(Table1[[#This Row],[Sales Orders]]=[1]!Table1[Sales Order])*(Table1[[#This Row],[Product ID]]=[1]!Table1[Product ID]),[1]!Table1[Notes],"")</f>
        <v>#REF!</v>
      </c>
      <c r="R248" t="s">
        <v>296</v>
      </c>
      <c r="S248" s="5">
        <v>1</v>
      </c>
      <c r="T248">
        <v>0</v>
      </c>
      <c r="U248" s="5">
        <v>0</v>
      </c>
      <c r="V248" s="5">
        <v>27831</v>
      </c>
      <c r="W248" s="5">
        <v>13004</v>
      </c>
      <c r="X248" t="s">
        <v>95</v>
      </c>
      <c r="Y248" s="6">
        <v>46080</v>
      </c>
      <c r="Z248" s="5">
        <v>3203</v>
      </c>
      <c r="AA248" t="s">
        <v>115</v>
      </c>
      <c r="AB248" s="5"/>
      <c r="AD248" t="s">
        <v>505</v>
      </c>
    </row>
    <row r="249" spans="1:32" x14ac:dyDescent="0.2">
      <c r="A249" t="s">
        <v>368</v>
      </c>
      <c r="C249" s="5">
        <v>13004</v>
      </c>
      <c r="D249" t="s">
        <v>506</v>
      </c>
      <c r="E249">
        <v>399</v>
      </c>
      <c r="F249">
        <v>513.28</v>
      </c>
      <c r="G249" s="3">
        <v>114.27999999999997</v>
      </c>
      <c r="H249" s="4">
        <v>0.22264650872817951</v>
      </c>
      <c r="I249" s="6">
        <v>46080</v>
      </c>
      <c r="J249" s="14" t="e" cm="1">
        <f t="array" ref="J249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49" s="4"/>
      <c r="L249" s="4"/>
      <c r="M249" s="4"/>
      <c r="N249" s="4"/>
      <c r="O249" s="6" t="e" cm="1">
        <f t="array" ref="O249">_xlfn.XLOOKUP(1,(Table1[[#This Row],[Customer]]=[1]!Table1[Customer])*(Table1[[#This Row],[Sales Orders]]=[1]!Table1[Sales Order])*(Table1[[#This Row],[Product ID]]=[1]!Table1[Product ID]),[1]!Table1[New Invoice
 Date],"")</f>
        <v>#REF!</v>
      </c>
      <c r="P249" t="e" cm="1">
        <f t="array" ref="P249">_xlfn.XLOOKUP(1,(Table1[[#This Row],[Customer]]=[1]!Table1[Customer])*(Table1[[#This Row],[Sales Orders]]=[1]!Table1[Sales Order])*(Table1[[#This Row],[Product ID]]=[1]!Table1[Product ID]),[1]!Table1[New 
Invoice '#],"")</f>
        <v>#REF!</v>
      </c>
      <c r="Q249" t="e" cm="1">
        <f t="array" ref="Q249">_xlfn.XLOOKUP(1,(Table1[[#This Row],[Customer]]=[1]!Table1[Customer])*(Table1[[#This Row],[Sales Orders]]=[1]!Table1[Sales Order])*(Table1[[#This Row],[Product ID]]=[1]!Table1[Product ID]),[1]!Table1[Notes],"")</f>
        <v>#REF!</v>
      </c>
      <c r="R249" t="s">
        <v>296</v>
      </c>
      <c r="S249" s="5">
        <v>1</v>
      </c>
      <c r="T249">
        <v>0</v>
      </c>
      <c r="U249" s="5">
        <v>0</v>
      </c>
      <c r="V249" s="5">
        <v>27831</v>
      </c>
      <c r="W249" s="5">
        <v>13004</v>
      </c>
      <c r="X249" t="s">
        <v>95</v>
      </c>
      <c r="Y249" s="6">
        <v>46080</v>
      </c>
      <c r="Z249" s="5">
        <v>3203</v>
      </c>
      <c r="AA249" t="s">
        <v>115</v>
      </c>
      <c r="AB249" s="5"/>
      <c r="AD249" t="s">
        <v>507</v>
      </c>
    </row>
    <row r="250" spans="1:32" x14ac:dyDescent="0.2">
      <c r="A250" t="s">
        <v>368</v>
      </c>
      <c r="C250" s="5">
        <v>13003</v>
      </c>
      <c r="D250" t="s">
        <v>47</v>
      </c>
      <c r="E250">
        <v>2700</v>
      </c>
      <c r="F250">
        <v>3200</v>
      </c>
      <c r="G250" s="3">
        <v>500</v>
      </c>
      <c r="H250" s="4">
        <v>0.15625</v>
      </c>
      <c r="I250" s="6">
        <v>46080</v>
      </c>
      <c r="J250" s="14" t="e" cm="1">
        <f t="array" ref="J250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50" s="4"/>
      <c r="L250" s="4"/>
      <c r="M250" s="4"/>
      <c r="N250" s="4"/>
      <c r="O250" s="6" t="e" cm="1">
        <f t="array" ref="O250">_xlfn.XLOOKUP(1,(Table1[[#This Row],[Customer]]=[1]!Table1[Customer])*(Table1[[#This Row],[Sales Orders]]=[1]!Table1[Sales Order])*(Table1[[#This Row],[Product ID]]=[1]!Table1[Product ID]),[1]!Table1[New Invoice
 Date],"")</f>
        <v>#REF!</v>
      </c>
      <c r="P250" t="e" cm="1">
        <f t="array" ref="P250">_xlfn.XLOOKUP(1,(Table1[[#This Row],[Customer]]=[1]!Table1[Customer])*(Table1[[#This Row],[Sales Orders]]=[1]!Table1[Sales Order])*(Table1[[#This Row],[Product ID]]=[1]!Table1[Product ID]),[1]!Table1[New 
Invoice '#],"")</f>
        <v>#REF!</v>
      </c>
      <c r="Q250" t="e" cm="1">
        <f t="array" ref="Q250">_xlfn.XLOOKUP(1,(Table1[[#This Row],[Customer]]=[1]!Table1[Customer])*(Table1[[#This Row],[Sales Orders]]=[1]!Table1[Sales Order])*(Table1[[#This Row],[Product ID]]=[1]!Table1[Product ID]),[1]!Table1[Notes],"")</f>
        <v>#REF!</v>
      </c>
      <c r="R250" t="s">
        <v>296</v>
      </c>
      <c r="S250" s="5">
        <v>1</v>
      </c>
      <c r="T250">
        <v>0</v>
      </c>
      <c r="U250" s="5">
        <v>0</v>
      </c>
      <c r="V250" s="5">
        <v>27851</v>
      </c>
      <c r="W250" s="5">
        <v>13003</v>
      </c>
      <c r="X250" t="s">
        <v>95</v>
      </c>
      <c r="Y250" s="6">
        <v>46080</v>
      </c>
      <c r="Z250" s="5">
        <v>3204</v>
      </c>
      <c r="AA250" t="s">
        <v>115</v>
      </c>
      <c r="AB250" s="5"/>
      <c r="AD250" t="s">
        <v>508</v>
      </c>
    </row>
    <row r="251" spans="1:32" x14ac:dyDescent="0.2">
      <c r="A251" t="s">
        <v>368</v>
      </c>
      <c r="C251" s="5">
        <v>13003</v>
      </c>
      <c r="D251" t="s">
        <v>206</v>
      </c>
      <c r="E251">
        <v>580</v>
      </c>
      <c r="F251">
        <v>645</v>
      </c>
      <c r="G251" s="3">
        <v>65</v>
      </c>
      <c r="H251" s="4">
        <v>0.10077519379844961</v>
      </c>
      <c r="I251" s="6">
        <v>46080</v>
      </c>
      <c r="J251" s="14" t="e" cm="1">
        <f t="array" ref="J251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51" s="4"/>
      <c r="L251" s="4"/>
      <c r="M251" s="4"/>
      <c r="N251" s="4"/>
      <c r="O251" s="6" t="e" cm="1">
        <f t="array" ref="O251">_xlfn.XLOOKUP(1,(Table1[[#This Row],[Customer]]=[1]!Table1[Customer])*(Table1[[#This Row],[Sales Orders]]=[1]!Table1[Sales Order])*(Table1[[#This Row],[Product ID]]=[1]!Table1[Product ID]),[1]!Table1[New Invoice
 Date],"")</f>
        <v>#REF!</v>
      </c>
      <c r="P251" t="e" cm="1">
        <f t="array" ref="P251">_xlfn.XLOOKUP(1,(Table1[[#This Row],[Customer]]=[1]!Table1[Customer])*(Table1[[#This Row],[Sales Orders]]=[1]!Table1[Sales Order])*(Table1[[#This Row],[Product ID]]=[1]!Table1[Product ID]),[1]!Table1[New 
Invoice '#],"")</f>
        <v>#REF!</v>
      </c>
      <c r="Q251" t="e" cm="1">
        <f t="array" ref="Q251">_xlfn.XLOOKUP(1,(Table1[[#This Row],[Customer]]=[1]!Table1[Customer])*(Table1[[#This Row],[Sales Orders]]=[1]!Table1[Sales Order])*(Table1[[#This Row],[Product ID]]=[1]!Table1[Product ID]),[1]!Table1[Notes],"")</f>
        <v>#REF!</v>
      </c>
      <c r="R251" t="s">
        <v>296</v>
      </c>
      <c r="S251" s="5">
        <v>5</v>
      </c>
      <c r="T251">
        <v>0</v>
      </c>
      <c r="U251" s="5">
        <v>0</v>
      </c>
      <c r="V251" s="5">
        <v>27851</v>
      </c>
      <c r="W251" s="5">
        <v>13003</v>
      </c>
      <c r="X251" t="s">
        <v>95</v>
      </c>
      <c r="Y251" s="6">
        <v>46080</v>
      </c>
      <c r="Z251" s="5">
        <v>3204</v>
      </c>
      <c r="AA251" t="s">
        <v>115</v>
      </c>
      <c r="AB251" s="5"/>
      <c r="AD251" t="s">
        <v>207</v>
      </c>
    </row>
    <row r="252" spans="1:32" x14ac:dyDescent="0.2">
      <c r="A252" t="s">
        <v>39</v>
      </c>
      <c r="C252" s="5">
        <v>13002</v>
      </c>
      <c r="D252" t="s">
        <v>62</v>
      </c>
      <c r="E252">
        <v>41.44</v>
      </c>
      <c r="F252">
        <v>49.73</v>
      </c>
      <c r="G252" s="3">
        <v>8.2899999999999991</v>
      </c>
      <c r="H252" s="4">
        <v>0.16670018097727729</v>
      </c>
      <c r="I252" s="6">
        <v>46080</v>
      </c>
      <c r="J252" s="14" t="e" cm="1">
        <f t="array" ref="J252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52" s="4"/>
      <c r="L252" s="4"/>
      <c r="M252" s="4"/>
      <c r="N252" s="4"/>
      <c r="O252" s="6" t="e" cm="1">
        <f t="array" ref="O252">_xlfn.XLOOKUP(1,(Table1[[#This Row],[Customer]]=[1]!Table1[Customer])*(Table1[[#This Row],[Sales Orders]]=[1]!Table1[Sales Order])*(Table1[[#This Row],[Product ID]]=[1]!Table1[Product ID]),[1]!Table1[New Invoice
 Date],"")</f>
        <v>#REF!</v>
      </c>
      <c r="P252" t="e" cm="1">
        <f t="array" ref="P252">_xlfn.XLOOKUP(1,(Table1[[#This Row],[Customer]]=[1]!Table1[Customer])*(Table1[[#This Row],[Sales Orders]]=[1]!Table1[Sales Order])*(Table1[[#This Row],[Product ID]]=[1]!Table1[Product ID]),[1]!Table1[New 
Invoice '#],"")</f>
        <v>#REF!</v>
      </c>
      <c r="Q252" t="e" cm="1">
        <f t="array" ref="Q252">_xlfn.XLOOKUP(1,(Table1[[#This Row],[Customer]]=[1]!Table1[Customer])*(Table1[[#This Row],[Sales Orders]]=[1]!Table1[Sales Order])*(Table1[[#This Row],[Product ID]]=[1]!Table1[Product ID]),[1]!Table1[Notes],"")</f>
        <v>#REF!</v>
      </c>
      <c r="R252" t="s">
        <v>296</v>
      </c>
      <c r="S252" s="5">
        <v>1</v>
      </c>
      <c r="T252">
        <v>0</v>
      </c>
      <c r="U252" s="5">
        <v>0</v>
      </c>
      <c r="V252" s="5">
        <v>27879</v>
      </c>
      <c r="W252" s="5">
        <v>13002</v>
      </c>
      <c r="X252" t="s">
        <v>98</v>
      </c>
      <c r="Y252" s="6">
        <v>46080</v>
      </c>
      <c r="Z252" s="5"/>
      <c r="AB252" s="5"/>
      <c r="AD252" t="s">
        <v>509</v>
      </c>
    </row>
    <row r="253" spans="1:32" x14ac:dyDescent="0.2">
      <c r="A253" t="s">
        <v>114</v>
      </c>
      <c r="C253" s="5">
        <v>12322</v>
      </c>
      <c r="D253" t="s">
        <v>47</v>
      </c>
      <c r="E253">
        <v>324</v>
      </c>
      <c r="F253">
        <v>388.8</v>
      </c>
      <c r="G253" s="3">
        <v>64.800000000000011</v>
      </c>
      <c r="H253" s="4">
        <v>0.16666666666666669</v>
      </c>
      <c r="I253" s="6">
        <v>45911</v>
      </c>
      <c r="J253" s="14" t="e" cm="1">
        <f t="array" ref="J253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53" s="4"/>
      <c r="L253" s="4"/>
      <c r="M253" s="4"/>
      <c r="N253" s="4"/>
      <c r="O253" s="6"/>
      <c r="Q253" t="e" cm="1">
        <f t="array" ref="Q253">_xlfn.XLOOKUP(1,(Table1[[#This Row],[Customer]]=[1]!Table1[Customer])*(Table1[[#This Row],[Sales Orders]]=[1]!Table1[Sales Order])*(Table1[[#This Row],[Product ID]]=[1]!Table1[Product ID]),[1]!Table1[Notes],"")</f>
        <v>#REF!</v>
      </c>
      <c r="R253" t="s">
        <v>510</v>
      </c>
      <c r="S253" s="5">
        <v>1</v>
      </c>
      <c r="T253">
        <v>0</v>
      </c>
      <c r="U253" s="5">
        <v>0</v>
      </c>
      <c r="V253" s="5">
        <v>26724</v>
      </c>
      <c r="W253" s="5">
        <v>12322</v>
      </c>
      <c r="X253" t="s">
        <v>95</v>
      </c>
      <c r="Y253" s="6">
        <v>45911</v>
      </c>
      <c r="Z253" s="5">
        <v>2945</v>
      </c>
      <c r="AA253" t="s">
        <v>115</v>
      </c>
      <c r="AB253" s="5"/>
      <c r="AD253" t="s">
        <v>511</v>
      </c>
    </row>
    <row r="254" spans="1:32" x14ac:dyDescent="0.2">
      <c r="A254" t="s">
        <v>512</v>
      </c>
      <c r="C254" s="5">
        <v>12766</v>
      </c>
      <c r="D254" t="s">
        <v>513</v>
      </c>
      <c r="E254">
        <v>2226.77</v>
      </c>
      <c r="F254">
        <v>2820.62</v>
      </c>
      <c r="G254" s="3">
        <v>593.84999999999991</v>
      </c>
      <c r="H254" s="4">
        <v>0.21053881770674529</v>
      </c>
      <c r="I254" s="6">
        <v>46029</v>
      </c>
      <c r="J254" s="14" t="e" cm="1">
        <f t="array" ref="J254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54" s="4"/>
      <c r="L254" s="4"/>
      <c r="M254" s="4"/>
      <c r="N254" s="4"/>
      <c r="O254" s="6" t="e" cm="1">
        <f t="array" ref="O254">_xlfn.XLOOKUP(1,(Table1[[#This Row],[Customer]]=[1]!Table1[Customer])*(Table1[[#This Row],[Sales Orders]]=[1]!Table1[Sales Order])*(Table1[[#This Row],[Product ID]]=[1]!Table1[Product ID]),[1]!Table1[New Invoice
 Date],"")</f>
        <v>#REF!</v>
      </c>
      <c r="P254" t="e" cm="1">
        <f t="array" ref="P254">_xlfn.XLOOKUP(1,(Table1[[#This Row],[Customer]]=[1]!Table1[Customer])*(Table1[[#This Row],[Sales Orders]]=[1]!Table1[Sales Order])*(Table1[[#This Row],[Product ID]]=[1]!Table1[Product ID]),[1]!Table1[New 
Invoice '#],"")</f>
        <v>#REF!</v>
      </c>
      <c r="Q254" t="e" cm="1">
        <f t="array" ref="Q254">_xlfn.XLOOKUP(1,(Table1[[#This Row],[Customer]]=[1]!Table1[Customer])*(Table1[[#This Row],[Sales Orders]]=[1]!Table1[Sales Order])*(Table1[[#This Row],[Product ID]]=[1]!Table1[Product ID]),[1]!Table1[Notes],"")</f>
        <v>#REF!</v>
      </c>
      <c r="R254" t="s">
        <v>514</v>
      </c>
      <c r="S254" s="5">
        <v>1</v>
      </c>
      <c r="T254">
        <v>1</v>
      </c>
      <c r="U254" s="5">
        <v>0</v>
      </c>
      <c r="V254" s="5">
        <v>27382</v>
      </c>
      <c r="W254" s="5">
        <v>12766</v>
      </c>
      <c r="X254" t="s">
        <v>193</v>
      </c>
      <c r="Y254" s="6">
        <v>46029</v>
      </c>
      <c r="Z254" s="5">
        <v>3158</v>
      </c>
      <c r="AA254" t="s">
        <v>213</v>
      </c>
      <c r="AB254" s="5"/>
      <c r="AD254" t="s">
        <v>515</v>
      </c>
      <c r="AE254" t="s">
        <v>516</v>
      </c>
      <c r="AF254" t="s">
        <v>38</v>
      </c>
    </row>
    <row r="255" spans="1:32" x14ac:dyDescent="0.2">
      <c r="A255" t="s">
        <v>285</v>
      </c>
      <c r="C255" s="5">
        <v>12442</v>
      </c>
      <c r="D255" t="s">
        <v>517</v>
      </c>
      <c r="E255">
        <v>5</v>
      </c>
      <c r="F255">
        <v>5</v>
      </c>
      <c r="G255" s="3">
        <v>0</v>
      </c>
      <c r="H255" s="4">
        <v>0</v>
      </c>
      <c r="I255" s="6">
        <v>45931</v>
      </c>
      <c r="J255" s="14" t="e" cm="1">
        <f t="array" ref="J255">_xlfn.XLOOKUP(1,(Table1[[#This Row],[Customer]]=[1]!Table1[Customer])*(Table1[[#This Row],[Sales Orders]]=[1]!Table1[Sales Order])*(Table1[[#This Row],[Product ID]]=[1]!Table1[Product ID]),[1]!Table1[Invoiced Amount
(Manually Entered)],0)</f>
        <v>#REF!</v>
      </c>
      <c r="K255" s="4"/>
      <c r="L255" s="4"/>
      <c r="M255" s="4"/>
      <c r="N255" s="4"/>
      <c r="O255" s="6"/>
      <c r="Q255" t="e" cm="1">
        <f t="array" ref="Q255">_xlfn.XLOOKUP(1,(Table1[[#This Row],[Customer]]=[1]!Table1[Customer])*(Table1[[#This Row],[Sales Orders]]=[1]!Table1[Sales Order])*(Table1[[#This Row],[Product ID]]=[1]!Table1[Product ID]),[1]!Table1[Notes],"")</f>
        <v>#REF!</v>
      </c>
      <c r="R255" t="s">
        <v>518</v>
      </c>
      <c r="S255" s="5">
        <v>1</v>
      </c>
      <c r="T255">
        <v>1</v>
      </c>
      <c r="U255" s="5">
        <v>0</v>
      </c>
      <c r="V255" s="5"/>
      <c r="W255" s="5">
        <v>12442</v>
      </c>
      <c r="X255" t="s">
        <v>193</v>
      </c>
      <c r="Y255" s="6">
        <v>45931</v>
      </c>
      <c r="Z255" s="5"/>
      <c r="AB255" s="5"/>
      <c r="AD255" t="s">
        <v>519</v>
      </c>
      <c r="AE255" t="s">
        <v>520</v>
      </c>
      <c r="AF255" t="s">
        <v>106</v>
      </c>
    </row>
    <row r="256" spans="1:32" x14ac:dyDescent="0.2">
      <c r="A256" s="1" t="s">
        <v>521</v>
      </c>
      <c r="B256" s="1"/>
      <c r="C256" s="1"/>
      <c r="D256" s="1"/>
      <c r="E256" s="1">
        <v>531444.52997999941</v>
      </c>
      <c r="F256" s="1">
        <v>631272.9</v>
      </c>
      <c r="G256" s="7">
        <v>99828.370019999958</v>
      </c>
      <c r="H256" s="8">
        <v>0.15813821569086833</v>
      </c>
      <c r="I256" s="8"/>
      <c r="J256" s="15" t="e">
        <f>SUBTOTAL(109,Table1[Invoiced Amount
(Manually Entered)])</f>
        <v>#REF!</v>
      </c>
      <c r="K256" s="8"/>
      <c r="L256" s="8"/>
      <c r="M256" s="8"/>
      <c r="N256" s="8"/>
      <c r="O256" s="8"/>
      <c r="P256" s="8"/>
      <c r="Q256" s="8"/>
      <c r="R256" s="8"/>
      <c r="S256" s="9"/>
      <c r="T256" s="1"/>
      <c r="U256" s="9"/>
      <c r="V256" s="9"/>
      <c r="W256" s="9"/>
      <c r="X256" s="1"/>
      <c r="Y256" s="1"/>
      <c r="Z256" s="9"/>
      <c r="AA256" s="1"/>
      <c r="AB256" s="9"/>
      <c r="AC256" s="1"/>
      <c r="AD256" s="1"/>
      <c r="AE256" s="1"/>
      <c r="AF256" s="1"/>
    </row>
    <row r="258" spans="1:1" x14ac:dyDescent="0.2">
      <c r="A258" t="s">
        <v>522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Melinda Hennington</dc:creator>
  <cp:keywords/>
  <dc:description/>
  <cp:lastModifiedBy>Scott G</cp:lastModifiedBy>
  <cp:revision/>
  <dcterms:created xsi:type="dcterms:W3CDTF">2026-03-06T17:23:16Z</dcterms:created>
  <dcterms:modified xsi:type="dcterms:W3CDTF">2026-04-01T01:29:30Z</dcterms:modified>
  <cp:category/>
  <cp:contentStatus/>
</cp:coreProperties>
</file>