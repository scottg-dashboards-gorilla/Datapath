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mc:AlternateContent xmlns:mc="http://schemas.openxmlformats.org/markup-compatibility/2006">
    <mc:Choice Requires="x15">
      <x15ac:absPath xmlns:x15ac="http://schemas.microsoft.com/office/spreadsheetml/2010/11/ac" url="C:\Users\zwhite\Downloads\"/>
    </mc:Choice>
  </mc:AlternateContent>
  <xr:revisionPtr revIDLastSave="0" documentId="8_{C4E011A5-6107-4263-8507-60A000027A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&amp;L MTD with Previous Month Com" sheetId="1" r:id="rId1"/>
    <sheet name="Footnotes" sheetId="2" r:id="rId2"/>
    <sheet name="Agreement Revenue Comparison " sheetId="3" r:id="rId3"/>
    <sheet name="Payroll Breakdown - August" sheetId="4" r:id="rId4"/>
  </sheets>
  <externalReferences>
    <externalReference r:id="rId5"/>
  </externalReferences>
  <definedNames>
    <definedName name="_xlnm._FilterDatabase" localSheetId="2" hidden="1">'Agreement Revenue Comparison '!$A$1:$M$212</definedName>
    <definedName name="_xlnm._FilterDatabase" localSheetId="3" hidden="1">'Payroll Breakdown - August'!$A$7:$T$78</definedName>
    <definedName name="NB_Monthly_Recurring_Private_Cloud_CA" localSheetId="3">#REF!</definedName>
    <definedName name="NB_Monthly_Recurring_Private_Cloud_CA">#REF!</definedName>
    <definedName name="NB_Monthly_Recurring_Private_Cloud_OH" localSheetId="3">#REF!</definedName>
    <definedName name="NB_Monthly_Recurring_Private_Cloud_OH">#REF!</definedName>
    <definedName name="NB_Monthly_Recurring_Resale_CA" localSheetId="3">#REF!</definedName>
    <definedName name="NB_Monthly_Recurring_Resale_CA">#REF!</definedName>
    <definedName name="NB_Monthly_Recurring_Resale_OH" localSheetId="3">#REF!</definedName>
    <definedName name="NB_Monthly_Recurring_Resale_OH">#REF!</definedName>
    <definedName name="NB_Monthly_Recurring_Services_CA" localSheetId="3">#REF!</definedName>
    <definedName name="NB_Monthly_Recurring_Services_CA">#REF!</definedName>
    <definedName name="NB_Monthly_Recurring_Services_OH" localSheetId="3">#REF!</definedName>
    <definedName name="NB_Monthly_Recurring_Services_OH">#REF!</definedName>
    <definedName name="WA_Monthly_Recurring_Private_Cloud_CA" localSheetId="3">#REF!</definedName>
    <definedName name="WA_Monthly_Recurring_Private_Cloud_CA">#REF!</definedName>
    <definedName name="WA_Monthly_Recurring_Resale_CA" localSheetId="3">#REF!</definedName>
    <definedName name="WA_Monthly_Recurring_Resale_CA">#REF!</definedName>
    <definedName name="WA_Monthly_Recurring_Resale_OH" localSheetId="3">#REF!</definedName>
    <definedName name="WA_Monthly_Recurring_Resale_OH">#REF!</definedName>
    <definedName name="WA_Monthly_Recurring_Services_CA" localSheetId="3">#REF!</definedName>
    <definedName name="WA_Monthly_Recurring_Services_CA">#REF!</definedName>
    <definedName name="WA_Monthly_Recurring_Services_OH" localSheetId="3">#REF!</definedName>
    <definedName name="WA_Monthly_Recurring_Services_O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E17" i="1"/>
  <c r="AE18" i="1"/>
  <c r="AE19" i="1"/>
  <c r="AE20" i="1"/>
  <c r="AE21" i="1"/>
  <c r="AE22" i="1"/>
  <c r="AE24" i="1"/>
  <c r="AE25" i="1"/>
  <c r="AE26" i="1"/>
  <c r="AE27" i="1"/>
  <c r="AE28" i="1"/>
  <c r="AE29" i="1"/>
  <c r="AE30" i="1"/>
  <c r="AE31" i="1"/>
  <c r="AE32" i="1"/>
  <c r="AE33" i="1"/>
  <c r="AE34" i="1"/>
  <c r="AE36" i="1"/>
  <c r="AE38" i="1"/>
  <c r="AE39" i="1"/>
  <c r="AE40" i="1"/>
  <c r="AE41" i="1"/>
  <c r="AE43" i="1"/>
  <c r="AE44" i="1"/>
  <c r="AE45" i="1"/>
  <c r="AE46" i="1"/>
  <c r="AE48" i="1"/>
  <c r="AE49" i="1"/>
  <c r="AE51" i="1"/>
  <c r="AE52" i="1"/>
  <c r="AE53" i="1"/>
  <c r="AE54" i="1"/>
  <c r="AE56" i="1"/>
  <c r="AE57" i="1"/>
  <c r="AE58" i="1"/>
  <c r="AE59" i="1"/>
  <c r="AE61" i="1"/>
  <c r="AE62" i="1"/>
  <c r="AE63" i="1"/>
  <c r="AE64" i="1"/>
  <c r="AE65" i="1"/>
  <c r="AE68" i="1"/>
  <c r="AE69" i="1"/>
  <c r="AE70" i="1"/>
  <c r="AE72" i="1"/>
  <c r="AE73" i="1"/>
  <c r="AE74" i="1"/>
  <c r="AE75" i="1"/>
  <c r="AE76" i="1"/>
  <c r="AE78" i="1"/>
  <c r="AE79" i="1"/>
  <c r="AE80" i="1"/>
  <c r="AE15" i="1"/>
  <c r="N77" i="4"/>
  <c r="L75" i="4"/>
  <c r="J75" i="4"/>
  <c r="J77" i="4" s="1"/>
  <c r="I75" i="4"/>
  <c r="K74" i="4"/>
  <c r="M74" i="4" s="1"/>
  <c r="M73" i="4"/>
  <c r="K73" i="4"/>
  <c r="K72" i="4"/>
  <c r="M72" i="4" s="1"/>
  <c r="K71" i="4"/>
  <c r="M71" i="4" s="1"/>
  <c r="M70" i="4"/>
  <c r="K70" i="4"/>
  <c r="K69" i="4"/>
  <c r="M69" i="4" s="1"/>
  <c r="K68" i="4"/>
  <c r="M68" i="4" s="1"/>
  <c r="K67" i="4"/>
  <c r="M67" i="4" s="1"/>
  <c r="K66" i="4"/>
  <c r="M66" i="4" s="1"/>
  <c r="K65" i="4"/>
  <c r="M65" i="4" s="1"/>
  <c r="K64" i="4"/>
  <c r="M64" i="4" s="1"/>
  <c r="H63" i="4"/>
  <c r="H75" i="4" s="1"/>
  <c r="O62" i="4"/>
  <c r="O77" i="4" s="1"/>
  <c r="N62" i="4"/>
  <c r="K62" i="4"/>
  <c r="M62" i="4" s="1"/>
  <c r="Q62" i="4" s="1"/>
  <c r="J62" i="4"/>
  <c r="I62" i="4"/>
  <c r="I77" i="4" s="1"/>
  <c r="H62" i="4"/>
  <c r="H4" i="4" s="1"/>
  <c r="I4" i="4" s="1"/>
  <c r="P61" i="4"/>
  <c r="M61" i="4"/>
  <c r="K61" i="4"/>
  <c r="P60" i="4"/>
  <c r="K60" i="4"/>
  <c r="M60" i="4" s="1"/>
  <c r="P59" i="4"/>
  <c r="K59" i="4"/>
  <c r="M59" i="4" s="1"/>
  <c r="P58" i="4"/>
  <c r="K58" i="4"/>
  <c r="M58" i="4" s="1"/>
  <c r="AH57" i="4"/>
  <c r="P57" i="4"/>
  <c r="M57" i="4"/>
  <c r="K57" i="4"/>
  <c r="P56" i="4"/>
  <c r="K56" i="4"/>
  <c r="M56" i="4" s="1"/>
  <c r="P55" i="4"/>
  <c r="K55" i="4"/>
  <c r="M55" i="4" s="1"/>
  <c r="P54" i="4"/>
  <c r="M54" i="4"/>
  <c r="K54" i="4"/>
  <c r="P53" i="4"/>
  <c r="K53" i="4"/>
  <c r="M53" i="4" s="1"/>
  <c r="P52" i="4"/>
  <c r="K52" i="4"/>
  <c r="M52" i="4" s="1"/>
  <c r="P51" i="4"/>
  <c r="K51" i="4"/>
  <c r="M51" i="4" s="1"/>
  <c r="P50" i="4"/>
  <c r="K50" i="4"/>
  <c r="M50" i="4" s="1"/>
  <c r="P49" i="4"/>
  <c r="P62" i="4" s="1"/>
  <c r="K49" i="4"/>
  <c r="M49" i="4" s="1"/>
  <c r="P48" i="4"/>
  <c r="M48" i="4"/>
  <c r="K48" i="4"/>
  <c r="L47" i="4"/>
  <c r="J47" i="4"/>
  <c r="I47" i="4"/>
  <c r="H47" i="4"/>
  <c r="K46" i="4"/>
  <c r="M46" i="4" s="1"/>
  <c r="K45" i="4"/>
  <c r="M45" i="4" s="1"/>
  <c r="M44" i="4"/>
  <c r="K44" i="4"/>
  <c r="K43" i="4"/>
  <c r="M43" i="4" s="1"/>
  <c r="K42" i="4"/>
  <c r="M42" i="4" s="1"/>
  <c r="K41" i="4"/>
  <c r="M41" i="4" s="1"/>
  <c r="K40" i="4"/>
  <c r="M40" i="4" s="1"/>
  <c r="K39" i="4"/>
  <c r="M39" i="4" s="1"/>
  <c r="K38" i="4"/>
  <c r="M38" i="4" s="1"/>
  <c r="M37" i="4"/>
  <c r="K37" i="4"/>
  <c r="K36" i="4"/>
  <c r="M36" i="4" s="1"/>
  <c r="K35" i="4"/>
  <c r="M35" i="4" s="1"/>
  <c r="M34" i="4"/>
  <c r="K34" i="4"/>
  <c r="K33" i="4"/>
  <c r="M33" i="4" s="1"/>
  <c r="K32" i="4"/>
  <c r="M32" i="4" s="1"/>
  <c r="K31" i="4"/>
  <c r="M31" i="4" s="1"/>
  <c r="M30" i="4"/>
  <c r="M29" i="4"/>
  <c r="K29" i="4"/>
  <c r="K28" i="4"/>
  <c r="M28" i="4" s="1"/>
  <c r="K27" i="4"/>
  <c r="M27" i="4" s="1"/>
  <c r="K26" i="4"/>
  <c r="M26" i="4" s="1"/>
  <c r="K25" i="4"/>
  <c r="M25" i="4" s="1"/>
  <c r="M24" i="4"/>
  <c r="M23" i="4"/>
  <c r="K23" i="4"/>
  <c r="K22" i="4"/>
  <c r="M22" i="4" s="1"/>
  <c r="K21" i="4"/>
  <c r="M21" i="4" s="1"/>
  <c r="K20" i="4"/>
  <c r="M20" i="4" s="1"/>
  <c r="K19" i="4"/>
  <c r="M19" i="4" s="1"/>
  <c r="K18" i="4"/>
  <c r="M18" i="4" s="1"/>
  <c r="K17" i="4"/>
  <c r="M17" i="4" s="1"/>
  <c r="M16" i="4"/>
  <c r="K16" i="4"/>
  <c r="K15" i="4"/>
  <c r="K47" i="4" s="1"/>
  <c r="M47" i="4" s="1"/>
  <c r="Q47" i="4" s="1"/>
  <c r="M14" i="4"/>
  <c r="Q14" i="4" s="1"/>
  <c r="L14" i="4"/>
  <c r="L77" i="4" s="1"/>
  <c r="K14" i="4"/>
  <c r="J14" i="4"/>
  <c r="I14" i="4"/>
  <c r="H14" i="4"/>
  <c r="H2" i="4" s="1"/>
  <c r="I2" i="4" s="1"/>
  <c r="M13" i="4"/>
  <c r="K13" i="4"/>
  <c r="M12" i="4"/>
  <c r="K12" i="4"/>
  <c r="M11" i="4"/>
  <c r="K11" i="4"/>
  <c r="K10" i="4"/>
  <c r="M10" i="4" s="1"/>
  <c r="K9" i="4"/>
  <c r="M9" i="4" s="1"/>
  <c r="K8" i="4"/>
  <c r="M8" i="4" s="1"/>
  <c r="H3" i="4"/>
  <c r="I3" i="4" s="1"/>
  <c r="J857" i="3"/>
  <c r="G857" i="3"/>
  <c r="J856" i="3"/>
  <c r="G856" i="3"/>
  <c r="J855" i="3"/>
  <c r="J859" i="3" s="1"/>
  <c r="G855" i="3"/>
  <c r="G859" i="3" s="1"/>
  <c r="J850" i="3"/>
  <c r="J849" i="3"/>
  <c r="G849" i="3"/>
  <c r="G833" i="3"/>
  <c r="G837" i="3" s="1"/>
  <c r="G838" i="3" s="1"/>
  <c r="K826" i="3"/>
  <c r="J826" i="3"/>
  <c r="I826" i="3"/>
  <c r="G826" i="3"/>
  <c r="L825" i="3"/>
  <c r="K825" i="3"/>
  <c r="L824" i="3"/>
  <c r="K824" i="3"/>
  <c r="L823" i="3"/>
  <c r="K823" i="3"/>
  <c r="K822" i="3"/>
  <c r="L822" i="3" s="1"/>
  <c r="J821" i="3"/>
  <c r="I821" i="3"/>
  <c r="G821" i="3"/>
  <c r="L820" i="3"/>
  <c r="K820" i="3"/>
  <c r="K821" i="3" s="1"/>
  <c r="K819" i="3"/>
  <c r="J819" i="3"/>
  <c r="I819" i="3"/>
  <c r="G819" i="3"/>
  <c r="L818" i="3"/>
  <c r="K818" i="3"/>
  <c r="L817" i="3"/>
  <c r="K817" i="3"/>
  <c r="L816" i="3"/>
  <c r="K816" i="3"/>
  <c r="J815" i="3"/>
  <c r="I815" i="3"/>
  <c r="G815" i="3"/>
  <c r="L814" i="3"/>
  <c r="K814" i="3"/>
  <c r="L813" i="3"/>
  <c r="K813" i="3"/>
  <c r="L812" i="3"/>
  <c r="K812" i="3"/>
  <c r="K811" i="3"/>
  <c r="K815" i="3" s="1"/>
  <c r="K810" i="3"/>
  <c r="J810" i="3"/>
  <c r="I810" i="3"/>
  <c r="G810" i="3"/>
  <c r="L809" i="3"/>
  <c r="K809" i="3"/>
  <c r="L808" i="3"/>
  <c r="K808" i="3"/>
  <c r="L807" i="3"/>
  <c r="K807" i="3"/>
  <c r="K806" i="3"/>
  <c r="L806" i="3" s="1"/>
  <c r="J805" i="3"/>
  <c r="I805" i="3"/>
  <c r="G805" i="3"/>
  <c r="L804" i="3"/>
  <c r="K804" i="3"/>
  <c r="K803" i="3"/>
  <c r="L803" i="3" s="1"/>
  <c r="L802" i="3"/>
  <c r="K802" i="3"/>
  <c r="L801" i="3"/>
  <c r="K801" i="3"/>
  <c r="K805" i="3" s="1"/>
  <c r="K800" i="3"/>
  <c r="J800" i="3"/>
  <c r="I800" i="3"/>
  <c r="G800" i="3"/>
  <c r="L799" i="3"/>
  <c r="K799" i="3"/>
  <c r="K798" i="3"/>
  <c r="L798" i="3" s="1"/>
  <c r="L797" i="3"/>
  <c r="K797" i="3"/>
  <c r="L796" i="3"/>
  <c r="K796" i="3"/>
  <c r="J795" i="3"/>
  <c r="I795" i="3"/>
  <c r="G795" i="3"/>
  <c r="L794" i="3"/>
  <c r="K794" i="3"/>
  <c r="L793" i="3"/>
  <c r="K793" i="3"/>
  <c r="K792" i="3"/>
  <c r="K795" i="3" s="1"/>
  <c r="L791" i="3"/>
  <c r="K791" i="3"/>
  <c r="J790" i="3"/>
  <c r="I790" i="3"/>
  <c r="G790" i="3"/>
  <c r="L789" i="3"/>
  <c r="K789" i="3"/>
  <c r="L788" i="3"/>
  <c r="K788" i="3"/>
  <c r="L787" i="3"/>
  <c r="K787" i="3"/>
  <c r="K790" i="3" s="1"/>
  <c r="J786" i="3"/>
  <c r="I786" i="3"/>
  <c r="G786" i="3"/>
  <c r="L785" i="3"/>
  <c r="K785" i="3"/>
  <c r="K784" i="3"/>
  <c r="K786" i="3" s="1"/>
  <c r="L783" i="3"/>
  <c r="K783" i="3"/>
  <c r="L782" i="3"/>
  <c r="K782" i="3"/>
  <c r="J781" i="3"/>
  <c r="I781" i="3"/>
  <c r="G781" i="3"/>
  <c r="L780" i="3"/>
  <c r="K780" i="3"/>
  <c r="L779" i="3"/>
  <c r="K779" i="3"/>
  <c r="K778" i="3"/>
  <c r="K781" i="3" s="1"/>
  <c r="K777" i="3"/>
  <c r="J777" i="3"/>
  <c r="I777" i="3"/>
  <c r="G777" i="3"/>
  <c r="K776" i="3"/>
  <c r="L776" i="3" s="1"/>
  <c r="L775" i="3"/>
  <c r="K775" i="3"/>
  <c r="L774" i="3"/>
  <c r="K774" i="3"/>
  <c r="K773" i="3"/>
  <c r="L773" i="3" s="1"/>
  <c r="J772" i="3"/>
  <c r="I772" i="3"/>
  <c r="G772" i="3"/>
  <c r="L771" i="3"/>
  <c r="K771" i="3"/>
  <c r="K770" i="3"/>
  <c r="L770" i="3" s="1"/>
  <c r="L769" i="3"/>
  <c r="K769" i="3"/>
  <c r="L768" i="3"/>
  <c r="K768" i="3"/>
  <c r="K772" i="3" s="1"/>
  <c r="K767" i="3"/>
  <c r="J767" i="3"/>
  <c r="I767" i="3"/>
  <c r="G767" i="3"/>
  <c r="L766" i="3"/>
  <c r="K766" i="3"/>
  <c r="J765" i="3"/>
  <c r="I765" i="3"/>
  <c r="G765" i="3"/>
  <c r="L764" i="3"/>
  <c r="K764" i="3"/>
  <c r="L763" i="3"/>
  <c r="K763" i="3"/>
  <c r="K762" i="3"/>
  <c r="L762" i="3" s="1"/>
  <c r="L761" i="3"/>
  <c r="K761" i="3"/>
  <c r="K760" i="3"/>
  <c r="K765" i="3" s="1"/>
  <c r="K759" i="3"/>
  <c r="J759" i="3"/>
  <c r="I759" i="3"/>
  <c r="G759" i="3"/>
  <c r="L758" i="3"/>
  <c r="K758" i="3"/>
  <c r="J757" i="3"/>
  <c r="I757" i="3"/>
  <c r="G757" i="3"/>
  <c r="L756" i="3"/>
  <c r="K756" i="3"/>
  <c r="L755" i="3"/>
  <c r="K755" i="3"/>
  <c r="K754" i="3"/>
  <c r="K757" i="3" s="1"/>
  <c r="L753" i="3"/>
  <c r="K753" i="3"/>
  <c r="J752" i="3"/>
  <c r="I752" i="3"/>
  <c r="G752" i="3"/>
  <c r="L751" i="3"/>
  <c r="K751" i="3"/>
  <c r="L750" i="3"/>
  <c r="K750" i="3"/>
  <c r="K749" i="3"/>
  <c r="L749" i="3" s="1"/>
  <c r="L748" i="3"/>
  <c r="K748" i="3"/>
  <c r="L747" i="3"/>
  <c r="K747" i="3"/>
  <c r="J746" i="3"/>
  <c r="I746" i="3"/>
  <c r="G746" i="3"/>
  <c r="L745" i="3"/>
  <c r="K745" i="3"/>
  <c r="K744" i="3"/>
  <c r="L744" i="3" s="1"/>
  <c r="K743" i="3"/>
  <c r="K746" i="3" s="1"/>
  <c r="L742" i="3"/>
  <c r="K742" i="3"/>
  <c r="J741" i="3"/>
  <c r="I741" i="3"/>
  <c r="G741" i="3"/>
  <c r="L740" i="3"/>
  <c r="K740" i="3"/>
  <c r="L739" i="3"/>
  <c r="K739" i="3"/>
  <c r="L738" i="3"/>
  <c r="K738" i="3"/>
  <c r="K737" i="3"/>
  <c r="K741" i="3" s="1"/>
  <c r="L736" i="3"/>
  <c r="K736" i="3"/>
  <c r="J735" i="3"/>
  <c r="I735" i="3"/>
  <c r="G735" i="3"/>
  <c r="L734" i="3"/>
  <c r="K734" i="3"/>
  <c r="L733" i="3"/>
  <c r="K733" i="3"/>
  <c r="K732" i="3"/>
  <c r="L732" i="3" s="1"/>
  <c r="L731" i="3"/>
  <c r="K731" i="3"/>
  <c r="J730" i="3"/>
  <c r="I730" i="3"/>
  <c r="G730" i="3"/>
  <c r="K729" i="3"/>
  <c r="L729" i="3" s="1"/>
  <c r="L728" i="3"/>
  <c r="K728" i="3"/>
  <c r="L727" i="3"/>
  <c r="K727" i="3"/>
  <c r="K726" i="3"/>
  <c r="L726" i="3" s="1"/>
  <c r="L725" i="3"/>
  <c r="K725" i="3"/>
  <c r="K730" i="3" s="1"/>
  <c r="J724" i="3"/>
  <c r="I724" i="3"/>
  <c r="G724" i="3"/>
  <c r="L723" i="3"/>
  <c r="K723" i="3"/>
  <c r="L722" i="3"/>
  <c r="K722" i="3"/>
  <c r="L721" i="3"/>
  <c r="K721" i="3"/>
  <c r="K720" i="3"/>
  <c r="K724" i="3" s="1"/>
  <c r="K719" i="3"/>
  <c r="J719" i="3"/>
  <c r="I719" i="3"/>
  <c r="G719" i="3"/>
  <c r="K718" i="3"/>
  <c r="L718" i="3" s="1"/>
  <c r="L717" i="3"/>
  <c r="K717" i="3"/>
  <c r="L716" i="3"/>
  <c r="K716" i="3"/>
  <c r="J715" i="3"/>
  <c r="I715" i="3"/>
  <c r="G715" i="3"/>
  <c r="L714" i="3"/>
  <c r="K714" i="3"/>
  <c r="L713" i="3"/>
  <c r="K713" i="3"/>
  <c r="K712" i="3"/>
  <c r="K715" i="3" s="1"/>
  <c r="L711" i="3"/>
  <c r="K711" i="3"/>
  <c r="J710" i="3"/>
  <c r="I710" i="3"/>
  <c r="G710" i="3"/>
  <c r="L709" i="3"/>
  <c r="K709" i="3"/>
  <c r="L708" i="3"/>
  <c r="K708" i="3"/>
  <c r="K707" i="3"/>
  <c r="L707" i="3" s="1"/>
  <c r="L706" i="3"/>
  <c r="K706" i="3"/>
  <c r="J705" i="3"/>
  <c r="I705" i="3"/>
  <c r="G705" i="3"/>
  <c r="K704" i="3"/>
  <c r="L704" i="3" s="1"/>
  <c r="L703" i="3"/>
  <c r="K703" i="3"/>
  <c r="L702" i="3"/>
  <c r="K702" i="3"/>
  <c r="K701" i="3"/>
  <c r="K705" i="3" s="1"/>
  <c r="J700" i="3"/>
  <c r="I700" i="3"/>
  <c r="G700" i="3"/>
  <c r="K699" i="3"/>
  <c r="L699" i="3" s="1"/>
  <c r="L698" i="3"/>
  <c r="K698" i="3"/>
  <c r="L697" i="3"/>
  <c r="K697" i="3"/>
  <c r="J696" i="3"/>
  <c r="I696" i="3"/>
  <c r="G696" i="3"/>
  <c r="L695" i="3"/>
  <c r="K695" i="3"/>
  <c r="L694" i="3"/>
  <c r="K694" i="3"/>
  <c r="K693" i="3"/>
  <c r="K696" i="3" s="1"/>
  <c r="L692" i="3"/>
  <c r="K692" i="3"/>
  <c r="L691" i="3"/>
  <c r="K691" i="3"/>
  <c r="J690" i="3"/>
  <c r="I690" i="3"/>
  <c r="G690" i="3"/>
  <c r="K688" i="3"/>
  <c r="K686" i="3"/>
  <c r="L686" i="3" s="1"/>
  <c r="K684" i="3"/>
  <c r="K690" i="3" s="1"/>
  <c r="K683" i="3"/>
  <c r="J683" i="3"/>
  <c r="I683" i="3"/>
  <c r="G683" i="3"/>
  <c r="K682" i="3"/>
  <c r="L682" i="3" s="1"/>
  <c r="L681" i="3"/>
  <c r="K681" i="3"/>
  <c r="K680" i="3"/>
  <c r="L680" i="3" s="1"/>
  <c r="K679" i="3"/>
  <c r="L679" i="3" s="1"/>
  <c r="J678" i="3"/>
  <c r="I678" i="3"/>
  <c r="G678" i="3"/>
  <c r="K677" i="3"/>
  <c r="L677" i="3" s="1"/>
  <c r="K676" i="3"/>
  <c r="L676" i="3" s="1"/>
  <c r="K675" i="3"/>
  <c r="K678" i="3" s="1"/>
  <c r="L674" i="3"/>
  <c r="K674" i="3"/>
  <c r="J673" i="3"/>
  <c r="I673" i="3"/>
  <c r="G673" i="3"/>
  <c r="L672" i="3"/>
  <c r="K672" i="3"/>
  <c r="L671" i="3"/>
  <c r="K671" i="3"/>
  <c r="K670" i="3"/>
  <c r="L670" i="3" s="1"/>
  <c r="L669" i="3"/>
  <c r="K669" i="3"/>
  <c r="J668" i="3"/>
  <c r="I668" i="3"/>
  <c r="G668" i="3"/>
  <c r="K667" i="3"/>
  <c r="L667" i="3" s="1"/>
  <c r="L666" i="3"/>
  <c r="K666" i="3"/>
  <c r="K665" i="3"/>
  <c r="L665" i="3" s="1"/>
  <c r="K664" i="3"/>
  <c r="L664" i="3" s="1"/>
  <c r="L663" i="3"/>
  <c r="K663" i="3"/>
  <c r="L662" i="3"/>
  <c r="K662" i="3"/>
  <c r="K668" i="3" s="1"/>
  <c r="J661" i="3"/>
  <c r="I661" i="3"/>
  <c r="G661" i="3"/>
  <c r="K660" i="3"/>
  <c r="L660" i="3" s="1"/>
  <c r="L659" i="3"/>
  <c r="K659" i="3"/>
  <c r="K658" i="3"/>
  <c r="K661" i="3" s="1"/>
  <c r="K657" i="3"/>
  <c r="J657" i="3"/>
  <c r="I657" i="3"/>
  <c r="G657" i="3"/>
  <c r="K656" i="3"/>
  <c r="L656" i="3" s="1"/>
  <c r="L655" i="3"/>
  <c r="K655" i="3"/>
  <c r="L654" i="3"/>
  <c r="K654" i="3"/>
  <c r="K653" i="3"/>
  <c r="L653" i="3" s="1"/>
  <c r="J652" i="3"/>
  <c r="I652" i="3"/>
  <c r="G652" i="3"/>
  <c r="L651" i="3"/>
  <c r="K651" i="3"/>
  <c r="K650" i="3"/>
  <c r="L650" i="3" s="1"/>
  <c r="L649" i="3"/>
  <c r="K649" i="3"/>
  <c r="K648" i="3"/>
  <c r="K652" i="3" s="1"/>
  <c r="K647" i="3"/>
  <c r="J647" i="3"/>
  <c r="I647" i="3"/>
  <c r="G647" i="3"/>
  <c r="L646" i="3"/>
  <c r="K646" i="3"/>
  <c r="K645" i="3"/>
  <c r="L645" i="3" s="1"/>
  <c r="L644" i="3"/>
  <c r="K644" i="3"/>
  <c r="K643" i="3"/>
  <c r="L643" i="3" s="1"/>
  <c r="L642" i="3"/>
  <c r="K642" i="3"/>
  <c r="J641" i="3"/>
  <c r="I641" i="3"/>
  <c r="G640" i="3"/>
  <c r="K640" i="3" s="1"/>
  <c r="L639" i="3"/>
  <c r="K639" i="3"/>
  <c r="G639" i="3"/>
  <c r="G641" i="3" s="1"/>
  <c r="L638" i="3"/>
  <c r="K638" i="3"/>
  <c r="K637" i="3"/>
  <c r="L637" i="3" s="1"/>
  <c r="J636" i="3"/>
  <c r="I636" i="3"/>
  <c r="G636" i="3"/>
  <c r="L635" i="3"/>
  <c r="K635" i="3"/>
  <c r="K634" i="3"/>
  <c r="L634" i="3" s="1"/>
  <c r="L633" i="3"/>
  <c r="K633" i="3"/>
  <c r="K632" i="3"/>
  <c r="K636" i="3" s="1"/>
  <c r="K631" i="3"/>
  <c r="J631" i="3"/>
  <c r="I631" i="3"/>
  <c r="G631" i="3"/>
  <c r="L630" i="3"/>
  <c r="K630" i="3"/>
  <c r="K629" i="3"/>
  <c r="L629" i="3" s="1"/>
  <c r="L628" i="3"/>
  <c r="K628" i="3"/>
  <c r="K627" i="3"/>
  <c r="L627" i="3" s="1"/>
  <c r="K626" i="3"/>
  <c r="J626" i="3"/>
  <c r="I626" i="3"/>
  <c r="G626" i="3"/>
  <c r="L625" i="3"/>
  <c r="K625" i="3"/>
  <c r="K624" i="3"/>
  <c r="J624" i="3"/>
  <c r="I624" i="3"/>
  <c r="G624" i="3"/>
  <c r="L623" i="3"/>
  <c r="K623" i="3"/>
  <c r="K622" i="3"/>
  <c r="J622" i="3"/>
  <c r="I622" i="3"/>
  <c r="G622" i="3"/>
  <c r="L621" i="3"/>
  <c r="K621" i="3"/>
  <c r="K620" i="3"/>
  <c r="L620" i="3" s="1"/>
  <c r="J619" i="3"/>
  <c r="I619" i="3"/>
  <c r="G619" i="3"/>
  <c r="L618" i="3"/>
  <c r="K618" i="3"/>
  <c r="K617" i="3"/>
  <c r="L617" i="3" s="1"/>
  <c r="K616" i="3"/>
  <c r="K619" i="3" s="1"/>
  <c r="L615" i="3"/>
  <c r="K615" i="3"/>
  <c r="L614" i="3"/>
  <c r="K614" i="3"/>
  <c r="J613" i="3"/>
  <c r="I613" i="3"/>
  <c r="G613" i="3"/>
  <c r="K612" i="3"/>
  <c r="L612" i="3" s="1"/>
  <c r="L611" i="3"/>
  <c r="K611" i="3"/>
  <c r="K610" i="3"/>
  <c r="K613" i="3" s="1"/>
  <c r="L609" i="3"/>
  <c r="K609" i="3"/>
  <c r="J608" i="3"/>
  <c r="I608" i="3"/>
  <c r="G608" i="3"/>
  <c r="L607" i="3"/>
  <c r="K607" i="3"/>
  <c r="L606" i="3"/>
  <c r="K606" i="3"/>
  <c r="K605" i="3"/>
  <c r="L605" i="3" s="1"/>
  <c r="L604" i="3"/>
  <c r="K604" i="3"/>
  <c r="J603" i="3"/>
  <c r="I603" i="3"/>
  <c r="G603" i="3"/>
  <c r="K602" i="3"/>
  <c r="L602" i="3" s="1"/>
  <c r="L601" i="3"/>
  <c r="K601" i="3"/>
  <c r="K600" i="3"/>
  <c r="L600" i="3" s="1"/>
  <c r="K599" i="3"/>
  <c r="L599" i="3" s="1"/>
  <c r="L598" i="3"/>
  <c r="K598" i="3"/>
  <c r="K603" i="3" s="1"/>
  <c r="K597" i="3"/>
  <c r="J597" i="3"/>
  <c r="I597" i="3"/>
  <c r="G597" i="3"/>
  <c r="L596" i="3"/>
  <c r="K596" i="3"/>
  <c r="K595" i="3"/>
  <c r="L595" i="3" s="1"/>
  <c r="J594" i="3"/>
  <c r="I594" i="3"/>
  <c r="G594" i="3"/>
  <c r="L593" i="3"/>
  <c r="K593" i="3"/>
  <c r="K592" i="3"/>
  <c r="L592" i="3" s="1"/>
  <c r="K591" i="3"/>
  <c r="K594" i="3" s="1"/>
  <c r="K590" i="3"/>
  <c r="J590" i="3"/>
  <c r="I590" i="3"/>
  <c r="G590" i="3"/>
  <c r="K589" i="3"/>
  <c r="L589" i="3" s="1"/>
  <c r="J588" i="3"/>
  <c r="I588" i="3"/>
  <c r="G588" i="3"/>
  <c r="K587" i="3"/>
  <c r="L587" i="3" s="1"/>
  <c r="K586" i="3"/>
  <c r="L586" i="3" s="1"/>
  <c r="K585" i="3"/>
  <c r="K588" i="3" s="1"/>
  <c r="K584" i="3"/>
  <c r="L584" i="3" s="1"/>
  <c r="J583" i="3"/>
  <c r="I583" i="3"/>
  <c r="G583" i="3"/>
  <c r="K582" i="3"/>
  <c r="L582" i="3" s="1"/>
  <c r="K581" i="3"/>
  <c r="L581" i="3" s="1"/>
  <c r="L580" i="3"/>
  <c r="K580" i="3"/>
  <c r="L579" i="3"/>
  <c r="K579" i="3"/>
  <c r="K578" i="3"/>
  <c r="L578" i="3" s="1"/>
  <c r="J577" i="3"/>
  <c r="I577" i="3"/>
  <c r="G577" i="3"/>
  <c r="K576" i="3"/>
  <c r="L576" i="3" s="1"/>
  <c r="K575" i="3"/>
  <c r="K577" i="3" s="1"/>
  <c r="K574" i="3"/>
  <c r="J574" i="3"/>
  <c r="I574" i="3"/>
  <c r="G574" i="3"/>
  <c r="K573" i="3"/>
  <c r="L573" i="3" s="1"/>
  <c r="L572" i="3"/>
  <c r="K572" i="3"/>
  <c r="L571" i="3"/>
  <c r="K571" i="3"/>
  <c r="K570" i="3"/>
  <c r="L570" i="3" s="1"/>
  <c r="J569" i="3"/>
  <c r="I569" i="3"/>
  <c r="G569" i="3"/>
  <c r="K568" i="3"/>
  <c r="L568" i="3" s="1"/>
  <c r="K567" i="3"/>
  <c r="K569" i="3" s="1"/>
  <c r="L566" i="3"/>
  <c r="K566" i="3"/>
  <c r="J565" i="3"/>
  <c r="I565" i="3"/>
  <c r="G565" i="3"/>
  <c r="L564" i="3"/>
  <c r="K564" i="3"/>
  <c r="L563" i="3"/>
  <c r="K563" i="3"/>
  <c r="K562" i="3"/>
  <c r="L562" i="3" s="1"/>
  <c r="K561" i="3"/>
  <c r="L561" i="3" s="1"/>
  <c r="K560" i="3"/>
  <c r="K565" i="3" s="1"/>
  <c r="J559" i="3"/>
  <c r="I559" i="3"/>
  <c r="G559" i="3"/>
  <c r="L558" i="3"/>
  <c r="K558" i="3"/>
  <c r="K557" i="3"/>
  <c r="L557" i="3" s="1"/>
  <c r="K556" i="3"/>
  <c r="L556" i="3" s="1"/>
  <c r="L555" i="3"/>
  <c r="K555" i="3"/>
  <c r="K559" i="3" s="1"/>
  <c r="J554" i="3"/>
  <c r="I554" i="3"/>
  <c r="G554" i="3"/>
  <c r="K553" i="3"/>
  <c r="L553" i="3" s="1"/>
  <c r="K552" i="3"/>
  <c r="L552" i="3" s="1"/>
  <c r="K551" i="3"/>
  <c r="K554" i="3" s="1"/>
  <c r="K550" i="3"/>
  <c r="J550" i="3"/>
  <c r="I550" i="3"/>
  <c r="G550" i="3"/>
  <c r="K549" i="3"/>
  <c r="L549" i="3" s="1"/>
  <c r="J548" i="3"/>
  <c r="I548" i="3"/>
  <c r="G548" i="3"/>
  <c r="L547" i="3"/>
  <c r="K547" i="3"/>
  <c r="K546" i="3"/>
  <c r="L546" i="3" s="1"/>
  <c r="K545" i="3"/>
  <c r="L545" i="3" s="1"/>
  <c r="K544" i="3"/>
  <c r="K548" i="3" s="1"/>
  <c r="J543" i="3"/>
  <c r="I543" i="3"/>
  <c r="G543" i="3"/>
  <c r="L542" i="3"/>
  <c r="K542" i="3"/>
  <c r="K543" i="3" s="1"/>
  <c r="J541" i="3"/>
  <c r="I541" i="3"/>
  <c r="G541" i="3"/>
  <c r="L540" i="3"/>
  <c r="K540" i="3"/>
  <c r="K541" i="3" s="1"/>
  <c r="J539" i="3"/>
  <c r="I539" i="3"/>
  <c r="G539" i="3"/>
  <c r="K538" i="3"/>
  <c r="L538" i="3" s="1"/>
  <c r="K537" i="3"/>
  <c r="L537" i="3" s="1"/>
  <c r="K536" i="3"/>
  <c r="K539" i="3" s="1"/>
  <c r="K535" i="3"/>
  <c r="J535" i="3"/>
  <c r="I535" i="3"/>
  <c r="G535" i="3"/>
  <c r="K534" i="3"/>
  <c r="L534" i="3" s="1"/>
  <c r="K533" i="3"/>
  <c r="L533" i="3" s="1"/>
  <c r="L532" i="3"/>
  <c r="K532" i="3"/>
  <c r="L531" i="3"/>
  <c r="K531" i="3"/>
  <c r="J530" i="3"/>
  <c r="I530" i="3"/>
  <c r="G530" i="3"/>
  <c r="K529" i="3"/>
  <c r="L529" i="3" s="1"/>
  <c r="K528" i="3"/>
  <c r="L528" i="3" s="1"/>
  <c r="K527" i="3"/>
  <c r="K530" i="3" s="1"/>
  <c r="L526" i="3"/>
  <c r="K526" i="3"/>
  <c r="J525" i="3"/>
  <c r="I525" i="3"/>
  <c r="G525" i="3"/>
  <c r="L524" i="3"/>
  <c r="K524" i="3"/>
  <c r="L523" i="3"/>
  <c r="K523" i="3"/>
  <c r="K522" i="3"/>
  <c r="L522" i="3" s="1"/>
  <c r="K521" i="3"/>
  <c r="L521" i="3" s="1"/>
  <c r="K520" i="3"/>
  <c r="L520" i="3" s="1"/>
  <c r="K519" i="3"/>
  <c r="K525" i="3" s="1"/>
  <c r="K518" i="3"/>
  <c r="J518" i="3"/>
  <c r="I518" i="3"/>
  <c r="G518" i="3"/>
  <c r="K517" i="3"/>
  <c r="L517" i="3" s="1"/>
  <c r="K516" i="3"/>
  <c r="L516" i="3" s="1"/>
  <c r="L515" i="3"/>
  <c r="K515" i="3"/>
  <c r="L514" i="3"/>
  <c r="K514" i="3"/>
  <c r="J513" i="3"/>
  <c r="I513" i="3"/>
  <c r="G513" i="3"/>
  <c r="K512" i="3"/>
  <c r="L512" i="3" s="1"/>
  <c r="K511" i="3"/>
  <c r="L511" i="3" s="1"/>
  <c r="K510" i="3"/>
  <c r="K513" i="3" s="1"/>
  <c r="J509" i="3"/>
  <c r="I509" i="3"/>
  <c r="G509" i="3"/>
  <c r="K508" i="3"/>
  <c r="L508" i="3" s="1"/>
  <c r="L507" i="3"/>
  <c r="K507" i="3"/>
  <c r="L506" i="3"/>
  <c r="K506" i="3"/>
  <c r="K505" i="3"/>
  <c r="L505" i="3" s="1"/>
  <c r="K504" i="3"/>
  <c r="L504" i="3" s="1"/>
  <c r="K503" i="3"/>
  <c r="L503" i="3" s="1"/>
  <c r="K502" i="3"/>
  <c r="L502" i="3" s="1"/>
  <c r="K501" i="3"/>
  <c r="L501" i="3" s="1"/>
  <c r="L500" i="3"/>
  <c r="K500" i="3"/>
  <c r="K499" i="3"/>
  <c r="L499" i="3" s="1"/>
  <c r="K498" i="3"/>
  <c r="L498" i="3" s="1"/>
  <c r="L497" i="3"/>
  <c r="K497" i="3"/>
  <c r="L496" i="3"/>
  <c r="K496" i="3"/>
  <c r="K495" i="3"/>
  <c r="L495" i="3" s="1"/>
  <c r="K494" i="3"/>
  <c r="L494" i="3" s="1"/>
  <c r="K493" i="3"/>
  <c r="L493" i="3" s="1"/>
  <c r="K492" i="3"/>
  <c r="L492" i="3" s="1"/>
  <c r="K491" i="3"/>
  <c r="L491" i="3" s="1"/>
  <c r="L490" i="3"/>
  <c r="K490" i="3"/>
  <c r="K489" i="3"/>
  <c r="L489" i="3" s="1"/>
  <c r="K488" i="3"/>
  <c r="L488" i="3" s="1"/>
  <c r="L487" i="3"/>
  <c r="K487" i="3"/>
  <c r="L486" i="3"/>
  <c r="K486" i="3"/>
  <c r="K485" i="3"/>
  <c r="L485" i="3" s="1"/>
  <c r="K484" i="3"/>
  <c r="L484" i="3" s="1"/>
  <c r="K483" i="3"/>
  <c r="L483" i="3" s="1"/>
  <c r="K482" i="3"/>
  <c r="L482" i="3" s="1"/>
  <c r="K481" i="3"/>
  <c r="L481" i="3" s="1"/>
  <c r="L480" i="3"/>
  <c r="K480" i="3"/>
  <c r="K479" i="3"/>
  <c r="L479" i="3" s="1"/>
  <c r="K478" i="3"/>
  <c r="L478" i="3" s="1"/>
  <c r="L477" i="3"/>
  <c r="K477" i="3"/>
  <c r="L476" i="3"/>
  <c r="K476" i="3"/>
  <c r="K475" i="3"/>
  <c r="L475" i="3" s="1"/>
  <c r="K474" i="3"/>
  <c r="L474" i="3" s="1"/>
  <c r="K473" i="3"/>
  <c r="L473" i="3" s="1"/>
  <c r="K472" i="3"/>
  <c r="L472" i="3" s="1"/>
  <c r="K471" i="3"/>
  <c r="L471" i="3" s="1"/>
  <c r="K470" i="3"/>
  <c r="J470" i="3"/>
  <c r="I470" i="3"/>
  <c r="G470" i="3"/>
  <c r="K469" i="3"/>
  <c r="L469" i="3" s="1"/>
  <c r="L468" i="3"/>
  <c r="K468" i="3"/>
  <c r="L467" i="3"/>
  <c r="K467" i="3"/>
  <c r="J466" i="3"/>
  <c r="I466" i="3"/>
  <c r="G466" i="3"/>
  <c r="K465" i="3"/>
  <c r="L465" i="3" s="1"/>
  <c r="K464" i="3"/>
  <c r="L464" i="3" s="1"/>
  <c r="K463" i="3"/>
  <c r="L463" i="3" s="1"/>
  <c r="L462" i="3"/>
  <c r="K462" i="3"/>
  <c r="K461" i="3"/>
  <c r="L461" i="3" s="1"/>
  <c r="J460" i="3"/>
  <c r="I460" i="3"/>
  <c r="G460" i="3"/>
  <c r="L459" i="3"/>
  <c r="K459" i="3"/>
  <c r="K458" i="3"/>
  <c r="L458" i="3" s="1"/>
  <c r="K457" i="3"/>
  <c r="L457" i="3" s="1"/>
  <c r="K456" i="3"/>
  <c r="L456" i="3" s="1"/>
  <c r="K455" i="3"/>
  <c r="K460" i="3" s="1"/>
  <c r="J454" i="3"/>
  <c r="I454" i="3"/>
  <c r="G454" i="3"/>
  <c r="K453" i="3"/>
  <c r="L453" i="3" s="1"/>
  <c r="K452" i="3"/>
  <c r="L452" i="3" s="1"/>
  <c r="L451" i="3"/>
  <c r="K451" i="3"/>
  <c r="L450" i="3"/>
  <c r="K450" i="3"/>
  <c r="K449" i="3"/>
  <c r="L449" i="3" s="1"/>
  <c r="J448" i="3"/>
  <c r="I448" i="3"/>
  <c r="G448" i="3"/>
  <c r="K447" i="3"/>
  <c r="L447" i="3" s="1"/>
  <c r="K446" i="3"/>
  <c r="K448" i="3" s="1"/>
  <c r="L445" i="3"/>
  <c r="K445" i="3"/>
  <c r="K444" i="3"/>
  <c r="L444" i="3" s="1"/>
  <c r="J443" i="3"/>
  <c r="I443" i="3"/>
  <c r="G443" i="3"/>
  <c r="L442" i="3"/>
  <c r="K442" i="3"/>
  <c r="K441" i="3"/>
  <c r="L441" i="3" s="1"/>
  <c r="K440" i="3"/>
  <c r="K443" i="3" s="1"/>
  <c r="K439" i="3"/>
  <c r="J439" i="3"/>
  <c r="I439" i="3"/>
  <c r="G439" i="3"/>
  <c r="K438" i="3"/>
  <c r="L438" i="3" s="1"/>
  <c r="L437" i="3"/>
  <c r="K437" i="3"/>
  <c r="K436" i="3"/>
  <c r="L436" i="3" s="1"/>
  <c r="K435" i="3"/>
  <c r="L435" i="3" s="1"/>
  <c r="L434" i="3"/>
  <c r="K434" i="3"/>
  <c r="J433" i="3"/>
  <c r="I433" i="3"/>
  <c r="G433" i="3"/>
  <c r="K432" i="3"/>
  <c r="L432" i="3" s="1"/>
  <c r="K431" i="3"/>
  <c r="L431" i="3" s="1"/>
  <c r="K430" i="3"/>
  <c r="L430" i="3" s="1"/>
  <c r="K429" i="3"/>
  <c r="K433" i="3" s="1"/>
  <c r="K428" i="3"/>
  <c r="J428" i="3"/>
  <c r="I428" i="3"/>
  <c r="G428" i="3"/>
  <c r="K427" i="3"/>
  <c r="L427" i="3" s="1"/>
  <c r="L426" i="3"/>
  <c r="K426" i="3"/>
  <c r="L425" i="3"/>
  <c r="K425" i="3"/>
  <c r="K424" i="3"/>
  <c r="L424" i="3" s="1"/>
  <c r="J423" i="3"/>
  <c r="I423" i="3"/>
  <c r="G423" i="3"/>
  <c r="K422" i="3"/>
  <c r="L422" i="3" s="1"/>
  <c r="K421" i="3"/>
  <c r="K423" i="3" s="1"/>
  <c r="L420" i="3"/>
  <c r="K420" i="3"/>
  <c r="K419" i="3"/>
  <c r="L419" i="3" s="1"/>
  <c r="J418" i="3"/>
  <c r="I418" i="3"/>
  <c r="G418" i="3"/>
  <c r="L417" i="3"/>
  <c r="K417" i="3"/>
  <c r="K416" i="3"/>
  <c r="L416" i="3" s="1"/>
  <c r="K415" i="3"/>
  <c r="L415" i="3" s="1"/>
  <c r="K414" i="3"/>
  <c r="K418" i="3" s="1"/>
  <c r="J413" i="3"/>
  <c r="I413" i="3"/>
  <c r="G413" i="3"/>
  <c r="L412" i="3"/>
  <c r="K412" i="3"/>
  <c r="K411" i="3"/>
  <c r="L411" i="3" s="1"/>
  <c r="K410" i="3"/>
  <c r="L410" i="3" s="1"/>
  <c r="L409" i="3"/>
  <c r="K409" i="3"/>
  <c r="K413" i="3" s="1"/>
  <c r="J408" i="3"/>
  <c r="I408" i="3"/>
  <c r="G408" i="3"/>
  <c r="K407" i="3"/>
  <c r="L407" i="3" s="1"/>
  <c r="K406" i="3"/>
  <c r="L406" i="3" s="1"/>
  <c r="K405" i="3"/>
  <c r="L405" i="3" s="1"/>
  <c r="K404" i="3"/>
  <c r="K408" i="3" s="1"/>
  <c r="K403" i="3"/>
  <c r="J403" i="3"/>
  <c r="I403" i="3"/>
  <c r="G403" i="3"/>
  <c r="K402" i="3"/>
  <c r="L402" i="3" s="1"/>
  <c r="L401" i="3"/>
  <c r="K401" i="3"/>
  <c r="L400" i="3"/>
  <c r="K400" i="3"/>
  <c r="L399" i="3"/>
  <c r="J398" i="3"/>
  <c r="I398" i="3"/>
  <c r="G398" i="3"/>
  <c r="L397" i="3"/>
  <c r="K397" i="3"/>
  <c r="K396" i="3"/>
  <c r="L396" i="3" s="1"/>
  <c r="K395" i="3"/>
  <c r="K398" i="3" s="1"/>
  <c r="L394" i="3"/>
  <c r="K394" i="3"/>
  <c r="L393" i="3"/>
  <c r="K393" i="3"/>
  <c r="J392" i="3"/>
  <c r="I392" i="3"/>
  <c r="G392" i="3"/>
  <c r="K391" i="3"/>
  <c r="L391" i="3" s="1"/>
  <c r="L390" i="3"/>
  <c r="K390" i="3"/>
  <c r="K389" i="3"/>
  <c r="L389" i="3" s="1"/>
  <c r="L388" i="3"/>
  <c r="K388" i="3"/>
  <c r="K387" i="3"/>
  <c r="K392" i="3" s="1"/>
  <c r="K386" i="3"/>
  <c r="J386" i="3"/>
  <c r="I386" i="3"/>
  <c r="G386" i="3"/>
  <c r="L385" i="3"/>
  <c r="K385" i="3"/>
  <c r="K384" i="3"/>
  <c r="L384" i="3" s="1"/>
  <c r="L383" i="3"/>
  <c r="K383" i="3"/>
  <c r="K382" i="3"/>
  <c r="L382" i="3" s="1"/>
  <c r="J381" i="3"/>
  <c r="I381" i="3"/>
  <c r="G381" i="3"/>
  <c r="L380" i="3"/>
  <c r="K380" i="3"/>
  <c r="K379" i="3"/>
  <c r="L379" i="3" s="1"/>
  <c r="K378" i="3"/>
  <c r="K381" i="3" s="1"/>
  <c r="J377" i="3"/>
  <c r="I377" i="3"/>
  <c r="G377" i="3"/>
  <c r="K376" i="3"/>
  <c r="L376" i="3" s="1"/>
  <c r="L375" i="3"/>
  <c r="K375" i="3"/>
  <c r="K374" i="3"/>
  <c r="L374" i="3" s="1"/>
  <c r="J373" i="3"/>
  <c r="I373" i="3"/>
  <c r="G373" i="3"/>
  <c r="L372" i="3"/>
  <c r="K372" i="3"/>
  <c r="K371" i="3"/>
  <c r="L371" i="3" s="1"/>
  <c r="K370" i="3"/>
  <c r="K373" i="3" s="1"/>
  <c r="L369" i="3"/>
  <c r="K369" i="3"/>
  <c r="J368" i="3"/>
  <c r="I368" i="3"/>
  <c r="G368" i="3"/>
  <c r="L367" i="3"/>
  <c r="K367" i="3"/>
  <c r="K366" i="3"/>
  <c r="L366" i="3" s="1"/>
  <c r="L365" i="3"/>
  <c r="K365" i="3"/>
  <c r="K364" i="3"/>
  <c r="K368" i="3" s="1"/>
  <c r="L363" i="3"/>
  <c r="K363" i="3"/>
  <c r="J362" i="3"/>
  <c r="I362" i="3"/>
  <c r="G362" i="3"/>
  <c r="L361" i="3"/>
  <c r="K361" i="3"/>
  <c r="L360" i="3"/>
  <c r="K360" i="3"/>
  <c r="K359" i="3"/>
  <c r="L359" i="3" s="1"/>
  <c r="L358" i="3"/>
  <c r="K358" i="3"/>
  <c r="J357" i="3"/>
  <c r="I357" i="3"/>
  <c r="G357" i="3"/>
  <c r="K356" i="3"/>
  <c r="L356" i="3" s="1"/>
  <c r="L355" i="3"/>
  <c r="K355" i="3"/>
  <c r="K354" i="3"/>
  <c r="K357" i="3" s="1"/>
  <c r="K353" i="3"/>
  <c r="J353" i="3"/>
  <c r="I353" i="3"/>
  <c r="G353" i="3"/>
  <c r="L352" i="3"/>
  <c r="K352" i="3"/>
  <c r="K351" i="3"/>
  <c r="L351" i="3" s="1"/>
  <c r="L350" i="3"/>
  <c r="K350" i="3"/>
  <c r="K349" i="3"/>
  <c r="L349" i="3" s="1"/>
  <c r="J348" i="3"/>
  <c r="I348" i="3"/>
  <c r="G348" i="3"/>
  <c r="L347" i="3"/>
  <c r="K347" i="3"/>
  <c r="K346" i="3"/>
  <c r="L346" i="3" s="1"/>
  <c r="K345" i="3"/>
  <c r="K348" i="3" s="1"/>
  <c r="L344" i="3"/>
  <c r="K344" i="3"/>
  <c r="L343" i="3"/>
  <c r="K343" i="3"/>
  <c r="K342" i="3"/>
  <c r="L342" i="3" s="1"/>
  <c r="L341" i="3"/>
  <c r="K341" i="3"/>
  <c r="K340" i="3"/>
  <c r="L340" i="3" s="1"/>
  <c r="J339" i="3"/>
  <c r="I339" i="3"/>
  <c r="G339" i="3"/>
  <c r="L338" i="3"/>
  <c r="K338" i="3"/>
  <c r="K337" i="3"/>
  <c r="L337" i="3" s="1"/>
  <c r="K336" i="3"/>
  <c r="K339" i="3" s="1"/>
  <c r="L335" i="3"/>
  <c r="K335" i="3"/>
  <c r="J334" i="3"/>
  <c r="I334" i="3"/>
  <c r="G334" i="3"/>
  <c r="L333" i="3"/>
  <c r="K333" i="3"/>
  <c r="K332" i="3"/>
  <c r="L332" i="3" s="1"/>
  <c r="L331" i="3"/>
  <c r="K331" i="3"/>
  <c r="K330" i="3"/>
  <c r="K334" i="3" s="1"/>
  <c r="K329" i="3"/>
  <c r="J329" i="3"/>
  <c r="I329" i="3"/>
  <c r="G329" i="3"/>
  <c r="K328" i="3"/>
  <c r="L328" i="3" s="1"/>
  <c r="L327" i="3"/>
  <c r="K327" i="3"/>
  <c r="L326" i="3"/>
  <c r="K326" i="3"/>
  <c r="J325" i="3"/>
  <c r="I325" i="3"/>
  <c r="G325" i="3"/>
  <c r="K324" i="3"/>
  <c r="L324" i="3" s="1"/>
  <c r="L323" i="3"/>
  <c r="K323" i="3"/>
  <c r="K322" i="3"/>
  <c r="K325" i="3" s="1"/>
  <c r="L321" i="3"/>
  <c r="K321" i="3"/>
  <c r="K320" i="3"/>
  <c r="J320" i="3"/>
  <c r="I320" i="3"/>
  <c r="G320" i="3"/>
  <c r="L319" i="3"/>
  <c r="K319" i="3"/>
  <c r="L318" i="3"/>
  <c r="K318" i="3"/>
  <c r="J317" i="3"/>
  <c r="I317" i="3"/>
  <c r="G317" i="3"/>
  <c r="K316" i="3"/>
  <c r="L316" i="3" s="1"/>
  <c r="L315" i="3"/>
  <c r="K315" i="3"/>
  <c r="K314" i="3"/>
  <c r="L314" i="3" s="1"/>
  <c r="L313" i="3"/>
  <c r="K313" i="3"/>
  <c r="K311" i="3"/>
  <c r="K310" i="3"/>
  <c r="K317" i="3" s="1"/>
  <c r="K309" i="3"/>
  <c r="J309" i="3"/>
  <c r="I309" i="3"/>
  <c r="G309" i="3"/>
  <c r="K308" i="3"/>
  <c r="L308" i="3" s="1"/>
  <c r="L307" i="3"/>
  <c r="K307" i="3"/>
  <c r="L306" i="3"/>
  <c r="K306" i="3"/>
  <c r="K305" i="3"/>
  <c r="L305" i="3" s="1"/>
  <c r="K304" i="3"/>
  <c r="L304" i="3" s="1"/>
  <c r="K303" i="3"/>
  <c r="J303" i="3"/>
  <c r="I303" i="3"/>
  <c r="G303" i="3"/>
  <c r="K302" i="3"/>
  <c r="L302" i="3" s="1"/>
  <c r="L301" i="3"/>
  <c r="K301" i="3"/>
  <c r="K300" i="3"/>
  <c r="L300" i="3" s="1"/>
  <c r="K299" i="3"/>
  <c r="L299" i="3" s="1"/>
  <c r="J298" i="3"/>
  <c r="I298" i="3"/>
  <c r="G298" i="3"/>
  <c r="K297" i="3"/>
  <c r="L297" i="3" s="1"/>
  <c r="K296" i="3"/>
  <c r="L296" i="3" s="1"/>
  <c r="K295" i="3"/>
  <c r="K298" i="3" s="1"/>
  <c r="K294" i="3"/>
  <c r="L294" i="3" s="1"/>
  <c r="J293" i="3"/>
  <c r="I293" i="3"/>
  <c r="G293" i="3"/>
  <c r="K292" i="3"/>
  <c r="L292" i="3" s="1"/>
  <c r="K291" i="3"/>
  <c r="L291" i="3" s="1"/>
  <c r="L290" i="3"/>
  <c r="K290" i="3"/>
  <c r="L289" i="3"/>
  <c r="K289" i="3"/>
  <c r="K288" i="3"/>
  <c r="L288" i="3" s="1"/>
  <c r="J287" i="3"/>
  <c r="I287" i="3"/>
  <c r="G287" i="3"/>
  <c r="K286" i="3"/>
  <c r="L286" i="3" s="1"/>
  <c r="K285" i="3"/>
  <c r="K287" i="3" s="1"/>
  <c r="K284" i="3"/>
  <c r="J284" i="3"/>
  <c r="I284" i="3"/>
  <c r="G284" i="3"/>
  <c r="K283" i="3"/>
  <c r="L283" i="3" s="1"/>
  <c r="L282" i="3"/>
  <c r="K282" i="3"/>
  <c r="L281" i="3"/>
  <c r="K281" i="3"/>
  <c r="K280" i="3"/>
  <c r="L280" i="3" s="1"/>
  <c r="K279" i="3"/>
  <c r="L279" i="3" s="1"/>
  <c r="K278" i="3"/>
  <c r="J278" i="3"/>
  <c r="I278" i="3"/>
  <c r="G278" i="3"/>
  <c r="K277" i="3"/>
  <c r="L277" i="3" s="1"/>
  <c r="L276" i="3"/>
  <c r="K276" i="3"/>
  <c r="K275" i="3"/>
  <c r="L275" i="3" s="1"/>
  <c r="K274" i="3"/>
  <c r="L274" i="3" s="1"/>
  <c r="J273" i="3"/>
  <c r="I273" i="3"/>
  <c r="G273" i="3"/>
  <c r="K272" i="3"/>
  <c r="L272" i="3" s="1"/>
  <c r="K271" i="3"/>
  <c r="L271" i="3" s="1"/>
  <c r="K270" i="3"/>
  <c r="K273" i="3" s="1"/>
  <c r="J269" i="3"/>
  <c r="I269" i="3"/>
  <c r="G269" i="3"/>
  <c r="L268" i="3"/>
  <c r="K268" i="3"/>
  <c r="K267" i="3"/>
  <c r="L267" i="3" s="1"/>
  <c r="K266" i="3"/>
  <c r="L266" i="3" s="1"/>
  <c r="L265" i="3"/>
  <c r="K265" i="3"/>
  <c r="K269" i="3" s="1"/>
  <c r="J264" i="3"/>
  <c r="I264" i="3"/>
  <c r="G264" i="3"/>
  <c r="K263" i="3"/>
  <c r="L263" i="3" s="1"/>
  <c r="K262" i="3"/>
  <c r="L262" i="3" s="1"/>
  <c r="K261" i="3"/>
  <c r="L261" i="3" s="1"/>
  <c r="K260" i="3"/>
  <c r="K264" i="3" s="1"/>
  <c r="K259" i="3"/>
  <c r="J259" i="3"/>
  <c r="I259" i="3"/>
  <c r="G259" i="3"/>
  <c r="K258" i="3"/>
  <c r="L258" i="3" s="1"/>
  <c r="L257" i="3"/>
  <c r="K257" i="3"/>
  <c r="L256" i="3"/>
  <c r="K256" i="3"/>
  <c r="K255" i="3"/>
  <c r="L255" i="3" s="1"/>
  <c r="K254" i="3"/>
  <c r="L254" i="3" s="1"/>
  <c r="K253" i="3"/>
  <c r="J253" i="3"/>
  <c r="I253" i="3"/>
  <c r="G253" i="3"/>
  <c r="K252" i="3"/>
  <c r="L252" i="3" s="1"/>
  <c r="L251" i="3"/>
  <c r="K251" i="3"/>
  <c r="K250" i="3"/>
  <c r="L250" i="3" s="1"/>
  <c r="J249" i="3"/>
  <c r="I249" i="3"/>
  <c r="G249" i="3"/>
  <c r="L248" i="3"/>
  <c r="K248" i="3"/>
  <c r="K247" i="3"/>
  <c r="K249" i="3" s="1"/>
  <c r="J246" i="3"/>
  <c r="I246" i="3"/>
  <c r="G246" i="3"/>
  <c r="K245" i="3"/>
  <c r="L245" i="3" s="1"/>
  <c r="K244" i="3"/>
  <c r="L244" i="3" s="1"/>
  <c r="K243" i="3"/>
  <c r="K246" i="3" s="1"/>
  <c r="K242" i="3"/>
  <c r="K241" i="3"/>
  <c r="L241" i="3" s="1"/>
  <c r="K240" i="3"/>
  <c r="L240" i="3" s="1"/>
  <c r="J239" i="3"/>
  <c r="I239" i="3"/>
  <c r="G239" i="3"/>
  <c r="K238" i="3"/>
  <c r="L238" i="3" s="1"/>
  <c r="K237" i="3"/>
  <c r="L237" i="3" s="1"/>
  <c r="K236" i="3"/>
  <c r="L236" i="3" s="1"/>
  <c r="K235" i="3"/>
  <c r="L235" i="3" s="1"/>
  <c r="K234" i="3"/>
  <c r="J234" i="3"/>
  <c r="I234" i="3"/>
  <c r="I827" i="3" s="1"/>
  <c r="G234" i="3"/>
  <c r="K233" i="3"/>
  <c r="L233" i="3" s="1"/>
  <c r="K232" i="3"/>
  <c r="L232" i="3" s="1"/>
  <c r="L231" i="3"/>
  <c r="K231" i="3"/>
  <c r="L230" i="3"/>
  <c r="K230" i="3"/>
  <c r="J229" i="3"/>
  <c r="I229" i="3"/>
  <c r="G229" i="3"/>
  <c r="K228" i="3"/>
  <c r="L228" i="3" s="1"/>
  <c r="K227" i="3"/>
  <c r="L227" i="3" s="1"/>
  <c r="K226" i="3"/>
  <c r="L226" i="3" s="1"/>
  <c r="L225" i="3"/>
  <c r="K225" i="3"/>
  <c r="K224" i="3"/>
  <c r="L224" i="3" s="1"/>
  <c r="J223" i="3"/>
  <c r="I223" i="3"/>
  <c r="G223" i="3"/>
  <c r="L222" i="3"/>
  <c r="K222" i="3"/>
  <c r="K221" i="3"/>
  <c r="L221" i="3" s="1"/>
  <c r="K220" i="3"/>
  <c r="L220" i="3" s="1"/>
  <c r="K219" i="3"/>
  <c r="K223" i="3" s="1"/>
  <c r="J218" i="3"/>
  <c r="J827" i="3" s="1"/>
  <c r="I218" i="3"/>
  <c r="G218" i="3"/>
  <c r="L217" i="3"/>
  <c r="K217" i="3"/>
  <c r="K216" i="3"/>
  <c r="L216" i="3" s="1"/>
  <c r="K215" i="3"/>
  <c r="L215" i="3" s="1"/>
  <c r="J213" i="3"/>
  <c r="I213" i="3"/>
  <c r="G213" i="3"/>
  <c r="K212" i="3"/>
  <c r="L212" i="3" s="1"/>
  <c r="K211" i="3"/>
  <c r="L211" i="3" s="1"/>
  <c r="K210" i="3"/>
  <c r="L210" i="3" s="1"/>
  <c r="L209" i="3"/>
  <c r="K209" i="3"/>
  <c r="K208" i="3"/>
  <c r="L208" i="3" s="1"/>
  <c r="J207" i="3"/>
  <c r="I207" i="3"/>
  <c r="G207" i="3"/>
  <c r="L206" i="3"/>
  <c r="K206" i="3"/>
  <c r="K205" i="3"/>
  <c r="L205" i="3" s="1"/>
  <c r="K204" i="3"/>
  <c r="L204" i="3" s="1"/>
  <c r="K203" i="3"/>
  <c r="L203" i="3" s="1"/>
  <c r="K202" i="3"/>
  <c r="K207" i="3" s="1"/>
  <c r="K201" i="3"/>
  <c r="J201" i="3"/>
  <c r="I201" i="3"/>
  <c r="G201" i="3"/>
  <c r="K200" i="3"/>
  <c r="L200" i="3" s="1"/>
  <c r="K199" i="3"/>
  <c r="L199" i="3" s="1"/>
  <c r="J198" i="3"/>
  <c r="I198" i="3"/>
  <c r="G198" i="3"/>
  <c r="K197" i="3"/>
  <c r="K198" i="3" s="1"/>
  <c r="J196" i="3"/>
  <c r="I196" i="3"/>
  <c r="G196" i="3"/>
  <c r="K195" i="3"/>
  <c r="L195" i="3" s="1"/>
  <c r="K194" i="3"/>
  <c r="K196" i="3" s="1"/>
  <c r="K193" i="3"/>
  <c r="J193" i="3"/>
  <c r="I193" i="3"/>
  <c r="G193" i="3"/>
  <c r="K192" i="3"/>
  <c r="L192" i="3" s="1"/>
  <c r="L191" i="3"/>
  <c r="K191" i="3"/>
  <c r="L190" i="3"/>
  <c r="K190" i="3"/>
  <c r="K189" i="3"/>
  <c r="L189" i="3" s="1"/>
  <c r="J188" i="3"/>
  <c r="I188" i="3"/>
  <c r="G188" i="3"/>
  <c r="K187" i="3"/>
  <c r="L187" i="3" s="1"/>
  <c r="K186" i="3"/>
  <c r="K188" i="3" s="1"/>
  <c r="K185" i="3"/>
  <c r="J185" i="3"/>
  <c r="I185" i="3"/>
  <c r="G185" i="3"/>
  <c r="K184" i="3"/>
  <c r="L184" i="3" s="1"/>
  <c r="J183" i="3"/>
  <c r="I183" i="3"/>
  <c r="G183" i="3"/>
  <c r="K182" i="3"/>
  <c r="L182" i="3" s="1"/>
  <c r="K181" i="3"/>
  <c r="L181" i="3" s="1"/>
  <c r="K180" i="3"/>
  <c r="K183" i="3" s="1"/>
  <c r="K179" i="3"/>
  <c r="L179" i="3" s="1"/>
  <c r="K178" i="3"/>
  <c r="J178" i="3"/>
  <c r="I178" i="3"/>
  <c r="G178" i="3"/>
  <c r="K177" i="3"/>
  <c r="L177" i="3" s="1"/>
  <c r="K176" i="3"/>
  <c r="L176" i="3" s="1"/>
  <c r="L175" i="3"/>
  <c r="K175" i="3"/>
  <c r="L174" i="3"/>
  <c r="K174" i="3"/>
  <c r="J173" i="3"/>
  <c r="I173" i="3"/>
  <c r="G173" i="3"/>
  <c r="K172" i="3"/>
  <c r="K173" i="3" s="1"/>
  <c r="J171" i="3"/>
  <c r="I171" i="3"/>
  <c r="G171" i="3"/>
  <c r="L170" i="3"/>
  <c r="K170" i="3"/>
  <c r="K169" i="3"/>
  <c r="L169" i="3" s="1"/>
  <c r="K168" i="3"/>
  <c r="L168" i="3" s="1"/>
  <c r="L167" i="3"/>
  <c r="K167" i="3"/>
  <c r="K171" i="3" s="1"/>
  <c r="L166" i="3"/>
  <c r="K166" i="3"/>
  <c r="J165" i="3"/>
  <c r="I165" i="3"/>
  <c r="G165" i="3"/>
  <c r="K164" i="3"/>
  <c r="L164" i="3" s="1"/>
  <c r="K163" i="3"/>
  <c r="L163" i="3" s="1"/>
  <c r="K162" i="3"/>
  <c r="K165" i="3" s="1"/>
  <c r="K161" i="3"/>
  <c r="J161" i="3"/>
  <c r="I161" i="3"/>
  <c r="G161" i="3"/>
  <c r="K160" i="3"/>
  <c r="L160" i="3" s="1"/>
  <c r="L159" i="3"/>
  <c r="K159" i="3"/>
  <c r="L158" i="3"/>
  <c r="K158" i="3"/>
  <c r="K157" i="3"/>
  <c r="L157" i="3" s="1"/>
  <c r="K156" i="3"/>
  <c r="L156" i="3" s="1"/>
  <c r="K155" i="3"/>
  <c r="J155" i="3"/>
  <c r="I155" i="3"/>
  <c r="G155" i="3"/>
  <c r="K154" i="3"/>
  <c r="L154" i="3" s="1"/>
  <c r="L153" i="3"/>
  <c r="K153" i="3"/>
  <c r="K152" i="3"/>
  <c r="L152" i="3" s="1"/>
  <c r="K151" i="3"/>
  <c r="L151" i="3" s="1"/>
  <c r="L150" i="3"/>
  <c r="K150" i="3"/>
  <c r="K149" i="3"/>
  <c r="J149" i="3"/>
  <c r="I149" i="3"/>
  <c r="G149" i="3"/>
  <c r="K148" i="3"/>
  <c r="L148" i="3" s="1"/>
  <c r="K147" i="3"/>
  <c r="L147" i="3" s="1"/>
  <c r="J146" i="3"/>
  <c r="I146" i="3"/>
  <c r="G146" i="3"/>
  <c r="L145" i="3"/>
  <c r="K145" i="3"/>
  <c r="K146" i="3" s="1"/>
  <c r="J144" i="3"/>
  <c r="I144" i="3"/>
  <c r="G144" i="3"/>
  <c r="L143" i="3"/>
  <c r="K143" i="3"/>
  <c r="L142" i="3"/>
  <c r="K142" i="3"/>
  <c r="K141" i="3"/>
  <c r="L141" i="3" s="1"/>
  <c r="K140" i="3"/>
  <c r="L140" i="3" s="1"/>
  <c r="K139" i="3"/>
  <c r="L139" i="3" s="1"/>
  <c r="K138" i="3"/>
  <c r="L138" i="3" s="1"/>
  <c r="K137" i="3"/>
  <c r="K144" i="3" s="1"/>
  <c r="K136" i="3"/>
  <c r="J136" i="3"/>
  <c r="I136" i="3"/>
  <c r="G136" i="3"/>
  <c r="K135" i="3"/>
  <c r="L135" i="3" s="1"/>
  <c r="L134" i="3"/>
  <c r="K134" i="3"/>
  <c r="L133" i="3"/>
  <c r="K133" i="3"/>
  <c r="K132" i="3"/>
  <c r="L132" i="3" s="1"/>
  <c r="K131" i="3"/>
  <c r="L131" i="3" s="1"/>
  <c r="K130" i="3"/>
  <c r="L130" i="3" s="1"/>
  <c r="K129" i="3"/>
  <c r="L129" i="3" s="1"/>
  <c r="J128" i="3"/>
  <c r="I128" i="3"/>
  <c r="G128" i="3"/>
  <c r="K127" i="3"/>
  <c r="L127" i="3" s="1"/>
  <c r="K126" i="3"/>
  <c r="L126" i="3" s="1"/>
  <c r="L125" i="3"/>
  <c r="K125" i="3"/>
  <c r="L124" i="3"/>
  <c r="K124" i="3"/>
  <c r="K123" i="3"/>
  <c r="L123" i="3" s="1"/>
  <c r="K122" i="3"/>
  <c r="L122" i="3" s="1"/>
  <c r="K121" i="3"/>
  <c r="J121" i="3"/>
  <c r="I121" i="3"/>
  <c r="G121" i="3"/>
  <c r="K120" i="3"/>
  <c r="L120" i="3" s="1"/>
  <c r="L119" i="3"/>
  <c r="K119" i="3"/>
  <c r="K118" i="3"/>
  <c r="L118" i="3" s="1"/>
  <c r="K117" i="3"/>
  <c r="L117" i="3" s="1"/>
  <c r="L116" i="3"/>
  <c r="K116" i="3"/>
  <c r="K115" i="3"/>
  <c r="J115" i="3"/>
  <c r="I115" i="3"/>
  <c r="G115" i="3"/>
  <c r="K114" i="3"/>
  <c r="L114" i="3" s="1"/>
  <c r="K113" i="3"/>
  <c r="L113" i="3" s="1"/>
  <c r="K112" i="3"/>
  <c r="L112" i="3" s="1"/>
  <c r="K111" i="3"/>
  <c r="L111" i="3" s="1"/>
  <c r="K110" i="3"/>
  <c r="J110" i="3"/>
  <c r="I110" i="3"/>
  <c r="G110" i="3"/>
  <c r="K109" i="3"/>
  <c r="L109" i="3" s="1"/>
  <c r="L108" i="3"/>
  <c r="K108" i="3"/>
  <c r="L107" i="3"/>
  <c r="K107" i="3"/>
  <c r="K106" i="3"/>
  <c r="L106" i="3" s="1"/>
  <c r="K105" i="3"/>
  <c r="L105" i="3" s="1"/>
  <c r="K104" i="3"/>
  <c r="J104" i="3"/>
  <c r="I104" i="3"/>
  <c r="G104" i="3"/>
  <c r="K103" i="3"/>
  <c r="L103" i="3" s="1"/>
  <c r="L102" i="3"/>
  <c r="K102" i="3"/>
  <c r="K101" i="3"/>
  <c r="L101" i="3" s="1"/>
  <c r="J100" i="3"/>
  <c r="I100" i="3"/>
  <c r="G100" i="3"/>
  <c r="L99" i="3"/>
  <c r="K99" i="3"/>
  <c r="K98" i="3"/>
  <c r="L98" i="3" s="1"/>
  <c r="K97" i="3"/>
  <c r="L97" i="3" s="1"/>
  <c r="K96" i="3"/>
  <c r="K100" i="3" s="1"/>
  <c r="J95" i="3"/>
  <c r="I95" i="3"/>
  <c r="G95" i="3"/>
  <c r="L94" i="3"/>
  <c r="K94" i="3"/>
  <c r="K93" i="3"/>
  <c r="L93" i="3" s="1"/>
  <c r="K92" i="3"/>
  <c r="L92" i="3" s="1"/>
  <c r="L91" i="3"/>
  <c r="K91" i="3"/>
  <c r="L90" i="3"/>
  <c r="K90" i="3"/>
  <c r="K89" i="3"/>
  <c r="L89" i="3" s="1"/>
  <c r="J88" i="3"/>
  <c r="I88" i="3"/>
  <c r="G88" i="3"/>
  <c r="K87" i="3"/>
  <c r="L87" i="3" s="1"/>
  <c r="K86" i="3"/>
  <c r="K88" i="3" s="1"/>
  <c r="L85" i="3"/>
  <c r="K85" i="3"/>
  <c r="K84" i="3"/>
  <c r="L84" i="3" s="1"/>
  <c r="K83" i="3"/>
  <c r="L83" i="3" s="1"/>
  <c r="L82" i="3"/>
  <c r="K82" i="3"/>
  <c r="K81" i="3"/>
  <c r="J81" i="3"/>
  <c r="I81" i="3"/>
  <c r="G81" i="3"/>
  <c r="K80" i="3"/>
  <c r="L80" i="3" s="1"/>
  <c r="K79" i="3"/>
  <c r="L79" i="3" s="1"/>
  <c r="K78" i="3"/>
  <c r="L78" i="3" s="1"/>
  <c r="K77" i="3"/>
  <c r="L77" i="3" s="1"/>
  <c r="K76" i="3"/>
  <c r="J76" i="3"/>
  <c r="I76" i="3"/>
  <c r="G76" i="3"/>
  <c r="K75" i="3"/>
  <c r="L75" i="3" s="1"/>
  <c r="L74" i="3"/>
  <c r="K74" i="3"/>
  <c r="K73" i="3"/>
  <c r="J73" i="3"/>
  <c r="I73" i="3"/>
  <c r="G73" i="3"/>
  <c r="K72" i="3"/>
  <c r="L72" i="3" s="1"/>
  <c r="K71" i="3"/>
  <c r="L71" i="3" s="1"/>
  <c r="K70" i="3"/>
  <c r="L70" i="3" s="1"/>
  <c r="K69" i="3"/>
  <c r="L69" i="3" s="1"/>
  <c r="L68" i="3"/>
  <c r="K68" i="3"/>
  <c r="K67" i="3"/>
  <c r="L67" i="3" s="1"/>
  <c r="J66" i="3"/>
  <c r="I66" i="3"/>
  <c r="G66" i="3"/>
  <c r="L65" i="3"/>
  <c r="K65" i="3"/>
  <c r="K64" i="3"/>
  <c r="L64" i="3" s="1"/>
  <c r="K63" i="3"/>
  <c r="L63" i="3" s="1"/>
  <c r="K62" i="3"/>
  <c r="L62" i="3" s="1"/>
  <c r="K61" i="3"/>
  <c r="L61" i="3" s="1"/>
  <c r="K60" i="3"/>
  <c r="K66" i="3" s="1"/>
  <c r="K59" i="3"/>
  <c r="J59" i="3"/>
  <c r="I59" i="3"/>
  <c r="G59" i="3"/>
  <c r="K58" i="3"/>
  <c r="L58" i="3" s="1"/>
  <c r="L57" i="3"/>
  <c r="K57" i="3"/>
  <c r="K56" i="3"/>
  <c r="J56" i="3"/>
  <c r="I56" i="3"/>
  <c r="G56" i="3"/>
  <c r="K55" i="3"/>
  <c r="L55" i="3" s="1"/>
  <c r="K54" i="3"/>
  <c r="L54" i="3" s="1"/>
  <c r="J53" i="3"/>
  <c r="I53" i="3"/>
  <c r="G53" i="3"/>
  <c r="L52" i="3"/>
  <c r="K52" i="3"/>
  <c r="K51" i="3"/>
  <c r="L51" i="3" s="1"/>
  <c r="K50" i="3"/>
  <c r="L50" i="3" s="1"/>
  <c r="K49" i="3"/>
  <c r="J49" i="3"/>
  <c r="I49" i="3"/>
  <c r="G49" i="3"/>
  <c r="K48" i="3"/>
  <c r="L48" i="3" s="1"/>
  <c r="J47" i="3"/>
  <c r="I47" i="3"/>
  <c r="G47" i="3"/>
  <c r="K46" i="3"/>
  <c r="L46" i="3" s="1"/>
  <c r="K45" i="3"/>
  <c r="K47" i="3" s="1"/>
  <c r="K44" i="3"/>
  <c r="J44" i="3"/>
  <c r="I44" i="3"/>
  <c r="G44" i="3"/>
  <c r="K43" i="3"/>
  <c r="L43" i="3" s="1"/>
  <c r="L42" i="3"/>
  <c r="K42" i="3"/>
  <c r="K41" i="3"/>
  <c r="J41" i="3"/>
  <c r="I41" i="3"/>
  <c r="G41" i="3"/>
  <c r="K40" i="3"/>
  <c r="L40" i="3" s="1"/>
  <c r="K39" i="3"/>
  <c r="L39" i="3" s="1"/>
  <c r="J38" i="3"/>
  <c r="I38" i="3"/>
  <c r="G38" i="3"/>
  <c r="L37" i="3"/>
  <c r="K37" i="3"/>
  <c r="K36" i="3"/>
  <c r="L36" i="3" s="1"/>
  <c r="K35" i="3"/>
  <c r="L35" i="3" s="1"/>
  <c r="L34" i="3"/>
  <c r="K34" i="3"/>
  <c r="L33" i="3"/>
  <c r="K33" i="3"/>
  <c r="K32" i="3"/>
  <c r="L32" i="3" s="1"/>
  <c r="K31" i="3"/>
  <c r="L31" i="3" s="1"/>
  <c r="K30" i="3"/>
  <c r="J30" i="3"/>
  <c r="I30" i="3"/>
  <c r="G30" i="3"/>
  <c r="K29" i="3"/>
  <c r="L29" i="3" s="1"/>
  <c r="K28" i="3"/>
  <c r="J28" i="3"/>
  <c r="I28" i="3"/>
  <c r="G28" i="3"/>
  <c r="K27" i="3"/>
  <c r="L27" i="3" s="1"/>
  <c r="L26" i="3"/>
  <c r="K26" i="3"/>
  <c r="L25" i="3"/>
  <c r="K25" i="3"/>
  <c r="K24" i="3"/>
  <c r="L24" i="3" s="1"/>
  <c r="K23" i="3"/>
  <c r="L23" i="3" s="1"/>
  <c r="K22" i="3"/>
  <c r="L22" i="3" s="1"/>
  <c r="K21" i="3"/>
  <c r="L21" i="3" s="1"/>
  <c r="J20" i="3"/>
  <c r="I20" i="3"/>
  <c r="G20" i="3"/>
  <c r="K19" i="3"/>
  <c r="L19" i="3" s="1"/>
  <c r="K18" i="3"/>
  <c r="L18" i="3" s="1"/>
  <c r="L17" i="3"/>
  <c r="K17" i="3"/>
  <c r="L16" i="3"/>
  <c r="K16" i="3"/>
  <c r="K15" i="3"/>
  <c r="L15" i="3" s="1"/>
  <c r="J14" i="3"/>
  <c r="I14" i="3"/>
  <c r="G14" i="3"/>
  <c r="K13" i="3"/>
  <c r="L13" i="3" s="1"/>
  <c r="K12" i="3"/>
  <c r="L12" i="3" s="1"/>
  <c r="L11" i="3"/>
  <c r="K11" i="3"/>
  <c r="K10" i="3"/>
  <c r="L10" i="3" s="1"/>
  <c r="K9" i="3"/>
  <c r="L9" i="3" s="1"/>
  <c r="L8" i="3"/>
  <c r="K8" i="3"/>
  <c r="L7" i="3"/>
  <c r="K7" i="3"/>
  <c r="K6" i="3"/>
  <c r="L6" i="3" s="1"/>
  <c r="K5" i="3"/>
  <c r="J5" i="3"/>
  <c r="I5" i="3"/>
  <c r="G5" i="3"/>
  <c r="K4" i="3"/>
  <c r="L4" i="3" s="1"/>
  <c r="K3" i="3"/>
  <c r="J3" i="3"/>
  <c r="J214" i="3" s="1"/>
  <c r="J831" i="3" s="1"/>
  <c r="I3" i="3"/>
  <c r="I214" i="3" s="1"/>
  <c r="G3" i="3"/>
  <c r="G214" i="3" s="1"/>
  <c r="G831" i="3" s="1"/>
  <c r="K2" i="3"/>
  <c r="L2" i="3" s="1"/>
  <c r="H5" i="4" l="1"/>
  <c r="I5" i="4" s="1"/>
  <c r="H77" i="4"/>
  <c r="P77" i="4"/>
  <c r="M15" i="4"/>
  <c r="K63" i="4"/>
  <c r="K82" i="4"/>
  <c r="K83" i="4"/>
  <c r="K84" i="4"/>
  <c r="G827" i="3"/>
  <c r="G842" i="3" s="1"/>
  <c r="J860" i="3"/>
  <c r="K641" i="3"/>
  <c r="L640" i="3"/>
  <c r="J853" i="3"/>
  <c r="J838" i="3"/>
  <c r="K239" i="3"/>
  <c r="K377" i="3"/>
  <c r="K700" i="3"/>
  <c r="L345" i="3"/>
  <c r="L616" i="3"/>
  <c r="L693" i="3"/>
  <c r="L701" i="3"/>
  <c r="L743" i="3"/>
  <c r="L784" i="3"/>
  <c r="L792" i="3"/>
  <c r="L45" i="3"/>
  <c r="L60" i="3"/>
  <c r="L86" i="3"/>
  <c r="K128" i="3"/>
  <c r="L137" i="3"/>
  <c r="L162" i="3"/>
  <c r="L186" i="3"/>
  <c r="L194" i="3"/>
  <c r="L260" i="3"/>
  <c r="L285" i="3"/>
  <c r="K293" i="3"/>
  <c r="L310" i="3"/>
  <c r="L404" i="3"/>
  <c r="L421" i="3"/>
  <c r="L429" i="3"/>
  <c r="L446" i="3"/>
  <c r="K454" i="3"/>
  <c r="L510" i="3"/>
  <c r="L527" i="3"/>
  <c r="L567" i="3"/>
  <c r="L575" i="3"/>
  <c r="K583" i="3"/>
  <c r="K509" i="3"/>
  <c r="L336" i="3"/>
  <c r="L370" i="3"/>
  <c r="L378" i="3"/>
  <c r="L395" i="3"/>
  <c r="K20" i="3"/>
  <c r="L354" i="3"/>
  <c r="K362" i="3"/>
  <c r="L387" i="3"/>
  <c r="K608" i="3"/>
  <c r="L632" i="3"/>
  <c r="L648" i="3"/>
  <c r="K673" i="3"/>
  <c r="K710" i="3"/>
  <c r="K735" i="3"/>
  <c r="K752" i="3"/>
  <c r="L760" i="3"/>
  <c r="K38" i="3"/>
  <c r="K53" i="3"/>
  <c r="K95" i="3"/>
  <c r="K828" i="3" s="1"/>
  <c r="L202" i="3"/>
  <c r="K218" i="3"/>
  <c r="L455" i="3"/>
  <c r="L519" i="3"/>
  <c r="L536" i="3"/>
  <c r="L551" i="3"/>
  <c r="L172" i="3"/>
  <c r="L330" i="3"/>
  <c r="L610" i="3"/>
  <c r="K14" i="3"/>
  <c r="K214" i="3" s="1"/>
  <c r="L440" i="3"/>
  <c r="L684" i="3"/>
  <c r="L96" i="3"/>
  <c r="L180" i="3"/>
  <c r="L219" i="3"/>
  <c r="L270" i="3"/>
  <c r="L295" i="3"/>
  <c r="L414" i="3"/>
  <c r="L560" i="3"/>
  <c r="L364" i="3"/>
  <c r="L658" i="3"/>
  <c r="L720" i="3"/>
  <c r="L737" i="3"/>
  <c r="L754" i="3"/>
  <c r="L544" i="3"/>
  <c r="L585" i="3"/>
  <c r="L322" i="3"/>
  <c r="L712" i="3"/>
  <c r="L778" i="3"/>
  <c r="L811" i="3"/>
  <c r="K213" i="3"/>
  <c r="K229" i="3"/>
  <c r="L247" i="3"/>
  <c r="K466" i="3"/>
  <c r="G828" i="3"/>
  <c r="L197" i="3"/>
  <c r="I828" i="3"/>
  <c r="J828" i="3"/>
  <c r="K85" i="4" l="1"/>
  <c r="K86" i="4" s="1"/>
  <c r="M63" i="4"/>
  <c r="K75" i="4"/>
  <c r="G829" i="3"/>
  <c r="K827" i="3"/>
  <c r="G853" i="3"/>
  <c r="G860" i="3" s="1"/>
  <c r="G850" i="3"/>
  <c r="K842" i="3"/>
  <c r="K77" i="4" l="1"/>
  <c r="M77" i="4" s="1"/>
  <c r="Q77" i="4" s="1"/>
  <c r="M75" i="4"/>
  <c r="Q75" i="4" s="1"/>
</calcChain>
</file>

<file path=xl/sharedStrings.xml><?xml version="1.0" encoding="utf-8"?>
<sst xmlns="http://schemas.openxmlformats.org/spreadsheetml/2006/main" count="4584" uniqueCount="1207">
  <si>
    <t>Datapath</t>
  </si>
  <si>
    <t>P&amp;L MTD with Previous Month Comparison-Final</t>
  </si>
  <si>
    <t>P&amp;L MTD with Previous Month Comparison-Draft</t>
  </si>
  <si>
    <t>Delta</t>
  </si>
  <si>
    <t>Note</t>
  </si>
  <si>
    <t>Reporting Book:</t>
  </si>
  <si>
    <t>ACCRUAL</t>
  </si>
  <si>
    <t>As of Date:</t>
  </si>
  <si>
    <t>08/31/2025</t>
  </si>
  <si>
    <t>Location group:</t>
  </si>
  <si>
    <t>Modesto Fresno Ohio</t>
  </si>
  <si>
    <t xml:space="preserve"> </t>
  </si>
  <si>
    <t>DP California</t>
  </si>
  <si>
    <t>DP Ohio</t>
  </si>
  <si>
    <t>Data Path - All Locations</t>
  </si>
  <si>
    <t>Month Ending</t>
  </si>
  <si>
    <t>Year To Date</t>
  </si>
  <si>
    <t>07/31/2025</t>
  </si>
  <si>
    <t>Footnotes</t>
  </si>
  <si>
    <t>Actual</t>
  </si>
  <si>
    <t>Month Variance</t>
  </si>
  <si>
    <t>Variance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</si>
  <si>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</si>
  <si>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</si>
  <si>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</si>
  <si>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</si>
  <si>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</si>
  <si>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</si>
  <si>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</si>
  <si>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</si>
  <si>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</si>
  <si>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>See Agreement Comparison</t>
  </si>
  <si>
    <t xml:space="preserve">          Monthly Recurring Private Cloud</t>
  </si>
  <si>
    <t xml:space="preserve">          Monthly Recurring Resale</t>
  </si>
  <si>
    <t xml:space="preserve">          Project Services</t>
  </si>
  <si>
    <t xml:space="preserve">          Subcontracted Services</t>
  </si>
  <si>
    <t xml:space="preserve">          Product Sales</t>
  </si>
  <si>
    <t xml:space="preserve">         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</si>
  <si>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</si>
  <si>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</si>
  <si>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</si>
  <si>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>Immaterial</t>
  </si>
  <si>
    <t xml:space="preserve">          Cost of Monthly Recurring Cloud</t>
  </si>
  <si>
    <t xml:space="preserve">          Cost of Monthly Recurring Resale</t>
  </si>
  <si>
    <t xml:space="preserve">          Project Service Costs</t>
  </si>
  <si>
    <t xml:space="preserve">          Subcontractor Service Costs</t>
  </si>
  <si>
    <t xml:space="preserve">          Product Sales Cost</t>
  </si>
  <si>
    <t xml:space="preserve">          IT Project Labor</t>
  </si>
  <si>
    <t>See Payroll Breakdown</t>
  </si>
  <si>
    <t xml:space="preserve">          Direct Labor Costs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</si>
  <si>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</si>
  <si>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</si>
  <si>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</si>
  <si>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</si>
  <si>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</si>
  <si>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</si>
  <si>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</si>
  <si>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</si>
  <si>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</si>
  <si>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</si>
  <si>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</si>
  <si>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</si>
  <si>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</si>
  <si>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>Bill - Citrin Cooperman: Employee Transition, Finance Assessment Transition &amp; Outsourced Services for the Month of August 2025 (To be paid over 2 months - $12,500/month)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</si>
  <si>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</si>
  <si>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</si>
  <si>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</si>
  <si>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</si>
  <si>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</si>
  <si>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</si>
  <si>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</si>
  <si>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Charitable Contributions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</si>
  <si>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</si>
  <si>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</si>
  <si>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</si>
  <si>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  </t>
  </si>
  <si>
    <t xml:space="preserve">            Travel Expenses</t>
  </si>
  <si>
    <t xml:space="preserve">            Meals and Entertainment</t>
  </si>
  <si>
    <t xml:space="preserve">          Total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</si>
  <si>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</si>
  <si>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</si>
  <si>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</si>
  <si>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  Taxes</t>
  </si>
  <si>
    <t xml:space="preserve">        Total Taxes and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</si>
  <si>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</si>
  <si>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</si>
  <si>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</si>
  <si>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</si>
  <si>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</si>
  <si>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Other Income</t>
  </si>
  <si>
    <t>Ticket sales</t>
  </si>
  <si>
    <t xml:space="preserve">      Total Other Income</t>
  </si>
  <si>
    <t xml:space="preserve">      Other Expense</t>
  </si>
  <si>
    <t xml:space="preserve">        Interest Expenses</t>
  </si>
  <si>
    <t xml:space="preserve">        Partnership Expenses</t>
  </si>
  <si>
    <t xml:space="preserve">        Other Expenses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</si>
  <si>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</si>
  <si>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</si>
  <si>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</si>
  <si>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</si>
  <si>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</si>
  <si>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Net Income</t>
  </si>
  <si>
    <t>Created on : 09/25/2025 8:36 AM PDT</t>
  </si>
  <si>
    <t>Foot Note</t>
  </si>
  <si>
    <t>Line</t>
  </si>
  <si>
    <t>Amount Increase</t>
  </si>
  <si>
    <t>Amout Decrease</t>
  </si>
  <si>
    <t>Call And Jensen Retainer</t>
  </si>
  <si>
    <t>Engageware cancled</t>
  </si>
  <si>
    <t>49ers Contribution in July</t>
  </si>
  <si>
    <t>Move partner travel to Partnership Exp</t>
  </si>
  <si>
    <t>Ruckus event costs in Jul</t>
  </si>
  <si>
    <t>Interest on Sales Tax payments for california audit</t>
  </si>
  <si>
    <t>MSA Corp Strategies fee for R&amp;D credits</t>
  </si>
  <si>
    <t>Suite 108 no longer leased</t>
  </si>
  <si>
    <t>Gusto payment for city of Dublin payroll audit</t>
  </si>
  <si>
    <t>Location</t>
  </si>
  <si>
    <t>Customer</t>
  </si>
  <si>
    <t>Agreement Type</t>
  </si>
  <si>
    <t>Agreement Name</t>
  </si>
  <si>
    <t>Invoice Number</t>
  </si>
  <si>
    <t>Invoice Date</t>
  </si>
  <si>
    <t>August Financials</t>
  </si>
  <si>
    <t>August Revenue</t>
  </si>
  <si>
    <t>July Clawback</t>
  </si>
  <si>
    <t>July Financials</t>
  </si>
  <si>
    <t>Difference August - July</t>
  </si>
  <si>
    <t>% Change</t>
  </si>
  <si>
    <t>Notes</t>
  </si>
  <si>
    <t>OH</t>
  </si>
  <si>
    <t>Albert Einstein Academy of Ohio</t>
  </si>
  <si>
    <t>T-Services-MSP</t>
  </si>
  <si>
    <t>179392OH</t>
  </si>
  <si>
    <t>Albert Einstein Academy of Ohio Total</t>
  </si>
  <si>
    <t>Arcanum Butler Local School District</t>
  </si>
  <si>
    <t>179393OH</t>
  </si>
  <si>
    <t>Arcanum Butler Local School District Total</t>
  </si>
  <si>
    <t>Arts and College Preparatory Academy</t>
  </si>
  <si>
    <t>Erate-MIBS-School Percentage</t>
  </si>
  <si>
    <t>Erate-MIBS-School Percentage 25/26</t>
  </si>
  <si>
    <t>179519OH</t>
  </si>
  <si>
    <t>Recurring Resale - MSP</t>
  </si>
  <si>
    <t>Recurring Resale - MSP 2025</t>
  </si>
  <si>
    <t>179394OH</t>
  </si>
  <si>
    <t>Recurring Resale - MSP 23/26</t>
  </si>
  <si>
    <t>Recurring Resale - Security</t>
  </si>
  <si>
    <t>Recurring Resale - Security 2025</t>
  </si>
  <si>
    <t>Recurring Resale - Security 23/26</t>
  </si>
  <si>
    <t>T-Erate-MIBS-USAC Percentage</t>
  </si>
  <si>
    <t>T-Erate-MIBS-USAC Percentage 25/26</t>
  </si>
  <si>
    <t>179498OH</t>
  </si>
  <si>
    <t>USAC in GL</t>
  </si>
  <si>
    <t>T-Services-MSP 2025-Evergreen</t>
  </si>
  <si>
    <t>T-Services-MSP 23/26</t>
  </si>
  <si>
    <t>Arts and College Preparatory Academy Total</t>
  </si>
  <si>
    <t>Caldwell Exempted Village</t>
  </si>
  <si>
    <t>179516OH</t>
  </si>
  <si>
    <t>179517OH</t>
  </si>
  <si>
    <t>179494OH</t>
  </si>
  <si>
    <t>T-Services-MSP 2025 Camera</t>
  </si>
  <si>
    <t>179395OH</t>
  </si>
  <si>
    <t>T-Services-MSP VoIP</t>
  </si>
  <si>
    <t>179396OH</t>
  </si>
  <si>
    <t>Caldwell Exempted Village Total</t>
  </si>
  <si>
    <t>City Day Community School</t>
  </si>
  <si>
    <t>179217OHB</t>
  </si>
  <si>
    <t>179481OH</t>
  </si>
  <si>
    <t>Recurring Resale - MSP 2024/27</t>
  </si>
  <si>
    <t>179397OH</t>
  </si>
  <si>
    <t>Recurring Resale - Security 2024/27</t>
  </si>
  <si>
    <t>179220OHB</t>
  </si>
  <si>
    <t>179479OH</t>
  </si>
  <si>
    <t>Managed Services 2024/27</t>
  </si>
  <si>
    <t>City Day Community School Total</t>
  </si>
  <si>
    <t>Columbus Preparatory Academy</t>
  </si>
  <si>
    <t>Recurring Resale - Microsoft 365 NCE</t>
  </si>
  <si>
    <t>Microsoft 365</t>
  </si>
  <si>
    <t>179442OH</t>
  </si>
  <si>
    <t>Columbus Preparatory Academy Total</t>
  </si>
  <si>
    <t>Cristo Rey High School</t>
  </si>
  <si>
    <t>179525OH</t>
  </si>
  <si>
    <t>Recurring Resale - MSP 25/26</t>
  </si>
  <si>
    <t>179400OH</t>
  </si>
  <si>
    <t>Recurring Resale - Security 25/26</t>
  </si>
  <si>
    <t>179504OH</t>
  </si>
  <si>
    <t>2018/2026 VOIP</t>
  </si>
  <si>
    <t>179398OH</t>
  </si>
  <si>
    <t>T-Services-MSP - Student Device Support 25/26</t>
  </si>
  <si>
    <t>179399OH</t>
  </si>
  <si>
    <t>T-Services-MSP 25/26</t>
  </si>
  <si>
    <t>Cristo Rey High School Total</t>
  </si>
  <si>
    <t>Dayton SMART Elementary</t>
  </si>
  <si>
    <t>179401OH</t>
  </si>
  <si>
    <t>Dayton SMART Elementary Total</t>
  </si>
  <si>
    <t>East Muskingum School District</t>
  </si>
  <si>
    <t>MSP -Recurring Resale</t>
  </si>
  <si>
    <t>179440OH</t>
  </si>
  <si>
    <t>179402OH</t>
  </si>
  <si>
    <t>East Muskingum School District Total</t>
  </si>
  <si>
    <t>Energility LLC</t>
  </si>
  <si>
    <t>179403OH</t>
  </si>
  <si>
    <t>2021/23 MSC</t>
  </si>
  <si>
    <t>Energility LLC Total</t>
  </si>
  <si>
    <t>Explorers Academy of Science and Tech</t>
  </si>
  <si>
    <t>Voice Services 2024/25</t>
  </si>
  <si>
    <t>179438OH</t>
  </si>
  <si>
    <t>Explorers Academy of Science and Tech Total</t>
  </si>
  <si>
    <t>Focus Learning Academy North</t>
  </si>
  <si>
    <t>24/27 Recurring Resale - MSP</t>
  </si>
  <si>
    <t>179404OH</t>
  </si>
  <si>
    <t>24/27 Recurring Resale - Security</t>
  </si>
  <si>
    <t>24/27 T-Services-MSP</t>
  </si>
  <si>
    <t>Focus Learning Academy North Total</t>
  </si>
  <si>
    <t>Focus Learning Academy of Central Col</t>
  </si>
  <si>
    <t>179533OH</t>
  </si>
  <si>
    <t>179512OH</t>
  </si>
  <si>
    <t>Focus Learning Academy of Central Col Total</t>
  </si>
  <si>
    <t>Franklinton High School</t>
  </si>
  <si>
    <t>24/25 Recurring Resale - Security</t>
  </si>
  <si>
    <t>179405OH</t>
  </si>
  <si>
    <t>24/25 T-Services-MSP</t>
  </si>
  <si>
    <t>Franklinton High School Total</t>
  </si>
  <si>
    <t>Global Ambassadors Language Academy</t>
  </si>
  <si>
    <t>179522OH</t>
  </si>
  <si>
    <t>Recurring Resale - MSP 25/27</t>
  </si>
  <si>
    <t>179493OH</t>
  </si>
  <si>
    <t>Recurring Resale - Security 25/27</t>
  </si>
  <si>
    <t>179502OH</t>
  </si>
  <si>
    <t>T-Services-MSP 25/27</t>
  </si>
  <si>
    <t>2023/2025 MSC</t>
  </si>
  <si>
    <t>Global Ambassadors Language Academy Total</t>
  </si>
  <si>
    <t>Holowicki Enterprises</t>
  </si>
  <si>
    <t>Managed Security - Britton Store #35696</t>
  </si>
  <si>
    <t>179407OH</t>
  </si>
  <si>
    <t>Managed Security - Renner Store #11490</t>
  </si>
  <si>
    <t>179408OH</t>
  </si>
  <si>
    <t>Managed Security Avery Store #15746</t>
  </si>
  <si>
    <t>179410OH</t>
  </si>
  <si>
    <t>Managed Security Hillard #2466</t>
  </si>
  <si>
    <t>179411OH</t>
  </si>
  <si>
    <t>Managed Security Marysville #28775</t>
  </si>
  <si>
    <t>179412OH</t>
  </si>
  <si>
    <t>Managed Security West Jefferson Store #22386</t>
  </si>
  <si>
    <t>179409OH</t>
  </si>
  <si>
    <t>Holowicki Enterprises Total</t>
  </si>
  <si>
    <t>Imagine Akron Academy</t>
  </si>
  <si>
    <t>179528OH</t>
  </si>
  <si>
    <t>179507OH</t>
  </si>
  <si>
    <t>Imagine Akron Academy Total</t>
  </si>
  <si>
    <t>Imagine Bella Academy of Excellence</t>
  </si>
  <si>
    <t>179531OH</t>
  </si>
  <si>
    <t>Recurring Resale - Security 2024/25</t>
  </si>
  <si>
    <t>179413OH</t>
  </si>
  <si>
    <t>179510OH</t>
  </si>
  <si>
    <t>T-Services-MSP 2024/2025</t>
  </si>
  <si>
    <t>Imagine Bella Academy of Excellence Total</t>
  </si>
  <si>
    <t>Imagine Columbus Primary Academy</t>
  </si>
  <si>
    <t>179526OH</t>
  </si>
  <si>
    <t>179414OH</t>
  </si>
  <si>
    <t>179505OH</t>
  </si>
  <si>
    <t>Managed Services 24/25</t>
  </si>
  <si>
    <t>Imagine Columbus Primary Academy Total</t>
  </si>
  <si>
    <t>Imagine Great Western Academy</t>
  </si>
  <si>
    <t>179520OH</t>
  </si>
  <si>
    <t>179415OH</t>
  </si>
  <si>
    <t>Recurring Resale - MSP 25/26B</t>
  </si>
  <si>
    <t>179693OHDP</t>
  </si>
  <si>
    <t>Not in GL</t>
  </si>
  <si>
    <t>179730OH</t>
  </si>
  <si>
    <t>179496OH</t>
  </si>
  <si>
    <t>2021/2023 MSC</t>
  </si>
  <si>
    <t>Imagine Great Western Academy Total</t>
  </si>
  <si>
    <t>Imagine Groveport Community School</t>
  </si>
  <si>
    <t>179518OH</t>
  </si>
  <si>
    <t>179416OH</t>
  </si>
  <si>
    <t>179495OH</t>
  </si>
  <si>
    <t>Imagine Groveport Community School Total</t>
  </si>
  <si>
    <t>Imagine Klepinger Rd</t>
  </si>
  <si>
    <t>179417OH</t>
  </si>
  <si>
    <t>Imagine Klepinger Rd Total</t>
  </si>
  <si>
    <t>Imagine Leadership Academy</t>
  </si>
  <si>
    <t>179534OH</t>
  </si>
  <si>
    <t>24/25 Recurring Resale - MSP</t>
  </si>
  <si>
    <t>179418OH</t>
  </si>
  <si>
    <t>179513OH</t>
  </si>
  <si>
    <t>Imagine Leadership Academy Total</t>
  </si>
  <si>
    <t>Imagine Madison Ave</t>
  </si>
  <si>
    <t>179530OH</t>
  </si>
  <si>
    <t>179419OH</t>
  </si>
  <si>
    <t>179509OH</t>
  </si>
  <si>
    <t>Imagine Madison Ave Total</t>
  </si>
  <si>
    <t>Imagine Sullivant</t>
  </si>
  <si>
    <t>179523OH</t>
  </si>
  <si>
    <t>179420OH</t>
  </si>
  <si>
    <t>179501OH</t>
  </si>
  <si>
    <t>Imagine Sullivant Total</t>
  </si>
  <si>
    <t>Invictus HS</t>
  </si>
  <si>
    <t>179532OH</t>
  </si>
  <si>
    <t>179421OH</t>
  </si>
  <si>
    <t>179511OH</t>
  </si>
  <si>
    <t>24 to 27 T-Services-MSP</t>
  </si>
  <si>
    <t>Invictus HS Total</t>
  </si>
  <si>
    <t>LHollingworth</t>
  </si>
  <si>
    <t>Chromebook ADP Managed Services</t>
  </si>
  <si>
    <t>Chromebook ADP Managed Services 24/27</t>
  </si>
  <si>
    <t>179422OH</t>
  </si>
  <si>
    <t>179527OH</t>
  </si>
  <si>
    <t>Recurring Resale - MSP 24/27</t>
  </si>
  <si>
    <t>Recurring Resale - Security 24/27</t>
  </si>
  <si>
    <t>179729OH</t>
  </si>
  <si>
    <t>179506OH</t>
  </si>
  <si>
    <t>Managed Services 24/27</t>
  </si>
  <si>
    <t>LHollingworth Total</t>
  </si>
  <si>
    <t>Luther Memorial</t>
  </si>
  <si>
    <t>180034OH</t>
  </si>
  <si>
    <t>Clawback billing for July 2025</t>
  </si>
  <si>
    <t>180035OH</t>
  </si>
  <si>
    <t>180033OHDP</t>
  </si>
  <si>
    <t>Luther Memorial Total</t>
  </si>
  <si>
    <t>Lutheran High School East</t>
  </si>
  <si>
    <t>179439OH</t>
  </si>
  <si>
    <t>Lutheran High School East Total</t>
  </si>
  <si>
    <t>Miami East Local Schools</t>
  </si>
  <si>
    <t>179515OH</t>
  </si>
  <si>
    <t>179499OH</t>
  </si>
  <si>
    <t>Miami East Local Schools Total</t>
  </si>
  <si>
    <t>Millennium Comm School</t>
  </si>
  <si>
    <t>179476OH</t>
  </si>
  <si>
    <t>179477OH</t>
  </si>
  <si>
    <t>Security Services</t>
  </si>
  <si>
    <t>179436OH</t>
  </si>
  <si>
    <t>2022/2024 MSC</t>
  </si>
  <si>
    <t>179423OH</t>
  </si>
  <si>
    <t>Millennium Comm School Total</t>
  </si>
  <si>
    <t>North Shore High School</t>
  </si>
  <si>
    <t>179524OH</t>
  </si>
  <si>
    <t>179424OH</t>
  </si>
  <si>
    <t>179503OH</t>
  </si>
  <si>
    <t>North Shore High School Total</t>
  </si>
  <si>
    <t>Par Excellence Academy</t>
  </si>
  <si>
    <t>Recurring Resale - MSP 1</t>
  </si>
  <si>
    <t>179425OH</t>
  </si>
  <si>
    <t>Par Excellence Academy Total</t>
  </si>
  <si>
    <t>River Gate HS</t>
  </si>
  <si>
    <t>179529OH</t>
  </si>
  <si>
    <t>179426OH</t>
  </si>
  <si>
    <t>179508OH</t>
  </si>
  <si>
    <t>River Gate HS Total</t>
  </si>
  <si>
    <t>Scheurer Health</t>
  </si>
  <si>
    <t>Blended Services</t>
  </si>
  <si>
    <t>179435OH</t>
  </si>
  <si>
    <t>Scheurer Health Total</t>
  </si>
  <si>
    <t>St John Lutheran Nottingham</t>
  </si>
  <si>
    <t>179427OHB</t>
  </si>
  <si>
    <t>179427OHCR</t>
  </si>
  <si>
    <t>St John Lutheran Nottingham Total</t>
  </si>
  <si>
    <t>St. Adalbert School</t>
  </si>
  <si>
    <t>179521OH</t>
  </si>
  <si>
    <t>School MSC St Adalbert</t>
  </si>
  <si>
    <t>179428OH</t>
  </si>
  <si>
    <t>179497OH</t>
  </si>
  <si>
    <t>St. Adalbert School Total</t>
  </si>
  <si>
    <t>Strasburg-Franklin Local Schools</t>
  </si>
  <si>
    <t>T-Services-MSP Voice Only</t>
  </si>
  <si>
    <t>179429OH</t>
  </si>
  <si>
    <t>Strasburg-Franklin Local Schools Total</t>
  </si>
  <si>
    <t>Sunbridge Schools</t>
  </si>
  <si>
    <t>Recurring Resale - MSP 2024-2025</t>
  </si>
  <si>
    <t>179553OH</t>
  </si>
  <si>
    <t>T-Services-MSP -EG</t>
  </si>
  <si>
    <t>179545OH</t>
  </si>
  <si>
    <t>Sunbridge Schools Total</t>
  </si>
  <si>
    <t>The Richland School of Academic Arts</t>
  </si>
  <si>
    <t>Microsoft 365 NCE</t>
  </si>
  <si>
    <t>179430OH</t>
  </si>
  <si>
    <t>Recurring Resale - MSP 24/26</t>
  </si>
  <si>
    <t>Recurring Resale - Security - 24/26</t>
  </si>
  <si>
    <t>School MSC 24/26</t>
  </si>
  <si>
    <t>The Richland School of Academic Arts Total</t>
  </si>
  <si>
    <t>The Ummah Center</t>
  </si>
  <si>
    <t>179431OH</t>
  </si>
  <si>
    <t>The Ummah Center Total</t>
  </si>
  <si>
    <t>Toledo School for the Arts</t>
  </si>
  <si>
    <t>179437OH</t>
  </si>
  <si>
    <t>Toledo School for the Arts Total</t>
  </si>
  <si>
    <t>Westwood Prep</t>
  </si>
  <si>
    <t>Recurring Resale - SecurityB</t>
  </si>
  <si>
    <t>179432OH</t>
  </si>
  <si>
    <t>Westwood Prep Total</t>
  </si>
  <si>
    <t>Worthington Christian School</t>
  </si>
  <si>
    <t>179514OH</t>
  </si>
  <si>
    <t>179433OH</t>
  </si>
  <si>
    <t>179500OH</t>
  </si>
  <si>
    <t>Worthington Christian School Total</t>
  </si>
  <si>
    <t>Youthbuild Columbus Community</t>
  </si>
  <si>
    <t>179434OH</t>
  </si>
  <si>
    <t>24/26 Recurring Resale - MSP</t>
  </si>
  <si>
    <t>24/26 Recurring Resale - Security</t>
  </si>
  <si>
    <t>24/26 T-Services-MSP</t>
  </si>
  <si>
    <t>24/26 T-Services-MSP B</t>
  </si>
  <si>
    <t>Youthbuild Columbus Community Total</t>
  </si>
  <si>
    <t>OH Total</t>
  </si>
  <si>
    <t>CA</t>
  </si>
  <si>
    <t>24 Hour Home Care</t>
  </si>
  <si>
    <t>179264</t>
  </si>
  <si>
    <t>24 Hour Home Care Total</t>
  </si>
  <si>
    <t>7C Escrow</t>
  </si>
  <si>
    <t>Cloud - Private</t>
  </si>
  <si>
    <t>179668</t>
  </si>
  <si>
    <t>7C Escrow Total</t>
  </si>
  <si>
    <t>Abest Professional Health Care</t>
  </si>
  <si>
    <t>179265</t>
  </si>
  <si>
    <t>Recurring Resale - MSP 2025/27</t>
  </si>
  <si>
    <t>Temp Backups Agreement</t>
  </si>
  <si>
    <t>Recurring Resale - Security 2025/27</t>
  </si>
  <si>
    <t>T-Services-MSP 2024/27</t>
  </si>
  <si>
    <t>Abest Professional Health Care Total</t>
  </si>
  <si>
    <t>ABI Healthcare</t>
  </si>
  <si>
    <t>179266</t>
  </si>
  <si>
    <t>ABI Healthcare Total</t>
  </si>
  <si>
    <t>ABIFI Professional Health Care</t>
  </si>
  <si>
    <t>179267</t>
  </si>
  <si>
    <t>ABIFI Professional Health Care Total</t>
  </si>
  <si>
    <t>Ability Ambeck Mortgage</t>
  </si>
  <si>
    <t>Ability Microsoft 365</t>
  </si>
  <si>
    <t>179268</t>
  </si>
  <si>
    <t>179587DP</t>
  </si>
  <si>
    <t>179690</t>
  </si>
  <si>
    <t>New Agreement</t>
  </si>
  <si>
    <t>Ability - Recurring Resale - Security</t>
  </si>
  <si>
    <t>Ability-Managed</t>
  </si>
  <si>
    <t>Ability Ambeck Mortgage Total</t>
  </si>
  <si>
    <t>Advantage Home Care</t>
  </si>
  <si>
    <t>179269</t>
  </si>
  <si>
    <t>Advantage Home Care Total</t>
  </si>
  <si>
    <t>Agape Corporation  WEB Du</t>
  </si>
  <si>
    <t>179361</t>
  </si>
  <si>
    <t>Agape Corporation  WEB Du Total</t>
  </si>
  <si>
    <t>Agee Construction</t>
  </si>
  <si>
    <t>179362</t>
  </si>
  <si>
    <t>Agee Microsoft 365</t>
  </si>
  <si>
    <t>Agee Construction Total</t>
  </si>
  <si>
    <t>Alliance Services</t>
  </si>
  <si>
    <t>179270</t>
  </si>
  <si>
    <t>Alliance Services Total</t>
  </si>
  <si>
    <t>Ameribest</t>
  </si>
  <si>
    <t>179271</t>
  </si>
  <si>
    <t>Ameribest Total</t>
  </si>
  <si>
    <t>American Institute of Science and Technology</t>
  </si>
  <si>
    <t>179272</t>
  </si>
  <si>
    <t>T-Services-MSP 24/27</t>
  </si>
  <si>
    <t>American Institute of Science and Technology Total</t>
  </si>
  <si>
    <t>Anonymous LLC</t>
  </si>
  <si>
    <t>Anonymous Cloud Services</t>
  </si>
  <si>
    <t>179682</t>
  </si>
  <si>
    <t>Anonymous LLC Total</t>
  </si>
  <si>
    <t>Applegate Teeples Drilling</t>
  </si>
  <si>
    <t>179273</t>
  </si>
  <si>
    <t>Applegate Teeples Drilling Total</t>
  </si>
  <si>
    <t>ATD Home Health Agency, INC</t>
  </si>
  <si>
    <t>179274</t>
  </si>
  <si>
    <t>ATD Home Health Agency, INC Total</t>
  </si>
  <si>
    <t>Aweta - Americas</t>
  </si>
  <si>
    <t>179363</t>
  </si>
  <si>
    <t>T-Services-Security</t>
  </si>
  <si>
    <t>Aweta - Americas Total</t>
  </si>
  <si>
    <t>Big Valley Grace Community Church</t>
  </si>
  <si>
    <t>179275</t>
  </si>
  <si>
    <t>Big Valley Grace Community Church Total</t>
  </si>
  <si>
    <t>Borba Farms Partners</t>
  </si>
  <si>
    <t>179364</t>
  </si>
  <si>
    <t>Borba Farms Partners Total</t>
  </si>
  <si>
    <t>Caloy Company LLC</t>
  </si>
  <si>
    <t>179276</t>
  </si>
  <si>
    <t>Caloy Microsoft 365</t>
  </si>
  <si>
    <t>Caloy-Managed</t>
  </si>
  <si>
    <t>Caloy Company LLC Total</t>
  </si>
  <si>
    <t>Capital Financial Consultants Group</t>
  </si>
  <si>
    <t>Capital Financial Cloud Services</t>
  </si>
  <si>
    <t>179669</t>
  </si>
  <si>
    <t>179643DP</t>
  </si>
  <si>
    <t>GL does not include this invoice</t>
  </si>
  <si>
    <t>179670</t>
  </si>
  <si>
    <t>179671</t>
  </si>
  <si>
    <t>Capital Financial Consultants Group Total</t>
  </si>
  <si>
    <t>Carmel Unified School District</t>
  </si>
  <si>
    <t>179277</t>
  </si>
  <si>
    <t>Carmel Unified School District Total</t>
  </si>
  <si>
    <t>Central Valley Pain Management</t>
  </si>
  <si>
    <t>179278</t>
  </si>
  <si>
    <t>CV Pain Management Managed Services</t>
  </si>
  <si>
    <t>Central Valley Pain Management Total</t>
  </si>
  <si>
    <t>Chatom Union School District</t>
  </si>
  <si>
    <t>179279</t>
  </si>
  <si>
    <t>Chatom Union School District Total</t>
  </si>
  <si>
    <t>Choice Home Care</t>
  </si>
  <si>
    <t>179280</t>
  </si>
  <si>
    <t>Choice Home Care Total</t>
  </si>
  <si>
    <t>Circle of Life - First Nations - Soaring Eagles</t>
  </si>
  <si>
    <t>179281</t>
  </si>
  <si>
    <t>Managed Services</t>
  </si>
  <si>
    <t>Circle of Life - First Nations - Soaring Eagles Total</t>
  </si>
  <si>
    <t>City of Atwater</t>
  </si>
  <si>
    <t>City of Atwater Microsoft 365</t>
  </si>
  <si>
    <t>179283</t>
  </si>
  <si>
    <t>Managed Office 365 Backups</t>
  </si>
  <si>
    <t>179286</t>
  </si>
  <si>
    <t>179282</t>
  </si>
  <si>
    <t>Recurring Resale - MSP - Mimecast</t>
  </si>
  <si>
    <t>179285</t>
  </si>
  <si>
    <t>179284</t>
  </si>
  <si>
    <t>City of Atwater Managed Service</t>
  </si>
  <si>
    <t>T-Services-MSP - Managed Services</t>
  </si>
  <si>
    <t>179287</t>
  </si>
  <si>
    <t>City of Atwater Total</t>
  </si>
  <si>
    <t>City of Firebaugh</t>
  </si>
  <si>
    <t>Cloud - Private 2025</t>
  </si>
  <si>
    <t>179365</t>
  </si>
  <si>
    <t>T-Services-MSP 2025</t>
  </si>
  <si>
    <t>City of Firebaugh Total</t>
  </si>
  <si>
    <t>City of Mendota</t>
  </si>
  <si>
    <t>179288</t>
  </si>
  <si>
    <t>T-Services-MSP 25/28</t>
  </si>
  <si>
    <t>City of Mendota Total</t>
  </si>
  <si>
    <t>City of Selma</t>
  </si>
  <si>
    <t>179366</t>
  </si>
  <si>
    <t>Recurring Resale - MSP 2024/2027</t>
  </si>
  <si>
    <t>179367</t>
  </si>
  <si>
    <t>Recurring Resale - Security 2024/2027</t>
  </si>
  <si>
    <t>T-Services-MSP 2024/2027</t>
  </si>
  <si>
    <t>City of Selma Total</t>
  </si>
  <si>
    <t>Collectibles Management Resources</t>
  </si>
  <si>
    <t>Private Cloud Services</t>
  </si>
  <si>
    <t>179368</t>
  </si>
  <si>
    <t>Collectibles Management Microsoft 365</t>
  </si>
  <si>
    <t>Collectibles Management Support360</t>
  </si>
  <si>
    <t>Collectibles Management Resources Total</t>
  </si>
  <si>
    <t>Community Action Partnership of Madera Co</t>
  </si>
  <si>
    <t>179372</t>
  </si>
  <si>
    <t>179370</t>
  </si>
  <si>
    <t>179371</t>
  </si>
  <si>
    <t>179369</t>
  </si>
  <si>
    <t>Community Action Partnership of Madera Co Total</t>
  </si>
  <si>
    <t>Cranbrook Group Inc.</t>
  </si>
  <si>
    <t>179289B</t>
  </si>
  <si>
    <t>Cranbrook Group Inc. Total</t>
  </si>
  <si>
    <t>Daniel, Towle and Warkentine CPA</t>
  </si>
  <si>
    <t>179373</t>
  </si>
  <si>
    <t>Daniel, Towle and Warkentine CPA Total</t>
  </si>
  <si>
    <t>DeHart Plumbing, Heating &amp; Air, Inc.</t>
  </si>
  <si>
    <t>DeHart Microsoft 365</t>
  </si>
  <si>
    <t>179290</t>
  </si>
  <si>
    <t>179291</t>
  </si>
  <si>
    <t>DeHart Plumbing, Heating &amp; Air, Inc. Total</t>
  </si>
  <si>
    <t>Del Puerto Health Care District</t>
  </si>
  <si>
    <t>Del Puerto Microsoft 365</t>
  </si>
  <si>
    <t>179292</t>
  </si>
  <si>
    <t>Del Puerto-Managed</t>
  </si>
  <si>
    <t>Del Puerto Security Services</t>
  </si>
  <si>
    <t>Del Puerto Health Care District Total</t>
  </si>
  <si>
    <t>Dependable Home Health Care</t>
  </si>
  <si>
    <t>179293</t>
  </si>
  <si>
    <t>Dependable Home Health Care Total</t>
  </si>
  <si>
    <t>Devoted Guardians</t>
  </si>
  <si>
    <t>179294</t>
  </si>
  <si>
    <t>Devoted Guardians Total</t>
  </si>
  <si>
    <t>DiMare</t>
  </si>
  <si>
    <t>Cloud - Private 25/28</t>
  </si>
  <si>
    <t>179295</t>
  </si>
  <si>
    <t>Recurring Resale - MSP 25/28</t>
  </si>
  <si>
    <t>Recurring Resale - Security 25/28</t>
  </si>
  <si>
    <t>DiMare Total</t>
  </si>
  <si>
    <t>Diversified Machining &amp; Fabrication</t>
  </si>
  <si>
    <t>179296</t>
  </si>
  <si>
    <t>Diversified Machining &amp; Fabrication Total</t>
  </si>
  <si>
    <t>Duarte Nursery</t>
  </si>
  <si>
    <t>Duarte Microsoft 365</t>
  </si>
  <si>
    <t>179297</t>
  </si>
  <si>
    <t>Duarte Nursery Total</t>
  </si>
  <si>
    <t>Dust Bowl Brewing Company</t>
  </si>
  <si>
    <t>Dustbowl Microsoft 365</t>
  </si>
  <si>
    <t>179298</t>
  </si>
  <si>
    <t>Dust Bowl Brewing Company Total</t>
  </si>
  <si>
    <t>Eastern Sierra USD</t>
  </si>
  <si>
    <t>179299B</t>
  </si>
  <si>
    <t>Eastern Sierra USD Total</t>
  </si>
  <si>
    <t>Empire Union School District</t>
  </si>
  <si>
    <t>179491</t>
  </si>
  <si>
    <t>Recurring Resale - MSP 25/26 B</t>
  </si>
  <si>
    <t>179536B</t>
  </si>
  <si>
    <t>179492</t>
  </si>
  <si>
    <t>Empire Union School District Total</t>
  </si>
  <si>
    <t>Fabricated Extrusion Company</t>
  </si>
  <si>
    <t>24/27 Cloud - Private</t>
  </si>
  <si>
    <t>179303</t>
  </si>
  <si>
    <t>179302</t>
  </si>
  <si>
    <t>Fabricated Extrusion Company Total</t>
  </si>
  <si>
    <t>Field Van, Inc</t>
  </si>
  <si>
    <t>179374</t>
  </si>
  <si>
    <t>Field Van, Inc Total</t>
  </si>
  <si>
    <t>Fiscalini Farmstead</t>
  </si>
  <si>
    <t>179304</t>
  </si>
  <si>
    <t>Fiscalini Farmstead Total</t>
  </si>
  <si>
    <t>Formulation Technology, Inc.</t>
  </si>
  <si>
    <t>Formulation Tech Microsoft 365</t>
  </si>
  <si>
    <t>179305</t>
  </si>
  <si>
    <t>Formation-Managed</t>
  </si>
  <si>
    <t>Formulation Technology, Inc. Total</t>
  </si>
  <si>
    <t>Fortune-Ratliff General Contractors, Inc.</t>
  </si>
  <si>
    <t>179375</t>
  </si>
  <si>
    <t>Fortune-Ratliff General Contractors, Inc. Total</t>
  </si>
  <si>
    <t>Free Wheelchair Mission</t>
  </si>
  <si>
    <t>179672</t>
  </si>
  <si>
    <t>Free Wheelchair Mission Total</t>
  </si>
  <si>
    <t>Gill Ranch Storage, LLC</t>
  </si>
  <si>
    <t>179376</t>
  </si>
  <si>
    <t>Gill Ranch Storage, LLC Total</t>
  </si>
  <si>
    <t>Graceada Partners</t>
  </si>
  <si>
    <t>Microsoft 365 - 520-530 9th Street</t>
  </si>
  <si>
    <t>179556</t>
  </si>
  <si>
    <t>Microsoft 365 - Carson Aire</t>
  </si>
  <si>
    <t>179549</t>
  </si>
  <si>
    <t>Microsoft 365 - Cedar Oaks</t>
  </si>
  <si>
    <t>179552</t>
  </si>
  <si>
    <t>Microsoft 365 - College Park</t>
  </si>
  <si>
    <t>179554</t>
  </si>
  <si>
    <t>Microsoft 365 - La Loma</t>
  </si>
  <si>
    <t>179555</t>
  </si>
  <si>
    <t>Microsoft 365 - Main</t>
  </si>
  <si>
    <t>179544</t>
  </si>
  <si>
    <t>Microsoft 365 - Stoneybrook</t>
  </si>
  <si>
    <t>179548</t>
  </si>
  <si>
    <t>Microsoft 365 - Sundance</t>
  </si>
  <si>
    <t>179557</t>
  </si>
  <si>
    <t>Microsoft 365 - The Lofts</t>
  </si>
  <si>
    <t>179546</t>
  </si>
  <si>
    <t>Microsoft 365 - Tyner Ranch</t>
  </si>
  <si>
    <t>179547</t>
  </si>
  <si>
    <t>Microsoft 365 - Vantage Point</t>
  </si>
  <si>
    <t>179550</t>
  </si>
  <si>
    <t>Microsoft 365 - Willows</t>
  </si>
  <si>
    <t>179551</t>
  </si>
  <si>
    <t>Recurring Resale - Microsoft 365 NCE - Sherwood Manor</t>
  </si>
  <si>
    <t>179559</t>
  </si>
  <si>
    <t>Recurring Resale - Microsoft 365 NCE 17th Place Townhomes</t>
  </si>
  <si>
    <t>179558</t>
  </si>
  <si>
    <t>Recurring Resale - MSP - Carson Aire</t>
  </si>
  <si>
    <t>Recurring Resale - MSP - Cedar Oaks Apartments</t>
  </si>
  <si>
    <t>Recurring Resale - MSP - Main</t>
  </si>
  <si>
    <t>Recurring Resale - MSP - The Willows</t>
  </si>
  <si>
    <t>Recurring Resale - MSP - Tyner Ranch</t>
  </si>
  <si>
    <t>Recurring Resale - MSP -Stoneybrook Apartments</t>
  </si>
  <si>
    <t>Recurring Resale - MSP -The Lofts</t>
  </si>
  <si>
    <t>Recurring Resale - MSP -Vantage Point Apartments</t>
  </si>
  <si>
    <t>Recurring Resale - Security - Carson Aire</t>
  </si>
  <si>
    <t>Recurring Resale - Security - Main</t>
  </si>
  <si>
    <t>Recurring Resale - Security - The Lofts</t>
  </si>
  <si>
    <t>Recurring Resale - Security - Tyner Ranch</t>
  </si>
  <si>
    <t>Recurring Resale - Security - Vantage Point Apartments</t>
  </si>
  <si>
    <t>Recurring Resale - Security -Cedar Oaks Apartments</t>
  </si>
  <si>
    <t>Recurring Resale - Security -Stoneybrook Apartments</t>
  </si>
  <si>
    <t>Recurring Resale - Security -the Willows</t>
  </si>
  <si>
    <t>T-Services-MSP - Carson Aire</t>
  </si>
  <si>
    <t>T-Services-MSP - Cedar Oaks Apartments</t>
  </si>
  <si>
    <t>T-Services-MSP - Main</t>
  </si>
  <si>
    <t>T-Services-MSP -Stoneybrook Apartments</t>
  </si>
  <si>
    <t>T-Services-MSP -The Willows</t>
  </si>
  <si>
    <t>T-Services-MSP -Tyner Ranch</t>
  </si>
  <si>
    <t>T-Services-MSP -Vantage Point Apartments</t>
  </si>
  <si>
    <t>T-Services-MSP-The Lofts</t>
  </si>
  <si>
    <t>Graceada Partners Total</t>
  </si>
  <si>
    <t>Gratton Elementary School District</t>
  </si>
  <si>
    <t>179306</t>
  </si>
  <si>
    <t>T-Services-MSP 2025/2028</t>
  </si>
  <si>
    <t>Gratton Elementary School District Total</t>
  </si>
  <si>
    <t>Hall Management Corp</t>
  </si>
  <si>
    <t>Cloud - Private 2025/28</t>
  </si>
  <si>
    <t>179377</t>
  </si>
  <si>
    <t>Recurring Resale - MSP 2025/28</t>
  </si>
  <si>
    <t>Recurring Resale - Security 2025/28</t>
  </si>
  <si>
    <t>T-Services-MSP 2025/28</t>
  </si>
  <si>
    <t>Hall Management Corp Total</t>
  </si>
  <si>
    <t>Hercules OEM Group</t>
  </si>
  <si>
    <t>Hercules Cloud - Private</t>
  </si>
  <si>
    <t>179673</t>
  </si>
  <si>
    <t>Hercules OEM Group Microsoft 365</t>
  </si>
  <si>
    <t>All Seals Intermedia</t>
  </si>
  <si>
    <t>Hercules OEM Group Managed Services</t>
  </si>
  <si>
    <t>Hercules OEM Group Total</t>
  </si>
  <si>
    <t>HHHC</t>
  </si>
  <si>
    <t>179307</t>
  </si>
  <si>
    <t>HHHC Total</t>
  </si>
  <si>
    <t>Horizon Nut Company</t>
  </si>
  <si>
    <t>Horizon Nut Microsoft 365</t>
  </si>
  <si>
    <t>179308</t>
  </si>
  <si>
    <t>Horizon Nut Managed Services</t>
  </si>
  <si>
    <t>Horizon Nut Company Total</t>
  </si>
  <si>
    <t>Impact Home Health</t>
  </si>
  <si>
    <t>179309</t>
  </si>
  <si>
    <t>Impact Home Health Total</t>
  </si>
  <si>
    <t>Inland Star Distribution Center - Carson</t>
  </si>
  <si>
    <t>Inland CARSON - Managed Service - NO End User Support</t>
  </si>
  <si>
    <t>179378</t>
  </si>
  <si>
    <t>Inland Star Distribution Center - Carson Total</t>
  </si>
  <si>
    <t>Inland Star Distribution Center - Corporate</t>
  </si>
  <si>
    <t>Inland CORPORATE - Managed Service - NO End User Support</t>
  </si>
  <si>
    <t>179379</t>
  </si>
  <si>
    <t>Inland Star Distribution Center - Corporate Total</t>
  </si>
  <si>
    <t>Inland Star Distribution Center - Fresno</t>
  </si>
  <si>
    <t>179380</t>
  </si>
  <si>
    <t>Inland Star - Managed Service - NO End User Support</t>
  </si>
  <si>
    <t>Inland Star Distribution Center - Fresno Total</t>
  </si>
  <si>
    <t>Inland Star Distribution Center - Visalia</t>
  </si>
  <si>
    <t>Inland Visalia Managed Service - NO End User Support</t>
  </si>
  <si>
    <t>179381</t>
  </si>
  <si>
    <t>Inland Star Distribution Center - Visalia Total</t>
  </si>
  <si>
    <t>Inteli-care LLC</t>
  </si>
  <si>
    <t>179310</t>
  </si>
  <si>
    <t>Inteli-care LLC Total</t>
  </si>
  <si>
    <t>JEM Management Corporation</t>
  </si>
  <si>
    <t>JEM Microsoft 365</t>
  </si>
  <si>
    <t>179382</t>
  </si>
  <si>
    <t>JEM Management Support360</t>
  </si>
  <si>
    <t>JEM Management Corporation Total</t>
  </si>
  <si>
    <t>John Potter Specialty Foods, Inc.</t>
  </si>
  <si>
    <t>179311</t>
  </si>
  <si>
    <t>John Potter Microsoft 365</t>
  </si>
  <si>
    <t>John Potter Specialty Foods, Inc. Total</t>
  </si>
  <si>
    <t>Kaplan &amp; Trombi</t>
  </si>
  <si>
    <t>179674</t>
  </si>
  <si>
    <t>Kaplan &amp; Trombi Total</t>
  </si>
  <si>
    <t>Keen Care</t>
  </si>
  <si>
    <t>179312</t>
  </si>
  <si>
    <t>Keen Care Total</t>
  </si>
  <si>
    <t>Keyes Union School District</t>
  </si>
  <si>
    <t>179314</t>
  </si>
  <si>
    <t>Keyes USD-Managed</t>
  </si>
  <si>
    <t>179313</t>
  </si>
  <si>
    <t>Keyes Union School District Total</t>
  </si>
  <si>
    <t>Laguna Tools</t>
  </si>
  <si>
    <t>Laguna Tools Cloud Services</t>
  </si>
  <si>
    <t>179675</t>
  </si>
  <si>
    <t>Laguna Tools Microsoft 365</t>
  </si>
  <si>
    <t>Laguna Tools Total</t>
  </si>
  <si>
    <t>Life Improvement Homecare, Inc.</t>
  </si>
  <si>
    <t>Recurring Resale - Microsoft 365 NCE - Monthly</t>
  </si>
  <si>
    <t>179316</t>
  </si>
  <si>
    <t>179315</t>
  </si>
  <si>
    <t>Life Improvement Homecare, Inc. Total</t>
  </si>
  <si>
    <t>Line-Mobility</t>
  </si>
  <si>
    <t>179317</t>
  </si>
  <si>
    <t>Line-Mobility Total</t>
  </si>
  <si>
    <t>Linwood Engineering Associates</t>
  </si>
  <si>
    <t>179683</t>
  </si>
  <si>
    <t>Linwood Engineering Associates Total</t>
  </si>
  <si>
    <t>Lucia Mar Unified School District</t>
  </si>
  <si>
    <t>179319</t>
  </si>
  <si>
    <t>VOIP Support</t>
  </si>
  <si>
    <t>179318</t>
  </si>
  <si>
    <t>Lucia Mar Unified School District Total</t>
  </si>
  <si>
    <t>Madera County Transportation Commission</t>
  </si>
  <si>
    <t>179383</t>
  </si>
  <si>
    <t>Madera County Transportation Microsoft 365</t>
  </si>
  <si>
    <t>Madera Transport Support360</t>
  </si>
  <si>
    <t>Madera County Transportation Commission Total</t>
  </si>
  <si>
    <t>MedTech Billing Services</t>
  </si>
  <si>
    <t>Microsoft NCE</t>
  </si>
  <si>
    <t>179321</t>
  </si>
  <si>
    <t>179320</t>
  </si>
  <si>
    <t>MedTech Billing Services Total</t>
  </si>
  <si>
    <t>Modiv</t>
  </si>
  <si>
    <t>179676</t>
  </si>
  <si>
    <t>MODIV Managed IT  month to month</t>
  </si>
  <si>
    <t>Modiv Total</t>
  </si>
  <si>
    <t>Monte Vista Small Animal Hospital</t>
  </si>
  <si>
    <t>179322</t>
  </si>
  <si>
    <t>Monte Vista Small Animal Hospital Total</t>
  </si>
  <si>
    <t>Newman-Crows Landing USD</t>
  </si>
  <si>
    <t>179324</t>
  </si>
  <si>
    <t>179323</t>
  </si>
  <si>
    <t>Newman-Crows Landing USD Total</t>
  </si>
  <si>
    <t>Nyansa Learning Corporation</t>
  </si>
  <si>
    <t>179677</t>
  </si>
  <si>
    <t>Nyansa Learning Corporation Total</t>
  </si>
  <si>
    <t>Oliveira Wealth</t>
  </si>
  <si>
    <t>179325</t>
  </si>
  <si>
    <t>Oliveira Wealth Total</t>
  </si>
  <si>
    <t>Orange County Human Relations</t>
  </si>
  <si>
    <t>179678</t>
  </si>
  <si>
    <t>Orange County Human Relations Total</t>
  </si>
  <si>
    <t>Panoche Energy Center</t>
  </si>
  <si>
    <t>179384</t>
  </si>
  <si>
    <t>Panoche Energy Center Total</t>
  </si>
  <si>
    <t>Pasco</t>
  </si>
  <si>
    <t>179326</t>
  </si>
  <si>
    <t>179327</t>
  </si>
  <si>
    <t>Credit for April-Jun Firewall Count off</t>
  </si>
  <si>
    <t>Credit for April to Jun Cound update</t>
  </si>
  <si>
    <t>Pasco Total</t>
  </si>
  <si>
    <t>Peak Real Estate Management LLC</t>
  </si>
  <si>
    <t>179679</t>
  </si>
  <si>
    <t>Peak Real Estate Management LLC Total</t>
  </si>
  <si>
    <t>Pearl's Hope</t>
  </si>
  <si>
    <t>179328</t>
  </si>
  <si>
    <t>Pearl's Hope Total</t>
  </si>
  <si>
    <t>PeopleCare Health Services</t>
  </si>
  <si>
    <t>179329</t>
  </si>
  <si>
    <t>PeopleCare Health Services Total</t>
  </si>
  <si>
    <t>Primetime Escrow</t>
  </si>
  <si>
    <t>179680</t>
  </si>
  <si>
    <t>Primetime Escrow Total</t>
  </si>
  <si>
    <t>Project Hope Alliance</t>
  </si>
  <si>
    <t>179684</t>
  </si>
  <si>
    <t>179684B</t>
  </si>
  <si>
    <t>179681C</t>
  </si>
  <si>
    <t>179681</t>
  </si>
  <si>
    <t>Project Hope Alliance Total</t>
  </si>
  <si>
    <t>Quality Home Services</t>
  </si>
  <si>
    <t>179385</t>
  </si>
  <si>
    <t>Quality Home Services Total</t>
  </si>
  <si>
    <t>REMAX Executive</t>
  </si>
  <si>
    <t>Remax Microsoft 365</t>
  </si>
  <si>
    <t>179330</t>
  </si>
  <si>
    <t>REMAX - Managed Services</t>
  </si>
  <si>
    <t>REMAX Executive Total</t>
  </si>
  <si>
    <t>River Delta USD</t>
  </si>
  <si>
    <t>179331</t>
  </si>
  <si>
    <t>179332</t>
  </si>
  <si>
    <t>River Delta-Managed</t>
  </si>
  <si>
    <t>River Delta USD Total</t>
  </si>
  <si>
    <t>Rizo Lopez Foods</t>
  </si>
  <si>
    <t>179538</t>
  </si>
  <si>
    <t>New Agreeement</t>
  </si>
  <si>
    <t>Rizo Foods-Managed</t>
  </si>
  <si>
    <t>Rizo Lopez Foods Total</t>
  </si>
  <si>
    <t>Rumiano Cheese Company</t>
  </si>
  <si>
    <t>179334</t>
  </si>
  <si>
    <t>Rumiano Cheese Company Total</t>
  </si>
  <si>
    <t>Samaritan Village</t>
  </si>
  <si>
    <t>179335</t>
  </si>
  <si>
    <t>Samaritan Managed Services</t>
  </si>
  <si>
    <t>Samaritan Village Total</t>
  </si>
  <si>
    <t>Sargent &amp; Bryan, Inc</t>
  </si>
  <si>
    <t>179336</t>
  </si>
  <si>
    <t>Sargent &amp; Bryan Support360</t>
  </si>
  <si>
    <t>Sargent &amp; Bryan, Inc Total</t>
  </si>
  <si>
    <t>Satake USA</t>
  </si>
  <si>
    <t>179337</t>
  </si>
  <si>
    <t>Satake USA Total</t>
  </si>
  <si>
    <t>Sconza Candy Company</t>
  </si>
  <si>
    <t>179338</t>
  </si>
  <si>
    <t>Sconza Candy Managed Services</t>
  </si>
  <si>
    <t>Sconza Candy Company Total</t>
  </si>
  <si>
    <t>Shiloh Elementary School District</t>
  </si>
  <si>
    <t>179339</t>
  </si>
  <si>
    <t>Shiloh-Managed</t>
  </si>
  <si>
    <t>Shiloh Elementary School District Total</t>
  </si>
  <si>
    <t>Spring Creek Golf &amp; Country Club</t>
  </si>
  <si>
    <t>Spring Creek Microsoft 365</t>
  </si>
  <si>
    <t>179340</t>
  </si>
  <si>
    <t>Spring Creek-Managed</t>
  </si>
  <si>
    <t>Spring Creek Golf &amp; Country Club Total</t>
  </si>
  <si>
    <t>St Lukes Family Practice</t>
  </si>
  <si>
    <t>St. Luke's Family Practice Microsoft 365</t>
  </si>
  <si>
    <t>179341</t>
  </si>
  <si>
    <t>St Lukes-Managed</t>
  </si>
  <si>
    <t>St. Lukes Security Services</t>
  </si>
  <si>
    <t>St Lukes Family Practice Total</t>
  </si>
  <si>
    <t>Stanislaus Union School District</t>
  </si>
  <si>
    <t>Backups</t>
  </si>
  <si>
    <t>179344</t>
  </si>
  <si>
    <t>Remote Software</t>
  </si>
  <si>
    <t>179342</t>
  </si>
  <si>
    <t>179345</t>
  </si>
  <si>
    <t>MSA Stanislaus USD</t>
  </si>
  <si>
    <t>179343</t>
  </si>
  <si>
    <t>Stanislaus Union School District Total</t>
  </si>
  <si>
    <t>Stewart &amp; Jasper</t>
  </si>
  <si>
    <t>Microsoft 365 NCE - Jasper Foods</t>
  </si>
  <si>
    <t>179346</t>
  </si>
  <si>
    <t>Stewart &amp; Jasper Microsoft 365</t>
  </si>
  <si>
    <t>Stewart &amp; Jasper Total</t>
  </si>
  <si>
    <t>SVH Law</t>
  </si>
  <si>
    <t>179347</t>
  </si>
  <si>
    <t>SVH Law Total</t>
  </si>
  <si>
    <t>Sylvan Union School District</t>
  </si>
  <si>
    <t>179350</t>
  </si>
  <si>
    <t>179349</t>
  </si>
  <si>
    <t>2525Sylvan VOIP Managed</t>
  </si>
  <si>
    <t>179348</t>
  </si>
  <si>
    <t>Sylvan Union Security</t>
  </si>
  <si>
    <t>Sylvan Union School District Total</t>
  </si>
  <si>
    <t>TCB Industrial</t>
  </si>
  <si>
    <t>179352</t>
  </si>
  <si>
    <t>179351</t>
  </si>
  <si>
    <t>TCB Industrial Total</t>
  </si>
  <si>
    <t>Team Risk Management Strategies</t>
  </si>
  <si>
    <t>179353</t>
  </si>
  <si>
    <t>Team Risk Management Strategies Total</t>
  </si>
  <si>
    <t>Terra Linda Farms</t>
  </si>
  <si>
    <t>179386</t>
  </si>
  <si>
    <t>Terra Linda Farms Total</t>
  </si>
  <si>
    <t>Trumark Companies</t>
  </si>
  <si>
    <t>Trumark Companies Cloud Services</t>
  </si>
  <si>
    <t>Trumark Companies Total</t>
  </si>
  <si>
    <t>United Way of Stanislaus County</t>
  </si>
  <si>
    <t>179354</t>
  </si>
  <si>
    <t>United Way of Stanislaus County Total</t>
  </si>
  <si>
    <t>Valley Iron</t>
  </si>
  <si>
    <t>Recurring Resale - Microsoft 365 NCE 25/26</t>
  </si>
  <si>
    <t>179387</t>
  </si>
  <si>
    <t>Valley Iron Total</t>
  </si>
  <si>
    <t>Valley Urology</t>
  </si>
  <si>
    <t>179388</t>
  </si>
  <si>
    <t>Valley Urology Support360</t>
  </si>
  <si>
    <t>Valley Urology Total</t>
  </si>
  <si>
    <t>Vie-Del Company</t>
  </si>
  <si>
    <t>179389</t>
  </si>
  <si>
    <t>Vie-Del Company Total</t>
  </si>
  <si>
    <t>Vital Care Solutions</t>
  </si>
  <si>
    <t>179468</t>
  </si>
  <si>
    <t>Vital Care Solutions Total</t>
  </si>
  <si>
    <t>Warden's</t>
  </si>
  <si>
    <t>179475</t>
  </si>
  <si>
    <t>Warden's Total</t>
  </si>
  <si>
    <t>Warren &amp; Baerg Manufacturing, Inc.</t>
  </si>
  <si>
    <t>Warren &amp; Baerg Microsoft 365</t>
  </si>
  <si>
    <t>179390</t>
  </si>
  <si>
    <t>Warren &amp; Baerg Support360</t>
  </si>
  <si>
    <t>Warren &amp; Baerg Manufacturing, Inc. Total</t>
  </si>
  <si>
    <t>Weakley &amp; Arendt, LLP</t>
  </si>
  <si>
    <t>Weakley &amp; Arendt Microsoft 365</t>
  </si>
  <si>
    <t>179391</t>
  </si>
  <si>
    <t>Weakley Security Agreement</t>
  </si>
  <si>
    <t>Weakley &amp; Arendt, LLP Support360</t>
  </si>
  <si>
    <t>Weakley &amp; Arendt, LLP Total</t>
  </si>
  <si>
    <t>Western Steel Buildings</t>
  </si>
  <si>
    <t>179357</t>
  </si>
  <si>
    <t>Western Steel Buildings Total</t>
  </si>
  <si>
    <t>Westmark Incorporated</t>
  </si>
  <si>
    <t>Cloud - Private 2023-2027</t>
  </si>
  <si>
    <t>179358</t>
  </si>
  <si>
    <t>West-Mark Inc Managed Services</t>
  </si>
  <si>
    <t>Westmark Incorporated Total</t>
  </si>
  <si>
    <t>Winton-Ireland, Strom &amp; Green</t>
  </si>
  <si>
    <t>179359</t>
  </si>
  <si>
    <t>Winton-Ireland, Strom &amp; Green Total</t>
  </si>
  <si>
    <t>Yosemite Farm Credit</t>
  </si>
  <si>
    <t>179360</t>
  </si>
  <si>
    <t>Yosemite Farm Credit Total</t>
  </si>
  <si>
    <t>Your Escrow Company</t>
  </si>
  <si>
    <t>179685</t>
  </si>
  <si>
    <t>Your Escrow Company Total</t>
  </si>
  <si>
    <t>CA Total</t>
  </si>
  <si>
    <t>Grand Total</t>
  </si>
  <si>
    <t>Total - OH</t>
  </si>
  <si>
    <t>Total - CA</t>
  </si>
  <si>
    <t>Total - CA &amp; OH</t>
  </si>
  <si>
    <t>August Payroll Breakdown</t>
  </si>
  <si>
    <t>P&amp;L</t>
  </si>
  <si>
    <t xml:space="preserve">Payoll Cost </t>
  </si>
  <si>
    <t>Differences</t>
  </si>
  <si>
    <t>IT Project Labor</t>
  </si>
  <si>
    <t>Direct Labor</t>
  </si>
  <si>
    <t xml:space="preserve">Dismissed </t>
  </si>
  <si>
    <t>Sales
 (includes commissions)</t>
  </si>
  <si>
    <t>New Hires</t>
  </si>
  <si>
    <t>Admin</t>
  </si>
  <si>
    <t>Employee garnishment</t>
  </si>
  <si>
    <t xml:space="preserve">Last Day </t>
  </si>
  <si>
    <t>New Hire
First Day</t>
  </si>
  <si>
    <t>Last Name</t>
  </si>
  <si>
    <t>First Name</t>
  </si>
  <si>
    <t>Full Name</t>
  </si>
  <si>
    <t>Department</t>
  </si>
  <si>
    <t>Financial Statement 
category</t>
  </si>
  <si>
    <t>Payroll Cost</t>
  </si>
  <si>
    <t>One time 
Payouts</t>
  </si>
  <si>
    <t xml:space="preserve">After- Hours On Call and Overtime </t>
  </si>
  <si>
    <t>Monthly Base Cost</t>
  </si>
  <si>
    <t>July Monthly Base Estimated</t>
  </si>
  <si>
    <t>Diff</t>
  </si>
  <si>
    <t>Commissions Current Month</t>
  </si>
  <si>
    <t>Commissions Previous Month</t>
  </si>
  <si>
    <t>Difference</t>
  </si>
  <si>
    <t>Harsch</t>
  </si>
  <si>
    <t>Jack</t>
  </si>
  <si>
    <t>Jack Harsch</t>
  </si>
  <si>
    <t>East Coast - Engineering</t>
  </si>
  <si>
    <t>1-IT Project Labor</t>
  </si>
  <si>
    <t>PTO pay out</t>
  </si>
  <si>
    <t>Bruce</t>
  </si>
  <si>
    <t>James</t>
  </si>
  <si>
    <t>James Bruce</t>
  </si>
  <si>
    <t xml:space="preserve">West Coast - Engineering </t>
  </si>
  <si>
    <t>Lampe</t>
  </si>
  <si>
    <t>Matthew</t>
  </si>
  <si>
    <t>Matthew Lampe</t>
  </si>
  <si>
    <t>Newson</t>
  </si>
  <si>
    <t>Keith</t>
  </si>
  <si>
    <t>Keith Newson</t>
  </si>
  <si>
    <t>Walski</t>
  </si>
  <si>
    <t>Stephen</t>
  </si>
  <si>
    <t>Stephen Walski</t>
  </si>
  <si>
    <t>West Coast - Service Delivery</t>
  </si>
  <si>
    <t>Gilmore</t>
  </si>
  <si>
    <t>Christopher</t>
  </si>
  <si>
    <t>Christopher Gilmore</t>
  </si>
  <si>
    <t>West Cost-Fresno Engineering</t>
  </si>
  <si>
    <t>1-IT Project Labor Total</t>
  </si>
  <si>
    <t>Annabel</t>
  </si>
  <si>
    <t>Peter</t>
  </si>
  <si>
    <t>Peter Annabel</t>
  </si>
  <si>
    <t>Cloud Services</t>
  </si>
  <si>
    <t>2-Direct Labor</t>
  </si>
  <si>
    <t>Barr</t>
  </si>
  <si>
    <t>Kevin</t>
  </si>
  <si>
    <t>Kevin Barr</t>
  </si>
  <si>
    <t>East Coast - Installation Services</t>
  </si>
  <si>
    <t>Bates</t>
  </si>
  <si>
    <t>Colin</t>
  </si>
  <si>
    <t>Colin Bates</t>
  </si>
  <si>
    <t>Lower number of hours each payroll</t>
  </si>
  <si>
    <t>Blair</t>
  </si>
  <si>
    <t>Joshua</t>
  </si>
  <si>
    <t>Joshua Blair</t>
  </si>
  <si>
    <t>Brennan</t>
  </si>
  <si>
    <t>Thomas</t>
  </si>
  <si>
    <t>Thomas Brennan</t>
  </si>
  <si>
    <t>Brinovec</t>
  </si>
  <si>
    <t>Matthew Brinovec</t>
  </si>
  <si>
    <t>East Coast - Service Desk</t>
  </si>
  <si>
    <t>Chavez Soto</t>
  </si>
  <si>
    <t>Cristina</t>
  </si>
  <si>
    <t>Cristina Chavez Soto</t>
  </si>
  <si>
    <t>Conkle</t>
  </si>
  <si>
    <t>Kerr</t>
  </si>
  <si>
    <t>Kerr Conkle</t>
  </si>
  <si>
    <t>Contreras</t>
  </si>
  <si>
    <t>Angela</t>
  </si>
  <si>
    <t>Angela Contreras</t>
  </si>
  <si>
    <t>Oscar</t>
  </si>
  <si>
    <t>Oscar Contreras</t>
  </si>
  <si>
    <t>Estimated monthly cost - did not accrue for Aug</t>
  </si>
  <si>
    <t>Dean</t>
  </si>
  <si>
    <t>Sam</t>
  </si>
  <si>
    <t>Sam Dean</t>
  </si>
  <si>
    <t>Dimson</t>
  </si>
  <si>
    <t>Hoover</t>
  </si>
  <si>
    <t>Hoover Dimson</t>
  </si>
  <si>
    <t>Estimated monthly cost</t>
  </si>
  <si>
    <t>Doyle</t>
  </si>
  <si>
    <t>William</t>
  </si>
  <si>
    <t>William Doyle</t>
  </si>
  <si>
    <t>Dupray</t>
  </si>
  <si>
    <t>Nathaniel</t>
  </si>
  <si>
    <t>Nathaniel Dupray</t>
  </si>
  <si>
    <t>Espinoza</t>
  </si>
  <si>
    <t>Gabriel</t>
  </si>
  <si>
    <t>Gabriel Espinoza</t>
  </si>
  <si>
    <t>Fajardo</t>
  </si>
  <si>
    <t>Franz Aram</t>
  </si>
  <si>
    <t>Franz Aram Fajardo</t>
  </si>
  <si>
    <t>Hughes</t>
  </si>
  <si>
    <t>Michael</t>
  </si>
  <si>
    <t>Michael Hughes</t>
  </si>
  <si>
    <t>Huizar</t>
  </si>
  <si>
    <t>Luis</t>
  </si>
  <si>
    <t>Luis Huizar</t>
  </si>
  <si>
    <t>Hulsey-Cedeno</t>
  </si>
  <si>
    <t>Brandon</t>
  </si>
  <si>
    <t>Brandon Hulsey-Cedeno</t>
  </si>
  <si>
    <t>Johnson</t>
  </si>
  <si>
    <t>Brandon Johnson</t>
  </si>
  <si>
    <t>Keim</t>
  </si>
  <si>
    <t>Colton</t>
  </si>
  <si>
    <t>Colton Keim</t>
  </si>
  <si>
    <t>Lanning</t>
  </si>
  <si>
    <t>Nathan</t>
  </si>
  <si>
    <t>Nathan Lanning</t>
  </si>
  <si>
    <t>East Coast - Field Engineering</t>
  </si>
  <si>
    <t>Matuszynski</t>
  </si>
  <si>
    <t>Cole</t>
  </si>
  <si>
    <t>Cole Matuszynski</t>
  </si>
  <si>
    <t>Mercer</t>
  </si>
  <si>
    <t>Mark</t>
  </si>
  <si>
    <t>Mark Mercer</t>
  </si>
  <si>
    <t>West Coast-Fresno Service</t>
  </si>
  <si>
    <t>Morozov</t>
  </si>
  <si>
    <t>Steve</t>
  </si>
  <si>
    <t>Steve Morozov</t>
  </si>
  <si>
    <t>Pena</t>
  </si>
  <si>
    <t>Luis Pena</t>
  </si>
  <si>
    <t>Schilber</t>
  </si>
  <si>
    <t>Michael Schilber</t>
  </si>
  <si>
    <t>Cyber Security</t>
  </si>
  <si>
    <t>Stewart</t>
  </si>
  <si>
    <t>Timothy</t>
  </si>
  <si>
    <t>Timothy Stewart</t>
  </si>
  <si>
    <t>Strassell</t>
  </si>
  <si>
    <t>Cory</t>
  </si>
  <si>
    <t>Cory Strassell</t>
  </si>
  <si>
    <t>Terrell</t>
  </si>
  <si>
    <t>Duncan</t>
  </si>
  <si>
    <t>Duncan Terrell</t>
  </si>
  <si>
    <t>Trude</t>
  </si>
  <si>
    <t>Michael Trude</t>
  </si>
  <si>
    <t>Wijaya</t>
  </si>
  <si>
    <t>Tommy</t>
  </si>
  <si>
    <t>Tommy Wijaya</t>
  </si>
  <si>
    <t>Direct Labor Total</t>
  </si>
  <si>
    <t>De Guzman</t>
  </si>
  <si>
    <t>Edwin</t>
  </si>
  <si>
    <t>Edwin De Guzman</t>
  </si>
  <si>
    <t>Contract Wages</t>
  </si>
  <si>
    <t>3-Sales Labor Costs</t>
  </si>
  <si>
    <t>Martinez Duran</t>
  </si>
  <si>
    <t>Julissa</t>
  </si>
  <si>
    <t>Julissa Martinez Duran</t>
  </si>
  <si>
    <t>Martinez</t>
  </si>
  <si>
    <t>Maria</t>
  </si>
  <si>
    <t>Maria Martinez</t>
  </si>
  <si>
    <t>Villanueva</t>
  </si>
  <si>
    <t>Myca</t>
  </si>
  <si>
    <t>Myca Villanueva</t>
  </si>
  <si>
    <t>Kuphal</t>
  </si>
  <si>
    <t>Daniel</t>
  </si>
  <si>
    <t>Daniel Kuphal</t>
  </si>
  <si>
    <t>East Coast - Sales and Marketing</t>
  </si>
  <si>
    <t>Severance pay out</t>
  </si>
  <si>
    <t>Walker</t>
  </si>
  <si>
    <t>Joel</t>
  </si>
  <si>
    <t>Joel Walker</t>
  </si>
  <si>
    <t>Baker</t>
  </si>
  <si>
    <t>Matthew Baker</t>
  </si>
  <si>
    <t>Wallace</t>
  </si>
  <si>
    <t>Mark Wallace</t>
  </si>
  <si>
    <t>Chadwell</t>
  </si>
  <si>
    <t>Daniel Chadwell</t>
  </si>
  <si>
    <t>Procurement and Sales Engineering</t>
  </si>
  <si>
    <t>DinYero</t>
  </si>
  <si>
    <t>DinYero Johnson</t>
  </si>
  <si>
    <t>Maestas</t>
  </si>
  <si>
    <t>Ricky</t>
  </si>
  <si>
    <t>Ricky Maestas</t>
  </si>
  <si>
    <t>West Coast - Education</t>
  </si>
  <si>
    <t>Sturdivant</t>
  </si>
  <si>
    <t>Daniel Sturdivant</t>
  </si>
  <si>
    <t>West Coast - Sales + Marketing</t>
  </si>
  <si>
    <t>Harvey</t>
  </si>
  <si>
    <t>Jay</t>
  </si>
  <si>
    <t>Jay Harvey</t>
  </si>
  <si>
    <t>La Fleche</t>
  </si>
  <si>
    <t>Nathan La Fleche</t>
  </si>
  <si>
    <t>Sales Labor Total</t>
  </si>
  <si>
    <t>Moore</t>
  </si>
  <si>
    <t>Rebecca</t>
  </si>
  <si>
    <t>Rebecca Moore</t>
  </si>
  <si>
    <t xml:space="preserve">Admin + Finance + HR	</t>
  </si>
  <si>
    <t xml:space="preserve">4-Admin </t>
  </si>
  <si>
    <t>Outstanding PTO payout</t>
  </si>
  <si>
    <t>Vicencio</t>
  </si>
  <si>
    <t>P. Dennis</t>
  </si>
  <si>
    <t>P. Dennis Vicencio</t>
  </si>
  <si>
    <t>Hennington</t>
  </si>
  <si>
    <t>Melinda</t>
  </si>
  <si>
    <t>Melinda Hennington</t>
  </si>
  <si>
    <t>Admin Finance-Fresno</t>
  </si>
  <si>
    <t>Peterson</t>
  </si>
  <si>
    <t>Devin</t>
  </si>
  <si>
    <t>Devin Peterson</t>
  </si>
  <si>
    <t>Central Services &amp; Internal IT</t>
  </si>
  <si>
    <t>Rownd</t>
  </si>
  <si>
    <t>Marshall</t>
  </si>
  <si>
    <t>Marshall Rownd</t>
  </si>
  <si>
    <t>Terrones</t>
  </si>
  <si>
    <t>Genelyn</t>
  </si>
  <si>
    <t>Genelyn Terrones</t>
  </si>
  <si>
    <t>Esteras</t>
  </si>
  <si>
    <t>Lyza</t>
  </si>
  <si>
    <t>Lyza Esteras</t>
  </si>
  <si>
    <t>Dizon</t>
  </si>
  <si>
    <t>Jaquelene</t>
  </si>
  <si>
    <t>Jaquelene Dizon</t>
  </si>
  <si>
    <t>Gregory</t>
  </si>
  <si>
    <t>Gregory Harvey</t>
  </si>
  <si>
    <t>East Coast - Procurement</t>
  </si>
  <si>
    <t>Severance payout</t>
  </si>
  <si>
    <t>James Bates</t>
  </si>
  <si>
    <t>Owner</t>
  </si>
  <si>
    <t>Darmstandler</t>
  </si>
  <si>
    <t>David</t>
  </si>
  <si>
    <t>David Darmstandler</t>
  </si>
  <si>
    <t>Craig</t>
  </si>
  <si>
    <t>David Craig</t>
  </si>
  <si>
    <t>Procurement</t>
  </si>
  <si>
    <t>Admin Total Costs</t>
  </si>
  <si>
    <t>Total Labor Costs</t>
  </si>
  <si>
    <t>New Hires - September</t>
  </si>
  <si>
    <t>Magcalayo</t>
  </si>
  <si>
    <t>Jenny Rose</t>
  </si>
  <si>
    <t>Jenny Rose Magcalayo</t>
  </si>
  <si>
    <t>Est April Totals</t>
  </si>
  <si>
    <t>IT Project Labor Costs</t>
  </si>
  <si>
    <t>Direct Labor Costs</t>
  </si>
  <si>
    <t>Sales Labor Costs</t>
  </si>
  <si>
    <t>Admin Labor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</si>
</sst>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_(&quot;$&quot;* #,##0_);_(&quot;$&quot;* \(#,##0\);_(&quot;$&quot;* &quot;-&quot;??_);_(@_)"/>
  </numFmts>
  <fonts count="2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242424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name val="Helvetica"/>
    </font>
    <font>
      <sz val="8"/>
      <name val="Helvetica"/>
    </font>
    <font>
      <b/>
      <sz val="8"/>
      <color rgb="FFFF0000"/>
      <name val="Helvetica"/>
    </font>
    <font>
      <b/>
      <u/>
      <sz val="8"/>
      <color rgb="FFFF0000"/>
      <name val="Helvetica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3B3B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B3B3B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0" fontId="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0" fillId="0" borderId="0" xfId="2" applyNumberFormat="1" applyFont="1"/>
    <xf numFmtId="0" fontId="6" fillId="0" borderId="0" xfId="0" applyFont="1"/>
    <xf numFmtId="0" fontId="8" fillId="0" borderId="0" xfId="6" applyFont="1"/>
    <xf numFmtId="0" fontId="8" fillId="0" borderId="0" xfId="7" applyFont="1"/>
    <xf numFmtId="0" fontId="8" fillId="0" borderId="0" xfId="7" applyFont="1" applyAlignment="1">
      <alignment horizontal="center" wrapText="1"/>
    </xf>
    <xf numFmtId="43" fontId="8" fillId="0" borderId="0" xfId="8" applyFont="1" applyFill="1" applyAlignment="1">
      <alignment horizontal="center" wrapText="1"/>
    </xf>
    <xf numFmtId="43" fontId="8" fillId="0" borderId="0" xfId="9" applyFont="1" applyFill="1" applyAlignment="1">
      <alignment horizontal="center" wrapText="1"/>
    </xf>
    <xf numFmtId="0" fontId="7" fillId="0" borderId="0" xfId="6"/>
    <xf numFmtId="14" fontId="7" fillId="0" borderId="0" xfId="6" applyNumberFormat="1"/>
    <xf numFmtId="43" fontId="0" fillId="0" borderId="0" xfId="8" applyFont="1" applyFill="1"/>
    <xf numFmtId="9" fontId="0" fillId="0" borderId="0" xfId="10" applyFont="1" applyFill="1"/>
    <xf numFmtId="43" fontId="7" fillId="0" borderId="0" xfId="8" applyFill="1"/>
    <xf numFmtId="9" fontId="7" fillId="0" borderId="0" xfId="10" applyFont="1" applyFill="1"/>
    <xf numFmtId="0" fontId="7" fillId="0" borderId="0" xfId="6" applyAlignment="1">
      <alignment wrapText="1"/>
    </xf>
    <xf numFmtId="43" fontId="8" fillId="0" borderId="0" xfId="8" applyFont="1" applyFill="1"/>
    <xf numFmtId="0" fontId="7" fillId="0" borderId="0" xfId="6" applyAlignment="1">
      <alignment horizontal="right"/>
    </xf>
    <xf numFmtId="0" fontId="0" fillId="0" borderId="0" xfId="6" applyFont="1" applyAlignment="1">
      <alignment horizontal="right"/>
    </xf>
    <xf numFmtId="0" fontId="10" fillId="0" borderId="0" xfId="11" applyFont="1" applyAlignment="1">
      <alignment horizontal="left"/>
    </xf>
    <xf numFmtId="0" fontId="9" fillId="0" borderId="0" xfId="11"/>
    <xf numFmtId="0" fontId="10" fillId="0" borderId="0" xfId="11" applyFont="1" applyAlignment="1">
      <alignment horizontal="center"/>
    </xf>
    <xf numFmtId="0" fontId="9" fillId="0" borderId="0" xfId="11" applyAlignment="1">
      <alignment horizontal="center"/>
    </xf>
    <xf numFmtId="40" fontId="9" fillId="0" borderId="0" xfId="11" applyNumberFormat="1" applyAlignment="1">
      <alignment horizontal="left" wrapText="1"/>
    </xf>
    <xf numFmtId="0" fontId="9" fillId="0" borderId="0" xfId="11" applyAlignment="1">
      <alignment wrapText="1"/>
    </xf>
    <xf numFmtId="43" fontId="0" fillId="0" borderId="0" xfId="12" applyFont="1"/>
    <xf numFmtId="43" fontId="4" fillId="0" borderId="7" xfId="12" applyFont="1" applyBorder="1" applyAlignment="1">
      <alignment horizontal="right"/>
    </xf>
    <xf numFmtId="43" fontId="4" fillId="0" borderId="8" xfId="12" applyFont="1" applyBorder="1" applyAlignment="1">
      <alignment horizontal="center"/>
    </xf>
    <xf numFmtId="43" fontId="9" fillId="0" borderId="0" xfId="11" applyNumberFormat="1"/>
    <xf numFmtId="40" fontId="9" fillId="0" borderId="0" xfId="11" applyNumberFormat="1" applyAlignment="1">
      <alignment horizontal="left"/>
    </xf>
    <xf numFmtId="0" fontId="11" fillId="0" borderId="0" xfId="11" applyFont="1" applyAlignment="1">
      <alignment horizontal="left" wrapText="1"/>
    </xf>
    <xf numFmtId="43" fontId="9" fillId="0" borderId="0" xfId="13" applyFont="1"/>
    <xf numFmtId="43" fontId="11" fillId="0" borderId="0" xfId="13" applyFont="1" applyAlignment="1">
      <alignment wrapText="1"/>
    </xf>
    <xf numFmtId="0" fontId="9" fillId="3" borderId="9" xfId="11" applyFill="1" applyBorder="1"/>
    <xf numFmtId="43" fontId="12" fillId="0" borderId="7" xfId="12" applyFont="1" applyBorder="1" applyAlignment="1">
      <alignment horizontal="right" wrapText="1"/>
    </xf>
    <xf numFmtId="43" fontId="11" fillId="0" borderId="0" xfId="11" applyNumberFormat="1" applyFont="1" applyAlignment="1">
      <alignment wrapText="1"/>
    </xf>
    <xf numFmtId="0" fontId="9" fillId="4" borderId="10" xfId="11" applyFill="1" applyBorder="1"/>
    <xf numFmtId="43" fontId="4" fillId="0" borderId="11" xfId="12" applyFont="1" applyBorder="1" applyAlignment="1">
      <alignment horizontal="right"/>
    </xf>
    <xf numFmtId="43" fontId="4" fillId="0" borderId="12" xfId="12" applyFont="1" applyBorder="1" applyAlignment="1">
      <alignment horizontal="center"/>
    </xf>
    <xf numFmtId="0" fontId="9" fillId="0" borderId="0" xfId="11" applyAlignment="1">
      <alignment horizontal="left"/>
    </xf>
    <xf numFmtId="14" fontId="3" fillId="5" borderId="9" xfId="11" applyNumberFormat="1" applyFont="1" applyFill="1" applyBorder="1" applyAlignment="1">
      <alignment wrapText="1"/>
    </xf>
    <xf numFmtId="0" fontId="3" fillId="5" borderId="9" xfId="11" applyFont="1" applyFill="1" applyBorder="1"/>
    <xf numFmtId="0" fontId="3" fillId="5" borderId="9" xfId="11" applyFont="1" applyFill="1" applyBorder="1" applyAlignment="1">
      <alignment horizontal="left" wrapText="1"/>
    </xf>
    <xf numFmtId="43" fontId="3" fillId="5" borderId="9" xfId="13" applyFont="1" applyFill="1" applyBorder="1" applyAlignment="1">
      <alignment horizontal="center" wrapText="1"/>
    </xf>
    <xf numFmtId="43" fontId="3" fillId="5" borderId="0" xfId="13" applyFont="1" applyFill="1" applyAlignment="1">
      <alignment horizontal="center" wrapText="1"/>
    </xf>
    <xf numFmtId="43" fontId="3" fillId="5" borderId="0" xfId="12" applyFont="1" applyFill="1" applyAlignment="1">
      <alignment horizontal="center" wrapText="1"/>
    </xf>
    <xf numFmtId="14" fontId="9" fillId="6" borderId="10" xfId="11" applyNumberFormat="1" applyFill="1" applyBorder="1"/>
    <xf numFmtId="14" fontId="9" fillId="6" borderId="9" xfId="11" applyNumberFormat="1" applyFill="1" applyBorder="1"/>
    <xf numFmtId="0" fontId="9" fillId="6" borderId="9" xfId="11" applyFill="1" applyBorder="1"/>
    <xf numFmtId="0" fontId="9" fillId="6" borderId="9" xfId="11" applyFill="1" applyBorder="1" applyAlignment="1">
      <alignment horizontal="left"/>
    </xf>
    <xf numFmtId="43" fontId="0" fillId="6" borderId="13" xfId="13" applyFont="1" applyFill="1" applyBorder="1"/>
    <xf numFmtId="10" fontId="0" fillId="6" borderId="13" xfId="14" applyNumberFormat="1" applyFont="1" applyFill="1" applyBorder="1"/>
    <xf numFmtId="14" fontId="9" fillId="7" borderId="10" xfId="11" applyNumberFormat="1" applyFill="1" applyBorder="1"/>
    <xf numFmtId="14" fontId="9" fillId="7" borderId="9" xfId="11" applyNumberFormat="1" applyFill="1" applyBorder="1"/>
    <xf numFmtId="0" fontId="9" fillId="8" borderId="9" xfId="11" applyFill="1" applyBorder="1"/>
    <xf numFmtId="0" fontId="9" fillId="8" borderId="9" xfId="11" applyFill="1" applyBorder="1" applyAlignment="1">
      <alignment horizontal="left"/>
    </xf>
    <xf numFmtId="43" fontId="0" fillId="8" borderId="13" xfId="13" applyFont="1" applyFill="1" applyBorder="1"/>
    <xf numFmtId="10" fontId="0" fillId="8" borderId="13" xfId="14" applyNumberFormat="1" applyFont="1" applyFill="1" applyBorder="1"/>
    <xf numFmtId="14" fontId="9" fillId="8" borderId="10" xfId="11" applyNumberFormat="1" applyFill="1" applyBorder="1"/>
    <xf numFmtId="14" fontId="9" fillId="8" borderId="9" xfId="11" applyNumberFormat="1" applyFill="1" applyBorder="1"/>
    <xf numFmtId="0" fontId="9" fillId="7" borderId="9" xfId="11" applyFill="1" applyBorder="1"/>
    <xf numFmtId="0" fontId="9" fillId="7" borderId="9" xfId="11" applyFill="1" applyBorder="1" applyAlignment="1">
      <alignment horizontal="left"/>
    </xf>
    <xf numFmtId="14" fontId="9" fillId="0" borderId="10" xfId="11" applyNumberFormat="1" applyBorder="1"/>
    <xf numFmtId="14" fontId="9" fillId="0" borderId="9" xfId="11" applyNumberFormat="1" applyBorder="1"/>
    <xf numFmtId="0" fontId="9" fillId="0" borderId="9" xfId="11" applyBorder="1"/>
    <xf numFmtId="0" fontId="4" fillId="0" borderId="9" xfId="11" applyFont="1" applyBorder="1"/>
    <xf numFmtId="0" fontId="4" fillId="0" borderId="9" xfId="11" applyFont="1" applyBorder="1" applyAlignment="1">
      <alignment horizontal="left"/>
    </xf>
    <xf numFmtId="43" fontId="4" fillId="0" borderId="13" xfId="13" applyFont="1" applyBorder="1"/>
    <xf numFmtId="10" fontId="4" fillId="0" borderId="13" xfId="14" applyNumberFormat="1" applyFont="1" applyBorder="1"/>
    <xf numFmtId="14" fontId="9" fillId="9" borderId="10" xfId="11" applyNumberFormat="1" applyFill="1" applyBorder="1"/>
    <xf numFmtId="14" fontId="9" fillId="9" borderId="9" xfId="11" applyNumberFormat="1" applyFill="1" applyBorder="1"/>
    <xf numFmtId="0" fontId="9" fillId="9" borderId="9" xfId="11" applyFill="1" applyBorder="1"/>
    <xf numFmtId="0" fontId="9" fillId="9" borderId="9" xfId="11" applyFill="1" applyBorder="1" applyAlignment="1">
      <alignment horizontal="left"/>
    </xf>
    <xf numFmtId="43" fontId="0" fillId="10" borderId="13" xfId="13" applyFont="1" applyFill="1" applyBorder="1"/>
    <xf numFmtId="43" fontId="0" fillId="9" borderId="13" xfId="13" applyFont="1" applyFill="1" applyBorder="1"/>
    <xf numFmtId="9" fontId="0" fillId="9" borderId="13" xfId="14" applyFont="1" applyFill="1" applyBorder="1"/>
    <xf numFmtId="0" fontId="1" fillId="10" borderId="10" xfId="11" applyFont="1" applyFill="1" applyBorder="1"/>
    <xf numFmtId="14" fontId="1" fillId="10" borderId="9" xfId="11" applyNumberFormat="1" applyFont="1" applyFill="1" applyBorder="1"/>
    <xf numFmtId="0" fontId="1" fillId="10" borderId="9" xfId="11" applyFont="1" applyFill="1" applyBorder="1"/>
    <xf numFmtId="0" fontId="1" fillId="10" borderId="13" xfId="11" applyFont="1" applyFill="1" applyBorder="1"/>
    <xf numFmtId="43" fontId="1" fillId="10" borderId="13" xfId="11" applyNumberFormat="1" applyFont="1" applyFill="1" applyBorder="1"/>
    <xf numFmtId="9" fontId="1" fillId="10" borderId="13" xfId="14" applyFont="1" applyFill="1" applyBorder="1" applyAlignment="1">
      <alignment wrapText="1"/>
    </xf>
    <xf numFmtId="14" fontId="9" fillId="4" borderId="10" xfId="11" applyNumberFormat="1" applyFill="1" applyBorder="1"/>
    <xf numFmtId="14" fontId="9" fillId="4" borderId="9" xfId="11" applyNumberFormat="1" applyFill="1" applyBorder="1"/>
    <xf numFmtId="0" fontId="9" fillId="4" borderId="9" xfId="11" applyFill="1" applyBorder="1"/>
    <xf numFmtId="0" fontId="9" fillId="4" borderId="9" xfId="11" applyFill="1" applyBorder="1" applyAlignment="1">
      <alignment horizontal="left"/>
    </xf>
    <xf numFmtId="43" fontId="0" fillId="4" borderId="13" xfId="13" applyFont="1" applyFill="1" applyBorder="1"/>
    <xf numFmtId="9" fontId="0" fillId="4" borderId="13" xfId="14" applyFont="1" applyFill="1" applyBorder="1"/>
    <xf numFmtId="9" fontId="0" fillId="10" borderId="13" xfId="14" applyFont="1" applyFill="1" applyBorder="1"/>
    <xf numFmtId="0" fontId="9" fillId="9" borderId="10" xfId="11" applyFill="1" applyBorder="1"/>
    <xf numFmtId="0" fontId="9" fillId="9" borderId="10" xfId="11" applyFill="1" applyBorder="1" applyAlignment="1">
      <alignment horizontal="left"/>
    </xf>
    <xf numFmtId="43" fontId="0" fillId="9" borderId="10" xfId="13" applyFont="1" applyFill="1" applyBorder="1"/>
    <xf numFmtId="9" fontId="0" fillId="9" borderId="10" xfId="14" applyFont="1" applyFill="1" applyBorder="1"/>
    <xf numFmtId="14" fontId="9" fillId="11" borderId="10" xfId="11" applyNumberFormat="1" applyFill="1" applyBorder="1"/>
    <xf numFmtId="14" fontId="9" fillId="11" borderId="9" xfId="11" applyNumberFormat="1" applyFill="1" applyBorder="1"/>
    <xf numFmtId="0" fontId="9" fillId="11" borderId="9" xfId="11" applyFill="1" applyBorder="1"/>
    <xf numFmtId="0" fontId="9" fillId="11" borderId="9" xfId="11" applyFill="1" applyBorder="1" applyAlignment="1">
      <alignment horizontal="left"/>
    </xf>
    <xf numFmtId="43" fontId="0" fillId="11" borderId="13" xfId="13" applyFont="1" applyFill="1" applyBorder="1"/>
    <xf numFmtId="9" fontId="0" fillId="11" borderId="13" xfId="14" applyFont="1" applyFill="1" applyBorder="1"/>
    <xf numFmtId="9" fontId="0" fillId="6" borderId="13" xfId="14" applyFont="1" applyFill="1" applyBorder="1"/>
    <xf numFmtId="14" fontId="9" fillId="12" borderId="10" xfId="11" applyNumberFormat="1" applyFill="1" applyBorder="1"/>
    <xf numFmtId="14" fontId="9" fillId="12" borderId="9" xfId="11" applyNumberFormat="1" applyFill="1" applyBorder="1"/>
    <xf numFmtId="0" fontId="9" fillId="12" borderId="9" xfId="11" applyFill="1" applyBorder="1"/>
    <xf numFmtId="0" fontId="9" fillId="12" borderId="9" xfId="11" applyFill="1" applyBorder="1" applyAlignment="1">
      <alignment horizontal="left"/>
    </xf>
    <xf numFmtId="14" fontId="4" fillId="0" borderId="9" xfId="11" applyNumberFormat="1" applyFont="1" applyBorder="1"/>
    <xf numFmtId="43" fontId="4" fillId="0" borderId="13" xfId="13" applyFont="1" applyBorder="1" applyAlignment="1">
      <alignment horizontal="center"/>
    </xf>
    <xf numFmtId="14" fontId="9" fillId="3" borderId="10" xfId="11" applyNumberFormat="1" applyFill="1" applyBorder="1"/>
    <xf numFmtId="14" fontId="9" fillId="3" borderId="9" xfId="11" applyNumberFormat="1" applyFill="1" applyBorder="1"/>
    <xf numFmtId="0" fontId="9" fillId="3" borderId="9" xfId="11" applyFill="1" applyBorder="1" applyAlignment="1">
      <alignment horizontal="left"/>
    </xf>
    <xf numFmtId="14" fontId="9" fillId="13" borderId="10" xfId="11" applyNumberFormat="1" applyFill="1" applyBorder="1"/>
    <xf numFmtId="14" fontId="9" fillId="13" borderId="9" xfId="11" applyNumberFormat="1" applyFill="1" applyBorder="1"/>
    <xf numFmtId="0" fontId="9" fillId="14" borderId="9" xfId="11" applyFill="1" applyBorder="1"/>
    <xf numFmtId="43" fontId="0" fillId="13" borderId="13" xfId="13" applyFont="1" applyFill="1" applyBorder="1"/>
    <xf numFmtId="10" fontId="0" fillId="13" borderId="13" xfId="14" applyNumberFormat="1" applyFont="1" applyFill="1" applyBorder="1"/>
    <xf numFmtId="0" fontId="9" fillId="13" borderId="9" xfId="11" applyFill="1" applyBorder="1"/>
    <xf numFmtId="0" fontId="9" fillId="13" borderId="9" xfId="11" applyFill="1" applyBorder="1" applyAlignment="1">
      <alignment horizontal="left"/>
    </xf>
    <xf numFmtId="14" fontId="9" fillId="14" borderId="10" xfId="11" applyNumberFormat="1" applyFill="1" applyBorder="1"/>
    <xf numFmtId="14" fontId="9" fillId="14" borderId="9" xfId="11" applyNumberFormat="1" applyFill="1" applyBorder="1"/>
    <xf numFmtId="0" fontId="9" fillId="14" borderId="9" xfId="11" applyFill="1" applyBorder="1" applyAlignment="1">
      <alignment horizontal="left"/>
    </xf>
    <xf numFmtId="0" fontId="9" fillId="14" borderId="10" xfId="11" applyFill="1" applyBorder="1"/>
    <xf numFmtId="0" fontId="9" fillId="14" borderId="10" xfId="11" applyFill="1" applyBorder="1" applyAlignment="1">
      <alignment horizontal="left"/>
    </xf>
    <xf numFmtId="43" fontId="0" fillId="13" borderId="10" xfId="13" applyFont="1" applyFill="1" applyBorder="1"/>
    <xf numFmtId="43" fontId="0" fillId="13" borderId="0" xfId="13" applyFont="1" applyFill="1" applyBorder="1"/>
    <xf numFmtId="0" fontId="1" fillId="0" borderId="0" xfId="11" applyFont="1"/>
    <xf numFmtId="0" fontId="9" fillId="13" borderId="10" xfId="11" applyFill="1" applyBorder="1"/>
    <xf numFmtId="0" fontId="9" fillId="13" borderId="10" xfId="11" applyFill="1" applyBorder="1" applyAlignment="1">
      <alignment horizontal="left"/>
    </xf>
    <xf numFmtId="0" fontId="4" fillId="0" borderId="0" xfId="11" applyFont="1" applyAlignment="1">
      <alignment horizontal="left"/>
    </xf>
    <xf numFmtId="43" fontId="4" fillId="0" borderId="0" xfId="13" applyFont="1" applyAlignment="1">
      <alignment horizontal="center"/>
    </xf>
    <xf numFmtId="43" fontId="4" fillId="0" borderId="0" xfId="13" applyFont="1"/>
    <xf numFmtId="0" fontId="4" fillId="0" borderId="0" xfId="11" applyFont="1"/>
    <xf numFmtId="43" fontId="4" fillId="0" borderId="0" xfId="12" applyFont="1" applyAlignment="1">
      <alignment horizontal="left"/>
    </xf>
    <xf numFmtId="0" fontId="13" fillId="15" borderId="10" xfId="11" applyFont="1" applyFill="1" applyBorder="1"/>
    <xf numFmtId="43" fontId="4" fillId="0" borderId="9" xfId="13" applyFont="1" applyBorder="1"/>
    <xf numFmtId="14" fontId="9" fillId="0" borderId="0" xfId="11" applyNumberFormat="1"/>
    <xf numFmtId="0" fontId="14" fillId="0" borderId="0" xfId="11" applyFont="1" applyAlignment="1">
      <alignment horizontal="left"/>
    </xf>
    <xf numFmtId="43" fontId="15" fillId="0" borderId="0" xfId="12" applyFont="1" applyAlignment="1">
      <alignment horizontal="center"/>
    </xf>
    <xf numFmtId="43" fontId="15" fillId="0" borderId="0" xfId="11" applyNumberFormat="1" applyFont="1" applyAlignment="1">
      <alignment horizontal="center"/>
    </xf>
    <xf numFmtId="43" fontId="9" fillId="0" borderId="0" xfId="11" applyNumberFormat="1" applyAlignment="1">
      <alignment horizontal="center"/>
    </xf>
    <xf numFmtId="0" fontId="9" fillId="0" borderId="10" xfId="11" applyBorder="1"/>
    <xf numFmtId="0" fontId="16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center"/>
    </xf>
    <xf numFmtId="0" fontId="17" fillId="2" borderId="1" xfId="0" applyFont="1" applyFill="1" applyBorder="1" applyAlignment="1">
      <alignment horizontal="right"/>
    </xf>
    <xf numFmtId="0" fontId="17" fillId="2" borderId="1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16" fillId="2" borderId="0" xfId="0" applyFont="1" applyFill="1" applyAlignment="1">
      <alignment horizontal="center"/>
    </xf>
    <xf numFmtId="164" fontId="17" fillId="2" borderId="0" xfId="0" applyNumberFormat="1" applyFont="1" applyFill="1" applyAlignment="1">
      <alignment horizontal="right"/>
    </xf>
    <xf numFmtId="164" fontId="17" fillId="2" borderId="0" xfId="0" applyNumberFormat="1" applyFont="1" applyFill="1" applyAlignment="1">
      <alignment horizontal="center"/>
    </xf>
    <xf numFmtId="164" fontId="17" fillId="2" borderId="2" xfId="0" applyNumberFormat="1" applyFont="1" applyFill="1" applyBorder="1" applyAlignment="1">
      <alignment horizontal="right"/>
    </xf>
    <xf numFmtId="164" fontId="17" fillId="2" borderId="2" xfId="0" applyNumberFormat="1" applyFont="1" applyFill="1" applyBorder="1" applyAlignment="1">
      <alignment horizontal="center"/>
    </xf>
    <xf numFmtId="164" fontId="17" fillId="16" borderId="0" xfId="0" applyNumberFormat="1" applyFont="1" applyFill="1" applyAlignment="1">
      <alignment horizontal="right"/>
    </xf>
    <xf numFmtId="164" fontId="17" fillId="16" borderId="0" xfId="0" applyNumberFormat="1" applyFont="1" applyFill="1" applyAlignment="1">
      <alignment horizontal="center"/>
    </xf>
    <xf numFmtId="164" fontId="17" fillId="0" borderId="0" xfId="0" applyNumberFormat="1" applyFont="1" applyAlignment="1">
      <alignment horizontal="right"/>
    </xf>
    <xf numFmtId="164" fontId="17" fillId="2" borderId="3" xfId="0" applyNumberFormat="1" applyFont="1" applyFill="1" applyBorder="1" applyAlignment="1">
      <alignment horizontal="right"/>
    </xf>
    <xf numFmtId="164" fontId="17" fillId="2" borderId="3" xfId="0" applyNumberFormat="1" applyFont="1" applyFill="1" applyBorder="1" applyAlignment="1">
      <alignment horizontal="center"/>
    </xf>
    <xf numFmtId="0" fontId="17" fillId="2" borderId="2" xfId="0" applyFont="1" applyFill="1" applyBorder="1" applyAlignment="1">
      <alignment horizontal="left"/>
    </xf>
    <xf numFmtId="164" fontId="16" fillId="2" borderId="4" xfId="0" applyNumberFormat="1" applyFont="1" applyFill="1" applyBorder="1" applyAlignment="1">
      <alignment horizontal="right"/>
    </xf>
    <xf numFmtId="164" fontId="16" fillId="2" borderId="4" xfId="0" applyNumberFormat="1" applyFont="1" applyFill="1" applyBorder="1" applyAlignment="1">
      <alignment horizontal="center"/>
    </xf>
    <xf numFmtId="0" fontId="17" fillId="2" borderId="0" xfId="0" applyFont="1" applyFill="1"/>
    <xf numFmtId="0" fontId="17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center"/>
    </xf>
    <xf numFmtId="164" fontId="17" fillId="2" borderId="0" xfId="0" applyNumberFormat="1" applyFont="1" applyFill="1"/>
    <xf numFmtId="0" fontId="18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18" fillId="2" borderId="0" xfId="0" applyFont="1" applyFill="1"/>
    <xf numFmtId="0" fontId="4" fillId="0" borderId="5" xfId="11" applyFont="1" applyBorder="1" applyAlignment="1">
      <alignment horizontal="center"/>
    </xf>
    <xf numFmtId="0" fontId="4" fillId="0" borderId="6" xfId="11" applyFont="1" applyBorder="1" applyAlignment="1">
      <alignment horizontal="center"/>
    </xf>
  </cellXfs>
  <cellStyles count="15">
    <cellStyle name="Comma" xfId="4" xr:uid="{00000000-0005-0000-0000-000004000000}"/>
    <cellStyle name="Comma [0]" xfId="5" xr:uid="{00000000-0005-0000-0000-000005000000}"/>
    <cellStyle name="Comma 2" xfId="8" xr:uid="{1591B819-429C-428D-A901-DB12424E66B3}"/>
    <cellStyle name="Comma 2 2" xfId="12" xr:uid="{77086A33-5B31-41A6-9731-1F410E01C5AC}"/>
    <cellStyle name="Comma 3" xfId="13" xr:uid="{691AD406-514F-4600-9AFC-03A43D10BA49}"/>
    <cellStyle name="Comma 4" xfId="9" xr:uid="{10CDA399-D04A-4809-B8DC-A563BAB70128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11" xr:uid="{273B172E-7989-41E7-B26C-D01D44FB17D3}"/>
    <cellStyle name="Normal 2 2 2" xfId="7" xr:uid="{38D9007C-05AC-4C46-9EE4-65C587318D4C}"/>
    <cellStyle name="Normal 2 3" xfId="6" xr:uid="{2142FCB2-9A2A-417E-8E89-815EF499B45D}"/>
    <cellStyle name="Percent" xfId="1" xr:uid="{00000000-0005-0000-0000-000001000000}"/>
    <cellStyle name="Percent 2" xfId="14" xr:uid="{2B005CA1-DDC8-4EFE-96C6-63C6BB102732}"/>
    <cellStyle name="Percent 3" xfId="10" xr:uid="{6CE9852D-034B-46E3-8453-7FD2D2DD0BE4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atapathinc.sharepoint.com/teams/Accounting/Shared%20Documents/General/2025%20Month%20Ends/08%20-%20August%202025/August%20Payroll%20to%20Intacct.xlsx" TargetMode="External"/><Relationship Id="rId1" Type="http://schemas.openxmlformats.org/officeDocument/2006/relationships/externalLinkPath" Target="https://datapathinc.sharepoint.com/teams/Accounting/Shared%20Documents/General/2025%20Month%20Ends/08%20-%20August%202025/August%20Payroll%20to%20Intac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GL Report"/>
      <sheetName val="August Payrolls"/>
      <sheetName val="CA"/>
      <sheetName val="OH"/>
      <sheetName val="August Payroll to Intacc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4C613-9B33-4B35-B13F-0DD28FEB9CB6}" name="Table1" displayName="Table1" ref="A1:E23" totalsRowShown="0" headerRowDxfId="0">
  <autoFilter ref="A1:E23" xr:uid="{132DD647-C9E2-4652-A359-D72BE98F01A9}"/>
  <sortState xmlns:xlrd2="http://schemas.microsoft.com/office/spreadsheetml/2017/richdata2" ref="A2:E21">
    <sortCondition ref="A2:A21"/>
  </sortState>
  <tableColumns count="5">
    <tableColumn id="1" xr3:uid="{22873816-931C-4B3D-A091-942DDF0B8A30}" name="Foot Note"/>
    <tableColumn id="2" xr3:uid="{FB00BF5F-1B07-4977-AC91-5ABBA5D0A864}" name="Line"/>
    <tableColumn id="4" xr3:uid="{31E1E0C7-F93A-472D-BD37-7FD5BD280C43}" name="Note"/>
    <tableColumn id="5" xr3:uid="{A3ADDF39-AF80-45FB-8A7B-230BFB3A351F}" name="Amount Increase"/>
    <tableColumn id="6" xr3:uid="{99FC6FFE-3293-4D5D-83BA-A57CF8E205D8}" name="Amout Decrea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3"/>
  <sheetViews>
    <sheetView tabSelected="1" workbookViewId="0">
      <pane xSplit="1" ySplit="9" topLeftCell="B10" activePane="bottomRight" state="frozen"/>
      <selection pane="bottomRight" activeCell="AF70" sqref="AF70"/>
      <selection pane="bottomLeft" activeCell="A10" sqref="A10"/>
      <selection pane="topRight" activeCell="B1" sqref="B1"/>
    </sheetView>
  </sheetViews>
  <sheetFormatPr defaultColWidth="9.140625" defaultRowHeight="11.25"/>
  <cols>
    <col min="1" max="1" width="44.85546875" style="162" customWidth="1"/>
    <col min="2" max="2" width="16" style="162" customWidth="1"/>
    <col min="3" max="3" width="10.42578125" style="162" customWidth="1"/>
    <col min="4" max="4" width="9" style="162" customWidth="1"/>
    <col min="5" max="6" width="10.42578125" style="162" customWidth="1"/>
    <col min="7" max="7" width="6.85546875" style="162" customWidth="1"/>
    <col min="8" max="9" width="18.140625" style="162" customWidth="1"/>
    <col min="10" max="10" width="8" style="162" customWidth="1"/>
    <col min="11" max="12" width="10.42578125" style="162" customWidth="1"/>
    <col min="13" max="13" width="18.140625" style="162" customWidth="1"/>
    <col min="14" max="14" width="9.140625" style="162" customWidth="1"/>
    <col min="15" max="15" width="9.140625" style="162"/>
    <col min="16" max="16" width="49.7109375" style="162" bestFit="1" customWidth="1"/>
    <col min="17" max="17" width="9.7109375" style="162" bestFit="1" customWidth="1"/>
    <col min="18" max="18" width="11.42578125" style="162" bestFit="1" customWidth="1"/>
    <col min="19" max="19" width="11" style="162" bestFit="1" customWidth="1"/>
    <col min="20" max="20" width="20.7109375" style="162" bestFit="1" customWidth="1"/>
    <col min="21" max="23" width="9.5703125" style="162" bestFit="1" customWidth="1"/>
    <col min="24" max="24" width="20.7109375" style="162" bestFit="1" customWidth="1"/>
    <col min="25" max="26" width="11.42578125" style="162" bestFit="1" customWidth="1"/>
    <col min="27" max="27" width="11" style="162" bestFit="1" customWidth="1"/>
    <col min="28" max="29" width="11.42578125" style="162" bestFit="1" customWidth="1"/>
    <col min="30" max="30" width="12.7109375" style="162" bestFit="1" customWidth="1"/>
    <col min="31" max="31" width="9.28515625" style="162" bestFit="1" customWidth="1"/>
    <col min="32" max="16384" width="9.140625" style="162"/>
  </cols>
  <sheetData>
    <row r="1" spans="1:32">
      <c r="A1" s="148" t="s">
        <v>0</v>
      </c>
      <c r="P1" s="148" t="s">
        <v>0</v>
      </c>
      <c r="T1" s="145"/>
    </row>
    <row r="2" spans="1:32">
      <c r="A2" s="167" t="s">
        <v>1</v>
      </c>
      <c r="P2" s="166" t="s">
        <v>2</v>
      </c>
      <c r="T2" s="145"/>
      <c r="AE2" s="168" t="s">
        <v>3</v>
      </c>
      <c r="AF2" s="168" t="s">
        <v>4</v>
      </c>
    </row>
    <row r="3" spans="1:32">
      <c r="A3" s="143" t="s">
        <v>5</v>
      </c>
      <c r="B3" s="143" t="s">
        <v>6</v>
      </c>
      <c r="P3" s="143" t="s">
        <v>5</v>
      </c>
      <c r="Q3" s="143" t="s">
        <v>6</v>
      </c>
      <c r="T3" s="145"/>
    </row>
    <row r="4" spans="1:32">
      <c r="A4" s="143" t="s">
        <v>7</v>
      </c>
      <c r="B4" s="143" t="s">
        <v>8</v>
      </c>
      <c r="P4" s="143" t="s">
        <v>7</v>
      </c>
      <c r="Q4" s="143" t="s">
        <v>8</v>
      </c>
      <c r="T4" s="145"/>
    </row>
    <row r="5" spans="1:32">
      <c r="A5" s="143" t="s">
        <v>9</v>
      </c>
      <c r="B5" s="143" t="s">
        <v>10</v>
      </c>
      <c r="P5" s="143" t="s">
        <v>9</v>
      </c>
      <c r="Q5" s="143" t="s">
        <v>10</v>
      </c>
      <c r="T5" s="145"/>
    </row>
    <row r="6" spans="1:32">
      <c r="A6" s="143" t="s">
        <v>11</v>
      </c>
      <c r="P6" s="143" t="s">
        <v>11</v>
      </c>
      <c r="T6" s="145"/>
    </row>
    <row r="7" spans="1:32">
      <c r="A7" s="143" t="s">
        <v>11</v>
      </c>
      <c r="B7" s="144" t="s">
        <v>12</v>
      </c>
      <c r="C7" s="144" t="s">
        <v>12</v>
      </c>
      <c r="D7" s="143" t="s">
        <v>11</v>
      </c>
      <c r="E7" s="144" t="s">
        <v>13</v>
      </c>
      <c r="F7" s="144" t="s">
        <v>13</v>
      </c>
      <c r="G7" s="143" t="s">
        <v>11</v>
      </c>
      <c r="H7" s="144" t="s">
        <v>14</v>
      </c>
      <c r="I7" s="144" t="s">
        <v>14</v>
      </c>
      <c r="J7" s="143" t="s">
        <v>11</v>
      </c>
      <c r="K7" s="144" t="s">
        <v>12</v>
      </c>
      <c r="L7" s="144" t="s">
        <v>13</v>
      </c>
      <c r="M7" s="144" t="s">
        <v>14</v>
      </c>
      <c r="P7" s="143" t="s">
        <v>11</v>
      </c>
      <c r="Q7" s="144" t="s">
        <v>12</v>
      </c>
      <c r="R7" s="144" t="s">
        <v>12</v>
      </c>
      <c r="S7" s="143" t="s">
        <v>11</v>
      </c>
      <c r="T7" s="145"/>
      <c r="U7" s="144" t="s">
        <v>13</v>
      </c>
      <c r="V7" s="144" t="s">
        <v>13</v>
      </c>
      <c r="W7" s="143" t="s">
        <v>11</v>
      </c>
      <c r="X7" s="143"/>
      <c r="Y7" s="144" t="s">
        <v>14</v>
      </c>
      <c r="Z7" s="144" t="s">
        <v>14</v>
      </c>
      <c r="AA7" s="143" t="s">
        <v>11</v>
      </c>
      <c r="AB7" s="144" t="s">
        <v>12</v>
      </c>
      <c r="AC7" s="144" t="s">
        <v>13</v>
      </c>
      <c r="AD7" s="144" t="s">
        <v>14</v>
      </c>
    </row>
    <row r="8" spans="1:32">
      <c r="A8" s="143" t="s">
        <v>11</v>
      </c>
      <c r="B8" s="144" t="s">
        <v>15</v>
      </c>
      <c r="C8" s="144" t="s">
        <v>15</v>
      </c>
      <c r="D8" s="143" t="s">
        <v>11</v>
      </c>
      <c r="E8" s="144" t="s">
        <v>15</v>
      </c>
      <c r="F8" s="144" t="s">
        <v>15</v>
      </c>
      <c r="G8" s="143" t="s">
        <v>11</v>
      </c>
      <c r="H8" s="144" t="s">
        <v>15</v>
      </c>
      <c r="I8" s="144" t="s">
        <v>15</v>
      </c>
      <c r="J8" s="143" t="s">
        <v>11</v>
      </c>
      <c r="K8" s="144" t="s">
        <v>16</v>
      </c>
      <c r="L8" s="144" t="s">
        <v>16</v>
      </c>
      <c r="M8" s="144" t="s">
        <v>16</v>
      </c>
      <c r="P8" s="143" t="s">
        <v>11</v>
      </c>
      <c r="Q8" s="144" t="s">
        <v>15</v>
      </c>
      <c r="R8" s="144" t="s">
        <v>15</v>
      </c>
      <c r="S8" s="143" t="s">
        <v>11</v>
      </c>
      <c r="T8" s="145"/>
      <c r="U8" s="144" t="s">
        <v>15</v>
      </c>
      <c r="V8" s="144" t="s">
        <v>15</v>
      </c>
      <c r="W8" s="143" t="s">
        <v>11</v>
      </c>
      <c r="X8" s="143"/>
      <c r="Y8" s="144" t="s">
        <v>15</v>
      </c>
      <c r="Z8" s="144" t="s">
        <v>15</v>
      </c>
      <c r="AA8" s="143" t="s">
        <v>11</v>
      </c>
      <c r="AB8" s="144" t="s">
        <v>16</v>
      </c>
      <c r="AC8" s="144" t="s">
        <v>16</v>
      </c>
      <c r="AD8" s="144" t="s">
        <v>16</v>
      </c>
    </row>
    <row r="9" spans="1:32">
      <c r="A9" s="143" t="s">
        <v>11</v>
      </c>
      <c r="B9" s="146" t="s">
        <v>8</v>
      </c>
      <c r="C9" s="146" t="s">
        <v>17</v>
      </c>
      <c r="D9" s="147" t="s">
        <v>11</v>
      </c>
      <c r="E9" s="146" t="s">
        <v>8</v>
      </c>
      <c r="F9" s="146" t="s">
        <v>17</v>
      </c>
      <c r="G9" s="147" t="s">
        <v>11</v>
      </c>
      <c r="H9" s="146" t="s">
        <v>8</v>
      </c>
      <c r="I9" s="146" t="s">
        <v>17</v>
      </c>
      <c r="J9" s="147" t="s">
        <v>11</v>
      </c>
      <c r="K9" s="146" t="s">
        <v>8</v>
      </c>
      <c r="L9" s="146" t="s">
        <v>8</v>
      </c>
      <c r="M9" s="146" t="s">
        <v>8</v>
      </c>
      <c r="P9" s="143" t="s">
        <v>11</v>
      </c>
      <c r="Q9" s="146" t="s">
        <v>8</v>
      </c>
      <c r="R9" s="146" t="s">
        <v>17</v>
      </c>
      <c r="S9" s="147" t="s">
        <v>11</v>
      </c>
      <c r="T9" s="142" t="s">
        <v>18</v>
      </c>
      <c r="U9" s="146" t="s">
        <v>8</v>
      </c>
      <c r="V9" s="146" t="s">
        <v>17</v>
      </c>
      <c r="W9" s="147" t="s">
        <v>11</v>
      </c>
      <c r="X9" s="142" t="s">
        <v>18</v>
      </c>
      <c r="Y9" s="146" t="s">
        <v>8</v>
      </c>
      <c r="Z9" s="146" t="s">
        <v>17</v>
      </c>
      <c r="AA9" s="147" t="s">
        <v>11</v>
      </c>
      <c r="AB9" s="146" t="s">
        <v>8</v>
      </c>
      <c r="AC9" s="146" t="s">
        <v>8</v>
      </c>
      <c r="AD9" s="146" t="s">
        <v>8</v>
      </c>
    </row>
    <row r="10" spans="1:32">
      <c r="A10" s="143" t="s">
        <v>11</v>
      </c>
      <c r="B10" s="163" t="s">
        <v>11</v>
      </c>
      <c r="C10" s="163" t="s">
        <v>19</v>
      </c>
      <c r="D10" s="163" t="s">
        <v>20</v>
      </c>
      <c r="E10" s="163" t="s">
        <v>19</v>
      </c>
      <c r="F10" s="163" t="s">
        <v>19</v>
      </c>
      <c r="G10" s="163" t="s">
        <v>21</v>
      </c>
      <c r="H10" s="163" t="s">
        <v>19</v>
      </c>
      <c r="I10" s="163" t="s">
        <v>19</v>
      </c>
      <c r="J10" s="163" t="s">
        <v>21</v>
      </c>
      <c r="K10" s="163" t="s">
        <v>19</v>
      </c>
      <c r="L10" s="163" t="s">
        <v>19</v>
      </c>
      <c r="M10" s="163" t="s">
        <v>19</v>
      </c>
      <c r="P10" s="143" t="s">
        <v>11</v>
      </c>
      <c r="Q10" s="163" t="s">
        <v>11</v>
      </c>
      <c r="R10" s="163" t="s">
        <v>19</v>
      </c>
      <c r="S10" s="163" t="s">
        <v>20</v>
      </c>
      <c r="T10" s="164"/>
      <c r="U10" s="163" t="s">
        <v>19</v>
      </c>
      <c r="V10" s="163" t="s">
        <v>19</v>
      </c>
      <c r="W10" s="163" t="s">
        <v>21</v>
      </c>
      <c r="X10" s="163"/>
      <c r="Y10" s="163" t="s">
        <v>19</v>
      </c>
      <c r="Z10" s="163" t="s">
        <v>19</v>
      </c>
      <c r="AA10" s="163" t="s">
        <v>21</v>
      </c>
      <c r="AB10" s="163" t="s">
        <v>19</v>
      </c>
      <c r="AC10" s="163" t="s">
        <v>19</v>
      </c>
      <c r="AD10" s="163" t="s">
        <v>19</v>
      </c>
    </row>
    <row r="11" spans="1:32">
      <c r="A11" s="148" t="s">
        <v>22</v>
      </c>
      <c r="B11" s="148" t="s">
        <v>23</v>
      </c>
      <c r="C11" s="148" t="s">
        <v>23</v>
      </c>
      <c r="D11" s="148" t="s">
        <v>23</v>
      </c>
      <c r="E11" s="148" t="s">
        <v>23</v>
      </c>
      <c r="F11" s="148" t="s">
        <v>23</v>
      </c>
      <c r="G11" s="148" t="s">
        <v>23</v>
      </c>
      <c r="H11" s="148" t="s">
        <v>23</v>
      </c>
      <c r="I11" s="148" t="s">
        <v>23</v>
      </c>
      <c r="J11" s="148" t="s">
        <v>23</v>
      </c>
      <c r="K11" s="148" t="s">
        <v>23</v>
      </c>
      <c r="L11" s="148" t="s">
        <v>23</v>
      </c>
      <c r="M11" s="148" t="s">
        <v>23</v>
      </c>
      <c r="P11" s="148" t="s">
        <v>22</v>
      </c>
      <c r="Q11" s="148" t="s">
        <v>23</v>
      </c>
      <c r="R11" s="148" t="s">
        <v>23</v>
      </c>
      <c r="S11" s="148" t="s">
        <v>23</v>
      </c>
      <c r="T11" s="149"/>
      <c r="U11" s="148" t="s">
        <v>23</v>
      </c>
      <c r="V11" s="148" t="s">
        <v>23</v>
      </c>
      <c r="W11" s="148" t="s">
        <v>23</v>
      </c>
      <c r="X11" s="148"/>
      <c r="Y11" s="148" t="s">
        <v>23</v>
      </c>
      <c r="Z11" s="148" t="s">
        <v>23</v>
      </c>
      <c r="AA11" s="148" t="s">
        <v>23</v>
      </c>
      <c r="AB11" s="148" t="s">
        <v>23</v>
      </c>
      <c r="AC11" s="148" t="s">
        <v>23</v>
      </c>
      <c r="AD11" s="148" t="s">
        <v>23</v>
      </c>
    </row>
    <row r="12" spans="1:32">
      <c r="A12" s="143" t="s">
        <v>24</v>
      </c>
      <c r="B12" s="143" t="s">
        <v>25</v>
      </c>
      <c r="C12" s="143" t="s">
        <v>25</v>
      </c>
      <c r="D12" s="143" t="s">
        <v>25</v>
      </c>
      <c r="E12" s="143" t="s">
        <v>25</v>
      </c>
      <c r="F12" s="143" t="s">
        <v>25</v>
      </c>
      <c r="G12" s="143" t="s">
        <v>25</v>
      </c>
      <c r="H12" s="143" t="s">
        <v>25</v>
      </c>
      <c r="I12" s="143" t="s">
        <v>25</v>
      </c>
      <c r="J12" s="143" t="s">
        <v>25</v>
      </c>
      <c r="K12" s="143" t="s">
        <v>25</v>
      </c>
      <c r="L12" s="143" t="s">
        <v>25</v>
      </c>
      <c r="M12" s="143" t="s">
        <v>25</v>
      </c>
      <c r="P12" s="143" t="s">
        <v>24</v>
      </c>
      <c r="Q12" s="143" t="s">
        <v>25</v>
      </c>
      <c r="R12" s="143" t="s">
        <v>25</v>
      </c>
      <c r="S12" s="143" t="s">
        <v>25</v>
      </c>
      <c r="T12" s="145"/>
      <c r="U12" s="143" t="s">
        <v>25</v>
      </c>
      <c r="V12" s="143" t="s">
        <v>25</v>
      </c>
      <c r="W12" s="143" t="s">
        <v>25</v>
      </c>
      <c r="X12" s="143"/>
      <c r="Y12" s="143" t="s">
        <v>25</v>
      </c>
      <c r="Z12" s="143" t="s">
        <v>25</v>
      </c>
      <c r="AA12" s="143" t="s">
        <v>25</v>
      </c>
      <c r="AB12" s="143" t="s">
        <v>25</v>
      </c>
      <c r="AC12" s="143" t="s">
        <v>25</v>
      </c>
      <c r="AD12" s="143" t="s">
        <v>25</v>
      </c>
    </row>
    <row r="13" spans="1:32">
      <c r="A13" s="143" t="s">
        <v>26</v>
      </c>
      <c r="B13" s="143" t="s">
        <v>27</v>
      </c>
      <c r="C13" s="143" t="s">
        <v>27</v>
      </c>
      <c r="D13" s="143" t="s">
        <v>27</v>
      </c>
      <c r="E13" s="143" t="s">
        <v>27</v>
      </c>
      <c r="F13" s="143" t="s">
        <v>27</v>
      </c>
      <c r="G13" s="143" t="s">
        <v>27</v>
      </c>
      <c r="H13" s="143" t="s">
        <v>27</v>
      </c>
      <c r="I13" s="143" t="s">
        <v>27</v>
      </c>
      <c r="J13" s="143" t="s">
        <v>27</v>
      </c>
      <c r="K13" s="143" t="s">
        <v>27</v>
      </c>
      <c r="L13" s="143" t="s">
        <v>27</v>
      </c>
      <c r="M13" s="143" t="s">
        <v>27</v>
      </c>
      <c r="P13" s="143" t="s">
        <v>26</v>
      </c>
      <c r="Q13" s="143" t="s">
        <v>27</v>
      </c>
      <c r="R13" s="143" t="s">
        <v>27</v>
      </c>
      <c r="S13" s="143" t="s">
        <v>27</v>
      </c>
      <c r="T13" s="145"/>
      <c r="U13" s="143" t="s">
        <v>27</v>
      </c>
      <c r="V13" s="143" t="s">
        <v>27</v>
      </c>
      <c r="W13" s="143" t="s">
        <v>27</v>
      </c>
      <c r="X13" s="143"/>
      <c r="Y13" s="143" t="s">
        <v>27</v>
      </c>
      <c r="Z13" s="143" t="s">
        <v>27</v>
      </c>
      <c r="AA13" s="143" t="s">
        <v>27</v>
      </c>
      <c r="AB13" s="143" t="s">
        <v>27</v>
      </c>
      <c r="AC13" s="143" t="s">
        <v>27</v>
      </c>
      <c r="AD13" s="143" t="s">
        <v>27</v>
      </c>
    </row>
    <row r="14" spans="1:32">
      <c r="A14" s="143" t="s">
        <v>28</v>
      </c>
      <c r="B14" s="143" t="s">
        <v>29</v>
      </c>
      <c r="C14" s="143" t="s">
        <v>29</v>
      </c>
      <c r="D14" s="143" t="s">
        <v>29</v>
      </c>
      <c r="E14" s="143" t="s">
        <v>29</v>
      </c>
      <c r="F14" s="143" t="s">
        <v>29</v>
      </c>
      <c r="G14" s="143" t="s">
        <v>29</v>
      </c>
      <c r="H14" s="143" t="s">
        <v>29</v>
      </c>
      <c r="I14" s="143" t="s">
        <v>29</v>
      </c>
      <c r="J14" s="143" t="s">
        <v>29</v>
      </c>
      <c r="K14" s="143" t="s">
        <v>29</v>
      </c>
      <c r="L14" s="143" t="s">
        <v>29</v>
      </c>
      <c r="M14" s="143" t="s">
        <v>29</v>
      </c>
      <c r="P14" s="143" t="s">
        <v>28</v>
      </c>
      <c r="Q14" s="143" t="s">
        <v>29</v>
      </c>
      <c r="R14" s="143" t="s">
        <v>29</v>
      </c>
      <c r="S14" s="143" t="s">
        <v>29</v>
      </c>
      <c r="T14" s="145"/>
      <c r="U14" s="143" t="s">
        <v>29</v>
      </c>
      <c r="V14" s="143" t="s">
        <v>29</v>
      </c>
      <c r="W14" s="143" t="s">
        <v>29</v>
      </c>
      <c r="X14" s="143"/>
      <c r="Y14" s="143" t="s">
        <v>29</v>
      </c>
      <c r="Z14" s="143" t="s">
        <v>29</v>
      </c>
      <c r="AA14" s="143" t="s">
        <v>29</v>
      </c>
      <c r="AB14" s="143" t="s">
        <v>29</v>
      </c>
      <c r="AC14" s="143" t="s">
        <v>29</v>
      </c>
      <c r="AD14" s="143" t="s">
        <v>29</v>
      </c>
    </row>
    <row r="15" spans="1:32">
      <c r="A15" s="143" t="s">
        <v>30</v>
      </c>
      <c r="B15" s="150">
        <v>475556</v>
      </c>
      <c r="C15" s="150">
        <v>466037</v>
      </c>
      <c r="D15" s="150">
        <v>9519</v>
      </c>
      <c r="E15" s="150">
        <v>112279</v>
      </c>
      <c r="F15" s="150">
        <v>107888</v>
      </c>
      <c r="G15" s="150">
        <v>4391</v>
      </c>
      <c r="H15" s="150">
        <v>587835</v>
      </c>
      <c r="I15" s="150">
        <v>573925</v>
      </c>
      <c r="J15" s="150">
        <v>13910</v>
      </c>
      <c r="K15" s="150">
        <v>3614956</v>
      </c>
      <c r="L15" s="150">
        <v>944110</v>
      </c>
      <c r="M15" s="150">
        <v>4559066</v>
      </c>
      <c r="P15" s="143" t="s">
        <v>30</v>
      </c>
      <c r="Q15" s="150">
        <v>475556</v>
      </c>
      <c r="R15" s="150">
        <v>466037</v>
      </c>
      <c r="S15" s="150">
        <v>9519</v>
      </c>
      <c r="T15" s="151" t="s">
        <v>31</v>
      </c>
      <c r="U15" s="150">
        <v>112279</v>
      </c>
      <c r="V15" s="150">
        <v>107888</v>
      </c>
      <c r="W15" s="150">
        <v>4391</v>
      </c>
      <c r="X15" s="151" t="s">
        <v>31</v>
      </c>
      <c r="Y15" s="150">
        <v>587835</v>
      </c>
      <c r="Z15" s="150">
        <v>573925</v>
      </c>
      <c r="AA15" s="150">
        <v>13910</v>
      </c>
      <c r="AB15" s="150">
        <v>3614956</v>
      </c>
      <c r="AC15" s="150">
        <v>944110</v>
      </c>
      <c r="AD15" s="150">
        <v>4559066</v>
      </c>
      <c r="AE15" s="165">
        <f>AD15-M15</f>
        <v>0</v>
      </c>
    </row>
    <row r="16" spans="1:32">
      <c r="A16" s="143" t="s">
        <v>32</v>
      </c>
      <c r="B16" s="150">
        <v>26424</v>
      </c>
      <c r="C16" s="150">
        <v>26260</v>
      </c>
      <c r="D16" s="150">
        <v>163</v>
      </c>
      <c r="E16" s="150">
        <v>0</v>
      </c>
      <c r="F16" s="150">
        <v>0</v>
      </c>
      <c r="G16" s="150">
        <v>0</v>
      </c>
      <c r="H16" s="150">
        <v>26424</v>
      </c>
      <c r="I16" s="150">
        <v>26261</v>
      </c>
      <c r="J16" s="150">
        <v>163</v>
      </c>
      <c r="K16" s="150">
        <v>190432</v>
      </c>
      <c r="L16" s="150">
        <v>0</v>
      </c>
      <c r="M16" s="150">
        <v>190432</v>
      </c>
      <c r="P16" s="143" t="s">
        <v>32</v>
      </c>
      <c r="Q16" s="150">
        <v>26424</v>
      </c>
      <c r="R16" s="150">
        <v>26260</v>
      </c>
      <c r="S16" s="150">
        <v>163</v>
      </c>
      <c r="T16" s="151" t="s">
        <v>31</v>
      </c>
      <c r="U16" s="150">
        <v>0</v>
      </c>
      <c r="V16" s="150">
        <v>0</v>
      </c>
      <c r="W16" s="150">
        <v>0</v>
      </c>
      <c r="X16" s="151" t="s">
        <v>31</v>
      </c>
      <c r="Y16" s="150">
        <v>26424</v>
      </c>
      <c r="Z16" s="150">
        <v>26261</v>
      </c>
      <c r="AA16" s="150">
        <v>163</v>
      </c>
      <c r="AB16" s="150">
        <v>190432</v>
      </c>
      <c r="AC16" s="150">
        <v>0</v>
      </c>
      <c r="AD16" s="150">
        <v>190432</v>
      </c>
      <c r="AE16" s="165">
        <f t="shared" ref="AE16:AE79" si="0">AD16-M16</f>
        <v>0</v>
      </c>
    </row>
    <row r="17" spans="1:32">
      <c r="A17" s="143" t="s">
        <v>33</v>
      </c>
      <c r="B17" s="150">
        <v>290032</v>
      </c>
      <c r="C17" s="150">
        <v>288895</v>
      </c>
      <c r="D17" s="150">
        <v>1138</v>
      </c>
      <c r="E17" s="150">
        <v>18314</v>
      </c>
      <c r="F17" s="150">
        <v>18907</v>
      </c>
      <c r="G17" s="150">
        <v>-593</v>
      </c>
      <c r="H17" s="150">
        <v>308346</v>
      </c>
      <c r="I17" s="150">
        <v>307801</v>
      </c>
      <c r="J17" s="150">
        <v>544</v>
      </c>
      <c r="K17" s="150">
        <v>2096854</v>
      </c>
      <c r="L17" s="150">
        <v>153090</v>
      </c>
      <c r="M17" s="150">
        <v>2249943</v>
      </c>
      <c r="P17" s="143" t="s">
        <v>33</v>
      </c>
      <c r="Q17" s="150">
        <v>290032</v>
      </c>
      <c r="R17" s="150">
        <v>288895</v>
      </c>
      <c r="S17" s="150">
        <v>1138</v>
      </c>
      <c r="T17" s="151" t="s">
        <v>31</v>
      </c>
      <c r="U17" s="150">
        <v>18314</v>
      </c>
      <c r="V17" s="150">
        <v>18907</v>
      </c>
      <c r="W17" s="150">
        <v>-593</v>
      </c>
      <c r="X17" s="151" t="s">
        <v>31</v>
      </c>
      <c r="Y17" s="150">
        <v>308346</v>
      </c>
      <c r="Z17" s="150">
        <v>307801</v>
      </c>
      <c r="AA17" s="150">
        <v>544</v>
      </c>
      <c r="AB17" s="150">
        <v>2096854</v>
      </c>
      <c r="AC17" s="150">
        <v>153090</v>
      </c>
      <c r="AD17" s="150">
        <v>2249943</v>
      </c>
      <c r="AE17" s="165">
        <f t="shared" si="0"/>
        <v>0</v>
      </c>
    </row>
    <row r="18" spans="1:32">
      <c r="A18" s="143" t="s">
        <v>34</v>
      </c>
      <c r="B18" s="150">
        <v>27600</v>
      </c>
      <c r="C18" s="150">
        <v>33100</v>
      </c>
      <c r="D18" s="150">
        <v>-5500</v>
      </c>
      <c r="E18" s="150">
        <v>77093</v>
      </c>
      <c r="F18" s="150">
        <v>20362</v>
      </c>
      <c r="G18" s="150">
        <v>56732</v>
      </c>
      <c r="H18" s="150">
        <v>104693</v>
      </c>
      <c r="I18" s="150">
        <v>53462</v>
      </c>
      <c r="J18" s="150">
        <v>51232</v>
      </c>
      <c r="K18" s="150">
        <v>435343</v>
      </c>
      <c r="L18" s="150">
        <v>239452</v>
      </c>
      <c r="M18" s="150">
        <v>674796</v>
      </c>
      <c r="P18" s="143" t="s">
        <v>34</v>
      </c>
      <c r="Q18" s="150">
        <v>27600</v>
      </c>
      <c r="R18" s="150">
        <v>33100</v>
      </c>
      <c r="S18" s="150">
        <v>-5500</v>
      </c>
      <c r="T18" s="151"/>
      <c r="U18" s="150">
        <v>77093</v>
      </c>
      <c r="V18" s="150">
        <v>20362</v>
      </c>
      <c r="W18" s="150">
        <v>56732</v>
      </c>
      <c r="X18" s="150"/>
      <c r="Y18" s="150">
        <v>104693</v>
      </c>
      <c r="Z18" s="150">
        <v>53462</v>
      </c>
      <c r="AA18" s="150">
        <v>51232</v>
      </c>
      <c r="AB18" s="150">
        <v>435343</v>
      </c>
      <c r="AC18" s="150">
        <v>239452</v>
      </c>
      <c r="AD18" s="150">
        <v>674796</v>
      </c>
      <c r="AE18" s="165">
        <f t="shared" si="0"/>
        <v>0</v>
      </c>
    </row>
    <row r="19" spans="1:32">
      <c r="A19" s="143" t="s">
        <v>35</v>
      </c>
      <c r="B19" s="150">
        <v>34769</v>
      </c>
      <c r="C19" s="150">
        <v>12686</v>
      </c>
      <c r="D19" s="150">
        <v>22082</v>
      </c>
      <c r="E19" s="150">
        <v>1370</v>
      </c>
      <c r="F19" s="150">
        <v>0</v>
      </c>
      <c r="G19" s="150">
        <v>1370</v>
      </c>
      <c r="H19" s="150">
        <v>36139</v>
      </c>
      <c r="I19" s="150">
        <v>12686</v>
      </c>
      <c r="J19" s="150">
        <v>23453</v>
      </c>
      <c r="K19" s="150">
        <v>233755</v>
      </c>
      <c r="L19" s="150">
        <v>34156</v>
      </c>
      <c r="M19" s="150">
        <v>267911</v>
      </c>
      <c r="P19" s="143" t="s">
        <v>35</v>
      </c>
      <c r="Q19" s="150">
        <v>34769</v>
      </c>
      <c r="R19" s="150">
        <v>12686</v>
      </c>
      <c r="S19" s="150">
        <v>22082</v>
      </c>
      <c r="T19" s="151"/>
      <c r="U19" s="150">
        <v>1370</v>
      </c>
      <c r="V19" s="150">
        <v>0</v>
      </c>
      <c r="W19" s="150">
        <v>1370</v>
      </c>
      <c r="X19" s="150"/>
      <c r="Y19" s="150">
        <v>36139</v>
      </c>
      <c r="Z19" s="150">
        <v>12686</v>
      </c>
      <c r="AA19" s="150">
        <v>23453</v>
      </c>
      <c r="AB19" s="150">
        <v>233755</v>
      </c>
      <c r="AC19" s="150">
        <v>34156</v>
      </c>
      <c r="AD19" s="150">
        <v>267911</v>
      </c>
      <c r="AE19" s="165">
        <f t="shared" si="0"/>
        <v>0</v>
      </c>
    </row>
    <row r="20" spans="1:32">
      <c r="A20" s="143" t="s">
        <v>36</v>
      </c>
      <c r="B20" s="150">
        <v>89562</v>
      </c>
      <c r="C20" s="150">
        <v>489858</v>
      </c>
      <c r="D20" s="150">
        <v>-400295</v>
      </c>
      <c r="E20" s="150">
        <v>578108</v>
      </c>
      <c r="F20" s="150">
        <v>313597</v>
      </c>
      <c r="G20" s="150">
        <v>264511</v>
      </c>
      <c r="H20" s="150">
        <v>667670</v>
      </c>
      <c r="I20" s="150">
        <v>803455</v>
      </c>
      <c r="J20" s="150">
        <v>-135785</v>
      </c>
      <c r="K20" s="150">
        <v>1777597</v>
      </c>
      <c r="L20" s="150">
        <v>2583872</v>
      </c>
      <c r="M20" s="150">
        <v>4361469</v>
      </c>
      <c r="P20" s="143" t="s">
        <v>36</v>
      </c>
      <c r="Q20" s="150">
        <v>89562</v>
      </c>
      <c r="R20" s="150">
        <v>489858</v>
      </c>
      <c r="S20" s="150">
        <v>-400295</v>
      </c>
      <c r="T20" s="151"/>
      <c r="U20" s="150">
        <v>578108</v>
      </c>
      <c r="V20" s="150">
        <v>313597</v>
      </c>
      <c r="W20" s="150">
        <v>264511</v>
      </c>
      <c r="X20" s="150"/>
      <c r="Y20" s="150">
        <v>667670</v>
      </c>
      <c r="Z20" s="150">
        <v>803455</v>
      </c>
      <c r="AA20" s="150">
        <v>-135785</v>
      </c>
      <c r="AB20" s="150">
        <v>1777597</v>
      </c>
      <c r="AC20" s="150">
        <v>2583872</v>
      </c>
      <c r="AD20" s="150">
        <v>4361469</v>
      </c>
      <c r="AE20" s="165">
        <f t="shared" si="0"/>
        <v>0</v>
      </c>
    </row>
    <row r="21" spans="1:32">
      <c r="A21" s="143" t="s">
        <v>37</v>
      </c>
      <c r="B21" s="150">
        <v>5607</v>
      </c>
      <c r="C21" s="150">
        <v>6270</v>
      </c>
      <c r="D21" s="150">
        <v>-663</v>
      </c>
      <c r="E21" s="150">
        <v>779</v>
      </c>
      <c r="F21" s="150">
        <v>778</v>
      </c>
      <c r="G21" s="150">
        <v>0</v>
      </c>
      <c r="H21" s="150">
        <v>6386</v>
      </c>
      <c r="I21" s="150">
        <v>7049</v>
      </c>
      <c r="J21" s="150">
        <v>-663</v>
      </c>
      <c r="K21" s="150">
        <v>50940</v>
      </c>
      <c r="L21" s="150">
        <v>9109</v>
      </c>
      <c r="M21" s="150">
        <v>60049</v>
      </c>
      <c r="P21" s="143" t="s">
        <v>37</v>
      </c>
      <c r="Q21" s="150">
        <v>5607</v>
      </c>
      <c r="R21" s="150">
        <v>6270</v>
      </c>
      <c r="S21" s="150">
        <v>-663</v>
      </c>
      <c r="T21" s="151"/>
      <c r="U21" s="150">
        <v>779</v>
      </c>
      <c r="V21" s="150">
        <v>778</v>
      </c>
      <c r="W21" s="150">
        <v>0</v>
      </c>
      <c r="X21" s="150"/>
      <c r="Y21" s="150">
        <v>6386</v>
      </c>
      <c r="Z21" s="150">
        <v>7049</v>
      </c>
      <c r="AA21" s="150">
        <v>-662</v>
      </c>
      <c r="AB21" s="150">
        <v>50940</v>
      </c>
      <c r="AC21" s="150">
        <v>9109</v>
      </c>
      <c r="AD21" s="150">
        <v>60049</v>
      </c>
      <c r="AE21" s="165">
        <f t="shared" si="0"/>
        <v>0</v>
      </c>
    </row>
    <row r="22" spans="1:32">
      <c r="A22" s="143" t="s">
        <v>38</v>
      </c>
      <c r="B22" s="152">
        <v>949550</v>
      </c>
      <c r="C22" s="152">
        <v>1323106</v>
      </c>
      <c r="D22" s="152">
        <v>-373556</v>
      </c>
      <c r="E22" s="152">
        <v>787943</v>
      </c>
      <c r="F22" s="152">
        <v>461532</v>
      </c>
      <c r="G22" s="152">
        <v>326411</v>
      </c>
      <c r="H22" s="152">
        <v>1737493</v>
      </c>
      <c r="I22" s="152">
        <v>1784639</v>
      </c>
      <c r="J22" s="152">
        <v>-47146</v>
      </c>
      <c r="K22" s="152">
        <v>8399877</v>
      </c>
      <c r="L22" s="152">
        <v>3963789</v>
      </c>
      <c r="M22" s="152">
        <v>12363666</v>
      </c>
      <c r="P22" s="143" t="s">
        <v>38</v>
      </c>
      <c r="Q22" s="152">
        <v>949550</v>
      </c>
      <c r="R22" s="152">
        <v>1323106</v>
      </c>
      <c r="S22" s="152">
        <v>-373556</v>
      </c>
      <c r="T22" s="153"/>
      <c r="U22" s="152">
        <v>787943</v>
      </c>
      <c r="V22" s="152">
        <v>461532</v>
      </c>
      <c r="W22" s="152">
        <v>326411</v>
      </c>
      <c r="X22" s="152"/>
      <c r="Y22" s="152">
        <v>1737493</v>
      </c>
      <c r="Z22" s="152">
        <v>1784639</v>
      </c>
      <c r="AA22" s="152">
        <v>-47145</v>
      </c>
      <c r="AB22" s="152">
        <v>8399877</v>
      </c>
      <c r="AC22" s="152">
        <v>3963789</v>
      </c>
      <c r="AD22" s="152">
        <v>12363666</v>
      </c>
      <c r="AE22" s="165">
        <f t="shared" si="0"/>
        <v>0</v>
      </c>
    </row>
    <row r="23" spans="1:32">
      <c r="A23" s="143" t="s">
        <v>39</v>
      </c>
      <c r="B23" s="143" t="s">
        <v>29</v>
      </c>
      <c r="C23" s="143" t="s">
        <v>29</v>
      </c>
      <c r="D23" s="143" t="s">
        <v>29</v>
      </c>
      <c r="E23" s="143" t="s">
        <v>29</v>
      </c>
      <c r="F23" s="143" t="s">
        <v>29</v>
      </c>
      <c r="G23" s="143" t="s">
        <v>29</v>
      </c>
      <c r="H23" s="143" t="s">
        <v>29</v>
      </c>
      <c r="I23" s="143" t="s">
        <v>29</v>
      </c>
      <c r="J23" s="143" t="s">
        <v>29</v>
      </c>
      <c r="K23" s="143" t="s">
        <v>29</v>
      </c>
      <c r="L23" s="143" t="s">
        <v>29</v>
      </c>
      <c r="M23" s="143" t="s">
        <v>29</v>
      </c>
      <c r="P23" s="143" t="s">
        <v>39</v>
      </c>
      <c r="Q23" s="143" t="s">
        <v>29</v>
      </c>
      <c r="R23" s="143" t="s">
        <v>29</v>
      </c>
      <c r="S23" s="143" t="s">
        <v>29</v>
      </c>
      <c r="T23" s="145"/>
      <c r="U23" s="143" t="s">
        <v>29</v>
      </c>
      <c r="V23" s="143" t="s">
        <v>29</v>
      </c>
      <c r="W23" s="143" t="s">
        <v>29</v>
      </c>
      <c r="X23" s="143"/>
      <c r="Y23" s="143" t="s">
        <v>29</v>
      </c>
      <c r="Z23" s="143" t="s">
        <v>29</v>
      </c>
      <c r="AA23" s="143" t="s">
        <v>29</v>
      </c>
      <c r="AB23" s="143" t="s">
        <v>29</v>
      </c>
      <c r="AC23" s="143" t="s">
        <v>29</v>
      </c>
      <c r="AD23" s="143" t="s">
        <v>29</v>
      </c>
      <c r="AE23" s="165"/>
    </row>
    <row r="24" spans="1:32">
      <c r="A24" s="143" t="s">
        <v>40</v>
      </c>
      <c r="B24" s="150">
        <v>20096</v>
      </c>
      <c r="C24" s="150">
        <v>18008</v>
      </c>
      <c r="D24" s="150">
        <v>2087</v>
      </c>
      <c r="E24" s="150">
        <v>8347</v>
      </c>
      <c r="F24" s="150">
        <v>6455</v>
      </c>
      <c r="G24" s="150">
        <v>1890</v>
      </c>
      <c r="H24" s="150">
        <v>28443</v>
      </c>
      <c r="I24" s="150">
        <v>24465</v>
      </c>
      <c r="J24" s="150">
        <v>3979</v>
      </c>
      <c r="K24" s="150">
        <v>142559</v>
      </c>
      <c r="L24" s="150">
        <v>52378</v>
      </c>
      <c r="M24" s="150">
        <v>194937</v>
      </c>
      <c r="P24" s="143" t="s">
        <v>40</v>
      </c>
      <c r="Q24" s="150">
        <v>19872</v>
      </c>
      <c r="R24" s="150">
        <v>18008</v>
      </c>
      <c r="S24" s="150">
        <v>1863</v>
      </c>
      <c r="T24" s="151"/>
      <c r="U24" s="150">
        <v>8347</v>
      </c>
      <c r="V24" s="150">
        <v>6455</v>
      </c>
      <c r="W24" s="150">
        <v>1890</v>
      </c>
      <c r="X24" s="150"/>
      <c r="Y24" s="150">
        <v>28218</v>
      </c>
      <c r="Z24" s="150">
        <v>24465</v>
      </c>
      <c r="AA24" s="150">
        <v>3754</v>
      </c>
      <c r="AB24" s="150">
        <v>142335</v>
      </c>
      <c r="AC24" s="150">
        <v>52378</v>
      </c>
      <c r="AD24" s="150">
        <v>194713</v>
      </c>
      <c r="AE24" s="165">
        <f t="shared" si="0"/>
        <v>-224</v>
      </c>
      <c r="AF24" s="162" t="s">
        <v>41</v>
      </c>
    </row>
    <row r="25" spans="1:32">
      <c r="A25" s="143" t="s">
        <v>42</v>
      </c>
      <c r="B25" s="150">
        <v>11284</v>
      </c>
      <c r="C25" s="150">
        <v>11188</v>
      </c>
      <c r="D25" s="150">
        <v>96</v>
      </c>
      <c r="E25" s="150">
        <v>0</v>
      </c>
      <c r="F25" s="150">
        <v>0</v>
      </c>
      <c r="G25" s="150">
        <v>0</v>
      </c>
      <c r="H25" s="150">
        <v>11283</v>
      </c>
      <c r="I25" s="150">
        <v>11187</v>
      </c>
      <c r="J25" s="150">
        <v>96</v>
      </c>
      <c r="K25" s="150">
        <v>87370</v>
      </c>
      <c r="L25" s="150">
        <v>0</v>
      </c>
      <c r="M25" s="150">
        <v>87370</v>
      </c>
      <c r="P25" s="143" t="s">
        <v>42</v>
      </c>
      <c r="Q25" s="150">
        <v>11283</v>
      </c>
      <c r="R25" s="150">
        <v>11188</v>
      </c>
      <c r="S25" s="150">
        <v>97</v>
      </c>
      <c r="T25" s="151"/>
      <c r="U25" s="150">
        <v>0</v>
      </c>
      <c r="V25" s="150">
        <v>0</v>
      </c>
      <c r="W25" s="150">
        <v>0</v>
      </c>
      <c r="X25" s="150"/>
      <c r="Y25" s="150">
        <v>11284</v>
      </c>
      <c r="Z25" s="150">
        <v>11187</v>
      </c>
      <c r="AA25" s="150">
        <v>96</v>
      </c>
      <c r="AB25" s="150">
        <v>87370</v>
      </c>
      <c r="AC25" s="150">
        <v>0</v>
      </c>
      <c r="AD25" s="150">
        <v>87370</v>
      </c>
      <c r="AE25" s="165">
        <f t="shared" si="0"/>
        <v>0</v>
      </c>
    </row>
    <row r="26" spans="1:32">
      <c r="A26" s="143" t="s">
        <v>43</v>
      </c>
      <c r="B26" s="150">
        <v>169772</v>
      </c>
      <c r="C26" s="150">
        <v>167674</v>
      </c>
      <c r="D26" s="150">
        <v>2099</v>
      </c>
      <c r="E26" s="150">
        <v>9204</v>
      </c>
      <c r="F26" s="150">
        <v>10188</v>
      </c>
      <c r="G26" s="150">
        <v>-983</v>
      </c>
      <c r="H26" s="150">
        <v>178977</v>
      </c>
      <c r="I26" s="150">
        <v>177862</v>
      </c>
      <c r="J26" s="150">
        <v>1115</v>
      </c>
      <c r="K26" s="150">
        <v>1289528</v>
      </c>
      <c r="L26" s="150">
        <v>67206</v>
      </c>
      <c r="M26" s="150">
        <v>1356733</v>
      </c>
      <c r="P26" s="143" t="s">
        <v>43</v>
      </c>
      <c r="Q26" s="150">
        <v>169773</v>
      </c>
      <c r="R26" s="150">
        <v>167674</v>
      </c>
      <c r="S26" s="150">
        <v>2098</v>
      </c>
      <c r="T26" s="151"/>
      <c r="U26" s="150">
        <v>9204</v>
      </c>
      <c r="V26" s="150">
        <v>10188</v>
      </c>
      <c r="W26" s="150">
        <v>-983</v>
      </c>
      <c r="X26" s="150"/>
      <c r="Y26" s="150">
        <v>178976</v>
      </c>
      <c r="Z26" s="150">
        <v>177862</v>
      </c>
      <c r="AA26" s="150">
        <v>1115</v>
      </c>
      <c r="AB26" s="150">
        <v>1289527</v>
      </c>
      <c r="AC26" s="150">
        <v>67206</v>
      </c>
      <c r="AD26" s="150">
        <v>1356733</v>
      </c>
      <c r="AE26" s="165">
        <f t="shared" si="0"/>
        <v>0</v>
      </c>
    </row>
    <row r="27" spans="1:32">
      <c r="A27" s="143" t="s">
        <v>44</v>
      </c>
      <c r="B27" s="150">
        <v>0</v>
      </c>
      <c r="C27" s="150">
        <v>1028</v>
      </c>
      <c r="D27" s="150">
        <v>-1029</v>
      </c>
      <c r="E27" s="150">
        <v>0</v>
      </c>
      <c r="F27" s="150">
        <v>0</v>
      </c>
      <c r="G27" s="150">
        <v>0</v>
      </c>
      <c r="H27" s="150">
        <v>0</v>
      </c>
      <c r="I27" s="150">
        <v>1028</v>
      </c>
      <c r="J27" s="150">
        <v>-1029</v>
      </c>
      <c r="K27" s="150">
        <v>2822</v>
      </c>
      <c r="L27" s="150">
        <v>76</v>
      </c>
      <c r="M27" s="150">
        <v>2899</v>
      </c>
      <c r="P27" s="143" t="s">
        <v>44</v>
      </c>
      <c r="Q27" s="150">
        <v>0</v>
      </c>
      <c r="R27" s="150">
        <v>1028</v>
      </c>
      <c r="S27" s="150">
        <v>-1028</v>
      </c>
      <c r="T27" s="151"/>
      <c r="U27" s="150">
        <v>0</v>
      </c>
      <c r="V27" s="150">
        <v>0</v>
      </c>
      <c r="W27" s="150">
        <v>0</v>
      </c>
      <c r="X27" s="150"/>
      <c r="Y27" s="150">
        <v>0</v>
      </c>
      <c r="Z27" s="150">
        <v>1028</v>
      </c>
      <c r="AA27" s="150">
        <v>-1029</v>
      </c>
      <c r="AB27" s="150">
        <v>2823</v>
      </c>
      <c r="AC27" s="150">
        <v>76</v>
      </c>
      <c r="AD27" s="150">
        <v>2899</v>
      </c>
      <c r="AE27" s="165">
        <f t="shared" si="0"/>
        <v>0</v>
      </c>
    </row>
    <row r="28" spans="1:32">
      <c r="A28" s="143" t="s">
        <v>45</v>
      </c>
      <c r="B28" s="150">
        <v>28974</v>
      </c>
      <c r="C28" s="150">
        <v>10572</v>
      </c>
      <c r="D28" s="150">
        <v>18403</v>
      </c>
      <c r="E28" s="150">
        <v>2365</v>
      </c>
      <c r="F28" s="150">
        <v>1351</v>
      </c>
      <c r="G28" s="150">
        <v>1014</v>
      </c>
      <c r="H28" s="150">
        <v>31339</v>
      </c>
      <c r="I28" s="150">
        <v>11923</v>
      </c>
      <c r="J28" s="150">
        <v>19417</v>
      </c>
      <c r="K28" s="150">
        <v>197773</v>
      </c>
      <c r="L28" s="150">
        <v>30874</v>
      </c>
      <c r="M28" s="150">
        <v>228648</v>
      </c>
      <c r="P28" s="143" t="s">
        <v>45</v>
      </c>
      <c r="Q28" s="150">
        <v>28974</v>
      </c>
      <c r="R28" s="150">
        <v>10572</v>
      </c>
      <c r="S28" s="150">
        <v>18402</v>
      </c>
      <c r="T28" s="151"/>
      <c r="U28" s="150">
        <v>2365</v>
      </c>
      <c r="V28" s="150">
        <v>1351</v>
      </c>
      <c r="W28" s="150">
        <v>1014</v>
      </c>
      <c r="X28" s="150"/>
      <c r="Y28" s="150">
        <v>31339</v>
      </c>
      <c r="Z28" s="150">
        <v>11923</v>
      </c>
      <c r="AA28" s="150">
        <v>19417</v>
      </c>
      <c r="AB28" s="150">
        <v>197773</v>
      </c>
      <c r="AC28" s="150">
        <v>30874</v>
      </c>
      <c r="AD28" s="150">
        <v>228647</v>
      </c>
      <c r="AE28" s="165">
        <f t="shared" si="0"/>
        <v>-1</v>
      </c>
    </row>
    <row r="29" spans="1:32">
      <c r="A29" s="143" t="s">
        <v>46</v>
      </c>
      <c r="B29" s="150">
        <v>82173</v>
      </c>
      <c r="C29" s="150">
        <v>414605</v>
      </c>
      <c r="D29" s="150">
        <v>-332432</v>
      </c>
      <c r="E29" s="150">
        <v>487257</v>
      </c>
      <c r="F29" s="150">
        <v>280372</v>
      </c>
      <c r="G29" s="150">
        <v>206885</v>
      </c>
      <c r="H29" s="150">
        <v>569431</v>
      </c>
      <c r="I29" s="150">
        <v>694977</v>
      </c>
      <c r="J29" s="150">
        <v>-125547</v>
      </c>
      <c r="K29" s="150">
        <v>1511016</v>
      </c>
      <c r="L29" s="150">
        <v>2188337</v>
      </c>
      <c r="M29" s="150">
        <v>3699352</v>
      </c>
      <c r="P29" s="143" t="s">
        <v>46</v>
      </c>
      <c r="Q29" s="150">
        <v>82173</v>
      </c>
      <c r="R29" s="150">
        <v>414605</v>
      </c>
      <c r="S29" s="150">
        <v>-332432</v>
      </c>
      <c r="T29" s="151"/>
      <c r="U29" s="150">
        <v>487257</v>
      </c>
      <c r="V29" s="150">
        <v>280372</v>
      </c>
      <c r="W29" s="150">
        <v>206885</v>
      </c>
      <c r="X29" s="150"/>
      <c r="Y29" s="150">
        <v>569431</v>
      </c>
      <c r="Z29" s="150">
        <v>694977</v>
      </c>
      <c r="AA29" s="150">
        <v>-125547</v>
      </c>
      <c r="AB29" s="150">
        <v>1511016</v>
      </c>
      <c r="AC29" s="150">
        <v>2188337</v>
      </c>
      <c r="AD29" s="150">
        <v>3699353</v>
      </c>
      <c r="AE29" s="165">
        <f t="shared" si="0"/>
        <v>1</v>
      </c>
    </row>
    <row r="30" spans="1:32">
      <c r="A30" s="143" t="s">
        <v>47</v>
      </c>
      <c r="B30" s="150">
        <v>52869</v>
      </c>
      <c r="C30" s="150">
        <v>56842</v>
      </c>
      <c r="D30" s="150">
        <v>-3974</v>
      </c>
      <c r="E30" s="150">
        <v>11685</v>
      </c>
      <c r="F30" s="150">
        <v>8228</v>
      </c>
      <c r="G30" s="150">
        <v>3457</v>
      </c>
      <c r="H30" s="150">
        <v>64553</v>
      </c>
      <c r="I30" s="150">
        <v>65070</v>
      </c>
      <c r="J30" s="150">
        <v>-516</v>
      </c>
      <c r="K30" s="150">
        <v>434152</v>
      </c>
      <c r="L30" s="150">
        <v>94834</v>
      </c>
      <c r="M30" s="150">
        <v>528986</v>
      </c>
      <c r="P30" s="143" t="s">
        <v>47</v>
      </c>
      <c r="Q30" s="150">
        <v>52869</v>
      </c>
      <c r="R30" s="150">
        <v>56842</v>
      </c>
      <c r="S30" s="150">
        <v>-3973</v>
      </c>
      <c r="T30" s="151" t="s">
        <v>48</v>
      </c>
      <c r="U30" s="150">
        <v>11685</v>
      </c>
      <c r="V30" s="150">
        <v>8228</v>
      </c>
      <c r="W30" s="150">
        <v>3457</v>
      </c>
      <c r="X30" s="150" t="s">
        <v>48</v>
      </c>
      <c r="Y30" s="150">
        <v>64554</v>
      </c>
      <c r="Z30" s="150">
        <v>65070</v>
      </c>
      <c r="AA30" s="150">
        <v>-516</v>
      </c>
      <c r="AB30" s="150">
        <v>434152</v>
      </c>
      <c r="AC30" s="150">
        <v>94834</v>
      </c>
      <c r="AD30" s="150">
        <v>528986</v>
      </c>
      <c r="AE30" s="165">
        <f t="shared" si="0"/>
        <v>0</v>
      </c>
    </row>
    <row r="31" spans="1:32">
      <c r="A31" s="143" t="s">
        <v>49</v>
      </c>
      <c r="B31" s="150">
        <v>121156</v>
      </c>
      <c r="C31" s="150">
        <v>143846</v>
      </c>
      <c r="D31" s="150">
        <v>-22689</v>
      </c>
      <c r="E31" s="150">
        <v>67969</v>
      </c>
      <c r="F31" s="150">
        <v>74663</v>
      </c>
      <c r="G31" s="150">
        <v>-6693</v>
      </c>
      <c r="H31" s="150">
        <v>189126</v>
      </c>
      <c r="I31" s="150">
        <v>218508</v>
      </c>
      <c r="J31" s="150">
        <v>-29383</v>
      </c>
      <c r="K31" s="150">
        <v>1122340</v>
      </c>
      <c r="L31" s="150">
        <v>547218</v>
      </c>
      <c r="M31" s="150">
        <v>1669558</v>
      </c>
      <c r="P31" s="143" t="s">
        <v>49</v>
      </c>
      <c r="Q31" s="150">
        <v>121156</v>
      </c>
      <c r="R31" s="150">
        <v>143846</v>
      </c>
      <c r="S31" s="150">
        <v>-22690</v>
      </c>
      <c r="T31" s="151" t="s">
        <v>48</v>
      </c>
      <c r="U31" s="150">
        <v>67969</v>
      </c>
      <c r="V31" s="150">
        <v>74663</v>
      </c>
      <c r="W31" s="150">
        <v>-6693</v>
      </c>
      <c r="X31" s="150" t="s">
        <v>48</v>
      </c>
      <c r="Y31" s="150">
        <v>189125</v>
      </c>
      <c r="Z31" s="150">
        <v>218508</v>
      </c>
      <c r="AA31" s="150">
        <v>-29383</v>
      </c>
      <c r="AB31" s="150">
        <v>1122340</v>
      </c>
      <c r="AC31" s="150">
        <v>547218</v>
      </c>
      <c r="AD31" s="150">
        <v>1669558</v>
      </c>
      <c r="AE31" s="165">
        <f t="shared" si="0"/>
        <v>0</v>
      </c>
    </row>
    <row r="32" spans="1:32">
      <c r="A32" s="143" t="s">
        <v>50</v>
      </c>
      <c r="B32" s="152">
        <v>486324</v>
      </c>
      <c r="C32" s="152">
        <v>823763</v>
      </c>
      <c r="D32" s="152">
        <v>-337439</v>
      </c>
      <c r="E32" s="152">
        <v>586827</v>
      </c>
      <c r="F32" s="152">
        <v>381257</v>
      </c>
      <c r="G32" s="152">
        <v>205570</v>
      </c>
      <c r="H32" s="152">
        <v>1073152</v>
      </c>
      <c r="I32" s="152">
        <v>1205020</v>
      </c>
      <c r="J32" s="152">
        <v>-131868</v>
      </c>
      <c r="K32" s="152">
        <v>4787560</v>
      </c>
      <c r="L32" s="152">
        <v>2980923</v>
      </c>
      <c r="M32" s="152">
        <v>7768483</v>
      </c>
      <c r="P32" s="143" t="s">
        <v>50</v>
      </c>
      <c r="Q32" s="152">
        <v>486100</v>
      </c>
      <c r="R32" s="152">
        <v>823763</v>
      </c>
      <c r="S32" s="152">
        <v>-337663</v>
      </c>
      <c r="T32" s="153"/>
      <c r="U32" s="152">
        <v>586827</v>
      </c>
      <c r="V32" s="152">
        <v>381257</v>
      </c>
      <c r="W32" s="152">
        <v>205570</v>
      </c>
      <c r="X32" s="152"/>
      <c r="Y32" s="152">
        <v>1072927</v>
      </c>
      <c r="Z32" s="152">
        <v>1205020</v>
      </c>
      <c r="AA32" s="152">
        <v>-132093</v>
      </c>
      <c r="AB32" s="152">
        <v>4787336</v>
      </c>
      <c r="AC32" s="152">
        <v>2980923</v>
      </c>
      <c r="AD32" s="152">
        <v>7768259</v>
      </c>
      <c r="AE32" s="165">
        <f t="shared" si="0"/>
        <v>-224</v>
      </c>
    </row>
    <row r="33" spans="1:32">
      <c r="A33" s="143" t="s">
        <v>51</v>
      </c>
      <c r="B33" s="152">
        <v>463226</v>
      </c>
      <c r="C33" s="152">
        <v>499343</v>
      </c>
      <c r="D33" s="152">
        <v>-36118</v>
      </c>
      <c r="E33" s="152">
        <v>201116</v>
      </c>
      <c r="F33" s="152">
        <v>80276</v>
      </c>
      <c r="G33" s="152">
        <v>120840</v>
      </c>
      <c r="H33" s="152">
        <v>664341</v>
      </c>
      <c r="I33" s="152">
        <v>579619</v>
      </c>
      <c r="J33" s="152">
        <v>84723</v>
      </c>
      <c r="K33" s="152">
        <v>3612317</v>
      </c>
      <c r="L33" s="152">
        <v>982866</v>
      </c>
      <c r="M33" s="152">
        <v>4595183</v>
      </c>
      <c r="P33" s="143" t="s">
        <v>51</v>
      </c>
      <c r="Q33" s="152">
        <v>463450</v>
      </c>
      <c r="R33" s="152">
        <v>499343</v>
      </c>
      <c r="S33" s="152">
        <v>-35893</v>
      </c>
      <c r="T33" s="153"/>
      <c r="U33" s="152">
        <v>201116</v>
      </c>
      <c r="V33" s="152">
        <v>80276</v>
      </c>
      <c r="W33" s="152">
        <v>120840</v>
      </c>
      <c r="X33" s="152"/>
      <c r="Y33" s="152">
        <v>664566</v>
      </c>
      <c r="Z33" s="152">
        <v>579619</v>
      </c>
      <c r="AA33" s="152">
        <v>84947</v>
      </c>
      <c r="AB33" s="152">
        <v>3612541</v>
      </c>
      <c r="AC33" s="152">
        <v>982866</v>
      </c>
      <c r="AD33" s="152">
        <v>4595407</v>
      </c>
      <c r="AE33" s="165">
        <f t="shared" si="0"/>
        <v>224</v>
      </c>
    </row>
    <row r="34" spans="1:32">
      <c r="A34" s="143" t="s">
        <v>52</v>
      </c>
      <c r="B34" s="150">
        <v>106350</v>
      </c>
      <c r="C34" s="150">
        <v>114763</v>
      </c>
      <c r="D34" s="150">
        <v>-8413</v>
      </c>
      <c r="E34" s="150">
        <v>39519</v>
      </c>
      <c r="F34" s="150">
        <v>32376</v>
      </c>
      <c r="G34" s="150">
        <v>7143</v>
      </c>
      <c r="H34" s="150">
        <v>145868</v>
      </c>
      <c r="I34" s="150">
        <v>147139</v>
      </c>
      <c r="J34" s="150">
        <v>-1271</v>
      </c>
      <c r="K34" s="150">
        <v>826261</v>
      </c>
      <c r="L34" s="150">
        <v>346960</v>
      </c>
      <c r="M34" s="150">
        <v>1173221</v>
      </c>
      <c r="P34" s="143" t="s">
        <v>52</v>
      </c>
      <c r="Q34" s="150">
        <v>106350</v>
      </c>
      <c r="R34" s="150">
        <v>114763</v>
      </c>
      <c r="S34" s="150">
        <v>-8413</v>
      </c>
      <c r="T34" s="151" t="s">
        <v>48</v>
      </c>
      <c r="U34" s="150">
        <v>39519</v>
      </c>
      <c r="V34" s="150">
        <v>32376</v>
      </c>
      <c r="W34" s="150">
        <v>7143</v>
      </c>
      <c r="X34" s="150" t="s">
        <v>48</v>
      </c>
      <c r="Y34" s="150">
        <v>145869</v>
      </c>
      <c r="Z34" s="150">
        <v>147139</v>
      </c>
      <c r="AA34" s="150">
        <v>-1270</v>
      </c>
      <c r="AB34" s="150">
        <v>826261</v>
      </c>
      <c r="AC34" s="150">
        <v>346960</v>
      </c>
      <c r="AD34" s="150">
        <v>1173221</v>
      </c>
      <c r="AE34" s="165">
        <f t="shared" si="0"/>
        <v>0</v>
      </c>
    </row>
    <row r="35" spans="1:32">
      <c r="A35" s="143" t="s">
        <v>53</v>
      </c>
      <c r="B35" s="143" t="s">
        <v>27</v>
      </c>
      <c r="C35" s="143" t="s">
        <v>27</v>
      </c>
      <c r="D35" s="143" t="s">
        <v>27</v>
      </c>
      <c r="E35" s="143" t="s">
        <v>27</v>
      </c>
      <c r="F35" s="143" t="s">
        <v>27</v>
      </c>
      <c r="G35" s="143" t="s">
        <v>27</v>
      </c>
      <c r="H35" s="143" t="s">
        <v>27</v>
      </c>
      <c r="I35" s="143" t="s">
        <v>27</v>
      </c>
      <c r="J35" s="143" t="s">
        <v>27</v>
      </c>
      <c r="K35" s="143" t="s">
        <v>27</v>
      </c>
      <c r="L35" s="143" t="s">
        <v>27</v>
      </c>
      <c r="M35" s="143" t="s">
        <v>27</v>
      </c>
      <c r="P35" s="143" t="s">
        <v>53</v>
      </c>
      <c r="Q35" s="143" t="s">
        <v>27</v>
      </c>
      <c r="R35" s="143" t="s">
        <v>27</v>
      </c>
      <c r="S35" s="143" t="s">
        <v>27</v>
      </c>
      <c r="T35" s="145"/>
      <c r="U35" s="143" t="s">
        <v>27</v>
      </c>
      <c r="V35" s="143" t="s">
        <v>27</v>
      </c>
      <c r="W35" s="143" t="s">
        <v>27</v>
      </c>
      <c r="X35" s="143"/>
      <c r="Y35" s="143" t="s">
        <v>27</v>
      </c>
      <c r="Z35" s="143" t="s">
        <v>27</v>
      </c>
      <c r="AA35" s="143" t="s">
        <v>27</v>
      </c>
      <c r="AB35" s="143" t="s">
        <v>27</v>
      </c>
      <c r="AC35" s="143" t="s">
        <v>27</v>
      </c>
      <c r="AD35" s="143" t="s">
        <v>27</v>
      </c>
      <c r="AE35" s="165"/>
    </row>
    <row r="36" spans="1:32">
      <c r="A36" s="143" t="s">
        <v>54</v>
      </c>
      <c r="B36" s="150">
        <v>72844</v>
      </c>
      <c r="C36" s="150">
        <v>86714</v>
      </c>
      <c r="D36" s="150">
        <v>-13870</v>
      </c>
      <c r="E36" s="150">
        <v>3403</v>
      </c>
      <c r="F36" s="150">
        <v>2140</v>
      </c>
      <c r="G36" s="150">
        <v>1263</v>
      </c>
      <c r="H36" s="150">
        <v>76247</v>
      </c>
      <c r="I36" s="150">
        <v>88854</v>
      </c>
      <c r="J36" s="150">
        <v>-12607</v>
      </c>
      <c r="K36" s="150">
        <v>653149</v>
      </c>
      <c r="L36" s="150">
        <v>39990</v>
      </c>
      <c r="M36" s="150">
        <v>693139</v>
      </c>
      <c r="P36" s="143" t="s">
        <v>54</v>
      </c>
      <c r="Q36" s="150">
        <v>72844</v>
      </c>
      <c r="R36" s="150">
        <v>86714</v>
      </c>
      <c r="S36" s="150">
        <v>-13871</v>
      </c>
      <c r="T36" s="151" t="s">
        <v>48</v>
      </c>
      <c r="U36" s="150">
        <v>3403</v>
      </c>
      <c r="V36" s="150">
        <v>2140</v>
      </c>
      <c r="W36" s="150">
        <v>1263</v>
      </c>
      <c r="X36" s="150" t="s">
        <v>48</v>
      </c>
      <c r="Y36" s="150">
        <v>76247</v>
      </c>
      <c r="Z36" s="150">
        <v>88854</v>
      </c>
      <c r="AA36" s="150">
        <v>-12608</v>
      </c>
      <c r="AB36" s="150">
        <v>653149</v>
      </c>
      <c r="AC36" s="150">
        <v>39990</v>
      </c>
      <c r="AD36" s="150">
        <v>693139</v>
      </c>
      <c r="AE36" s="165">
        <f t="shared" si="0"/>
        <v>0</v>
      </c>
    </row>
    <row r="37" spans="1:32">
      <c r="A37" s="143" t="s">
        <v>55</v>
      </c>
      <c r="B37" s="143" t="s">
        <v>29</v>
      </c>
      <c r="C37" s="143" t="s">
        <v>29</v>
      </c>
      <c r="D37" s="143" t="s">
        <v>29</v>
      </c>
      <c r="E37" s="143" t="s">
        <v>29</v>
      </c>
      <c r="F37" s="143" t="s">
        <v>29</v>
      </c>
      <c r="G37" s="143" t="s">
        <v>29</v>
      </c>
      <c r="H37" s="143" t="s">
        <v>29</v>
      </c>
      <c r="I37" s="143" t="s">
        <v>29</v>
      </c>
      <c r="J37" s="143" t="s">
        <v>29</v>
      </c>
      <c r="K37" s="143" t="s">
        <v>29</v>
      </c>
      <c r="L37" s="143" t="s">
        <v>29</v>
      </c>
      <c r="M37" s="143" t="s">
        <v>29</v>
      </c>
      <c r="P37" s="143" t="s">
        <v>55</v>
      </c>
      <c r="Q37" s="143" t="s">
        <v>29</v>
      </c>
      <c r="R37" s="143" t="s">
        <v>29</v>
      </c>
      <c r="S37" s="143" t="s">
        <v>29</v>
      </c>
      <c r="T37" s="145"/>
      <c r="U37" s="143" t="s">
        <v>29</v>
      </c>
      <c r="V37" s="143" t="s">
        <v>29</v>
      </c>
      <c r="W37" s="143" t="s">
        <v>29</v>
      </c>
      <c r="X37" s="143"/>
      <c r="Y37" s="143" t="s">
        <v>29</v>
      </c>
      <c r="Z37" s="143" t="s">
        <v>29</v>
      </c>
      <c r="AA37" s="143" t="s">
        <v>29</v>
      </c>
      <c r="AB37" s="143" t="s">
        <v>29</v>
      </c>
      <c r="AC37" s="143" t="s">
        <v>29</v>
      </c>
      <c r="AD37" s="143" t="s">
        <v>29</v>
      </c>
      <c r="AE37" s="165"/>
    </row>
    <row r="38" spans="1:32">
      <c r="A38" s="143" t="s">
        <v>56</v>
      </c>
      <c r="B38" s="150">
        <v>16504</v>
      </c>
      <c r="C38" s="150">
        <v>16239</v>
      </c>
      <c r="D38" s="150">
        <v>265</v>
      </c>
      <c r="E38" s="150">
        <v>6107</v>
      </c>
      <c r="F38" s="150">
        <v>9607</v>
      </c>
      <c r="G38" s="150">
        <v>-3500</v>
      </c>
      <c r="H38" s="150">
        <v>22611</v>
      </c>
      <c r="I38" s="150">
        <v>25846</v>
      </c>
      <c r="J38" s="150">
        <v>-3235</v>
      </c>
      <c r="K38" s="150">
        <v>132956</v>
      </c>
      <c r="L38" s="150">
        <v>73113</v>
      </c>
      <c r="M38" s="150">
        <v>206069</v>
      </c>
      <c r="P38" s="143" t="s">
        <v>56</v>
      </c>
      <c r="Q38" s="150">
        <v>16504</v>
      </c>
      <c r="R38" s="150">
        <v>16239</v>
      </c>
      <c r="S38" s="150">
        <v>265</v>
      </c>
      <c r="T38" s="151"/>
      <c r="U38" s="154">
        <v>6107</v>
      </c>
      <c r="V38" s="154">
        <v>9607</v>
      </c>
      <c r="W38" s="154">
        <v>-3500</v>
      </c>
      <c r="X38" s="154">
        <v>10</v>
      </c>
      <c r="Y38" s="150">
        <v>22611</v>
      </c>
      <c r="Z38" s="150">
        <v>25846</v>
      </c>
      <c r="AA38" s="150">
        <v>-3235</v>
      </c>
      <c r="AB38" s="150">
        <v>132955</v>
      </c>
      <c r="AC38" s="150">
        <v>73113</v>
      </c>
      <c r="AD38" s="150">
        <v>206068</v>
      </c>
      <c r="AE38" s="165">
        <f t="shared" si="0"/>
        <v>-1</v>
      </c>
    </row>
    <row r="39" spans="1:32">
      <c r="A39" s="143" t="s">
        <v>57</v>
      </c>
      <c r="B39" s="150">
        <v>125</v>
      </c>
      <c r="C39" s="150">
        <v>100</v>
      </c>
      <c r="D39" s="150">
        <v>25</v>
      </c>
      <c r="E39" s="150">
        <v>3696</v>
      </c>
      <c r="F39" s="150">
        <v>0</v>
      </c>
      <c r="G39" s="150">
        <v>3696</v>
      </c>
      <c r="H39" s="150">
        <v>3821</v>
      </c>
      <c r="I39" s="150">
        <v>100</v>
      </c>
      <c r="J39" s="150">
        <v>3721</v>
      </c>
      <c r="K39" s="150">
        <v>2617</v>
      </c>
      <c r="L39" s="150">
        <v>23032</v>
      </c>
      <c r="M39" s="150">
        <v>25649</v>
      </c>
      <c r="P39" s="143" t="s">
        <v>57</v>
      </c>
      <c r="Q39" s="150">
        <v>125</v>
      </c>
      <c r="R39" s="150">
        <v>100</v>
      </c>
      <c r="S39" s="150">
        <v>25</v>
      </c>
      <c r="T39" s="151"/>
      <c r="U39" s="150">
        <v>3696</v>
      </c>
      <c r="V39" s="150">
        <v>0</v>
      </c>
      <c r="W39" s="150">
        <v>3696</v>
      </c>
      <c r="X39" s="150"/>
      <c r="Y39" s="150">
        <v>3821</v>
      </c>
      <c r="Z39" s="150">
        <v>100</v>
      </c>
      <c r="AA39" s="150">
        <v>3721</v>
      </c>
      <c r="AB39" s="150">
        <v>2617</v>
      </c>
      <c r="AC39" s="150">
        <v>23032</v>
      </c>
      <c r="AD39" s="150">
        <v>25649</v>
      </c>
      <c r="AE39" s="165">
        <f t="shared" si="0"/>
        <v>0</v>
      </c>
    </row>
    <row r="40" spans="1:32">
      <c r="A40" s="143" t="s">
        <v>58</v>
      </c>
      <c r="B40" s="150">
        <v>13939</v>
      </c>
      <c r="C40" s="150">
        <v>11358</v>
      </c>
      <c r="D40" s="150">
        <v>2580</v>
      </c>
      <c r="E40" s="150">
        <v>2982</v>
      </c>
      <c r="F40" s="150">
        <v>2011</v>
      </c>
      <c r="G40" s="150">
        <v>972</v>
      </c>
      <c r="H40" s="150">
        <v>16921</v>
      </c>
      <c r="I40" s="150">
        <v>13369</v>
      </c>
      <c r="J40" s="150">
        <v>3552</v>
      </c>
      <c r="K40" s="150">
        <v>88713</v>
      </c>
      <c r="L40" s="150">
        <v>17557</v>
      </c>
      <c r="M40" s="150">
        <v>106269</v>
      </c>
      <c r="P40" s="143" t="s">
        <v>58</v>
      </c>
      <c r="Q40" s="150">
        <v>13507</v>
      </c>
      <c r="R40" s="150">
        <v>11358</v>
      </c>
      <c r="S40" s="150">
        <v>2149</v>
      </c>
      <c r="T40" s="151"/>
      <c r="U40" s="150">
        <v>2982</v>
      </c>
      <c r="V40" s="150">
        <v>2011</v>
      </c>
      <c r="W40" s="150">
        <v>972</v>
      </c>
      <c r="X40" s="150"/>
      <c r="Y40" s="150">
        <v>16489</v>
      </c>
      <c r="Z40" s="150">
        <v>13369</v>
      </c>
      <c r="AA40" s="150">
        <v>3121</v>
      </c>
      <c r="AB40" s="150">
        <v>88282</v>
      </c>
      <c r="AC40" s="150">
        <v>17557</v>
      </c>
      <c r="AD40" s="150">
        <v>105839</v>
      </c>
      <c r="AE40" s="165">
        <f t="shared" si="0"/>
        <v>-430</v>
      </c>
      <c r="AF40" s="162" t="s">
        <v>41</v>
      </c>
    </row>
    <row r="41" spans="1:32">
      <c r="A41" s="143" t="s">
        <v>59</v>
      </c>
      <c r="B41" s="152">
        <v>30568</v>
      </c>
      <c r="C41" s="152">
        <v>27697</v>
      </c>
      <c r="D41" s="152">
        <v>2870</v>
      </c>
      <c r="E41" s="152">
        <v>12785</v>
      </c>
      <c r="F41" s="152">
        <v>11618</v>
      </c>
      <c r="G41" s="152">
        <v>1168</v>
      </c>
      <c r="H41" s="152">
        <v>43353</v>
      </c>
      <c r="I41" s="152">
        <v>39315</v>
      </c>
      <c r="J41" s="152">
        <v>4038</v>
      </c>
      <c r="K41" s="152">
        <v>224286</v>
      </c>
      <c r="L41" s="152">
        <v>113702</v>
      </c>
      <c r="M41" s="152">
        <v>337987</v>
      </c>
      <c r="P41" s="143" t="s">
        <v>59</v>
      </c>
      <c r="Q41" s="152">
        <v>30136</v>
      </c>
      <c r="R41" s="152">
        <v>27697</v>
      </c>
      <c r="S41" s="152">
        <v>2439</v>
      </c>
      <c r="T41" s="153"/>
      <c r="U41" s="152">
        <v>12785</v>
      </c>
      <c r="V41" s="152">
        <v>11618</v>
      </c>
      <c r="W41" s="152">
        <v>1168</v>
      </c>
      <c r="X41" s="152"/>
      <c r="Y41" s="152">
        <v>42921</v>
      </c>
      <c r="Z41" s="152">
        <v>39315</v>
      </c>
      <c r="AA41" s="152">
        <v>3607</v>
      </c>
      <c r="AB41" s="152">
        <v>223854</v>
      </c>
      <c r="AC41" s="152">
        <v>113702</v>
      </c>
      <c r="AD41" s="152">
        <v>337556</v>
      </c>
      <c r="AE41" s="165">
        <f t="shared" si="0"/>
        <v>-431</v>
      </c>
    </row>
    <row r="42" spans="1:32">
      <c r="A42" s="143" t="s">
        <v>60</v>
      </c>
      <c r="B42" s="143" t="s">
        <v>29</v>
      </c>
      <c r="C42" s="143" t="s">
        <v>29</v>
      </c>
      <c r="D42" s="143" t="s">
        <v>29</v>
      </c>
      <c r="E42" s="143" t="s">
        <v>29</v>
      </c>
      <c r="F42" s="143" t="s">
        <v>29</v>
      </c>
      <c r="G42" s="143" t="s">
        <v>29</v>
      </c>
      <c r="H42" s="143" t="s">
        <v>29</v>
      </c>
      <c r="I42" s="143" t="s">
        <v>29</v>
      </c>
      <c r="J42" s="143" t="s">
        <v>29</v>
      </c>
      <c r="K42" s="143" t="s">
        <v>29</v>
      </c>
      <c r="L42" s="143" t="s">
        <v>29</v>
      </c>
      <c r="M42" s="143" t="s">
        <v>29</v>
      </c>
      <c r="P42" s="143" t="s">
        <v>60</v>
      </c>
      <c r="Q42" s="143" t="s">
        <v>29</v>
      </c>
      <c r="R42" s="143" t="s">
        <v>29</v>
      </c>
      <c r="S42" s="143" t="s">
        <v>29</v>
      </c>
      <c r="T42" s="145"/>
      <c r="U42" s="143" t="s">
        <v>29</v>
      </c>
      <c r="V42" s="143" t="s">
        <v>29</v>
      </c>
      <c r="W42" s="143" t="s">
        <v>29</v>
      </c>
      <c r="X42" s="143"/>
      <c r="Y42" s="143" t="s">
        <v>29</v>
      </c>
      <c r="Z42" s="143" t="s">
        <v>29</v>
      </c>
      <c r="AA42" s="143" t="s">
        <v>29</v>
      </c>
      <c r="AB42" s="143" t="s">
        <v>29</v>
      </c>
      <c r="AC42" s="143" t="s">
        <v>29</v>
      </c>
      <c r="AD42" s="143" t="s">
        <v>29</v>
      </c>
      <c r="AE42" s="165"/>
    </row>
    <row r="43" spans="1:32">
      <c r="A43" s="143" t="s">
        <v>61</v>
      </c>
      <c r="B43" s="150">
        <v>23221</v>
      </c>
      <c r="C43" s="150">
        <v>22365</v>
      </c>
      <c r="D43" s="150">
        <v>857</v>
      </c>
      <c r="E43" s="150">
        <v>7783</v>
      </c>
      <c r="F43" s="150">
        <v>7363</v>
      </c>
      <c r="G43" s="150">
        <v>419</v>
      </c>
      <c r="H43" s="150">
        <v>31004</v>
      </c>
      <c r="I43" s="150">
        <v>29728</v>
      </c>
      <c r="J43" s="150">
        <v>1276</v>
      </c>
      <c r="K43" s="150">
        <v>168689</v>
      </c>
      <c r="L43" s="150">
        <v>61164</v>
      </c>
      <c r="M43" s="150">
        <v>229855</v>
      </c>
      <c r="P43" s="143" t="s">
        <v>61</v>
      </c>
      <c r="Q43" s="150">
        <v>23222</v>
      </c>
      <c r="R43" s="150">
        <v>22365</v>
      </c>
      <c r="S43" s="150">
        <v>857</v>
      </c>
      <c r="T43" s="151"/>
      <c r="U43" s="150">
        <v>7783</v>
      </c>
      <c r="V43" s="150">
        <v>7363</v>
      </c>
      <c r="W43" s="150">
        <v>419</v>
      </c>
      <c r="X43" s="150"/>
      <c r="Y43" s="150">
        <v>31005</v>
      </c>
      <c r="Z43" s="150">
        <v>29728</v>
      </c>
      <c r="AA43" s="150">
        <v>1276</v>
      </c>
      <c r="AB43" s="150">
        <v>168690</v>
      </c>
      <c r="AC43" s="150">
        <v>61164</v>
      </c>
      <c r="AD43" s="150">
        <v>229854</v>
      </c>
      <c r="AE43" s="165">
        <f t="shared" si="0"/>
        <v>-1</v>
      </c>
    </row>
    <row r="44" spans="1:32">
      <c r="A44" s="143" t="s">
        <v>62</v>
      </c>
      <c r="B44" s="150">
        <v>86606</v>
      </c>
      <c r="C44" s="150">
        <v>60820</v>
      </c>
      <c r="D44" s="150">
        <v>25786</v>
      </c>
      <c r="E44" s="150">
        <v>2893</v>
      </c>
      <c r="F44" s="150">
        <v>2654</v>
      </c>
      <c r="G44" s="150">
        <v>240</v>
      </c>
      <c r="H44" s="150">
        <v>89499</v>
      </c>
      <c r="I44" s="150">
        <v>63473</v>
      </c>
      <c r="J44" s="150">
        <v>26026</v>
      </c>
      <c r="K44" s="150">
        <v>490698</v>
      </c>
      <c r="L44" s="150">
        <v>31797</v>
      </c>
      <c r="M44" s="150">
        <v>522494</v>
      </c>
      <c r="P44" s="143" t="s">
        <v>62</v>
      </c>
      <c r="Q44" s="154">
        <v>64102</v>
      </c>
      <c r="R44" s="154">
        <v>60820</v>
      </c>
      <c r="S44" s="154">
        <v>3283</v>
      </c>
      <c r="T44" s="155">
        <v>1</v>
      </c>
      <c r="U44" s="150">
        <v>2893</v>
      </c>
      <c r="V44" s="150">
        <v>2654</v>
      </c>
      <c r="W44" s="150">
        <v>240</v>
      </c>
      <c r="X44" s="150"/>
      <c r="Y44" s="150">
        <v>66995</v>
      </c>
      <c r="Z44" s="150">
        <v>63473</v>
      </c>
      <c r="AA44" s="150">
        <v>3523</v>
      </c>
      <c r="AB44" s="150">
        <v>468194</v>
      </c>
      <c r="AC44" s="150">
        <v>31797</v>
      </c>
      <c r="AD44" s="150">
        <v>499992</v>
      </c>
      <c r="AE44" s="165">
        <f t="shared" si="0"/>
        <v>-22502</v>
      </c>
      <c r="AF44" s="162" t="s">
        <v>63</v>
      </c>
    </row>
    <row r="45" spans="1:32">
      <c r="A45" s="143" t="s">
        <v>64</v>
      </c>
      <c r="B45" s="150">
        <v>3737</v>
      </c>
      <c r="C45" s="150">
        <v>5183</v>
      </c>
      <c r="D45" s="150">
        <v>-1446</v>
      </c>
      <c r="E45" s="150">
        <v>3683</v>
      </c>
      <c r="F45" s="150">
        <v>3986</v>
      </c>
      <c r="G45" s="150">
        <v>-303</v>
      </c>
      <c r="H45" s="150">
        <v>7420</v>
      </c>
      <c r="I45" s="150">
        <v>9170</v>
      </c>
      <c r="J45" s="150">
        <v>-1750</v>
      </c>
      <c r="K45" s="150">
        <v>34125</v>
      </c>
      <c r="L45" s="150">
        <v>21410</v>
      </c>
      <c r="M45" s="150">
        <v>55535</v>
      </c>
      <c r="P45" s="143" t="s">
        <v>64</v>
      </c>
      <c r="Q45" s="154">
        <v>3737</v>
      </c>
      <c r="R45" s="154">
        <v>5183</v>
      </c>
      <c r="S45" s="154">
        <v>-1446</v>
      </c>
      <c r="T45" s="155">
        <v>2</v>
      </c>
      <c r="U45" s="150">
        <v>3683</v>
      </c>
      <c r="V45" s="150">
        <v>3986</v>
      </c>
      <c r="W45" s="150">
        <v>-303</v>
      </c>
      <c r="X45" s="150"/>
      <c r="Y45" s="150">
        <v>7420</v>
      </c>
      <c r="Z45" s="150">
        <v>9170</v>
      </c>
      <c r="AA45" s="150">
        <v>-1749</v>
      </c>
      <c r="AB45" s="150">
        <v>34126</v>
      </c>
      <c r="AC45" s="150">
        <v>21410</v>
      </c>
      <c r="AD45" s="150">
        <v>55534</v>
      </c>
      <c r="AE45" s="165">
        <f t="shared" si="0"/>
        <v>-1</v>
      </c>
    </row>
    <row r="46" spans="1:32">
      <c r="A46" s="143" t="s">
        <v>65</v>
      </c>
      <c r="B46" s="152">
        <v>113564</v>
      </c>
      <c r="C46" s="152">
        <v>88368</v>
      </c>
      <c r="D46" s="152">
        <v>25197</v>
      </c>
      <c r="E46" s="152">
        <v>14359</v>
      </c>
      <c r="F46" s="152">
        <v>14003</v>
      </c>
      <c r="G46" s="152">
        <v>356</v>
      </c>
      <c r="H46" s="152">
        <v>127923</v>
      </c>
      <c r="I46" s="152">
        <v>102371</v>
      </c>
      <c r="J46" s="152">
        <v>25552</v>
      </c>
      <c r="K46" s="152">
        <v>693512</v>
      </c>
      <c r="L46" s="152">
        <v>114371</v>
      </c>
      <c r="M46" s="152">
        <v>807884</v>
      </c>
      <c r="P46" s="143" t="s">
        <v>65</v>
      </c>
      <c r="Q46" s="152">
        <v>91061</v>
      </c>
      <c r="R46" s="152">
        <v>88368</v>
      </c>
      <c r="S46" s="152">
        <v>2694</v>
      </c>
      <c r="T46" s="153"/>
      <c r="U46" s="152">
        <v>14359</v>
      </c>
      <c r="V46" s="152">
        <v>14003</v>
      </c>
      <c r="W46" s="152">
        <v>356</v>
      </c>
      <c r="X46" s="152"/>
      <c r="Y46" s="152">
        <v>105420</v>
      </c>
      <c r="Z46" s="152">
        <v>102371</v>
      </c>
      <c r="AA46" s="152">
        <v>3050</v>
      </c>
      <c r="AB46" s="152">
        <v>671010</v>
      </c>
      <c r="AC46" s="152">
        <v>114371</v>
      </c>
      <c r="AD46" s="152">
        <v>785380</v>
      </c>
      <c r="AE46" s="165">
        <f t="shared" si="0"/>
        <v>-22504</v>
      </c>
    </row>
    <row r="47" spans="1:32">
      <c r="A47" s="143" t="s">
        <v>66</v>
      </c>
      <c r="B47" s="143" t="s">
        <v>29</v>
      </c>
      <c r="C47" s="143" t="s">
        <v>29</v>
      </c>
      <c r="D47" s="143" t="s">
        <v>29</v>
      </c>
      <c r="E47" s="143" t="s">
        <v>29</v>
      </c>
      <c r="F47" s="143" t="s">
        <v>29</v>
      </c>
      <c r="G47" s="143" t="s">
        <v>29</v>
      </c>
      <c r="H47" s="143" t="s">
        <v>29</v>
      </c>
      <c r="I47" s="143" t="s">
        <v>29</v>
      </c>
      <c r="J47" s="143" t="s">
        <v>29</v>
      </c>
      <c r="K47" s="143" t="s">
        <v>29</v>
      </c>
      <c r="L47" s="143" t="s">
        <v>29</v>
      </c>
      <c r="M47" s="143" t="s">
        <v>29</v>
      </c>
      <c r="P47" s="143" t="s">
        <v>66</v>
      </c>
      <c r="Q47" s="143" t="s">
        <v>29</v>
      </c>
      <c r="R47" s="143" t="s">
        <v>29</v>
      </c>
      <c r="S47" s="143" t="s">
        <v>29</v>
      </c>
      <c r="T47" s="145"/>
      <c r="U47" s="143" t="s">
        <v>29</v>
      </c>
      <c r="V47" s="143" t="s">
        <v>29</v>
      </c>
      <c r="W47" s="143" t="s">
        <v>29</v>
      </c>
      <c r="X47" s="143"/>
      <c r="Y47" s="143" t="s">
        <v>29</v>
      </c>
      <c r="Z47" s="143" t="s">
        <v>29</v>
      </c>
      <c r="AA47" s="143" t="s">
        <v>29</v>
      </c>
      <c r="AB47" s="143" t="s">
        <v>29</v>
      </c>
      <c r="AC47" s="143" t="s">
        <v>29</v>
      </c>
      <c r="AD47" s="143" t="s">
        <v>29</v>
      </c>
      <c r="AE47" s="165"/>
    </row>
    <row r="48" spans="1:32">
      <c r="A48" s="143" t="s">
        <v>67</v>
      </c>
      <c r="B48" s="150">
        <v>8081</v>
      </c>
      <c r="C48" s="150">
        <v>9904</v>
      </c>
      <c r="D48" s="150">
        <v>-1823</v>
      </c>
      <c r="E48" s="150">
        <v>967</v>
      </c>
      <c r="F48" s="150">
        <v>984</v>
      </c>
      <c r="G48" s="150">
        <v>-18</v>
      </c>
      <c r="H48" s="150">
        <v>9048</v>
      </c>
      <c r="I48" s="150">
        <v>10887</v>
      </c>
      <c r="J48" s="150">
        <v>-1839</v>
      </c>
      <c r="K48" s="150">
        <v>54757</v>
      </c>
      <c r="L48" s="150">
        <v>6743</v>
      </c>
      <c r="M48" s="150">
        <v>61499</v>
      </c>
      <c r="P48" s="143" t="s">
        <v>67</v>
      </c>
      <c r="Q48" s="154">
        <v>8082</v>
      </c>
      <c r="R48" s="154">
        <v>9904</v>
      </c>
      <c r="S48" s="154">
        <v>-1822</v>
      </c>
      <c r="T48" s="155">
        <v>3</v>
      </c>
      <c r="U48" s="150">
        <v>967</v>
      </c>
      <c r="V48" s="150">
        <v>984</v>
      </c>
      <c r="W48" s="150">
        <v>-18</v>
      </c>
      <c r="X48" s="156"/>
      <c r="Y48" s="150">
        <v>9049</v>
      </c>
      <c r="Z48" s="150">
        <v>10887</v>
      </c>
      <c r="AA48" s="150">
        <v>-1840</v>
      </c>
      <c r="AB48" s="150">
        <v>54756</v>
      </c>
      <c r="AC48" s="150">
        <v>6743</v>
      </c>
      <c r="AD48" s="150">
        <v>61500</v>
      </c>
      <c r="AE48" s="165">
        <f t="shared" si="0"/>
        <v>1</v>
      </c>
    </row>
    <row r="49" spans="1:32">
      <c r="A49" s="143" t="s">
        <v>68</v>
      </c>
      <c r="B49" s="152">
        <v>8081</v>
      </c>
      <c r="C49" s="152">
        <v>9904</v>
      </c>
      <c r="D49" s="152">
        <v>-1823</v>
      </c>
      <c r="E49" s="152">
        <v>967</v>
      </c>
      <c r="F49" s="152">
        <v>984</v>
      </c>
      <c r="G49" s="152">
        <v>-18</v>
      </c>
      <c r="H49" s="152">
        <v>9048</v>
      </c>
      <c r="I49" s="152">
        <v>10887</v>
      </c>
      <c r="J49" s="152">
        <v>-1839</v>
      </c>
      <c r="K49" s="152">
        <v>54757</v>
      </c>
      <c r="L49" s="152">
        <v>6743</v>
      </c>
      <c r="M49" s="152">
        <v>61499</v>
      </c>
      <c r="P49" s="143" t="s">
        <v>68</v>
      </c>
      <c r="Q49" s="152">
        <v>8082</v>
      </c>
      <c r="R49" s="152">
        <v>9904</v>
      </c>
      <c r="S49" s="152">
        <v>-1822</v>
      </c>
      <c r="T49" s="153"/>
      <c r="U49" s="152">
        <v>967</v>
      </c>
      <c r="V49" s="152">
        <v>984</v>
      </c>
      <c r="W49" s="152">
        <v>-18</v>
      </c>
      <c r="X49" s="152"/>
      <c r="Y49" s="152">
        <v>9049</v>
      </c>
      <c r="Z49" s="152">
        <v>10887</v>
      </c>
      <c r="AA49" s="152">
        <v>-1840</v>
      </c>
      <c r="AB49" s="152">
        <v>54756</v>
      </c>
      <c r="AC49" s="152">
        <v>6743</v>
      </c>
      <c r="AD49" s="152">
        <v>61500</v>
      </c>
      <c r="AE49" s="165">
        <f t="shared" si="0"/>
        <v>1</v>
      </c>
    </row>
    <row r="50" spans="1:32">
      <c r="A50" s="143" t="s">
        <v>69</v>
      </c>
      <c r="B50" s="143" t="s">
        <v>29</v>
      </c>
      <c r="C50" s="143" t="s">
        <v>29</v>
      </c>
      <c r="D50" s="143" t="s">
        <v>29</v>
      </c>
      <c r="E50" s="143" t="s">
        <v>29</v>
      </c>
      <c r="F50" s="143" t="s">
        <v>29</v>
      </c>
      <c r="G50" s="143" t="s">
        <v>29</v>
      </c>
      <c r="H50" s="143" t="s">
        <v>29</v>
      </c>
      <c r="I50" s="143" t="s">
        <v>29</v>
      </c>
      <c r="J50" s="143" t="s">
        <v>29</v>
      </c>
      <c r="K50" s="143" t="s">
        <v>29</v>
      </c>
      <c r="L50" s="143" t="s">
        <v>29</v>
      </c>
      <c r="M50" s="143" t="s">
        <v>29</v>
      </c>
      <c r="P50" s="143" t="s">
        <v>69</v>
      </c>
      <c r="Q50" s="143" t="s">
        <v>29</v>
      </c>
      <c r="R50" s="143" t="s">
        <v>29</v>
      </c>
      <c r="S50" s="143" t="s">
        <v>29</v>
      </c>
      <c r="T50" s="145"/>
      <c r="U50" s="143" t="s">
        <v>29</v>
      </c>
      <c r="V50" s="143" t="s">
        <v>29</v>
      </c>
      <c r="W50" s="143" t="s">
        <v>29</v>
      </c>
      <c r="X50" s="143"/>
      <c r="Y50" s="143" t="s">
        <v>29</v>
      </c>
      <c r="Z50" s="143" t="s">
        <v>29</v>
      </c>
      <c r="AA50" s="143" t="s">
        <v>29</v>
      </c>
      <c r="AB50" s="143" t="s">
        <v>29</v>
      </c>
      <c r="AC50" s="143" t="s">
        <v>29</v>
      </c>
      <c r="AD50" s="143" t="s">
        <v>29</v>
      </c>
      <c r="AE50" s="165"/>
    </row>
    <row r="51" spans="1:32">
      <c r="A51" s="143" t="s">
        <v>70</v>
      </c>
      <c r="B51" s="150">
        <v>7292</v>
      </c>
      <c r="C51" s="150">
        <v>6806</v>
      </c>
      <c r="D51" s="150">
        <v>486</v>
      </c>
      <c r="E51" s="150">
        <v>1975</v>
      </c>
      <c r="F51" s="150">
        <v>2619</v>
      </c>
      <c r="G51" s="150">
        <v>-644</v>
      </c>
      <c r="H51" s="150">
        <v>9267</v>
      </c>
      <c r="I51" s="150">
        <v>9426</v>
      </c>
      <c r="J51" s="150">
        <v>-158</v>
      </c>
      <c r="K51" s="150">
        <v>40586</v>
      </c>
      <c r="L51" s="150">
        <v>19116</v>
      </c>
      <c r="M51" s="150">
        <v>59703</v>
      </c>
      <c r="P51" s="143" t="s">
        <v>70</v>
      </c>
      <c r="Q51" s="150">
        <v>7192</v>
      </c>
      <c r="R51" s="150">
        <v>6806</v>
      </c>
      <c r="S51" s="150">
        <v>385</v>
      </c>
      <c r="T51" s="151"/>
      <c r="U51" s="150">
        <v>1975</v>
      </c>
      <c r="V51" s="150">
        <v>2619</v>
      </c>
      <c r="W51" s="150">
        <v>-644</v>
      </c>
      <c r="X51" s="150"/>
      <c r="Y51" s="150">
        <v>9167</v>
      </c>
      <c r="Z51" s="150">
        <v>9426</v>
      </c>
      <c r="AA51" s="150">
        <v>-258</v>
      </c>
      <c r="AB51" s="150">
        <v>40487</v>
      </c>
      <c r="AC51" s="150">
        <v>19116</v>
      </c>
      <c r="AD51" s="150">
        <v>59602</v>
      </c>
      <c r="AE51" s="165">
        <f t="shared" si="0"/>
        <v>-101</v>
      </c>
      <c r="AF51" s="162" t="s">
        <v>41</v>
      </c>
    </row>
    <row r="52" spans="1:32">
      <c r="A52" s="143" t="s">
        <v>71</v>
      </c>
      <c r="B52" s="150">
        <v>1255</v>
      </c>
      <c r="C52" s="150">
        <v>11250</v>
      </c>
      <c r="D52" s="150">
        <v>-9995</v>
      </c>
      <c r="E52" s="150">
        <v>0</v>
      </c>
      <c r="F52" s="150">
        <v>0</v>
      </c>
      <c r="G52" s="150">
        <v>0</v>
      </c>
      <c r="H52" s="150">
        <v>1255</v>
      </c>
      <c r="I52" s="150">
        <v>11250</v>
      </c>
      <c r="J52" s="150">
        <v>-9995</v>
      </c>
      <c r="K52" s="150">
        <v>24605</v>
      </c>
      <c r="L52" s="150">
        <v>0</v>
      </c>
      <c r="M52" s="150">
        <v>24605</v>
      </c>
      <c r="P52" s="143" t="s">
        <v>71</v>
      </c>
      <c r="Q52" s="154">
        <v>1255</v>
      </c>
      <c r="R52" s="154">
        <v>11250</v>
      </c>
      <c r="S52" s="154">
        <v>-9995</v>
      </c>
      <c r="T52" s="155">
        <v>4</v>
      </c>
      <c r="U52" s="150">
        <v>0</v>
      </c>
      <c r="V52" s="150">
        <v>0</v>
      </c>
      <c r="W52" s="150">
        <v>0</v>
      </c>
      <c r="X52" s="150"/>
      <c r="Y52" s="150">
        <v>1255</v>
      </c>
      <c r="Z52" s="150">
        <v>11250</v>
      </c>
      <c r="AA52" s="150">
        <v>-9995</v>
      </c>
      <c r="AB52" s="150">
        <v>24605</v>
      </c>
      <c r="AC52" s="150">
        <v>0</v>
      </c>
      <c r="AD52" s="150">
        <v>24605</v>
      </c>
      <c r="AE52" s="165">
        <f t="shared" si="0"/>
        <v>0</v>
      </c>
    </row>
    <row r="53" spans="1:32">
      <c r="A53" s="143" t="s">
        <v>72</v>
      </c>
      <c r="B53" s="150">
        <v>65</v>
      </c>
      <c r="C53" s="150">
        <v>125</v>
      </c>
      <c r="D53" s="150">
        <v>-60</v>
      </c>
      <c r="E53" s="150">
        <v>0</v>
      </c>
      <c r="F53" s="150">
        <v>0</v>
      </c>
      <c r="G53" s="150">
        <v>0</v>
      </c>
      <c r="H53" s="150">
        <v>65</v>
      </c>
      <c r="I53" s="150">
        <v>125</v>
      </c>
      <c r="J53" s="150">
        <v>-60</v>
      </c>
      <c r="K53" s="150">
        <v>9682</v>
      </c>
      <c r="L53" s="150">
        <v>0</v>
      </c>
      <c r="M53" s="150">
        <v>9682</v>
      </c>
      <c r="P53" s="143" t="s">
        <v>72</v>
      </c>
      <c r="Q53" s="150">
        <v>50</v>
      </c>
      <c r="R53" s="150">
        <v>125</v>
      </c>
      <c r="S53" s="150">
        <v>-75</v>
      </c>
      <c r="T53" s="151"/>
      <c r="U53" s="150">
        <v>0</v>
      </c>
      <c r="V53" s="150">
        <v>0</v>
      </c>
      <c r="W53" s="150">
        <v>0</v>
      </c>
      <c r="X53" s="150"/>
      <c r="Y53" s="150">
        <v>50</v>
      </c>
      <c r="Z53" s="150">
        <v>125</v>
      </c>
      <c r="AA53" s="150">
        <v>-75</v>
      </c>
      <c r="AB53" s="150">
        <v>9667</v>
      </c>
      <c r="AC53" s="150">
        <v>0</v>
      </c>
      <c r="AD53" s="150">
        <v>9667</v>
      </c>
      <c r="AE53" s="165">
        <f t="shared" si="0"/>
        <v>-15</v>
      </c>
      <c r="AF53" s="162" t="s">
        <v>41</v>
      </c>
    </row>
    <row r="54" spans="1:32">
      <c r="A54" s="143" t="s">
        <v>73</v>
      </c>
      <c r="B54" s="150">
        <v>2942</v>
      </c>
      <c r="C54" s="150">
        <v>3991</v>
      </c>
      <c r="D54" s="150">
        <v>-1049</v>
      </c>
      <c r="E54" s="150">
        <v>0</v>
      </c>
      <c r="F54" s="150">
        <v>0</v>
      </c>
      <c r="G54" s="150">
        <v>0</v>
      </c>
      <c r="H54" s="150">
        <v>2942</v>
      </c>
      <c r="I54" s="150">
        <v>3991</v>
      </c>
      <c r="J54" s="150">
        <v>-1050</v>
      </c>
      <c r="K54" s="150">
        <v>26657</v>
      </c>
      <c r="L54" s="150">
        <v>-118</v>
      </c>
      <c r="M54" s="150">
        <v>26539</v>
      </c>
      <c r="P54" s="143" t="s">
        <v>73</v>
      </c>
      <c r="Q54" s="154">
        <v>2942</v>
      </c>
      <c r="R54" s="154">
        <v>3991</v>
      </c>
      <c r="S54" s="154">
        <v>-1049</v>
      </c>
      <c r="T54" s="155">
        <v>5</v>
      </c>
      <c r="U54" s="150">
        <v>0</v>
      </c>
      <c r="V54" s="150">
        <v>0</v>
      </c>
      <c r="W54" s="150">
        <v>0</v>
      </c>
      <c r="X54" s="150"/>
      <c r="Y54" s="150">
        <v>2942</v>
      </c>
      <c r="Z54" s="150">
        <v>3991</v>
      </c>
      <c r="AA54" s="150">
        <v>-1050</v>
      </c>
      <c r="AB54" s="150">
        <v>26657</v>
      </c>
      <c r="AC54" s="150">
        <v>-118</v>
      </c>
      <c r="AD54" s="150">
        <v>26540</v>
      </c>
      <c r="AE54" s="165">
        <f t="shared" si="0"/>
        <v>1</v>
      </c>
      <c r="AF54" s="162" t="s">
        <v>41</v>
      </c>
    </row>
    <row r="55" spans="1:32">
      <c r="A55" s="143" t="s">
        <v>74</v>
      </c>
      <c r="B55" s="143" t="s">
        <v>75</v>
      </c>
      <c r="C55" s="143" t="s">
        <v>75</v>
      </c>
      <c r="D55" s="143" t="s">
        <v>75</v>
      </c>
      <c r="E55" s="143" t="s">
        <v>75</v>
      </c>
      <c r="F55" s="143" t="s">
        <v>75</v>
      </c>
      <c r="G55" s="143" t="s">
        <v>75</v>
      </c>
      <c r="H55" s="143" t="s">
        <v>75</v>
      </c>
      <c r="I55" s="143" t="s">
        <v>75</v>
      </c>
      <c r="J55" s="143" t="s">
        <v>75</v>
      </c>
      <c r="K55" s="143" t="s">
        <v>75</v>
      </c>
      <c r="L55" s="143" t="s">
        <v>75</v>
      </c>
      <c r="M55" s="143" t="s">
        <v>75</v>
      </c>
      <c r="P55" s="143" t="s">
        <v>74</v>
      </c>
      <c r="Q55" s="143" t="s">
        <v>75</v>
      </c>
      <c r="R55" s="143" t="s">
        <v>75</v>
      </c>
      <c r="S55" s="143" t="s">
        <v>75</v>
      </c>
      <c r="T55" s="145"/>
      <c r="U55" s="143" t="s">
        <v>75</v>
      </c>
      <c r="V55" s="143" t="s">
        <v>75</v>
      </c>
      <c r="W55" s="143" t="s">
        <v>75</v>
      </c>
      <c r="X55" s="143"/>
      <c r="Y55" s="143" t="s">
        <v>75</v>
      </c>
      <c r="Z55" s="143" t="s">
        <v>75</v>
      </c>
      <c r="AA55" s="143" t="s">
        <v>75</v>
      </c>
      <c r="AB55" s="143" t="s">
        <v>75</v>
      </c>
      <c r="AC55" s="143" t="s">
        <v>75</v>
      </c>
      <c r="AD55" s="143" t="s">
        <v>75</v>
      </c>
      <c r="AE55" s="165"/>
    </row>
    <row r="56" spans="1:32">
      <c r="A56" s="143" t="s">
        <v>76</v>
      </c>
      <c r="B56" s="150">
        <v>2733</v>
      </c>
      <c r="C56" s="150">
        <v>7751</v>
      </c>
      <c r="D56" s="150">
        <v>-5018</v>
      </c>
      <c r="E56" s="150">
        <v>38</v>
      </c>
      <c r="F56" s="150">
        <v>0</v>
      </c>
      <c r="G56" s="150">
        <v>38</v>
      </c>
      <c r="H56" s="150">
        <v>2772</v>
      </c>
      <c r="I56" s="150">
        <v>7751</v>
      </c>
      <c r="J56" s="150">
        <v>-4980</v>
      </c>
      <c r="K56" s="150">
        <v>34189</v>
      </c>
      <c r="L56" s="150">
        <v>4394</v>
      </c>
      <c r="M56" s="150">
        <v>38582</v>
      </c>
      <c r="P56" s="143" t="s">
        <v>76</v>
      </c>
      <c r="Q56" s="154">
        <v>2733</v>
      </c>
      <c r="R56" s="154">
        <v>7751</v>
      </c>
      <c r="S56" s="154">
        <v>-5018</v>
      </c>
      <c r="T56" s="155">
        <v>6</v>
      </c>
      <c r="U56" s="150">
        <v>38</v>
      </c>
      <c r="V56" s="150">
        <v>0</v>
      </c>
      <c r="W56" s="150">
        <v>38</v>
      </c>
      <c r="X56" s="150"/>
      <c r="Y56" s="150">
        <v>2771</v>
      </c>
      <c r="Z56" s="150">
        <v>7751</v>
      </c>
      <c r="AA56" s="150">
        <v>-4979</v>
      </c>
      <c r="AB56" s="150">
        <v>34188</v>
      </c>
      <c r="AC56" s="150">
        <v>4394</v>
      </c>
      <c r="AD56" s="150">
        <v>38582</v>
      </c>
      <c r="AE56" s="165">
        <f t="shared" si="0"/>
        <v>0</v>
      </c>
    </row>
    <row r="57" spans="1:32">
      <c r="A57" s="143" t="s">
        <v>77</v>
      </c>
      <c r="B57" s="150">
        <v>779</v>
      </c>
      <c r="C57" s="150">
        <v>2588</v>
      </c>
      <c r="D57" s="150">
        <v>-1809</v>
      </c>
      <c r="E57" s="150">
        <v>919</v>
      </c>
      <c r="F57" s="150">
        <v>96</v>
      </c>
      <c r="G57" s="150">
        <v>823</v>
      </c>
      <c r="H57" s="150">
        <v>1696</v>
      </c>
      <c r="I57" s="150">
        <v>2684</v>
      </c>
      <c r="J57" s="150">
        <v>-986</v>
      </c>
      <c r="K57" s="150">
        <v>12497</v>
      </c>
      <c r="L57" s="150">
        <v>6195</v>
      </c>
      <c r="M57" s="150">
        <v>18692</v>
      </c>
      <c r="P57" s="143" t="s">
        <v>77</v>
      </c>
      <c r="Q57" s="154">
        <v>778</v>
      </c>
      <c r="R57" s="154">
        <v>2588</v>
      </c>
      <c r="S57" s="154">
        <v>-1809</v>
      </c>
      <c r="T57" s="155">
        <v>7</v>
      </c>
      <c r="U57" s="150">
        <v>919</v>
      </c>
      <c r="V57" s="150">
        <v>96</v>
      </c>
      <c r="W57" s="150">
        <v>823</v>
      </c>
      <c r="X57" s="150"/>
      <c r="Y57" s="150">
        <v>1697</v>
      </c>
      <c r="Z57" s="150">
        <v>2684</v>
      </c>
      <c r="AA57" s="150">
        <v>-987</v>
      </c>
      <c r="AB57" s="150">
        <v>12497</v>
      </c>
      <c r="AC57" s="150">
        <v>6195</v>
      </c>
      <c r="AD57" s="150">
        <v>18692</v>
      </c>
      <c r="AE57" s="165">
        <f t="shared" si="0"/>
        <v>0</v>
      </c>
    </row>
    <row r="58" spans="1:32">
      <c r="A58" s="143" t="s">
        <v>78</v>
      </c>
      <c r="B58" s="152">
        <v>3512</v>
      </c>
      <c r="C58" s="152">
        <v>10339</v>
      </c>
      <c r="D58" s="152">
        <v>-6827</v>
      </c>
      <c r="E58" s="152">
        <v>957</v>
      </c>
      <c r="F58" s="152">
        <v>96</v>
      </c>
      <c r="G58" s="152">
        <v>861</v>
      </c>
      <c r="H58" s="152">
        <v>4468</v>
      </c>
      <c r="I58" s="152">
        <v>10435</v>
      </c>
      <c r="J58" s="152">
        <v>-5966</v>
      </c>
      <c r="K58" s="152">
        <v>46686</v>
      </c>
      <c r="L58" s="152">
        <v>10589</v>
      </c>
      <c r="M58" s="152">
        <v>57274</v>
      </c>
      <c r="P58" s="143" t="s">
        <v>78</v>
      </c>
      <c r="Q58" s="152">
        <v>3511</v>
      </c>
      <c r="R58" s="152">
        <v>10339</v>
      </c>
      <c r="S58" s="152">
        <v>-6827</v>
      </c>
      <c r="T58" s="153"/>
      <c r="U58" s="152">
        <v>957</v>
      </c>
      <c r="V58" s="152">
        <v>96</v>
      </c>
      <c r="W58" s="152">
        <v>861</v>
      </c>
      <c r="X58" s="152"/>
      <c r="Y58" s="152">
        <v>4468</v>
      </c>
      <c r="Z58" s="152">
        <v>10435</v>
      </c>
      <c r="AA58" s="152">
        <v>-5966</v>
      </c>
      <c r="AB58" s="152">
        <v>46685</v>
      </c>
      <c r="AC58" s="152">
        <v>10589</v>
      </c>
      <c r="AD58" s="152">
        <v>57274</v>
      </c>
      <c r="AE58" s="165">
        <f t="shared" si="0"/>
        <v>0</v>
      </c>
    </row>
    <row r="59" spans="1:32">
      <c r="A59" s="143" t="s">
        <v>79</v>
      </c>
      <c r="B59" s="152">
        <v>15066</v>
      </c>
      <c r="C59" s="152">
        <v>32511</v>
      </c>
      <c r="D59" s="152">
        <v>-17445</v>
      </c>
      <c r="E59" s="152">
        <v>2932</v>
      </c>
      <c r="F59" s="152">
        <v>2715</v>
      </c>
      <c r="G59" s="152">
        <v>217</v>
      </c>
      <c r="H59" s="152">
        <v>17997</v>
      </c>
      <c r="I59" s="152">
        <v>35227</v>
      </c>
      <c r="J59" s="152">
        <v>-17229</v>
      </c>
      <c r="K59" s="152">
        <v>148216</v>
      </c>
      <c r="L59" s="152">
        <v>29587</v>
      </c>
      <c r="M59" s="152">
        <v>177803</v>
      </c>
      <c r="P59" s="143" t="s">
        <v>79</v>
      </c>
      <c r="Q59" s="152">
        <v>14950</v>
      </c>
      <c r="R59" s="152">
        <v>32511</v>
      </c>
      <c r="S59" s="152">
        <v>-17561</v>
      </c>
      <c r="T59" s="153"/>
      <c r="U59" s="152">
        <v>2932</v>
      </c>
      <c r="V59" s="152">
        <v>2715</v>
      </c>
      <c r="W59" s="152">
        <v>217</v>
      </c>
      <c r="X59" s="152"/>
      <c r="Y59" s="152">
        <v>17882</v>
      </c>
      <c r="Z59" s="152">
        <v>35227</v>
      </c>
      <c r="AA59" s="152">
        <v>-17344</v>
      </c>
      <c r="AB59" s="152">
        <v>148101</v>
      </c>
      <c r="AC59" s="152">
        <v>29587</v>
      </c>
      <c r="AD59" s="152">
        <v>177688</v>
      </c>
      <c r="AE59" s="165">
        <f t="shared" si="0"/>
        <v>-115</v>
      </c>
    </row>
    <row r="60" spans="1:32">
      <c r="A60" s="143" t="s">
        <v>80</v>
      </c>
      <c r="B60" s="143" t="s">
        <v>29</v>
      </c>
      <c r="C60" s="143" t="s">
        <v>29</v>
      </c>
      <c r="D60" s="143" t="s">
        <v>29</v>
      </c>
      <c r="E60" s="143" t="s">
        <v>29</v>
      </c>
      <c r="F60" s="143" t="s">
        <v>29</v>
      </c>
      <c r="G60" s="143" t="s">
        <v>29</v>
      </c>
      <c r="H60" s="143" t="s">
        <v>29</v>
      </c>
      <c r="I60" s="143" t="s">
        <v>29</v>
      </c>
      <c r="J60" s="143" t="s">
        <v>29</v>
      </c>
      <c r="K60" s="143" t="s">
        <v>29</v>
      </c>
      <c r="L60" s="143" t="s">
        <v>29</v>
      </c>
      <c r="M60" s="143" t="s">
        <v>29</v>
      </c>
      <c r="P60" s="143" t="s">
        <v>80</v>
      </c>
      <c r="Q60" s="143" t="s">
        <v>29</v>
      </c>
      <c r="R60" s="143" t="s">
        <v>29</v>
      </c>
      <c r="S60" s="143" t="s">
        <v>29</v>
      </c>
      <c r="T60" s="145"/>
      <c r="U60" s="143" t="s">
        <v>29</v>
      </c>
      <c r="V60" s="143" t="s">
        <v>29</v>
      </c>
      <c r="W60" s="143" t="s">
        <v>29</v>
      </c>
      <c r="X60" s="143"/>
      <c r="Y60" s="143" t="s">
        <v>29</v>
      </c>
      <c r="Z60" s="143" t="s">
        <v>29</v>
      </c>
      <c r="AA60" s="143" t="s">
        <v>29</v>
      </c>
      <c r="AB60" s="143" t="s">
        <v>29</v>
      </c>
      <c r="AC60" s="143" t="s">
        <v>29</v>
      </c>
      <c r="AD60" s="143" t="s">
        <v>29</v>
      </c>
      <c r="AE60" s="165"/>
    </row>
    <row r="61" spans="1:32">
      <c r="A61" s="143" t="s">
        <v>81</v>
      </c>
      <c r="B61" s="150">
        <v>4233</v>
      </c>
      <c r="C61" s="150">
        <v>4224</v>
      </c>
      <c r="D61" s="150">
        <v>9</v>
      </c>
      <c r="E61" s="150">
        <v>1857</v>
      </c>
      <c r="F61" s="150">
        <v>1857</v>
      </c>
      <c r="G61" s="150">
        <v>0</v>
      </c>
      <c r="H61" s="150">
        <v>6091</v>
      </c>
      <c r="I61" s="150">
        <v>6081</v>
      </c>
      <c r="J61" s="150">
        <v>8</v>
      </c>
      <c r="K61" s="150">
        <v>37810</v>
      </c>
      <c r="L61" s="150">
        <v>15371</v>
      </c>
      <c r="M61" s="150">
        <v>53182</v>
      </c>
      <c r="P61" s="143" t="s">
        <v>81</v>
      </c>
      <c r="Q61" s="150">
        <v>4234</v>
      </c>
      <c r="R61" s="150">
        <v>4224</v>
      </c>
      <c r="S61" s="150">
        <v>9</v>
      </c>
      <c r="T61" s="151"/>
      <c r="U61" s="150">
        <v>1857</v>
      </c>
      <c r="V61" s="150">
        <v>1857</v>
      </c>
      <c r="W61" s="150">
        <v>0</v>
      </c>
      <c r="X61" s="150"/>
      <c r="Y61" s="150">
        <v>6090</v>
      </c>
      <c r="Z61" s="150">
        <v>6081</v>
      </c>
      <c r="AA61" s="150">
        <v>9</v>
      </c>
      <c r="AB61" s="150">
        <v>37811</v>
      </c>
      <c r="AC61" s="150">
        <v>15371</v>
      </c>
      <c r="AD61" s="150">
        <v>53181</v>
      </c>
      <c r="AE61" s="165">
        <f t="shared" si="0"/>
        <v>-1</v>
      </c>
    </row>
    <row r="62" spans="1:32">
      <c r="A62" s="143" t="s">
        <v>82</v>
      </c>
      <c r="B62" s="150">
        <v>0</v>
      </c>
      <c r="C62" s="150">
        <v>0</v>
      </c>
      <c r="D62" s="150">
        <v>0</v>
      </c>
      <c r="E62" s="150">
        <v>0</v>
      </c>
      <c r="F62" s="150">
        <v>0</v>
      </c>
      <c r="G62" s="150">
        <v>0</v>
      </c>
      <c r="H62" s="150">
        <v>0</v>
      </c>
      <c r="I62" s="150">
        <v>0</v>
      </c>
      <c r="J62" s="150">
        <v>0</v>
      </c>
      <c r="K62" s="150">
        <v>955</v>
      </c>
      <c r="L62" s="150">
        <v>0</v>
      </c>
      <c r="M62" s="150">
        <v>955</v>
      </c>
      <c r="P62" s="143" t="s">
        <v>82</v>
      </c>
      <c r="Q62" s="150">
        <v>0</v>
      </c>
      <c r="R62" s="150">
        <v>0</v>
      </c>
      <c r="S62" s="150">
        <v>0</v>
      </c>
      <c r="T62" s="151"/>
      <c r="U62" s="150">
        <v>0</v>
      </c>
      <c r="V62" s="150">
        <v>0</v>
      </c>
      <c r="W62" s="150">
        <v>0</v>
      </c>
      <c r="X62" s="150"/>
      <c r="Y62" s="150">
        <v>0</v>
      </c>
      <c r="Z62" s="150">
        <v>0</v>
      </c>
      <c r="AA62" s="150">
        <v>0</v>
      </c>
      <c r="AB62" s="150">
        <v>955</v>
      </c>
      <c r="AC62" s="150">
        <v>0</v>
      </c>
      <c r="AD62" s="150">
        <v>956</v>
      </c>
      <c r="AE62" s="165">
        <f t="shared" si="0"/>
        <v>1</v>
      </c>
    </row>
    <row r="63" spans="1:32">
      <c r="A63" s="143" t="s">
        <v>83</v>
      </c>
      <c r="B63" s="152">
        <v>4233</v>
      </c>
      <c r="C63" s="152">
        <v>4224</v>
      </c>
      <c r="D63" s="152">
        <v>9</v>
      </c>
      <c r="E63" s="152">
        <v>1857</v>
      </c>
      <c r="F63" s="152">
        <v>1857</v>
      </c>
      <c r="G63" s="152">
        <v>0</v>
      </c>
      <c r="H63" s="152">
        <v>6091</v>
      </c>
      <c r="I63" s="152">
        <v>6081</v>
      </c>
      <c r="J63" s="152">
        <v>8</v>
      </c>
      <c r="K63" s="152">
        <v>38765</v>
      </c>
      <c r="L63" s="152">
        <v>15371</v>
      </c>
      <c r="M63" s="152">
        <v>54137</v>
      </c>
      <c r="P63" s="143" t="s">
        <v>83</v>
      </c>
      <c r="Q63" s="152">
        <v>4234</v>
      </c>
      <c r="R63" s="152">
        <v>4224</v>
      </c>
      <c r="S63" s="152">
        <v>9</v>
      </c>
      <c r="T63" s="153"/>
      <c r="U63" s="152">
        <v>1857</v>
      </c>
      <c r="V63" s="152">
        <v>1857</v>
      </c>
      <c r="W63" s="152">
        <v>0</v>
      </c>
      <c r="X63" s="152"/>
      <c r="Y63" s="152">
        <v>6090</v>
      </c>
      <c r="Z63" s="152">
        <v>6081</v>
      </c>
      <c r="AA63" s="152">
        <v>9</v>
      </c>
      <c r="AB63" s="152">
        <v>38766</v>
      </c>
      <c r="AC63" s="152">
        <v>15371</v>
      </c>
      <c r="AD63" s="152">
        <v>54137</v>
      </c>
      <c r="AE63" s="165">
        <f t="shared" si="0"/>
        <v>0</v>
      </c>
    </row>
    <row r="64" spans="1:32">
      <c r="A64" s="143" t="s">
        <v>84</v>
      </c>
      <c r="B64" s="152">
        <v>244356</v>
      </c>
      <c r="C64" s="152">
        <v>249418</v>
      </c>
      <c r="D64" s="152">
        <v>-5062</v>
      </c>
      <c r="E64" s="152">
        <v>36303</v>
      </c>
      <c r="F64" s="152">
        <v>33317</v>
      </c>
      <c r="G64" s="152">
        <v>2986</v>
      </c>
      <c r="H64" s="152">
        <v>280659</v>
      </c>
      <c r="I64" s="152">
        <v>282735</v>
      </c>
      <c r="J64" s="152">
        <v>-2077</v>
      </c>
      <c r="K64" s="152">
        <v>1812685</v>
      </c>
      <c r="L64" s="152">
        <v>319764</v>
      </c>
      <c r="M64" s="152">
        <v>2132449</v>
      </c>
      <c r="P64" s="143" t="s">
        <v>84</v>
      </c>
      <c r="Q64" s="152">
        <v>221307</v>
      </c>
      <c r="R64" s="152">
        <v>249418</v>
      </c>
      <c r="S64" s="152">
        <v>-28112</v>
      </c>
      <c r="T64" s="153"/>
      <c r="U64" s="152">
        <v>36303</v>
      </c>
      <c r="V64" s="152">
        <v>33317</v>
      </c>
      <c r="W64" s="152">
        <v>2986</v>
      </c>
      <c r="X64" s="152"/>
      <c r="Y64" s="152">
        <v>257609</v>
      </c>
      <c r="Z64" s="152">
        <v>282735</v>
      </c>
      <c r="AA64" s="152">
        <v>-25126</v>
      </c>
      <c r="AB64" s="152">
        <v>1789636</v>
      </c>
      <c r="AC64" s="152">
        <v>319764</v>
      </c>
      <c r="AD64" s="152">
        <v>2109400</v>
      </c>
      <c r="AE64" s="165">
        <f t="shared" si="0"/>
        <v>-23049</v>
      </c>
    </row>
    <row r="65" spans="1:32">
      <c r="A65" s="143" t="s">
        <v>85</v>
      </c>
      <c r="B65" s="157">
        <v>112520</v>
      </c>
      <c r="C65" s="157">
        <v>135162</v>
      </c>
      <c r="D65" s="157">
        <v>-22642</v>
      </c>
      <c r="E65" s="157">
        <v>125294</v>
      </c>
      <c r="F65" s="157">
        <v>14583</v>
      </c>
      <c r="G65" s="157">
        <v>110712</v>
      </c>
      <c r="H65" s="157">
        <v>237814</v>
      </c>
      <c r="I65" s="157">
        <v>149745</v>
      </c>
      <c r="J65" s="157">
        <v>88070</v>
      </c>
      <c r="K65" s="157">
        <v>973371</v>
      </c>
      <c r="L65" s="157">
        <v>316142</v>
      </c>
      <c r="M65" s="157">
        <v>1289513</v>
      </c>
      <c r="P65" s="143" t="s">
        <v>85</v>
      </c>
      <c r="Q65" s="157">
        <v>135793</v>
      </c>
      <c r="R65" s="157">
        <v>135162</v>
      </c>
      <c r="S65" s="157">
        <v>631</v>
      </c>
      <c r="T65" s="158"/>
      <c r="U65" s="157">
        <v>125294</v>
      </c>
      <c r="V65" s="157">
        <v>14583</v>
      </c>
      <c r="W65" s="157">
        <v>110712</v>
      </c>
      <c r="X65" s="157"/>
      <c r="Y65" s="157">
        <v>261088</v>
      </c>
      <c r="Z65" s="157">
        <v>149745</v>
      </c>
      <c r="AA65" s="157">
        <v>111343</v>
      </c>
      <c r="AB65" s="157">
        <v>996644</v>
      </c>
      <c r="AC65" s="157">
        <v>316142</v>
      </c>
      <c r="AD65" s="157">
        <v>1312786</v>
      </c>
      <c r="AE65" s="165">
        <f t="shared" si="0"/>
        <v>23273</v>
      </c>
    </row>
    <row r="66" spans="1:32">
      <c r="A66" s="143" t="s">
        <v>86</v>
      </c>
      <c r="B66" s="159" t="s">
        <v>25</v>
      </c>
      <c r="C66" s="159" t="s">
        <v>25</v>
      </c>
      <c r="D66" s="159" t="s">
        <v>25</v>
      </c>
      <c r="E66" s="159" t="s">
        <v>25</v>
      </c>
      <c r="F66" s="159" t="s">
        <v>25</v>
      </c>
      <c r="G66" s="159" t="s">
        <v>25</v>
      </c>
      <c r="H66" s="159" t="s">
        <v>25</v>
      </c>
      <c r="I66" s="159" t="s">
        <v>25</v>
      </c>
      <c r="J66" s="159" t="s">
        <v>25</v>
      </c>
      <c r="K66" s="159" t="s">
        <v>25</v>
      </c>
      <c r="L66" s="159" t="s">
        <v>25</v>
      </c>
      <c r="M66" s="159" t="s">
        <v>25</v>
      </c>
      <c r="P66" s="143" t="s">
        <v>86</v>
      </c>
      <c r="Q66" s="159" t="s">
        <v>25</v>
      </c>
      <c r="R66" s="159" t="s">
        <v>25</v>
      </c>
      <c r="S66" s="159" t="s">
        <v>25</v>
      </c>
      <c r="T66" s="164"/>
      <c r="U66" s="159" t="s">
        <v>25</v>
      </c>
      <c r="V66" s="159" t="s">
        <v>25</v>
      </c>
      <c r="W66" s="159" t="s">
        <v>25</v>
      </c>
      <c r="X66" s="159"/>
      <c r="Y66" s="159" t="s">
        <v>25</v>
      </c>
      <c r="Z66" s="159" t="s">
        <v>25</v>
      </c>
      <c r="AA66" s="159" t="s">
        <v>25</v>
      </c>
      <c r="AB66" s="159" t="s">
        <v>25</v>
      </c>
      <c r="AC66" s="159" t="s">
        <v>25</v>
      </c>
      <c r="AD66" s="159" t="s">
        <v>25</v>
      </c>
      <c r="AE66" s="165"/>
    </row>
    <row r="67" spans="1:32">
      <c r="A67" s="143" t="s">
        <v>87</v>
      </c>
      <c r="B67" s="143" t="s">
        <v>27</v>
      </c>
      <c r="C67" s="143" t="s">
        <v>27</v>
      </c>
      <c r="D67" s="143" t="s">
        <v>27</v>
      </c>
      <c r="E67" s="143" t="s">
        <v>27</v>
      </c>
      <c r="F67" s="143" t="s">
        <v>27</v>
      </c>
      <c r="G67" s="143" t="s">
        <v>27</v>
      </c>
      <c r="H67" s="143" t="s">
        <v>27</v>
      </c>
      <c r="I67" s="143" t="s">
        <v>27</v>
      </c>
      <c r="J67" s="143" t="s">
        <v>27</v>
      </c>
      <c r="K67" s="143" t="s">
        <v>27</v>
      </c>
      <c r="L67" s="143" t="s">
        <v>27</v>
      </c>
      <c r="M67" s="143" t="s">
        <v>27</v>
      </c>
      <c r="P67" s="143" t="s">
        <v>87</v>
      </c>
      <c r="Q67" s="143" t="s">
        <v>27</v>
      </c>
      <c r="R67" s="143" t="s">
        <v>27</v>
      </c>
      <c r="S67" s="143" t="s">
        <v>27</v>
      </c>
      <c r="T67" s="145"/>
      <c r="U67" s="143" t="s">
        <v>27</v>
      </c>
      <c r="V67" s="143" t="s">
        <v>27</v>
      </c>
      <c r="W67" s="143" t="s">
        <v>27</v>
      </c>
      <c r="X67" s="143"/>
      <c r="Y67" s="143" t="s">
        <v>27</v>
      </c>
      <c r="Z67" s="143" t="s">
        <v>27</v>
      </c>
      <c r="AA67" s="143" t="s">
        <v>27</v>
      </c>
      <c r="AB67" s="143" t="s">
        <v>27</v>
      </c>
      <c r="AC67" s="143" t="s">
        <v>27</v>
      </c>
      <c r="AD67" s="143" t="s">
        <v>27</v>
      </c>
      <c r="AE67" s="165"/>
    </row>
    <row r="68" spans="1:32">
      <c r="A68" s="143" t="s">
        <v>88</v>
      </c>
      <c r="B68" s="150">
        <v>13</v>
      </c>
      <c r="C68" s="150">
        <v>14</v>
      </c>
      <c r="D68" s="150">
        <v>-1</v>
      </c>
      <c r="E68" s="150">
        <v>0</v>
      </c>
      <c r="F68" s="150">
        <v>0</v>
      </c>
      <c r="G68" s="150">
        <v>0</v>
      </c>
      <c r="H68" s="150">
        <v>14</v>
      </c>
      <c r="I68" s="150">
        <v>14</v>
      </c>
      <c r="J68" s="150">
        <v>-1</v>
      </c>
      <c r="K68" s="150">
        <v>4258</v>
      </c>
      <c r="L68" s="150">
        <v>0</v>
      </c>
      <c r="M68" s="150">
        <v>4258</v>
      </c>
      <c r="P68" s="143" t="s">
        <v>88</v>
      </c>
      <c r="Q68" s="150">
        <v>15</v>
      </c>
      <c r="R68" s="150">
        <v>14</v>
      </c>
      <c r="S68" s="150">
        <v>0</v>
      </c>
      <c r="T68" s="151"/>
      <c r="U68" s="150">
        <v>0</v>
      </c>
      <c r="V68" s="150">
        <v>0</v>
      </c>
      <c r="W68" s="150">
        <v>0</v>
      </c>
      <c r="X68" s="150"/>
      <c r="Y68" s="150">
        <v>14</v>
      </c>
      <c r="Z68" s="150">
        <v>14</v>
      </c>
      <c r="AA68" s="150">
        <v>0</v>
      </c>
      <c r="AB68" s="150">
        <v>4259</v>
      </c>
      <c r="AC68" s="150">
        <v>0</v>
      </c>
      <c r="AD68" s="150">
        <v>4260</v>
      </c>
      <c r="AE68" s="165">
        <f t="shared" si="0"/>
        <v>2</v>
      </c>
      <c r="AF68" s="162" t="s">
        <v>41</v>
      </c>
    </row>
    <row r="69" spans="1:32">
      <c r="A69" s="143" t="s">
        <v>89</v>
      </c>
      <c r="B69" s="150">
        <v>6888</v>
      </c>
      <c r="C69" s="150">
        <v>0</v>
      </c>
      <c r="D69" s="150">
        <v>6888</v>
      </c>
      <c r="E69" s="150">
        <v>2881</v>
      </c>
      <c r="F69" s="150">
        <v>5590</v>
      </c>
      <c r="G69" s="150">
        <v>-2710</v>
      </c>
      <c r="H69" s="150">
        <v>9769</v>
      </c>
      <c r="I69" s="150">
        <v>5590</v>
      </c>
      <c r="J69" s="150">
        <v>4178</v>
      </c>
      <c r="K69" s="150">
        <v>25688</v>
      </c>
      <c r="L69" s="150">
        <v>18360</v>
      </c>
      <c r="M69" s="150">
        <v>44048</v>
      </c>
      <c r="P69" s="143" t="s">
        <v>89</v>
      </c>
      <c r="Q69" s="150">
        <v>0</v>
      </c>
      <c r="R69" s="150">
        <v>0</v>
      </c>
      <c r="S69" s="150">
        <v>0</v>
      </c>
      <c r="T69" s="151"/>
      <c r="U69" s="154">
        <v>2881</v>
      </c>
      <c r="V69" s="154">
        <v>5590</v>
      </c>
      <c r="W69" s="154">
        <v>-2710</v>
      </c>
      <c r="X69" s="154">
        <v>11</v>
      </c>
      <c r="Y69" s="150">
        <v>2881</v>
      </c>
      <c r="Z69" s="150">
        <v>5590</v>
      </c>
      <c r="AA69" s="150">
        <v>-2709</v>
      </c>
      <c r="AB69" s="150">
        <v>18800</v>
      </c>
      <c r="AC69" s="150">
        <v>18360</v>
      </c>
      <c r="AD69" s="150">
        <v>37159</v>
      </c>
      <c r="AE69" s="165">
        <f t="shared" si="0"/>
        <v>-6889</v>
      </c>
      <c r="AF69" s="162" t="s">
        <v>90</v>
      </c>
    </row>
    <row r="70" spans="1:32">
      <c r="A70" s="143" t="s">
        <v>91</v>
      </c>
      <c r="B70" s="152">
        <v>6901</v>
      </c>
      <c r="C70" s="152">
        <v>14</v>
      </c>
      <c r="D70" s="152">
        <v>6887</v>
      </c>
      <c r="E70" s="152">
        <v>2881</v>
      </c>
      <c r="F70" s="152">
        <v>5590</v>
      </c>
      <c r="G70" s="152">
        <v>-2710</v>
      </c>
      <c r="H70" s="152">
        <v>9783</v>
      </c>
      <c r="I70" s="152">
        <v>5604</v>
      </c>
      <c r="J70" s="152">
        <v>4177</v>
      </c>
      <c r="K70" s="152">
        <v>29946</v>
      </c>
      <c r="L70" s="152">
        <v>18360</v>
      </c>
      <c r="M70" s="152">
        <v>48306</v>
      </c>
      <c r="P70" s="143" t="s">
        <v>91</v>
      </c>
      <c r="Q70" s="152">
        <v>15</v>
      </c>
      <c r="R70" s="152">
        <v>14</v>
      </c>
      <c r="S70" s="152">
        <v>0</v>
      </c>
      <c r="T70" s="153"/>
      <c r="U70" s="152">
        <v>2881</v>
      </c>
      <c r="V70" s="152">
        <v>5590</v>
      </c>
      <c r="W70" s="152">
        <v>-2710</v>
      </c>
      <c r="X70" s="152"/>
      <c r="Y70" s="152">
        <v>2895</v>
      </c>
      <c r="Z70" s="152">
        <v>5604</v>
      </c>
      <c r="AA70" s="152">
        <v>-2709</v>
      </c>
      <c r="AB70" s="152">
        <v>23059</v>
      </c>
      <c r="AC70" s="152">
        <v>18360</v>
      </c>
      <c r="AD70" s="152">
        <v>41419</v>
      </c>
      <c r="AE70" s="165">
        <f t="shared" si="0"/>
        <v>-6887</v>
      </c>
    </row>
    <row r="71" spans="1:32">
      <c r="A71" s="143" t="s">
        <v>92</v>
      </c>
      <c r="B71" s="143" t="s">
        <v>27</v>
      </c>
      <c r="C71" s="143" t="s">
        <v>27</v>
      </c>
      <c r="D71" s="143" t="s">
        <v>27</v>
      </c>
      <c r="E71" s="143" t="s">
        <v>27</v>
      </c>
      <c r="F71" s="143" t="s">
        <v>27</v>
      </c>
      <c r="G71" s="143" t="s">
        <v>27</v>
      </c>
      <c r="H71" s="143" t="s">
        <v>27</v>
      </c>
      <c r="I71" s="143" t="s">
        <v>27</v>
      </c>
      <c r="J71" s="143" t="s">
        <v>27</v>
      </c>
      <c r="K71" s="143" t="s">
        <v>27</v>
      </c>
      <c r="L71" s="143" t="s">
        <v>27</v>
      </c>
      <c r="M71" s="143" t="s">
        <v>27</v>
      </c>
      <c r="P71" s="143" t="s">
        <v>92</v>
      </c>
      <c r="Q71" s="143" t="s">
        <v>27</v>
      </c>
      <c r="R71" s="143" t="s">
        <v>27</v>
      </c>
      <c r="S71" s="143" t="s">
        <v>27</v>
      </c>
      <c r="T71" s="145"/>
      <c r="U71" s="143" t="s">
        <v>27</v>
      </c>
      <c r="V71" s="143" t="s">
        <v>27</v>
      </c>
      <c r="W71" s="143" t="s">
        <v>27</v>
      </c>
      <c r="X71" s="143"/>
      <c r="Y71" s="143" t="s">
        <v>27</v>
      </c>
      <c r="Z71" s="143" t="s">
        <v>27</v>
      </c>
      <c r="AA71" s="143" t="s">
        <v>27</v>
      </c>
      <c r="AB71" s="143" t="s">
        <v>27</v>
      </c>
      <c r="AC71" s="143" t="s">
        <v>27</v>
      </c>
      <c r="AD71" s="143" t="s">
        <v>27</v>
      </c>
      <c r="AE71" s="165"/>
    </row>
    <row r="72" spans="1:32">
      <c r="A72" s="143" t="s">
        <v>93</v>
      </c>
      <c r="B72" s="150">
        <v>-2165</v>
      </c>
      <c r="C72" s="150">
        <v>-717</v>
      </c>
      <c r="D72" s="150">
        <v>-1448</v>
      </c>
      <c r="E72" s="150">
        <v>-5732</v>
      </c>
      <c r="F72" s="150">
        <v>-5865</v>
      </c>
      <c r="G72" s="150">
        <v>133</v>
      </c>
      <c r="H72" s="150">
        <v>-7898</v>
      </c>
      <c r="I72" s="150">
        <v>-6582</v>
      </c>
      <c r="J72" s="150">
        <v>-1315</v>
      </c>
      <c r="K72" s="150">
        <v>-7783</v>
      </c>
      <c r="L72" s="150">
        <v>-49866</v>
      </c>
      <c r="M72" s="150">
        <v>-57648</v>
      </c>
      <c r="P72" s="143" t="s">
        <v>93</v>
      </c>
      <c r="Q72" s="154">
        <v>-2165</v>
      </c>
      <c r="R72" s="154">
        <v>-717</v>
      </c>
      <c r="S72" s="154">
        <v>-1448</v>
      </c>
      <c r="T72" s="155">
        <v>8</v>
      </c>
      <c r="U72" s="150">
        <v>-5732</v>
      </c>
      <c r="V72" s="150">
        <v>-5865</v>
      </c>
      <c r="W72" s="150">
        <v>133</v>
      </c>
      <c r="X72" s="150"/>
      <c r="Y72" s="150">
        <v>-7897</v>
      </c>
      <c r="Z72" s="150">
        <v>-6582</v>
      </c>
      <c r="AA72" s="150">
        <v>-1316</v>
      </c>
      <c r="AB72" s="150">
        <v>-7782</v>
      </c>
      <c r="AC72" s="150">
        <v>-49866</v>
      </c>
      <c r="AD72" s="150">
        <v>-57648</v>
      </c>
      <c r="AE72" s="165">
        <f t="shared" si="0"/>
        <v>0</v>
      </c>
    </row>
    <row r="73" spans="1:32">
      <c r="A73" s="143" t="s">
        <v>94</v>
      </c>
      <c r="B73" s="150">
        <v>-25685</v>
      </c>
      <c r="C73" s="150">
        <v>-18169</v>
      </c>
      <c r="D73" s="150">
        <v>-7516</v>
      </c>
      <c r="E73" s="150">
        <v>0</v>
      </c>
      <c r="F73" s="150">
        <v>0</v>
      </c>
      <c r="G73" s="150">
        <v>0</v>
      </c>
      <c r="H73" s="150">
        <v>-25685</v>
      </c>
      <c r="I73" s="150">
        <v>-18169</v>
      </c>
      <c r="J73" s="150">
        <v>-7516</v>
      </c>
      <c r="K73" s="150">
        <v>-226273</v>
      </c>
      <c r="L73" s="150">
        <v>0</v>
      </c>
      <c r="M73" s="150">
        <v>-226274</v>
      </c>
      <c r="P73" s="143" t="s">
        <v>94</v>
      </c>
      <c r="Q73" s="154">
        <v>-25686</v>
      </c>
      <c r="R73" s="154">
        <v>-18169</v>
      </c>
      <c r="S73" s="154">
        <v>-7515</v>
      </c>
      <c r="T73" s="155"/>
      <c r="U73" s="150">
        <v>0</v>
      </c>
      <c r="V73" s="150">
        <v>0</v>
      </c>
      <c r="W73" s="150">
        <v>0</v>
      </c>
      <c r="X73" s="150"/>
      <c r="Y73" s="150">
        <v>-25686</v>
      </c>
      <c r="Z73" s="150">
        <v>-18169</v>
      </c>
      <c r="AA73" s="150">
        <v>-7515</v>
      </c>
      <c r="AB73" s="150">
        <v>-226274</v>
      </c>
      <c r="AC73" s="150">
        <v>0</v>
      </c>
      <c r="AD73" s="150">
        <v>-226274</v>
      </c>
      <c r="AE73" s="165">
        <f t="shared" si="0"/>
        <v>0</v>
      </c>
    </row>
    <row r="74" spans="1:32">
      <c r="A74" s="143" t="s">
        <v>95</v>
      </c>
      <c r="B74" s="150">
        <v>-27810</v>
      </c>
      <c r="C74" s="150">
        <v>0</v>
      </c>
      <c r="D74" s="150">
        <v>-27809</v>
      </c>
      <c r="E74" s="150">
        <v>0</v>
      </c>
      <c r="F74" s="150">
        <v>0</v>
      </c>
      <c r="G74" s="150">
        <v>0</v>
      </c>
      <c r="H74" s="150">
        <v>-27810</v>
      </c>
      <c r="I74" s="150">
        <v>0</v>
      </c>
      <c r="J74" s="150">
        <v>-27809</v>
      </c>
      <c r="K74" s="150">
        <v>-27810</v>
      </c>
      <c r="L74" s="150">
        <v>0</v>
      </c>
      <c r="M74" s="150">
        <v>-27810</v>
      </c>
      <c r="P74" s="143" t="s">
        <v>95</v>
      </c>
      <c r="Q74" s="154">
        <v>-27809</v>
      </c>
      <c r="R74" s="154">
        <v>0</v>
      </c>
      <c r="S74" s="154">
        <v>-27810</v>
      </c>
      <c r="T74" s="155">
        <v>9</v>
      </c>
      <c r="U74" s="150">
        <v>0</v>
      </c>
      <c r="V74" s="150">
        <v>0</v>
      </c>
      <c r="W74" s="150">
        <v>0</v>
      </c>
      <c r="X74" s="150"/>
      <c r="Y74" s="150">
        <v>-27809</v>
      </c>
      <c r="Z74" s="150">
        <v>0</v>
      </c>
      <c r="AA74" s="150">
        <v>-27810</v>
      </c>
      <c r="AB74" s="150">
        <v>-27810</v>
      </c>
      <c r="AC74" s="150">
        <v>0</v>
      </c>
      <c r="AD74" s="150">
        <v>-27809</v>
      </c>
      <c r="AE74" s="165">
        <f t="shared" si="0"/>
        <v>1</v>
      </c>
    </row>
    <row r="75" spans="1:32">
      <c r="A75" s="143" t="s">
        <v>96</v>
      </c>
      <c r="B75" s="152">
        <v>-55660</v>
      </c>
      <c r="C75" s="152">
        <v>-18886</v>
      </c>
      <c r="D75" s="152">
        <v>-36773</v>
      </c>
      <c r="E75" s="152">
        <v>-5732</v>
      </c>
      <c r="F75" s="152">
        <v>-5865</v>
      </c>
      <c r="G75" s="152">
        <v>133</v>
      </c>
      <c r="H75" s="152">
        <v>-61393</v>
      </c>
      <c r="I75" s="152">
        <v>-24751</v>
      </c>
      <c r="J75" s="152">
        <v>-36640</v>
      </c>
      <c r="K75" s="152">
        <v>-261866</v>
      </c>
      <c r="L75" s="152">
        <v>-49866</v>
      </c>
      <c r="M75" s="152">
        <v>-311732</v>
      </c>
      <c r="P75" s="143" t="s">
        <v>96</v>
      </c>
      <c r="Q75" s="152">
        <v>-55660</v>
      </c>
      <c r="R75" s="152">
        <v>-18886</v>
      </c>
      <c r="S75" s="152">
        <v>-36773</v>
      </c>
      <c r="T75" s="153"/>
      <c r="U75" s="152">
        <v>-5732</v>
      </c>
      <c r="V75" s="152">
        <v>-5865</v>
      </c>
      <c r="W75" s="152">
        <v>133</v>
      </c>
      <c r="X75" s="152"/>
      <c r="Y75" s="152">
        <v>-61392</v>
      </c>
      <c r="Z75" s="152">
        <v>-24751</v>
      </c>
      <c r="AA75" s="152">
        <v>-36641</v>
      </c>
      <c r="AB75" s="152">
        <v>-261866</v>
      </c>
      <c r="AC75" s="152">
        <v>-49866</v>
      </c>
      <c r="AD75" s="152">
        <v>-311731</v>
      </c>
      <c r="AE75" s="165">
        <f t="shared" si="0"/>
        <v>1</v>
      </c>
    </row>
    <row r="76" spans="1:32">
      <c r="A76" s="143" t="s">
        <v>97</v>
      </c>
      <c r="B76" s="157">
        <v>-48759</v>
      </c>
      <c r="C76" s="157">
        <v>-18872</v>
      </c>
      <c r="D76" s="157">
        <v>-29886</v>
      </c>
      <c r="E76" s="157">
        <v>-2851</v>
      </c>
      <c r="F76" s="157">
        <v>-275</v>
      </c>
      <c r="G76" s="157">
        <v>-2577</v>
      </c>
      <c r="H76" s="157">
        <v>-51610</v>
      </c>
      <c r="I76" s="157">
        <v>-19147</v>
      </c>
      <c r="J76" s="157">
        <v>-32463</v>
      </c>
      <c r="K76" s="157">
        <v>-231920</v>
      </c>
      <c r="L76" s="157">
        <v>-31506</v>
      </c>
      <c r="M76" s="157">
        <v>-263426</v>
      </c>
      <c r="P76" s="143" t="s">
        <v>97</v>
      </c>
      <c r="Q76" s="157">
        <v>-55645</v>
      </c>
      <c r="R76" s="157">
        <v>-18872</v>
      </c>
      <c r="S76" s="157">
        <v>-36773</v>
      </c>
      <c r="T76" s="158"/>
      <c r="U76" s="157">
        <v>-2851</v>
      </c>
      <c r="V76" s="157">
        <v>-275</v>
      </c>
      <c r="W76" s="157">
        <v>-2577</v>
      </c>
      <c r="X76" s="157"/>
      <c r="Y76" s="157">
        <v>-58497</v>
      </c>
      <c r="Z76" s="157">
        <v>-19147</v>
      </c>
      <c r="AA76" s="157">
        <v>-39350</v>
      </c>
      <c r="AB76" s="157">
        <v>-238807</v>
      </c>
      <c r="AC76" s="157">
        <v>-31506</v>
      </c>
      <c r="AD76" s="157">
        <v>-270312</v>
      </c>
      <c r="AE76" s="165">
        <f t="shared" si="0"/>
        <v>-6886</v>
      </c>
    </row>
    <row r="77" spans="1:32">
      <c r="A77" s="143" t="s">
        <v>98</v>
      </c>
      <c r="B77" s="159" t="s">
        <v>25</v>
      </c>
      <c r="C77" s="159" t="s">
        <v>25</v>
      </c>
      <c r="D77" s="159" t="s">
        <v>25</v>
      </c>
      <c r="E77" s="159" t="s">
        <v>25</v>
      </c>
      <c r="F77" s="159" t="s">
        <v>25</v>
      </c>
      <c r="G77" s="159" t="s">
        <v>25</v>
      </c>
      <c r="H77" s="159" t="s">
        <v>25</v>
      </c>
      <c r="I77" s="159" t="s">
        <v>25</v>
      </c>
      <c r="J77" s="159" t="s">
        <v>25</v>
      </c>
      <c r="K77" s="159" t="s">
        <v>25</v>
      </c>
      <c r="L77" s="159" t="s">
        <v>25</v>
      </c>
      <c r="M77" s="159" t="s">
        <v>25</v>
      </c>
      <c r="P77" s="143" t="s">
        <v>98</v>
      </c>
      <c r="Q77" s="159" t="s">
        <v>25</v>
      </c>
      <c r="R77" s="159" t="s">
        <v>25</v>
      </c>
      <c r="S77" s="159" t="s">
        <v>25</v>
      </c>
      <c r="T77" s="164"/>
      <c r="U77" s="159" t="s">
        <v>25</v>
      </c>
      <c r="V77" s="159" t="s">
        <v>25</v>
      </c>
      <c r="W77" s="159" t="s">
        <v>25</v>
      </c>
      <c r="X77" s="159"/>
      <c r="Y77" s="159" t="s">
        <v>25</v>
      </c>
      <c r="Z77" s="159" t="s">
        <v>25</v>
      </c>
      <c r="AA77" s="159" t="s">
        <v>25</v>
      </c>
      <c r="AB77" s="159" t="s">
        <v>25</v>
      </c>
      <c r="AC77" s="159" t="s">
        <v>25</v>
      </c>
      <c r="AD77" s="159" t="s">
        <v>25</v>
      </c>
      <c r="AE77" s="165"/>
    </row>
    <row r="78" spans="1:32">
      <c r="A78" s="143" t="s">
        <v>99</v>
      </c>
      <c r="B78" s="150">
        <v>1470</v>
      </c>
      <c r="C78" s="150">
        <v>1047</v>
      </c>
      <c r="D78" s="150">
        <v>423</v>
      </c>
      <c r="E78" s="150">
        <v>0</v>
      </c>
      <c r="F78" s="150">
        <v>0</v>
      </c>
      <c r="G78" s="150">
        <v>0</v>
      </c>
      <c r="H78" s="150">
        <v>1470</v>
      </c>
      <c r="I78" s="150">
        <v>1048</v>
      </c>
      <c r="J78" s="150">
        <v>423</v>
      </c>
      <c r="K78" s="150">
        <v>10672</v>
      </c>
      <c r="L78" s="150">
        <v>16572</v>
      </c>
      <c r="M78" s="150">
        <v>27243</v>
      </c>
      <c r="P78" s="143" t="s">
        <v>99</v>
      </c>
      <c r="Q78" s="150">
        <v>1471</v>
      </c>
      <c r="R78" s="150">
        <v>1047</v>
      </c>
      <c r="S78" s="150">
        <v>423</v>
      </c>
      <c r="T78" s="151"/>
      <c r="U78" s="150">
        <v>0</v>
      </c>
      <c r="V78" s="150">
        <v>0</v>
      </c>
      <c r="W78" s="150">
        <v>0</v>
      </c>
      <c r="X78" s="150"/>
      <c r="Y78" s="150">
        <v>1471</v>
      </c>
      <c r="Z78" s="150">
        <v>1048</v>
      </c>
      <c r="AA78" s="150">
        <v>423</v>
      </c>
      <c r="AB78" s="150">
        <v>10671</v>
      </c>
      <c r="AC78" s="150">
        <v>16572</v>
      </c>
      <c r="AD78" s="150">
        <v>27244</v>
      </c>
      <c r="AE78" s="165">
        <f t="shared" si="0"/>
        <v>1</v>
      </c>
    </row>
    <row r="79" spans="1:32">
      <c r="A79" s="143" t="s">
        <v>100</v>
      </c>
      <c r="B79" s="157">
        <v>1470</v>
      </c>
      <c r="C79" s="157">
        <v>1047</v>
      </c>
      <c r="D79" s="157">
        <v>423</v>
      </c>
      <c r="E79" s="157">
        <v>0</v>
      </c>
      <c r="F79" s="157">
        <v>0</v>
      </c>
      <c r="G79" s="157">
        <v>0</v>
      </c>
      <c r="H79" s="157">
        <v>1470</v>
      </c>
      <c r="I79" s="157">
        <v>1048</v>
      </c>
      <c r="J79" s="157">
        <v>423</v>
      </c>
      <c r="K79" s="157">
        <v>10672</v>
      </c>
      <c r="L79" s="157">
        <v>16572</v>
      </c>
      <c r="M79" s="157">
        <v>27243</v>
      </c>
      <c r="P79" s="143" t="s">
        <v>100</v>
      </c>
      <c r="Q79" s="157">
        <v>1471</v>
      </c>
      <c r="R79" s="157">
        <v>1047</v>
      </c>
      <c r="S79" s="157">
        <v>423</v>
      </c>
      <c r="T79" s="158"/>
      <c r="U79" s="157">
        <v>0</v>
      </c>
      <c r="V79" s="157">
        <v>0</v>
      </c>
      <c r="W79" s="157">
        <v>0</v>
      </c>
      <c r="X79" s="157"/>
      <c r="Y79" s="157">
        <v>1471</v>
      </c>
      <c r="Z79" s="157">
        <v>1048</v>
      </c>
      <c r="AA79" s="157">
        <v>423</v>
      </c>
      <c r="AB79" s="157">
        <v>10671</v>
      </c>
      <c r="AC79" s="157">
        <v>16572</v>
      </c>
      <c r="AD79" s="157">
        <v>27244</v>
      </c>
      <c r="AE79" s="165">
        <f t="shared" si="0"/>
        <v>1</v>
      </c>
    </row>
    <row r="80" spans="1:32" ht="12" thickBot="1">
      <c r="A80" s="148" t="s">
        <v>101</v>
      </c>
      <c r="B80" s="160">
        <v>62291</v>
      </c>
      <c r="C80" s="160">
        <v>115243</v>
      </c>
      <c r="D80" s="160">
        <v>-52952</v>
      </c>
      <c r="E80" s="160">
        <v>122443</v>
      </c>
      <c r="F80" s="160">
        <v>14308</v>
      </c>
      <c r="G80" s="160">
        <v>108135</v>
      </c>
      <c r="H80" s="160">
        <v>184734</v>
      </c>
      <c r="I80" s="160">
        <v>129550</v>
      </c>
      <c r="J80" s="160">
        <v>55183</v>
      </c>
      <c r="K80" s="160">
        <v>730779</v>
      </c>
      <c r="L80" s="160">
        <v>268065</v>
      </c>
      <c r="M80" s="160">
        <v>998844</v>
      </c>
      <c r="P80" s="148" t="s">
        <v>101</v>
      </c>
      <c r="Q80" s="160">
        <v>78677</v>
      </c>
      <c r="R80" s="160">
        <v>115243</v>
      </c>
      <c r="S80" s="160">
        <v>-36565</v>
      </c>
      <c r="T80" s="161"/>
      <c r="U80" s="160">
        <v>122443</v>
      </c>
      <c r="V80" s="160">
        <v>14308</v>
      </c>
      <c r="W80" s="160">
        <v>108135</v>
      </c>
      <c r="X80" s="160"/>
      <c r="Y80" s="160">
        <v>201120</v>
      </c>
      <c r="Z80" s="160">
        <v>129550</v>
      </c>
      <c r="AA80" s="160">
        <v>71570</v>
      </c>
      <c r="AB80" s="160">
        <v>747166</v>
      </c>
      <c r="AC80" s="160">
        <v>268064</v>
      </c>
      <c r="AD80" s="160">
        <v>1015230</v>
      </c>
      <c r="AE80" s="165">
        <f t="shared" ref="AE80" si="1">AD80-M80</f>
        <v>16386</v>
      </c>
    </row>
    <row r="81" spans="1:1" ht="12" thickTop="1">
      <c r="A81" s="143" t="s">
        <v>11</v>
      </c>
    </row>
    <row r="82" spans="1:1">
      <c r="A82" s="143" t="s">
        <v>11</v>
      </c>
    </row>
    <row r="83" spans="1:1">
      <c r="A83" s="143" t="s">
        <v>102</v>
      </c>
    </row>
  </sheetData>
  <pageMargins left="0.75" right="0.75" top="1" bottom="1" header="0.5" footer="0.5"/>
  <pageSetup orientation="portrait" horizontalDpi="300" verticalDpi="300"/>
  <ignoredErrors>
    <ignoredError sqref="A81:IV65536 A1:O1 AE1:IV1 A3:O80 B2:O2 AF16:IV23 AF15:IV15 AE3:IV14 AG2:IV2 AF25:IV39 AG24:IV24 AF41:IV43 AG40:IV40 AF45:IV50 AG44:IV44 AF52:IV52 AG51:IV51 AF55:IV67 AG53:IV53 AG54:IV54 AF70:IV80 AG68:IV68 AG69:IV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BC0E-1208-40AF-8617-53EEDF2369B9}">
  <dimension ref="A1:E21"/>
  <sheetViews>
    <sheetView zoomScale="125" workbookViewId="0">
      <selection activeCell="B26" sqref="B26"/>
    </sheetView>
  </sheetViews>
  <sheetFormatPr defaultColWidth="8.85546875" defaultRowHeight="12.75"/>
  <cols>
    <col min="1" max="1" width="17" customWidth="1"/>
    <col min="2" max="2" width="31.5703125" customWidth="1"/>
    <col min="3" max="3" width="72.5703125" customWidth="1"/>
    <col min="4" max="4" width="12.85546875" bestFit="1" customWidth="1"/>
    <col min="5" max="5" width="23.140625" customWidth="1"/>
  </cols>
  <sheetData>
    <row r="1" spans="1:5" ht="31.5">
      <c r="A1" s="1" t="s">
        <v>103</v>
      </c>
      <c r="B1" s="2" t="s">
        <v>104</v>
      </c>
      <c r="C1" s="2" t="s">
        <v>4</v>
      </c>
      <c r="D1" s="2" t="s">
        <v>105</v>
      </c>
      <c r="E1" s="2" t="s">
        <v>106</v>
      </c>
    </row>
    <row r="2" spans="1:5">
      <c r="A2">
        <v>1</v>
      </c>
      <c r="B2" s="3" t="s">
        <v>62</v>
      </c>
      <c r="C2" s="4" t="s">
        <v>107</v>
      </c>
      <c r="D2" s="5">
        <v>10000</v>
      </c>
      <c r="E2" s="5"/>
    </row>
    <row r="3" spans="1:5">
      <c r="A3">
        <v>2</v>
      </c>
      <c r="B3" s="3" t="s">
        <v>64</v>
      </c>
      <c r="C3" s="4"/>
      <c r="D3" s="5"/>
      <c r="E3" s="5"/>
    </row>
    <row r="4" spans="1:5">
      <c r="A4">
        <v>3</v>
      </c>
      <c r="B4" s="3" t="s">
        <v>67</v>
      </c>
      <c r="C4" s="4" t="s">
        <v>108</v>
      </c>
      <c r="D4" s="5"/>
      <c r="E4" s="5">
        <v>700</v>
      </c>
    </row>
    <row r="5" spans="1:5">
      <c r="A5">
        <v>4</v>
      </c>
      <c r="B5" s="3" t="s">
        <v>71</v>
      </c>
      <c r="C5" s="4" t="s">
        <v>109</v>
      </c>
      <c r="D5" s="5"/>
      <c r="E5" s="5">
        <v>10000</v>
      </c>
    </row>
    <row r="6" spans="1:5">
      <c r="A6">
        <v>5</v>
      </c>
      <c r="B6" s="3" t="s">
        <v>73</v>
      </c>
      <c r="C6" s="4"/>
      <c r="D6" s="5"/>
      <c r="E6" s="5"/>
    </row>
    <row r="7" spans="1:5">
      <c r="A7">
        <v>6</v>
      </c>
      <c r="B7" s="3" t="s">
        <v>76</v>
      </c>
      <c r="C7" t="s">
        <v>110</v>
      </c>
      <c r="D7" s="5"/>
      <c r="E7" s="5"/>
    </row>
    <row r="8" spans="1:5">
      <c r="A8">
        <v>7</v>
      </c>
      <c r="B8" s="3" t="s">
        <v>77</v>
      </c>
      <c r="C8" s="4" t="s">
        <v>111</v>
      </c>
      <c r="D8" s="5"/>
      <c r="E8" s="5">
        <v>1446</v>
      </c>
    </row>
    <row r="9" spans="1:5">
      <c r="A9">
        <v>8</v>
      </c>
      <c r="B9" t="s">
        <v>93</v>
      </c>
      <c r="C9" t="s">
        <v>112</v>
      </c>
      <c r="D9" s="5">
        <v>945.2</v>
      </c>
      <c r="E9" s="5"/>
    </row>
    <row r="10" spans="1:5">
      <c r="A10">
        <v>9</v>
      </c>
      <c r="B10" t="s">
        <v>95</v>
      </c>
      <c r="C10" t="s">
        <v>113</v>
      </c>
      <c r="D10" s="5">
        <v>27809</v>
      </c>
      <c r="E10" s="5"/>
    </row>
    <row r="11" spans="1:5">
      <c r="A11">
        <v>10</v>
      </c>
      <c r="B11" t="s">
        <v>56</v>
      </c>
      <c r="C11" s="4" t="s">
        <v>114</v>
      </c>
      <c r="D11" s="5"/>
      <c r="E11" s="5">
        <v>3500</v>
      </c>
    </row>
    <row r="12" spans="1:5">
      <c r="A12">
        <v>11</v>
      </c>
      <c r="B12" t="s">
        <v>89</v>
      </c>
      <c r="C12" t="s">
        <v>115</v>
      </c>
      <c r="D12" s="5">
        <v>2881</v>
      </c>
      <c r="E12" s="5"/>
    </row>
    <row r="13" spans="1:5">
      <c r="D13" s="5"/>
      <c r="E13" s="5"/>
    </row>
    <row r="14" spans="1:5">
      <c r="D14" s="5"/>
      <c r="E14" s="5"/>
    </row>
    <row r="15" spans="1:5">
      <c r="C15" s="4"/>
      <c r="D15" s="5"/>
      <c r="E15" s="5"/>
    </row>
    <row r="16" spans="1:5">
      <c r="D16" s="5"/>
      <c r="E16" s="5"/>
    </row>
    <row r="17" spans="3:5">
      <c r="C17" s="4"/>
      <c r="D17" s="5"/>
      <c r="E17" s="5"/>
    </row>
    <row r="18" spans="3:5">
      <c r="D18" s="5"/>
      <c r="E18" s="5"/>
    </row>
    <row r="21" spans="3:5" ht="15">
      <c r="C2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8EFB-86B4-4695-B228-3833EE18B1CF}">
  <dimension ref="A1:M860"/>
  <sheetViews>
    <sheetView workbookViewId="0">
      <pane xSplit="2" ySplit="1" topLeftCell="D835" activePane="bottomRight" state="frozen"/>
      <selection pane="bottomRight" activeCell="B26" sqref="B26"/>
      <selection pane="bottomLeft" activeCell="B26" sqref="B26"/>
      <selection pane="topRight" activeCell="B26" sqref="B26"/>
    </sheetView>
  </sheetViews>
  <sheetFormatPr defaultRowHeight="15" outlineLevelRow="3"/>
  <cols>
    <col min="1" max="1" width="9.140625" style="12"/>
    <col min="2" max="2" width="38.85546875" style="12" customWidth="1"/>
    <col min="3" max="3" width="29.140625" style="12" customWidth="1"/>
    <col min="4" max="4" width="30" style="12" customWidth="1"/>
    <col min="5" max="6" width="16.28515625" style="12" customWidth="1"/>
    <col min="7" max="11" width="16.28515625" style="14" customWidth="1"/>
    <col min="12" max="12" width="9.28515625" style="12" customWidth="1"/>
    <col min="13" max="13" width="33.42578125" style="12" customWidth="1"/>
    <col min="14" max="16384" width="9.140625" style="12"/>
  </cols>
  <sheetData>
    <row r="1" spans="1:13" ht="30">
      <c r="A1" s="7" t="s">
        <v>116</v>
      </c>
      <c r="B1" s="8" t="s">
        <v>117</v>
      </c>
      <c r="C1" s="8" t="s">
        <v>118</v>
      </c>
      <c r="D1" s="8" t="s">
        <v>119</v>
      </c>
      <c r="E1" s="8" t="s">
        <v>120</v>
      </c>
      <c r="F1" s="9" t="s">
        <v>121</v>
      </c>
      <c r="G1" s="10" t="s">
        <v>122</v>
      </c>
      <c r="H1" s="10" t="s">
        <v>123</v>
      </c>
      <c r="I1" s="10" t="s">
        <v>124</v>
      </c>
      <c r="J1" s="10" t="s">
        <v>125</v>
      </c>
      <c r="K1" s="10" t="s">
        <v>126</v>
      </c>
      <c r="L1" s="11" t="s">
        <v>127</v>
      </c>
      <c r="M1" s="11" t="s">
        <v>128</v>
      </c>
    </row>
    <row r="2" spans="1:13" outlineLevel="3">
      <c r="A2" s="12" t="s">
        <v>129</v>
      </c>
      <c r="B2" s="12" t="s">
        <v>130</v>
      </c>
      <c r="C2" s="12" t="s">
        <v>131</v>
      </c>
      <c r="D2" s="12" t="s">
        <v>131</v>
      </c>
      <c r="E2" s="12" t="s">
        <v>132</v>
      </c>
      <c r="F2" s="13">
        <v>45870</v>
      </c>
      <c r="G2" s="14">
        <v>2842.2</v>
      </c>
      <c r="J2" s="14">
        <v>2842.2</v>
      </c>
      <c r="K2" s="14">
        <f>+G2-J2</f>
        <v>0</v>
      </c>
      <c r="L2" s="15">
        <f>+IFERROR(K2/J2,0)</f>
        <v>0</v>
      </c>
    </row>
    <row r="3" spans="1:13" outlineLevel="2">
      <c r="B3" s="7" t="s">
        <v>133</v>
      </c>
      <c r="F3" s="13"/>
      <c r="G3" s="14">
        <f>SUBTOTAL(9,G2:G2)</f>
        <v>2842.2</v>
      </c>
      <c r="I3" s="14">
        <f>SUBTOTAL(9,I2:I2)</f>
        <v>0</v>
      </c>
      <c r="J3" s="14">
        <f>SUBTOTAL(9,J2:J2)</f>
        <v>2842.2</v>
      </c>
      <c r="K3" s="14">
        <f>SUBTOTAL(9,K2:K2)</f>
        <v>0</v>
      </c>
      <c r="L3" s="15"/>
    </row>
    <row r="4" spans="1:13" outlineLevel="3">
      <c r="A4" s="12" t="s">
        <v>129</v>
      </c>
      <c r="B4" s="12" t="s">
        <v>134</v>
      </c>
      <c r="C4" s="12" t="s">
        <v>131</v>
      </c>
      <c r="D4" s="12" t="s">
        <v>131</v>
      </c>
      <c r="E4" s="12" t="s">
        <v>135</v>
      </c>
      <c r="F4" s="13">
        <v>45870</v>
      </c>
      <c r="G4" s="14">
        <v>1161</v>
      </c>
      <c r="J4" s="14">
        <v>1161</v>
      </c>
      <c r="K4" s="14">
        <f>+G4-J4</f>
        <v>0</v>
      </c>
      <c r="L4" s="15">
        <f>+IFERROR(K4/J4,0)</f>
        <v>0</v>
      </c>
    </row>
    <row r="5" spans="1:13" outlineLevel="2">
      <c r="B5" s="7" t="s">
        <v>136</v>
      </c>
      <c r="F5" s="13"/>
      <c r="G5" s="14">
        <f>SUBTOTAL(9,G4:G4)</f>
        <v>1161</v>
      </c>
      <c r="I5" s="14">
        <f>SUBTOTAL(9,I4:I4)</f>
        <v>0</v>
      </c>
      <c r="J5" s="14">
        <f>SUBTOTAL(9,J4:J4)</f>
        <v>1161</v>
      </c>
      <c r="K5" s="14">
        <f>SUBTOTAL(9,K4:K4)</f>
        <v>0</v>
      </c>
      <c r="L5" s="15"/>
    </row>
    <row r="6" spans="1:13" outlineLevel="3">
      <c r="A6" s="12" t="s">
        <v>129</v>
      </c>
      <c r="B6" s="12" t="s">
        <v>137</v>
      </c>
      <c r="C6" s="12" t="s">
        <v>138</v>
      </c>
      <c r="D6" s="12" t="s">
        <v>139</v>
      </c>
      <c r="E6" s="12" t="s">
        <v>140</v>
      </c>
      <c r="F6" s="13">
        <v>45870</v>
      </c>
      <c r="G6" s="14">
        <v>111.5</v>
      </c>
      <c r="J6" s="14">
        <v>111.5</v>
      </c>
      <c r="K6" s="14">
        <f t="shared" ref="K6:K13" si="0">+G6-J6</f>
        <v>0</v>
      </c>
      <c r="L6" s="15">
        <f t="shared" ref="L6:L13" si="1">+IFERROR(K6/J6,0)</f>
        <v>0</v>
      </c>
    </row>
    <row r="7" spans="1:13" outlineLevel="3">
      <c r="A7" s="12" t="s">
        <v>129</v>
      </c>
      <c r="B7" s="12" t="s">
        <v>137</v>
      </c>
      <c r="C7" s="12" t="s">
        <v>141</v>
      </c>
      <c r="D7" s="12" t="s">
        <v>142</v>
      </c>
      <c r="E7" s="12" t="s">
        <v>143</v>
      </c>
      <c r="F7" s="13">
        <v>45870</v>
      </c>
      <c r="G7" s="14">
        <v>205</v>
      </c>
      <c r="J7" s="14">
        <v>0</v>
      </c>
      <c r="K7" s="14">
        <f t="shared" si="0"/>
        <v>205</v>
      </c>
      <c r="L7" s="15">
        <f t="shared" si="1"/>
        <v>0</v>
      </c>
    </row>
    <row r="8" spans="1:13" outlineLevel="3">
      <c r="A8" s="12" t="s">
        <v>129</v>
      </c>
      <c r="B8" s="12" t="s">
        <v>137</v>
      </c>
      <c r="C8" s="12" t="s">
        <v>141</v>
      </c>
      <c r="D8" s="12" t="s">
        <v>144</v>
      </c>
      <c r="F8" s="13"/>
      <c r="J8" s="14">
        <v>205</v>
      </c>
      <c r="K8" s="14">
        <f t="shared" si="0"/>
        <v>-205</v>
      </c>
      <c r="L8" s="15">
        <f t="shared" si="1"/>
        <v>-1</v>
      </c>
    </row>
    <row r="9" spans="1:13" outlineLevel="3">
      <c r="A9" s="12" t="s">
        <v>129</v>
      </c>
      <c r="B9" s="12" t="s">
        <v>137</v>
      </c>
      <c r="C9" s="12" t="s">
        <v>145</v>
      </c>
      <c r="D9" s="12" t="s">
        <v>146</v>
      </c>
      <c r="E9" s="12" t="s">
        <v>143</v>
      </c>
      <c r="F9" s="13">
        <v>45870</v>
      </c>
      <c r="G9" s="14">
        <v>643.5</v>
      </c>
      <c r="J9" s="14">
        <v>0</v>
      </c>
      <c r="K9" s="14">
        <f t="shared" si="0"/>
        <v>643.5</v>
      </c>
      <c r="L9" s="15">
        <f t="shared" si="1"/>
        <v>0</v>
      </c>
    </row>
    <row r="10" spans="1:13" outlineLevel="3">
      <c r="A10" s="12" t="s">
        <v>129</v>
      </c>
      <c r="B10" s="12" t="s">
        <v>137</v>
      </c>
      <c r="C10" s="12" t="s">
        <v>145</v>
      </c>
      <c r="D10" s="12" t="s">
        <v>147</v>
      </c>
      <c r="F10" s="13"/>
      <c r="J10" s="14">
        <v>35</v>
      </c>
      <c r="K10" s="14">
        <f t="shared" si="0"/>
        <v>-35</v>
      </c>
      <c r="L10" s="15">
        <f t="shared" si="1"/>
        <v>-1</v>
      </c>
    </row>
    <row r="11" spans="1:13" outlineLevel="3">
      <c r="A11" s="12" t="s">
        <v>129</v>
      </c>
      <c r="B11" s="12" t="s">
        <v>137</v>
      </c>
      <c r="C11" s="12" t="s">
        <v>148</v>
      </c>
      <c r="D11" s="12" t="s">
        <v>149</v>
      </c>
      <c r="E11" s="12" t="s">
        <v>150</v>
      </c>
      <c r="F11" s="13">
        <v>45871</v>
      </c>
      <c r="G11" s="14">
        <v>446</v>
      </c>
      <c r="J11" s="14">
        <v>446</v>
      </c>
      <c r="K11" s="14">
        <f t="shared" si="0"/>
        <v>0</v>
      </c>
      <c r="L11" s="15">
        <f t="shared" si="1"/>
        <v>0</v>
      </c>
      <c r="M11" s="12" t="s">
        <v>151</v>
      </c>
    </row>
    <row r="12" spans="1:13" outlineLevel="3">
      <c r="A12" s="12" t="s">
        <v>129</v>
      </c>
      <c r="B12" s="12" t="s">
        <v>137</v>
      </c>
      <c r="C12" s="12" t="s">
        <v>131</v>
      </c>
      <c r="D12" s="12" t="s">
        <v>152</v>
      </c>
      <c r="E12" s="12" t="s">
        <v>143</v>
      </c>
      <c r="F12" s="13">
        <v>45870</v>
      </c>
      <c r="G12" s="14">
        <v>2658</v>
      </c>
      <c r="J12" s="14">
        <v>0</v>
      </c>
      <c r="K12" s="14">
        <f t="shared" si="0"/>
        <v>2658</v>
      </c>
      <c r="L12" s="15">
        <f t="shared" si="1"/>
        <v>0</v>
      </c>
    </row>
    <row r="13" spans="1:13" outlineLevel="3">
      <c r="A13" s="12" t="s">
        <v>129</v>
      </c>
      <c r="B13" s="12" t="s">
        <v>137</v>
      </c>
      <c r="C13" s="12" t="s">
        <v>131</v>
      </c>
      <c r="D13" s="12" t="s">
        <v>153</v>
      </c>
      <c r="F13" s="13"/>
      <c r="J13" s="14">
        <v>2845.5</v>
      </c>
      <c r="K13" s="14">
        <f t="shared" si="0"/>
        <v>-2845.5</v>
      </c>
      <c r="L13" s="15">
        <f t="shared" si="1"/>
        <v>-1</v>
      </c>
    </row>
    <row r="14" spans="1:13" outlineLevel="2">
      <c r="B14" s="7" t="s">
        <v>154</v>
      </c>
      <c r="F14" s="13"/>
      <c r="G14" s="14">
        <f>SUBTOTAL(9,G6:G13)</f>
        <v>4064</v>
      </c>
      <c r="I14" s="14">
        <f>SUBTOTAL(9,I6:I13)</f>
        <v>0</v>
      </c>
      <c r="J14" s="14">
        <f>SUBTOTAL(9,J6:J13)</f>
        <v>3643</v>
      </c>
      <c r="K14" s="14">
        <f>SUBTOTAL(9,K6:K13)</f>
        <v>421</v>
      </c>
      <c r="L14" s="15"/>
    </row>
    <row r="15" spans="1:13" outlineLevel="3">
      <c r="A15" s="12" t="s">
        <v>129</v>
      </c>
      <c r="B15" s="12" t="s">
        <v>155</v>
      </c>
      <c r="C15" s="12" t="s">
        <v>138</v>
      </c>
      <c r="D15" s="12" t="s">
        <v>138</v>
      </c>
      <c r="E15" s="12" t="s">
        <v>156</v>
      </c>
      <c r="F15" s="13">
        <v>45870</v>
      </c>
      <c r="G15" s="14">
        <v>288.60000000000002</v>
      </c>
      <c r="J15" s="14">
        <v>0</v>
      </c>
      <c r="K15" s="14">
        <f>+G15-J15</f>
        <v>288.60000000000002</v>
      </c>
      <c r="L15" s="15">
        <f>+IFERROR(K15/J15,0)</f>
        <v>0</v>
      </c>
    </row>
    <row r="16" spans="1:13" outlineLevel="3">
      <c r="A16" s="12" t="s">
        <v>129</v>
      </c>
      <c r="B16" s="12" t="s">
        <v>155</v>
      </c>
      <c r="C16" s="12" t="s">
        <v>138</v>
      </c>
      <c r="D16" s="12" t="s">
        <v>138</v>
      </c>
      <c r="E16" s="12" t="s">
        <v>157</v>
      </c>
      <c r="F16" s="13">
        <v>45870</v>
      </c>
      <c r="G16" s="14">
        <v>288.60000000000002</v>
      </c>
      <c r="J16" s="14">
        <v>0</v>
      </c>
      <c r="K16" s="14">
        <f>+G16-J16</f>
        <v>288.60000000000002</v>
      </c>
      <c r="L16" s="15">
        <f>+IFERROR(K16/J16,0)</f>
        <v>0</v>
      </c>
    </row>
    <row r="17" spans="1:13" outlineLevel="3">
      <c r="A17" s="12" t="s">
        <v>129</v>
      </c>
      <c r="B17" s="12" t="s">
        <v>155</v>
      </c>
      <c r="C17" s="12" t="s">
        <v>148</v>
      </c>
      <c r="D17" s="12" t="s">
        <v>149</v>
      </c>
      <c r="E17" s="12" t="s">
        <v>158</v>
      </c>
      <c r="F17" s="13">
        <v>45871</v>
      </c>
      <c r="G17" s="14">
        <v>673.4</v>
      </c>
      <c r="J17" s="14">
        <v>673.4</v>
      </c>
      <c r="K17" s="14">
        <f>+G17-J17</f>
        <v>0</v>
      </c>
      <c r="L17" s="15">
        <f>+IFERROR(K17/J17,0)</f>
        <v>0</v>
      </c>
      <c r="M17" s="12" t="s">
        <v>151</v>
      </c>
    </row>
    <row r="18" spans="1:13" outlineLevel="3">
      <c r="A18" s="12" t="s">
        <v>129</v>
      </c>
      <c r="B18" s="12" t="s">
        <v>155</v>
      </c>
      <c r="C18" s="12" t="s">
        <v>131</v>
      </c>
      <c r="D18" s="12" t="s">
        <v>159</v>
      </c>
      <c r="E18" s="12" t="s">
        <v>160</v>
      </c>
      <c r="F18" s="13">
        <v>45870</v>
      </c>
      <c r="G18" s="14">
        <v>1058</v>
      </c>
      <c r="J18" s="14">
        <v>1058</v>
      </c>
      <c r="K18" s="14">
        <f>+G18-J18</f>
        <v>0</v>
      </c>
      <c r="L18" s="15">
        <f>+IFERROR(K18/J18,0)</f>
        <v>0</v>
      </c>
    </row>
    <row r="19" spans="1:13" outlineLevel="3">
      <c r="A19" s="12" t="s">
        <v>129</v>
      </c>
      <c r="B19" s="12" t="s">
        <v>155</v>
      </c>
      <c r="C19" s="12" t="s">
        <v>131</v>
      </c>
      <c r="D19" s="12" t="s">
        <v>161</v>
      </c>
      <c r="E19" s="12" t="s">
        <v>162</v>
      </c>
      <c r="F19" s="13">
        <v>45870</v>
      </c>
      <c r="G19" s="14">
        <v>530</v>
      </c>
      <c r="J19" s="14">
        <v>530</v>
      </c>
      <c r="K19" s="14">
        <f>+G19-J19</f>
        <v>0</v>
      </c>
      <c r="L19" s="15">
        <f>+IFERROR(K19/J19,0)</f>
        <v>0</v>
      </c>
    </row>
    <row r="20" spans="1:13" outlineLevel="2">
      <c r="B20" s="7" t="s">
        <v>163</v>
      </c>
      <c r="F20" s="13"/>
      <c r="G20" s="14">
        <f>SUBTOTAL(9,G15:G19)</f>
        <v>2838.6</v>
      </c>
      <c r="I20" s="14">
        <f>SUBTOTAL(9,I15:I19)</f>
        <v>0</v>
      </c>
      <c r="J20" s="14">
        <f>SUBTOTAL(9,J15:J19)</f>
        <v>2261.4</v>
      </c>
      <c r="K20" s="14">
        <f>SUBTOTAL(9,K15:K19)</f>
        <v>577.20000000000005</v>
      </c>
      <c r="L20" s="15"/>
    </row>
    <row r="21" spans="1:13" outlineLevel="3">
      <c r="A21" s="12" t="s">
        <v>129</v>
      </c>
      <c r="B21" s="12" t="s">
        <v>164</v>
      </c>
      <c r="C21" s="12" t="s">
        <v>138</v>
      </c>
      <c r="D21" s="12" t="s">
        <v>139</v>
      </c>
      <c r="E21" s="12" t="s">
        <v>165</v>
      </c>
      <c r="F21" s="13">
        <v>45870</v>
      </c>
      <c r="G21" s="14">
        <v>40.1</v>
      </c>
      <c r="J21" s="14">
        <v>0</v>
      </c>
      <c r="K21" s="14">
        <f t="shared" ref="K21:K27" si="2">+G21-J21</f>
        <v>40.1</v>
      </c>
      <c r="L21" s="15">
        <f t="shared" ref="L21:L27" si="3">+IFERROR(K21/J21,0)</f>
        <v>0</v>
      </c>
    </row>
    <row r="22" spans="1:13" outlineLevel="3">
      <c r="A22" s="12" t="s">
        <v>129</v>
      </c>
      <c r="B22" s="12" t="s">
        <v>164</v>
      </c>
      <c r="C22" s="12" t="s">
        <v>138</v>
      </c>
      <c r="D22" s="12" t="s">
        <v>139</v>
      </c>
      <c r="E22" s="12" t="s">
        <v>166</v>
      </c>
      <c r="F22" s="13">
        <v>45870</v>
      </c>
      <c r="G22" s="14">
        <v>40.1</v>
      </c>
      <c r="J22" s="14">
        <v>0</v>
      </c>
      <c r="K22" s="14">
        <f t="shared" si="2"/>
        <v>40.1</v>
      </c>
      <c r="L22" s="15">
        <f t="shared" si="3"/>
        <v>0</v>
      </c>
    </row>
    <row r="23" spans="1:13" outlineLevel="3">
      <c r="A23" s="12" t="s">
        <v>129</v>
      </c>
      <c r="B23" s="12" t="s">
        <v>164</v>
      </c>
      <c r="C23" s="12" t="s">
        <v>141</v>
      </c>
      <c r="D23" s="12" t="s">
        <v>167</v>
      </c>
      <c r="E23" s="12" t="s">
        <v>168</v>
      </c>
      <c r="F23" s="13">
        <v>45870</v>
      </c>
      <c r="G23" s="14">
        <v>272.44</v>
      </c>
      <c r="J23" s="14">
        <v>272.44</v>
      </c>
      <c r="K23" s="14">
        <f t="shared" si="2"/>
        <v>0</v>
      </c>
      <c r="L23" s="15">
        <f t="shared" si="3"/>
        <v>0</v>
      </c>
    </row>
    <row r="24" spans="1:13" outlineLevel="3">
      <c r="A24" s="12" t="s">
        <v>129</v>
      </c>
      <c r="B24" s="12" t="s">
        <v>164</v>
      </c>
      <c r="C24" s="12" t="s">
        <v>145</v>
      </c>
      <c r="D24" s="12" t="s">
        <v>169</v>
      </c>
      <c r="E24" s="12" t="s">
        <v>168</v>
      </c>
      <c r="F24" s="13">
        <v>45870</v>
      </c>
      <c r="G24" s="14">
        <v>224</v>
      </c>
      <c r="J24" s="14">
        <v>217</v>
      </c>
      <c r="K24" s="14">
        <f t="shared" si="2"/>
        <v>7</v>
      </c>
      <c r="L24" s="15">
        <f t="shared" si="3"/>
        <v>3.2258064516129031E-2</v>
      </c>
    </row>
    <row r="25" spans="1:13" outlineLevel="3">
      <c r="A25" s="12" t="s">
        <v>129</v>
      </c>
      <c r="B25" s="12" t="s">
        <v>164</v>
      </c>
      <c r="C25" s="12" t="s">
        <v>148</v>
      </c>
      <c r="D25" s="12" t="s">
        <v>149</v>
      </c>
      <c r="E25" s="12" t="s">
        <v>170</v>
      </c>
      <c r="F25" s="13">
        <v>45870</v>
      </c>
      <c r="G25" s="14">
        <v>227.23</v>
      </c>
      <c r="J25" s="14">
        <v>0</v>
      </c>
      <c r="K25" s="14">
        <f t="shared" si="2"/>
        <v>227.23</v>
      </c>
      <c r="L25" s="15">
        <f t="shared" si="3"/>
        <v>0</v>
      </c>
      <c r="M25" s="12" t="s">
        <v>151</v>
      </c>
    </row>
    <row r="26" spans="1:13" outlineLevel="3">
      <c r="A26" s="12" t="s">
        <v>129</v>
      </c>
      <c r="B26" s="12" t="s">
        <v>164</v>
      </c>
      <c r="C26" s="12" t="s">
        <v>148</v>
      </c>
      <c r="D26" s="12" t="s">
        <v>149</v>
      </c>
      <c r="E26" s="12" t="s">
        <v>171</v>
      </c>
      <c r="F26" s="13">
        <v>45870</v>
      </c>
      <c r="G26" s="14">
        <v>227.23</v>
      </c>
      <c r="J26" s="14">
        <v>0</v>
      </c>
      <c r="K26" s="14">
        <f t="shared" si="2"/>
        <v>227.23</v>
      </c>
      <c r="L26" s="15">
        <f t="shared" si="3"/>
        <v>0</v>
      </c>
      <c r="M26" s="12" t="s">
        <v>151</v>
      </c>
    </row>
    <row r="27" spans="1:13" outlineLevel="3">
      <c r="A27" s="12" t="s">
        <v>129</v>
      </c>
      <c r="B27" s="12" t="s">
        <v>164</v>
      </c>
      <c r="C27" s="12" t="s">
        <v>131</v>
      </c>
      <c r="D27" s="12" t="s">
        <v>172</v>
      </c>
      <c r="E27" s="12" t="s">
        <v>168</v>
      </c>
      <c r="F27" s="13">
        <v>45870</v>
      </c>
      <c r="G27" s="14">
        <v>2240.5300000000002</v>
      </c>
      <c r="J27" s="14">
        <v>2240.5300000000002</v>
      </c>
      <c r="K27" s="14">
        <f t="shared" si="2"/>
        <v>0</v>
      </c>
      <c r="L27" s="15">
        <f t="shared" si="3"/>
        <v>0</v>
      </c>
    </row>
    <row r="28" spans="1:13" outlineLevel="2">
      <c r="B28" s="7" t="s">
        <v>173</v>
      </c>
      <c r="F28" s="13"/>
      <c r="G28" s="14">
        <f>SUBTOTAL(9,G21:G27)</f>
        <v>3271.63</v>
      </c>
      <c r="I28" s="14">
        <f>SUBTOTAL(9,I21:I27)</f>
        <v>0</v>
      </c>
      <c r="J28" s="14">
        <f>SUBTOTAL(9,J21:J27)</f>
        <v>2729.9700000000003</v>
      </c>
      <c r="K28" s="14">
        <f>SUBTOTAL(9,K21:K27)</f>
        <v>541.66</v>
      </c>
      <c r="L28" s="15"/>
    </row>
    <row r="29" spans="1:13" outlineLevel="3">
      <c r="A29" s="12" t="s">
        <v>129</v>
      </c>
      <c r="B29" s="12" t="s">
        <v>174</v>
      </c>
      <c r="C29" s="12" t="s">
        <v>175</v>
      </c>
      <c r="D29" s="12" t="s">
        <v>176</v>
      </c>
      <c r="E29" s="12" t="s">
        <v>177</v>
      </c>
      <c r="F29" s="13">
        <v>45870</v>
      </c>
      <c r="G29" s="14">
        <v>67.099999999999994</v>
      </c>
      <c r="J29" s="14">
        <v>67.099999999999994</v>
      </c>
      <c r="K29" s="14">
        <f>+G29-J29</f>
        <v>0</v>
      </c>
      <c r="L29" s="15">
        <f>+IFERROR(K29/J29,0)</f>
        <v>0</v>
      </c>
    </row>
    <row r="30" spans="1:13" outlineLevel="2">
      <c r="B30" s="7" t="s">
        <v>178</v>
      </c>
      <c r="F30" s="13"/>
      <c r="G30" s="14">
        <f>SUBTOTAL(9,G29:G29)</f>
        <v>67.099999999999994</v>
      </c>
      <c r="I30" s="14">
        <f>SUBTOTAL(9,I29:I29)</f>
        <v>0</v>
      </c>
      <c r="J30" s="14">
        <f>SUBTOTAL(9,J29:J29)</f>
        <v>67.099999999999994</v>
      </c>
      <c r="K30" s="14">
        <f>SUBTOTAL(9,K29:K29)</f>
        <v>0</v>
      </c>
      <c r="L30" s="15"/>
    </row>
    <row r="31" spans="1:13" outlineLevel="3">
      <c r="A31" s="12" t="s">
        <v>129</v>
      </c>
      <c r="B31" s="12" t="s">
        <v>179</v>
      </c>
      <c r="C31" s="12" t="s">
        <v>138</v>
      </c>
      <c r="D31" s="12" t="s">
        <v>139</v>
      </c>
      <c r="E31" s="12" t="s">
        <v>180</v>
      </c>
      <c r="F31" s="13">
        <v>45870</v>
      </c>
      <c r="G31" s="14">
        <v>39.79</v>
      </c>
      <c r="J31" s="14">
        <v>39.79</v>
      </c>
      <c r="K31" s="14">
        <f t="shared" ref="K31:K37" si="4">+G31-J31</f>
        <v>0</v>
      </c>
      <c r="L31" s="15">
        <f t="shared" ref="L31:L37" si="5">+IFERROR(K31/J31,0)</f>
        <v>0</v>
      </c>
    </row>
    <row r="32" spans="1:13" outlineLevel="3">
      <c r="A32" s="12" t="s">
        <v>129</v>
      </c>
      <c r="B32" s="12" t="s">
        <v>179</v>
      </c>
      <c r="C32" s="12" t="s">
        <v>141</v>
      </c>
      <c r="D32" s="12" t="s">
        <v>181</v>
      </c>
      <c r="E32" s="12" t="s">
        <v>182</v>
      </c>
      <c r="F32" s="13">
        <v>45870</v>
      </c>
      <c r="G32" s="14">
        <v>116.14</v>
      </c>
      <c r="J32" s="14">
        <v>116.14</v>
      </c>
      <c r="K32" s="14">
        <f t="shared" si="4"/>
        <v>0</v>
      </c>
      <c r="L32" s="15">
        <f t="shared" si="5"/>
        <v>0</v>
      </c>
    </row>
    <row r="33" spans="1:13" outlineLevel="3">
      <c r="A33" s="12" t="s">
        <v>129</v>
      </c>
      <c r="B33" s="12" t="s">
        <v>179</v>
      </c>
      <c r="C33" s="12" t="s">
        <v>145</v>
      </c>
      <c r="D33" s="12" t="s">
        <v>183</v>
      </c>
      <c r="E33" s="12" t="s">
        <v>182</v>
      </c>
      <c r="F33" s="13">
        <v>45870</v>
      </c>
      <c r="G33" s="14">
        <v>1020.5</v>
      </c>
      <c r="J33" s="14">
        <v>982.5</v>
      </c>
      <c r="K33" s="14">
        <f t="shared" si="4"/>
        <v>38</v>
      </c>
      <c r="L33" s="15">
        <f t="shared" si="5"/>
        <v>3.8676844783715011E-2</v>
      </c>
    </row>
    <row r="34" spans="1:13" outlineLevel="3">
      <c r="A34" s="12" t="s">
        <v>129</v>
      </c>
      <c r="B34" s="12" t="s">
        <v>179</v>
      </c>
      <c r="C34" s="12" t="s">
        <v>148</v>
      </c>
      <c r="D34" s="12" t="s">
        <v>149</v>
      </c>
      <c r="E34" s="12" t="s">
        <v>184</v>
      </c>
      <c r="F34" s="13">
        <v>45871</v>
      </c>
      <c r="G34" s="14">
        <v>225.41</v>
      </c>
      <c r="J34" s="14">
        <v>225.41</v>
      </c>
      <c r="K34" s="14">
        <f t="shared" si="4"/>
        <v>0</v>
      </c>
      <c r="L34" s="15">
        <f t="shared" si="5"/>
        <v>0</v>
      </c>
      <c r="M34" s="12" t="s">
        <v>151</v>
      </c>
    </row>
    <row r="35" spans="1:13" outlineLevel="3">
      <c r="A35" s="12" t="s">
        <v>129</v>
      </c>
      <c r="B35" s="12" t="s">
        <v>179</v>
      </c>
      <c r="C35" s="12" t="s">
        <v>131</v>
      </c>
      <c r="D35" s="12" t="s">
        <v>185</v>
      </c>
      <c r="E35" s="12" t="s">
        <v>186</v>
      </c>
      <c r="F35" s="13">
        <v>45870</v>
      </c>
      <c r="G35" s="14">
        <v>379.5</v>
      </c>
      <c r="J35" s="14">
        <v>379.5</v>
      </c>
      <c r="K35" s="14">
        <f t="shared" si="4"/>
        <v>0</v>
      </c>
      <c r="L35" s="15">
        <f t="shared" si="5"/>
        <v>0</v>
      </c>
    </row>
    <row r="36" spans="1:13" outlineLevel="3">
      <c r="A36" s="12" t="s">
        <v>129</v>
      </c>
      <c r="B36" s="12" t="s">
        <v>179</v>
      </c>
      <c r="C36" s="12" t="s">
        <v>131</v>
      </c>
      <c r="D36" s="12" t="s">
        <v>187</v>
      </c>
      <c r="E36" s="12" t="s">
        <v>188</v>
      </c>
      <c r="F36" s="13">
        <v>45870</v>
      </c>
      <c r="G36" s="14">
        <v>4416.67</v>
      </c>
      <c r="J36" s="14">
        <v>4416.67</v>
      </c>
      <c r="K36" s="14">
        <f t="shared" si="4"/>
        <v>0</v>
      </c>
      <c r="L36" s="15">
        <f t="shared" si="5"/>
        <v>0</v>
      </c>
    </row>
    <row r="37" spans="1:13" outlineLevel="3">
      <c r="A37" s="12" t="s">
        <v>129</v>
      </c>
      <c r="B37" s="12" t="s">
        <v>179</v>
      </c>
      <c r="C37" s="12" t="s">
        <v>131</v>
      </c>
      <c r="D37" s="12" t="s">
        <v>189</v>
      </c>
      <c r="E37" s="12" t="s">
        <v>182</v>
      </c>
      <c r="F37" s="13">
        <v>45870</v>
      </c>
      <c r="G37" s="14">
        <v>4533.7</v>
      </c>
      <c r="J37" s="14">
        <v>4533.7</v>
      </c>
      <c r="K37" s="14">
        <f t="shared" si="4"/>
        <v>0</v>
      </c>
      <c r="L37" s="15">
        <f t="shared" si="5"/>
        <v>0</v>
      </c>
    </row>
    <row r="38" spans="1:13" outlineLevel="2">
      <c r="B38" s="7" t="s">
        <v>190</v>
      </c>
      <c r="F38" s="13"/>
      <c r="G38" s="14">
        <f>SUBTOTAL(9,G31:G37)</f>
        <v>10731.71</v>
      </c>
      <c r="I38" s="14">
        <f>SUBTOTAL(9,I31:I37)</f>
        <v>0</v>
      </c>
      <c r="J38" s="14">
        <f>SUBTOTAL(9,J31:J37)</f>
        <v>10693.71</v>
      </c>
      <c r="K38" s="14">
        <f>SUBTOTAL(9,K31:K37)</f>
        <v>38</v>
      </c>
      <c r="L38" s="15"/>
    </row>
    <row r="39" spans="1:13" outlineLevel="3">
      <c r="A39" s="12" t="s">
        <v>129</v>
      </c>
      <c r="B39" s="12" t="s">
        <v>191</v>
      </c>
      <c r="C39" s="12" t="s">
        <v>145</v>
      </c>
      <c r="D39" s="12" t="s">
        <v>183</v>
      </c>
      <c r="E39" s="12" t="s">
        <v>192</v>
      </c>
      <c r="F39" s="13">
        <v>45870</v>
      </c>
      <c r="G39" s="14">
        <v>77</v>
      </c>
      <c r="J39" s="14">
        <v>84</v>
      </c>
      <c r="K39" s="14">
        <f>+G39-J39</f>
        <v>-7</v>
      </c>
      <c r="L39" s="15">
        <f>+IFERROR(K39/J39,0)</f>
        <v>-8.3333333333333329E-2</v>
      </c>
    </row>
    <row r="40" spans="1:13" outlineLevel="3">
      <c r="A40" s="12" t="s">
        <v>129</v>
      </c>
      <c r="B40" s="12" t="s">
        <v>191</v>
      </c>
      <c r="C40" s="12" t="s">
        <v>131</v>
      </c>
      <c r="D40" s="12" t="s">
        <v>189</v>
      </c>
      <c r="E40" s="12" t="s">
        <v>192</v>
      </c>
      <c r="F40" s="13">
        <v>45870</v>
      </c>
      <c r="G40" s="14">
        <v>1608</v>
      </c>
      <c r="J40" s="14">
        <v>1608</v>
      </c>
      <c r="K40" s="14">
        <f>+G40-J40</f>
        <v>0</v>
      </c>
      <c r="L40" s="15">
        <f>+IFERROR(K40/J40,0)</f>
        <v>0</v>
      </c>
    </row>
    <row r="41" spans="1:13" outlineLevel="2">
      <c r="B41" s="7" t="s">
        <v>193</v>
      </c>
      <c r="F41" s="13"/>
      <c r="G41" s="14">
        <f>SUBTOTAL(9,G39:G40)</f>
        <v>1685</v>
      </c>
      <c r="I41" s="14">
        <f>SUBTOTAL(9,I39:I40)</f>
        <v>0</v>
      </c>
      <c r="J41" s="14">
        <f>SUBTOTAL(9,J39:J40)</f>
        <v>1692</v>
      </c>
      <c r="K41" s="14">
        <f>SUBTOTAL(9,K39:K40)</f>
        <v>-7</v>
      </c>
      <c r="L41" s="15"/>
    </row>
    <row r="42" spans="1:13" outlineLevel="3">
      <c r="A42" s="12" t="s">
        <v>129</v>
      </c>
      <c r="B42" s="12" t="s">
        <v>194</v>
      </c>
      <c r="C42" s="12" t="s">
        <v>141</v>
      </c>
      <c r="D42" s="12" t="s">
        <v>195</v>
      </c>
      <c r="E42" s="12" t="s">
        <v>196</v>
      </c>
      <c r="F42" s="13">
        <v>45870</v>
      </c>
      <c r="G42" s="14">
        <v>178.5</v>
      </c>
      <c r="J42" s="14">
        <v>183.5</v>
      </c>
      <c r="K42" s="14">
        <f>+G42-J42</f>
        <v>-5</v>
      </c>
      <c r="L42" s="15">
        <f>+IFERROR(K42/J42,0)</f>
        <v>-2.7247956403269755E-2</v>
      </c>
    </row>
    <row r="43" spans="1:13" outlineLevel="3">
      <c r="A43" s="12" t="s">
        <v>129</v>
      </c>
      <c r="B43" s="12" t="s">
        <v>194</v>
      </c>
      <c r="C43" s="12" t="s">
        <v>131</v>
      </c>
      <c r="D43" s="12" t="s">
        <v>131</v>
      </c>
      <c r="E43" s="12" t="s">
        <v>197</v>
      </c>
      <c r="F43" s="13">
        <v>45870</v>
      </c>
      <c r="G43" s="14">
        <v>1260</v>
      </c>
      <c r="J43" s="14">
        <v>1260</v>
      </c>
      <c r="K43" s="14">
        <f>+G43-J43</f>
        <v>0</v>
      </c>
      <c r="L43" s="15">
        <f>+IFERROR(K43/J43,0)</f>
        <v>0</v>
      </c>
    </row>
    <row r="44" spans="1:13" outlineLevel="2">
      <c r="B44" s="7" t="s">
        <v>198</v>
      </c>
      <c r="F44" s="13"/>
      <c r="G44" s="14">
        <f>SUBTOTAL(9,G42:G43)</f>
        <v>1438.5</v>
      </c>
      <c r="I44" s="14">
        <f>SUBTOTAL(9,I42:I43)</f>
        <v>0</v>
      </c>
      <c r="J44" s="14">
        <f>SUBTOTAL(9,J42:J43)</f>
        <v>1443.5</v>
      </c>
      <c r="K44" s="14">
        <f>SUBTOTAL(9,K42:K43)</f>
        <v>-5</v>
      </c>
      <c r="L44" s="15"/>
    </row>
    <row r="45" spans="1:13" outlineLevel="3">
      <c r="A45" s="12" t="s">
        <v>129</v>
      </c>
      <c r="B45" s="12" t="s">
        <v>199</v>
      </c>
      <c r="C45" s="12" t="s">
        <v>145</v>
      </c>
      <c r="D45" s="12" t="s">
        <v>145</v>
      </c>
      <c r="E45" s="12" t="s">
        <v>200</v>
      </c>
      <c r="F45" s="13">
        <v>45870</v>
      </c>
      <c r="G45" s="14">
        <v>35</v>
      </c>
      <c r="J45" s="14">
        <v>35</v>
      </c>
      <c r="K45" s="14">
        <f>+G45-J45</f>
        <v>0</v>
      </c>
      <c r="L45" s="15">
        <f>+IFERROR(K45/J45,0)</f>
        <v>0</v>
      </c>
    </row>
    <row r="46" spans="1:13" outlineLevel="3">
      <c r="A46" s="12" t="s">
        <v>129</v>
      </c>
      <c r="B46" s="12" t="s">
        <v>199</v>
      </c>
      <c r="C46" s="12" t="s">
        <v>131</v>
      </c>
      <c r="D46" s="12" t="s">
        <v>201</v>
      </c>
      <c r="E46" s="12" t="s">
        <v>200</v>
      </c>
      <c r="F46" s="13">
        <v>45870</v>
      </c>
      <c r="G46" s="14">
        <v>231.66</v>
      </c>
      <c r="J46" s="14">
        <v>231.66</v>
      </c>
      <c r="K46" s="14">
        <f>+G46-J46</f>
        <v>0</v>
      </c>
      <c r="L46" s="15">
        <f>+IFERROR(K46/J46,0)</f>
        <v>0</v>
      </c>
    </row>
    <row r="47" spans="1:13" outlineLevel="2">
      <c r="B47" s="7" t="s">
        <v>202</v>
      </c>
      <c r="F47" s="13"/>
      <c r="G47" s="14">
        <f>SUBTOTAL(9,G45:G46)</f>
        <v>266.65999999999997</v>
      </c>
      <c r="I47" s="14">
        <f>SUBTOTAL(9,I45:I46)</f>
        <v>0</v>
      </c>
      <c r="J47" s="14">
        <f>SUBTOTAL(9,J45:J46)</f>
        <v>266.65999999999997</v>
      </c>
      <c r="K47" s="14">
        <f>SUBTOTAL(9,K45:K46)</f>
        <v>0</v>
      </c>
      <c r="L47" s="15"/>
    </row>
    <row r="48" spans="1:13" outlineLevel="3">
      <c r="A48" s="12" t="s">
        <v>129</v>
      </c>
      <c r="B48" s="12" t="s">
        <v>203</v>
      </c>
      <c r="C48" s="12" t="s">
        <v>131</v>
      </c>
      <c r="D48" s="12" t="s">
        <v>204</v>
      </c>
      <c r="E48" s="12" t="s">
        <v>205</v>
      </c>
      <c r="F48" s="13">
        <v>45870</v>
      </c>
      <c r="G48" s="14">
        <v>362.56</v>
      </c>
      <c r="J48" s="14">
        <v>352</v>
      </c>
      <c r="K48" s="14">
        <f>+G48-J48</f>
        <v>10.560000000000002</v>
      </c>
      <c r="L48" s="15">
        <f>+IFERROR(K48/J48,0)</f>
        <v>3.0000000000000006E-2</v>
      </c>
    </row>
    <row r="49" spans="1:13" outlineLevel="2">
      <c r="B49" s="7" t="s">
        <v>206</v>
      </c>
      <c r="F49" s="13"/>
      <c r="G49" s="14">
        <f>SUBTOTAL(9,G48:G48)</f>
        <v>362.56</v>
      </c>
      <c r="I49" s="14">
        <f>SUBTOTAL(9,I48:I48)</f>
        <v>0</v>
      </c>
      <c r="J49" s="14">
        <f>SUBTOTAL(9,J48:J48)</f>
        <v>352</v>
      </c>
      <c r="K49" s="14">
        <f>SUBTOTAL(9,K48:K48)</f>
        <v>10.560000000000002</v>
      </c>
      <c r="L49" s="15"/>
    </row>
    <row r="50" spans="1:13" outlineLevel="3">
      <c r="A50" s="12" t="s">
        <v>129</v>
      </c>
      <c r="B50" s="12" t="s">
        <v>207</v>
      </c>
      <c r="C50" s="12" t="s">
        <v>141</v>
      </c>
      <c r="D50" s="12" t="s">
        <v>208</v>
      </c>
      <c r="E50" s="12" t="s">
        <v>209</v>
      </c>
      <c r="F50" s="13">
        <v>45870</v>
      </c>
      <c r="G50" s="14">
        <v>813.12</v>
      </c>
      <c r="J50" s="14">
        <v>813.12</v>
      </c>
      <c r="K50" s="14">
        <f>+G50-J50</f>
        <v>0</v>
      </c>
      <c r="L50" s="15">
        <f>+IFERROR(K50/J50,0)</f>
        <v>0</v>
      </c>
    </row>
    <row r="51" spans="1:13" outlineLevel="3">
      <c r="A51" s="12" t="s">
        <v>129</v>
      </c>
      <c r="B51" s="12" t="s">
        <v>207</v>
      </c>
      <c r="C51" s="12" t="s">
        <v>145</v>
      </c>
      <c r="D51" s="12" t="s">
        <v>210</v>
      </c>
      <c r="E51" s="12" t="s">
        <v>209</v>
      </c>
      <c r="F51" s="13">
        <v>45870</v>
      </c>
      <c r="G51" s="14">
        <v>500.5</v>
      </c>
      <c r="J51" s="14">
        <v>500.5</v>
      </c>
      <c r="K51" s="14">
        <f>+G51-J51</f>
        <v>0</v>
      </c>
      <c r="L51" s="15">
        <f>+IFERROR(K51/J51,0)</f>
        <v>0</v>
      </c>
    </row>
    <row r="52" spans="1:13" outlineLevel="3">
      <c r="A52" s="12" t="s">
        <v>129</v>
      </c>
      <c r="B52" s="12" t="s">
        <v>207</v>
      </c>
      <c r="C52" s="12" t="s">
        <v>131</v>
      </c>
      <c r="D52" s="12" t="s">
        <v>211</v>
      </c>
      <c r="E52" s="12" t="s">
        <v>209</v>
      </c>
      <c r="F52" s="13">
        <v>45870</v>
      </c>
      <c r="G52" s="14">
        <v>3415</v>
      </c>
      <c r="J52" s="14">
        <v>3415</v>
      </c>
      <c r="K52" s="14">
        <f>+G52-J52</f>
        <v>0</v>
      </c>
      <c r="L52" s="15">
        <f>+IFERROR(K52/J52,0)</f>
        <v>0</v>
      </c>
    </row>
    <row r="53" spans="1:13" outlineLevel="2">
      <c r="B53" s="7" t="s">
        <v>212</v>
      </c>
      <c r="F53" s="13"/>
      <c r="G53" s="14">
        <f>SUBTOTAL(9,G50:G52)</f>
        <v>4728.62</v>
      </c>
      <c r="I53" s="14">
        <f>SUBTOTAL(9,I50:I52)</f>
        <v>0</v>
      </c>
      <c r="J53" s="14">
        <f>SUBTOTAL(9,J50:J52)</f>
        <v>4728.62</v>
      </c>
      <c r="K53" s="14">
        <f>SUBTOTAL(9,K50:K52)</f>
        <v>0</v>
      </c>
      <c r="L53" s="15"/>
    </row>
    <row r="54" spans="1:13" outlineLevel="3">
      <c r="A54" s="12" t="s">
        <v>129</v>
      </c>
      <c r="B54" s="12" t="s">
        <v>213</v>
      </c>
      <c r="C54" s="12" t="s">
        <v>138</v>
      </c>
      <c r="D54" s="12" t="s">
        <v>139</v>
      </c>
      <c r="E54" s="12" t="s">
        <v>214</v>
      </c>
      <c r="F54" s="13">
        <v>45870</v>
      </c>
      <c r="G54" s="14">
        <v>18</v>
      </c>
      <c r="J54" s="14">
        <v>18</v>
      </c>
      <c r="K54" s="14">
        <f>+G54-J54</f>
        <v>0</v>
      </c>
      <c r="L54" s="15">
        <f>+IFERROR(K54/J54,0)</f>
        <v>0</v>
      </c>
    </row>
    <row r="55" spans="1:13" outlineLevel="3">
      <c r="A55" s="12" t="s">
        <v>129</v>
      </c>
      <c r="B55" s="12" t="s">
        <v>213</v>
      </c>
      <c r="C55" s="12" t="s">
        <v>148</v>
      </c>
      <c r="D55" s="12" t="s">
        <v>149</v>
      </c>
      <c r="E55" s="12" t="s">
        <v>215</v>
      </c>
      <c r="F55" s="13">
        <v>45871</v>
      </c>
      <c r="G55" s="14">
        <v>96.46</v>
      </c>
      <c r="J55" s="14">
        <v>96.46</v>
      </c>
      <c r="K55" s="14">
        <f>+G55-J55</f>
        <v>0</v>
      </c>
      <c r="L55" s="15">
        <f>+IFERROR(K55/J55,0)</f>
        <v>0</v>
      </c>
      <c r="M55" s="12" t="s">
        <v>151</v>
      </c>
    </row>
    <row r="56" spans="1:13" outlineLevel="2">
      <c r="B56" s="7" t="s">
        <v>216</v>
      </c>
      <c r="F56" s="13"/>
      <c r="G56" s="14">
        <f>SUBTOTAL(9,G54:G55)</f>
        <v>114.46</v>
      </c>
      <c r="I56" s="14">
        <f>SUBTOTAL(9,I54:I55)</f>
        <v>0</v>
      </c>
      <c r="J56" s="14">
        <f>SUBTOTAL(9,J54:J55)</f>
        <v>114.46</v>
      </c>
      <c r="K56" s="14">
        <f>SUBTOTAL(9,K54:K55)</f>
        <v>0</v>
      </c>
      <c r="L56" s="15"/>
    </row>
    <row r="57" spans="1:13" outlineLevel="3">
      <c r="A57" s="12" t="s">
        <v>129</v>
      </c>
      <c r="B57" s="12" t="s">
        <v>217</v>
      </c>
      <c r="C57" s="12" t="s">
        <v>145</v>
      </c>
      <c r="D57" s="12" t="s">
        <v>218</v>
      </c>
      <c r="E57" s="12" t="s">
        <v>219</v>
      </c>
      <c r="F57" s="13">
        <v>45870</v>
      </c>
      <c r="G57" s="14">
        <v>105</v>
      </c>
      <c r="J57" s="14">
        <v>105</v>
      </c>
      <c r="K57" s="14">
        <f>+G57-J57</f>
        <v>0</v>
      </c>
      <c r="L57" s="15">
        <f>+IFERROR(K57/J57,0)</f>
        <v>0</v>
      </c>
    </row>
    <row r="58" spans="1:13" outlineLevel="3">
      <c r="A58" s="12" t="s">
        <v>129</v>
      </c>
      <c r="B58" s="12" t="s">
        <v>217</v>
      </c>
      <c r="C58" s="12" t="s">
        <v>131</v>
      </c>
      <c r="D58" s="12" t="s">
        <v>220</v>
      </c>
      <c r="E58" s="12" t="s">
        <v>219</v>
      </c>
      <c r="F58" s="13">
        <v>45870</v>
      </c>
      <c r="G58" s="14">
        <v>543</v>
      </c>
      <c r="J58" s="14">
        <v>543</v>
      </c>
      <c r="K58" s="14">
        <f>+G58-J58</f>
        <v>0</v>
      </c>
      <c r="L58" s="15">
        <f>+IFERROR(K58/J58,0)</f>
        <v>0</v>
      </c>
    </row>
    <row r="59" spans="1:13" outlineLevel="2">
      <c r="B59" s="7" t="s">
        <v>221</v>
      </c>
      <c r="F59" s="13"/>
      <c r="G59" s="14">
        <f>SUBTOTAL(9,G57:G58)</f>
        <v>648</v>
      </c>
      <c r="I59" s="14">
        <f>SUBTOTAL(9,I57:I58)</f>
        <v>0</v>
      </c>
      <c r="J59" s="14">
        <f>SUBTOTAL(9,J57:J58)</f>
        <v>648</v>
      </c>
      <c r="K59" s="14">
        <f>SUBTOTAL(9,K57:K58)</f>
        <v>0</v>
      </c>
      <c r="L59" s="15"/>
    </row>
    <row r="60" spans="1:13" outlineLevel="3">
      <c r="A60" s="12" t="s">
        <v>129</v>
      </c>
      <c r="B60" s="12" t="s">
        <v>222</v>
      </c>
      <c r="C60" s="12" t="s">
        <v>138</v>
      </c>
      <c r="D60" s="12" t="s">
        <v>139</v>
      </c>
      <c r="E60" s="12" t="s">
        <v>223</v>
      </c>
      <c r="F60" s="13">
        <v>45870</v>
      </c>
      <c r="G60" s="14">
        <v>72.650000000000006</v>
      </c>
      <c r="J60" s="14">
        <v>72.650000000000006</v>
      </c>
      <c r="K60" s="14">
        <f t="shared" ref="K60:K65" si="6">+G60-J60</f>
        <v>0</v>
      </c>
      <c r="L60" s="15">
        <f t="shared" ref="L60:L65" si="7">+IFERROR(K60/J60,0)</f>
        <v>0</v>
      </c>
    </row>
    <row r="61" spans="1:13" outlineLevel="3">
      <c r="A61" s="12" t="s">
        <v>129</v>
      </c>
      <c r="B61" s="12" t="s">
        <v>222</v>
      </c>
      <c r="C61" s="12" t="s">
        <v>141</v>
      </c>
      <c r="D61" s="12" t="s">
        <v>224</v>
      </c>
      <c r="E61" s="12" t="s">
        <v>225</v>
      </c>
      <c r="F61" s="13">
        <v>45870</v>
      </c>
      <c r="G61" s="14">
        <v>346.5</v>
      </c>
      <c r="J61" s="14">
        <v>0</v>
      </c>
      <c r="K61" s="14">
        <f t="shared" si="6"/>
        <v>346.5</v>
      </c>
      <c r="L61" s="15">
        <f t="shared" si="7"/>
        <v>0</v>
      </c>
    </row>
    <row r="62" spans="1:13" outlineLevel="3">
      <c r="A62" s="12" t="s">
        <v>129</v>
      </c>
      <c r="B62" s="12" t="s">
        <v>222</v>
      </c>
      <c r="C62" s="12" t="s">
        <v>145</v>
      </c>
      <c r="D62" s="12" t="s">
        <v>226</v>
      </c>
      <c r="E62" s="12" t="s">
        <v>225</v>
      </c>
      <c r="F62" s="13">
        <v>45870</v>
      </c>
      <c r="G62" s="14">
        <v>499.5</v>
      </c>
      <c r="J62" s="14">
        <v>0</v>
      </c>
      <c r="K62" s="14">
        <f t="shared" si="6"/>
        <v>499.5</v>
      </c>
      <c r="L62" s="15">
        <f t="shared" si="7"/>
        <v>0</v>
      </c>
    </row>
    <row r="63" spans="1:13" outlineLevel="3">
      <c r="A63" s="12" t="s">
        <v>129</v>
      </c>
      <c r="B63" s="12" t="s">
        <v>222</v>
      </c>
      <c r="C63" s="12" t="s">
        <v>148</v>
      </c>
      <c r="D63" s="12" t="s">
        <v>149</v>
      </c>
      <c r="E63" s="12" t="s">
        <v>227</v>
      </c>
      <c r="F63" s="13">
        <v>45871</v>
      </c>
      <c r="G63" s="14">
        <v>290.58</v>
      </c>
      <c r="J63" s="14">
        <v>290.58</v>
      </c>
      <c r="K63" s="14">
        <f t="shared" si="6"/>
        <v>0</v>
      </c>
      <c r="L63" s="15">
        <f t="shared" si="7"/>
        <v>0</v>
      </c>
      <c r="M63" s="12" t="s">
        <v>151</v>
      </c>
    </row>
    <row r="64" spans="1:13" outlineLevel="3">
      <c r="A64" s="12" t="s">
        <v>129</v>
      </c>
      <c r="B64" s="12" t="s">
        <v>222</v>
      </c>
      <c r="C64" s="12" t="s">
        <v>131</v>
      </c>
      <c r="D64" s="12" t="s">
        <v>228</v>
      </c>
      <c r="E64" s="12" t="s">
        <v>225</v>
      </c>
      <c r="F64" s="13">
        <v>45870</v>
      </c>
      <c r="G64" s="14">
        <v>2133.6999999999998</v>
      </c>
      <c r="J64" s="14">
        <v>0</v>
      </c>
      <c r="K64" s="14">
        <f t="shared" si="6"/>
        <v>2133.6999999999998</v>
      </c>
      <c r="L64" s="15">
        <f t="shared" si="7"/>
        <v>0</v>
      </c>
    </row>
    <row r="65" spans="1:13" outlineLevel="3">
      <c r="A65" s="12" t="s">
        <v>129</v>
      </c>
      <c r="B65" s="12" t="s">
        <v>222</v>
      </c>
      <c r="C65" s="12" t="s">
        <v>131</v>
      </c>
      <c r="D65" s="12" t="s">
        <v>229</v>
      </c>
      <c r="F65" s="13"/>
      <c r="J65" s="14">
        <v>2396.6999999999998</v>
      </c>
      <c r="K65" s="14">
        <f t="shared" si="6"/>
        <v>-2396.6999999999998</v>
      </c>
      <c r="L65" s="15">
        <f t="shared" si="7"/>
        <v>-1</v>
      </c>
    </row>
    <row r="66" spans="1:13" outlineLevel="2">
      <c r="B66" s="7" t="s">
        <v>230</v>
      </c>
      <c r="F66" s="13"/>
      <c r="G66" s="14">
        <f>SUBTOTAL(9,G60:G65)</f>
        <v>3342.93</v>
      </c>
      <c r="I66" s="14">
        <f>SUBTOTAL(9,I60:I65)</f>
        <v>0</v>
      </c>
      <c r="J66" s="14">
        <f>SUBTOTAL(9,J60:J65)</f>
        <v>2759.93</v>
      </c>
      <c r="K66" s="14">
        <f>SUBTOTAL(9,K60:K65)</f>
        <v>583</v>
      </c>
      <c r="L66" s="15"/>
    </row>
    <row r="67" spans="1:13" outlineLevel="3">
      <c r="A67" s="12" t="s">
        <v>129</v>
      </c>
      <c r="B67" s="12" t="s">
        <v>231</v>
      </c>
      <c r="C67" s="12" t="s">
        <v>131</v>
      </c>
      <c r="D67" s="12" t="s">
        <v>232</v>
      </c>
      <c r="E67" s="12" t="s">
        <v>233</v>
      </c>
      <c r="F67" s="13">
        <v>45870</v>
      </c>
      <c r="G67" s="14">
        <v>225</v>
      </c>
      <c r="J67" s="14">
        <v>225</v>
      </c>
      <c r="K67" s="14">
        <f t="shared" ref="K67:K72" si="8">+G67-J67</f>
        <v>0</v>
      </c>
      <c r="L67" s="15">
        <f t="shared" ref="L67:L72" si="9">+IFERROR(K67/J67,0)</f>
        <v>0</v>
      </c>
    </row>
    <row r="68" spans="1:13" outlineLevel="3">
      <c r="A68" s="12" t="s">
        <v>129</v>
      </c>
      <c r="B68" s="12" t="s">
        <v>231</v>
      </c>
      <c r="C68" s="12" t="s">
        <v>131</v>
      </c>
      <c r="D68" s="12" t="s">
        <v>234</v>
      </c>
      <c r="E68" s="12" t="s">
        <v>235</v>
      </c>
      <c r="F68" s="13">
        <v>45870</v>
      </c>
      <c r="G68" s="14">
        <v>222.5</v>
      </c>
      <c r="J68" s="14">
        <v>222.5</v>
      </c>
      <c r="K68" s="14">
        <f t="shared" si="8"/>
        <v>0</v>
      </c>
      <c r="L68" s="15">
        <f t="shared" si="9"/>
        <v>0</v>
      </c>
    </row>
    <row r="69" spans="1:13" outlineLevel="3">
      <c r="A69" s="12" t="s">
        <v>129</v>
      </c>
      <c r="B69" s="12" t="s">
        <v>231</v>
      </c>
      <c r="C69" s="12" t="s">
        <v>131</v>
      </c>
      <c r="D69" s="12" t="s">
        <v>236</v>
      </c>
      <c r="E69" s="12" t="s">
        <v>237</v>
      </c>
      <c r="F69" s="13">
        <v>45870</v>
      </c>
      <c r="G69" s="14">
        <v>20</v>
      </c>
      <c r="J69" s="14">
        <v>20</v>
      </c>
      <c r="K69" s="14">
        <f t="shared" si="8"/>
        <v>0</v>
      </c>
      <c r="L69" s="15">
        <f t="shared" si="9"/>
        <v>0</v>
      </c>
    </row>
    <row r="70" spans="1:13" outlineLevel="3">
      <c r="A70" s="12" t="s">
        <v>129</v>
      </c>
      <c r="B70" s="12" t="s">
        <v>231</v>
      </c>
      <c r="C70" s="12" t="s">
        <v>131</v>
      </c>
      <c r="D70" s="12" t="s">
        <v>238</v>
      </c>
      <c r="E70" s="12" t="s">
        <v>239</v>
      </c>
      <c r="F70" s="13">
        <v>45870</v>
      </c>
      <c r="G70" s="14">
        <v>227.5</v>
      </c>
      <c r="J70" s="14">
        <v>227.5</v>
      </c>
      <c r="K70" s="14">
        <f t="shared" si="8"/>
        <v>0</v>
      </c>
      <c r="L70" s="15">
        <f t="shared" si="9"/>
        <v>0</v>
      </c>
    </row>
    <row r="71" spans="1:13" outlineLevel="3">
      <c r="A71" s="12" t="s">
        <v>129</v>
      </c>
      <c r="B71" s="12" t="s">
        <v>231</v>
      </c>
      <c r="C71" s="12" t="s">
        <v>131</v>
      </c>
      <c r="D71" s="12" t="s">
        <v>240</v>
      </c>
      <c r="E71" s="12" t="s">
        <v>241</v>
      </c>
      <c r="F71" s="13">
        <v>45870</v>
      </c>
      <c r="G71" s="14">
        <v>230</v>
      </c>
      <c r="J71" s="14">
        <v>230</v>
      </c>
      <c r="K71" s="14">
        <f t="shared" si="8"/>
        <v>0</v>
      </c>
      <c r="L71" s="15">
        <f t="shared" si="9"/>
        <v>0</v>
      </c>
    </row>
    <row r="72" spans="1:13" outlineLevel="3">
      <c r="A72" s="12" t="s">
        <v>129</v>
      </c>
      <c r="B72" s="12" t="s">
        <v>231</v>
      </c>
      <c r="C72" s="12" t="s">
        <v>131</v>
      </c>
      <c r="D72" s="12" t="s">
        <v>242</v>
      </c>
      <c r="E72" s="12" t="s">
        <v>243</v>
      </c>
      <c r="F72" s="13">
        <v>45870</v>
      </c>
      <c r="G72" s="14">
        <v>190</v>
      </c>
      <c r="J72" s="14">
        <v>190</v>
      </c>
      <c r="K72" s="14">
        <f t="shared" si="8"/>
        <v>0</v>
      </c>
      <c r="L72" s="15">
        <f t="shared" si="9"/>
        <v>0</v>
      </c>
    </row>
    <row r="73" spans="1:13" outlineLevel="2">
      <c r="B73" s="7" t="s">
        <v>244</v>
      </c>
      <c r="F73" s="13"/>
      <c r="G73" s="14">
        <f>SUBTOTAL(9,G67:G72)</f>
        <v>1115</v>
      </c>
      <c r="I73" s="14">
        <f>SUBTOTAL(9,I67:I72)</f>
        <v>0</v>
      </c>
      <c r="J73" s="14">
        <f>SUBTOTAL(9,J67:J72)</f>
        <v>1115</v>
      </c>
      <c r="K73" s="14">
        <f>SUBTOTAL(9,K67:K72)</f>
        <v>0</v>
      </c>
      <c r="L73" s="15"/>
    </row>
    <row r="74" spans="1:13" outlineLevel="3">
      <c r="A74" s="12" t="s">
        <v>129</v>
      </c>
      <c r="B74" s="12" t="s">
        <v>245</v>
      </c>
      <c r="C74" s="12" t="s">
        <v>138</v>
      </c>
      <c r="D74" s="12" t="s">
        <v>139</v>
      </c>
      <c r="E74" s="12" t="s">
        <v>246</v>
      </c>
      <c r="F74" s="13">
        <v>45870</v>
      </c>
      <c r="G74" s="14">
        <v>21.78</v>
      </c>
      <c r="J74" s="14">
        <v>21.78</v>
      </c>
      <c r="K74" s="14">
        <f>+G74-J74</f>
        <v>0</v>
      </c>
      <c r="L74" s="15">
        <f>+IFERROR(K74/J74,0)</f>
        <v>0</v>
      </c>
    </row>
    <row r="75" spans="1:13" outlineLevel="3">
      <c r="A75" s="12" t="s">
        <v>129</v>
      </c>
      <c r="B75" s="12" t="s">
        <v>245</v>
      </c>
      <c r="C75" s="12" t="s">
        <v>148</v>
      </c>
      <c r="D75" s="12" t="s">
        <v>149</v>
      </c>
      <c r="E75" s="12" t="s">
        <v>247</v>
      </c>
      <c r="F75" s="13">
        <v>45871</v>
      </c>
      <c r="G75" s="14">
        <v>123.46</v>
      </c>
      <c r="J75" s="14">
        <v>123.46</v>
      </c>
      <c r="K75" s="14">
        <f>+G75-J75</f>
        <v>0</v>
      </c>
      <c r="L75" s="15">
        <f>+IFERROR(K75/J75,0)</f>
        <v>0</v>
      </c>
      <c r="M75" s="12" t="s">
        <v>151</v>
      </c>
    </row>
    <row r="76" spans="1:13" outlineLevel="2">
      <c r="B76" s="7" t="s">
        <v>248</v>
      </c>
      <c r="F76" s="13"/>
      <c r="G76" s="14">
        <f>SUBTOTAL(9,G74:G75)</f>
        <v>145.24</v>
      </c>
      <c r="I76" s="14">
        <f>SUBTOTAL(9,I74:I75)</f>
        <v>0</v>
      </c>
      <c r="J76" s="14">
        <f>SUBTOTAL(9,J74:J75)</f>
        <v>145.24</v>
      </c>
      <c r="K76" s="14">
        <f>SUBTOTAL(9,K74:K75)</f>
        <v>0</v>
      </c>
      <c r="L76" s="15"/>
    </row>
    <row r="77" spans="1:13" outlineLevel="3">
      <c r="A77" s="12" t="s">
        <v>129</v>
      </c>
      <c r="B77" s="12" t="s">
        <v>249</v>
      </c>
      <c r="C77" s="12" t="s">
        <v>138</v>
      </c>
      <c r="D77" s="12" t="s">
        <v>139</v>
      </c>
      <c r="E77" s="12" t="s">
        <v>250</v>
      </c>
      <c r="F77" s="13">
        <v>45870</v>
      </c>
      <c r="G77" s="14">
        <v>18.05</v>
      </c>
      <c r="J77" s="14">
        <v>18.05</v>
      </c>
      <c r="K77" s="14">
        <f>+G77-J77</f>
        <v>0</v>
      </c>
      <c r="L77" s="15">
        <f>+IFERROR(K77/J77,0)</f>
        <v>0</v>
      </c>
    </row>
    <row r="78" spans="1:13" outlineLevel="3">
      <c r="A78" s="12" t="s">
        <v>129</v>
      </c>
      <c r="B78" s="12" t="s">
        <v>249</v>
      </c>
      <c r="C78" s="12" t="s">
        <v>145</v>
      </c>
      <c r="D78" s="12" t="s">
        <v>251</v>
      </c>
      <c r="E78" s="12" t="s">
        <v>252</v>
      </c>
      <c r="F78" s="13">
        <v>45870</v>
      </c>
      <c r="G78" s="14">
        <v>217</v>
      </c>
      <c r="J78" s="14">
        <v>217</v>
      </c>
      <c r="K78" s="14">
        <f>+G78-J78</f>
        <v>0</v>
      </c>
      <c r="L78" s="15">
        <f>+IFERROR(K78/J78,0)</f>
        <v>0</v>
      </c>
    </row>
    <row r="79" spans="1:13" outlineLevel="3">
      <c r="A79" s="12" t="s">
        <v>129</v>
      </c>
      <c r="B79" s="12" t="s">
        <v>249</v>
      </c>
      <c r="C79" s="12" t="s">
        <v>148</v>
      </c>
      <c r="D79" s="12" t="s">
        <v>149</v>
      </c>
      <c r="E79" s="12" t="s">
        <v>253</v>
      </c>
      <c r="F79" s="13">
        <v>45871</v>
      </c>
      <c r="G79" s="14">
        <v>102.28</v>
      </c>
      <c r="J79" s="14">
        <v>102.28</v>
      </c>
      <c r="K79" s="14">
        <f>+G79-J79</f>
        <v>0</v>
      </c>
      <c r="L79" s="15">
        <f>+IFERROR(K79/J79,0)</f>
        <v>0</v>
      </c>
      <c r="M79" s="12" t="s">
        <v>151</v>
      </c>
    </row>
    <row r="80" spans="1:13" outlineLevel="3">
      <c r="A80" s="12" t="s">
        <v>129</v>
      </c>
      <c r="B80" s="12" t="s">
        <v>249</v>
      </c>
      <c r="C80" s="12" t="s">
        <v>131</v>
      </c>
      <c r="D80" s="12" t="s">
        <v>254</v>
      </c>
      <c r="E80" s="12" t="s">
        <v>252</v>
      </c>
      <c r="F80" s="13">
        <v>45870</v>
      </c>
      <c r="G80" s="14">
        <v>2292.61</v>
      </c>
      <c r="J80" s="14">
        <v>2294</v>
      </c>
      <c r="K80" s="14">
        <f>+G80-J80</f>
        <v>-1.3899999999998727</v>
      </c>
      <c r="L80" s="15">
        <f>+IFERROR(K80/J80,0)</f>
        <v>-6.0592850915426014E-4</v>
      </c>
    </row>
    <row r="81" spans="1:13" outlineLevel="2">
      <c r="B81" s="7" t="s">
        <v>255</v>
      </c>
      <c r="F81" s="13"/>
      <c r="G81" s="14">
        <f>SUBTOTAL(9,G77:G80)</f>
        <v>2629.94</v>
      </c>
      <c r="I81" s="14">
        <f>SUBTOTAL(9,I77:I80)</f>
        <v>0</v>
      </c>
      <c r="J81" s="14">
        <f>SUBTOTAL(9,J77:J80)</f>
        <v>2631.33</v>
      </c>
      <c r="K81" s="14">
        <f>SUBTOTAL(9,K77:K80)</f>
        <v>-1.3899999999998727</v>
      </c>
      <c r="L81" s="15"/>
    </row>
    <row r="82" spans="1:13" outlineLevel="3">
      <c r="A82" s="12" t="s">
        <v>129</v>
      </c>
      <c r="B82" s="12" t="s">
        <v>256</v>
      </c>
      <c r="C82" s="12" t="s">
        <v>138</v>
      </c>
      <c r="D82" s="12" t="s">
        <v>139</v>
      </c>
      <c r="E82" s="12" t="s">
        <v>257</v>
      </c>
      <c r="F82" s="13">
        <v>45870</v>
      </c>
      <c r="G82" s="14">
        <v>29.91</v>
      </c>
      <c r="J82" s="14">
        <v>29.91</v>
      </c>
      <c r="K82" s="14">
        <f t="shared" ref="K82:K87" si="10">+G82-J82</f>
        <v>0</v>
      </c>
      <c r="L82" s="15">
        <f t="shared" ref="L82:L87" si="11">+IFERROR(K82/J82,0)</f>
        <v>0</v>
      </c>
    </row>
    <row r="83" spans="1:13" outlineLevel="3">
      <c r="A83" s="12" t="s">
        <v>129</v>
      </c>
      <c r="B83" s="12" t="s">
        <v>256</v>
      </c>
      <c r="C83" s="12" t="s">
        <v>141</v>
      </c>
      <c r="D83" s="12" t="s">
        <v>181</v>
      </c>
      <c r="E83" s="12" t="s">
        <v>258</v>
      </c>
      <c r="F83" s="13">
        <v>45870</v>
      </c>
      <c r="G83" s="14">
        <v>249.8</v>
      </c>
      <c r="J83" s="14">
        <v>249.8</v>
      </c>
      <c r="K83" s="14">
        <f t="shared" si="10"/>
        <v>0</v>
      </c>
      <c r="L83" s="15">
        <f t="shared" si="11"/>
        <v>0</v>
      </c>
    </row>
    <row r="84" spans="1:13" outlineLevel="3">
      <c r="A84" s="12" t="s">
        <v>129</v>
      </c>
      <c r="B84" s="12" t="s">
        <v>256</v>
      </c>
      <c r="C84" s="12" t="s">
        <v>145</v>
      </c>
      <c r="D84" s="12" t="s">
        <v>183</v>
      </c>
      <c r="E84" s="12" t="s">
        <v>258</v>
      </c>
      <c r="F84" s="13">
        <v>45870</v>
      </c>
      <c r="G84" s="14">
        <v>266</v>
      </c>
      <c r="J84" s="14">
        <v>210</v>
      </c>
      <c r="K84" s="14">
        <f t="shared" si="10"/>
        <v>56</v>
      </c>
      <c r="L84" s="15">
        <f t="shared" si="11"/>
        <v>0.26666666666666666</v>
      </c>
    </row>
    <row r="85" spans="1:13" outlineLevel="3">
      <c r="A85" s="12" t="s">
        <v>129</v>
      </c>
      <c r="B85" s="12" t="s">
        <v>256</v>
      </c>
      <c r="C85" s="12" t="s">
        <v>148</v>
      </c>
      <c r="D85" s="12" t="s">
        <v>149</v>
      </c>
      <c r="E85" s="12" t="s">
        <v>259</v>
      </c>
      <c r="F85" s="13">
        <v>45871</v>
      </c>
      <c r="G85" s="14">
        <v>169.5</v>
      </c>
      <c r="J85" s="14">
        <v>169.5</v>
      </c>
      <c r="K85" s="14">
        <f t="shared" si="10"/>
        <v>0</v>
      </c>
      <c r="L85" s="15">
        <f t="shared" si="11"/>
        <v>0</v>
      </c>
      <c r="M85" s="12" t="s">
        <v>151</v>
      </c>
    </row>
    <row r="86" spans="1:13" outlineLevel="3">
      <c r="A86" s="12" t="s">
        <v>129</v>
      </c>
      <c r="B86" s="12" t="s">
        <v>256</v>
      </c>
      <c r="C86" s="12" t="s">
        <v>131</v>
      </c>
      <c r="D86" s="12" t="s">
        <v>260</v>
      </c>
      <c r="F86" s="13"/>
      <c r="J86" s="14">
        <v>2868.6</v>
      </c>
      <c r="K86" s="14">
        <f t="shared" si="10"/>
        <v>-2868.6</v>
      </c>
      <c r="L86" s="15">
        <f t="shared" si="11"/>
        <v>-1</v>
      </c>
    </row>
    <row r="87" spans="1:13" outlineLevel="3">
      <c r="A87" s="12" t="s">
        <v>129</v>
      </c>
      <c r="B87" s="12" t="s">
        <v>256</v>
      </c>
      <c r="C87" s="12" t="s">
        <v>131</v>
      </c>
      <c r="D87" s="12" t="s">
        <v>189</v>
      </c>
      <c r="E87" s="12" t="s">
        <v>258</v>
      </c>
      <c r="F87" s="13">
        <v>45870</v>
      </c>
      <c r="G87" s="14">
        <v>2305</v>
      </c>
      <c r="J87" s="14">
        <v>2305</v>
      </c>
      <c r="K87" s="14">
        <f t="shared" si="10"/>
        <v>0</v>
      </c>
      <c r="L87" s="15">
        <f t="shared" si="11"/>
        <v>0</v>
      </c>
    </row>
    <row r="88" spans="1:13" outlineLevel="2">
      <c r="B88" s="7" t="s">
        <v>261</v>
      </c>
      <c r="F88" s="13"/>
      <c r="G88" s="14">
        <f>SUBTOTAL(9,G82:G87)</f>
        <v>3020.21</v>
      </c>
      <c r="I88" s="14">
        <f>SUBTOTAL(9,I82:I87)</f>
        <v>0</v>
      </c>
      <c r="J88" s="14">
        <f>SUBTOTAL(9,J82:J87)</f>
        <v>5832.8099999999995</v>
      </c>
      <c r="K88" s="14">
        <f>SUBTOTAL(9,K82:K87)</f>
        <v>-2812.6</v>
      </c>
      <c r="L88" s="15"/>
    </row>
    <row r="89" spans="1:13" outlineLevel="3">
      <c r="A89" s="12" t="s">
        <v>129</v>
      </c>
      <c r="B89" s="12" t="s">
        <v>262</v>
      </c>
      <c r="C89" s="12" t="s">
        <v>138</v>
      </c>
      <c r="D89" s="12" t="s">
        <v>139</v>
      </c>
      <c r="E89" s="12" t="s">
        <v>263</v>
      </c>
      <c r="F89" s="13">
        <v>45870</v>
      </c>
      <c r="G89" s="14">
        <v>101.59</v>
      </c>
      <c r="J89" s="14">
        <v>101.66</v>
      </c>
      <c r="K89" s="14">
        <f t="shared" ref="K89:K94" si="12">+G89-J89</f>
        <v>-6.9999999999993179E-2</v>
      </c>
      <c r="L89" s="15">
        <f t="shared" ref="L89:L94" si="13">+IFERROR(K89/J89,0)</f>
        <v>-6.8856974227811515E-4</v>
      </c>
    </row>
    <row r="90" spans="1:13" outlineLevel="3">
      <c r="A90" s="12" t="s">
        <v>129</v>
      </c>
      <c r="B90" s="12" t="s">
        <v>262</v>
      </c>
      <c r="C90" s="12" t="s">
        <v>141</v>
      </c>
      <c r="D90" s="12" t="s">
        <v>181</v>
      </c>
      <c r="E90" s="12" t="s">
        <v>264</v>
      </c>
      <c r="F90" s="13">
        <v>45870</v>
      </c>
      <c r="G90" s="14">
        <v>49.8</v>
      </c>
      <c r="J90" s="14">
        <v>0</v>
      </c>
      <c r="K90" s="14">
        <f t="shared" si="12"/>
        <v>49.8</v>
      </c>
      <c r="L90" s="15">
        <f t="shared" si="13"/>
        <v>0</v>
      </c>
    </row>
    <row r="91" spans="1:13" outlineLevel="3">
      <c r="A91" s="12" t="s">
        <v>129</v>
      </c>
      <c r="B91" s="12" t="s">
        <v>262</v>
      </c>
      <c r="C91" s="12" t="s">
        <v>141</v>
      </c>
      <c r="D91" s="12" t="s">
        <v>265</v>
      </c>
      <c r="E91" s="12" t="s">
        <v>266</v>
      </c>
      <c r="F91" s="13">
        <v>45881</v>
      </c>
      <c r="G91" s="14">
        <v>0</v>
      </c>
      <c r="J91" s="14">
        <v>0</v>
      </c>
      <c r="K91" s="14">
        <f t="shared" si="12"/>
        <v>0</v>
      </c>
      <c r="L91" s="15">
        <f t="shared" si="13"/>
        <v>0</v>
      </c>
      <c r="M91" s="12" t="s">
        <v>267</v>
      </c>
    </row>
    <row r="92" spans="1:13" outlineLevel="3">
      <c r="A92" s="12" t="s">
        <v>129</v>
      </c>
      <c r="B92" s="12" t="s">
        <v>262</v>
      </c>
      <c r="C92" s="12" t="s">
        <v>141</v>
      </c>
      <c r="D92" s="12" t="s">
        <v>265</v>
      </c>
      <c r="E92" s="12" t="s">
        <v>268</v>
      </c>
      <c r="F92" s="13">
        <v>45870</v>
      </c>
      <c r="G92" s="14">
        <v>28.77</v>
      </c>
      <c r="J92" s="14">
        <v>0</v>
      </c>
      <c r="K92" s="14">
        <f t="shared" si="12"/>
        <v>28.77</v>
      </c>
      <c r="L92" s="15">
        <f t="shared" si="13"/>
        <v>0</v>
      </c>
    </row>
    <row r="93" spans="1:13" outlineLevel="3">
      <c r="A93" s="12" t="s">
        <v>129</v>
      </c>
      <c r="B93" s="12" t="s">
        <v>262</v>
      </c>
      <c r="C93" s="12" t="s">
        <v>148</v>
      </c>
      <c r="D93" s="12" t="s">
        <v>149</v>
      </c>
      <c r="E93" s="12" t="s">
        <v>269</v>
      </c>
      <c r="F93" s="13">
        <v>45871</v>
      </c>
      <c r="G93" s="14">
        <v>575.66</v>
      </c>
      <c r="J93" s="14">
        <v>575.66</v>
      </c>
      <c r="K93" s="14">
        <f t="shared" si="12"/>
        <v>0</v>
      </c>
      <c r="L93" s="15">
        <f t="shared" si="13"/>
        <v>0</v>
      </c>
      <c r="M93" s="12" t="s">
        <v>151</v>
      </c>
    </row>
    <row r="94" spans="1:13" outlineLevel="3">
      <c r="A94" s="12" t="s">
        <v>129</v>
      </c>
      <c r="B94" s="12" t="s">
        <v>262</v>
      </c>
      <c r="C94" s="12" t="s">
        <v>131</v>
      </c>
      <c r="D94" s="12" t="s">
        <v>270</v>
      </c>
      <c r="E94" s="12" t="s">
        <v>264</v>
      </c>
      <c r="F94" s="13">
        <v>45870</v>
      </c>
      <c r="G94" s="14">
        <v>6204.11</v>
      </c>
      <c r="J94" s="14">
        <v>6204.11</v>
      </c>
      <c r="K94" s="14">
        <f t="shared" si="12"/>
        <v>0</v>
      </c>
      <c r="L94" s="15">
        <f t="shared" si="13"/>
        <v>0</v>
      </c>
    </row>
    <row r="95" spans="1:13" outlineLevel="2">
      <c r="B95" s="7" t="s">
        <v>271</v>
      </c>
      <c r="F95" s="13"/>
      <c r="G95" s="14">
        <f>SUBTOTAL(9,G89:G94)</f>
        <v>6959.9299999999994</v>
      </c>
      <c r="I95" s="14">
        <f>SUBTOTAL(9,I89:I94)</f>
        <v>0</v>
      </c>
      <c r="J95" s="14">
        <f>SUBTOTAL(9,J89:J94)</f>
        <v>6881.4299999999994</v>
      </c>
      <c r="K95" s="14">
        <f>SUBTOTAL(9,K89:K94)</f>
        <v>78.5</v>
      </c>
      <c r="L95" s="15"/>
    </row>
    <row r="96" spans="1:13" outlineLevel="3">
      <c r="A96" s="12" t="s">
        <v>129</v>
      </c>
      <c r="B96" s="12" t="s">
        <v>272</v>
      </c>
      <c r="C96" s="12" t="s">
        <v>138</v>
      </c>
      <c r="D96" s="12" t="s">
        <v>139</v>
      </c>
      <c r="E96" s="12" t="s">
        <v>273</v>
      </c>
      <c r="F96" s="13">
        <v>45870</v>
      </c>
      <c r="G96" s="14">
        <v>111.6</v>
      </c>
      <c r="J96" s="14">
        <v>111.6</v>
      </c>
      <c r="K96" s="14">
        <f>+G96-J96</f>
        <v>0</v>
      </c>
      <c r="L96" s="15">
        <f>+IFERROR(K96/J96,0)</f>
        <v>0</v>
      </c>
    </row>
    <row r="97" spans="1:13" outlineLevel="3">
      <c r="A97" s="12" t="s">
        <v>129</v>
      </c>
      <c r="B97" s="12" t="s">
        <v>272</v>
      </c>
      <c r="C97" s="12" t="s">
        <v>145</v>
      </c>
      <c r="D97" s="12" t="s">
        <v>145</v>
      </c>
      <c r="E97" s="12" t="s">
        <v>274</v>
      </c>
      <c r="F97" s="13">
        <v>45870</v>
      </c>
      <c r="G97" s="14">
        <v>951</v>
      </c>
      <c r="J97" s="14">
        <v>974.5</v>
      </c>
      <c r="K97" s="14">
        <f>+G97-J97</f>
        <v>-23.5</v>
      </c>
      <c r="L97" s="15">
        <f>+IFERROR(K97/J97,0)</f>
        <v>-2.4114930733709596E-2</v>
      </c>
    </row>
    <row r="98" spans="1:13" outlineLevel="3">
      <c r="A98" s="12" t="s">
        <v>129</v>
      </c>
      <c r="B98" s="12" t="s">
        <v>272</v>
      </c>
      <c r="C98" s="12" t="s">
        <v>148</v>
      </c>
      <c r="D98" s="12" t="s">
        <v>149</v>
      </c>
      <c r="E98" s="12" t="s">
        <v>275</v>
      </c>
      <c r="F98" s="13">
        <v>45871</v>
      </c>
      <c r="G98" s="14">
        <v>632.4</v>
      </c>
      <c r="J98" s="14">
        <v>632.4</v>
      </c>
      <c r="K98" s="14">
        <f>+G98-J98</f>
        <v>0</v>
      </c>
      <c r="L98" s="15">
        <f>+IFERROR(K98/J98,0)</f>
        <v>0</v>
      </c>
      <c r="M98" s="12" t="s">
        <v>151</v>
      </c>
    </row>
    <row r="99" spans="1:13" outlineLevel="3">
      <c r="A99" s="12" t="s">
        <v>129</v>
      </c>
      <c r="B99" s="12" t="s">
        <v>272</v>
      </c>
      <c r="C99" s="12" t="s">
        <v>131</v>
      </c>
      <c r="D99" s="12" t="s">
        <v>270</v>
      </c>
      <c r="E99" s="12" t="s">
        <v>274</v>
      </c>
      <c r="F99" s="13">
        <v>45870</v>
      </c>
      <c r="G99" s="14">
        <v>6462.96</v>
      </c>
      <c r="J99" s="14">
        <v>6462.96</v>
      </c>
      <c r="K99" s="14">
        <f>+G99-J99</f>
        <v>0</v>
      </c>
      <c r="L99" s="15">
        <f>+IFERROR(K99/J99,0)</f>
        <v>0</v>
      </c>
    </row>
    <row r="100" spans="1:13" outlineLevel="2">
      <c r="B100" s="7" t="s">
        <v>276</v>
      </c>
      <c r="F100" s="13"/>
      <c r="G100" s="14">
        <f>SUBTOTAL(9,G96:G99)</f>
        <v>8157.96</v>
      </c>
      <c r="I100" s="14">
        <f>SUBTOTAL(9,I96:I99)</f>
        <v>0</v>
      </c>
      <c r="J100" s="14">
        <f>SUBTOTAL(9,J96:J99)</f>
        <v>8181.46</v>
      </c>
      <c r="K100" s="14">
        <f>SUBTOTAL(9,K96:K99)</f>
        <v>-23.5</v>
      </c>
      <c r="L100" s="15"/>
    </row>
    <row r="101" spans="1:13" outlineLevel="3">
      <c r="A101" s="12" t="s">
        <v>129</v>
      </c>
      <c r="B101" s="12" t="s">
        <v>277</v>
      </c>
      <c r="C101" s="12" t="s">
        <v>141</v>
      </c>
      <c r="D101" s="12" t="s">
        <v>181</v>
      </c>
      <c r="E101" s="12" t="s">
        <v>278</v>
      </c>
      <c r="F101" s="13">
        <v>45870</v>
      </c>
      <c r="G101" s="14">
        <v>475.79219999999998</v>
      </c>
      <c r="J101" s="14">
        <v>475.79219999999998</v>
      </c>
      <c r="K101" s="14">
        <f>+G101-J101</f>
        <v>0</v>
      </c>
      <c r="L101" s="15">
        <f>+IFERROR(K101/J101,0)</f>
        <v>0</v>
      </c>
    </row>
    <row r="102" spans="1:13" outlineLevel="3">
      <c r="A102" s="12" t="s">
        <v>129</v>
      </c>
      <c r="B102" s="12" t="s">
        <v>277</v>
      </c>
      <c r="C102" s="12" t="s">
        <v>145</v>
      </c>
      <c r="D102" s="12" t="s">
        <v>183</v>
      </c>
      <c r="E102" s="12" t="s">
        <v>278</v>
      </c>
      <c r="F102" s="13">
        <v>45870</v>
      </c>
      <c r="G102" s="14">
        <v>308</v>
      </c>
      <c r="J102" s="14">
        <v>364</v>
      </c>
      <c r="K102" s="14">
        <f>+G102-J102</f>
        <v>-56</v>
      </c>
      <c r="L102" s="15">
        <f>+IFERROR(K102/J102,0)</f>
        <v>-0.15384615384615385</v>
      </c>
    </row>
    <row r="103" spans="1:13" outlineLevel="3">
      <c r="A103" s="12" t="s">
        <v>129</v>
      </c>
      <c r="B103" s="12" t="s">
        <v>277</v>
      </c>
      <c r="C103" s="12" t="s">
        <v>131</v>
      </c>
      <c r="D103" s="12" t="s">
        <v>189</v>
      </c>
      <c r="E103" s="12" t="s">
        <v>278</v>
      </c>
      <c r="F103" s="13">
        <v>45870</v>
      </c>
      <c r="G103" s="14">
        <v>3825.75</v>
      </c>
      <c r="J103" s="14">
        <v>3825.75</v>
      </c>
      <c r="K103" s="14">
        <f>+G103-J103</f>
        <v>0</v>
      </c>
      <c r="L103" s="15">
        <f>+IFERROR(K103/J103,0)</f>
        <v>0</v>
      </c>
    </row>
    <row r="104" spans="1:13" outlineLevel="2">
      <c r="B104" s="7" t="s">
        <v>279</v>
      </c>
      <c r="F104" s="13"/>
      <c r="G104" s="14">
        <f>SUBTOTAL(9,G101:G103)</f>
        <v>4609.5421999999999</v>
      </c>
      <c r="I104" s="14">
        <f>SUBTOTAL(9,I101:I103)</f>
        <v>0</v>
      </c>
      <c r="J104" s="14">
        <f>SUBTOTAL(9,J101:J103)</f>
        <v>4665.5421999999999</v>
      </c>
      <c r="K104" s="14">
        <f>SUBTOTAL(9,K101:K103)</f>
        <v>-56</v>
      </c>
      <c r="L104" s="15"/>
    </row>
    <row r="105" spans="1:13" outlineLevel="3">
      <c r="A105" s="12" t="s">
        <v>129</v>
      </c>
      <c r="B105" s="12" t="s">
        <v>280</v>
      </c>
      <c r="C105" s="12" t="s">
        <v>138</v>
      </c>
      <c r="D105" s="12" t="s">
        <v>139</v>
      </c>
      <c r="E105" s="12" t="s">
        <v>281</v>
      </c>
      <c r="F105" s="13">
        <v>45870</v>
      </c>
      <c r="G105" s="14">
        <v>2.83</v>
      </c>
      <c r="J105" s="14">
        <v>2.83</v>
      </c>
      <c r="K105" s="14">
        <f>+G105-J105</f>
        <v>0</v>
      </c>
      <c r="L105" s="15">
        <f>+IFERROR(K105/J105,0)</f>
        <v>0</v>
      </c>
    </row>
    <row r="106" spans="1:13" outlineLevel="3">
      <c r="A106" s="12" t="s">
        <v>129</v>
      </c>
      <c r="B106" s="12" t="s">
        <v>280</v>
      </c>
      <c r="C106" s="12" t="s">
        <v>141</v>
      </c>
      <c r="D106" s="12" t="s">
        <v>282</v>
      </c>
      <c r="E106" s="12" t="s">
        <v>283</v>
      </c>
      <c r="F106" s="13">
        <v>45870</v>
      </c>
      <c r="G106" s="14">
        <v>62.755800000000001</v>
      </c>
      <c r="J106" s="14">
        <v>107.6</v>
      </c>
      <c r="K106" s="14">
        <f>+G106-J106</f>
        <v>-44.844199999999994</v>
      </c>
      <c r="L106" s="15">
        <f>+IFERROR(K106/J106,0)</f>
        <v>-0.41676765799256504</v>
      </c>
    </row>
    <row r="107" spans="1:13" outlineLevel="3">
      <c r="A107" s="12" t="s">
        <v>129</v>
      </c>
      <c r="B107" s="12" t="s">
        <v>280</v>
      </c>
      <c r="C107" s="12" t="s">
        <v>145</v>
      </c>
      <c r="D107" s="12" t="s">
        <v>218</v>
      </c>
      <c r="E107" s="12" t="s">
        <v>283</v>
      </c>
      <c r="F107" s="13">
        <v>45870</v>
      </c>
      <c r="G107" s="14">
        <v>126</v>
      </c>
      <c r="J107" s="14">
        <v>126</v>
      </c>
      <c r="K107" s="14">
        <f>+G107-J107</f>
        <v>0</v>
      </c>
      <c r="L107" s="15">
        <f>+IFERROR(K107/J107,0)</f>
        <v>0</v>
      </c>
    </row>
    <row r="108" spans="1:13" outlineLevel="3">
      <c r="A108" s="12" t="s">
        <v>129</v>
      </c>
      <c r="B108" s="12" t="s">
        <v>280</v>
      </c>
      <c r="C108" s="12" t="s">
        <v>148</v>
      </c>
      <c r="D108" s="12" t="s">
        <v>149</v>
      </c>
      <c r="E108" s="12" t="s">
        <v>284</v>
      </c>
      <c r="F108" s="13">
        <v>45871</v>
      </c>
      <c r="G108" s="14">
        <v>16.25</v>
      </c>
      <c r="J108" s="14">
        <v>16.25</v>
      </c>
      <c r="K108" s="14">
        <f>+G108-J108</f>
        <v>0</v>
      </c>
      <c r="L108" s="15">
        <f>+IFERROR(K108/J108,0)</f>
        <v>0</v>
      </c>
      <c r="M108" s="12" t="s">
        <v>151</v>
      </c>
    </row>
    <row r="109" spans="1:13" outlineLevel="3">
      <c r="A109" s="12" t="s">
        <v>129</v>
      </c>
      <c r="B109" s="12" t="s">
        <v>280</v>
      </c>
      <c r="C109" s="12" t="s">
        <v>131</v>
      </c>
      <c r="D109" s="12" t="s">
        <v>220</v>
      </c>
      <c r="E109" s="12" t="s">
        <v>283</v>
      </c>
      <c r="F109" s="13">
        <v>45870</v>
      </c>
      <c r="G109" s="14">
        <v>2143.5342000000001</v>
      </c>
      <c r="J109" s="14">
        <v>2143.5300000000002</v>
      </c>
      <c r="K109" s="14">
        <f>+G109-J109</f>
        <v>4.1999999998552084E-3</v>
      </c>
      <c r="L109" s="15">
        <f>+IFERROR(K109/J109,0)</f>
        <v>1.9593847531199508E-6</v>
      </c>
    </row>
    <row r="110" spans="1:13" outlineLevel="2">
      <c r="B110" s="7" t="s">
        <v>285</v>
      </c>
      <c r="F110" s="13"/>
      <c r="G110" s="14">
        <f>SUBTOTAL(9,G105:G109)</f>
        <v>2351.37</v>
      </c>
      <c r="I110" s="14">
        <f>SUBTOTAL(9,I105:I109)</f>
        <v>0</v>
      </c>
      <c r="J110" s="14">
        <f>SUBTOTAL(9,J105:J109)</f>
        <v>2396.21</v>
      </c>
      <c r="K110" s="14">
        <f>SUBTOTAL(9,K105:K109)</f>
        <v>-44.840000000000138</v>
      </c>
      <c r="L110" s="15"/>
    </row>
    <row r="111" spans="1:13" outlineLevel="3">
      <c r="A111" s="12" t="s">
        <v>129</v>
      </c>
      <c r="B111" s="12" t="s">
        <v>286</v>
      </c>
      <c r="C111" s="12" t="s">
        <v>138</v>
      </c>
      <c r="D111" s="12" t="s">
        <v>139</v>
      </c>
      <c r="E111" s="12" t="s">
        <v>287</v>
      </c>
      <c r="F111" s="13">
        <v>45870</v>
      </c>
      <c r="G111" s="14">
        <v>20.29</v>
      </c>
      <c r="J111" s="14">
        <v>20.29</v>
      </c>
      <c r="K111" s="14">
        <f>+G111-J111</f>
        <v>0</v>
      </c>
      <c r="L111" s="15">
        <f>+IFERROR(K111/J111,0)</f>
        <v>0</v>
      </c>
    </row>
    <row r="112" spans="1:13" outlineLevel="3">
      <c r="A112" s="12" t="s">
        <v>129</v>
      </c>
      <c r="B112" s="12" t="s">
        <v>286</v>
      </c>
      <c r="C112" s="12" t="s">
        <v>145</v>
      </c>
      <c r="D112" s="12" t="s">
        <v>218</v>
      </c>
      <c r="E112" s="12" t="s">
        <v>288</v>
      </c>
      <c r="F112" s="13">
        <v>45870</v>
      </c>
      <c r="G112" s="14">
        <v>585</v>
      </c>
      <c r="J112" s="14">
        <v>591.5</v>
      </c>
      <c r="K112" s="14">
        <f>+G112-J112</f>
        <v>-6.5</v>
      </c>
      <c r="L112" s="15">
        <f>+IFERROR(K112/J112,0)</f>
        <v>-1.098901098901099E-2</v>
      </c>
    </row>
    <row r="113" spans="1:13" outlineLevel="3">
      <c r="A113" s="12" t="s">
        <v>129</v>
      </c>
      <c r="B113" s="12" t="s">
        <v>286</v>
      </c>
      <c r="C113" s="12" t="s">
        <v>148</v>
      </c>
      <c r="D113" s="12" t="s">
        <v>149</v>
      </c>
      <c r="E113" s="12" t="s">
        <v>289</v>
      </c>
      <c r="F113" s="13">
        <v>45871</v>
      </c>
      <c r="G113" s="14">
        <v>115.03</v>
      </c>
      <c r="J113" s="14">
        <v>115.03</v>
      </c>
      <c r="K113" s="14">
        <f>+G113-J113</f>
        <v>0</v>
      </c>
      <c r="L113" s="15">
        <f>+IFERROR(K113/J113,0)</f>
        <v>0</v>
      </c>
      <c r="M113" s="12" t="s">
        <v>151</v>
      </c>
    </row>
    <row r="114" spans="1:13" outlineLevel="3">
      <c r="A114" s="12" t="s">
        <v>129</v>
      </c>
      <c r="B114" s="12" t="s">
        <v>286</v>
      </c>
      <c r="C114" s="12" t="s">
        <v>131</v>
      </c>
      <c r="D114" s="12" t="s">
        <v>220</v>
      </c>
      <c r="E114" s="12" t="s">
        <v>288</v>
      </c>
      <c r="F114" s="13">
        <v>45870</v>
      </c>
      <c r="G114" s="14">
        <v>4804.28</v>
      </c>
      <c r="J114" s="14">
        <v>4803.3429999999998</v>
      </c>
      <c r="K114" s="14">
        <f>+G114-J114</f>
        <v>0.93699999999989814</v>
      </c>
      <c r="L114" s="15">
        <f>+IFERROR(K114/J114,0)</f>
        <v>1.9507247348355056E-4</v>
      </c>
    </row>
    <row r="115" spans="1:13" outlineLevel="2">
      <c r="B115" s="7" t="s">
        <v>290</v>
      </c>
      <c r="F115" s="13"/>
      <c r="G115" s="14">
        <f>SUBTOTAL(9,G111:G114)</f>
        <v>5524.5999999999995</v>
      </c>
      <c r="I115" s="14">
        <f>SUBTOTAL(9,I111:I114)</f>
        <v>0</v>
      </c>
      <c r="J115" s="14">
        <f>SUBTOTAL(9,J111:J114)</f>
        <v>5530.1629999999996</v>
      </c>
      <c r="K115" s="14">
        <f>SUBTOTAL(9,K111:K114)</f>
        <v>-5.5630000000001019</v>
      </c>
      <c r="L115" s="15"/>
    </row>
    <row r="116" spans="1:13" outlineLevel="3">
      <c r="A116" s="12" t="s">
        <v>129</v>
      </c>
      <c r="B116" s="12" t="s">
        <v>291</v>
      </c>
      <c r="C116" s="12" t="s">
        <v>138</v>
      </c>
      <c r="D116" s="12" t="s">
        <v>139</v>
      </c>
      <c r="E116" s="12" t="s">
        <v>292</v>
      </c>
      <c r="F116" s="13">
        <v>45870</v>
      </c>
      <c r="G116" s="14">
        <v>57.67</v>
      </c>
      <c r="J116" s="14">
        <v>57.67</v>
      </c>
      <c r="K116" s="14">
        <f>+G116-J116</f>
        <v>0</v>
      </c>
      <c r="L116" s="15">
        <f>+IFERROR(K116/J116,0)</f>
        <v>0</v>
      </c>
    </row>
    <row r="117" spans="1:13" outlineLevel="3">
      <c r="A117" s="12" t="s">
        <v>129</v>
      </c>
      <c r="B117" s="12" t="s">
        <v>291</v>
      </c>
      <c r="C117" s="12" t="s">
        <v>141</v>
      </c>
      <c r="D117" s="12" t="s">
        <v>181</v>
      </c>
      <c r="E117" s="12" t="s">
        <v>293</v>
      </c>
      <c r="F117" s="13">
        <v>45870</v>
      </c>
      <c r="G117" s="14">
        <v>160.56</v>
      </c>
      <c r="J117" s="14">
        <v>160.56</v>
      </c>
      <c r="K117" s="14">
        <f>+G117-J117</f>
        <v>0</v>
      </c>
      <c r="L117" s="15">
        <f>+IFERROR(K117/J117,0)</f>
        <v>0</v>
      </c>
    </row>
    <row r="118" spans="1:13" outlineLevel="3">
      <c r="A118" s="12" t="s">
        <v>129</v>
      </c>
      <c r="B118" s="12" t="s">
        <v>291</v>
      </c>
      <c r="C118" s="12" t="s">
        <v>145</v>
      </c>
      <c r="D118" s="12" t="s">
        <v>183</v>
      </c>
      <c r="E118" s="12" t="s">
        <v>293</v>
      </c>
      <c r="F118" s="13">
        <v>45870</v>
      </c>
      <c r="G118" s="14">
        <v>455</v>
      </c>
      <c r="J118" s="14">
        <v>455</v>
      </c>
      <c r="K118" s="14">
        <f>+G118-J118</f>
        <v>0</v>
      </c>
      <c r="L118" s="15">
        <f>+IFERROR(K118/J118,0)</f>
        <v>0</v>
      </c>
    </row>
    <row r="119" spans="1:13" outlineLevel="3">
      <c r="A119" s="12" t="s">
        <v>129</v>
      </c>
      <c r="B119" s="12" t="s">
        <v>291</v>
      </c>
      <c r="C119" s="12" t="s">
        <v>148</v>
      </c>
      <c r="D119" s="12" t="s">
        <v>149</v>
      </c>
      <c r="E119" s="12" t="s">
        <v>294</v>
      </c>
      <c r="F119" s="13">
        <v>45871</v>
      </c>
      <c r="G119" s="14">
        <v>326.82</v>
      </c>
      <c r="J119" s="14">
        <v>326.82</v>
      </c>
      <c r="K119" s="14">
        <f>+G119-J119</f>
        <v>0</v>
      </c>
      <c r="L119" s="15">
        <f>+IFERROR(K119/J119,0)</f>
        <v>0</v>
      </c>
      <c r="M119" s="12" t="s">
        <v>151</v>
      </c>
    </row>
    <row r="120" spans="1:13" outlineLevel="3">
      <c r="A120" s="12" t="s">
        <v>129</v>
      </c>
      <c r="B120" s="12" t="s">
        <v>291</v>
      </c>
      <c r="C120" s="12" t="s">
        <v>131</v>
      </c>
      <c r="D120" s="12" t="s">
        <v>189</v>
      </c>
      <c r="E120" s="12" t="s">
        <v>293</v>
      </c>
      <c r="F120" s="13">
        <v>45870</v>
      </c>
      <c r="G120" s="14">
        <v>2802.5</v>
      </c>
      <c r="J120" s="14">
        <v>2802.5</v>
      </c>
      <c r="K120" s="14">
        <f>+G120-J120</f>
        <v>0</v>
      </c>
      <c r="L120" s="15">
        <f>+IFERROR(K120/J120,0)</f>
        <v>0</v>
      </c>
    </row>
    <row r="121" spans="1:13" outlineLevel="2">
      <c r="B121" s="7" t="s">
        <v>295</v>
      </c>
      <c r="F121" s="13"/>
      <c r="G121" s="14">
        <f>SUBTOTAL(9,G116:G120)</f>
        <v>3802.55</v>
      </c>
      <c r="I121" s="14">
        <f>SUBTOTAL(9,I116:I120)</f>
        <v>0</v>
      </c>
      <c r="J121" s="14">
        <f>SUBTOTAL(9,J116:J120)</f>
        <v>3802.55</v>
      </c>
      <c r="K121" s="14">
        <f>SUBTOTAL(9,K116:K120)</f>
        <v>0</v>
      </c>
      <c r="L121" s="15"/>
    </row>
    <row r="122" spans="1:13" outlineLevel="3">
      <c r="A122" s="12" t="s">
        <v>129</v>
      </c>
      <c r="B122" s="12" t="s">
        <v>296</v>
      </c>
      <c r="C122" s="12" t="s">
        <v>138</v>
      </c>
      <c r="D122" s="12" t="s">
        <v>139</v>
      </c>
      <c r="E122" s="12" t="s">
        <v>297</v>
      </c>
      <c r="F122" s="13">
        <v>45870</v>
      </c>
      <c r="G122" s="14">
        <v>18.03</v>
      </c>
      <c r="J122" s="14">
        <v>18.03</v>
      </c>
      <c r="K122" s="14">
        <f t="shared" ref="K122:K127" si="14">+G122-J122</f>
        <v>0</v>
      </c>
      <c r="L122" s="15">
        <f t="shared" ref="L122:L127" si="15">+IFERROR(K122/J122,0)</f>
        <v>0</v>
      </c>
    </row>
    <row r="123" spans="1:13" outlineLevel="3">
      <c r="A123" s="12" t="s">
        <v>129</v>
      </c>
      <c r="B123" s="12" t="s">
        <v>296</v>
      </c>
      <c r="C123" s="12" t="s">
        <v>141</v>
      </c>
      <c r="D123" s="12" t="s">
        <v>208</v>
      </c>
      <c r="E123" s="12" t="s">
        <v>298</v>
      </c>
      <c r="F123" s="13">
        <v>45870</v>
      </c>
      <c r="G123" s="14">
        <v>240</v>
      </c>
      <c r="J123" s="14">
        <v>240</v>
      </c>
      <c r="K123" s="14">
        <f t="shared" si="14"/>
        <v>0</v>
      </c>
      <c r="L123" s="15">
        <f t="shared" si="15"/>
        <v>0</v>
      </c>
    </row>
    <row r="124" spans="1:13" outlineLevel="3">
      <c r="A124" s="12" t="s">
        <v>129</v>
      </c>
      <c r="B124" s="12" t="s">
        <v>296</v>
      </c>
      <c r="C124" s="12" t="s">
        <v>145</v>
      </c>
      <c r="D124" s="12" t="s">
        <v>210</v>
      </c>
      <c r="E124" s="12" t="s">
        <v>298</v>
      </c>
      <c r="F124" s="13">
        <v>45870</v>
      </c>
      <c r="G124" s="14">
        <v>336</v>
      </c>
      <c r="J124" s="14">
        <v>350</v>
      </c>
      <c r="K124" s="14">
        <f t="shared" si="14"/>
        <v>-14</v>
      </c>
      <c r="L124" s="15">
        <f t="shared" si="15"/>
        <v>-0.04</v>
      </c>
    </row>
    <row r="125" spans="1:13" outlineLevel="3">
      <c r="A125" s="12" t="s">
        <v>129</v>
      </c>
      <c r="B125" s="12" t="s">
        <v>296</v>
      </c>
      <c r="C125" s="12" t="s">
        <v>148</v>
      </c>
      <c r="D125" s="12" t="s">
        <v>149</v>
      </c>
      <c r="E125" s="12" t="s">
        <v>299</v>
      </c>
      <c r="F125" s="13">
        <v>45871</v>
      </c>
      <c r="G125" s="14">
        <v>102.21</v>
      </c>
      <c r="J125" s="14">
        <v>102.21</v>
      </c>
      <c r="K125" s="14">
        <f t="shared" si="14"/>
        <v>0</v>
      </c>
      <c r="L125" s="15">
        <f t="shared" si="15"/>
        <v>0</v>
      </c>
      <c r="M125" s="12" t="s">
        <v>151</v>
      </c>
    </row>
    <row r="126" spans="1:13" outlineLevel="3">
      <c r="A126" s="12" t="s">
        <v>129</v>
      </c>
      <c r="B126" s="12" t="s">
        <v>296</v>
      </c>
      <c r="C126" s="12" t="s">
        <v>131</v>
      </c>
      <c r="D126" s="12" t="s">
        <v>300</v>
      </c>
      <c r="E126" s="12" t="s">
        <v>298</v>
      </c>
      <c r="F126" s="13">
        <v>45870</v>
      </c>
      <c r="G126" s="14">
        <v>1255</v>
      </c>
      <c r="J126" s="14">
        <v>1255</v>
      </c>
      <c r="K126" s="14">
        <f t="shared" si="14"/>
        <v>0</v>
      </c>
      <c r="L126" s="15">
        <f t="shared" si="15"/>
        <v>0</v>
      </c>
    </row>
    <row r="127" spans="1:13" outlineLevel="3">
      <c r="A127" s="12" t="s">
        <v>129</v>
      </c>
      <c r="B127" s="12" t="s">
        <v>296</v>
      </c>
      <c r="C127" s="12" t="s">
        <v>131</v>
      </c>
      <c r="D127" s="12" t="s">
        <v>211</v>
      </c>
      <c r="E127" s="12" t="s">
        <v>298</v>
      </c>
      <c r="F127" s="13">
        <v>45870</v>
      </c>
      <c r="G127" s="14">
        <v>2405</v>
      </c>
      <c r="J127" s="14">
        <v>2405</v>
      </c>
      <c r="K127" s="14">
        <f t="shared" si="14"/>
        <v>0</v>
      </c>
      <c r="L127" s="15">
        <f t="shared" si="15"/>
        <v>0</v>
      </c>
    </row>
    <row r="128" spans="1:13" outlineLevel="2">
      <c r="B128" s="7" t="s">
        <v>301</v>
      </c>
      <c r="F128" s="13"/>
      <c r="G128" s="14">
        <f>SUBTOTAL(9,G122:G127)</f>
        <v>4356.24</v>
      </c>
      <c r="I128" s="14">
        <f>SUBTOTAL(9,I122:I127)</f>
        <v>0</v>
      </c>
      <c r="J128" s="14">
        <f>SUBTOTAL(9,J122:J127)</f>
        <v>4370.24</v>
      </c>
      <c r="K128" s="14">
        <f>SUBTOTAL(9,K122:K127)</f>
        <v>-14</v>
      </c>
      <c r="L128" s="15"/>
    </row>
    <row r="129" spans="1:13" outlineLevel="3">
      <c r="A129" s="12" t="s">
        <v>129</v>
      </c>
      <c r="B129" s="12" t="s">
        <v>302</v>
      </c>
      <c r="C129" s="12" t="s">
        <v>303</v>
      </c>
      <c r="D129" s="12" t="s">
        <v>304</v>
      </c>
      <c r="E129" s="12" t="s">
        <v>305</v>
      </c>
      <c r="F129" s="13">
        <v>45870</v>
      </c>
      <c r="G129" s="14">
        <v>562.5</v>
      </c>
      <c r="J129" s="14">
        <v>562.5</v>
      </c>
      <c r="K129" s="14">
        <f t="shared" ref="K129:K135" si="16">+G129-J129</f>
        <v>0</v>
      </c>
      <c r="L129" s="15">
        <f t="shared" ref="L129:L135" si="17">+IFERROR(K129/J129,0)</f>
        <v>0</v>
      </c>
    </row>
    <row r="130" spans="1:13" outlineLevel="3">
      <c r="A130" s="12" t="s">
        <v>129</v>
      </c>
      <c r="B130" s="12" t="s">
        <v>302</v>
      </c>
      <c r="C130" s="12" t="s">
        <v>138</v>
      </c>
      <c r="D130" s="12" t="s">
        <v>139</v>
      </c>
      <c r="E130" s="12" t="s">
        <v>306</v>
      </c>
      <c r="F130" s="13">
        <v>45870</v>
      </c>
      <c r="G130" s="14">
        <v>24.65</v>
      </c>
      <c r="J130" s="14">
        <v>24.65</v>
      </c>
      <c r="K130" s="14">
        <f t="shared" si="16"/>
        <v>0</v>
      </c>
      <c r="L130" s="15">
        <f t="shared" si="17"/>
        <v>0</v>
      </c>
    </row>
    <row r="131" spans="1:13" outlineLevel="3">
      <c r="A131" s="12" t="s">
        <v>129</v>
      </c>
      <c r="B131" s="12" t="s">
        <v>302</v>
      </c>
      <c r="C131" s="12" t="s">
        <v>141</v>
      </c>
      <c r="D131" s="12" t="s">
        <v>307</v>
      </c>
      <c r="E131" s="12" t="s">
        <v>305</v>
      </c>
      <c r="F131" s="13">
        <v>45870</v>
      </c>
      <c r="G131" s="14">
        <v>258</v>
      </c>
      <c r="J131" s="14">
        <v>258</v>
      </c>
      <c r="K131" s="14">
        <f t="shared" si="16"/>
        <v>0</v>
      </c>
      <c r="L131" s="15">
        <f t="shared" si="17"/>
        <v>0</v>
      </c>
    </row>
    <row r="132" spans="1:13" outlineLevel="3">
      <c r="A132" s="12" t="s">
        <v>129</v>
      </c>
      <c r="B132" s="12" t="s">
        <v>302</v>
      </c>
      <c r="C132" s="12" t="s">
        <v>145</v>
      </c>
      <c r="D132" s="12" t="s">
        <v>308</v>
      </c>
      <c r="E132" s="12" t="s">
        <v>305</v>
      </c>
      <c r="F132" s="13">
        <v>45870</v>
      </c>
      <c r="G132" s="14">
        <v>416</v>
      </c>
      <c r="J132" s="14">
        <v>383.16</v>
      </c>
      <c r="K132" s="14">
        <f t="shared" si="16"/>
        <v>32.839999999999975</v>
      </c>
      <c r="L132" s="15">
        <f t="shared" si="17"/>
        <v>8.5708320283954406E-2</v>
      </c>
    </row>
    <row r="133" spans="1:13" outlineLevel="3">
      <c r="A133" s="12" t="s">
        <v>129</v>
      </c>
      <c r="B133" s="12" t="s">
        <v>302</v>
      </c>
      <c r="C133" s="12" t="s">
        <v>145</v>
      </c>
      <c r="D133" s="12" t="s">
        <v>183</v>
      </c>
      <c r="E133" s="12" t="s">
        <v>309</v>
      </c>
      <c r="F133" s="13">
        <v>45870</v>
      </c>
      <c r="G133" s="14">
        <v>300</v>
      </c>
      <c r="J133" s="14">
        <v>0</v>
      </c>
      <c r="K133" s="14">
        <f t="shared" si="16"/>
        <v>300</v>
      </c>
      <c r="L133" s="15">
        <f t="shared" si="17"/>
        <v>0</v>
      </c>
    </row>
    <row r="134" spans="1:13" outlineLevel="3">
      <c r="A134" s="12" t="s">
        <v>129</v>
      </c>
      <c r="B134" s="12" t="s">
        <v>302</v>
      </c>
      <c r="C134" s="12" t="s">
        <v>148</v>
      </c>
      <c r="D134" s="12" t="s">
        <v>149</v>
      </c>
      <c r="E134" s="12" t="s">
        <v>310</v>
      </c>
      <c r="F134" s="13">
        <v>45871</v>
      </c>
      <c r="G134" s="14">
        <v>139.68</v>
      </c>
      <c r="J134" s="14">
        <v>139.68</v>
      </c>
      <c r="K134" s="14">
        <f t="shared" si="16"/>
        <v>0</v>
      </c>
      <c r="L134" s="15">
        <f t="shared" si="17"/>
        <v>0</v>
      </c>
      <c r="M134" s="12" t="s">
        <v>151</v>
      </c>
    </row>
    <row r="135" spans="1:13" outlineLevel="3">
      <c r="A135" s="12" t="s">
        <v>129</v>
      </c>
      <c r="B135" s="12" t="s">
        <v>302</v>
      </c>
      <c r="C135" s="12" t="s">
        <v>131</v>
      </c>
      <c r="D135" s="12" t="s">
        <v>311</v>
      </c>
      <c r="E135" s="12" t="s">
        <v>305</v>
      </c>
      <c r="F135" s="13">
        <v>45870</v>
      </c>
      <c r="G135" s="14">
        <v>2438.9</v>
      </c>
      <c r="J135" s="14">
        <v>2438.9</v>
      </c>
      <c r="K135" s="14">
        <f t="shared" si="16"/>
        <v>0</v>
      </c>
      <c r="L135" s="15">
        <f t="shared" si="17"/>
        <v>0</v>
      </c>
    </row>
    <row r="136" spans="1:13" outlineLevel="2">
      <c r="B136" s="7" t="s">
        <v>312</v>
      </c>
      <c r="F136" s="13"/>
      <c r="G136" s="14">
        <f>SUBTOTAL(9,G129:G135)</f>
        <v>4139.7300000000005</v>
      </c>
      <c r="I136" s="14">
        <f>SUBTOTAL(9,I129:I135)</f>
        <v>0</v>
      </c>
      <c r="J136" s="14">
        <f>SUBTOTAL(9,J129:J135)</f>
        <v>3806.8900000000003</v>
      </c>
      <c r="K136" s="14">
        <f>SUBTOTAL(9,K129:K135)</f>
        <v>332.84</v>
      </c>
      <c r="L136" s="15"/>
    </row>
    <row r="137" spans="1:13" outlineLevel="3">
      <c r="A137" s="12" t="s">
        <v>129</v>
      </c>
      <c r="B137" s="12" t="s">
        <v>313</v>
      </c>
      <c r="C137" s="12" t="s">
        <v>141</v>
      </c>
      <c r="D137" s="12" t="s">
        <v>181</v>
      </c>
      <c r="E137" s="12" t="s">
        <v>314</v>
      </c>
      <c r="F137" s="13">
        <v>45896</v>
      </c>
      <c r="G137" s="14">
        <v>80</v>
      </c>
      <c r="J137" s="14">
        <v>0</v>
      </c>
      <c r="K137" s="14">
        <f t="shared" ref="K137:K143" si="18">+G137-J137</f>
        <v>80</v>
      </c>
      <c r="L137" s="15">
        <f t="shared" ref="L137:L143" si="19">+IFERROR(K137/J137,0)</f>
        <v>0</v>
      </c>
      <c r="M137" s="12" t="s">
        <v>315</v>
      </c>
    </row>
    <row r="138" spans="1:13" outlineLevel="3">
      <c r="A138" s="12" t="s">
        <v>129</v>
      </c>
      <c r="B138" s="12" t="s">
        <v>313</v>
      </c>
      <c r="C138" s="12" t="s">
        <v>141</v>
      </c>
      <c r="D138" s="12" t="s">
        <v>181</v>
      </c>
      <c r="E138" s="12" t="s">
        <v>316</v>
      </c>
      <c r="F138" s="13">
        <v>45896</v>
      </c>
      <c r="G138" s="14">
        <v>80</v>
      </c>
      <c r="J138" s="14">
        <v>0</v>
      </c>
      <c r="K138" s="14">
        <f t="shared" si="18"/>
        <v>80</v>
      </c>
      <c r="L138" s="15">
        <f t="shared" si="19"/>
        <v>0</v>
      </c>
    </row>
    <row r="139" spans="1:13" outlineLevel="3">
      <c r="A139" s="12" t="s">
        <v>129</v>
      </c>
      <c r="B139" s="12" t="s">
        <v>313</v>
      </c>
      <c r="C139" s="12" t="s">
        <v>145</v>
      </c>
      <c r="D139" s="12" t="s">
        <v>183</v>
      </c>
      <c r="E139" s="12" t="s">
        <v>314</v>
      </c>
      <c r="F139" s="13">
        <v>45896</v>
      </c>
      <c r="G139" s="14">
        <v>133</v>
      </c>
      <c r="J139" s="14">
        <v>0</v>
      </c>
      <c r="K139" s="14">
        <f t="shared" si="18"/>
        <v>133</v>
      </c>
      <c r="L139" s="15">
        <f t="shared" si="19"/>
        <v>0</v>
      </c>
      <c r="M139" s="12" t="s">
        <v>315</v>
      </c>
    </row>
    <row r="140" spans="1:13" outlineLevel="3">
      <c r="A140" s="12" t="s">
        <v>129</v>
      </c>
      <c r="B140" s="12" t="s">
        <v>313</v>
      </c>
      <c r="C140" s="12" t="s">
        <v>145</v>
      </c>
      <c r="D140" s="12" t="s">
        <v>183</v>
      </c>
      <c r="E140" s="12" t="s">
        <v>316</v>
      </c>
      <c r="F140" s="13">
        <v>45896</v>
      </c>
      <c r="G140" s="14">
        <v>133</v>
      </c>
      <c r="J140" s="14">
        <v>0</v>
      </c>
      <c r="K140" s="14">
        <f t="shared" si="18"/>
        <v>133</v>
      </c>
      <c r="L140" s="15">
        <f t="shared" si="19"/>
        <v>0</v>
      </c>
    </row>
    <row r="141" spans="1:13" outlineLevel="3">
      <c r="A141" s="12" t="s">
        <v>129</v>
      </c>
      <c r="B141" s="12" t="s">
        <v>313</v>
      </c>
      <c r="C141" s="12" t="s">
        <v>131</v>
      </c>
      <c r="D141" s="12" t="s">
        <v>189</v>
      </c>
      <c r="E141" s="12" t="s">
        <v>317</v>
      </c>
      <c r="F141" s="13">
        <v>45896</v>
      </c>
      <c r="G141" s="14">
        <v>0</v>
      </c>
      <c r="J141" s="14">
        <v>0</v>
      </c>
      <c r="K141" s="14">
        <f t="shared" si="18"/>
        <v>0</v>
      </c>
      <c r="L141" s="15">
        <f t="shared" si="19"/>
        <v>0</v>
      </c>
      <c r="M141" s="12" t="s">
        <v>267</v>
      </c>
    </row>
    <row r="142" spans="1:13" outlineLevel="3">
      <c r="A142" s="12" t="s">
        <v>129</v>
      </c>
      <c r="B142" s="12" t="s">
        <v>313</v>
      </c>
      <c r="C142" s="12" t="s">
        <v>131</v>
      </c>
      <c r="D142" s="12" t="s">
        <v>189</v>
      </c>
      <c r="E142" s="12" t="s">
        <v>314</v>
      </c>
      <c r="F142" s="13">
        <v>45896</v>
      </c>
      <c r="G142" s="14">
        <v>1760.67</v>
      </c>
      <c r="J142" s="14">
        <v>0</v>
      </c>
      <c r="K142" s="14">
        <f t="shared" si="18"/>
        <v>1760.67</v>
      </c>
      <c r="L142" s="15">
        <f t="shared" si="19"/>
        <v>0</v>
      </c>
      <c r="M142" s="12" t="s">
        <v>315</v>
      </c>
    </row>
    <row r="143" spans="1:13" outlineLevel="3">
      <c r="A143" s="12" t="s">
        <v>129</v>
      </c>
      <c r="B143" s="12" t="s">
        <v>313</v>
      </c>
      <c r="C143" s="12" t="s">
        <v>131</v>
      </c>
      <c r="D143" s="12" t="s">
        <v>189</v>
      </c>
      <c r="E143" s="12" t="s">
        <v>316</v>
      </c>
      <c r="F143" s="13">
        <v>45896</v>
      </c>
      <c r="G143" s="14">
        <v>1760.67</v>
      </c>
      <c r="J143" s="14">
        <v>0</v>
      </c>
      <c r="K143" s="14">
        <f t="shared" si="18"/>
        <v>1760.67</v>
      </c>
      <c r="L143" s="15">
        <f t="shared" si="19"/>
        <v>0</v>
      </c>
    </row>
    <row r="144" spans="1:13" outlineLevel="2">
      <c r="B144" s="7" t="s">
        <v>318</v>
      </c>
      <c r="F144" s="13"/>
      <c r="G144" s="14">
        <f>SUBTOTAL(9,G137:G143)</f>
        <v>3947.34</v>
      </c>
      <c r="I144" s="14">
        <f>SUBTOTAL(9,I137:I143)</f>
        <v>0</v>
      </c>
      <c r="J144" s="14">
        <f>SUBTOTAL(9,J137:J143)</f>
        <v>0</v>
      </c>
      <c r="K144" s="14">
        <f>SUBTOTAL(9,K137:K143)</f>
        <v>3947.34</v>
      </c>
      <c r="L144" s="15"/>
    </row>
    <row r="145" spans="1:13" outlineLevel="3">
      <c r="A145" s="12" t="s">
        <v>129</v>
      </c>
      <c r="B145" s="12" t="s">
        <v>319</v>
      </c>
      <c r="C145" s="12" t="s">
        <v>141</v>
      </c>
      <c r="D145" s="12" t="s">
        <v>141</v>
      </c>
      <c r="E145" s="12" t="s">
        <v>320</v>
      </c>
      <c r="F145" s="13">
        <v>45870</v>
      </c>
      <c r="G145" s="14">
        <v>262</v>
      </c>
      <c r="J145" s="14">
        <v>262</v>
      </c>
      <c r="K145" s="14">
        <f>+G145-J145</f>
        <v>0</v>
      </c>
      <c r="L145" s="15">
        <f>+IFERROR(K145/J145,0)</f>
        <v>0</v>
      </c>
    </row>
    <row r="146" spans="1:13" outlineLevel="2">
      <c r="B146" s="7" t="s">
        <v>321</v>
      </c>
      <c r="F146" s="13"/>
      <c r="G146" s="14">
        <f>SUBTOTAL(9,G145:G145)</f>
        <v>262</v>
      </c>
      <c r="I146" s="14">
        <f>SUBTOTAL(9,I145:I145)</f>
        <v>0</v>
      </c>
      <c r="J146" s="14">
        <f>SUBTOTAL(9,J145:J145)</f>
        <v>262</v>
      </c>
      <c r="K146" s="14">
        <f>SUBTOTAL(9,K145:K145)</f>
        <v>0</v>
      </c>
      <c r="L146" s="15"/>
    </row>
    <row r="147" spans="1:13" outlineLevel="3">
      <c r="A147" s="12" t="s">
        <v>129</v>
      </c>
      <c r="B147" s="12" t="s">
        <v>322</v>
      </c>
      <c r="C147" s="12" t="s">
        <v>138</v>
      </c>
      <c r="D147" s="12" t="s">
        <v>139</v>
      </c>
      <c r="E147" s="12" t="s">
        <v>323</v>
      </c>
      <c r="F147" s="13">
        <v>45870</v>
      </c>
      <c r="G147" s="14">
        <v>365.7</v>
      </c>
      <c r="J147" s="14">
        <v>365.7</v>
      </c>
      <c r="K147" s="14">
        <f>+G147-J147</f>
        <v>0</v>
      </c>
      <c r="L147" s="15">
        <f>+IFERROR(K147/J147,0)</f>
        <v>0</v>
      </c>
    </row>
    <row r="148" spans="1:13" outlineLevel="3">
      <c r="A148" s="12" t="s">
        <v>129</v>
      </c>
      <c r="B148" s="12" t="s">
        <v>322</v>
      </c>
      <c r="C148" s="12" t="s">
        <v>148</v>
      </c>
      <c r="D148" s="12" t="s">
        <v>149</v>
      </c>
      <c r="E148" s="12" t="s">
        <v>324</v>
      </c>
      <c r="F148" s="13">
        <v>45871</v>
      </c>
      <c r="G148" s="14">
        <v>365.7</v>
      </c>
      <c r="J148" s="14">
        <v>365.7</v>
      </c>
      <c r="K148" s="14">
        <f>+G148-J148</f>
        <v>0</v>
      </c>
      <c r="L148" s="15">
        <f>+IFERROR(K148/J148,0)</f>
        <v>0</v>
      </c>
      <c r="M148" s="12" t="s">
        <v>151</v>
      </c>
    </row>
    <row r="149" spans="1:13" outlineLevel="2">
      <c r="B149" s="7" t="s">
        <v>325</v>
      </c>
      <c r="F149" s="13"/>
      <c r="G149" s="14">
        <f>SUBTOTAL(9,G147:G148)</f>
        <v>731.4</v>
      </c>
      <c r="I149" s="14">
        <f>SUBTOTAL(9,I147:I148)</f>
        <v>0</v>
      </c>
      <c r="J149" s="14">
        <f>SUBTOTAL(9,J147:J148)</f>
        <v>731.4</v>
      </c>
      <c r="K149" s="14">
        <f>SUBTOTAL(9,K147:K148)</f>
        <v>0</v>
      </c>
      <c r="L149" s="15"/>
    </row>
    <row r="150" spans="1:13" outlineLevel="3">
      <c r="A150" s="12" t="s">
        <v>129</v>
      </c>
      <c r="B150" s="12" t="s">
        <v>326</v>
      </c>
      <c r="C150" s="12" t="s">
        <v>141</v>
      </c>
      <c r="D150" s="12" t="s">
        <v>141</v>
      </c>
      <c r="E150" s="12" t="s">
        <v>327</v>
      </c>
      <c r="F150" s="13">
        <v>45870</v>
      </c>
      <c r="G150" s="14">
        <v>557.11040000000003</v>
      </c>
      <c r="J150" s="14">
        <v>0</v>
      </c>
      <c r="K150" s="14">
        <f>+G150-J150</f>
        <v>557.11040000000003</v>
      </c>
      <c r="L150" s="15">
        <f>+IFERROR(K150/J150,0)</f>
        <v>0</v>
      </c>
    </row>
    <row r="151" spans="1:13" outlineLevel="3">
      <c r="A151" s="12" t="s">
        <v>129</v>
      </c>
      <c r="B151" s="12" t="s">
        <v>326</v>
      </c>
      <c r="C151" s="12" t="s">
        <v>141</v>
      </c>
      <c r="D151" s="12" t="s">
        <v>141</v>
      </c>
      <c r="E151" s="12" t="s">
        <v>328</v>
      </c>
      <c r="F151" s="13">
        <v>45870</v>
      </c>
      <c r="G151" s="14">
        <v>151.1104</v>
      </c>
      <c r="J151" s="14">
        <v>0</v>
      </c>
      <c r="K151" s="14">
        <f>+G151-J151</f>
        <v>151.1104</v>
      </c>
      <c r="L151" s="15">
        <f>+IFERROR(K151/J151,0)</f>
        <v>0</v>
      </c>
    </row>
    <row r="152" spans="1:13" outlineLevel="3">
      <c r="A152" s="12" t="s">
        <v>129</v>
      </c>
      <c r="B152" s="12" t="s">
        <v>326</v>
      </c>
      <c r="C152" s="12" t="s">
        <v>145</v>
      </c>
      <c r="D152" s="12" t="s">
        <v>329</v>
      </c>
      <c r="E152" s="12" t="s">
        <v>330</v>
      </c>
      <c r="F152" s="13">
        <v>45870</v>
      </c>
      <c r="G152" s="14">
        <v>1068</v>
      </c>
      <c r="J152" s="14">
        <v>1104</v>
      </c>
      <c r="K152" s="14">
        <f>+G152-J152</f>
        <v>-36</v>
      </c>
      <c r="L152" s="15">
        <f>+IFERROR(K152/J152,0)</f>
        <v>-3.2608695652173912E-2</v>
      </c>
    </row>
    <row r="153" spans="1:13" outlineLevel="3">
      <c r="A153" s="12" t="s">
        <v>129</v>
      </c>
      <c r="B153" s="12" t="s">
        <v>326</v>
      </c>
      <c r="C153" s="12" t="s">
        <v>148</v>
      </c>
      <c r="D153" s="12" t="s">
        <v>149</v>
      </c>
      <c r="F153" s="13"/>
      <c r="J153" s="14">
        <v>425</v>
      </c>
      <c r="K153" s="14">
        <f>+G153-J153</f>
        <v>-425</v>
      </c>
      <c r="L153" s="15">
        <f>+IFERROR(K153/J153,0)</f>
        <v>-1</v>
      </c>
    </row>
    <row r="154" spans="1:13" outlineLevel="3">
      <c r="A154" s="12" t="s">
        <v>129</v>
      </c>
      <c r="B154" s="12" t="s">
        <v>326</v>
      </c>
      <c r="C154" s="12" t="s">
        <v>131</v>
      </c>
      <c r="D154" s="12" t="s">
        <v>331</v>
      </c>
      <c r="E154" s="12" t="s">
        <v>332</v>
      </c>
      <c r="F154" s="13">
        <v>45870</v>
      </c>
      <c r="G154" s="14">
        <v>5424.97</v>
      </c>
      <c r="J154" s="14">
        <v>5575.16</v>
      </c>
      <c r="K154" s="14">
        <f>+G154-J154</f>
        <v>-150.1899999999996</v>
      </c>
      <c r="L154" s="15">
        <f>+IFERROR(K154/J154,0)</f>
        <v>-2.6939137172744747E-2</v>
      </c>
    </row>
    <row r="155" spans="1:13" outlineLevel="2">
      <c r="B155" s="7" t="s">
        <v>333</v>
      </c>
      <c r="F155" s="13"/>
      <c r="G155" s="14">
        <f>SUBTOTAL(9,G150:G154)</f>
        <v>7201.1908000000003</v>
      </c>
      <c r="I155" s="14">
        <f>SUBTOTAL(9,I150:I154)</f>
        <v>0</v>
      </c>
      <c r="J155" s="14">
        <f>SUBTOTAL(9,J150:J154)</f>
        <v>7104.16</v>
      </c>
      <c r="K155" s="14">
        <f>SUBTOTAL(9,K150:K154)</f>
        <v>97.030800000000454</v>
      </c>
      <c r="L155" s="15"/>
    </row>
    <row r="156" spans="1:13" outlineLevel="3">
      <c r="A156" s="12" t="s">
        <v>129</v>
      </c>
      <c r="B156" s="12" t="s">
        <v>334</v>
      </c>
      <c r="C156" s="12" t="s">
        <v>138</v>
      </c>
      <c r="D156" s="12" t="s">
        <v>139</v>
      </c>
      <c r="E156" s="12" t="s">
        <v>335</v>
      </c>
      <c r="F156" s="13">
        <v>45870</v>
      </c>
      <c r="G156" s="14">
        <v>44.89</v>
      </c>
      <c r="J156" s="14">
        <v>44.89</v>
      </c>
      <c r="K156" s="14">
        <f>+G156-J156</f>
        <v>0</v>
      </c>
      <c r="L156" s="15">
        <f>+IFERROR(K156/J156,0)</f>
        <v>0</v>
      </c>
    </row>
    <row r="157" spans="1:13" outlineLevel="3">
      <c r="A157" s="12" t="s">
        <v>129</v>
      </c>
      <c r="B157" s="12" t="s">
        <v>334</v>
      </c>
      <c r="C157" s="12" t="s">
        <v>141</v>
      </c>
      <c r="D157" s="12" t="s">
        <v>307</v>
      </c>
      <c r="E157" s="12" t="s">
        <v>336</v>
      </c>
      <c r="F157" s="13">
        <v>45870</v>
      </c>
      <c r="G157" s="14">
        <v>2.6088</v>
      </c>
      <c r="J157" s="14">
        <v>2.6088</v>
      </c>
      <c r="K157" s="14">
        <f>+G157-J157</f>
        <v>0</v>
      </c>
      <c r="L157" s="15">
        <f>+IFERROR(K157/J157,0)</f>
        <v>0</v>
      </c>
    </row>
    <row r="158" spans="1:13" outlineLevel="3">
      <c r="A158" s="12" t="s">
        <v>129</v>
      </c>
      <c r="B158" s="12" t="s">
        <v>334</v>
      </c>
      <c r="C158" s="12" t="s">
        <v>145</v>
      </c>
      <c r="D158" s="12" t="s">
        <v>308</v>
      </c>
      <c r="E158" s="12" t="s">
        <v>336</v>
      </c>
      <c r="F158" s="13">
        <v>45870</v>
      </c>
      <c r="G158" s="14">
        <v>287</v>
      </c>
      <c r="J158" s="14">
        <v>294</v>
      </c>
      <c r="K158" s="14">
        <f>+G158-J158</f>
        <v>-7</v>
      </c>
      <c r="L158" s="15">
        <f>+IFERROR(K158/J158,0)</f>
        <v>-2.3809523809523808E-2</v>
      </c>
    </row>
    <row r="159" spans="1:13" outlineLevel="3">
      <c r="A159" s="12" t="s">
        <v>129</v>
      </c>
      <c r="B159" s="12" t="s">
        <v>334</v>
      </c>
      <c r="C159" s="12" t="s">
        <v>148</v>
      </c>
      <c r="D159" s="12" t="s">
        <v>149</v>
      </c>
      <c r="E159" s="12" t="s">
        <v>337</v>
      </c>
      <c r="F159" s="13">
        <v>45871</v>
      </c>
      <c r="G159" s="14">
        <v>254.41</v>
      </c>
      <c r="J159" s="14">
        <v>254.41</v>
      </c>
      <c r="K159" s="14">
        <f>+G159-J159</f>
        <v>0</v>
      </c>
      <c r="L159" s="15">
        <f>+IFERROR(K159/J159,0)</f>
        <v>0</v>
      </c>
      <c r="M159" s="12" t="s">
        <v>151</v>
      </c>
    </row>
    <row r="160" spans="1:13" outlineLevel="3">
      <c r="A160" s="12" t="s">
        <v>129</v>
      </c>
      <c r="B160" s="12" t="s">
        <v>334</v>
      </c>
      <c r="C160" s="12" t="s">
        <v>131</v>
      </c>
      <c r="D160" s="12" t="s">
        <v>311</v>
      </c>
      <c r="E160" s="12" t="s">
        <v>336</v>
      </c>
      <c r="F160" s="13">
        <v>45870</v>
      </c>
      <c r="G160" s="14">
        <v>3220.2312000000002</v>
      </c>
      <c r="J160" s="14">
        <v>3220.2312000000002</v>
      </c>
      <c r="K160" s="14">
        <f>+G160-J160</f>
        <v>0</v>
      </c>
      <c r="L160" s="15">
        <f>+IFERROR(K160/J160,0)</f>
        <v>0</v>
      </c>
    </row>
    <row r="161" spans="1:13" outlineLevel="2">
      <c r="B161" s="7" t="s">
        <v>338</v>
      </c>
      <c r="F161" s="13"/>
      <c r="G161" s="14">
        <f>SUBTOTAL(9,G156:G160)</f>
        <v>3809.1400000000003</v>
      </c>
      <c r="I161" s="14">
        <f>SUBTOTAL(9,I156:I160)</f>
        <v>0</v>
      </c>
      <c r="J161" s="14">
        <f>SUBTOTAL(9,J156:J160)</f>
        <v>3816.1400000000003</v>
      </c>
      <c r="K161" s="14">
        <f>SUBTOTAL(9,K156:K160)</f>
        <v>-7</v>
      </c>
      <c r="L161" s="15"/>
    </row>
    <row r="162" spans="1:13" outlineLevel="3">
      <c r="A162" s="12" t="s">
        <v>129</v>
      </c>
      <c r="B162" s="12" t="s">
        <v>339</v>
      </c>
      <c r="C162" s="12" t="s">
        <v>141</v>
      </c>
      <c r="D162" s="12" t="s">
        <v>340</v>
      </c>
      <c r="E162" s="12" t="s">
        <v>341</v>
      </c>
      <c r="F162" s="13">
        <v>45870</v>
      </c>
      <c r="G162" s="14">
        <v>1.7927999999999999</v>
      </c>
      <c r="J162" s="14">
        <v>1.7927999999999999</v>
      </c>
      <c r="K162" s="14">
        <f>+G162-J162</f>
        <v>0</v>
      </c>
      <c r="L162" s="15">
        <f>+IFERROR(K162/J162,0)</f>
        <v>0</v>
      </c>
    </row>
    <row r="163" spans="1:13" outlineLevel="3">
      <c r="A163" s="12" t="s">
        <v>129</v>
      </c>
      <c r="B163" s="12" t="s">
        <v>339</v>
      </c>
      <c r="C163" s="12" t="s">
        <v>145</v>
      </c>
      <c r="D163" s="12" t="s">
        <v>145</v>
      </c>
      <c r="E163" s="12" t="s">
        <v>341</v>
      </c>
      <c r="F163" s="13">
        <v>45870</v>
      </c>
      <c r="G163" s="14">
        <v>648</v>
      </c>
      <c r="J163" s="14">
        <v>627</v>
      </c>
      <c r="K163" s="14">
        <f>+G163-J163</f>
        <v>21</v>
      </c>
      <c r="L163" s="15">
        <f>+IFERROR(K163/J163,0)</f>
        <v>3.3492822966507178E-2</v>
      </c>
    </row>
    <row r="164" spans="1:13" outlineLevel="3">
      <c r="A164" s="12" t="s">
        <v>129</v>
      </c>
      <c r="B164" s="12" t="s">
        <v>339</v>
      </c>
      <c r="C164" s="12" t="s">
        <v>131</v>
      </c>
      <c r="D164" s="12" t="s">
        <v>131</v>
      </c>
      <c r="E164" s="12" t="s">
        <v>341</v>
      </c>
      <c r="F164" s="13">
        <v>45870</v>
      </c>
      <c r="G164" s="14">
        <v>1916.5</v>
      </c>
      <c r="J164" s="14">
        <v>1916.5</v>
      </c>
      <c r="K164" s="14">
        <f>+G164-J164</f>
        <v>0</v>
      </c>
      <c r="L164" s="15">
        <f>+IFERROR(K164/J164,0)</f>
        <v>0</v>
      </c>
    </row>
    <row r="165" spans="1:13" outlineLevel="2">
      <c r="B165" s="7" t="s">
        <v>342</v>
      </c>
      <c r="F165" s="13"/>
      <c r="G165" s="14">
        <f>SUBTOTAL(9,G162:G164)</f>
        <v>2566.2928000000002</v>
      </c>
      <c r="I165" s="14">
        <f>SUBTOTAL(9,I162:I164)</f>
        <v>0</v>
      </c>
      <c r="J165" s="14">
        <f>SUBTOTAL(9,J162:J164)</f>
        <v>2545.2928000000002</v>
      </c>
      <c r="K165" s="14">
        <f>SUBTOTAL(9,K162:K164)</f>
        <v>21</v>
      </c>
      <c r="L165" s="15"/>
    </row>
    <row r="166" spans="1:13" outlineLevel="3">
      <c r="A166" s="12" t="s">
        <v>129</v>
      </c>
      <c r="B166" s="12" t="s">
        <v>343</v>
      </c>
      <c r="C166" s="12" t="s">
        <v>138</v>
      </c>
      <c r="D166" s="12" t="s">
        <v>139</v>
      </c>
      <c r="E166" s="12" t="s">
        <v>344</v>
      </c>
      <c r="F166" s="13">
        <v>45870</v>
      </c>
      <c r="G166" s="14">
        <v>21.6</v>
      </c>
      <c r="J166" s="14">
        <v>21.6</v>
      </c>
      <c r="K166" s="14">
        <f>+G166-J166</f>
        <v>0</v>
      </c>
      <c r="L166" s="15">
        <f>+IFERROR(K166/J166,0)</f>
        <v>0</v>
      </c>
    </row>
    <row r="167" spans="1:13" outlineLevel="3">
      <c r="A167" s="12" t="s">
        <v>129</v>
      </c>
      <c r="B167" s="12" t="s">
        <v>343</v>
      </c>
      <c r="C167" s="12" t="s">
        <v>141</v>
      </c>
      <c r="D167" s="12" t="s">
        <v>208</v>
      </c>
      <c r="E167" s="12" t="s">
        <v>345</v>
      </c>
      <c r="F167" s="13">
        <v>45870</v>
      </c>
      <c r="G167" s="14">
        <v>65.3</v>
      </c>
      <c r="J167" s="14">
        <v>65.3</v>
      </c>
      <c r="K167" s="14">
        <f>+G167-J167</f>
        <v>0</v>
      </c>
      <c r="L167" s="15">
        <f>+IFERROR(K167/J167,0)</f>
        <v>0</v>
      </c>
    </row>
    <row r="168" spans="1:13" outlineLevel="3">
      <c r="A168" s="12" t="s">
        <v>129</v>
      </c>
      <c r="B168" s="12" t="s">
        <v>343</v>
      </c>
      <c r="C168" s="12" t="s">
        <v>145</v>
      </c>
      <c r="D168" s="12" t="s">
        <v>210</v>
      </c>
      <c r="E168" s="12" t="s">
        <v>345</v>
      </c>
      <c r="F168" s="13">
        <v>45870</v>
      </c>
      <c r="G168" s="14">
        <v>196</v>
      </c>
      <c r="J168" s="14">
        <v>189</v>
      </c>
      <c r="K168" s="14">
        <f>+G168-J168</f>
        <v>7</v>
      </c>
      <c r="L168" s="15">
        <f>+IFERROR(K168/J168,0)</f>
        <v>3.7037037037037035E-2</v>
      </c>
    </row>
    <row r="169" spans="1:13" outlineLevel="3">
      <c r="A169" s="12" t="s">
        <v>129</v>
      </c>
      <c r="B169" s="12" t="s">
        <v>343</v>
      </c>
      <c r="C169" s="12" t="s">
        <v>148</v>
      </c>
      <c r="D169" s="12" t="s">
        <v>149</v>
      </c>
      <c r="E169" s="12" t="s">
        <v>346</v>
      </c>
      <c r="F169" s="13">
        <v>45871</v>
      </c>
      <c r="G169" s="14">
        <v>122.43</v>
      </c>
      <c r="J169" s="14">
        <v>122.43</v>
      </c>
      <c r="K169" s="14">
        <f>+G169-J169</f>
        <v>0</v>
      </c>
      <c r="L169" s="15">
        <f>+IFERROR(K169/J169,0)</f>
        <v>0</v>
      </c>
      <c r="M169" s="12" t="s">
        <v>151</v>
      </c>
    </row>
    <row r="170" spans="1:13" outlineLevel="3">
      <c r="A170" s="12" t="s">
        <v>129</v>
      </c>
      <c r="B170" s="12" t="s">
        <v>343</v>
      </c>
      <c r="C170" s="12" t="s">
        <v>131</v>
      </c>
      <c r="D170" s="12" t="s">
        <v>211</v>
      </c>
      <c r="E170" s="12" t="s">
        <v>345</v>
      </c>
      <c r="F170" s="13">
        <v>45870</v>
      </c>
      <c r="G170" s="14">
        <v>1974.5</v>
      </c>
      <c r="J170" s="14">
        <v>1974.5</v>
      </c>
      <c r="K170" s="14">
        <f>+G170-J170</f>
        <v>0</v>
      </c>
      <c r="L170" s="15">
        <f>+IFERROR(K170/J170,0)</f>
        <v>0</v>
      </c>
    </row>
    <row r="171" spans="1:13" outlineLevel="2">
      <c r="B171" s="7" t="s">
        <v>347</v>
      </c>
      <c r="F171" s="13"/>
      <c r="G171" s="14">
        <f>SUBTOTAL(9,G166:G170)</f>
        <v>2379.83</v>
      </c>
      <c r="I171" s="14">
        <f>SUBTOTAL(9,I166:I170)</f>
        <v>0</v>
      </c>
      <c r="J171" s="14">
        <f>SUBTOTAL(9,J166:J170)</f>
        <v>2372.83</v>
      </c>
      <c r="K171" s="14">
        <f>SUBTOTAL(9,K166:K170)</f>
        <v>7</v>
      </c>
      <c r="L171" s="15"/>
    </row>
    <row r="172" spans="1:13" outlineLevel="3">
      <c r="A172" s="12" t="s">
        <v>129</v>
      </c>
      <c r="B172" s="12" t="s">
        <v>348</v>
      </c>
      <c r="C172" s="12" t="s">
        <v>141</v>
      </c>
      <c r="D172" s="12" t="s">
        <v>349</v>
      </c>
      <c r="E172" s="12" t="s">
        <v>350</v>
      </c>
      <c r="F172" s="13">
        <v>45870</v>
      </c>
      <c r="G172" s="14">
        <v>1718.1</v>
      </c>
      <c r="J172" s="14">
        <v>1718.1</v>
      </c>
      <c r="K172" s="14">
        <f>+G172-J172</f>
        <v>0</v>
      </c>
      <c r="L172" s="15">
        <f>+IFERROR(K172/J172,0)</f>
        <v>0</v>
      </c>
    </row>
    <row r="173" spans="1:13" outlineLevel="2">
      <c r="B173" s="7" t="s">
        <v>351</v>
      </c>
      <c r="F173" s="13"/>
      <c r="G173" s="14">
        <f>SUBTOTAL(9,G172:G172)</f>
        <v>1718.1</v>
      </c>
      <c r="I173" s="14">
        <f>SUBTOTAL(9,I172:I172)</f>
        <v>0</v>
      </c>
      <c r="J173" s="14">
        <f>SUBTOTAL(9,J172:J172)</f>
        <v>1718.1</v>
      </c>
      <c r="K173" s="14">
        <f>SUBTOTAL(9,K172:K172)</f>
        <v>0</v>
      </c>
      <c r="L173" s="15"/>
    </row>
    <row r="174" spans="1:13" outlineLevel="3">
      <c r="A174" s="12" t="s">
        <v>129</v>
      </c>
      <c r="B174" s="12" t="s">
        <v>352</v>
      </c>
      <c r="C174" s="12" t="s">
        <v>141</v>
      </c>
      <c r="D174" s="12" t="s">
        <v>181</v>
      </c>
      <c r="E174" s="12" t="s">
        <v>353</v>
      </c>
      <c r="F174" s="13">
        <v>45870</v>
      </c>
      <c r="G174" s="14">
        <v>86.736999999999995</v>
      </c>
      <c r="J174" s="14">
        <v>60</v>
      </c>
      <c r="K174" s="14">
        <f>+G174-J174</f>
        <v>26.736999999999995</v>
      </c>
      <c r="L174" s="15">
        <f>+IFERROR(K174/J174,0)</f>
        <v>0.44561666666666661</v>
      </c>
    </row>
    <row r="175" spans="1:13" outlineLevel="3">
      <c r="A175" s="12" t="s">
        <v>129</v>
      </c>
      <c r="B175" s="12" t="s">
        <v>352</v>
      </c>
      <c r="C175" s="12" t="s">
        <v>141</v>
      </c>
      <c r="D175" s="12" t="s">
        <v>181</v>
      </c>
      <c r="E175" s="12" t="s">
        <v>354</v>
      </c>
      <c r="F175" s="13">
        <v>45883</v>
      </c>
      <c r="G175" s="14">
        <v>-40</v>
      </c>
      <c r="K175" s="14">
        <f>+G175-J175</f>
        <v>-40</v>
      </c>
      <c r="L175" s="15">
        <f>+IFERROR(K175/J175,0)</f>
        <v>0</v>
      </c>
    </row>
    <row r="176" spans="1:13" outlineLevel="3">
      <c r="A176" s="12" t="s">
        <v>129</v>
      </c>
      <c r="B176" s="12" t="s">
        <v>352</v>
      </c>
      <c r="C176" s="12" t="s">
        <v>145</v>
      </c>
      <c r="D176" s="12" t="s">
        <v>183</v>
      </c>
      <c r="E176" s="12" t="s">
        <v>353</v>
      </c>
      <c r="F176" s="13">
        <v>45870</v>
      </c>
      <c r="G176" s="14">
        <v>84</v>
      </c>
      <c r="J176" s="14">
        <v>84</v>
      </c>
      <c r="K176" s="14">
        <f>+G176-J176</f>
        <v>0</v>
      </c>
      <c r="L176" s="15">
        <f>+IFERROR(K176/J176,0)</f>
        <v>0</v>
      </c>
    </row>
    <row r="177" spans="1:13" outlineLevel="3">
      <c r="A177" s="12" t="s">
        <v>129</v>
      </c>
      <c r="B177" s="12" t="s">
        <v>352</v>
      </c>
      <c r="C177" s="12" t="s">
        <v>131</v>
      </c>
      <c r="D177" s="12" t="s">
        <v>189</v>
      </c>
      <c r="E177" s="12" t="s">
        <v>353</v>
      </c>
      <c r="F177" s="13">
        <v>45870</v>
      </c>
      <c r="G177" s="14">
        <v>1125</v>
      </c>
      <c r="J177" s="14">
        <v>1125</v>
      </c>
      <c r="K177" s="14">
        <f>+G177-J177</f>
        <v>0</v>
      </c>
      <c r="L177" s="15">
        <f>+IFERROR(K177/J177,0)</f>
        <v>0</v>
      </c>
    </row>
    <row r="178" spans="1:13" outlineLevel="2">
      <c r="B178" s="7" t="s">
        <v>355</v>
      </c>
      <c r="F178" s="13"/>
      <c r="G178" s="14">
        <f>SUBTOTAL(9,G174:G177)</f>
        <v>1255.7370000000001</v>
      </c>
      <c r="I178" s="14">
        <f>SUBTOTAL(9,I174:I177)</f>
        <v>0</v>
      </c>
      <c r="J178" s="14">
        <f>SUBTOTAL(9,J174:J177)</f>
        <v>1269</v>
      </c>
      <c r="K178" s="14">
        <f>SUBTOTAL(9,K174:K177)</f>
        <v>-13.263000000000005</v>
      </c>
      <c r="L178" s="15"/>
    </row>
    <row r="179" spans="1:13" outlineLevel="3">
      <c r="A179" s="12" t="s">
        <v>129</v>
      </c>
      <c r="B179" s="12" t="s">
        <v>356</v>
      </c>
      <c r="C179" s="12" t="s">
        <v>138</v>
      </c>
      <c r="D179" s="12" t="s">
        <v>139</v>
      </c>
      <c r="E179" s="12" t="s">
        <v>357</v>
      </c>
      <c r="F179" s="13">
        <v>45870</v>
      </c>
      <c r="G179" s="14">
        <v>100.5</v>
      </c>
      <c r="J179" s="14">
        <v>100.5</v>
      </c>
      <c r="K179" s="14">
        <f>+G179-J179</f>
        <v>0</v>
      </c>
      <c r="L179" s="15">
        <f>+IFERROR(K179/J179,0)</f>
        <v>0</v>
      </c>
    </row>
    <row r="180" spans="1:13" outlineLevel="3">
      <c r="A180" s="12" t="s">
        <v>129</v>
      </c>
      <c r="B180" s="12" t="s">
        <v>356</v>
      </c>
      <c r="C180" s="12" t="s">
        <v>141</v>
      </c>
      <c r="D180" s="12" t="s">
        <v>358</v>
      </c>
      <c r="E180" s="12" t="s">
        <v>359</v>
      </c>
      <c r="F180" s="13">
        <v>45870</v>
      </c>
      <c r="G180" s="14">
        <v>117.5568</v>
      </c>
      <c r="J180" s="14">
        <v>117.51600000000001</v>
      </c>
      <c r="K180" s="14">
        <f>+G180-J180</f>
        <v>4.0799999999990177E-2</v>
      </c>
      <c r="L180" s="15">
        <f>+IFERROR(K180/J180,0)</f>
        <v>3.4718676605730432E-4</v>
      </c>
    </row>
    <row r="181" spans="1:13" outlineLevel="3">
      <c r="A181" s="12" t="s">
        <v>129</v>
      </c>
      <c r="B181" s="12" t="s">
        <v>356</v>
      </c>
      <c r="C181" s="12" t="s">
        <v>148</v>
      </c>
      <c r="D181" s="12" t="s">
        <v>149</v>
      </c>
      <c r="E181" s="12" t="s">
        <v>360</v>
      </c>
      <c r="F181" s="13">
        <v>45871</v>
      </c>
      <c r="G181" s="14">
        <v>569.5</v>
      </c>
      <c r="J181" s="14">
        <v>569.5</v>
      </c>
      <c r="K181" s="14">
        <f>+G181-J181</f>
        <v>0</v>
      </c>
      <c r="L181" s="15">
        <f>+IFERROR(K181/J181,0)</f>
        <v>0</v>
      </c>
      <c r="M181" s="12" t="s">
        <v>151</v>
      </c>
    </row>
    <row r="182" spans="1:13" outlineLevel="3">
      <c r="A182" s="12" t="s">
        <v>129</v>
      </c>
      <c r="B182" s="12" t="s">
        <v>356</v>
      </c>
      <c r="C182" s="12" t="s">
        <v>131</v>
      </c>
      <c r="D182" s="12" t="s">
        <v>131</v>
      </c>
      <c r="E182" s="12" t="s">
        <v>359</v>
      </c>
      <c r="F182" s="13">
        <v>45870</v>
      </c>
      <c r="G182" s="14">
        <v>149.00319999999999</v>
      </c>
      <c r="J182" s="14">
        <v>149.00399999999999</v>
      </c>
      <c r="K182" s="14">
        <f>+G182-J182</f>
        <v>-7.9999999999813554E-4</v>
      </c>
      <c r="L182" s="15">
        <f>+IFERROR(K182/J182,0)</f>
        <v>-5.3689833829839175E-6</v>
      </c>
    </row>
    <row r="183" spans="1:13" outlineLevel="2">
      <c r="B183" s="7" t="s">
        <v>361</v>
      </c>
      <c r="F183" s="13"/>
      <c r="G183" s="14">
        <f>SUBTOTAL(9,G179:G182)</f>
        <v>936.56000000000006</v>
      </c>
      <c r="I183" s="14">
        <f>SUBTOTAL(9,I179:I182)</f>
        <v>0</v>
      </c>
      <c r="J183" s="14">
        <f>SUBTOTAL(9,J179:J182)</f>
        <v>936.5200000000001</v>
      </c>
      <c r="K183" s="14">
        <f>SUBTOTAL(9,K179:K182)</f>
        <v>3.9999999999992042E-2</v>
      </c>
      <c r="L183" s="15"/>
    </row>
    <row r="184" spans="1:13" outlineLevel="3">
      <c r="A184" s="12" t="s">
        <v>129</v>
      </c>
      <c r="B184" s="12" t="s">
        <v>362</v>
      </c>
      <c r="C184" s="12" t="s">
        <v>131</v>
      </c>
      <c r="D184" s="12" t="s">
        <v>363</v>
      </c>
      <c r="E184" s="12" t="s">
        <v>364</v>
      </c>
      <c r="F184" s="13">
        <v>45870</v>
      </c>
      <c r="G184" s="14">
        <v>544</v>
      </c>
      <c r="J184" s="14">
        <v>544</v>
      </c>
      <c r="K184" s="14">
        <f>+G184-J184</f>
        <v>0</v>
      </c>
      <c r="L184" s="15">
        <f>+IFERROR(K184/J184,0)</f>
        <v>0</v>
      </c>
    </row>
    <row r="185" spans="1:13" outlineLevel="2">
      <c r="B185" s="7" t="s">
        <v>365</v>
      </c>
      <c r="F185" s="13"/>
      <c r="G185" s="14">
        <f>SUBTOTAL(9,G184:G184)</f>
        <v>544</v>
      </c>
      <c r="I185" s="14">
        <f>SUBTOTAL(9,I184:I184)</f>
        <v>0</v>
      </c>
      <c r="J185" s="14">
        <f>SUBTOTAL(9,J184:J184)</f>
        <v>544</v>
      </c>
      <c r="K185" s="14">
        <f>SUBTOTAL(9,K184:K184)</f>
        <v>0</v>
      </c>
      <c r="L185" s="15"/>
    </row>
    <row r="186" spans="1:13" outlineLevel="3">
      <c r="A186" s="12" t="s">
        <v>129</v>
      </c>
      <c r="B186" s="12" t="s">
        <v>366</v>
      </c>
      <c r="C186" s="12" t="s">
        <v>141</v>
      </c>
      <c r="D186" s="12" t="s">
        <v>367</v>
      </c>
      <c r="E186" s="12" t="s">
        <v>368</v>
      </c>
      <c r="F186" s="13">
        <v>45870</v>
      </c>
      <c r="G186" s="14">
        <v>225</v>
      </c>
      <c r="J186" s="14">
        <v>275</v>
      </c>
      <c r="K186" s="14">
        <f>+G186-J186</f>
        <v>-50</v>
      </c>
      <c r="L186" s="15">
        <f>+IFERROR(K186/J186,0)</f>
        <v>-0.18181818181818182</v>
      </c>
    </row>
    <row r="187" spans="1:13" outlineLevel="3">
      <c r="A187" s="12" t="s">
        <v>129</v>
      </c>
      <c r="B187" s="12" t="s">
        <v>366</v>
      </c>
      <c r="C187" s="12" t="s">
        <v>131</v>
      </c>
      <c r="D187" s="12" t="s">
        <v>369</v>
      </c>
      <c r="E187" s="12" t="s">
        <v>370</v>
      </c>
      <c r="F187" s="13">
        <v>45870</v>
      </c>
      <c r="G187" s="14">
        <v>2490</v>
      </c>
      <c r="J187" s="14">
        <v>2490</v>
      </c>
      <c r="K187" s="14">
        <f>+G187-J187</f>
        <v>0</v>
      </c>
      <c r="L187" s="15">
        <f>+IFERROR(K187/J187,0)</f>
        <v>0</v>
      </c>
    </row>
    <row r="188" spans="1:13" outlineLevel="2">
      <c r="B188" s="7" t="s">
        <v>371</v>
      </c>
      <c r="F188" s="13"/>
      <c r="G188" s="14">
        <f>SUBTOTAL(9,G186:G187)</f>
        <v>2715</v>
      </c>
      <c r="I188" s="14">
        <f>SUBTOTAL(9,I186:I187)</f>
        <v>0</v>
      </c>
      <c r="J188" s="14">
        <f>SUBTOTAL(9,J186:J187)</f>
        <v>2765</v>
      </c>
      <c r="K188" s="14">
        <f>SUBTOTAL(9,K186:K187)</f>
        <v>-50</v>
      </c>
      <c r="L188" s="15"/>
    </row>
    <row r="189" spans="1:13" outlineLevel="3">
      <c r="A189" s="12" t="s">
        <v>129</v>
      </c>
      <c r="B189" s="12" t="s">
        <v>372</v>
      </c>
      <c r="C189" s="12" t="s">
        <v>175</v>
      </c>
      <c r="D189" s="12" t="s">
        <v>373</v>
      </c>
      <c r="E189" s="12" t="s">
        <v>374</v>
      </c>
      <c r="F189" s="13">
        <v>45870</v>
      </c>
      <c r="G189" s="14">
        <v>261</v>
      </c>
      <c r="J189" s="14">
        <v>261</v>
      </c>
      <c r="K189" s="14">
        <f>+G189-J189</f>
        <v>0</v>
      </c>
      <c r="L189" s="15">
        <f>+IFERROR(K189/J189,0)</f>
        <v>0</v>
      </c>
    </row>
    <row r="190" spans="1:13" outlineLevel="3">
      <c r="A190" s="12" t="s">
        <v>129</v>
      </c>
      <c r="B190" s="12" t="s">
        <v>372</v>
      </c>
      <c r="C190" s="12" t="s">
        <v>141</v>
      </c>
      <c r="D190" s="12" t="s">
        <v>375</v>
      </c>
      <c r="E190" s="12" t="s">
        <v>374</v>
      </c>
      <c r="F190" s="13">
        <v>45870</v>
      </c>
      <c r="G190" s="14">
        <v>121.5094</v>
      </c>
      <c r="J190" s="14">
        <v>119.7916</v>
      </c>
      <c r="K190" s="14">
        <f>+G190-J190</f>
        <v>1.7177999999999969</v>
      </c>
      <c r="L190" s="15">
        <f>+IFERROR(K190/J190,0)</f>
        <v>1.4339903632641995E-2</v>
      </c>
    </row>
    <row r="191" spans="1:13" outlineLevel="3">
      <c r="A191" s="12" t="s">
        <v>129</v>
      </c>
      <c r="B191" s="12" t="s">
        <v>372</v>
      </c>
      <c r="C191" s="12" t="s">
        <v>145</v>
      </c>
      <c r="D191" s="12" t="s">
        <v>376</v>
      </c>
      <c r="E191" s="12" t="s">
        <v>374</v>
      </c>
      <c r="F191" s="13">
        <v>45870</v>
      </c>
      <c r="G191" s="14">
        <v>344.5</v>
      </c>
      <c r="J191" s="14">
        <v>331.5</v>
      </c>
      <c r="K191" s="14">
        <f>+G191-J191</f>
        <v>13</v>
      </c>
      <c r="L191" s="15">
        <f>+IFERROR(K191/J191,0)</f>
        <v>3.9215686274509803E-2</v>
      </c>
    </row>
    <row r="192" spans="1:13" outlineLevel="3">
      <c r="A192" s="12" t="s">
        <v>129</v>
      </c>
      <c r="B192" s="12" t="s">
        <v>372</v>
      </c>
      <c r="C192" s="12" t="s">
        <v>131</v>
      </c>
      <c r="D192" s="12" t="s">
        <v>377</v>
      </c>
      <c r="E192" s="12" t="s">
        <v>374</v>
      </c>
      <c r="F192" s="13">
        <v>45870</v>
      </c>
      <c r="G192" s="14">
        <v>2993.1905999999999</v>
      </c>
      <c r="J192" s="14">
        <v>2993.19</v>
      </c>
      <c r="K192" s="14">
        <f>+G192-J192</f>
        <v>5.9999999984938768E-4</v>
      </c>
      <c r="L192" s="15">
        <f>+IFERROR(K192/J192,0)</f>
        <v>2.0045503287442082E-7</v>
      </c>
    </row>
    <row r="193" spans="1:13" outlineLevel="2">
      <c r="B193" s="7" t="s">
        <v>378</v>
      </c>
      <c r="F193" s="13"/>
      <c r="G193" s="14">
        <f>SUBTOTAL(9,G189:G192)</f>
        <v>3720.2</v>
      </c>
      <c r="I193" s="14">
        <f>SUBTOTAL(9,I189:I192)</f>
        <v>0</v>
      </c>
      <c r="J193" s="14">
        <f>SUBTOTAL(9,J189:J192)</f>
        <v>3705.4816000000001</v>
      </c>
      <c r="K193" s="14">
        <f>SUBTOTAL(9,K189:K192)</f>
        <v>14.718399999999846</v>
      </c>
      <c r="L193" s="15"/>
    </row>
    <row r="194" spans="1:13" outlineLevel="3">
      <c r="A194" s="12" t="s">
        <v>129</v>
      </c>
      <c r="B194" s="12" t="s">
        <v>379</v>
      </c>
      <c r="C194" s="12" t="s">
        <v>145</v>
      </c>
      <c r="D194" s="12" t="s">
        <v>145</v>
      </c>
      <c r="E194" s="12" t="s">
        <v>380</v>
      </c>
      <c r="F194" s="13">
        <v>45870</v>
      </c>
      <c r="G194" s="14">
        <v>126</v>
      </c>
      <c r="J194" s="14">
        <v>126</v>
      </c>
      <c r="K194" s="14">
        <f>+G194-J194</f>
        <v>0</v>
      </c>
      <c r="L194" s="15">
        <f>+IFERROR(K194/J194,0)</f>
        <v>0</v>
      </c>
    </row>
    <row r="195" spans="1:13" outlineLevel="3">
      <c r="A195" s="12" t="s">
        <v>129</v>
      </c>
      <c r="B195" s="12" t="s">
        <v>379</v>
      </c>
      <c r="C195" s="12" t="s">
        <v>131</v>
      </c>
      <c r="D195" s="12" t="s">
        <v>131</v>
      </c>
      <c r="E195" s="12" t="s">
        <v>380</v>
      </c>
      <c r="F195" s="13">
        <v>45870</v>
      </c>
      <c r="G195" s="14">
        <v>810</v>
      </c>
      <c r="J195" s="14">
        <v>810</v>
      </c>
      <c r="K195" s="14">
        <f>+G195-J195</f>
        <v>0</v>
      </c>
      <c r="L195" s="15">
        <f>+IFERROR(K195/J195,0)</f>
        <v>0</v>
      </c>
    </row>
    <row r="196" spans="1:13" outlineLevel="2">
      <c r="B196" s="7" t="s">
        <v>381</v>
      </c>
      <c r="F196" s="13"/>
      <c r="G196" s="14">
        <f>SUBTOTAL(9,G194:G195)</f>
        <v>936</v>
      </c>
      <c r="I196" s="14">
        <f>SUBTOTAL(9,I194:I195)</f>
        <v>0</v>
      </c>
      <c r="J196" s="14">
        <f>SUBTOTAL(9,J194:J195)</f>
        <v>936</v>
      </c>
      <c r="K196" s="14">
        <f>SUBTOTAL(9,K194:K195)</f>
        <v>0</v>
      </c>
      <c r="L196" s="15"/>
    </row>
    <row r="197" spans="1:13" outlineLevel="3">
      <c r="A197" s="12" t="s">
        <v>129</v>
      </c>
      <c r="B197" s="12" t="s">
        <v>382</v>
      </c>
      <c r="C197" s="12" t="s">
        <v>141</v>
      </c>
      <c r="D197" s="12" t="s">
        <v>141</v>
      </c>
      <c r="E197" s="12" t="s">
        <v>383</v>
      </c>
      <c r="F197" s="13">
        <v>45870</v>
      </c>
      <c r="G197" s="14">
        <v>457.8</v>
      </c>
      <c r="J197" s="14">
        <v>457.8</v>
      </c>
      <c r="K197" s="14">
        <f>+G197-J197</f>
        <v>0</v>
      </c>
      <c r="L197" s="15">
        <f>+IFERROR(K197/J197,0)</f>
        <v>0</v>
      </c>
    </row>
    <row r="198" spans="1:13" outlineLevel="2">
      <c r="B198" s="7" t="s">
        <v>384</v>
      </c>
      <c r="F198" s="13"/>
      <c r="G198" s="14">
        <f>SUBTOTAL(9,G197:G197)</f>
        <v>457.8</v>
      </c>
      <c r="I198" s="14">
        <f>SUBTOTAL(9,I197:I197)</f>
        <v>0</v>
      </c>
      <c r="J198" s="14">
        <f>SUBTOTAL(9,J197:J197)</f>
        <v>457.8</v>
      </c>
      <c r="K198" s="14">
        <f>SUBTOTAL(9,K197:K197)</f>
        <v>0</v>
      </c>
      <c r="L198" s="15"/>
    </row>
    <row r="199" spans="1:13" outlineLevel="3">
      <c r="A199" s="12" t="s">
        <v>129</v>
      </c>
      <c r="B199" s="12" t="s">
        <v>385</v>
      </c>
      <c r="C199" s="12" t="s">
        <v>145</v>
      </c>
      <c r="D199" s="12" t="s">
        <v>386</v>
      </c>
      <c r="E199" s="12" t="s">
        <v>387</v>
      </c>
      <c r="F199" s="13">
        <v>45870</v>
      </c>
      <c r="G199" s="14">
        <v>482.4</v>
      </c>
      <c r="J199" s="14">
        <v>482.4</v>
      </c>
      <c r="K199" s="14">
        <f>+G199-J199</f>
        <v>0</v>
      </c>
      <c r="L199" s="15">
        <f>+IFERROR(K199/J199,0)</f>
        <v>0</v>
      </c>
    </row>
    <row r="200" spans="1:13" outlineLevel="3">
      <c r="A200" s="12" t="s">
        <v>129</v>
      </c>
      <c r="B200" s="12" t="s">
        <v>385</v>
      </c>
      <c r="C200" s="12" t="s">
        <v>131</v>
      </c>
      <c r="D200" s="12" t="s">
        <v>131</v>
      </c>
      <c r="E200" s="12" t="s">
        <v>387</v>
      </c>
      <c r="F200" s="13">
        <v>45870</v>
      </c>
      <c r="G200" s="14">
        <v>4256.1499999999996</v>
      </c>
      <c r="J200" s="14">
        <v>4256.1499999999996</v>
      </c>
      <c r="K200" s="14">
        <f>+G200-J200</f>
        <v>0</v>
      </c>
      <c r="L200" s="15">
        <f>+IFERROR(K200/J200,0)</f>
        <v>0</v>
      </c>
    </row>
    <row r="201" spans="1:13" outlineLevel="2">
      <c r="B201" s="7" t="s">
        <v>388</v>
      </c>
      <c r="F201" s="13"/>
      <c r="G201" s="14">
        <f>SUBTOTAL(9,G199:G200)</f>
        <v>4738.5499999999993</v>
      </c>
      <c r="I201" s="14">
        <f>SUBTOTAL(9,I199:I200)</f>
        <v>0</v>
      </c>
      <c r="J201" s="14">
        <f>SUBTOTAL(9,J199:J200)</f>
        <v>4738.5499999999993</v>
      </c>
      <c r="K201" s="14">
        <f>SUBTOTAL(9,K199:K200)</f>
        <v>0</v>
      </c>
      <c r="L201" s="15"/>
    </row>
    <row r="202" spans="1:13" outlineLevel="3">
      <c r="A202" s="12" t="s">
        <v>129</v>
      </c>
      <c r="B202" s="12" t="s">
        <v>389</v>
      </c>
      <c r="C202" s="12" t="s">
        <v>138</v>
      </c>
      <c r="D202" s="12" t="s">
        <v>139</v>
      </c>
      <c r="E202" s="12" t="s">
        <v>390</v>
      </c>
      <c r="F202" s="13">
        <v>45870</v>
      </c>
      <c r="G202" s="14">
        <v>508.8</v>
      </c>
      <c r="J202" s="14">
        <v>508.8</v>
      </c>
      <c r="K202" s="14">
        <f>+G202-J202</f>
        <v>0</v>
      </c>
      <c r="L202" s="15">
        <f>+IFERROR(K202/J202,0)</f>
        <v>0</v>
      </c>
    </row>
    <row r="203" spans="1:13" outlineLevel="3">
      <c r="A203" s="12" t="s">
        <v>129</v>
      </c>
      <c r="B203" s="12" t="s">
        <v>389</v>
      </c>
      <c r="C203" s="12" t="s">
        <v>141</v>
      </c>
      <c r="D203" s="12" t="s">
        <v>181</v>
      </c>
      <c r="E203" s="12" t="s">
        <v>391</v>
      </c>
      <c r="F203" s="13">
        <v>45870</v>
      </c>
      <c r="G203" s="14">
        <v>728.25</v>
      </c>
      <c r="J203" s="14">
        <v>728.25</v>
      </c>
      <c r="K203" s="14">
        <f>+G203-J203</f>
        <v>0</v>
      </c>
      <c r="L203" s="15">
        <f>+IFERROR(K203/J203,0)</f>
        <v>0</v>
      </c>
    </row>
    <row r="204" spans="1:13" outlineLevel="3">
      <c r="A204" s="12" t="s">
        <v>129</v>
      </c>
      <c r="B204" s="12" t="s">
        <v>389</v>
      </c>
      <c r="C204" s="12" t="s">
        <v>145</v>
      </c>
      <c r="D204" s="12" t="s">
        <v>183</v>
      </c>
      <c r="E204" s="12" t="s">
        <v>391</v>
      </c>
      <c r="F204" s="13">
        <v>45870</v>
      </c>
      <c r="G204" s="14">
        <v>1092</v>
      </c>
      <c r="J204" s="14">
        <v>1092</v>
      </c>
      <c r="K204" s="14">
        <f>+G204-J204</f>
        <v>0</v>
      </c>
      <c r="L204" s="15">
        <f>+IFERROR(K204/J204,0)</f>
        <v>0</v>
      </c>
    </row>
    <row r="205" spans="1:13" outlineLevel="3">
      <c r="A205" s="12" t="s">
        <v>129</v>
      </c>
      <c r="B205" s="12" t="s">
        <v>389</v>
      </c>
      <c r="C205" s="12" t="s">
        <v>148</v>
      </c>
      <c r="D205" s="12" t="s">
        <v>149</v>
      </c>
      <c r="E205" s="12" t="s">
        <v>392</v>
      </c>
      <c r="F205" s="13">
        <v>45871</v>
      </c>
      <c r="G205" s="14">
        <v>339.2</v>
      </c>
      <c r="J205" s="14">
        <v>339.2</v>
      </c>
      <c r="K205" s="14">
        <f>+G205-J205</f>
        <v>0</v>
      </c>
      <c r="L205" s="15">
        <f>+IFERROR(K205/J205,0)</f>
        <v>0</v>
      </c>
      <c r="M205" s="12" t="s">
        <v>151</v>
      </c>
    </row>
    <row r="206" spans="1:13" outlineLevel="3">
      <c r="A206" s="12" t="s">
        <v>129</v>
      </c>
      <c r="B206" s="12" t="s">
        <v>389</v>
      </c>
      <c r="C206" s="12" t="s">
        <v>131</v>
      </c>
      <c r="D206" s="12" t="s">
        <v>189</v>
      </c>
      <c r="E206" s="12" t="s">
        <v>391</v>
      </c>
      <c r="F206" s="13">
        <v>45870</v>
      </c>
      <c r="G206" s="14">
        <v>2278.75</v>
      </c>
      <c r="J206" s="14">
        <v>2278.75</v>
      </c>
      <c r="K206" s="14">
        <f>+G206-J206</f>
        <v>0</v>
      </c>
      <c r="L206" s="15">
        <f>+IFERROR(K206/J206,0)</f>
        <v>0</v>
      </c>
    </row>
    <row r="207" spans="1:13" outlineLevel="2">
      <c r="B207" s="7" t="s">
        <v>393</v>
      </c>
      <c r="F207" s="13"/>
      <c r="G207" s="14">
        <f>SUBTOTAL(9,G202:G206)</f>
        <v>4947</v>
      </c>
      <c r="I207" s="14">
        <f>SUBTOTAL(9,I202:I206)</f>
        <v>0</v>
      </c>
      <c r="J207" s="14">
        <f>SUBTOTAL(9,J202:J206)</f>
        <v>4947</v>
      </c>
      <c r="K207" s="14">
        <f>SUBTOTAL(9,K202:K206)</f>
        <v>0</v>
      </c>
      <c r="L207" s="15"/>
    </row>
    <row r="208" spans="1:13" outlineLevel="3">
      <c r="A208" s="12" t="s">
        <v>129</v>
      </c>
      <c r="B208" s="12" t="s">
        <v>394</v>
      </c>
      <c r="C208" s="12" t="s">
        <v>175</v>
      </c>
      <c r="D208" s="12" t="s">
        <v>175</v>
      </c>
      <c r="E208" s="12" t="s">
        <v>395</v>
      </c>
      <c r="F208" s="13">
        <v>45870</v>
      </c>
      <c r="G208" s="14">
        <v>4.5999999999999996</v>
      </c>
      <c r="J208" s="14">
        <v>4.5999999999999996</v>
      </c>
      <c r="K208" s="14">
        <f>+G208-J208</f>
        <v>0</v>
      </c>
      <c r="L208" s="15">
        <f>+IFERROR(K208/J208,0)</f>
        <v>0</v>
      </c>
    </row>
    <row r="209" spans="1:12" outlineLevel="3">
      <c r="A209" s="12" t="s">
        <v>129</v>
      </c>
      <c r="B209" s="12" t="s">
        <v>394</v>
      </c>
      <c r="C209" s="12" t="s">
        <v>141</v>
      </c>
      <c r="D209" s="12" t="s">
        <v>396</v>
      </c>
      <c r="E209" s="12" t="s">
        <v>395</v>
      </c>
      <c r="F209" s="13">
        <v>45870</v>
      </c>
      <c r="G209" s="14">
        <v>216.3</v>
      </c>
      <c r="J209" s="14">
        <v>216.3</v>
      </c>
      <c r="K209" s="14">
        <f>+G209-J209</f>
        <v>0</v>
      </c>
      <c r="L209" s="15">
        <f>+IFERROR(K209/J209,0)</f>
        <v>0</v>
      </c>
    </row>
    <row r="210" spans="1:12" outlineLevel="3">
      <c r="A210" s="12" t="s">
        <v>129</v>
      </c>
      <c r="B210" s="12" t="s">
        <v>394</v>
      </c>
      <c r="C210" s="12" t="s">
        <v>145</v>
      </c>
      <c r="D210" s="12" t="s">
        <v>397</v>
      </c>
      <c r="E210" s="12" t="s">
        <v>395</v>
      </c>
      <c r="F210" s="13">
        <v>45870</v>
      </c>
      <c r="G210" s="14">
        <v>301</v>
      </c>
      <c r="J210" s="14">
        <v>301</v>
      </c>
      <c r="K210" s="14">
        <f>+G210-J210</f>
        <v>0</v>
      </c>
      <c r="L210" s="15">
        <f>+IFERROR(K210/J210,0)</f>
        <v>0</v>
      </c>
    </row>
    <row r="211" spans="1:12" outlineLevel="3">
      <c r="A211" s="12" t="s">
        <v>129</v>
      </c>
      <c r="B211" s="12" t="s">
        <v>394</v>
      </c>
      <c r="C211" s="12" t="s">
        <v>131</v>
      </c>
      <c r="D211" s="12" t="s">
        <v>398</v>
      </c>
      <c r="E211" s="12" t="s">
        <v>395</v>
      </c>
      <c r="F211" s="13">
        <v>45870</v>
      </c>
      <c r="G211" s="14">
        <v>2050</v>
      </c>
      <c r="J211" s="14">
        <v>2050</v>
      </c>
      <c r="K211" s="14">
        <f>+G211-J211</f>
        <v>0</v>
      </c>
      <c r="L211" s="15">
        <f>+IFERROR(K211/J211,0)</f>
        <v>0</v>
      </c>
    </row>
    <row r="212" spans="1:12" outlineLevel="3">
      <c r="A212" s="12" t="s">
        <v>129</v>
      </c>
      <c r="B212" s="12" t="s">
        <v>394</v>
      </c>
      <c r="C212" s="12" t="s">
        <v>131</v>
      </c>
      <c r="D212" s="12" t="s">
        <v>399</v>
      </c>
      <c r="E212" s="12" t="s">
        <v>395</v>
      </c>
      <c r="F212" s="13">
        <v>45870</v>
      </c>
      <c r="G212" s="14">
        <v>611.5</v>
      </c>
      <c r="J212" s="14">
        <v>611.5</v>
      </c>
      <c r="K212" s="14">
        <f>+G212-J212</f>
        <v>0</v>
      </c>
      <c r="L212" s="15">
        <f>+IFERROR(K212/J212,0)</f>
        <v>0</v>
      </c>
    </row>
    <row r="213" spans="1:12" outlineLevel="2">
      <c r="B213" s="7" t="s">
        <v>400</v>
      </c>
      <c r="F213" s="13"/>
      <c r="G213" s="14">
        <f>SUBTOTAL(9,G208:G212)</f>
        <v>3183.4</v>
      </c>
      <c r="I213" s="14">
        <f>SUBTOTAL(9,I208:I212)</f>
        <v>0</v>
      </c>
      <c r="J213" s="14">
        <f>SUBTOTAL(9,J208:J212)</f>
        <v>3183.4</v>
      </c>
      <c r="K213" s="14">
        <f>SUBTOTAL(9,K208:K212)</f>
        <v>0</v>
      </c>
      <c r="L213" s="15"/>
    </row>
    <row r="214" spans="1:12" outlineLevel="1">
      <c r="A214" s="7" t="s">
        <v>401</v>
      </c>
      <c r="F214" s="13"/>
      <c r="G214" s="14">
        <f>SUBTOTAL(9,G2:G212)</f>
        <v>130424.82279999999</v>
      </c>
      <c r="I214" s="14">
        <f>SUBTOTAL(9,I2:I212)</f>
        <v>0</v>
      </c>
      <c r="J214" s="14">
        <f>SUBTOTAL(9,J2:J212)</f>
        <v>126795.08959999999</v>
      </c>
      <c r="K214" s="14">
        <f>SUBTOTAL(9,K2:K212)</f>
        <v>3629.7331999999997</v>
      </c>
      <c r="L214" s="15"/>
    </row>
    <row r="215" spans="1:12" s="18" customFormat="1" outlineLevel="3">
      <c r="A215" s="12" t="s">
        <v>402</v>
      </c>
      <c r="B215" s="12" t="s">
        <v>403</v>
      </c>
      <c r="C215" s="12" t="s">
        <v>141</v>
      </c>
      <c r="D215" s="12" t="s">
        <v>167</v>
      </c>
      <c r="E215" s="12" t="s">
        <v>404</v>
      </c>
      <c r="F215" s="13">
        <v>45870</v>
      </c>
      <c r="G215" s="16">
        <v>980.09939999999995</v>
      </c>
      <c r="H215" s="16"/>
      <c r="I215" s="16"/>
      <c r="J215" s="16">
        <v>1049.6035999999999</v>
      </c>
      <c r="K215" s="16">
        <f>+G215-J215</f>
        <v>-69.504199999999969</v>
      </c>
      <c r="L215" s="17">
        <f>+K215/J215</f>
        <v>-6.6219475619176585E-2</v>
      </c>
    </row>
    <row r="216" spans="1:12" s="18" customFormat="1" outlineLevel="3">
      <c r="A216" s="12" t="s">
        <v>402</v>
      </c>
      <c r="B216" s="12" t="s">
        <v>403</v>
      </c>
      <c r="C216" s="12" t="s">
        <v>145</v>
      </c>
      <c r="D216" s="12" t="s">
        <v>145</v>
      </c>
      <c r="E216" s="12" t="s">
        <v>404</v>
      </c>
      <c r="F216" s="13">
        <v>45870</v>
      </c>
      <c r="G216" s="16">
        <v>11454</v>
      </c>
      <c r="H216" s="16"/>
      <c r="I216" s="16"/>
      <c r="J216" s="16">
        <v>11205</v>
      </c>
      <c r="K216" s="16">
        <f t="shared" ref="K216:K295" si="20">+G216-J216</f>
        <v>249</v>
      </c>
      <c r="L216" s="17">
        <f t="shared" ref="L216:L295" si="21">+K216/J216</f>
        <v>2.2222222222222223E-2</v>
      </c>
    </row>
    <row r="217" spans="1:12" s="18" customFormat="1" outlineLevel="3">
      <c r="A217" s="12" t="s">
        <v>402</v>
      </c>
      <c r="B217" s="12" t="s">
        <v>403</v>
      </c>
      <c r="C217" s="12" t="s">
        <v>131</v>
      </c>
      <c r="D217" s="12" t="s">
        <v>131</v>
      </c>
      <c r="E217" s="12" t="s">
        <v>404</v>
      </c>
      <c r="F217" s="13">
        <v>45870</v>
      </c>
      <c r="G217" s="16">
        <v>28455.000599999999</v>
      </c>
      <c r="H217" s="16"/>
      <c r="I217" s="16"/>
      <c r="J217" s="16">
        <v>27960</v>
      </c>
      <c r="K217" s="16">
        <f t="shared" si="20"/>
        <v>495.00059999999939</v>
      </c>
      <c r="L217" s="17">
        <f t="shared" si="21"/>
        <v>1.7703884120171653E-2</v>
      </c>
    </row>
    <row r="218" spans="1:12" s="18" customFormat="1" outlineLevel="2">
      <c r="A218" s="12"/>
      <c r="B218" s="7" t="s">
        <v>405</v>
      </c>
      <c r="C218" s="12"/>
      <c r="D218" s="12"/>
      <c r="E218" s="12"/>
      <c r="F218" s="13"/>
      <c r="G218" s="16">
        <f>SUBTOTAL(9,G215:G217)</f>
        <v>40889.1</v>
      </c>
      <c r="H218" s="16"/>
      <c r="I218" s="16">
        <f>SUBTOTAL(9,I215:I217)</f>
        <v>0</v>
      </c>
      <c r="J218" s="16">
        <f>SUBTOTAL(9,J215:J217)</f>
        <v>40214.603600000002</v>
      </c>
      <c r="K218" s="16">
        <f>SUBTOTAL(9,K215:K217)</f>
        <v>674.49639999999943</v>
      </c>
      <c r="L218" s="17"/>
    </row>
    <row r="219" spans="1:12" s="18" customFormat="1" outlineLevel="3">
      <c r="A219" s="12" t="s">
        <v>402</v>
      </c>
      <c r="B219" s="12" t="s">
        <v>406</v>
      </c>
      <c r="C219" s="12" t="s">
        <v>407</v>
      </c>
      <c r="D219" s="12" t="s">
        <v>407</v>
      </c>
      <c r="E219" s="12" t="s">
        <v>408</v>
      </c>
      <c r="F219" s="13">
        <v>45884</v>
      </c>
      <c r="G219" s="16">
        <v>954.1</v>
      </c>
      <c r="H219" s="16"/>
      <c r="I219" s="16"/>
      <c r="J219" s="16">
        <v>954.1</v>
      </c>
      <c r="K219" s="16">
        <f t="shared" si="20"/>
        <v>0</v>
      </c>
      <c r="L219" s="17">
        <f t="shared" si="21"/>
        <v>0</v>
      </c>
    </row>
    <row r="220" spans="1:12" s="18" customFormat="1" outlineLevel="3">
      <c r="A220" s="12" t="s">
        <v>402</v>
      </c>
      <c r="B220" s="12" t="s">
        <v>406</v>
      </c>
      <c r="C220" s="12" t="s">
        <v>141</v>
      </c>
      <c r="D220" s="12" t="s">
        <v>141</v>
      </c>
      <c r="E220" s="12" t="s">
        <v>408</v>
      </c>
      <c r="F220" s="13">
        <v>45884</v>
      </c>
      <c r="G220" s="16">
        <v>28.38</v>
      </c>
      <c r="H220" s="16"/>
      <c r="I220" s="16"/>
      <c r="J220" s="16">
        <v>28.38</v>
      </c>
      <c r="K220" s="16">
        <f t="shared" si="20"/>
        <v>0</v>
      </c>
      <c r="L220" s="17">
        <f t="shared" si="21"/>
        <v>0</v>
      </c>
    </row>
    <row r="221" spans="1:12" s="18" customFormat="1" outlineLevel="3">
      <c r="A221" s="12" t="s">
        <v>402</v>
      </c>
      <c r="B221" s="12" t="s">
        <v>406</v>
      </c>
      <c r="C221" s="12" t="s">
        <v>145</v>
      </c>
      <c r="D221" s="12" t="s">
        <v>145</v>
      </c>
      <c r="E221" s="12" t="s">
        <v>408</v>
      </c>
      <c r="F221" s="13">
        <v>45884</v>
      </c>
      <c r="G221" s="16">
        <v>323.5</v>
      </c>
      <c r="H221" s="16"/>
      <c r="I221" s="16"/>
      <c r="J221" s="16">
        <v>337.5</v>
      </c>
      <c r="K221" s="16">
        <f t="shared" si="20"/>
        <v>-14</v>
      </c>
      <c r="L221" s="17">
        <f t="shared" si="21"/>
        <v>-4.148148148148148E-2</v>
      </c>
    </row>
    <row r="222" spans="1:12" s="18" customFormat="1" outlineLevel="3">
      <c r="A222" s="12" t="s">
        <v>402</v>
      </c>
      <c r="B222" s="12" t="s">
        <v>406</v>
      </c>
      <c r="C222" s="12" t="s">
        <v>131</v>
      </c>
      <c r="D222" s="12" t="s">
        <v>131</v>
      </c>
      <c r="E222" s="12" t="s">
        <v>408</v>
      </c>
      <c r="F222" s="13">
        <v>45884</v>
      </c>
      <c r="G222" s="16">
        <v>351.5</v>
      </c>
      <c r="H222" s="16"/>
      <c r="I222" s="16"/>
      <c r="J222" s="16">
        <v>351.5</v>
      </c>
      <c r="K222" s="16">
        <f t="shared" si="20"/>
        <v>0</v>
      </c>
      <c r="L222" s="17">
        <f t="shared" si="21"/>
        <v>0</v>
      </c>
    </row>
    <row r="223" spans="1:12" s="18" customFormat="1" outlineLevel="2">
      <c r="A223" s="12"/>
      <c r="B223" s="7" t="s">
        <v>409</v>
      </c>
      <c r="C223" s="12"/>
      <c r="D223" s="12"/>
      <c r="E223" s="12"/>
      <c r="F223" s="13"/>
      <c r="G223" s="16">
        <f>SUBTOTAL(9,G219:G222)</f>
        <v>1657.48</v>
      </c>
      <c r="H223" s="16"/>
      <c r="I223" s="16">
        <f>SUBTOTAL(9,I219:I222)</f>
        <v>0</v>
      </c>
      <c r="J223" s="16">
        <f>SUBTOTAL(9,J219:J222)</f>
        <v>1671.48</v>
      </c>
      <c r="K223" s="16">
        <f>SUBTOTAL(9,K219:K222)</f>
        <v>-14</v>
      </c>
      <c r="L223" s="17"/>
    </row>
    <row r="224" spans="1:12" s="18" customFormat="1" outlineLevel="3">
      <c r="A224" s="12" t="s">
        <v>402</v>
      </c>
      <c r="B224" s="12" t="s">
        <v>410</v>
      </c>
      <c r="C224" s="12" t="s">
        <v>175</v>
      </c>
      <c r="D224" s="12" t="s">
        <v>175</v>
      </c>
      <c r="E224" s="12" t="s">
        <v>411</v>
      </c>
      <c r="F224" s="13">
        <v>45870</v>
      </c>
      <c r="G224" s="16">
        <v>484</v>
      </c>
      <c r="H224" s="16"/>
      <c r="I224" s="16"/>
      <c r="J224" s="16">
        <v>484</v>
      </c>
      <c r="K224" s="16">
        <f t="shared" si="20"/>
        <v>0</v>
      </c>
      <c r="L224" s="17">
        <f t="shared" si="21"/>
        <v>0</v>
      </c>
    </row>
    <row r="225" spans="1:13" s="18" customFormat="1" outlineLevel="3">
      <c r="A225" s="12" t="s">
        <v>402</v>
      </c>
      <c r="B225" s="12" t="s">
        <v>410</v>
      </c>
      <c r="C225" s="12" t="s">
        <v>141</v>
      </c>
      <c r="D225" s="12" t="s">
        <v>412</v>
      </c>
      <c r="E225" s="12" t="s">
        <v>411</v>
      </c>
      <c r="F225" s="13">
        <v>45870</v>
      </c>
      <c r="G225" s="16">
        <v>158</v>
      </c>
      <c r="H225" s="16"/>
      <c r="I225" s="16"/>
      <c r="J225" s="16">
        <v>158</v>
      </c>
      <c r="K225" s="16">
        <f t="shared" si="20"/>
        <v>0</v>
      </c>
      <c r="L225" s="17">
        <f t="shared" si="21"/>
        <v>0</v>
      </c>
    </row>
    <row r="226" spans="1:13" s="18" customFormat="1" outlineLevel="3">
      <c r="A226" s="12" t="s">
        <v>402</v>
      </c>
      <c r="B226" s="12" t="s">
        <v>410</v>
      </c>
      <c r="C226" s="12" t="s">
        <v>141</v>
      </c>
      <c r="D226" s="12" t="s">
        <v>413</v>
      </c>
      <c r="E226" s="12" t="s">
        <v>411</v>
      </c>
      <c r="F226" s="13">
        <v>45870</v>
      </c>
      <c r="G226" s="16">
        <v>295.33440000000002</v>
      </c>
      <c r="H226" s="16"/>
      <c r="I226" s="16"/>
      <c r="J226" s="16">
        <v>293.1198</v>
      </c>
      <c r="K226" s="16">
        <f t="shared" si="20"/>
        <v>2.2146000000000186</v>
      </c>
      <c r="L226" s="17">
        <f t="shared" si="21"/>
        <v>7.5552726223203567E-3</v>
      </c>
    </row>
    <row r="227" spans="1:13" s="18" customFormat="1" outlineLevel="3">
      <c r="A227" s="12" t="s">
        <v>402</v>
      </c>
      <c r="B227" s="12" t="s">
        <v>410</v>
      </c>
      <c r="C227" s="12" t="s">
        <v>145</v>
      </c>
      <c r="D227" s="12" t="s">
        <v>414</v>
      </c>
      <c r="E227" s="12" t="s">
        <v>411</v>
      </c>
      <c r="F227" s="13">
        <v>45870</v>
      </c>
      <c r="G227" s="16">
        <v>431</v>
      </c>
      <c r="H227" s="16"/>
      <c r="I227" s="16"/>
      <c r="J227" s="16">
        <v>431</v>
      </c>
      <c r="K227" s="16">
        <f t="shared" si="20"/>
        <v>0</v>
      </c>
      <c r="L227" s="17">
        <f t="shared" si="21"/>
        <v>0</v>
      </c>
    </row>
    <row r="228" spans="1:13" s="18" customFormat="1" outlineLevel="3">
      <c r="A228" s="12" t="s">
        <v>402</v>
      </c>
      <c r="B228" s="12" t="s">
        <v>410</v>
      </c>
      <c r="C228" s="12" t="s">
        <v>131</v>
      </c>
      <c r="D228" s="12" t="s">
        <v>415</v>
      </c>
      <c r="E228" s="12" t="s">
        <v>411</v>
      </c>
      <c r="F228" s="13">
        <v>45870</v>
      </c>
      <c r="G228" s="16">
        <v>1440</v>
      </c>
      <c r="H228" s="16"/>
      <c r="I228" s="16"/>
      <c r="J228" s="16">
        <v>1440.0001999999999</v>
      </c>
      <c r="K228" s="16">
        <f t="shared" si="20"/>
        <v>-1.9999999994979589E-4</v>
      </c>
      <c r="L228" s="17">
        <f t="shared" si="21"/>
        <v>-1.3888886956390416E-7</v>
      </c>
    </row>
    <row r="229" spans="1:13" s="18" customFormat="1" outlineLevel="2">
      <c r="A229" s="12"/>
      <c r="B229" s="7" t="s">
        <v>416</v>
      </c>
      <c r="C229" s="12"/>
      <c r="D229" s="12"/>
      <c r="E229" s="12"/>
      <c r="F229" s="13"/>
      <c r="G229" s="16">
        <f>SUBTOTAL(9,G224:G228)</f>
        <v>2808.3343999999997</v>
      </c>
      <c r="H229" s="16"/>
      <c r="I229" s="16">
        <f>SUBTOTAL(9,I224:I228)</f>
        <v>0</v>
      </c>
      <c r="J229" s="16">
        <f>SUBTOTAL(9,J224:J228)</f>
        <v>2806.12</v>
      </c>
      <c r="K229" s="16">
        <f>SUBTOTAL(9,K224:K228)</f>
        <v>2.2144000000000688</v>
      </c>
      <c r="L229" s="17"/>
    </row>
    <row r="230" spans="1:13" outlineLevel="3">
      <c r="A230" s="12" t="s">
        <v>402</v>
      </c>
      <c r="B230" s="12" t="s">
        <v>417</v>
      </c>
      <c r="C230" s="12" t="s">
        <v>175</v>
      </c>
      <c r="D230" s="12" t="s">
        <v>175</v>
      </c>
      <c r="E230" s="12" t="s">
        <v>418</v>
      </c>
      <c r="F230" s="13">
        <v>45870</v>
      </c>
      <c r="G230" s="16">
        <v>3358.53</v>
      </c>
      <c r="H230" s="16"/>
      <c r="I230" s="16"/>
      <c r="J230" s="16">
        <v>655.20000000000005</v>
      </c>
      <c r="K230" s="16">
        <f t="shared" si="20"/>
        <v>2703.33</v>
      </c>
      <c r="L230" s="17">
        <f t="shared" si="21"/>
        <v>4.1259615384615378</v>
      </c>
      <c r="M230" s="18"/>
    </row>
    <row r="231" spans="1:13" outlineLevel="3">
      <c r="A231" s="12" t="s">
        <v>402</v>
      </c>
      <c r="B231" s="12" t="s">
        <v>417</v>
      </c>
      <c r="C231" s="12" t="s">
        <v>141</v>
      </c>
      <c r="D231" s="12" t="s">
        <v>195</v>
      </c>
      <c r="E231" s="12" t="s">
        <v>418</v>
      </c>
      <c r="F231" s="13">
        <v>45870</v>
      </c>
      <c r="G231" s="16">
        <v>10.5</v>
      </c>
      <c r="H231" s="16"/>
      <c r="I231" s="16"/>
      <c r="J231" s="16">
        <v>10.5</v>
      </c>
      <c r="K231" s="16">
        <f t="shared" si="20"/>
        <v>0</v>
      </c>
      <c r="L231" s="17">
        <f t="shared" si="21"/>
        <v>0</v>
      </c>
      <c r="M231" s="18"/>
    </row>
    <row r="232" spans="1:13" outlineLevel="3">
      <c r="A232" s="12" t="s">
        <v>402</v>
      </c>
      <c r="B232" s="12" t="s">
        <v>417</v>
      </c>
      <c r="C232" s="12" t="s">
        <v>145</v>
      </c>
      <c r="D232" s="12" t="s">
        <v>145</v>
      </c>
      <c r="E232" s="12" t="s">
        <v>418</v>
      </c>
      <c r="F232" s="13">
        <v>45870</v>
      </c>
      <c r="G232" s="16">
        <v>5170</v>
      </c>
      <c r="H232" s="16"/>
      <c r="I232" s="16"/>
      <c r="J232" s="16">
        <v>5126</v>
      </c>
      <c r="K232" s="16">
        <f t="shared" si="20"/>
        <v>44</v>
      </c>
      <c r="L232" s="17">
        <f t="shared" si="21"/>
        <v>8.5836909871244635E-3</v>
      </c>
      <c r="M232" s="18"/>
    </row>
    <row r="233" spans="1:13" outlineLevel="3">
      <c r="A233" s="12" t="s">
        <v>402</v>
      </c>
      <c r="B233" s="12" t="s">
        <v>417</v>
      </c>
      <c r="C233" s="12" t="s">
        <v>131</v>
      </c>
      <c r="D233" s="12" t="s">
        <v>131</v>
      </c>
      <c r="E233" s="12" t="s">
        <v>418</v>
      </c>
      <c r="F233" s="13">
        <v>45870</v>
      </c>
      <c r="G233" s="16">
        <v>9794</v>
      </c>
      <c r="H233" s="16"/>
      <c r="I233" s="16"/>
      <c r="J233" s="16">
        <v>10013</v>
      </c>
      <c r="K233" s="16">
        <f t="shared" si="20"/>
        <v>-219</v>
      </c>
      <c r="L233" s="17">
        <f t="shared" si="21"/>
        <v>-2.1871566962948168E-2</v>
      </c>
      <c r="M233" s="18"/>
    </row>
    <row r="234" spans="1:13" outlineLevel="2">
      <c r="B234" s="7" t="s">
        <v>419</v>
      </c>
      <c r="F234" s="13"/>
      <c r="G234" s="16">
        <f>SUBTOTAL(9,G230:G233)</f>
        <v>18333.03</v>
      </c>
      <c r="H234" s="16"/>
      <c r="I234" s="16">
        <f>SUBTOTAL(9,I230:I233)</f>
        <v>0</v>
      </c>
      <c r="J234" s="16">
        <f>SUBTOTAL(9,J230:J233)</f>
        <v>15804.7</v>
      </c>
      <c r="K234" s="16">
        <f>SUBTOTAL(9,K230:K233)</f>
        <v>2528.33</v>
      </c>
      <c r="L234" s="17"/>
      <c r="M234" s="18"/>
    </row>
    <row r="235" spans="1:13" outlineLevel="3">
      <c r="A235" s="12" t="s">
        <v>402</v>
      </c>
      <c r="B235" s="12" t="s">
        <v>420</v>
      </c>
      <c r="C235" s="12" t="s">
        <v>175</v>
      </c>
      <c r="D235" s="12" t="s">
        <v>175</v>
      </c>
      <c r="E235" s="12" t="s">
        <v>421</v>
      </c>
      <c r="F235" s="13">
        <v>45870</v>
      </c>
      <c r="G235" s="16">
        <v>1598.4</v>
      </c>
      <c r="H235" s="16"/>
      <c r="I235" s="16"/>
      <c r="J235" s="16">
        <v>1598.4</v>
      </c>
      <c r="K235" s="16">
        <f t="shared" si="20"/>
        <v>0</v>
      </c>
      <c r="L235" s="17">
        <f t="shared" si="21"/>
        <v>0</v>
      </c>
      <c r="M235" s="18"/>
    </row>
    <row r="236" spans="1:13" outlineLevel="3">
      <c r="A236" s="12" t="s">
        <v>402</v>
      </c>
      <c r="B236" s="12" t="s">
        <v>420</v>
      </c>
      <c r="C236" s="12" t="s">
        <v>141</v>
      </c>
      <c r="D236" s="12" t="s">
        <v>167</v>
      </c>
      <c r="E236" s="12" t="s">
        <v>421</v>
      </c>
      <c r="F236" s="13">
        <v>45870</v>
      </c>
      <c r="G236" s="16">
        <v>367.08620000000002</v>
      </c>
      <c r="H236" s="16"/>
      <c r="I236" s="16"/>
      <c r="J236" s="16">
        <v>531.31105000000002</v>
      </c>
      <c r="K236" s="16">
        <f t="shared" si="20"/>
        <v>-164.22485</v>
      </c>
      <c r="L236" s="17">
        <f t="shared" si="21"/>
        <v>-0.30909360910148581</v>
      </c>
      <c r="M236" s="18"/>
    </row>
    <row r="237" spans="1:13" outlineLevel="3">
      <c r="A237" s="12" t="s">
        <v>402</v>
      </c>
      <c r="B237" s="12" t="s">
        <v>420</v>
      </c>
      <c r="C237" s="12" t="s">
        <v>145</v>
      </c>
      <c r="D237" s="12" t="s">
        <v>169</v>
      </c>
      <c r="E237" s="12" t="s">
        <v>421</v>
      </c>
      <c r="F237" s="13">
        <v>45870</v>
      </c>
      <c r="G237" s="16">
        <v>1136</v>
      </c>
      <c r="H237" s="16"/>
      <c r="I237" s="16"/>
      <c r="J237" s="16">
        <v>1123</v>
      </c>
      <c r="K237" s="16">
        <f t="shared" si="20"/>
        <v>13</v>
      </c>
      <c r="L237" s="17">
        <f t="shared" si="21"/>
        <v>1.1576135351736421E-2</v>
      </c>
      <c r="M237" s="18"/>
    </row>
    <row r="238" spans="1:13" outlineLevel="3">
      <c r="A238" s="12" t="s">
        <v>402</v>
      </c>
      <c r="B238" s="12" t="s">
        <v>420</v>
      </c>
      <c r="C238" s="12" t="s">
        <v>131</v>
      </c>
      <c r="D238" s="12" t="s">
        <v>131</v>
      </c>
      <c r="E238" s="12" t="s">
        <v>421</v>
      </c>
      <c r="F238" s="13">
        <v>45870</v>
      </c>
      <c r="G238" s="16">
        <v>1044.0038</v>
      </c>
      <c r="H238" s="16"/>
      <c r="I238" s="16"/>
      <c r="J238" s="16">
        <v>970.00895000000003</v>
      </c>
      <c r="K238" s="16">
        <f t="shared" si="20"/>
        <v>73.994849999999929</v>
      </c>
      <c r="L238" s="17">
        <f t="shared" si="21"/>
        <v>7.6282646670424975E-2</v>
      </c>
      <c r="M238" s="18"/>
    </row>
    <row r="239" spans="1:13" outlineLevel="2">
      <c r="B239" s="7" t="s">
        <v>422</v>
      </c>
      <c r="F239" s="13"/>
      <c r="G239" s="16">
        <f>SUBTOTAL(9,G235:G238)</f>
        <v>4145.49</v>
      </c>
      <c r="H239" s="16"/>
      <c r="I239" s="16">
        <f>SUBTOTAL(9,I235:I238)</f>
        <v>0</v>
      </c>
      <c r="J239" s="16">
        <f>SUBTOTAL(9,J235:J238)</f>
        <v>4222.72</v>
      </c>
      <c r="K239" s="16">
        <f>SUBTOTAL(9,K235:K238)</f>
        <v>-77.230000000000075</v>
      </c>
      <c r="L239" s="17"/>
      <c r="M239" s="18"/>
    </row>
    <row r="240" spans="1:13" outlineLevel="3">
      <c r="A240" s="12" t="s">
        <v>402</v>
      </c>
      <c r="B240" s="12" t="s">
        <v>423</v>
      </c>
      <c r="C240" s="12" t="s">
        <v>175</v>
      </c>
      <c r="D240" s="12" t="s">
        <v>424</v>
      </c>
      <c r="E240" s="12" t="s">
        <v>425</v>
      </c>
      <c r="F240" s="13">
        <v>45870</v>
      </c>
      <c r="G240" s="16">
        <v>994</v>
      </c>
      <c r="H240" s="16"/>
      <c r="I240" s="16"/>
      <c r="J240" s="16">
        <v>994</v>
      </c>
      <c r="K240" s="16">
        <f t="shared" si="20"/>
        <v>0</v>
      </c>
      <c r="L240" s="17">
        <f t="shared" si="21"/>
        <v>0</v>
      </c>
      <c r="M240" s="18"/>
    </row>
    <row r="241" spans="1:13" outlineLevel="3">
      <c r="A241" s="12" t="s">
        <v>402</v>
      </c>
      <c r="B241" s="12" t="s">
        <v>423</v>
      </c>
      <c r="C241" s="12" t="s">
        <v>141</v>
      </c>
      <c r="D241" s="12" t="s">
        <v>141</v>
      </c>
      <c r="E241" s="12" t="s">
        <v>425</v>
      </c>
      <c r="F241" s="13">
        <v>45870</v>
      </c>
      <c r="G241" s="16">
        <v>625.51</v>
      </c>
      <c r="H241" s="16"/>
      <c r="I241" s="16"/>
      <c r="J241" s="16">
        <v>625.51</v>
      </c>
      <c r="K241" s="16">
        <f t="shared" si="20"/>
        <v>0</v>
      </c>
      <c r="L241" s="17">
        <f t="shared" si="21"/>
        <v>0</v>
      </c>
      <c r="M241" s="18"/>
    </row>
    <row r="242" spans="1:13" outlineLevel="3">
      <c r="A242" s="12" t="s">
        <v>402</v>
      </c>
      <c r="B242" s="12" t="s">
        <v>423</v>
      </c>
      <c r="C242" s="12" t="s">
        <v>141</v>
      </c>
      <c r="D242" s="12" t="s">
        <v>181</v>
      </c>
      <c r="E242" s="12" t="s">
        <v>426</v>
      </c>
      <c r="F242" s="13">
        <v>45874</v>
      </c>
      <c r="G242" s="16"/>
      <c r="H242" s="16"/>
      <c r="I242" s="16"/>
      <c r="J242" s="16">
        <v>0</v>
      </c>
      <c r="K242" s="16">
        <f t="shared" si="20"/>
        <v>0</v>
      </c>
      <c r="L242" s="17"/>
      <c r="M242" s="18"/>
    </row>
    <row r="243" spans="1:13" outlineLevel="3">
      <c r="A243" s="12" t="s">
        <v>402</v>
      </c>
      <c r="B243" s="12" t="s">
        <v>423</v>
      </c>
      <c r="C243" s="12" t="s">
        <v>141</v>
      </c>
      <c r="D243" s="12" t="s">
        <v>181</v>
      </c>
      <c r="E243" s="12" t="s">
        <v>427</v>
      </c>
      <c r="F243" s="13">
        <v>45870</v>
      </c>
      <c r="G243" s="16">
        <v>7.4</v>
      </c>
      <c r="H243" s="16"/>
      <c r="I243" s="16"/>
      <c r="J243" s="16">
        <v>0</v>
      </c>
      <c r="K243" s="16">
        <f t="shared" si="20"/>
        <v>7.4</v>
      </c>
      <c r="L243" s="17"/>
      <c r="M243" s="18" t="s">
        <v>428</v>
      </c>
    </row>
    <row r="244" spans="1:13" outlineLevel="3">
      <c r="A244" s="12" t="s">
        <v>402</v>
      </c>
      <c r="B244" s="12" t="s">
        <v>423</v>
      </c>
      <c r="C244" s="12" t="s">
        <v>145</v>
      </c>
      <c r="D244" s="12" t="s">
        <v>429</v>
      </c>
      <c r="E244" s="12" t="s">
        <v>425</v>
      </c>
      <c r="F244" s="13">
        <v>45870</v>
      </c>
      <c r="G244" s="16">
        <v>836</v>
      </c>
      <c r="H244" s="16"/>
      <c r="I244" s="16"/>
      <c r="J244" s="16">
        <v>850</v>
      </c>
      <c r="K244" s="16">
        <f t="shared" si="20"/>
        <v>-14</v>
      </c>
      <c r="L244" s="17">
        <f t="shared" si="21"/>
        <v>-1.6470588235294119E-2</v>
      </c>
      <c r="M244" s="18"/>
    </row>
    <row r="245" spans="1:13" outlineLevel="3">
      <c r="A245" s="12" t="s">
        <v>402</v>
      </c>
      <c r="B245" s="12" t="s">
        <v>423</v>
      </c>
      <c r="C245" s="12" t="s">
        <v>131</v>
      </c>
      <c r="D245" s="12" t="s">
        <v>430</v>
      </c>
      <c r="E245" s="12" t="s">
        <v>425</v>
      </c>
      <c r="F245" s="13">
        <v>45870</v>
      </c>
      <c r="G245" s="16">
        <v>735.2</v>
      </c>
      <c r="H245" s="16"/>
      <c r="I245" s="16"/>
      <c r="J245" s="16">
        <v>735.2</v>
      </c>
      <c r="K245" s="16">
        <f t="shared" si="20"/>
        <v>0</v>
      </c>
      <c r="L245" s="17">
        <f t="shared" si="21"/>
        <v>0</v>
      </c>
      <c r="M245" s="18"/>
    </row>
    <row r="246" spans="1:13" outlineLevel="2">
      <c r="B246" s="7" t="s">
        <v>431</v>
      </c>
      <c r="F246" s="13"/>
      <c r="G246" s="16">
        <f>SUBTOTAL(9,G240:G245)</f>
        <v>3198.1099999999997</v>
      </c>
      <c r="H246" s="16"/>
      <c r="I246" s="16">
        <f>SUBTOTAL(9,I240:I245)</f>
        <v>0</v>
      </c>
      <c r="J246" s="16">
        <f>SUBTOTAL(9,J240:J245)</f>
        <v>3204.71</v>
      </c>
      <c r="K246" s="16">
        <f>SUBTOTAL(9,K240:K245)</f>
        <v>-6.6</v>
      </c>
      <c r="L246" s="17"/>
      <c r="M246" s="18"/>
    </row>
    <row r="247" spans="1:13" s="18" customFormat="1" outlineLevel="3">
      <c r="A247" s="12" t="s">
        <v>402</v>
      </c>
      <c r="B247" s="12" t="s">
        <v>432</v>
      </c>
      <c r="C247" s="12" t="s">
        <v>145</v>
      </c>
      <c r="D247" s="12" t="s">
        <v>145</v>
      </c>
      <c r="E247" s="12" t="s">
        <v>433</v>
      </c>
      <c r="F247" s="13">
        <v>45870</v>
      </c>
      <c r="G247" s="16">
        <v>5389</v>
      </c>
      <c r="H247" s="16"/>
      <c r="I247" s="16"/>
      <c r="J247" s="16">
        <v>5368</v>
      </c>
      <c r="K247" s="16">
        <f t="shared" si="20"/>
        <v>21</v>
      </c>
      <c r="L247" s="17">
        <f t="shared" si="21"/>
        <v>3.912071535022355E-3</v>
      </c>
    </row>
    <row r="248" spans="1:13" s="18" customFormat="1" outlineLevel="3">
      <c r="A248" s="12" t="s">
        <v>402</v>
      </c>
      <c r="B248" s="12" t="s">
        <v>432</v>
      </c>
      <c r="C248" s="12" t="s">
        <v>131</v>
      </c>
      <c r="D248" s="12" t="s">
        <v>131</v>
      </c>
      <c r="E248" s="12" t="s">
        <v>433</v>
      </c>
      <c r="F248" s="13">
        <v>45870</v>
      </c>
      <c r="G248" s="16">
        <v>7194</v>
      </c>
      <c r="H248" s="16"/>
      <c r="I248" s="16"/>
      <c r="J248" s="16">
        <v>7284</v>
      </c>
      <c r="K248" s="16">
        <f t="shared" si="20"/>
        <v>-90</v>
      </c>
      <c r="L248" s="17">
        <f t="shared" si="21"/>
        <v>-1.2355848434925865E-2</v>
      </c>
    </row>
    <row r="249" spans="1:13" s="18" customFormat="1" outlineLevel="2">
      <c r="A249" s="12"/>
      <c r="B249" s="7" t="s">
        <v>434</v>
      </c>
      <c r="C249" s="12"/>
      <c r="D249" s="12"/>
      <c r="E249" s="12"/>
      <c r="F249" s="13"/>
      <c r="G249" s="16">
        <f>SUBTOTAL(9,G247:G248)</f>
        <v>12583</v>
      </c>
      <c r="H249" s="16"/>
      <c r="I249" s="16">
        <f>SUBTOTAL(9,I247:I248)</f>
        <v>0</v>
      </c>
      <c r="J249" s="16">
        <f>SUBTOTAL(9,J247:J248)</f>
        <v>12652</v>
      </c>
      <c r="K249" s="16">
        <f>SUBTOTAL(9,K247:K248)</f>
        <v>-69</v>
      </c>
      <c r="L249" s="17"/>
    </row>
    <row r="250" spans="1:13" s="18" customFormat="1" outlineLevel="3">
      <c r="A250" s="12" t="s">
        <v>402</v>
      </c>
      <c r="B250" s="12" t="s">
        <v>435</v>
      </c>
      <c r="C250" s="12" t="s">
        <v>141</v>
      </c>
      <c r="D250" s="12" t="s">
        <v>141</v>
      </c>
      <c r="E250" s="12" t="s">
        <v>436</v>
      </c>
      <c r="F250" s="13">
        <v>45870</v>
      </c>
      <c r="G250" s="16">
        <v>250</v>
      </c>
      <c r="H250" s="16"/>
      <c r="I250" s="16"/>
      <c r="J250" s="16">
        <v>250</v>
      </c>
      <c r="K250" s="16">
        <f t="shared" si="20"/>
        <v>0</v>
      </c>
      <c r="L250" s="17">
        <f t="shared" si="21"/>
        <v>0</v>
      </c>
    </row>
    <row r="251" spans="1:13" s="18" customFormat="1" outlineLevel="3">
      <c r="A251" s="12" t="s">
        <v>402</v>
      </c>
      <c r="B251" s="12" t="s">
        <v>435</v>
      </c>
      <c r="C251" s="12" t="s">
        <v>145</v>
      </c>
      <c r="D251" s="12" t="s">
        <v>145</v>
      </c>
      <c r="E251" s="12" t="s">
        <v>436</v>
      </c>
      <c r="F251" s="13">
        <v>45870</v>
      </c>
      <c r="G251" s="16">
        <v>1600</v>
      </c>
      <c r="H251" s="16"/>
      <c r="I251" s="16"/>
      <c r="J251" s="16">
        <v>1600</v>
      </c>
      <c r="K251" s="16">
        <f t="shared" si="20"/>
        <v>0</v>
      </c>
      <c r="L251" s="17">
        <f t="shared" si="21"/>
        <v>0</v>
      </c>
    </row>
    <row r="252" spans="1:13" s="18" customFormat="1" outlineLevel="3">
      <c r="A252" s="12" t="s">
        <v>402</v>
      </c>
      <c r="B252" s="12" t="s">
        <v>435</v>
      </c>
      <c r="C252" s="12" t="s">
        <v>131</v>
      </c>
      <c r="D252" s="12" t="s">
        <v>131</v>
      </c>
      <c r="E252" s="12" t="s">
        <v>436</v>
      </c>
      <c r="F252" s="13">
        <v>45870</v>
      </c>
      <c r="G252" s="16">
        <v>3288.79</v>
      </c>
      <c r="H252" s="16"/>
      <c r="I252" s="16"/>
      <c r="J252" s="16">
        <v>3288.79</v>
      </c>
      <c r="K252" s="16">
        <f t="shared" si="20"/>
        <v>0</v>
      </c>
      <c r="L252" s="17">
        <f t="shared" si="21"/>
        <v>0</v>
      </c>
    </row>
    <row r="253" spans="1:13" s="18" customFormat="1" outlineLevel="2">
      <c r="A253" s="12"/>
      <c r="B253" s="7" t="s">
        <v>437</v>
      </c>
      <c r="C253" s="12"/>
      <c r="D253" s="12"/>
      <c r="E253" s="12"/>
      <c r="F253" s="13"/>
      <c r="G253" s="16">
        <f>SUBTOTAL(9,G250:G252)</f>
        <v>5138.79</v>
      </c>
      <c r="H253" s="16"/>
      <c r="I253" s="16">
        <f>SUBTOTAL(9,I250:I252)</f>
        <v>0</v>
      </c>
      <c r="J253" s="16">
        <f>SUBTOTAL(9,J250:J252)</f>
        <v>5138.79</v>
      </c>
      <c r="K253" s="16">
        <f>SUBTOTAL(9,K250:K252)</f>
        <v>0</v>
      </c>
      <c r="L253" s="17"/>
    </row>
    <row r="254" spans="1:13" s="18" customFormat="1" outlineLevel="3">
      <c r="A254" s="12" t="s">
        <v>402</v>
      </c>
      <c r="B254" s="12" t="s">
        <v>438</v>
      </c>
      <c r="C254" s="12" t="s">
        <v>407</v>
      </c>
      <c r="D254" s="12" t="s">
        <v>407</v>
      </c>
      <c r="E254" s="12" t="s">
        <v>439</v>
      </c>
      <c r="F254" s="13">
        <v>45870</v>
      </c>
      <c r="G254" s="16">
        <v>75</v>
      </c>
      <c r="H254" s="16"/>
      <c r="I254" s="16"/>
      <c r="J254" s="16">
        <v>75</v>
      </c>
      <c r="K254" s="16">
        <f t="shared" si="20"/>
        <v>0</v>
      </c>
      <c r="L254" s="17">
        <f t="shared" si="21"/>
        <v>0</v>
      </c>
    </row>
    <row r="255" spans="1:13" s="18" customFormat="1" outlineLevel="3">
      <c r="A255" s="12" t="s">
        <v>402</v>
      </c>
      <c r="B255" s="12" t="s">
        <v>438</v>
      </c>
      <c r="C255" s="12" t="s">
        <v>175</v>
      </c>
      <c r="D255" s="12" t="s">
        <v>440</v>
      </c>
      <c r="E255" s="12" t="s">
        <v>439</v>
      </c>
      <c r="F255" s="13">
        <v>45870</v>
      </c>
      <c r="G255" s="16">
        <v>400</v>
      </c>
      <c r="H255" s="16"/>
      <c r="I255" s="16"/>
      <c r="J255" s="16">
        <v>400</v>
      </c>
      <c r="K255" s="16">
        <f t="shared" si="20"/>
        <v>0</v>
      </c>
      <c r="L255" s="17">
        <f t="shared" si="21"/>
        <v>0</v>
      </c>
    </row>
    <row r="256" spans="1:13" s="18" customFormat="1" outlineLevel="3">
      <c r="A256" s="12" t="s">
        <v>402</v>
      </c>
      <c r="B256" s="12" t="s">
        <v>438</v>
      </c>
      <c r="C256" s="12" t="s">
        <v>141</v>
      </c>
      <c r="D256" s="12" t="s">
        <v>141</v>
      </c>
      <c r="E256" s="12" t="s">
        <v>439</v>
      </c>
      <c r="F256" s="13">
        <v>45870</v>
      </c>
      <c r="G256" s="16">
        <v>674.99419999999998</v>
      </c>
      <c r="H256" s="16"/>
      <c r="I256" s="16"/>
      <c r="J256" s="16">
        <v>669.42079999999999</v>
      </c>
      <c r="K256" s="16">
        <f t="shared" si="20"/>
        <v>5.5733999999999924</v>
      </c>
      <c r="L256" s="17">
        <f t="shared" si="21"/>
        <v>8.3257048481313878E-3</v>
      </c>
    </row>
    <row r="257" spans="1:12" s="18" customFormat="1" outlineLevel="3">
      <c r="A257" s="12" t="s">
        <v>402</v>
      </c>
      <c r="B257" s="12" t="s">
        <v>438</v>
      </c>
      <c r="C257" s="12" t="s">
        <v>145</v>
      </c>
      <c r="D257" s="12" t="s">
        <v>145</v>
      </c>
      <c r="E257" s="12" t="s">
        <v>439</v>
      </c>
      <c r="F257" s="13">
        <v>45870</v>
      </c>
      <c r="G257" s="16">
        <v>675.5</v>
      </c>
      <c r="H257" s="16"/>
      <c r="I257" s="16"/>
      <c r="J257" s="16">
        <v>682.5</v>
      </c>
      <c r="K257" s="16">
        <f t="shared" si="20"/>
        <v>-7</v>
      </c>
      <c r="L257" s="17">
        <f t="shared" si="21"/>
        <v>-1.0256410256410256E-2</v>
      </c>
    </row>
    <row r="258" spans="1:12" s="18" customFormat="1" outlineLevel="3">
      <c r="A258" s="12" t="s">
        <v>402</v>
      </c>
      <c r="B258" s="12" t="s">
        <v>438</v>
      </c>
      <c r="C258" s="12" t="s">
        <v>131</v>
      </c>
      <c r="D258" s="12" t="s">
        <v>131</v>
      </c>
      <c r="E258" s="12" t="s">
        <v>439</v>
      </c>
      <c r="F258" s="13">
        <v>45870</v>
      </c>
      <c r="G258" s="16">
        <v>1758.09</v>
      </c>
      <c r="H258" s="16"/>
      <c r="I258" s="16"/>
      <c r="J258" s="16">
        <v>1758.09</v>
      </c>
      <c r="K258" s="16">
        <f t="shared" si="20"/>
        <v>0</v>
      </c>
      <c r="L258" s="17">
        <f t="shared" si="21"/>
        <v>0</v>
      </c>
    </row>
    <row r="259" spans="1:12" s="18" customFormat="1" outlineLevel="2">
      <c r="A259" s="12"/>
      <c r="B259" s="7" t="s">
        <v>441</v>
      </c>
      <c r="C259" s="12"/>
      <c r="D259" s="12"/>
      <c r="E259" s="12"/>
      <c r="F259" s="13"/>
      <c r="G259" s="16">
        <f>SUBTOTAL(9,G254:G258)</f>
        <v>3583.5842000000002</v>
      </c>
      <c r="H259" s="16"/>
      <c r="I259" s="16">
        <f>SUBTOTAL(9,I254:I258)</f>
        <v>0</v>
      </c>
      <c r="J259" s="16">
        <f>SUBTOTAL(9,J254:J258)</f>
        <v>3585.0108</v>
      </c>
      <c r="K259" s="16">
        <f>SUBTOTAL(9,K254:K258)</f>
        <v>-1.4266000000000076</v>
      </c>
      <c r="L259" s="17"/>
    </row>
    <row r="260" spans="1:12" s="18" customFormat="1" outlineLevel="3">
      <c r="A260" s="12" t="s">
        <v>402</v>
      </c>
      <c r="B260" s="12" t="s">
        <v>442</v>
      </c>
      <c r="C260" s="12" t="s">
        <v>175</v>
      </c>
      <c r="D260" s="12" t="s">
        <v>175</v>
      </c>
      <c r="E260" s="12" t="s">
        <v>443</v>
      </c>
      <c r="F260" s="13">
        <v>45870</v>
      </c>
      <c r="G260" s="16">
        <v>636</v>
      </c>
      <c r="H260" s="16"/>
      <c r="I260" s="16"/>
      <c r="J260" s="16">
        <v>636</v>
      </c>
      <c r="K260" s="16">
        <f t="shared" si="20"/>
        <v>0</v>
      </c>
      <c r="L260" s="17">
        <f t="shared" si="21"/>
        <v>0</v>
      </c>
    </row>
    <row r="261" spans="1:12" s="18" customFormat="1" outlineLevel="3">
      <c r="A261" s="12" t="s">
        <v>402</v>
      </c>
      <c r="B261" s="12" t="s">
        <v>442</v>
      </c>
      <c r="C261" s="12" t="s">
        <v>141</v>
      </c>
      <c r="D261" s="12" t="s">
        <v>141</v>
      </c>
      <c r="E261" s="12" t="s">
        <v>443</v>
      </c>
      <c r="F261" s="13">
        <v>45870</v>
      </c>
      <c r="G261" s="16">
        <v>142</v>
      </c>
      <c r="H261" s="16"/>
      <c r="I261" s="16"/>
      <c r="J261" s="16">
        <v>138</v>
      </c>
      <c r="K261" s="16">
        <f t="shared" si="20"/>
        <v>4</v>
      </c>
      <c r="L261" s="17">
        <f t="shared" si="21"/>
        <v>2.8985507246376812E-2</v>
      </c>
    </row>
    <row r="262" spans="1:12" s="18" customFormat="1" outlineLevel="3">
      <c r="A262" s="12" t="s">
        <v>402</v>
      </c>
      <c r="B262" s="12" t="s">
        <v>442</v>
      </c>
      <c r="C262" s="12" t="s">
        <v>145</v>
      </c>
      <c r="D262" s="12" t="s">
        <v>145</v>
      </c>
      <c r="E262" s="12" t="s">
        <v>443</v>
      </c>
      <c r="F262" s="13">
        <v>45870</v>
      </c>
      <c r="G262" s="16">
        <v>1033</v>
      </c>
      <c r="H262" s="16"/>
      <c r="I262" s="16"/>
      <c r="J262" s="16">
        <v>1026</v>
      </c>
      <c r="K262" s="16">
        <f t="shared" si="20"/>
        <v>7</v>
      </c>
      <c r="L262" s="17">
        <f t="shared" si="21"/>
        <v>6.8226120857699801E-3</v>
      </c>
    </row>
    <row r="263" spans="1:12" s="18" customFormat="1" outlineLevel="3">
      <c r="A263" s="12" t="s">
        <v>402</v>
      </c>
      <c r="B263" s="12" t="s">
        <v>442</v>
      </c>
      <c r="C263" s="12" t="s">
        <v>131</v>
      </c>
      <c r="D263" s="12" t="s">
        <v>131</v>
      </c>
      <c r="E263" s="12" t="s">
        <v>443</v>
      </c>
      <c r="F263" s="13">
        <v>45870</v>
      </c>
      <c r="G263" s="16">
        <v>1819.35</v>
      </c>
      <c r="H263" s="16"/>
      <c r="I263" s="16"/>
      <c r="J263" s="16">
        <v>-182.29999999999995</v>
      </c>
      <c r="K263" s="16">
        <f t="shared" si="20"/>
        <v>2001.6499999999999</v>
      </c>
      <c r="L263" s="17">
        <f t="shared" si="21"/>
        <v>-10.979978058145916</v>
      </c>
    </row>
    <row r="264" spans="1:12" s="18" customFormat="1" outlineLevel="2">
      <c r="A264" s="12"/>
      <c r="B264" s="7" t="s">
        <v>444</v>
      </c>
      <c r="C264" s="12"/>
      <c r="D264" s="12"/>
      <c r="E264" s="12"/>
      <c r="F264" s="13"/>
      <c r="G264" s="16">
        <f>SUBTOTAL(9,G260:G263)</f>
        <v>3630.35</v>
      </c>
      <c r="H264" s="16"/>
      <c r="I264" s="16">
        <f>SUBTOTAL(9,I260:I263)</f>
        <v>0</v>
      </c>
      <c r="J264" s="16">
        <f>SUBTOTAL(9,J260:J263)</f>
        <v>1617.7</v>
      </c>
      <c r="K264" s="16">
        <f>SUBTOTAL(9,K260:K263)</f>
        <v>2012.6499999999999</v>
      </c>
      <c r="L264" s="17"/>
    </row>
    <row r="265" spans="1:12" s="18" customFormat="1" outlineLevel="3">
      <c r="A265" s="12" t="s">
        <v>402</v>
      </c>
      <c r="B265" s="12" t="s">
        <v>445</v>
      </c>
      <c r="C265" s="12" t="s">
        <v>407</v>
      </c>
      <c r="D265" s="12" t="s">
        <v>407</v>
      </c>
      <c r="E265" s="12" t="s">
        <v>446</v>
      </c>
      <c r="F265" s="13">
        <v>45870</v>
      </c>
      <c r="G265" s="16">
        <v>335</v>
      </c>
      <c r="H265" s="16"/>
      <c r="I265" s="16"/>
      <c r="J265" s="16">
        <v>335</v>
      </c>
      <c r="K265" s="16">
        <f t="shared" si="20"/>
        <v>0</v>
      </c>
      <c r="L265" s="17">
        <f t="shared" si="21"/>
        <v>0</v>
      </c>
    </row>
    <row r="266" spans="1:12" s="18" customFormat="1" outlineLevel="3">
      <c r="A266" s="12" t="s">
        <v>402</v>
      </c>
      <c r="B266" s="12" t="s">
        <v>445</v>
      </c>
      <c r="C266" s="12" t="s">
        <v>141</v>
      </c>
      <c r="D266" s="12" t="s">
        <v>141</v>
      </c>
      <c r="E266" s="12" t="s">
        <v>446</v>
      </c>
      <c r="F266" s="13">
        <v>45870</v>
      </c>
      <c r="G266" s="16">
        <v>3731.087</v>
      </c>
      <c r="H266" s="16"/>
      <c r="I266" s="16"/>
      <c r="J266" s="16">
        <v>3722.2159999999999</v>
      </c>
      <c r="K266" s="16">
        <f t="shared" si="20"/>
        <v>8.8710000000000946</v>
      </c>
      <c r="L266" s="17">
        <f t="shared" si="21"/>
        <v>2.3832577152965049E-3</v>
      </c>
    </row>
    <row r="267" spans="1:12" s="18" customFormat="1" outlineLevel="3">
      <c r="A267" s="12" t="s">
        <v>402</v>
      </c>
      <c r="B267" s="12" t="s">
        <v>445</v>
      </c>
      <c r="C267" s="12" t="s">
        <v>145</v>
      </c>
      <c r="D267" s="12" t="s">
        <v>145</v>
      </c>
      <c r="E267" s="12" t="s">
        <v>446</v>
      </c>
      <c r="F267" s="13">
        <v>45870</v>
      </c>
      <c r="G267" s="16">
        <v>3839</v>
      </c>
      <c r="H267" s="16"/>
      <c r="I267" s="16"/>
      <c r="J267" s="16">
        <v>3763</v>
      </c>
      <c r="K267" s="16">
        <f t="shared" si="20"/>
        <v>76</v>
      </c>
      <c r="L267" s="17">
        <f t="shared" si="21"/>
        <v>2.0196651607759766E-2</v>
      </c>
    </row>
    <row r="268" spans="1:12" s="18" customFormat="1" outlineLevel="3">
      <c r="A268" s="12" t="s">
        <v>402</v>
      </c>
      <c r="B268" s="12" t="s">
        <v>445</v>
      </c>
      <c r="C268" s="12" t="s">
        <v>131</v>
      </c>
      <c r="D268" s="12" t="s">
        <v>131</v>
      </c>
      <c r="E268" s="12" t="s">
        <v>446</v>
      </c>
      <c r="F268" s="13">
        <v>45870</v>
      </c>
      <c r="G268" s="16">
        <v>9280.0030000000006</v>
      </c>
      <c r="H268" s="16"/>
      <c r="I268" s="16"/>
      <c r="J268" s="16">
        <v>8870.0040000000008</v>
      </c>
      <c r="K268" s="16">
        <f t="shared" si="20"/>
        <v>409.9989999999998</v>
      </c>
      <c r="L268" s="17">
        <f t="shared" si="21"/>
        <v>4.6223090767490045E-2</v>
      </c>
    </row>
    <row r="269" spans="1:12" s="18" customFormat="1" outlineLevel="2">
      <c r="A269" s="12"/>
      <c r="B269" s="7" t="s">
        <v>447</v>
      </c>
      <c r="C269" s="12"/>
      <c r="D269" s="12"/>
      <c r="E269" s="12"/>
      <c r="F269" s="13"/>
      <c r="G269" s="16">
        <f>SUBTOTAL(9,G265:G268)</f>
        <v>17185.09</v>
      </c>
      <c r="H269" s="16"/>
      <c r="I269" s="16">
        <f>SUBTOTAL(9,I265:I268)</f>
        <v>0</v>
      </c>
      <c r="J269" s="16">
        <f>SUBTOTAL(9,J265:J268)</f>
        <v>16690.22</v>
      </c>
      <c r="K269" s="16">
        <f>SUBTOTAL(9,K265:K268)</f>
        <v>494.86999999999989</v>
      </c>
      <c r="L269" s="17"/>
    </row>
    <row r="270" spans="1:12" s="18" customFormat="1" outlineLevel="3">
      <c r="A270" s="12" t="s">
        <v>402</v>
      </c>
      <c r="B270" s="12" t="s">
        <v>448</v>
      </c>
      <c r="C270" s="12" t="s">
        <v>141</v>
      </c>
      <c r="D270" s="12" t="s">
        <v>141</v>
      </c>
      <c r="E270" s="12" t="s">
        <v>449</v>
      </c>
      <c r="F270" s="13">
        <v>45870</v>
      </c>
      <c r="G270" s="16">
        <v>391.2</v>
      </c>
      <c r="H270" s="16"/>
      <c r="I270" s="16"/>
      <c r="J270" s="16">
        <v>474.4</v>
      </c>
      <c r="K270" s="16">
        <f t="shared" si="20"/>
        <v>-83.199999999999989</v>
      </c>
      <c r="L270" s="17">
        <f t="shared" si="21"/>
        <v>-0.1753794266441821</v>
      </c>
    </row>
    <row r="271" spans="1:12" s="18" customFormat="1" outlineLevel="3">
      <c r="A271" s="12" t="s">
        <v>402</v>
      </c>
      <c r="B271" s="12" t="s">
        <v>448</v>
      </c>
      <c r="C271" s="12" t="s">
        <v>145</v>
      </c>
      <c r="D271" s="12" t="s">
        <v>145</v>
      </c>
      <c r="E271" s="12" t="s">
        <v>449</v>
      </c>
      <c r="F271" s="13">
        <v>45870</v>
      </c>
      <c r="G271" s="16">
        <v>431</v>
      </c>
      <c r="H271" s="16"/>
      <c r="I271" s="16"/>
      <c r="J271" s="16">
        <v>435</v>
      </c>
      <c r="K271" s="16">
        <f t="shared" si="20"/>
        <v>-4</v>
      </c>
      <c r="L271" s="17">
        <f t="shared" si="21"/>
        <v>-9.1954022988505746E-3</v>
      </c>
    </row>
    <row r="272" spans="1:12" s="18" customFormat="1" outlineLevel="3">
      <c r="A272" s="12" t="s">
        <v>402</v>
      </c>
      <c r="B272" s="12" t="s">
        <v>448</v>
      </c>
      <c r="C272" s="12" t="s">
        <v>131</v>
      </c>
      <c r="D272" s="12" t="s">
        <v>450</v>
      </c>
      <c r="E272" s="12" t="s">
        <v>449</v>
      </c>
      <c r="F272" s="13">
        <v>45870</v>
      </c>
      <c r="G272" s="16">
        <v>920</v>
      </c>
      <c r="H272" s="16"/>
      <c r="I272" s="16"/>
      <c r="J272" s="16">
        <v>375</v>
      </c>
      <c r="K272" s="16">
        <f t="shared" si="20"/>
        <v>545</v>
      </c>
      <c r="L272" s="17">
        <f t="shared" si="21"/>
        <v>1.4533333333333334</v>
      </c>
    </row>
    <row r="273" spans="1:12" s="18" customFormat="1" outlineLevel="2">
      <c r="A273" s="12"/>
      <c r="B273" s="7" t="s">
        <v>451</v>
      </c>
      <c r="C273" s="12"/>
      <c r="D273" s="12"/>
      <c r="E273" s="12"/>
      <c r="F273" s="13"/>
      <c r="G273" s="16">
        <f>SUBTOTAL(9,G270:G272)</f>
        <v>1742.2</v>
      </c>
      <c r="H273" s="16"/>
      <c r="I273" s="16">
        <f>SUBTOTAL(9,I270:I272)</f>
        <v>0</v>
      </c>
      <c r="J273" s="16">
        <f>SUBTOTAL(9,J270:J272)</f>
        <v>1284.4000000000001</v>
      </c>
      <c r="K273" s="16">
        <f>SUBTOTAL(9,K270:K272)</f>
        <v>457.8</v>
      </c>
      <c r="L273" s="17"/>
    </row>
    <row r="274" spans="1:12" s="18" customFormat="1" outlineLevel="3">
      <c r="A274" s="12" t="s">
        <v>402</v>
      </c>
      <c r="B274" s="12" t="s">
        <v>452</v>
      </c>
      <c r="C274" s="12" t="s">
        <v>407</v>
      </c>
      <c r="D274" s="12" t="s">
        <v>453</v>
      </c>
      <c r="E274" s="12" t="s">
        <v>454</v>
      </c>
      <c r="F274" s="13">
        <v>45884</v>
      </c>
      <c r="G274" s="16">
        <v>546.41999999999996</v>
      </c>
      <c r="H274" s="16"/>
      <c r="I274" s="16"/>
      <c r="J274" s="16">
        <v>546.41999999999996</v>
      </c>
      <c r="K274" s="16">
        <f t="shared" si="20"/>
        <v>0</v>
      </c>
      <c r="L274" s="17">
        <f t="shared" si="21"/>
        <v>0</v>
      </c>
    </row>
    <row r="275" spans="1:12" s="18" customFormat="1" outlineLevel="3">
      <c r="A275" s="12" t="s">
        <v>402</v>
      </c>
      <c r="B275" s="12" t="s">
        <v>452</v>
      </c>
      <c r="C275" s="12" t="s">
        <v>141</v>
      </c>
      <c r="D275" s="12" t="s">
        <v>141</v>
      </c>
      <c r="E275" s="12" t="s">
        <v>454</v>
      </c>
      <c r="F275" s="13">
        <v>45884</v>
      </c>
      <c r="G275" s="16">
        <v>1540</v>
      </c>
      <c r="H275" s="16"/>
      <c r="I275" s="16"/>
      <c r="J275" s="16">
        <v>1540</v>
      </c>
      <c r="K275" s="16">
        <f t="shared" si="20"/>
        <v>0</v>
      </c>
      <c r="L275" s="17">
        <f t="shared" si="21"/>
        <v>0</v>
      </c>
    </row>
    <row r="276" spans="1:12" s="18" customFormat="1" outlineLevel="3">
      <c r="A276" s="12" t="s">
        <v>402</v>
      </c>
      <c r="B276" s="12" t="s">
        <v>452</v>
      </c>
      <c r="C276" s="12" t="s">
        <v>145</v>
      </c>
      <c r="D276" s="12" t="s">
        <v>145</v>
      </c>
      <c r="E276" s="12" t="s">
        <v>454</v>
      </c>
      <c r="F276" s="13">
        <v>45884</v>
      </c>
      <c r="G276" s="16">
        <v>250</v>
      </c>
      <c r="H276" s="16"/>
      <c r="I276" s="16"/>
      <c r="J276" s="16">
        <v>250</v>
      </c>
      <c r="K276" s="16">
        <f t="shared" si="20"/>
        <v>0</v>
      </c>
      <c r="L276" s="17">
        <f t="shared" si="21"/>
        <v>0</v>
      </c>
    </row>
    <row r="277" spans="1:12" s="18" customFormat="1" outlineLevel="3">
      <c r="A277" s="12" t="s">
        <v>402</v>
      </c>
      <c r="B277" s="12" t="s">
        <v>452</v>
      </c>
      <c r="C277" s="12" t="s">
        <v>131</v>
      </c>
      <c r="D277" s="12" t="s">
        <v>131</v>
      </c>
      <c r="E277" s="12" t="s">
        <v>454</v>
      </c>
      <c r="F277" s="13">
        <v>45884</v>
      </c>
      <c r="G277" s="16">
        <v>2595.6</v>
      </c>
      <c r="H277" s="16"/>
      <c r="I277" s="16"/>
      <c r="J277" s="16">
        <v>2504.08</v>
      </c>
      <c r="K277" s="16">
        <f t="shared" si="20"/>
        <v>91.519999999999982</v>
      </c>
      <c r="L277" s="17">
        <f t="shared" si="21"/>
        <v>3.654835308776077E-2</v>
      </c>
    </row>
    <row r="278" spans="1:12" s="18" customFormat="1" outlineLevel="2">
      <c r="A278" s="12"/>
      <c r="B278" s="7" t="s">
        <v>455</v>
      </c>
      <c r="C278" s="12"/>
      <c r="D278" s="12"/>
      <c r="E278" s="12"/>
      <c r="F278" s="13"/>
      <c r="G278" s="16">
        <f>SUBTOTAL(9,G274:G277)</f>
        <v>4932.0200000000004</v>
      </c>
      <c r="H278" s="16"/>
      <c r="I278" s="16">
        <f>SUBTOTAL(9,I274:I277)</f>
        <v>0</v>
      </c>
      <c r="J278" s="16">
        <f>SUBTOTAL(9,J274:J277)</f>
        <v>4840.5</v>
      </c>
      <c r="K278" s="16">
        <f>SUBTOTAL(9,K274:K277)</f>
        <v>91.519999999999982</v>
      </c>
      <c r="L278" s="17"/>
    </row>
    <row r="279" spans="1:12" s="18" customFormat="1" outlineLevel="3">
      <c r="A279" s="12" t="s">
        <v>402</v>
      </c>
      <c r="B279" s="12" t="s">
        <v>456</v>
      </c>
      <c r="C279" s="12" t="s">
        <v>407</v>
      </c>
      <c r="D279" s="12" t="s">
        <v>407</v>
      </c>
      <c r="E279" s="12" t="s">
        <v>457</v>
      </c>
      <c r="F279" s="13">
        <v>45870</v>
      </c>
      <c r="G279" s="16">
        <v>500</v>
      </c>
      <c r="H279" s="16"/>
      <c r="I279" s="16"/>
      <c r="J279" s="16">
        <v>500</v>
      </c>
      <c r="K279" s="16">
        <f t="shared" si="20"/>
        <v>0</v>
      </c>
      <c r="L279" s="17">
        <f t="shared" si="21"/>
        <v>0</v>
      </c>
    </row>
    <row r="280" spans="1:12" s="18" customFormat="1" outlineLevel="3">
      <c r="A280" s="12" t="s">
        <v>402</v>
      </c>
      <c r="B280" s="12" t="s">
        <v>456</v>
      </c>
      <c r="C280" s="12" t="s">
        <v>175</v>
      </c>
      <c r="D280" s="12" t="s">
        <v>175</v>
      </c>
      <c r="E280" s="12" t="s">
        <v>457</v>
      </c>
      <c r="F280" s="13">
        <v>45870</v>
      </c>
      <c r="G280" s="16">
        <v>664.8</v>
      </c>
      <c r="H280" s="16"/>
      <c r="I280" s="16"/>
      <c r="J280" s="16">
        <v>664.8</v>
      </c>
      <c r="K280" s="16">
        <f t="shared" si="20"/>
        <v>0</v>
      </c>
      <c r="L280" s="17">
        <f t="shared" si="21"/>
        <v>0</v>
      </c>
    </row>
    <row r="281" spans="1:12" s="18" customFormat="1" outlineLevel="3">
      <c r="A281" s="12" t="s">
        <v>402</v>
      </c>
      <c r="B281" s="12" t="s">
        <v>456</v>
      </c>
      <c r="C281" s="12" t="s">
        <v>141</v>
      </c>
      <c r="D281" s="12" t="s">
        <v>141</v>
      </c>
      <c r="E281" s="12" t="s">
        <v>457</v>
      </c>
      <c r="F281" s="13">
        <v>45870</v>
      </c>
      <c r="G281" s="16">
        <v>100.5</v>
      </c>
      <c r="H281" s="16"/>
      <c r="I281" s="16"/>
      <c r="J281" s="16">
        <v>100.5</v>
      </c>
      <c r="K281" s="16">
        <f t="shared" si="20"/>
        <v>0</v>
      </c>
      <c r="L281" s="17">
        <f t="shared" si="21"/>
        <v>0</v>
      </c>
    </row>
    <row r="282" spans="1:12" s="18" customFormat="1" outlineLevel="3">
      <c r="A282" s="12" t="s">
        <v>402</v>
      </c>
      <c r="B282" s="12" t="s">
        <v>456</v>
      </c>
      <c r="C282" s="12" t="s">
        <v>145</v>
      </c>
      <c r="D282" s="12" t="s">
        <v>145</v>
      </c>
      <c r="E282" s="12" t="s">
        <v>457</v>
      </c>
      <c r="F282" s="13">
        <v>45870</v>
      </c>
      <c r="G282" s="16">
        <v>1163</v>
      </c>
      <c r="H282" s="16"/>
      <c r="I282" s="16"/>
      <c r="J282" s="16">
        <v>439</v>
      </c>
      <c r="K282" s="16">
        <f t="shared" si="20"/>
        <v>724</v>
      </c>
      <c r="L282" s="17">
        <f t="shared" si="21"/>
        <v>1.6492027334851935</v>
      </c>
    </row>
    <row r="283" spans="1:12" s="18" customFormat="1" outlineLevel="3">
      <c r="A283" s="12" t="s">
        <v>402</v>
      </c>
      <c r="B283" s="12" t="s">
        <v>456</v>
      </c>
      <c r="C283" s="12" t="s">
        <v>131</v>
      </c>
      <c r="D283" s="12" t="s">
        <v>131</v>
      </c>
      <c r="E283" s="12" t="s">
        <v>457</v>
      </c>
      <c r="F283" s="13">
        <v>45870</v>
      </c>
      <c r="G283" s="16">
        <v>1672.37</v>
      </c>
      <c r="H283" s="16"/>
      <c r="I283" s="16"/>
      <c r="J283" s="16">
        <v>1672.37</v>
      </c>
      <c r="K283" s="16">
        <f t="shared" si="20"/>
        <v>0</v>
      </c>
      <c r="L283" s="17">
        <f t="shared" si="21"/>
        <v>0</v>
      </c>
    </row>
    <row r="284" spans="1:12" s="18" customFormat="1" outlineLevel="2">
      <c r="A284" s="12"/>
      <c r="B284" s="7" t="s">
        <v>458</v>
      </c>
      <c r="C284" s="12"/>
      <c r="D284" s="12"/>
      <c r="E284" s="12"/>
      <c r="F284" s="13"/>
      <c r="G284" s="16">
        <f>SUBTOTAL(9,G279:G283)</f>
        <v>4100.67</v>
      </c>
      <c r="H284" s="16"/>
      <c r="I284" s="16">
        <f>SUBTOTAL(9,I279:I283)</f>
        <v>0</v>
      </c>
      <c r="J284" s="16">
        <f>SUBTOTAL(9,J279:J283)</f>
        <v>3376.67</v>
      </c>
      <c r="K284" s="16">
        <f>SUBTOTAL(9,K279:K283)</f>
        <v>724</v>
      </c>
      <c r="L284" s="17"/>
    </row>
    <row r="285" spans="1:12" s="18" customFormat="1" outlineLevel="3">
      <c r="A285" s="12" t="s">
        <v>402</v>
      </c>
      <c r="B285" s="12" t="s">
        <v>459</v>
      </c>
      <c r="C285" s="12" t="s">
        <v>145</v>
      </c>
      <c r="D285" s="12" t="s">
        <v>308</v>
      </c>
      <c r="E285" s="12" t="s">
        <v>460</v>
      </c>
      <c r="F285" s="13">
        <v>45870</v>
      </c>
      <c r="G285" s="16">
        <v>769</v>
      </c>
      <c r="H285" s="16"/>
      <c r="I285" s="16"/>
      <c r="J285" s="16">
        <v>744</v>
      </c>
      <c r="K285" s="16">
        <f t="shared" si="20"/>
        <v>25</v>
      </c>
      <c r="L285" s="17">
        <f t="shared" si="21"/>
        <v>3.3602150537634407E-2</v>
      </c>
    </row>
    <row r="286" spans="1:12" s="18" customFormat="1" outlineLevel="3">
      <c r="A286" s="12" t="s">
        <v>402</v>
      </c>
      <c r="B286" s="12" t="s">
        <v>459</v>
      </c>
      <c r="C286" s="12" t="s">
        <v>131</v>
      </c>
      <c r="D286" s="12" t="s">
        <v>450</v>
      </c>
      <c r="E286" s="12" t="s">
        <v>460</v>
      </c>
      <c r="F286" s="13">
        <v>45870</v>
      </c>
      <c r="G286" s="16">
        <v>2828</v>
      </c>
      <c r="H286" s="16"/>
      <c r="I286" s="16"/>
      <c r="J286" s="16">
        <v>1681</v>
      </c>
      <c r="K286" s="16">
        <f t="shared" si="20"/>
        <v>1147</v>
      </c>
      <c r="L286" s="17">
        <f t="shared" si="21"/>
        <v>0.6823319452706722</v>
      </c>
    </row>
    <row r="287" spans="1:12" s="18" customFormat="1" outlineLevel="2">
      <c r="A287" s="12"/>
      <c r="B287" s="7" t="s">
        <v>461</v>
      </c>
      <c r="C287" s="12"/>
      <c r="D287" s="12"/>
      <c r="E287" s="12"/>
      <c r="F287" s="13"/>
      <c r="G287" s="16">
        <f>SUBTOTAL(9,G285:G286)</f>
        <v>3597</v>
      </c>
      <c r="H287" s="16"/>
      <c r="I287" s="16">
        <f>SUBTOTAL(9,I285:I286)</f>
        <v>0</v>
      </c>
      <c r="J287" s="16">
        <f>SUBTOTAL(9,J285:J286)</f>
        <v>2425</v>
      </c>
      <c r="K287" s="16">
        <f>SUBTOTAL(9,K285:K286)</f>
        <v>1172</v>
      </c>
      <c r="L287" s="17"/>
    </row>
    <row r="288" spans="1:12" s="18" customFormat="1" outlineLevel="3">
      <c r="A288" s="12" t="s">
        <v>402</v>
      </c>
      <c r="B288" s="12" t="s">
        <v>462</v>
      </c>
      <c r="C288" s="12" t="s">
        <v>175</v>
      </c>
      <c r="D288" s="12" t="s">
        <v>175</v>
      </c>
      <c r="E288" s="12" t="s">
        <v>463</v>
      </c>
      <c r="F288" s="13">
        <v>45870</v>
      </c>
      <c r="G288" s="16">
        <v>1026</v>
      </c>
      <c r="H288" s="16"/>
      <c r="I288" s="16"/>
      <c r="J288" s="16">
        <v>1026</v>
      </c>
      <c r="K288" s="16">
        <f t="shared" si="20"/>
        <v>0</v>
      </c>
      <c r="L288" s="17">
        <f t="shared" si="21"/>
        <v>0</v>
      </c>
    </row>
    <row r="289" spans="1:12" s="18" customFormat="1" outlineLevel="3">
      <c r="A289" s="12" t="s">
        <v>402</v>
      </c>
      <c r="B289" s="12" t="s">
        <v>462</v>
      </c>
      <c r="C289" s="12" t="s">
        <v>141</v>
      </c>
      <c r="D289" s="12" t="s">
        <v>141</v>
      </c>
      <c r="E289" s="12" t="s">
        <v>463</v>
      </c>
      <c r="F289" s="13">
        <v>45870</v>
      </c>
      <c r="G289" s="16">
        <v>769.83079999999995</v>
      </c>
      <c r="H289" s="16"/>
      <c r="I289" s="16"/>
      <c r="J289" s="16">
        <v>766.19420000000002</v>
      </c>
      <c r="K289" s="16">
        <f t="shared" si="20"/>
        <v>3.6365999999999303</v>
      </c>
      <c r="L289" s="17">
        <f t="shared" si="21"/>
        <v>4.7463162733415764E-3</v>
      </c>
    </row>
    <row r="290" spans="1:12" s="18" customFormat="1" outlineLevel="3">
      <c r="A290" s="12" t="s">
        <v>402</v>
      </c>
      <c r="B290" s="12" t="s">
        <v>462</v>
      </c>
      <c r="C290" s="12" t="s">
        <v>145</v>
      </c>
      <c r="D290" s="12" t="s">
        <v>145</v>
      </c>
      <c r="E290" s="12" t="s">
        <v>463</v>
      </c>
      <c r="F290" s="13">
        <v>45870</v>
      </c>
      <c r="G290" s="16">
        <v>726</v>
      </c>
      <c r="H290" s="16"/>
      <c r="I290" s="16"/>
      <c r="J290" s="16">
        <v>733</v>
      </c>
      <c r="K290" s="16">
        <f t="shared" si="20"/>
        <v>-7</v>
      </c>
      <c r="L290" s="17">
        <f t="shared" si="21"/>
        <v>-9.5497953615279671E-3</v>
      </c>
    </row>
    <row r="291" spans="1:12" s="18" customFormat="1" outlineLevel="3">
      <c r="A291" s="12" t="s">
        <v>402</v>
      </c>
      <c r="B291" s="12" t="s">
        <v>462</v>
      </c>
      <c r="C291" s="12" t="s">
        <v>131</v>
      </c>
      <c r="D291" s="12" t="s">
        <v>131</v>
      </c>
      <c r="E291" s="12" t="s">
        <v>463</v>
      </c>
      <c r="F291" s="13">
        <v>45870</v>
      </c>
      <c r="G291" s="16">
        <v>2708.94</v>
      </c>
      <c r="H291" s="16"/>
      <c r="I291" s="16"/>
      <c r="J291" s="16">
        <v>2708.94</v>
      </c>
      <c r="K291" s="16">
        <f t="shared" si="20"/>
        <v>0</v>
      </c>
      <c r="L291" s="17">
        <f t="shared" si="21"/>
        <v>0</v>
      </c>
    </row>
    <row r="292" spans="1:12" s="18" customFormat="1" outlineLevel="3">
      <c r="A292" s="12" t="s">
        <v>402</v>
      </c>
      <c r="B292" s="12" t="s">
        <v>462</v>
      </c>
      <c r="C292" s="12" t="s">
        <v>464</v>
      </c>
      <c r="D292" s="12" t="s">
        <v>464</v>
      </c>
      <c r="E292" s="12" t="s">
        <v>463</v>
      </c>
      <c r="F292" s="13">
        <v>45870</v>
      </c>
      <c r="G292" s="16">
        <v>55</v>
      </c>
      <c r="H292" s="16"/>
      <c r="I292" s="16"/>
      <c r="J292" s="16">
        <v>55</v>
      </c>
      <c r="K292" s="16">
        <f t="shared" si="20"/>
        <v>0</v>
      </c>
      <c r="L292" s="17">
        <f t="shared" si="21"/>
        <v>0</v>
      </c>
    </row>
    <row r="293" spans="1:12" s="18" customFormat="1" outlineLevel="2">
      <c r="A293" s="12"/>
      <c r="B293" s="7" t="s">
        <v>465</v>
      </c>
      <c r="C293" s="12"/>
      <c r="D293" s="12"/>
      <c r="E293" s="12"/>
      <c r="F293" s="13"/>
      <c r="G293" s="16">
        <f>SUBTOTAL(9,G288:G292)</f>
        <v>5285.7708000000002</v>
      </c>
      <c r="H293" s="16"/>
      <c r="I293" s="16">
        <f>SUBTOTAL(9,I288:I292)</f>
        <v>0</v>
      </c>
      <c r="J293" s="16">
        <f>SUBTOTAL(9,J288:J292)</f>
        <v>5289.1342000000004</v>
      </c>
      <c r="K293" s="16">
        <f>SUBTOTAL(9,K288:K292)</f>
        <v>-3.3634000000000697</v>
      </c>
      <c r="L293" s="17"/>
    </row>
    <row r="294" spans="1:12" s="18" customFormat="1" outlineLevel="3">
      <c r="A294" s="12" t="s">
        <v>402</v>
      </c>
      <c r="B294" s="12" t="s">
        <v>466</v>
      </c>
      <c r="C294" s="12" t="s">
        <v>175</v>
      </c>
      <c r="D294" s="12" t="s">
        <v>175</v>
      </c>
      <c r="E294" s="12" t="s">
        <v>467</v>
      </c>
      <c r="F294" s="13">
        <v>45870</v>
      </c>
      <c r="G294" s="16">
        <v>27</v>
      </c>
      <c r="H294" s="16"/>
      <c r="I294" s="16"/>
      <c r="J294" s="16">
        <v>27</v>
      </c>
      <c r="K294" s="16">
        <f t="shared" si="20"/>
        <v>0</v>
      </c>
      <c r="L294" s="17">
        <f t="shared" si="21"/>
        <v>0</v>
      </c>
    </row>
    <row r="295" spans="1:12" s="18" customFormat="1" outlineLevel="3">
      <c r="A295" s="12" t="s">
        <v>402</v>
      </c>
      <c r="B295" s="12" t="s">
        <v>466</v>
      </c>
      <c r="C295" s="12" t="s">
        <v>141</v>
      </c>
      <c r="D295" s="12" t="s">
        <v>141</v>
      </c>
      <c r="E295" s="12" t="s">
        <v>467</v>
      </c>
      <c r="F295" s="13">
        <v>45870</v>
      </c>
      <c r="G295" s="16">
        <v>575.84699999999998</v>
      </c>
      <c r="H295" s="16"/>
      <c r="I295" s="16"/>
      <c r="J295" s="16">
        <v>578.27319999999997</v>
      </c>
      <c r="K295" s="16">
        <f t="shared" si="20"/>
        <v>-2.4261999999999944</v>
      </c>
      <c r="L295" s="17">
        <f t="shared" si="21"/>
        <v>-4.1955947465661461E-3</v>
      </c>
    </row>
    <row r="296" spans="1:12" s="18" customFormat="1" outlineLevel="3">
      <c r="A296" s="12" t="s">
        <v>402</v>
      </c>
      <c r="B296" s="12" t="s">
        <v>466</v>
      </c>
      <c r="C296" s="12" t="s">
        <v>145</v>
      </c>
      <c r="D296" s="12" t="s">
        <v>145</v>
      </c>
      <c r="E296" s="12" t="s">
        <v>467</v>
      </c>
      <c r="F296" s="13">
        <v>45870</v>
      </c>
      <c r="G296" s="16">
        <v>880</v>
      </c>
      <c r="H296" s="16"/>
      <c r="I296" s="16"/>
      <c r="J296" s="16">
        <v>880</v>
      </c>
      <c r="K296" s="16">
        <f t="shared" ref="K296:K374" si="22">+G296-J296</f>
        <v>0</v>
      </c>
      <c r="L296" s="17">
        <f t="shared" ref="L296:L374" si="23">+K296/J296</f>
        <v>0</v>
      </c>
    </row>
    <row r="297" spans="1:12" s="18" customFormat="1" outlineLevel="3">
      <c r="A297" s="12" t="s">
        <v>402</v>
      </c>
      <c r="B297" s="12" t="s">
        <v>466</v>
      </c>
      <c r="C297" s="12" t="s">
        <v>131</v>
      </c>
      <c r="D297" s="12" t="s">
        <v>131</v>
      </c>
      <c r="E297" s="12" t="s">
        <v>467</v>
      </c>
      <c r="F297" s="13">
        <v>45870</v>
      </c>
      <c r="G297" s="16">
        <v>7435.5829999999996</v>
      </c>
      <c r="H297" s="16"/>
      <c r="I297" s="16"/>
      <c r="J297" s="16">
        <v>7219.01</v>
      </c>
      <c r="K297" s="16">
        <f t="shared" si="22"/>
        <v>216.57299999999941</v>
      </c>
      <c r="L297" s="17">
        <f t="shared" si="23"/>
        <v>3.0000374012503016E-2</v>
      </c>
    </row>
    <row r="298" spans="1:12" s="18" customFormat="1" outlineLevel="2">
      <c r="A298" s="12"/>
      <c r="B298" s="7" t="s">
        <v>468</v>
      </c>
      <c r="C298" s="12"/>
      <c r="D298" s="12"/>
      <c r="E298" s="12"/>
      <c r="F298" s="13"/>
      <c r="G298" s="16">
        <f>SUBTOTAL(9,G294:G297)</f>
        <v>8918.43</v>
      </c>
      <c r="H298" s="16"/>
      <c r="I298" s="16">
        <f>SUBTOTAL(9,I294:I297)</f>
        <v>0</v>
      </c>
      <c r="J298" s="16">
        <f>SUBTOTAL(9,J294:J297)</f>
        <v>8704.2831999999999</v>
      </c>
      <c r="K298" s="16">
        <f>SUBTOTAL(9,K294:K297)</f>
        <v>214.14679999999942</v>
      </c>
      <c r="L298" s="17"/>
    </row>
    <row r="299" spans="1:12" s="18" customFormat="1" outlineLevel="3">
      <c r="A299" s="12" t="s">
        <v>402</v>
      </c>
      <c r="B299" s="12" t="s">
        <v>469</v>
      </c>
      <c r="C299" s="12" t="s">
        <v>175</v>
      </c>
      <c r="D299" s="12" t="s">
        <v>175</v>
      </c>
      <c r="E299" s="12" t="s">
        <v>470</v>
      </c>
      <c r="F299" s="13">
        <v>45870</v>
      </c>
      <c r="G299" s="16">
        <v>388</v>
      </c>
      <c r="H299" s="16"/>
      <c r="I299" s="16"/>
      <c r="J299" s="16">
        <v>388</v>
      </c>
      <c r="K299" s="16">
        <f t="shared" si="22"/>
        <v>0</v>
      </c>
      <c r="L299" s="17">
        <f t="shared" si="23"/>
        <v>0</v>
      </c>
    </row>
    <row r="300" spans="1:12" s="18" customFormat="1" outlineLevel="3">
      <c r="A300" s="12" t="s">
        <v>402</v>
      </c>
      <c r="B300" s="12" t="s">
        <v>469</v>
      </c>
      <c r="C300" s="12" t="s">
        <v>141</v>
      </c>
      <c r="D300" s="12" t="s">
        <v>141</v>
      </c>
      <c r="E300" s="12" t="s">
        <v>470</v>
      </c>
      <c r="F300" s="13">
        <v>45870</v>
      </c>
      <c r="G300" s="16">
        <v>395.23320000000001</v>
      </c>
      <c r="H300" s="16"/>
      <c r="I300" s="16"/>
      <c r="J300" s="16">
        <v>367.34160000000003</v>
      </c>
      <c r="K300" s="16">
        <f t="shared" si="22"/>
        <v>27.891599999999983</v>
      </c>
      <c r="L300" s="17">
        <f t="shared" si="23"/>
        <v>7.5928236823708445E-2</v>
      </c>
    </row>
    <row r="301" spans="1:12" s="18" customFormat="1" outlineLevel="3">
      <c r="A301" s="12" t="s">
        <v>402</v>
      </c>
      <c r="B301" s="12" t="s">
        <v>469</v>
      </c>
      <c r="C301" s="12" t="s">
        <v>145</v>
      </c>
      <c r="D301" s="12" t="s">
        <v>145</v>
      </c>
      <c r="E301" s="12" t="s">
        <v>470</v>
      </c>
      <c r="F301" s="13">
        <v>45870</v>
      </c>
      <c r="G301" s="16">
        <v>119</v>
      </c>
      <c r="H301" s="16"/>
      <c r="I301" s="16"/>
      <c r="J301" s="16">
        <v>119</v>
      </c>
      <c r="K301" s="16">
        <f t="shared" si="22"/>
        <v>0</v>
      </c>
      <c r="L301" s="17">
        <f t="shared" si="23"/>
        <v>0</v>
      </c>
    </row>
    <row r="302" spans="1:12" s="18" customFormat="1" outlineLevel="3">
      <c r="A302" s="12" t="s">
        <v>402</v>
      </c>
      <c r="B302" s="12" t="s">
        <v>469</v>
      </c>
      <c r="C302" s="12" t="s">
        <v>131</v>
      </c>
      <c r="D302" s="12" t="s">
        <v>131</v>
      </c>
      <c r="E302" s="12" t="s">
        <v>470</v>
      </c>
      <c r="F302" s="13">
        <v>45870</v>
      </c>
      <c r="G302" s="16">
        <v>1451.47</v>
      </c>
      <c r="H302" s="16"/>
      <c r="I302" s="16"/>
      <c r="J302" s="16">
        <v>1451.47</v>
      </c>
      <c r="K302" s="16">
        <f t="shared" si="22"/>
        <v>0</v>
      </c>
      <c r="L302" s="17">
        <f t="shared" si="23"/>
        <v>0</v>
      </c>
    </row>
    <row r="303" spans="1:12" s="18" customFormat="1" outlineLevel="2">
      <c r="A303" s="12"/>
      <c r="B303" s="7" t="s">
        <v>471</v>
      </c>
      <c r="C303" s="12"/>
      <c r="D303" s="12"/>
      <c r="E303" s="12"/>
      <c r="F303" s="13"/>
      <c r="G303" s="16">
        <f>SUBTOTAL(9,G299:G302)</f>
        <v>2353.7031999999999</v>
      </c>
      <c r="H303" s="16"/>
      <c r="I303" s="16">
        <f>SUBTOTAL(9,I299:I302)</f>
        <v>0</v>
      </c>
      <c r="J303" s="16">
        <f>SUBTOTAL(9,J299:J302)</f>
        <v>2325.8116</v>
      </c>
      <c r="K303" s="16">
        <f>SUBTOTAL(9,K299:K302)</f>
        <v>27.891599999999983</v>
      </c>
      <c r="L303" s="17"/>
    </row>
    <row r="304" spans="1:12" s="18" customFormat="1" outlineLevel="3">
      <c r="A304" s="12" t="s">
        <v>402</v>
      </c>
      <c r="B304" s="12" t="s">
        <v>472</v>
      </c>
      <c r="C304" s="12" t="s">
        <v>407</v>
      </c>
      <c r="D304" s="12" t="s">
        <v>407</v>
      </c>
      <c r="E304" s="12" t="s">
        <v>473</v>
      </c>
      <c r="F304" s="13">
        <v>45870</v>
      </c>
      <c r="G304" s="16">
        <v>493</v>
      </c>
      <c r="H304" s="16"/>
      <c r="I304" s="16"/>
      <c r="J304" s="16">
        <v>493</v>
      </c>
      <c r="K304" s="16">
        <f t="shared" si="22"/>
        <v>0</v>
      </c>
      <c r="L304" s="17">
        <f t="shared" si="23"/>
        <v>0</v>
      </c>
    </row>
    <row r="305" spans="1:13" s="18" customFormat="1" outlineLevel="3">
      <c r="A305" s="12" t="s">
        <v>402</v>
      </c>
      <c r="B305" s="12" t="s">
        <v>472</v>
      </c>
      <c r="C305" s="12" t="s">
        <v>175</v>
      </c>
      <c r="D305" s="12" t="s">
        <v>474</v>
      </c>
      <c r="E305" s="12" t="s">
        <v>473</v>
      </c>
      <c r="F305" s="13">
        <v>45870</v>
      </c>
      <c r="G305" s="16">
        <v>352</v>
      </c>
      <c r="H305" s="16"/>
      <c r="I305" s="16"/>
      <c r="J305" s="16">
        <v>352</v>
      </c>
      <c r="K305" s="16">
        <f t="shared" si="22"/>
        <v>0</v>
      </c>
      <c r="L305" s="17">
        <f t="shared" si="23"/>
        <v>0</v>
      </c>
    </row>
    <row r="306" spans="1:13" s="18" customFormat="1" outlineLevel="3">
      <c r="A306" s="12" t="s">
        <v>402</v>
      </c>
      <c r="B306" s="12" t="s">
        <v>472</v>
      </c>
      <c r="C306" s="12" t="s">
        <v>141</v>
      </c>
      <c r="D306" s="12" t="s">
        <v>141</v>
      </c>
      <c r="E306" s="12" t="s">
        <v>473</v>
      </c>
      <c r="F306" s="13">
        <v>45870</v>
      </c>
      <c r="G306" s="16">
        <v>119.5</v>
      </c>
      <c r="H306" s="16"/>
      <c r="I306" s="16"/>
      <c r="J306" s="16">
        <v>119.5</v>
      </c>
      <c r="K306" s="16">
        <f t="shared" si="22"/>
        <v>0</v>
      </c>
      <c r="L306" s="17">
        <f t="shared" si="23"/>
        <v>0</v>
      </c>
    </row>
    <row r="307" spans="1:13" s="18" customFormat="1" outlineLevel="3">
      <c r="A307" s="12" t="s">
        <v>402</v>
      </c>
      <c r="B307" s="12" t="s">
        <v>472</v>
      </c>
      <c r="C307" s="12" t="s">
        <v>145</v>
      </c>
      <c r="D307" s="12" t="s">
        <v>145</v>
      </c>
      <c r="E307" s="12" t="s">
        <v>473</v>
      </c>
      <c r="F307" s="13">
        <v>45870</v>
      </c>
      <c r="G307" s="16">
        <v>355</v>
      </c>
      <c r="H307" s="16"/>
      <c r="I307" s="16"/>
      <c r="J307" s="16">
        <v>355</v>
      </c>
      <c r="K307" s="16">
        <f t="shared" si="22"/>
        <v>0</v>
      </c>
      <c r="L307" s="17">
        <f t="shared" si="23"/>
        <v>0</v>
      </c>
    </row>
    <row r="308" spans="1:13" s="18" customFormat="1" outlineLevel="3">
      <c r="A308" s="12" t="s">
        <v>402</v>
      </c>
      <c r="B308" s="12" t="s">
        <v>472</v>
      </c>
      <c r="C308" s="12" t="s">
        <v>131</v>
      </c>
      <c r="D308" s="12" t="s">
        <v>475</v>
      </c>
      <c r="E308" s="12" t="s">
        <v>473</v>
      </c>
      <c r="F308" s="13">
        <v>45870</v>
      </c>
      <c r="G308" s="16">
        <v>4522.21</v>
      </c>
      <c r="H308" s="16"/>
      <c r="I308" s="16"/>
      <c r="J308" s="16">
        <v>4522.21</v>
      </c>
      <c r="K308" s="16">
        <f t="shared" si="22"/>
        <v>0</v>
      </c>
      <c r="L308" s="17">
        <f t="shared" si="23"/>
        <v>0</v>
      </c>
    </row>
    <row r="309" spans="1:13" s="18" customFormat="1" outlineLevel="2">
      <c r="A309" s="12"/>
      <c r="B309" s="7" t="s">
        <v>476</v>
      </c>
      <c r="C309" s="12"/>
      <c r="D309" s="12"/>
      <c r="E309" s="12"/>
      <c r="F309" s="13"/>
      <c r="G309" s="16">
        <f>SUBTOTAL(9,G304:G308)</f>
        <v>5841.71</v>
      </c>
      <c r="H309" s="16"/>
      <c r="I309" s="16">
        <f>SUBTOTAL(9,I304:I308)</f>
        <v>0</v>
      </c>
      <c r="J309" s="16">
        <f>SUBTOTAL(9,J304:J308)</f>
        <v>5841.71</v>
      </c>
      <c r="K309" s="16">
        <f>SUBTOTAL(9,K304:K308)</f>
        <v>0</v>
      </c>
      <c r="L309" s="17"/>
    </row>
    <row r="310" spans="1:13" outlineLevel="3">
      <c r="A310" s="12" t="s">
        <v>402</v>
      </c>
      <c r="B310" s="12" t="s">
        <v>477</v>
      </c>
      <c r="C310" s="12" t="s">
        <v>407</v>
      </c>
      <c r="D310" s="12" t="s">
        <v>478</v>
      </c>
      <c r="E310" s="12" t="s">
        <v>479</v>
      </c>
      <c r="F310" s="13">
        <v>45884</v>
      </c>
      <c r="G310" s="16">
        <v>334.75</v>
      </c>
      <c r="H310" s="16"/>
      <c r="I310" s="16"/>
      <c r="J310" s="16">
        <v>334.75</v>
      </c>
      <c r="K310" s="16">
        <f t="shared" si="22"/>
        <v>0</v>
      </c>
      <c r="L310" s="17">
        <f t="shared" si="23"/>
        <v>0</v>
      </c>
      <c r="M310" s="18"/>
    </row>
    <row r="311" spans="1:13" outlineLevel="3">
      <c r="A311" s="12" t="s">
        <v>402</v>
      </c>
      <c r="B311" s="12" t="s">
        <v>477</v>
      </c>
      <c r="C311" s="12" t="s">
        <v>141</v>
      </c>
      <c r="D311" s="12" t="s">
        <v>141</v>
      </c>
      <c r="E311" s="12" t="s">
        <v>479</v>
      </c>
      <c r="F311" s="13">
        <v>45884</v>
      </c>
      <c r="G311" s="16">
        <v>0</v>
      </c>
      <c r="H311" s="16"/>
      <c r="I311" s="16"/>
      <c r="J311" s="16">
        <v>0</v>
      </c>
      <c r="K311" s="16">
        <f t="shared" si="22"/>
        <v>0</v>
      </c>
      <c r="L311" s="17"/>
      <c r="M311" s="18"/>
    </row>
    <row r="312" spans="1:13" outlineLevel="3">
      <c r="A312" s="12" t="s">
        <v>402</v>
      </c>
      <c r="B312" s="12" t="s">
        <v>477</v>
      </c>
      <c r="C312" s="12" t="s">
        <v>141</v>
      </c>
      <c r="D312" s="12" t="s">
        <v>181</v>
      </c>
      <c r="E312" s="12" t="s">
        <v>480</v>
      </c>
      <c r="F312" s="13">
        <v>45875</v>
      </c>
      <c r="G312" s="16"/>
      <c r="H312" s="16"/>
      <c r="I312" s="16"/>
      <c r="J312" s="16"/>
      <c r="K312" s="16"/>
      <c r="L312" s="17"/>
      <c r="M312" s="18" t="s">
        <v>481</v>
      </c>
    </row>
    <row r="313" spans="1:13" outlineLevel="3">
      <c r="A313" s="12" t="s">
        <v>402</v>
      </c>
      <c r="B313" s="12" t="s">
        <v>477</v>
      </c>
      <c r="C313" s="12" t="s">
        <v>141</v>
      </c>
      <c r="D313" s="12" t="s">
        <v>181</v>
      </c>
      <c r="E313" s="12" t="s">
        <v>482</v>
      </c>
      <c r="F313" s="13">
        <v>45884</v>
      </c>
      <c r="G313" s="16">
        <v>4.165</v>
      </c>
      <c r="H313" s="16"/>
      <c r="I313" s="16"/>
      <c r="J313" s="16">
        <v>0</v>
      </c>
      <c r="K313" s="16">
        <f t="shared" si="22"/>
        <v>4.165</v>
      </c>
      <c r="L313" s="17" t="e">
        <f t="shared" si="23"/>
        <v>#DIV/0!</v>
      </c>
      <c r="M313" s="18"/>
    </row>
    <row r="314" spans="1:13" outlineLevel="3">
      <c r="A314" s="12" t="s">
        <v>402</v>
      </c>
      <c r="B314" s="12" t="s">
        <v>477</v>
      </c>
      <c r="C314" s="12" t="s">
        <v>141</v>
      </c>
      <c r="D314" s="12" t="s">
        <v>181</v>
      </c>
      <c r="E314" s="12" t="s">
        <v>483</v>
      </c>
      <c r="F314" s="13">
        <v>45884</v>
      </c>
      <c r="G314" s="16">
        <v>4.165</v>
      </c>
      <c r="H314" s="16"/>
      <c r="I314" s="16"/>
      <c r="J314" s="16">
        <v>0</v>
      </c>
      <c r="K314" s="16">
        <f t="shared" si="22"/>
        <v>4.165</v>
      </c>
      <c r="L314" s="17" t="e">
        <f t="shared" si="23"/>
        <v>#DIV/0!</v>
      </c>
      <c r="M314" s="18"/>
    </row>
    <row r="315" spans="1:13" outlineLevel="3">
      <c r="A315" s="12" t="s">
        <v>402</v>
      </c>
      <c r="B315" s="12" t="s">
        <v>477</v>
      </c>
      <c r="C315" s="12" t="s">
        <v>145</v>
      </c>
      <c r="D315" s="12" t="s">
        <v>145</v>
      </c>
      <c r="E315" s="12" t="s">
        <v>479</v>
      </c>
      <c r="F315" s="13">
        <v>45884</v>
      </c>
      <c r="G315" s="16">
        <v>299</v>
      </c>
      <c r="H315" s="16"/>
      <c r="I315" s="16"/>
      <c r="J315" s="16">
        <v>299</v>
      </c>
      <c r="K315" s="16">
        <f t="shared" si="22"/>
        <v>0</v>
      </c>
      <c r="L315" s="17">
        <f t="shared" si="23"/>
        <v>0</v>
      </c>
      <c r="M315" s="18"/>
    </row>
    <row r="316" spans="1:13" outlineLevel="3">
      <c r="A316" s="12" t="s">
        <v>402</v>
      </c>
      <c r="B316" s="12" t="s">
        <v>477</v>
      </c>
      <c r="C316" s="12" t="s">
        <v>131</v>
      </c>
      <c r="D316" s="12" t="s">
        <v>131</v>
      </c>
      <c r="E316" s="12" t="s">
        <v>479</v>
      </c>
      <c r="F316" s="13">
        <v>45884</v>
      </c>
      <c r="G316" s="16">
        <v>919.3</v>
      </c>
      <c r="H316" s="16"/>
      <c r="I316" s="16"/>
      <c r="J316" s="16">
        <v>919.3</v>
      </c>
      <c r="K316" s="16">
        <f t="shared" si="22"/>
        <v>0</v>
      </c>
      <c r="L316" s="17">
        <f t="shared" si="23"/>
        <v>0</v>
      </c>
      <c r="M316" s="18"/>
    </row>
    <row r="317" spans="1:13" outlineLevel="2">
      <c r="B317" s="7" t="s">
        <v>484</v>
      </c>
      <c r="F317" s="13"/>
      <c r="G317" s="16">
        <f>SUBTOTAL(9,G310:G316)</f>
        <v>1561.38</v>
      </c>
      <c r="H317" s="16"/>
      <c r="I317" s="16">
        <f>SUBTOTAL(9,I310:I316)</f>
        <v>0</v>
      </c>
      <c r="J317" s="16">
        <f>SUBTOTAL(9,J310:J316)</f>
        <v>1553.05</v>
      </c>
      <c r="K317" s="16">
        <f>SUBTOTAL(9,K310:K316)</f>
        <v>8.33</v>
      </c>
      <c r="L317" s="17"/>
      <c r="M317" s="18"/>
    </row>
    <row r="318" spans="1:13" outlineLevel="3">
      <c r="A318" s="12" t="s">
        <v>402</v>
      </c>
      <c r="B318" s="12" t="s">
        <v>485</v>
      </c>
      <c r="C318" s="12" t="s">
        <v>141</v>
      </c>
      <c r="D318" s="12" t="s">
        <v>181</v>
      </c>
      <c r="E318" s="12" t="s">
        <v>486</v>
      </c>
      <c r="F318" s="13">
        <v>45870</v>
      </c>
      <c r="G318" s="16">
        <v>801.51120000000003</v>
      </c>
      <c r="H318" s="16"/>
      <c r="I318" s="16"/>
      <c r="J318" s="16">
        <v>980</v>
      </c>
      <c r="K318" s="16">
        <f t="shared" si="22"/>
        <v>-178.48879999999997</v>
      </c>
      <c r="L318" s="17">
        <f t="shared" si="23"/>
        <v>-0.18213142857142853</v>
      </c>
      <c r="M318" s="18"/>
    </row>
    <row r="319" spans="1:13" outlineLevel="3">
      <c r="A319" s="12" t="s">
        <v>402</v>
      </c>
      <c r="B319" s="12" t="s">
        <v>485</v>
      </c>
      <c r="C319" s="12" t="s">
        <v>131</v>
      </c>
      <c r="D319" s="12" t="s">
        <v>189</v>
      </c>
      <c r="E319" s="12" t="s">
        <v>486</v>
      </c>
      <c r="F319" s="13">
        <v>45870</v>
      </c>
      <c r="G319" s="16">
        <v>7845</v>
      </c>
      <c r="H319" s="16"/>
      <c r="I319" s="16"/>
      <c r="J319" s="16">
        <v>7845</v>
      </c>
      <c r="K319" s="16">
        <f t="shared" si="22"/>
        <v>0</v>
      </c>
      <c r="L319" s="17">
        <f t="shared" si="23"/>
        <v>0</v>
      </c>
      <c r="M319" s="18"/>
    </row>
    <row r="320" spans="1:13" outlineLevel="2">
      <c r="B320" s="7" t="s">
        <v>487</v>
      </c>
      <c r="F320" s="13"/>
      <c r="G320" s="16">
        <f>SUBTOTAL(9,G318:G319)</f>
        <v>8646.5112000000008</v>
      </c>
      <c r="H320" s="16"/>
      <c r="I320" s="16">
        <f>SUBTOTAL(9,I318:I319)</f>
        <v>0</v>
      </c>
      <c r="J320" s="16">
        <f>SUBTOTAL(9,J318:J319)</f>
        <v>8825</v>
      </c>
      <c r="K320" s="16">
        <f>SUBTOTAL(9,K318:K319)</f>
        <v>-178.48879999999997</v>
      </c>
      <c r="L320" s="17"/>
      <c r="M320" s="18"/>
    </row>
    <row r="321" spans="1:13" outlineLevel="3">
      <c r="A321" s="12" t="s">
        <v>402</v>
      </c>
      <c r="B321" s="12" t="s">
        <v>488</v>
      </c>
      <c r="C321" s="12" t="s">
        <v>141</v>
      </c>
      <c r="D321" s="12" t="s">
        <v>141</v>
      </c>
      <c r="E321" s="12" t="s">
        <v>489</v>
      </c>
      <c r="F321" s="13">
        <v>45870</v>
      </c>
      <c r="G321" s="16">
        <v>207.78720000000001</v>
      </c>
      <c r="H321" s="16"/>
      <c r="I321" s="16"/>
      <c r="J321" s="16">
        <v>207.03479999999999</v>
      </c>
      <c r="K321" s="16">
        <f t="shared" si="22"/>
        <v>0.75240000000002283</v>
      </c>
      <c r="L321" s="17">
        <f t="shared" si="23"/>
        <v>3.6341716465059151E-3</v>
      </c>
      <c r="M321" s="18"/>
    </row>
    <row r="322" spans="1:13" outlineLevel="3">
      <c r="A322" s="12" t="s">
        <v>402</v>
      </c>
      <c r="B322" s="12" t="s">
        <v>488</v>
      </c>
      <c r="C322" s="12" t="s">
        <v>145</v>
      </c>
      <c r="D322" s="12" t="s">
        <v>145</v>
      </c>
      <c r="E322" s="12" t="s">
        <v>489</v>
      </c>
      <c r="F322" s="13">
        <v>45870</v>
      </c>
      <c r="G322" s="16">
        <v>509</v>
      </c>
      <c r="H322" s="16"/>
      <c r="I322" s="16"/>
      <c r="J322" s="16">
        <v>502</v>
      </c>
      <c r="K322" s="16">
        <f t="shared" si="22"/>
        <v>7</v>
      </c>
      <c r="L322" s="17">
        <f t="shared" si="23"/>
        <v>1.3944223107569721E-2</v>
      </c>
      <c r="M322" s="18"/>
    </row>
    <row r="323" spans="1:13" outlineLevel="3">
      <c r="A323" s="12" t="s">
        <v>402</v>
      </c>
      <c r="B323" s="12" t="s">
        <v>488</v>
      </c>
      <c r="C323" s="12" t="s">
        <v>131</v>
      </c>
      <c r="D323" s="12" t="s">
        <v>490</v>
      </c>
      <c r="E323" s="12" t="s">
        <v>489</v>
      </c>
      <c r="F323" s="13">
        <v>45870</v>
      </c>
      <c r="G323" s="16">
        <v>2832.8528000000001</v>
      </c>
      <c r="H323" s="16"/>
      <c r="I323" s="16"/>
      <c r="J323" s="16">
        <v>2832.85</v>
      </c>
      <c r="K323" s="16">
        <f t="shared" si="22"/>
        <v>2.8000000002066372E-3</v>
      </c>
      <c r="L323" s="17">
        <f t="shared" si="23"/>
        <v>9.8840390426836472E-7</v>
      </c>
      <c r="M323" s="18"/>
    </row>
    <row r="324" spans="1:13" outlineLevel="3">
      <c r="A324" s="12" t="s">
        <v>402</v>
      </c>
      <c r="B324" s="12" t="s">
        <v>488</v>
      </c>
      <c r="C324" s="12" t="s">
        <v>464</v>
      </c>
      <c r="D324" s="12" t="s">
        <v>464</v>
      </c>
      <c r="E324" s="12" t="s">
        <v>489</v>
      </c>
      <c r="F324" s="13">
        <v>45870</v>
      </c>
      <c r="G324" s="16">
        <v>236.25</v>
      </c>
      <c r="H324" s="16"/>
      <c r="I324" s="16"/>
      <c r="J324" s="16">
        <v>236.25</v>
      </c>
      <c r="K324" s="16">
        <f t="shared" si="22"/>
        <v>0</v>
      </c>
      <c r="L324" s="17">
        <f t="shared" si="23"/>
        <v>0</v>
      </c>
      <c r="M324" s="18"/>
    </row>
    <row r="325" spans="1:13" outlineLevel="2">
      <c r="B325" s="7" t="s">
        <v>491</v>
      </c>
      <c r="F325" s="13"/>
      <c r="G325" s="16">
        <f>SUBTOTAL(9,G321:G324)</f>
        <v>3785.8900000000003</v>
      </c>
      <c r="H325" s="16"/>
      <c r="I325" s="16">
        <f>SUBTOTAL(9,I321:I324)</f>
        <v>0</v>
      </c>
      <c r="J325" s="16">
        <f>SUBTOTAL(9,J321:J324)</f>
        <v>3778.1347999999998</v>
      </c>
      <c r="K325" s="16">
        <f>SUBTOTAL(9,K321:K324)</f>
        <v>7.7552000000002295</v>
      </c>
      <c r="L325" s="17"/>
      <c r="M325" s="18"/>
    </row>
    <row r="326" spans="1:13" s="18" customFormat="1" outlineLevel="3">
      <c r="A326" s="12" t="s">
        <v>402</v>
      </c>
      <c r="B326" s="12" t="s">
        <v>492</v>
      </c>
      <c r="C326" s="12" t="s">
        <v>141</v>
      </c>
      <c r="D326" s="12" t="s">
        <v>181</v>
      </c>
      <c r="E326" s="12" t="s">
        <v>493</v>
      </c>
      <c r="F326" s="13">
        <v>45870</v>
      </c>
      <c r="G326" s="16">
        <v>311.45519999999999</v>
      </c>
      <c r="H326" s="16"/>
      <c r="I326" s="16"/>
      <c r="J326" s="16">
        <v>560.5</v>
      </c>
      <c r="K326" s="16">
        <f t="shared" si="22"/>
        <v>-249.04480000000001</v>
      </c>
      <c r="L326" s="17">
        <f t="shared" si="23"/>
        <v>-0.44432613737734167</v>
      </c>
    </row>
    <row r="327" spans="1:13" s="18" customFormat="1" outlineLevel="3">
      <c r="A327" s="12" t="s">
        <v>402</v>
      </c>
      <c r="B327" s="12" t="s">
        <v>492</v>
      </c>
      <c r="C327" s="12" t="s">
        <v>145</v>
      </c>
      <c r="D327" s="12" t="s">
        <v>183</v>
      </c>
      <c r="E327" s="12" t="s">
        <v>493</v>
      </c>
      <c r="F327" s="13">
        <v>45870</v>
      </c>
      <c r="G327" s="16">
        <v>403</v>
      </c>
      <c r="H327" s="16"/>
      <c r="I327" s="16"/>
      <c r="J327" s="16">
        <v>409.5</v>
      </c>
      <c r="K327" s="16">
        <f t="shared" si="22"/>
        <v>-6.5</v>
      </c>
      <c r="L327" s="17">
        <f t="shared" si="23"/>
        <v>-1.5873015873015872E-2</v>
      </c>
    </row>
    <row r="328" spans="1:13" s="18" customFormat="1" outlineLevel="3">
      <c r="A328" s="12" t="s">
        <v>402</v>
      </c>
      <c r="B328" s="12" t="s">
        <v>492</v>
      </c>
      <c r="C328" s="12" t="s">
        <v>131</v>
      </c>
      <c r="D328" s="12" t="s">
        <v>189</v>
      </c>
      <c r="E328" s="12" t="s">
        <v>493</v>
      </c>
      <c r="F328" s="13">
        <v>45870</v>
      </c>
      <c r="G328" s="16">
        <v>3700.0048000000002</v>
      </c>
      <c r="H328" s="16"/>
      <c r="I328" s="16"/>
      <c r="J328" s="16">
        <v>2770</v>
      </c>
      <c r="K328" s="16">
        <f t="shared" si="22"/>
        <v>930.00480000000016</v>
      </c>
      <c r="L328" s="17">
        <f t="shared" si="23"/>
        <v>0.33574180505415169</v>
      </c>
    </row>
    <row r="329" spans="1:13" s="18" customFormat="1" outlineLevel="2">
      <c r="A329" s="12"/>
      <c r="B329" s="7" t="s">
        <v>494</v>
      </c>
      <c r="C329" s="12"/>
      <c r="D329" s="12"/>
      <c r="E329" s="12"/>
      <c r="F329" s="13"/>
      <c r="G329" s="16">
        <f>SUBTOTAL(9,G326:G328)</f>
        <v>4414.46</v>
      </c>
      <c r="H329" s="16"/>
      <c r="I329" s="16">
        <f>SUBTOTAL(9,I326:I328)</f>
        <v>0</v>
      </c>
      <c r="J329" s="16">
        <f>SUBTOTAL(9,J326:J328)</f>
        <v>3740</v>
      </c>
      <c r="K329" s="16">
        <f>SUBTOTAL(9,K326:K328)</f>
        <v>674.46000000000015</v>
      </c>
      <c r="L329" s="17"/>
    </row>
    <row r="330" spans="1:13" s="18" customFormat="1" outlineLevel="3">
      <c r="A330" s="12" t="s">
        <v>402</v>
      </c>
      <c r="B330" s="12" t="s">
        <v>495</v>
      </c>
      <c r="C330" s="12" t="s">
        <v>175</v>
      </c>
      <c r="D330" s="12" t="s">
        <v>175</v>
      </c>
      <c r="E330" s="12" t="s">
        <v>496</v>
      </c>
      <c r="F330" s="13">
        <v>45870</v>
      </c>
      <c r="G330" s="16">
        <v>361.2</v>
      </c>
      <c r="H330" s="16"/>
      <c r="I330" s="16"/>
      <c r="J330" s="16">
        <v>361.2</v>
      </c>
      <c r="K330" s="16">
        <f t="shared" si="22"/>
        <v>0</v>
      </c>
      <c r="L330" s="17">
        <f t="shared" si="23"/>
        <v>0</v>
      </c>
    </row>
    <row r="331" spans="1:13" s="18" customFormat="1" outlineLevel="3">
      <c r="A331" s="12" t="s">
        <v>402</v>
      </c>
      <c r="B331" s="12" t="s">
        <v>495</v>
      </c>
      <c r="C331" s="12" t="s">
        <v>141</v>
      </c>
      <c r="D331" s="12" t="s">
        <v>141</v>
      </c>
      <c r="E331" s="12" t="s">
        <v>496</v>
      </c>
      <c r="F331" s="13">
        <v>45870</v>
      </c>
      <c r="G331" s="16">
        <v>224.17779999999999</v>
      </c>
      <c r="H331" s="16"/>
      <c r="I331" s="16"/>
      <c r="J331" s="16">
        <v>223.18119999999999</v>
      </c>
      <c r="K331" s="16">
        <f t="shared" si="22"/>
        <v>0.99660000000000082</v>
      </c>
      <c r="L331" s="17">
        <f t="shared" si="23"/>
        <v>4.4654298838791122E-3</v>
      </c>
    </row>
    <row r="332" spans="1:13" s="18" customFormat="1" outlineLevel="3">
      <c r="A332" s="12" t="s">
        <v>402</v>
      </c>
      <c r="B332" s="12" t="s">
        <v>495</v>
      </c>
      <c r="C332" s="12" t="s">
        <v>145</v>
      </c>
      <c r="D332" s="12" t="s">
        <v>169</v>
      </c>
      <c r="E332" s="12" t="s">
        <v>496</v>
      </c>
      <c r="F332" s="13">
        <v>45870</v>
      </c>
      <c r="G332" s="16">
        <v>412</v>
      </c>
      <c r="H332" s="16"/>
      <c r="I332" s="16"/>
      <c r="J332" s="16">
        <v>412</v>
      </c>
      <c r="K332" s="16">
        <f t="shared" si="22"/>
        <v>0</v>
      </c>
      <c r="L332" s="17">
        <f t="shared" si="23"/>
        <v>0</v>
      </c>
    </row>
    <row r="333" spans="1:13" s="18" customFormat="1" outlineLevel="3">
      <c r="A333" s="12" t="s">
        <v>402</v>
      </c>
      <c r="B333" s="12" t="s">
        <v>495</v>
      </c>
      <c r="C333" s="12" t="s">
        <v>131</v>
      </c>
      <c r="D333" s="12" t="s">
        <v>415</v>
      </c>
      <c r="E333" s="12" t="s">
        <v>496</v>
      </c>
      <c r="F333" s="13">
        <v>45870</v>
      </c>
      <c r="G333" s="16">
        <v>915.50220000000002</v>
      </c>
      <c r="H333" s="16"/>
      <c r="I333" s="16"/>
      <c r="J333" s="16">
        <v>890</v>
      </c>
      <c r="K333" s="16">
        <f t="shared" si="22"/>
        <v>25.502200000000016</v>
      </c>
      <c r="L333" s="17">
        <f t="shared" si="23"/>
        <v>2.8654157303370804E-2</v>
      </c>
    </row>
    <row r="334" spans="1:13" s="18" customFormat="1" outlineLevel="2">
      <c r="A334" s="12"/>
      <c r="B334" s="7" t="s">
        <v>497</v>
      </c>
      <c r="C334" s="12"/>
      <c r="D334" s="12"/>
      <c r="E334" s="12"/>
      <c r="F334" s="13"/>
      <c r="G334" s="16">
        <f>SUBTOTAL(9,G330:G333)</f>
        <v>1912.88</v>
      </c>
      <c r="H334" s="16"/>
      <c r="I334" s="16">
        <f>SUBTOTAL(9,I330:I333)</f>
        <v>0</v>
      </c>
      <c r="J334" s="16">
        <f>SUBTOTAL(9,J330:J333)</f>
        <v>1886.3812</v>
      </c>
      <c r="K334" s="16">
        <f>SUBTOTAL(9,K330:K333)</f>
        <v>26.498800000000017</v>
      </c>
      <c r="L334" s="17"/>
    </row>
    <row r="335" spans="1:13" s="18" customFormat="1" outlineLevel="3">
      <c r="A335" s="12" t="s">
        <v>402</v>
      </c>
      <c r="B335" s="12" t="s">
        <v>498</v>
      </c>
      <c r="C335" s="12" t="s">
        <v>175</v>
      </c>
      <c r="D335" s="12" t="s">
        <v>175</v>
      </c>
      <c r="E335" s="12" t="s">
        <v>499</v>
      </c>
      <c r="F335" s="13">
        <v>45870</v>
      </c>
      <c r="G335" s="16">
        <v>4546.7</v>
      </c>
      <c r="H335" s="16"/>
      <c r="I335" s="16"/>
      <c r="J335" s="16">
        <v>4295.8999999999996</v>
      </c>
      <c r="K335" s="16">
        <f t="shared" si="22"/>
        <v>250.80000000000018</v>
      </c>
      <c r="L335" s="17">
        <f t="shared" si="23"/>
        <v>5.8381247235736448E-2</v>
      </c>
    </row>
    <row r="336" spans="1:13" s="18" customFormat="1" outlineLevel="3">
      <c r="A336" s="12" t="s">
        <v>402</v>
      </c>
      <c r="B336" s="12" t="s">
        <v>498</v>
      </c>
      <c r="C336" s="12" t="s">
        <v>141</v>
      </c>
      <c r="D336" s="12" t="s">
        <v>141</v>
      </c>
      <c r="E336" s="12" t="s">
        <v>499</v>
      </c>
      <c r="F336" s="13">
        <v>45870</v>
      </c>
      <c r="G336" s="16">
        <v>918</v>
      </c>
      <c r="H336" s="16"/>
      <c r="I336" s="16"/>
      <c r="J336" s="16">
        <v>894</v>
      </c>
      <c r="K336" s="16">
        <f t="shared" si="22"/>
        <v>24</v>
      </c>
      <c r="L336" s="17">
        <f t="shared" si="23"/>
        <v>2.6845637583892617E-2</v>
      </c>
    </row>
    <row r="337" spans="1:12" s="18" customFormat="1" outlineLevel="3">
      <c r="A337" s="12" t="s">
        <v>402</v>
      </c>
      <c r="B337" s="12" t="s">
        <v>498</v>
      </c>
      <c r="C337" s="12" t="s">
        <v>145</v>
      </c>
      <c r="D337" s="12" t="s">
        <v>145</v>
      </c>
      <c r="E337" s="12" t="s">
        <v>499</v>
      </c>
      <c r="F337" s="13">
        <v>45870</v>
      </c>
      <c r="G337" s="16">
        <v>3676</v>
      </c>
      <c r="H337" s="16"/>
      <c r="I337" s="16"/>
      <c r="J337" s="16">
        <v>3596</v>
      </c>
      <c r="K337" s="16">
        <f t="shared" si="22"/>
        <v>80</v>
      </c>
      <c r="L337" s="17">
        <f t="shared" si="23"/>
        <v>2.224694104560623E-2</v>
      </c>
    </row>
    <row r="338" spans="1:12" s="18" customFormat="1" outlineLevel="3">
      <c r="A338" s="12" t="s">
        <v>402</v>
      </c>
      <c r="B338" s="12" t="s">
        <v>498</v>
      </c>
      <c r="C338" s="12" t="s">
        <v>131</v>
      </c>
      <c r="D338" s="12" t="s">
        <v>500</v>
      </c>
      <c r="E338" s="12" t="s">
        <v>499</v>
      </c>
      <c r="F338" s="13">
        <v>45870</v>
      </c>
      <c r="G338" s="16">
        <v>14504.6</v>
      </c>
      <c r="H338" s="16"/>
      <c r="I338" s="16"/>
      <c r="J338" s="16">
        <v>13514.7</v>
      </c>
      <c r="K338" s="16">
        <f t="shared" si="22"/>
        <v>989.89999999999964</v>
      </c>
      <c r="L338" s="17">
        <f t="shared" si="23"/>
        <v>7.3246168986362964E-2</v>
      </c>
    </row>
    <row r="339" spans="1:12" s="18" customFormat="1" outlineLevel="2">
      <c r="A339" s="12"/>
      <c r="B339" s="7" t="s">
        <v>501</v>
      </c>
      <c r="C339" s="12"/>
      <c r="D339" s="12"/>
      <c r="E339" s="12"/>
      <c r="F339" s="13"/>
      <c r="G339" s="16">
        <f>SUBTOTAL(9,G335:G338)</f>
        <v>23645.300000000003</v>
      </c>
      <c r="H339" s="16"/>
      <c r="I339" s="16">
        <f>SUBTOTAL(9,I335:I338)</f>
        <v>0</v>
      </c>
      <c r="J339" s="16">
        <f>SUBTOTAL(9,J335:J338)</f>
        <v>22300.6</v>
      </c>
      <c r="K339" s="16">
        <f>SUBTOTAL(9,K335:K338)</f>
        <v>1344.6999999999998</v>
      </c>
      <c r="L339" s="17"/>
    </row>
    <row r="340" spans="1:12" s="18" customFormat="1" outlineLevel="3">
      <c r="A340" s="12" t="s">
        <v>402</v>
      </c>
      <c r="B340" s="12" t="s">
        <v>502</v>
      </c>
      <c r="C340" s="12" t="s">
        <v>175</v>
      </c>
      <c r="D340" s="12" t="s">
        <v>503</v>
      </c>
      <c r="E340" s="12" t="s">
        <v>504</v>
      </c>
      <c r="F340" s="13">
        <v>45870</v>
      </c>
      <c r="G340" s="16">
        <v>2806</v>
      </c>
      <c r="H340" s="16"/>
      <c r="I340" s="16"/>
      <c r="J340" s="16">
        <v>2806</v>
      </c>
      <c r="K340" s="16">
        <f t="shared" si="22"/>
        <v>0</v>
      </c>
      <c r="L340" s="17">
        <f t="shared" si="23"/>
        <v>0</v>
      </c>
    </row>
    <row r="341" spans="1:12" s="18" customFormat="1" outlineLevel="3">
      <c r="A341" s="12" t="s">
        <v>402</v>
      </c>
      <c r="B341" s="12" t="s">
        <v>502</v>
      </c>
      <c r="C341" s="12" t="s">
        <v>141</v>
      </c>
      <c r="D341" s="12" t="s">
        <v>505</v>
      </c>
      <c r="E341" s="12" t="s">
        <v>506</v>
      </c>
      <c r="F341" s="13">
        <v>45870</v>
      </c>
      <c r="G341" s="16">
        <v>760</v>
      </c>
      <c r="H341" s="16"/>
      <c r="I341" s="16"/>
      <c r="J341" s="16">
        <v>760</v>
      </c>
      <c r="K341" s="16">
        <f t="shared" si="22"/>
        <v>0</v>
      </c>
      <c r="L341" s="17">
        <f t="shared" si="23"/>
        <v>0</v>
      </c>
    </row>
    <row r="342" spans="1:12" s="18" customFormat="1" outlineLevel="3">
      <c r="A342" s="12" t="s">
        <v>402</v>
      </c>
      <c r="B342" s="12" t="s">
        <v>502</v>
      </c>
      <c r="C342" s="12" t="s">
        <v>141</v>
      </c>
      <c r="D342" s="12" t="s">
        <v>141</v>
      </c>
      <c r="E342" s="12" t="s">
        <v>507</v>
      </c>
      <c r="F342" s="13">
        <v>45870</v>
      </c>
      <c r="G342" s="16">
        <v>830</v>
      </c>
      <c r="H342" s="16"/>
      <c r="I342" s="16"/>
      <c r="J342" s="16">
        <v>830</v>
      </c>
      <c r="K342" s="16">
        <f t="shared" si="22"/>
        <v>0</v>
      </c>
      <c r="L342" s="17">
        <f t="shared" si="23"/>
        <v>0</v>
      </c>
    </row>
    <row r="343" spans="1:12" s="18" customFormat="1" outlineLevel="3">
      <c r="A343" s="12" t="s">
        <v>402</v>
      </c>
      <c r="B343" s="12" t="s">
        <v>502</v>
      </c>
      <c r="C343" s="12" t="s">
        <v>141</v>
      </c>
      <c r="D343" s="12" t="s">
        <v>508</v>
      </c>
      <c r="E343" s="12" t="s">
        <v>509</v>
      </c>
      <c r="F343" s="13">
        <v>45870</v>
      </c>
      <c r="G343" s="16">
        <v>1089</v>
      </c>
      <c r="H343" s="16"/>
      <c r="I343" s="16"/>
      <c r="J343" s="16">
        <v>1089</v>
      </c>
      <c r="K343" s="16">
        <f t="shared" si="22"/>
        <v>0</v>
      </c>
      <c r="L343" s="17">
        <f t="shared" si="23"/>
        <v>0</v>
      </c>
    </row>
    <row r="344" spans="1:12" s="18" customFormat="1" outlineLevel="3">
      <c r="A344" s="12" t="s">
        <v>402</v>
      </c>
      <c r="B344" s="12" t="s">
        <v>502</v>
      </c>
      <c r="C344" s="12" t="s">
        <v>145</v>
      </c>
      <c r="D344" s="12" t="s">
        <v>145</v>
      </c>
      <c r="E344" s="12" t="s">
        <v>510</v>
      </c>
      <c r="F344" s="13">
        <v>45870</v>
      </c>
      <c r="G344" s="16">
        <v>2011</v>
      </c>
      <c r="H344" s="16"/>
      <c r="I344" s="16"/>
      <c r="J344" s="16">
        <v>1993.5</v>
      </c>
      <c r="K344" s="16">
        <f t="shared" si="22"/>
        <v>17.5</v>
      </c>
      <c r="L344" s="17">
        <f t="shared" si="23"/>
        <v>8.7785302232254829E-3</v>
      </c>
    </row>
    <row r="345" spans="1:12" s="18" customFormat="1" outlineLevel="3">
      <c r="A345" s="12" t="s">
        <v>402</v>
      </c>
      <c r="B345" s="12" t="s">
        <v>502</v>
      </c>
      <c r="C345" s="12" t="s">
        <v>131</v>
      </c>
      <c r="D345" s="12" t="s">
        <v>511</v>
      </c>
      <c r="E345" s="12" t="s">
        <v>507</v>
      </c>
      <c r="F345" s="13">
        <v>45870</v>
      </c>
      <c r="G345" s="16">
        <v>2601</v>
      </c>
      <c r="H345" s="16"/>
      <c r="I345" s="16"/>
      <c r="J345" s="16">
        <v>2601</v>
      </c>
      <c r="K345" s="16">
        <f t="shared" si="22"/>
        <v>0</v>
      </c>
      <c r="L345" s="17">
        <f t="shared" si="23"/>
        <v>0</v>
      </c>
    </row>
    <row r="346" spans="1:12" s="18" customFormat="1" outlineLevel="3">
      <c r="A346" s="12" t="s">
        <v>402</v>
      </c>
      <c r="B346" s="12" t="s">
        <v>502</v>
      </c>
      <c r="C346" s="12" t="s">
        <v>131</v>
      </c>
      <c r="D346" s="12" t="s">
        <v>512</v>
      </c>
      <c r="E346" s="12" t="s">
        <v>513</v>
      </c>
      <c r="F346" s="13">
        <v>45870</v>
      </c>
      <c r="G346" s="16">
        <v>8321</v>
      </c>
      <c r="H346" s="16"/>
      <c r="I346" s="16"/>
      <c r="J346" s="16">
        <v>8321</v>
      </c>
      <c r="K346" s="16">
        <f t="shared" si="22"/>
        <v>0</v>
      </c>
      <c r="L346" s="17">
        <f t="shared" si="23"/>
        <v>0</v>
      </c>
    </row>
    <row r="347" spans="1:12" s="18" customFormat="1" outlineLevel="3">
      <c r="A347" s="12" t="s">
        <v>402</v>
      </c>
      <c r="B347" s="12" t="s">
        <v>502</v>
      </c>
      <c r="C347" s="12" t="s">
        <v>464</v>
      </c>
      <c r="D347" s="12" t="s">
        <v>464</v>
      </c>
      <c r="E347" s="12" t="s">
        <v>510</v>
      </c>
      <c r="F347" s="13">
        <v>45870</v>
      </c>
      <c r="G347" s="16">
        <v>750</v>
      </c>
      <c r="H347" s="16"/>
      <c r="I347" s="16"/>
      <c r="J347" s="16">
        <v>750</v>
      </c>
      <c r="K347" s="16">
        <f t="shared" si="22"/>
        <v>0</v>
      </c>
      <c r="L347" s="17">
        <f t="shared" si="23"/>
        <v>0</v>
      </c>
    </row>
    <row r="348" spans="1:12" s="18" customFormat="1" outlineLevel="2">
      <c r="A348" s="12"/>
      <c r="B348" s="7" t="s">
        <v>514</v>
      </c>
      <c r="C348" s="12"/>
      <c r="D348" s="12"/>
      <c r="E348" s="12"/>
      <c r="F348" s="13"/>
      <c r="G348" s="16">
        <f>SUBTOTAL(9,G340:G347)</f>
        <v>19168</v>
      </c>
      <c r="H348" s="16"/>
      <c r="I348" s="16">
        <f>SUBTOTAL(9,I340:I347)</f>
        <v>0</v>
      </c>
      <c r="J348" s="16">
        <f>SUBTOTAL(9,J340:J347)</f>
        <v>19150.5</v>
      </c>
      <c r="K348" s="16">
        <f>SUBTOTAL(9,K340:K347)</f>
        <v>17.5</v>
      </c>
      <c r="L348" s="17"/>
    </row>
    <row r="349" spans="1:12" s="18" customFormat="1" outlineLevel="3">
      <c r="A349" s="12" t="s">
        <v>402</v>
      </c>
      <c r="B349" s="12" t="s">
        <v>515</v>
      </c>
      <c r="C349" s="12" t="s">
        <v>407</v>
      </c>
      <c r="D349" s="12" t="s">
        <v>516</v>
      </c>
      <c r="E349" s="12" t="s">
        <v>517</v>
      </c>
      <c r="F349" s="13">
        <v>45870</v>
      </c>
      <c r="G349" s="16">
        <v>2185.71</v>
      </c>
      <c r="H349" s="16"/>
      <c r="I349" s="16"/>
      <c r="J349" s="16">
        <v>2185.71</v>
      </c>
      <c r="K349" s="16">
        <f t="shared" si="22"/>
        <v>0</v>
      </c>
      <c r="L349" s="17">
        <f t="shared" si="23"/>
        <v>0</v>
      </c>
    </row>
    <row r="350" spans="1:12" s="18" customFormat="1" outlineLevel="3">
      <c r="A350" s="12" t="s">
        <v>402</v>
      </c>
      <c r="B350" s="12" t="s">
        <v>515</v>
      </c>
      <c r="C350" s="12" t="s">
        <v>141</v>
      </c>
      <c r="D350" s="12" t="s">
        <v>142</v>
      </c>
      <c r="E350" s="12" t="s">
        <v>517</v>
      </c>
      <c r="F350" s="13">
        <v>45870</v>
      </c>
      <c r="G350" s="16">
        <v>1182.75</v>
      </c>
      <c r="H350" s="16"/>
      <c r="I350" s="16"/>
      <c r="J350" s="16">
        <v>1182.75</v>
      </c>
      <c r="K350" s="16">
        <f t="shared" si="22"/>
        <v>0</v>
      </c>
      <c r="L350" s="17">
        <f t="shared" si="23"/>
        <v>0</v>
      </c>
    </row>
    <row r="351" spans="1:12" s="18" customFormat="1" outlineLevel="3">
      <c r="A351" s="12" t="s">
        <v>402</v>
      </c>
      <c r="B351" s="12" t="s">
        <v>515</v>
      </c>
      <c r="C351" s="12" t="s">
        <v>145</v>
      </c>
      <c r="D351" s="12" t="s">
        <v>146</v>
      </c>
      <c r="E351" s="12" t="s">
        <v>517</v>
      </c>
      <c r="F351" s="13">
        <v>45870</v>
      </c>
      <c r="G351" s="16">
        <v>272</v>
      </c>
      <c r="H351" s="16"/>
      <c r="I351" s="16"/>
      <c r="J351" s="16">
        <v>273</v>
      </c>
      <c r="K351" s="16">
        <f t="shared" si="22"/>
        <v>-1</v>
      </c>
      <c r="L351" s="17">
        <f t="shared" si="23"/>
        <v>-3.663003663003663E-3</v>
      </c>
    </row>
    <row r="352" spans="1:12" s="18" customFormat="1" outlineLevel="3">
      <c r="A352" s="12" t="s">
        <v>402</v>
      </c>
      <c r="B352" s="12" t="s">
        <v>515</v>
      </c>
      <c r="C352" s="12" t="s">
        <v>131</v>
      </c>
      <c r="D352" s="12" t="s">
        <v>518</v>
      </c>
      <c r="E352" s="12" t="s">
        <v>517</v>
      </c>
      <c r="F352" s="13">
        <v>45870</v>
      </c>
      <c r="G352" s="16">
        <v>2642.04</v>
      </c>
      <c r="H352" s="16"/>
      <c r="I352" s="16"/>
      <c r="J352" s="16">
        <v>2349.63</v>
      </c>
      <c r="K352" s="16">
        <f t="shared" si="22"/>
        <v>292.40999999999985</v>
      </c>
      <c r="L352" s="17">
        <f t="shared" si="23"/>
        <v>0.12444938139196378</v>
      </c>
    </row>
    <row r="353" spans="1:12" s="18" customFormat="1" outlineLevel="2">
      <c r="A353" s="12"/>
      <c r="B353" s="7" t="s">
        <v>519</v>
      </c>
      <c r="C353" s="12"/>
      <c r="D353" s="12"/>
      <c r="E353" s="12"/>
      <c r="F353" s="13"/>
      <c r="G353" s="16">
        <f>SUBTOTAL(9,G349:G352)</f>
        <v>6282.5</v>
      </c>
      <c r="H353" s="16"/>
      <c r="I353" s="16">
        <f>SUBTOTAL(9,I349:I352)</f>
        <v>0</v>
      </c>
      <c r="J353" s="16">
        <f>SUBTOTAL(9,J349:J352)</f>
        <v>5991.09</v>
      </c>
      <c r="K353" s="16">
        <f>SUBTOTAL(9,K349:K352)</f>
        <v>291.40999999999985</v>
      </c>
      <c r="L353" s="17"/>
    </row>
    <row r="354" spans="1:12" s="18" customFormat="1" outlineLevel="3">
      <c r="A354" s="12" t="s">
        <v>402</v>
      </c>
      <c r="B354" s="12" t="s">
        <v>520</v>
      </c>
      <c r="C354" s="12" t="s">
        <v>141</v>
      </c>
      <c r="D354" s="12" t="s">
        <v>141</v>
      </c>
      <c r="E354" s="12" t="s">
        <v>521</v>
      </c>
      <c r="F354" s="13">
        <v>45870</v>
      </c>
      <c r="G354" s="16">
        <v>895.5684</v>
      </c>
      <c r="H354" s="16"/>
      <c r="I354" s="16"/>
      <c r="J354" s="16">
        <v>880.69380000000001</v>
      </c>
      <c r="K354" s="16">
        <f t="shared" si="22"/>
        <v>14.874599999999987</v>
      </c>
      <c r="L354" s="17">
        <f t="shared" si="23"/>
        <v>1.688963860083946E-2</v>
      </c>
    </row>
    <row r="355" spans="1:12" s="18" customFormat="1" outlineLevel="3">
      <c r="A355" s="12" t="s">
        <v>402</v>
      </c>
      <c r="B355" s="12" t="s">
        <v>520</v>
      </c>
      <c r="C355" s="12" t="s">
        <v>145</v>
      </c>
      <c r="D355" s="12" t="s">
        <v>145</v>
      </c>
      <c r="E355" s="12" t="s">
        <v>521</v>
      </c>
      <c r="F355" s="13">
        <v>45870</v>
      </c>
      <c r="G355" s="16">
        <v>552</v>
      </c>
      <c r="H355" s="16"/>
      <c r="I355" s="16"/>
      <c r="J355" s="16">
        <v>552</v>
      </c>
      <c r="K355" s="16">
        <f t="shared" si="22"/>
        <v>0</v>
      </c>
      <c r="L355" s="17">
        <f t="shared" si="23"/>
        <v>0</v>
      </c>
    </row>
    <row r="356" spans="1:12" s="18" customFormat="1" outlineLevel="3">
      <c r="A356" s="12" t="s">
        <v>402</v>
      </c>
      <c r="B356" s="12" t="s">
        <v>520</v>
      </c>
      <c r="C356" s="12" t="s">
        <v>131</v>
      </c>
      <c r="D356" s="12" t="s">
        <v>522</v>
      </c>
      <c r="E356" s="12" t="s">
        <v>521</v>
      </c>
      <c r="F356" s="13">
        <v>45870</v>
      </c>
      <c r="G356" s="16">
        <v>2979.0016000000001</v>
      </c>
      <c r="H356" s="16"/>
      <c r="I356" s="16"/>
      <c r="J356" s="16">
        <v>2869</v>
      </c>
      <c r="K356" s="16">
        <f t="shared" si="22"/>
        <v>110.00160000000005</v>
      </c>
      <c r="L356" s="17">
        <f t="shared" si="23"/>
        <v>3.8341443011502281E-2</v>
      </c>
    </row>
    <row r="357" spans="1:12" s="18" customFormat="1" outlineLevel="2">
      <c r="A357" s="12"/>
      <c r="B357" s="7" t="s">
        <v>523</v>
      </c>
      <c r="C357" s="12"/>
      <c r="D357" s="12"/>
      <c r="E357" s="12"/>
      <c r="F357" s="13"/>
      <c r="G357" s="16">
        <f>SUBTOTAL(9,G354:G356)</f>
        <v>4426.57</v>
      </c>
      <c r="H357" s="16"/>
      <c r="I357" s="16">
        <f>SUBTOTAL(9,I354:I356)</f>
        <v>0</v>
      </c>
      <c r="J357" s="16">
        <f>SUBTOTAL(9,J354:J356)</f>
        <v>4301.6938</v>
      </c>
      <c r="K357" s="16">
        <f>SUBTOTAL(9,K354:K356)</f>
        <v>124.87620000000004</v>
      </c>
      <c r="L357" s="17"/>
    </row>
    <row r="358" spans="1:12" s="18" customFormat="1" outlineLevel="3">
      <c r="A358" s="12" t="s">
        <v>402</v>
      </c>
      <c r="B358" s="12" t="s">
        <v>524</v>
      </c>
      <c r="C358" s="12" t="s">
        <v>175</v>
      </c>
      <c r="D358" s="12" t="s">
        <v>176</v>
      </c>
      <c r="E358" s="12" t="s">
        <v>525</v>
      </c>
      <c r="F358" s="13">
        <v>45870</v>
      </c>
      <c r="G358" s="16">
        <v>4224</v>
      </c>
      <c r="H358" s="16"/>
      <c r="I358" s="16"/>
      <c r="J358" s="16">
        <v>4224</v>
      </c>
      <c r="K358" s="16">
        <f t="shared" si="22"/>
        <v>0</v>
      </c>
      <c r="L358" s="17">
        <f t="shared" si="23"/>
        <v>0</v>
      </c>
    </row>
    <row r="359" spans="1:12" s="18" customFormat="1" outlineLevel="3">
      <c r="A359" s="12" t="s">
        <v>402</v>
      </c>
      <c r="B359" s="12" t="s">
        <v>524</v>
      </c>
      <c r="C359" s="12" t="s">
        <v>141</v>
      </c>
      <c r="D359" s="12" t="s">
        <v>526</v>
      </c>
      <c r="E359" s="12" t="s">
        <v>527</v>
      </c>
      <c r="F359" s="13">
        <v>45870</v>
      </c>
      <c r="G359" s="16">
        <v>1726</v>
      </c>
      <c r="H359" s="16"/>
      <c r="I359" s="16"/>
      <c r="J359" s="16">
        <v>1726</v>
      </c>
      <c r="K359" s="16">
        <f t="shared" si="22"/>
        <v>0</v>
      </c>
      <c r="L359" s="17">
        <f t="shared" si="23"/>
        <v>0</v>
      </c>
    </row>
    <row r="360" spans="1:12" s="18" customFormat="1" outlineLevel="3">
      <c r="A360" s="12" t="s">
        <v>402</v>
      </c>
      <c r="B360" s="12" t="s">
        <v>524</v>
      </c>
      <c r="C360" s="12" t="s">
        <v>145</v>
      </c>
      <c r="D360" s="12" t="s">
        <v>528</v>
      </c>
      <c r="E360" s="12" t="s">
        <v>527</v>
      </c>
      <c r="F360" s="13">
        <v>45870</v>
      </c>
      <c r="G360" s="16">
        <v>2779.5</v>
      </c>
      <c r="H360" s="16"/>
      <c r="I360" s="16"/>
      <c r="J360" s="16">
        <v>2789.5</v>
      </c>
      <c r="K360" s="16">
        <f t="shared" si="22"/>
        <v>-10</v>
      </c>
      <c r="L360" s="17">
        <f t="shared" si="23"/>
        <v>-3.5848718408316902E-3</v>
      </c>
    </row>
    <row r="361" spans="1:12" s="18" customFormat="1" outlineLevel="3">
      <c r="A361" s="12" t="s">
        <v>402</v>
      </c>
      <c r="B361" s="12" t="s">
        <v>524</v>
      </c>
      <c r="C361" s="12" t="s">
        <v>131</v>
      </c>
      <c r="D361" s="12" t="s">
        <v>529</v>
      </c>
      <c r="E361" s="12" t="s">
        <v>527</v>
      </c>
      <c r="F361" s="13">
        <v>45870</v>
      </c>
      <c r="G361" s="16">
        <v>5740</v>
      </c>
      <c r="H361" s="16"/>
      <c r="I361" s="16"/>
      <c r="J361" s="16">
        <v>5740</v>
      </c>
      <c r="K361" s="16">
        <f t="shared" si="22"/>
        <v>0</v>
      </c>
      <c r="L361" s="17">
        <f t="shared" si="23"/>
        <v>0</v>
      </c>
    </row>
    <row r="362" spans="1:12" s="18" customFormat="1" outlineLevel="2">
      <c r="A362" s="12"/>
      <c r="B362" s="7" t="s">
        <v>530</v>
      </c>
      <c r="C362" s="12"/>
      <c r="D362" s="12"/>
      <c r="E362" s="12"/>
      <c r="F362" s="13"/>
      <c r="G362" s="16">
        <f>SUBTOTAL(9,G358:G361)</f>
        <v>14469.5</v>
      </c>
      <c r="H362" s="16"/>
      <c r="I362" s="16">
        <f>SUBTOTAL(9,I358:I361)</f>
        <v>0</v>
      </c>
      <c r="J362" s="16">
        <f>SUBTOTAL(9,J358:J361)</f>
        <v>14479.5</v>
      </c>
      <c r="K362" s="16">
        <f>SUBTOTAL(9,K358:K361)</f>
        <v>-10</v>
      </c>
      <c r="L362" s="17"/>
    </row>
    <row r="363" spans="1:12" s="18" customFormat="1" outlineLevel="3">
      <c r="A363" s="12" t="s">
        <v>402</v>
      </c>
      <c r="B363" s="12" t="s">
        <v>531</v>
      </c>
      <c r="C363" s="12" t="s">
        <v>407</v>
      </c>
      <c r="D363" s="12" t="s">
        <v>532</v>
      </c>
      <c r="E363" s="12" t="s">
        <v>533</v>
      </c>
      <c r="F363" s="13">
        <v>45870</v>
      </c>
      <c r="G363" s="16">
        <v>1400</v>
      </c>
      <c r="H363" s="16"/>
      <c r="I363" s="16"/>
      <c r="J363" s="16">
        <v>1400</v>
      </c>
      <c r="K363" s="16">
        <f t="shared" si="22"/>
        <v>0</v>
      </c>
      <c r="L363" s="17">
        <f t="shared" si="23"/>
        <v>0</v>
      </c>
    </row>
    <row r="364" spans="1:12" s="18" customFormat="1" outlineLevel="3">
      <c r="A364" s="12" t="s">
        <v>402</v>
      </c>
      <c r="B364" s="12" t="s">
        <v>531</v>
      </c>
      <c r="C364" s="12" t="s">
        <v>175</v>
      </c>
      <c r="D364" s="12" t="s">
        <v>534</v>
      </c>
      <c r="E364" s="12" t="s">
        <v>533</v>
      </c>
      <c r="F364" s="13">
        <v>45870</v>
      </c>
      <c r="G364" s="16">
        <v>446</v>
      </c>
      <c r="H364" s="16"/>
      <c r="I364" s="16"/>
      <c r="J364" s="16">
        <v>446</v>
      </c>
      <c r="K364" s="16">
        <f t="shared" si="22"/>
        <v>0</v>
      </c>
      <c r="L364" s="17">
        <f t="shared" si="23"/>
        <v>0</v>
      </c>
    </row>
    <row r="365" spans="1:12" s="18" customFormat="1" outlineLevel="3">
      <c r="A365" s="12" t="s">
        <v>402</v>
      </c>
      <c r="B365" s="12" t="s">
        <v>531</v>
      </c>
      <c r="C365" s="12" t="s">
        <v>141</v>
      </c>
      <c r="D365" s="12" t="s">
        <v>141</v>
      </c>
      <c r="E365" s="12" t="s">
        <v>533</v>
      </c>
      <c r="F365" s="13">
        <v>45870</v>
      </c>
      <c r="G365" s="16">
        <v>641.75</v>
      </c>
      <c r="H365" s="16"/>
      <c r="I365" s="16"/>
      <c r="J365" s="16">
        <v>641.75</v>
      </c>
      <c r="K365" s="16">
        <f t="shared" si="22"/>
        <v>0</v>
      </c>
      <c r="L365" s="17">
        <f t="shared" si="23"/>
        <v>0</v>
      </c>
    </row>
    <row r="366" spans="1:12" s="18" customFormat="1" outlineLevel="3">
      <c r="A366" s="12" t="s">
        <v>402</v>
      </c>
      <c r="B366" s="12" t="s">
        <v>531</v>
      </c>
      <c r="C366" s="12" t="s">
        <v>145</v>
      </c>
      <c r="D366" s="12" t="s">
        <v>145</v>
      </c>
      <c r="E366" s="12" t="s">
        <v>533</v>
      </c>
      <c r="F366" s="13">
        <v>45870</v>
      </c>
      <c r="G366" s="16">
        <v>472</v>
      </c>
      <c r="H366" s="16"/>
      <c r="I366" s="16"/>
      <c r="J366" s="16">
        <v>472</v>
      </c>
      <c r="K366" s="16">
        <f t="shared" si="22"/>
        <v>0</v>
      </c>
      <c r="L366" s="17">
        <f t="shared" si="23"/>
        <v>0</v>
      </c>
    </row>
    <row r="367" spans="1:12" s="18" customFormat="1" outlineLevel="3">
      <c r="A367" s="12" t="s">
        <v>402</v>
      </c>
      <c r="B367" s="12" t="s">
        <v>531</v>
      </c>
      <c r="C367" s="12" t="s">
        <v>131</v>
      </c>
      <c r="D367" s="12" t="s">
        <v>535</v>
      </c>
      <c r="E367" s="12" t="s">
        <v>533</v>
      </c>
      <c r="F367" s="13">
        <v>45870</v>
      </c>
      <c r="G367" s="16">
        <v>1560.42</v>
      </c>
      <c r="H367" s="16"/>
      <c r="I367" s="16"/>
      <c r="J367" s="16">
        <v>1560.42</v>
      </c>
      <c r="K367" s="16">
        <f t="shared" si="22"/>
        <v>0</v>
      </c>
      <c r="L367" s="17">
        <f t="shared" si="23"/>
        <v>0</v>
      </c>
    </row>
    <row r="368" spans="1:12" s="18" customFormat="1" outlineLevel="2">
      <c r="A368" s="12"/>
      <c r="B368" s="7" t="s">
        <v>536</v>
      </c>
      <c r="C368" s="12"/>
      <c r="D368" s="12"/>
      <c r="E368" s="12"/>
      <c r="F368" s="13"/>
      <c r="G368" s="16">
        <f>SUBTOTAL(9,G363:G367)</f>
        <v>4520.17</v>
      </c>
      <c r="H368" s="16"/>
      <c r="I368" s="16">
        <f>SUBTOTAL(9,I363:I367)</f>
        <v>0</v>
      </c>
      <c r="J368" s="16">
        <f>SUBTOTAL(9,J363:J367)</f>
        <v>4520.17</v>
      </c>
      <c r="K368" s="16">
        <f>SUBTOTAL(9,K363:K367)</f>
        <v>0</v>
      </c>
      <c r="L368" s="17"/>
    </row>
    <row r="369" spans="1:12" s="18" customFormat="1" outlineLevel="3">
      <c r="A369" s="12" t="s">
        <v>402</v>
      </c>
      <c r="B369" s="12" t="s">
        <v>537</v>
      </c>
      <c r="C369" s="12" t="s">
        <v>175</v>
      </c>
      <c r="D369" s="12" t="s">
        <v>175</v>
      </c>
      <c r="E369" s="12" t="s">
        <v>538</v>
      </c>
      <c r="F369" s="13">
        <v>45870</v>
      </c>
      <c r="G369" s="16">
        <v>3108</v>
      </c>
      <c r="H369" s="16"/>
      <c r="I369" s="16"/>
      <c r="J369" s="16">
        <v>3108</v>
      </c>
      <c r="K369" s="16">
        <f t="shared" si="22"/>
        <v>0</v>
      </c>
      <c r="L369" s="17">
        <f t="shared" si="23"/>
        <v>0</v>
      </c>
    </row>
    <row r="370" spans="1:12" s="18" customFormat="1" outlineLevel="3">
      <c r="A370" s="12" t="s">
        <v>402</v>
      </c>
      <c r="B370" s="12" t="s">
        <v>537</v>
      </c>
      <c r="C370" s="12" t="s">
        <v>141</v>
      </c>
      <c r="D370" s="12" t="s">
        <v>141</v>
      </c>
      <c r="E370" s="12" t="s">
        <v>539</v>
      </c>
      <c r="F370" s="13">
        <v>45870</v>
      </c>
      <c r="G370" s="16">
        <v>1820</v>
      </c>
      <c r="H370" s="16"/>
      <c r="I370" s="16"/>
      <c r="J370" s="16">
        <v>1850</v>
      </c>
      <c r="K370" s="16">
        <f t="shared" si="22"/>
        <v>-30</v>
      </c>
      <c r="L370" s="17">
        <f t="shared" si="23"/>
        <v>-1.6216216216216217E-2</v>
      </c>
    </row>
    <row r="371" spans="1:12" s="18" customFormat="1" outlineLevel="3">
      <c r="A371" s="12" t="s">
        <v>402</v>
      </c>
      <c r="B371" s="12" t="s">
        <v>537</v>
      </c>
      <c r="C371" s="12" t="s">
        <v>145</v>
      </c>
      <c r="D371" s="12" t="s">
        <v>145</v>
      </c>
      <c r="E371" s="12" t="s">
        <v>540</v>
      </c>
      <c r="F371" s="13">
        <v>45870</v>
      </c>
      <c r="G371" s="16">
        <v>1182</v>
      </c>
      <c r="H371" s="16"/>
      <c r="I371" s="16"/>
      <c r="J371" s="16">
        <v>1206</v>
      </c>
      <c r="K371" s="16">
        <f t="shared" si="22"/>
        <v>-24</v>
      </c>
      <c r="L371" s="17">
        <f t="shared" si="23"/>
        <v>-1.9900497512437811E-2</v>
      </c>
    </row>
    <row r="372" spans="1:12" s="18" customFormat="1" outlineLevel="3">
      <c r="A372" s="12" t="s">
        <v>402</v>
      </c>
      <c r="B372" s="12" t="s">
        <v>537</v>
      </c>
      <c r="C372" s="12" t="s">
        <v>131</v>
      </c>
      <c r="D372" s="12" t="s">
        <v>131</v>
      </c>
      <c r="E372" s="12" t="s">
        <v>541</v>
      </c>
      <c r="F372" s="13">
        <v>45870</v>
      </c>
      <c r="G372" s="16">
        <v>4700</v>
      </c>
      <c r="H372" s="16"/>
      <c r="I372" s="16"/>
      <c r="J372" s="16">
        <v>4700</v>
      </c>
      <c r="K372" s="16">
        <f t="shared" si="22"/>
        <v>0</v>
      </c>
      <c r="L372" s="17">
        <f t="shared" si="23"/>
        <v>0</v>
      </c>
    </row>
    <row r="373" spans="1:12" s="18" customFormat="1" outlineLevel="2">
      <c r="A373" s="12"/>
      <c r="B373" s="7" t="s">
        <v>542</v>
      </c>
      <c r="C373" s="12"/>
      <c r="D373" s="12"/>
      <c r="E373" s="12"/>
      <c r="F373" s="13"/>
      <c r="G373" s="16">
        <f>SUBTOTAL(9,G369:G372)</f>
        <v>10810</v>
      </c>
      <c r="H373" s="16"/>
      <c r="I373" s="16">
        <f>SUBTOTAL(9,I369:I372)</f>
        <v>0</v>
      </c>
      <c r="J373" s="16">
        <f>SUBTOTAL(9,J369:J372)</f>
        <v>10864</v>
      </c>
      <c r="K373" s="16">
        <f>SUBTOTAL(9,K369:K372)</f>
        <v>-54</v>
      </c>
      <c r="L373" s="17"/>
    </row>
    <row r="374" spans="1:12" s="18" customFormat="1" outlineLevel="3">
      <c r="A374" s="12" t="s">
        <v>402</v>
      </c>
      <c r="B374" s="12" t="s">
        <v>543</v>
      </c>
      <c r="C374" s="12" t="s">
        <v>141</v>
      </c>
      <c r="D374" s="12" t="s">
        <v>141</v>
      </c>
      <c r="E374" s="12" t="s">
        <v>544</v>
      </c>
      <c r="F374" s="13">
        <v>45870</v>
      </c>
      <c r="G374" s="16">
        <v>554.63580000000002</v>
      </c>
      <c r="H374" s="16"/>
      <c r="I374" s="16"/>
      <c r="J374" s="16">
        <v>549.92939999999999</v>
      </c>
      <c r="K374" s="16">
        <f t="shared" si="22"/>
        <v>4.7064000000000306</v>
      </c>
      <c r="L374" s="17">
        <f t="shared" si="23"/>
        <v>8.5581894694119476E-3</v>
      </c>
    </row>
    <row r="375" spans="1:12" s="18" customFormat="1" outlineLevel="3">
      <c r="A375" s="12" t="s">
        <v>402</v>
      </c>
      <c r="B375" s="12" t="s">
        <v>543</v>
      </c>
      <c r="C375" s="12" t="s">
        <v>145</v>
      </c>
      <c r="D375" s="12" t="s">
        <v>145</v>
      </c>
      <c r="E375" s="12" t="s">
        <v>544</v>
      </c>
      <c r="F375" s="13">
        <v>45870</v>
      </c>
      <c r="G375" s="16">
        <v>1426</v>
      </c>
      <c r="H375" s="16"/>
      <c r="I375" s="16"/>
      <c r="J375" s="16">
        <v>1426</v>
      </c>
      <c r="K375" s="16">
        <f t="shared" ref="K375:K455" si="24">+G375-J375</f>
        <v>0</v>
      </c>
      <c r="L375" s="17">
        <f t="shared" ref="L375:L453" si="25">+K375/J375</f>
        <v>0</v>
      </c>
    </row>
    <row r="376" spans="1:12" s="18" customFormat="1" outlineLevel="3">
      <c r="A376" s="12" t="s">
        <v>402</v>
      </c>
      <c r="B376" s="12" t="s">
        <v>543</v>
      </c>
      <c r="C376" s="12" t="s">
        <v>131</v>
      </c>
      <c r="D376" s="12" t="s">
        <v>500</v>
      </c>
      <c r="E376" s="12" t="s">
        <v>544</v>
      </c>
      <c r="F376" s="13">
        <v>45870</v>
      </c>
      <c r="G376" s="16">
        <v>3653.0041999999999</v>
      </c>
      <c r="H376" s="16"/>
      <c r="I376" s="16"/>
      <c r="J376" s="16">
        <v>3903</v>
      </c>
      <c r="K376" s="16">
        <f t="shared" si="24"/>
        <v>-249.99580000000014</v>
      </c>
      <c r="L376" s="17">
        <f t="shared" si="25"/>
        <v>-6.4052216243914981E-2</v>
      </c>
    </row>
    <row r="377" spans="1:12" s="18" customFormat="1" outlineLevel="2">
      <c r="A377" s="12"/>
      <c r="B377" s="7" t="s">
        <v>545</v>
      </c>
      <c r="C377" s="12"/>
      <c r="D377" s="12"/>
      <c r="E377" s="12"/>
      <c r="F377" s="13"/>
      <c r="G377" s="16">
        <f>SUBTOTAL(9,G374:G376)</f>
        <v>5633.6399999999994</v>
      </c>
      <c r="H377" s="16"/>
      <c r="I377" s="16">
        <f>SUBTOTAL(9,I374:I376)</f>
        <v>0</v>
      </c>
      <c r="J377" s="16">
        <f>SUBTOTAL(9,J374:J376)</f>
        <v>5878.9294</v>
      </c>
      <c r="K377" s="16">
        <f>SUBTOTAL(9,K374:K376)</f>
        <v>-245.28940000000011</v>
      </c>
      <c r="L377" s="17"/>
    </row>
    <row r="378" spans="1:12" s="18" customFormat="1" outlineLevel="3">
      <c r="A378" s="12" t="s">
        <v>402</v>
      </c>
      <c r="B378" s="12" t="s">
        <v>546</v>
      </c>
      <c r="C378" s="12" t="s">
        <v>141</v>
      </c>
      <c r="D378" s="12" t="s">
        <v>141</v>
      </c>
      <c r="E378" s="12" t="s">
        <v>547</v>
      </c>
      <c r="F378" s="13">
        <v>45870</v>
      </c>
      <c r="G378" s="16">
        <v>0</v>
      </c>
      <c r="H378" s="16"/>
      <c r="I378" s="16"/>
      <c r="J378" s="16">
        <v>0</v>
      </c>
      <c r="K378" s="16">
        <f t="shared" si="24"/>
        <v>0</v>
      </c>
      <c r="L378" s="17" t="e">
        <f t="shared" si="25"/>
        <v>#DIV/0!</v>
      </c>
    </row>
    <row r="379" spans="1:12" s="18" customFormat="1" outlineLevel="3">
      <c r="A379" s="12" t="s">
        <v>402</v>
      </c>
      <c r="B379" s="12" t="s">
        <v>546</v>
      </c>
      <c r="C379" s="12" t="s">
        <v>145</v>
      </c>
      <c r="D379" s="12" t="s">
        <v>145</v>
      </c>
      <c r="E379" s="12" t="s">
        <v>547</v>
      </c>
      <c r="F379" s="13">
        <v>45870</v>
      </c>
      <c r="G379" s="16">
        <v>91</v>
      </c>
      <c r="H379" s="16"/>
      <c r="I379" s="16"/>
      <c r="J379" s="16">
        <v>70</v>
      </c>
      <c r="K379" s="16">
        <f t="shared" si="24"/>
        <v>21</v>
      </c>
      <c r="L379" s="17">
        <f t="shared" si="25"/>
        <v>0.3</v>
      </c>
    </row>
    <row r="380" spans="1:12" s="18" customFormat="1" outlineLevel="3">
      <c r="A380" s="12" t="s">
        <v>402</v>
      </c>
      <c r="B380" s="12" t="s">
        <v>546</v>
      </c>
      <c r="C380" s="12" t="s">
        <v>131</v>
      </c>
      <c r="D380" s="12" t="s">
        <v>131</v>
      </c>
      <c r="E380" s="12" t="s">
        <v>547</v>
      </c>
      <c r="F380" s="13">
        <v>45870</v>
      </c>
      <c r="G380" s="16">
        <v>885.59</v>
      </c>
      <c r="H380" s="16"/>
      <c r="I380" s="16"/>
      <c r="J380" s="16">
        <v>885.59</v>
      </c>
      <c r="K380" s="16">
        <f t="shared" si="24"/>
        <v>0</v>
      </c>
      <c r="L380" s="17">
        <f t="shared" si="25"/>
        <v>0</v>
      </c>
    </row>
    <row r="381" spans="1:12" s="18" customFormat="1" outlineLevel="2">
      <c r="A381" s="12"/>
      <c r="B381" s="7" t="s">
        <v>548</v>
      </c>
      <c r="C381" s="12"/>
      <c r="D381" s="12"/>
      <c r="E381" s="12"/>
      <c r="F381" s="13"/>
      <c r="G381" s="16">
        <f>SUBTOTAL(9,G378:G380)</f>
        <v>976.59</v>
      </c>
      <c r="H381" s="16"/>
      <c r="I381" s="16">
        <f>SUBTOTAL(9,I378:I380)</f>
        <v>0</v>
      </c>
      <c r="J381" s="16">
        <f>SUBTOTAL(9,J378:J380)</f>
        <v>955.59</v>
      </c>
      <c r="K381" s="16">
        <f>SUBTOTAL(9,K378:K380)</f>
        <v>21</v>
      </c>
      <c r="L381" s="17"/>
    </row>
    <row r="382" spans="1:12" s="18" customFormat="1" outlineLevel="3">
      <c r="A382" s="12" t="s">
        <v>402</v>
      </c>
      <c r="B382" s="12" t="s">
        <v>549</v>
      </c>
      <c r="C382" s="12" t="s">
        <v>175</v>
      </c>
      <c r="D382" s="12" t="s">
        <v>550</v>
      </c>
      <c r="E382" s="12" t="s">
        <v>551</v>
      </c>
      <c r="F382" s="13">
        <v>45870</v>
      </c>
      <c r="G382" s="16">
        <v>2258.5700000000002</v>
      </c>
      <c r="H382" s="16"/>
      <c r="I382" s="16"/>
      <c r="J382" s="16">
        <v>2247.4</v>
      </c>
      <c r="K382" s="16">
        <f t="shared" si="24"/>
        <v>11.170000000000073</v>
      </c>
      <c r="L382" s="17">
        <f t="shared" si="25"/>
        <v>4.9701877725371862E-3</v>
      </c>
    </row>
    <row r="383" spans="1:12" s="18" customFormat="1" outlineLevel="3">
      <c r="A383" s="12" t="s">
        <v>402</v>
      </c>
      <c r="B383" s="12" t="s">
        <v>549</v>
      </c>
      <c r="C383" s="12" t="s">
        <v>141</v>
      </c>
      <c r="D383" s="12" t="s">
        <v>142</v>
      </c>
      <c r="E383" s="12" t="s">
        <v>552</v>
      </c>
      <c r="F383" s="13">
        <v>45870</v>
      </c>
      <c r="G383" s="16">
        <v>510</v>
      </c>
      <c r="H383" s="16"/>
      <c r="I383" s="16"/>
      <c r="J383" s="16">
        <v>520</v>
      </c>
      <c r="K383" s="16">
        <f t="shared" si="24"/>
        <v>-10</v>
      </c>
      <c r="L383" s="17">
        <f t="shared" si="25"/>
        <v>-1.9230769230769232E-2</v>
      </c>
    </row>
    <row r="384" spans="1:12" s="18" customFormat="1" outlineLevel="3">
      <c r="A384" s="12" t="s">
        <v>402</v>
      </c>
      <c r="B384" s="12" t="s">
        <v>549</v>
      </c>
      <c r="C384" s="12" t="s">
        <v>145</v>
      </c>
      <c r="D384" s="12" t="s">
        <v>146</v>
      </c>
      <c r="E384" s="12" t="s">
        <v>552</v>
      </c>
      <c r="F384" s="13">
        <v>45870</v>
      </c>
      <c r="G384" s="16">
        <v>1858</v>
      </c>
      <c r="H384" s="16"/>
      <c r="I384" s="16"/>
      <c r="J384" s="16">
        <v>1840</v>
      </c>
      <c r="K384" s="16">
        <f t="shared" si="24"/>
        <v>18</v>
      </c>
      <c r="L384" s="17">
        <f t="shared" si="25"/>
        <v>9.7826086956521747E-3</v>
      </c>
    </row>
    <row r="385" spans="1:13" s="18" customFormat="1" outlineLevel="3">
      <c r="A385" s="12" t="s">
        <v>402</v>
      </c>
      <c r="B385" s="12" t="s">
        <v>549</v>
      </c>
      <c r="C385" s="12" t="s">
        <v>131</v>
      </c>
      <c r="D385" s="12" t="s">
        <v>518</v>
      </c>
      <c r="E385" s="12" t="s">
        <v>552</v>
      </c>
      <c r="F385" s="13">
        <v>45870</v>
      </c>
      <c r="G385" s="16">
        <v>2585</v>
      </c>
      <c r="H385" s="16"/>
      <c r="I385" s="16"/>
      <c r="J385" s="16">
        <v>2645</v>
      </c>
      <c r="K385" s="16">
        <f t="shared" si="24"/>
        <v>-60</v>
      </c>
      <c r="L385" s="17">
        <f t="shared" si="25"/>
        <v>-2.2684310018903593E-2</v>
      </c>
    </row>
    <row r="386" spans="1:13" s="18" customFormat="1" outlineLevel="2">
      <c r="A386" s="12"/>
      <c r="B386" s="7" t="s">
        <v>553</v>
      </c>
      <c r="C386" s="12"/>
      <c r="D386" s="12"/>
      <c r="E386" s="12"/>
      <c r="F386" s="13"/>
      <c r="G386" s="16">
        <f>SUBTOTAL(9,G382:G385)</f>
        <v>7211.57</v>
      </c>
      <c r="H386" s="16"/>
      <c r="I386" s="16">
        <f>SUBTOTAL(9,I382:I385)</f>
        <v>0</v>
      </c>
      <c r="J386" s="16">
        <f>SUBTOTAL(9,J382:J385)</f>
        <v>7252.4</v>
      </c>
      <c r="K386" s="16">
        <f>SUBTOTAL(9,K382:K385)</f>
        <v>-40.829999999999927</v>
      </c>
      <c r="L386" s="17"/>
    </row>
    <row r="387" spans="1:13" s="18" customFormat="1" outlineLevel="3">
      <c r="A387" s="12" t="s">
        <v>402</v>
      </c>
      <c r="B387" s="12" t="s">
        <v>554</v>
      </c>
      <c r="C387" s="12" t="s">
        <v>175</v>
      </c>
      <c r="D387" s="12" t="s">
        <v>555</v>
      </c>
      <c r="E387" s="12" t="s">
        <v>556</v>
      </c>
      <c r="F387" s="13">
        <v>45870</v>
      </c>
      <c r="G387" s="16">
        <v>972</v>
      </c>
      <c r="H387" s="16"/>
      <c r="I387" s="16"/>
      <c r="J387" s="16">
        <v>972</v>
      </c>
      <c r="K387" s="16">
        <f t="shared" si="24"/>
        <v>0</v>
      </c>
      <c r="L387" s="17">
        <f t="shared" si="25"/>
        <v>0</v>
      </c>
    </row>
    <row r="388" spans="1:13" s="18" customFormat="1" outlineLevel="3">
      <c r="A388" s="12" t="s">
        <v>402</v>
      </c>
      <c r="B388" s="12" t="s">
        <v>554</v>
      </c>
      <c r="C388" s="12" t="s">
        <v>141</v>
      </c>
      <c r="D388" s="12" t="s">
        <v>141</v>
      </c>
      <c r="E388" s="12" t="s">
        <v>556</v>
      </c>
      <c r="F388" s="13">
        <v>45870</v>
      </c>
      <c r="G388" s="16">
        <v>393.5</v>
      </c>
      <c r="H388" s="16"/>
      <c r="I388" s="16"/>
      <c r="J388" s="16">
        <v>393.5</v>
      </c>
      <c r="K388" s="16">
        <f t="shared" si="24"/>
        <v>0</v>
      </c>
      <c r="L388" s="17">
        <f t="shared" si="25"/>
        <v>0</v>
      </c>
    </row>
    <row r="389" spans="1:13" s="18" customFormat="1" outlineLevel="3">
      <c r="A389" s="12" t="s">
        <v>402</v>
      </c>
      <c r="B389" s="12" t="s">
        <v>554</v>
      </c>
      <c r="C389" s="12" t="s">
        <v>145</v>
      </c>
      <c r="D389" s="12" t="s">
        <v>145</v>
      </c>
      <c r="E389" s="12" t="s">
        <v>556</v>
      </c>
      <c r="F389" s="13">
        <v>45870</v>
      </c>
      <c r="G389" s="16">
        <v>123</v>
      </c>
      <c r="H389" s="16"/>
      <c r="I389" s="16"/>
      <c r="J389" s="16">
        <v>357.9</v>
      </c>
      <c r="K389" s="16">
        <f t="shared" si="24"/>
        <v>-234.89999999999998</v>
      </c>
      <c r="L389" s="17">
        <f t="shared" si="25"/>
        <v>-0.65632858340318523</v>
      </c>
    </row>
    <row r="390" spans="1:13" outlineLevel="3">
      <c r="A390" s="12" t="s">
        <v>402</v>
      </c>
      <c r="B390" s="12" t="s">
        <v>554</v>
      </c>
      <c r="C390" s="12" t="s">
        <v>131</v>
      </c>
      <c r="D390" s="12" t="s">
        <v>557</v>
      </c>
      <c r="E390" s="12" t="s">
        <v>556</v>
      </c>
      <c r="F390" s="13">
        <v>45870</v>
      </c>
      <c r="G390" s="16">
        <v>4754.25</v>
      </c>
      <c r="H390" s="16"/>
      <c r="I390" s="16"/>
      <c r="J390" s="16">
        <v>4754.25</v>
      </c>
      <c r="K390" s="16">
        <f t="shared" si="24"/>
        <v>0</v>
      </c>
      <c r="L390" s="17">
        <f t="shared" si="25"/>
        <v>0</v>
      </c>
      <c r="M390" s="18"/>
    </row>
    <row r="391" spans="1:13" outlineLevel="3">
      <c r="A391" s="12" t="s">
        <v>402</v>
      </c>
      <c r="B391" s="12" t="s">
        <v>554</v>
      </c>
      <c r="C391" s="12" t="s">
        <v>464</v>
      </c>
      <c r="D391" s="12" t="s">
        <v>558</v>
      </c>
      <c r="E391" s="12" t="s">
        <v>556</v>
      </c>
      <c r="F391" s="13">
        <v>45870</v>
      </c>
      <c r="G391" s="16">
        <v>3.19</v>
      </c>
      <c r="H391" s="16"/>
      <c r="I391" s="16"/>
      <c r="J391" s="16">
        <v>3.19</v>
      </c>
      <c r="K391" s="16">
        <f t="shared" si="24"/>
        <v>0</v>
      </c>
      <c r="L391" s="17">
        <f t="shared" si="25"/>
        <v>0</v>
      </c>
      <c r="M391" s="18"/>
    </row>
    <row r="392" spans="1:13" outlineLevel="2">
      <c r="B392" s="7" t="s">
        <v>559</v>
      </c>
      <c r="F392" s="13"/>
      <c r="G392" s="16">
        <f>SUBTOTAL(9,G387:G391)</f>
        <v>6245.94</v>
      </c>
      <c r="H392" s="16"/>
      <c r="I392" s="16">
        <f>SUBTOTAL(9,I387:I391)</f>
        <v>0</v>
      </c>
      <c r="J392" s="16">
        <f>SUBTOTAL(9,J387:J391)</f>
        <v>6480.8399999999992</v>
      </c>
      <c r="K392" s="16">
        <f>SUBTOTAL(9,K387:K391)</f>
        <v>-234.89999999999998</v>
      </c>
      <c r="L392" s="17"/>
      <c r="M392" s="18"/>
    </row>
    <row r="393" spans="1:13" outlineLevel="3">
      <c r="A393" s="12" t="s">
        <v>402</v>
      </c>
      <c r="B393" s="12" t="s">
        <v>560</v>
      </c>
      <c r="C393" s="12" t="s">
        <v>407</v>
      </c>
      <c r="D393" s="12" t="s">
        <v>407</v>
      </c>
      <c r="E393" s="12" t="s">
        <v>561</v>
      </c>
      <c r="F393" s="13">
        <v>45870</v>
      </c>
      <c r="G393" s="16">
        <v>600</v>
      </c>
      <c r="H393" s="16"/>
      <c r="I393" s="16"/>
      <c r="J393" s="16">
        <v>600</v>
      </c>
      <c r="K393" s="16">
        <f t="shared" si="24"/>
        <v>0</v>
      </c>
      <c r="L393" s="17">
        <f t="shared" si="25"/>
        <v>0</v>
      </c>
      <c r="M393" s="18"/>
    </row>
    <row r="394" spans="1:13" outlineLevel="3">
      <c r="A394" s="12" t="s">
        <v>402</v>
      </c>
      <c r="B394" s="12" t="s">
        <v>560</v>
      </c>
      <c r="C394" s="12" t="s">
        <v>175</v>
      </c>
      <c r="D394" s="12" t="s">
        <v>175</v>
      </c>
      <c r="E394" s="12" t="s">
        <v>561</v>
      </c>
      <c r="F394" s="13">
        <v>45870</v>
      </c>
      <c r="G394" s="16">
        <v>1383.6</v>
      </c>
      <c r="H394" s="16"/>
      <c r="I394" s="16"/>
      <c r="J394" s="16">
        <v>1374</v>
      </c>
      <c r="K394" s="16">
        <f t="shared" si="24"/>
        <v>9.5999999999999091</v>
      </c>
      <c r="L394" s="17">
        <f t="shared" si="25"/>
        <v>6.9868995633187115E-3</v>
      </c>
      <c r="M394" s="18"/>
    </row>
    <row r="395" spans="1:13" outlineLevel="3">
      <c r="A395" s="12" t="s">
        <v>402</v>
      </c>
      <c r="B395" s="12" t="s">
        <v>560</v>
      </c>
      <c r="C395" s="12" t="s">
        <v>141</v>
      </c>
      <c r="D395" s="12" t="s">
        <v>141</v>
      </c>
      <c r="E395" s="12" t="s">
        <v>561</v>
      </c>
      <c r="F395" s="13">
        <v>45870</v>
      </c>
      <c r="G395" s="16">
        <v>244.2242</v>
      </c>
      <c r="H395" s="16"/>
      <c r="I395" s="16"/>
      <c r="J395" s="16">
        <v>236.2242</v>
      </c>
      <c r="K395" s="16">
        <f t="shared" si="24"/>
        <v>8</v>
      </c>
      <c r="L395" s="17">
        <f t="shared" si="25"/>
        <v>3.3866132259099617E-2</v>
      </c>
      <c r="M395" s="18"/>
    </row>
    <row r="396" spans="1:13" outlineLevel="3">
      <c r="A396" s="12" t="s">
        <v>402</v>
      </c>
      <c r="B396" s="12" t="s">
        <v>560</v>
      </c>
      <c r="C396" s="12" t="s">
        <v>145</v>
      </c>
      <c r="D396" s="12" t="s">
        <v>145</v>
      </c>
      <c r="E396" s="12" t="s">
        <v>561</v>
      </c>
      <c r="F396" s="13">
        <v>45870</v>
      </c>
      <c r="G396" s="16">
        <v>2000</v>
      </c>
      <c r="H396" s="16"/>
      <c r="I396" s="16"/>
      <c r="J396" s="16">
        <v>1910</v>
      </c>
      <c r="K396" s="16">
        <f t="shared" si="24"/>
        <v>90</v>
      </c>
      <c r="L396" s="17">
        <f t="shared" si="25"/>
        <v>4.712041884816754E-2</v>
      </c>
      <c r="M396" s="18"/>
    </row>
    <row r="397" spans="1:13" outlineLevel="3">
      <c r="A397" s="12" t="s">
        <v>402</v>
      </c>
      <c r="B397" s="12" t="s">
        <v>560</v>
      </c>
      <c r="C397" s="12" t="s">
        <v>131</v>
      </c>
      <c r="D397" s="12" t="s">
        <v>131</v>
      </c>
      <c r="E397" s="12" t="s">
        <v>561</v>
      </c>
      <c r="F397" s="13">
        <v>45870</v>
      </c>
      <c r="G397" s="16">
        <v>3558</v>
      </c>
      <c r="H397" s="16"/>
      <c r="I397" s="16"/>
      <c r="J397" s="16">
        <v>3483</v>
      </c>
      <c r="K397" s="16">
        <f t="shared" si="24"/>
        <v>75</v>
      </c>
      <c r="L397" s="17">
        <f t="shared" si="25"/>
        <v>2.1533161068044791E-2</v>
      </c>
      <c r="M397" s="18"/>
    </row>
    <row r="398" spans="1:13" outlineLevel="2">
      <c r="B398" s="7" t="s">
        <v>562</v>
      </c>
      <c r="F398" s="13"/>
      <c r="G398" s="16">
        <f>SUBTOTAL(9,G393:G397)</f>
        <v>7785.8242</v>
      </c>
      <c r="H398" s="16"/>
      <c r="I398" s="16">
        <f>SUBTOTAL(9,I393:I397)</f>
        <v>0</v>
      </c>
      <c r="J398" s="16">
        <f>SUBTOTAL(9,J393:J397)</f>
        <v>7603.2242000000006</v>
      </c>
      <c r="K398" s="16">
        <f>SUBTOTAL(9,K393:K397)</f>
        <v>182.59999999999991</v>
      </c>
      <c r="L398" s="17"/>
      <c r="M398" s="18"/>
    </row>
    <row r="399" spans="1:13" outlineLevel="3">
      <c r="A399" s="12" t="s">
        <v>402</v>
      </c>
      <c r="B399" s="12" t="s">
        <v>563</v>
      </c>
      <c r="C399" s="12" t="s">
        <v>175</v>
      </c>
      <c r="D399" s="12" t="s">
        <v>175</v>
      </c>
      <c r="F399" s="13"/>
      <c r="G399" s="16"/>
      <c r="H399" s="16"/>
      <c r="I399" s="16"/>
      <c r="J399" s="16">
        <v>1763.6</v>
      </c>
      <c r="K399" s="16"/>
      <c r="L399" s="17">
        <f t="shared" si="25"/>
        <v>0</v>
      </c>
      <c r="M399" s="18"/>
    </row>
    <row r="400" spans="1:13" outlineLevel="3">
      <c r="A400" s="12" t="s">
        <v>402</v>
      </c>
      <c r="B400" s="12" t="s">
        <v>563</v>
      </c>
      <c r="C400" s="12" t="s">
        <v>141</v>
      </c>
      <c r="D400" s="12" t="s">
        <v>141</v>
      </c>
      <c r="E400" s="12" t="s">
        <v>564</v>
      </c>
      <c r="F400" s="13">
        <v>45870</v>
      </c>
      <c r="G400" s="16">
        <v>312</v>
      </c>
      <c r="H400" s="16"/>
      <c r="I400" s="16"/>
      <c r="J400" s="16">
        <v>332</v>
      </c>
      <c r="K400" s="16">
        <f t="shared" si="24"/>
        <v>-20</v>
      </c>
      <c r="L400" s="17">
        <f t="shared" si="25"/>
        <v>-6.0240963855421686E-2</v>
      </c>
      <c r="M400" s="18"/>
    </row>
    <row r="401" spans="1:13" outlineLevel="3">
      <c r="A401" s="12" t="s">
        <v>402</v>
      </c>
      <c r="B401" s="12" t="s">
        <v>563</v>
      </c>
      <c r="C401" s="12" t="s">
        <v>145</v>
      </c>
      <c r="D401" s="12" t="s">
        <v>145</v>
      </c>
      <c r="E401" s="12" t="s">
        <v>564</v>
      </c>
      <c r="F401" s="13">
        <v>45870</v>
      </c>
      <c r="G401" s="16">
        <v>1697</v>
      </c>
      <c r="H401" s="16"/>
      <c r="I401" s="16"/>
      <c r="J401" s="16">
        <v>1721</v>
      </c>
      <c r="K401" s="16">
        <f t="shared" si="24"/>
        <v>-24</v>
      </c>
      <c r="L401" s="17">
        <f t="shared" si="25"/>
        <v>-1.3945380592678676E-2</v>
      </c>
      <c r="M401" s="18"/>
    </row>
    <row r="402" spans="1:13" outlineLevel="3">
      <c r="A402" s="12" t="s">
        <v>402</v>
      </c>
      <c r="B402" s="12" t="s">
        <v>563</v>
      </c>
      <c r="C402" s="12" t="s">
        <v>131</v>
      </c>
      <c r="D402" s="12" t="s">
        <v>131</v>
      </c>
      <c r="E402" s="12" t="s">
        <v>564</v>
      </c>
      <c r="F402" s="13">
        <v>45870</v>
      </c>
      <c r="G402" s="16">
        <v>5479.6</v>
      </c>
      <c r="H402" s="16"/>
      <c r="I402" s="16"/>
      <c r="J402" s="16">
        <v>5742.25</v>
      </c>
      <c r="K402" s="16">
        <f t="shared" si="24"/>
        <v>-262.64999999999964</v>
      </c>
      <c r="L402" s="17">
        <f t="shared" si="25"/>
        <v>-4.5739910313901282E-2</v>
      </c>
      <c r="M402" s="18"/>
    </row>
    <row r="403" spans="1:13" outlineLevel="2">
      <c r="B403" s="7" t="s">
        <v>565</v>
      </c>
      <c r="F403" s="13"/>
      <c r="G403" s="16">
        <f>SUBTOTAL(9,G399:G402)</f>
        <v>7488.6</v>
      </c>
      <c r="H403" s="16"/>
      <c r="I403" s="16">
        <f>SUBTOTAL(9,I399:I402)</f>
        <v>0</v>
      </c>
      <c r="J403" s="16">
        <f>SUBTOTAL(9,J399:J402)</f>
        <v>9558.85</v>
      </c>
      <c r="K403" s="16">
        <f>SUBTOTAL(9,K399:K402)</f>
        <v>-306.64999999999964</v>
      </c>
      <c r="L403" s="17"/>
      <c r="M403" s="18"/>
    </row>
    <row r="404" spans="1:13" outlineLevel="3">
      <c r="A404" s="12" t="s">
        <v>402</v>
      </c>
      <c r="B404" s="12" t="s">
        <v>566</v>
      </c>
      <c r="C404" s="12" t="s">
        <v>407</v>
      </c>
      <c r="D404" s="12" t="s">
        <v>567</v>
      </c>
      <c r="E404" s="12" t="s">
        <v>568</v>
      </c>
      <c r="F404" s="13">
        <v>45870</v>
      </c>
      <c r="G404" s="16">
        <v>2960</v>
      </c>
      <c r="H404" s="16"/>
      <c r="I404" s="16"/>
      <c r="J404" s="16">
        <v>2560</v>
      </c>
      <c r="K404" s="16">
        <f t="shared" si="24"/>
        <v>400</v>
      </c>
      <c r="L404" s="17">
        <f t="shared" si="25"/>
        <v>0.15625</v>
      </c>
      <c r="M404" s="18"/>
    </row>
    <row r="405" spans="1:13" outlineLevel="3">
      <c r="A405" s="12" t="s">
        <v>402</v>
      </c>
      <c r="B405" s="12" t="s">
        <v>566</v>
      </c>
      <c r="C405" s="12" t="s">
        <v>141</v>
      </c>
      <c r="D405" s="12" t="s">
        <v>569</v>
      </c>
      <c r="E405" s="12" t="s">
        <v>568</v>
      </c>
      <c r="F405" s="13">
        <v>45870</v>
      </c>
      <c r="G405" s="16">
        <v>1547.9906000000001</v>
      </c>
      <c r="H405" s="16"/>
      <c r="I405" s="16"/>
      <c r="J405" s="16">
        <v>1551.9906000000001</v>
      </c>
      <c r="K405" s="16">
        <f t="shared" si="24"/>
        <v>-4</v>
      </c>
      <c r="L405" s="17">
        <f t="shared" si="25"/>
        <v>-2.5773351977776151E-3</v>
      </c>
      <c r="M405" s="18"/>
    </row>
    <row r="406" spans="1:13" s="18" customFormat="1" outlineLevel="3">
      <c r="A406" s="12" t="s">
        <v>402</v>
      </c>
      <c r="B406" s="12" t="s">
        <v>566</v>
      </c>
      <c r="C406" s="12" t="s">
        <v>145</v>
      </c>
      <c r="D406" s="12" t="s">
        <v>570</v>
      </c>
      <c r="E406" s="12" t="s">
        <v>568</v>
      </c>
      <c r="F406" s="13">
        <v>45870</v>
      </c>
      <c r="G406" s="16">
        <v>1158</v>
      </c>
      <c r="H406" s="16"/>
      <c r="I406" s="16"/>
      <c r="J406" s="16">
        <v>1276</v>
      </c>
      <c r="K406" s="16">
        <f t="shared" si="24"/>
        <v>-118</v>
      </c>
      <c r="L406" s="17">
        <f t="shared" si="25"/>
        <v>-9.2476489028213163E-2</v>
      </c>
    </row>
    <row r="407" spans="1:13" s="18" customFormat="1" outlineLevel="3">
      <c r="A407" s="12" t="s">
        <v>402</v>
      </c>
      <c r="B407" s="12" t="s">
        <v>566</v>
      </c>
      <c r="C407" s="12" t="s">
        <v>131</v>
      </c>
      <c r="D407" s="12" t="s">
        <v>522</v>
      </c>
      <c r="E407" s="12" t="s">
        <v>568</v>
      </c>
      <c r="F407" s="13">
        <v>45870</v>
      </c>
      <c r="G407" s="16">
        <v>4842</v>
      </c>
      <c r="H407" s="16"/>
      <c r="I407" s="16"/>
      <c r="J407" s="16">
        <v>4931</v>
      </c>
      <c r="K407" s="16">
        <f t="shared" si="24"/>
        <v>-89</v>
      </c>
      <c r="L407" s="17">
        <f t="shared" si="25"/>
        <v>-1.8049077266274589E-2</v>
      </c>
    </row>
    <row r="408" spans="1:13" s="18" customFormat="1" outlineLevel="2">
      <c r="A408" s="12"/>
      <c r="B408" s="7" t="s">
        <v>571</v>
      </c>
      <c r="C408" s="12"/>
      <c r="D408" s="12"/>
      <c r="E408" s="12"/>
      <c r="F408" s="13"/>
      <c r="G408" s="16">
        <f>SUBTOTAL(9,G404:G407)</f>
        <v>10507.990600000001</v>
      </c>
      <c r="H408" s="16"/>
      <c r="I408" s="16">
        <f>SUBTOTAL(9,I404:I407)</f>
        <v>0</v>
      </c>
      <c r="J408" s="16">
        <f>SUBTOTAL(9,J404:J407)</f>
        <v>10318.990600000001</v>
      </c>
      <c r="K408" s="16">
        <f>SUBTOTAL(9,K404:K407)</f>
        <v>189</v>
      </c>
      <c r="L408" s="17"/>
    </row>
    <row r="409" spans="1:13" s="18" customFormat="1" outlineLevel="3">
      <c r="A409" s="12" t="s">
        <v>402</v>
      </c>
      <c r="B409" s="12" t="s">
        <v>572</v>
      </c>
      <c r="C409" s="12" t="s">
        <v>175</v>
      </c>
      <c r="D409" s="12" t="s">
        <v>175</v>
      </c>
      <c r="E409" s="12" t="s">
        <v>573</v>
      </c>
      <c r="F409" s="13">
        <v>45870</v>
      </c>
      <c r="G409" s="16">
        <v>591.6</v>
      </c>
      <c r="H409" s="16"/>
      <c r="I409" s="16"/>
      <c r="J409" s="16">
        <v>565.20000000000005</v>
      </c>
      <c r="K409" s="16">
        <f t="shared" si="24"/>
        <v>26.399999999999977</v>
      </c>
      <c r="L409" s="17">
        <f t="shared" si="25"/>
        <v>4.6709129511677237E-2</v>
      </c>
    </row>
    <row r="410" spans="1:13" s="18" customFormat="1" outlineLevel="3">
      <c r="A410" s="12" t="s">
        <v>402</v>
      </c>
      <c r="B410" s="12" t="s">
        <v>572</v>
      </c>
      <c r="C410" s="12" t="s">
        <v>141</v>
      </c>
      <c r="D410" s="12" t="s">
        <v>141</v>
      </c>
      <c r="E410" s="12" t="s">
        <v>573</v>
      </c>
      <c r="F410" s="13">
        <v>45870</v>
      </c>
      <c r="G410" s="16">
        <v>88</v>
      </c>
      <c r="H410" s="16"/>
      <c r="I410" s="16"/>
      <c r="J410" s="16">
        <v>84</v>
      </c>
      <c r="K410" s="16">
        <f t="shared" si="24"/>
        <v>4</v>
      </c>
      <c r="L410" s="17">
        <f t="shared" si="25"/>
        <v>4.7619047619047616E-2</v>
      </c>
    </row>
    <row r="411" spans="1:13" s="18" customFormat="1" outlineLevel="3">
      <c r="A411" s="12" t="s">
        <v>402</v>
      </c>
      <c r="B411" s="12" t="s">
        <v>572</v>
      </c>
      <c r="C411" s="12" t="s">
        <v>145</v>
      </c>
      <c r="D411" s="12" t="s">
        <v>145</v>
      </c>
      <c r="E411" s="12" t="s">
        <v>573</v>
      </c>
      <c r="F411" s="13">
        <v>45870</v>
      </c>
      <c r="G411" s="16">
        <v>560</v>
      </c>
      <c r="H411" s="16"/>
      <c r="I411" s="16"/>
      <c r="J411" s="16">
        <v>560</v>
      </c>
      <c r="K411" s="16">
        <f t="shared" si="24"/>
        <v>0</v>
      </c>
      <c r="L411" s="17">
        <f t="shared" si="25"/>
        <v>0</v>
      </c>
    </row>
    <row r="412" spans="1:13" s="18" customFormat="1" outlineLevel="3">
      <c r="A412" s="12" t="s">
        <v>402</v>
      </c>
      <c r="B412" s="12" t="s">
        <v>572</v>
      </c>
      <c r="C412" s="12" t="s">
        <v>131</v>
      </c>
      <c r="D412" s="12" t="s">
        <v>131</v>
      </c>
      <c r="E412" s="12" t="s">
        <v>573</v>
      </c>
      <c r="F412" s="13">
        <v>45870</v>
      </c>
      <c r="G412" s="16">
        <v>2142</v>
      </c>
      <c r="H412" s="16"/>
      <c r="I412" s="16"/>
      <c r="J412" s="16">
        <v>1977</v>
      </c>
      <c r="K412" s="16">
        <f t="shared" si="24"/>
        <v>165</v>
      </c>
      <c r="L412" s="17">
        <f t="shared" si="25"/>
        <v>8.3459787556904405E-2</v>
      </c>
    </row>
    <row r="413" spans="1:13" s="18" customFormat="1" outlineLevel="2">
      <c r="A413" s="12"/>
      <c r="B413" s="7" t="s">
        <v>574</v>
      </c>
      <c r="C413" s="12"/>
      <c r="D413" s="12"/>
      <c r="E413" s="12"/>
      <c r="F413" s="13"/>
      <c r="G413" s="16">
        <f>SUBTOTAL(9,G409:G412)</f>
        <v>3381.6</v>
      </c>
      <c r="H413" s="16"/>
      <c r="I413" s="16">
        <f>SUBTOTAL(9,I409:I412)</f>
        <v>0</v>
      </c>
      <c r="J413" s="16">
        <f>SUBTOTAL(9,J409:J412)</f>
        <v>3186.2</v>
      </c>
      <c r="K413" s="16">
        <f>SUBTOTAL(9,K409:K412)</f>
        <v>195.39999999999998</v>
      </c>
      <c r="L413" s="17"/>
    </row>
    <row r="414" spans="1:13" s="18" customFormat="1" outlineLevel="3">
      <c r="A414" s="12" t="s">
        <v>402</v>
      </c>
      <c r="B414" s="12" t="s">
        <v>575</v>
      </c>
      <c r="C414" s="12" t="s">
        <v>175</v>
      </c>
      <c r="D414" s="12" t="s">
        <v>576</v>
      </c>
      <c r="E414" s="12" t="s">
        <v>577</v>
      </c>
      <c r="F414" s="13">
        <v>45870</v>
      </c>
      <c r="G414" s="16">
        <v>1544</v>
      </c>
      <c r="H414" s="16"/>
      <c r="I414" s="16"/>
      <c r="J414" s="16">
        <v>1544</v>
      </c>
      <c r="K414" s="16">
        <f t="shared" si="24"/>
        <v>0</v>
      </c>
      <c r="L414" s="17">
        <f t="shared" si="25"/>
        <v>0</v>
      </c>
    </row>
    <row r="415" spans="1:13" s="18" customFormat="1" outlineLevel="3">
      <c r="A415" s="12" t="s">
        <v>402</v>
      </c>
      <c r="B415" s="12" t="s">
        <v>575</v>
      </c>
      <c r="C415" s="12" t="s">
        <v>141</v>
      </c>
      <c r="D415" s="12" t="s">
        <v>141</v>
      </c>
      <c r="E415" s="12" t="s">
        <v>577</v>
      </c>
      <c r="F415" s="13">
        <v>45870</v>
      </c>
      <c r="G415" s="16">
        <v>1084.93</v>
      </c>
      <c r="H415" s="16"/>
      <c r="I415" s="16"/>
      <c r="J415" s="16">
        <v>1082.3</v>
      </c>
      <c r="K415" s="16">
        <f t="shared" si="24"/>
        <v>2.6300000000001091</v>
      </c>
      <c r="L415" s="17">
        <f t="shared" si="25"/>
        <v>2.430010163540709E-3</v>
      </c>
    </row>
    <row r="416" spans="1:13" s="18" customFormat="1" outlineLevel="3">
      <c r="A416" s="12" t="s">
        <v>402</v>
      </c>
      <c r="B416" s="12" t="s">
        <v>575</v>
      </c>
      <c r="C416" s="12" t="s">
        <v>145</v>
      </c>
      <c r="D416" s="12" t="s">
        <v>145</v>
      </c>
      <c r="E416" s="12" t="s">
        <v>577</v>
      </c>
      <c r="F416" s="13">
        <v>45870</v>
      </c>
      <c r="G416" s="16">
        <v>620.5</v>
      </c>
      <c r="H416" s="16"/>
      <c r="I416" s="16"/>
      <c r="J416" s="16">
        <v>627</v>
      </c>
      <c r="K416" s="16">
        <f t="shared" si="24"/>
        <v>-6.5</v>
      </c>
      <c r="L416" s="17">
        <f t="shared" si="25"/>
        <v>-1.036682615629984E-2</v>
      </c>
    </row>
    <row r="417" spans="1:12" s="18" customFormat="1" outlineLevel="3">
      <c r="A417" s="12" t="s">
        <v>402</v>
      </c>
      <c r="B417" s="12" t="s">
        <v>575</v>
      </c>
      <c r="C417" s="12" t="s">
        <v>131</v>
      </c>
      <c r="D417" s="12" t="s">
        <v>575</v>
      </c>
      <c r="E417" s="12" t="s">
        <v>577</v>
      </c>
      <c r="F417" s="13">
        <v>45870</v>
      </c>
      <c r="G417" s="16">
        <v>2983.15</v>
      </c>
      <c r="H417" s="16"/>
      <c r="I417" s="16"/>
      <c r="J417" s="16">
        <v>2983.15</v>
      </c>
      <c r="K417" s="16">
        <f t="shared" si="24"/>
        <v>0</v>
      </c>
      <c r="L417" s="17">
        <f t="shared" si="25"/>
        <v>0</v>
      </c>
    </row>
    <row r="418" spans="1:12" s="18" customFormat="1" outlineLevel="2">
      <c r="A418" s="12"/>
      <c r="B418" s="7" t="s">
        <v>578</v>
      </c>
      <c r="C418" s="12"/>
      <c r="D418" s="12"/>
      <c r="E418" s="12"/>
      <c r="F418" s="13"/>
      <c r="G418" s="16">
        <f>SUBTOTAL(9,G414:G417)</f>
        <v>6232.58</v>
      </c>
      <c r="H418" s="16"/>
      <c r="I418" s="16">
        <f>SUBTOTAL(9,I414:I417)</f>
        <v>0</v>
      </c>
      <c r="J418" s="16">
        <f>SUBTOTAL(9,J414:J417)</f>
        <v>6236.4500000000007</v>
      </c>
      <c r="K418" s="16">
        <f>SUBTOTAL(9,K414:K417)</f>
        <v>-3.8699999999998909</v>
      </c>
      <c r="L418" s="17"/>
    </row>
    <row r="419" spans="1:12" s="18" customFormat="1" outlineLevel="3">
      <c r="A419" s="12" t="s">
        <v>402</v>
      </c>
      <c r="B419" s="12" t="s">
        <v>579</v>
      </c>
      <c r="C419" s="12" t="s">
        <v>175</v>
      </c>
      <c r="D419" s="12" t="s">
        <v>580</v>
      </c>
      <c r="E419" s="12" t="s">
        <v>581</v>
      </c>
      <c r="F419" s="13">
        <v>45870</v>
      </c>
      <c r="G419" s="16">
        <v>980</v>
      </c>
      <c r="H419" s="16"/>
      <c r="I419" s="16"/>
      <c r="J419" s="16">
        <v>954</v>
      </c>
      <c r="K419" s="16">
        <f t="shared" si="24"/>
        <v>26</v>
      </c>
      <c r="L419" s="17">
        <f t="shared" si="25"/>
        <v>2.7253668763102725E-2</v>
      </c>
    </row>
    <row r="420" spans="1:12" s="18" customFormat="1" outlineLevel="3">
      <c r="A420" s="12" t="s">
        <v>402</v>
      </c>
      <c r="B420" s="12" t="s">
        <v>579</v>
      </c>
      <c r="C420" s="12" t="s">
        <v>141</v>
      </c>
      <c r="D420" s="12" t="s">
        <v>141</v>
      </c>
      <c r="E420" s="12" t="s">
        <v>581</v>
      </c>
      <c r="F420" s="13">
        <v>45870</v>
      </c>
      <c r="G420" s="16">
        <v>245</v>
      </c>
      <c r="H420" s="16"/>
      <c r="I420" s="16"/>
      <c r="J420" s="16">
        <v>245</v>
      </c>
      <c r="K420" s="16">
        <f t="shared" si="24"/>
        <v>0</v>
      </c>
      <c r="L420" s="17">
        <f t="shared" si="25"/>
        <v>0</v>
      </c>
    </row>
    <row r="421" spans="1:12" s="18" customFormat="1" outlineLevel="3">
      <c r="A421" s="12" t="s">
        <v>402</v>
      </c>
      <c r="B421" s="12" t="s">
        <v>579</v>
      </c>
      <c r="C421" s="12" t="s">
        <v>145</v>
      </c>
      <c r="D421" s="12" t="s">
        <v>145</v>
      </c>
      <c r="E421" s="12" t="s">
        <v>581</v>
      </c>
      <c r="F421" s="13">
        <v>45870</v>
      </c>
      <c r="G421" s="16">
        <v>460</v>
      </c>
      <c r="H421" s="16"/>
      <c r="I421" s="16"/>
      <c r="J421" s="16">
        <v>474</v>
      </c>
      <c r="K421" s="16">
        <f t="shared" si="24"/>
        <v>-14</v>
      </c>
      <c r="L421" s="17">
        <f t="shared" si="25"/>
        <v>-2.9535864978902954E-2</v>
      </c>
    </row>
    <row r="422" spans="1:12" s="18" customFormat="1" outlineLevel="3">
      <c r="A422" s="12" t="s">
        <v>402</v>
      </c>
      <c r="B422" s="12" t="s">
        <v>579</v>
      </c>
      <c r="C422" s="12" t="s">
        <v>131</v>
      </c>
      <c r="D422" s="12" t="s">
        <v>579</v>
      </c>
      <c r="E422" s="12" t="s">
        <v>581</v>
      </c>
      <c r="F422" s="13">
        <v>45870</v>
      </c>
      <c r="G422" s="16">
        <v>1670.92</v>
      </c>
      <c r="H422" s="16"/>
      <c r="I422" s="16"/>
      <c r="J422" s="16">
        <v>1622.25</v>
      </c>
      <c r="K422" s="16">
        <f t="shared" si="24"/>
        <v>48.670000000000073</v>
      </c>
      <c r="L422" s="17">
        <f t="shared" si="25"/>
        <v>3.0001541069502279E-2</v>
      </c>
    </row>
    <row r="423" spans="1:12" s="18" customFormat="1" outlineLevel="2">
      <c r="A423" s="12"/>
      <c r="B423" s="7" t="s">
        <v>582</v>
      </c>
      <c r="C423" s="12"/>
      <c r="D423" s="12"/>
      <c r="E423" s="12"/>
      <c r="F423" s="13"/>
      <c r="G423" s="16">
        <f>SUBTOTAL(9,G419:G422)</f>
        <v>3355.92</v>
      </c>
      <c r="H423" s="16"/>
      <c r="I423" s="16">
        <f>SUBTOTAL(9,I419:I422)</f>
        <v>0</v>
      </c>
      <c r="J423" s="16">
        <f>SUBTOTAL(9,J419:J422)</f>
        <v>3295.25</v>
      </c>
      <c r="K423" s="16">
        <f>SUBTOTAL(9,K419:K422)</f>
        <v>60.670000000000073</v>
      </c>
      <c r="L423" s="17"/>
    </row>
    <row r="424" spans="1:12" s="18" customFormat="1" outlineLevel="3">
      <c r="A424" s="12" t="s">
        <v>402</v>
      </c>
      <c r="B424" s="12" t="s">
        <v>583</v>
      </c>
      <c r="C424" s="12" t="s">
        <v>175</v>
      </c>
      <c r="D424" s="12" t="s">
        <v>175</v>
      </c>
      <c r="E424" s="12" t="s">
        <v>584</v>
      </c>
      <c r="F424" s="13">
        <v>45870</v>
      </c>
      <c r="G424" s="16">
        <v>363</v>
      </c>
      <c r="H424" s="16"/>
      <c r="I424" s="16"/>
      <c r="J424" s="16">
        <v>363</v>
      </c>
      <c r="K424" s="16">
        <f t="shared" si="24"/>
        <v>0</v>
      </c>
      <c r="L424" s="17">
        <f t="shared" si="25"/>
        <v>0</v>
      </c>
    </row>
    <row r="425" spans="1:12" s="18" customFormat="1" outlineLevel="3">
      <c r="A425" s="12" t="s">
        <v>402</v>
      </c>
      <c r="B425" s="12" t="s">
        <v>583</v>
      </c>
      <c r="C425" s="12" t="s">
        <v>141</v>
      </c>
      <c r="D425" s="12" t="s">
        <v>141</v>
      </c>
      <c r="E425" s="12" t="s">
        <v>584</v>
      </c>
      <c r="F425" s="13">
        <v>45870</v>
      </c>
      <c r="G425" s="16">
        <v>332.75</v>
      </c>
      <c r="H425" s="16"/>
      <c r="I425" s="16"/>
      <c r="J425" s="16">
        <v>332.75</v>
      </c>
      <c r="K425" s="16">
        <f t="shared" si="24"/>
        <v>0</v>
      </c>
      <c r="L425" s="17">
        <f t="shared" si="25"/>
        <v>0</v>
      </c>
    </row>
    <row r="426" spans="1:12" s="18" customFormat="1" outlineLevel="3">
      <c r="A426" s="12" t="s">
        <v>402</v>
      </c>
      <c r="B426" s="12" t="s">
        <v>583</v>
      </c>
      <c r="C426" s="12" t="s">
        <v>145</v>
      </c>
      <c r="D426" s="12" t="s">
        <v>145</v>
      </c>
      <c r="E426" s="12" t="s">
        <v>584</v>
      </c>
      <c r="F426" s="13">
        <v>45870</v>
      </c>
      <c r="G426" s="16">
        <v>315</v>
      </c>
      <c r="H426" s="16"/>
      <c r="I426" s="16"/>
      <c r="J426" s="16">
        <v>315</v>
      </c>
      <c r="K426" s="16">
        <f t="shared" si="24"/>
        <v>0</v>
      </c>
      <c r="L426" s="17">
        <f t="shared" si="25"/>
        <v>0</v>
      </c>
    </row>
    <row r="427" spans="1:12" s="18" customFormat="1" outlineLevel="3">
      <c r="A427" s="12" t="s">
        <v>402</v>
      </c>
      <c r="B427" s="12" t="s">
        <v>583</v>
      </c>
      <c r="C427" s="12" t="s">
        <v>131</v>
      </c>
      <c r="D427" s="12" t="s">
        <v>131</v>
      </c>
      <c r="E427" s="12" t="s">
        <v>584</v>
      </c>
      <c r="F427" s="13">
        <v>45870</v>
      </c>
      <c r="G427" s="16">
        <v>2266</v>
      </c>
      <c r="H427" s="16"/>
      <c r="I427" s="16"/>
      <c r="J427" s="16">
        <v>3053.95</v>
      </c>
      <c r="K427" s="16">
        <f t="shared" si="24"/>
        <v>-787.94999999999982</v>
      </c>
      <c r="L427" s="17">
        <f t="shared" si="25"/>
        <v>-0.25801011804384483</v>
      </c>
    </row>
    <row r="428" spans="1:12" s="18" customFormat="1" outlineLevel="2">
      <c r="A428" s="12"/>
      <c r="B428" s="7" t="s">
        <v>585</v>
      </c>
      <c r="C428" s="12"/>
      <c r="D428" s="12"/>
      <c r="E428" s="12"/>
      <c r="F428" s="13"/>
      <c r="G428" s="16">
        <f>SUBTOTAL(9,G424:G427)</f>
        <v>3276.75</v>
      </c>
      <c r="H428" s="16"/>
      <c r="I428" s="16">
        <f>SUBTOTAL(9,I424:I427)</f>
        <v>0</v>
      </c>
      <c r="J428" s="16">
        <f>SUBTOTAL(9,J424:J427)</f>
        <v>4064.7</v>
      </c>
      <c r="K428" s="16">
        <f>SUBTOTAL(9,K424:K427)</f>
        <v>-787.94999999999982</v>
      </c>
      <c r="L428" s="17"/>
    </row>
    <row r="429" spans="1:12" s="18" customFormat="1" outlineLevel="3">
      <c r="A429" s="12" t="s">
        <v>402</v>
      </c>
      <c r="B429" s="12" t="s">
        <v>586</v>
      </c>
      <c r="C429" s="12" t="s">
        <v>141</v>
      </c>
      <c r="D429" s="12" t="s">
        <v>181</v>
      </c>
      <c r="E429" s="12" t="s">
        <v>587</v>
      </c>
      <c r="F429" s="13">
        <v>45870</v>
      </c>
      <c r="G429" s="16">
        <v>1021</v>
      </c>
      <c r="H429" s="16"/>
      <c r="I429" s="16"/>
      <c r="J429" s="16">
        <v>1021</v>
      </c>
      <c r="K429" s="16">
        <f t="shared" si="24"/>
        <v>0</v>
      </c>
      <c r="L429" s="17">
        <f t="shared" si="25"/>
        <v>0</v>
      </c>
    </row>
    <row r="430" spans="1:12" s="18" customFormat="1" outlineLevel="3">
      <c r="A430" s="12" t="s">
        <v>402</v>
      </c>
      <c r="B430" s="12" t="s">
        <v>586</v>
      </c>
      <c r="C430" s="12" t="s">
        <v>141</v>
      </c>
      <c r="D430" s="12" t="s">
        <v>588</v>
      </c>
      <c r="E430" s="12" t="s">
        <v>589</v>
      </c>
      <c r="F430" s="13">
        <v>45870</v>
      </c>
      <c r="G430" s="16">
        <v>250</v>
      </c>
      <c r="H430" s="16"/>
      <c r="I430" s="16"/>
      <c r="J430" s="16">
        <v>250</v>
      </c>
      <c r="K430" s="16">
        <f t="shared" si="24"/>
        <v>0</v>
      </c>
      <c r="L430" s="17">
        <f t="shared" si="25"/>
        <v>0</v>
      </c>
    </row>
    <row r="431" spans="1:12" s="18" customFormat="1" outlineLevel="3">
      <c r="A431" s="12" t="s">
        <v>402</v>
      </c>
      <c r="B431" s="12" t="s">
        <v>586</v>
      </c>
      <c r="C431" s="12" t="s">
        <v>145</v>
      </c>
      <c r="D431" s="12" t="s">
        <v>183</v>
      </c>
      <c r="E431" s="12" t="s">
        <v>590</v>
      </c>
      <c r="F431" s="13">
        <v>45870</v>
      </c>
      <c r="G431" s="16">
        <v>2868.75</v>
      </c>
      <c r="H431" s="16"/>
      <c r="I431" s="16"/>
      <c r="J431" s="16">
        <v>2868.75</v>
      </c>
      <c r="K431" s="16">
        <f t="shared" si="24"/>
        <v>0</v>
      </c>
      <c r="L431" s="17">
        <f t="shared" si="25"/>
        <v>0</v>
      </c>
    </row>
    <row r="432" spans="1:12" s="18" customFormat="1" outlineLevel="3">
      <c r="A432" s="12" t="s">
        <v>402</v>
      </c>
      <c r="B432" s="12" t="s">
        <v>586</v>
      </c>
      <c r="C432" s="12" t="s">
        <v>131</v>
      </c>
      <c r="D432" s="12" t="s">
        <v>189</v>
      </c>
      <c r="E432" s="12" t="s">
        <v>587</v>
      </c>
      <c r="F432" s="13">
        <v>45870</v>
      </c>
      <c r="G432" s="16">
        <v>5785</v>
      </c>
      <c r="H432" s="16"/>
      <c r="I432" s="16"/>
      <c r="J432" s="16">
        <v>5785</v>
      </c>
      <c r="K432" s="16">
        <f t="shared" si="24"/>
        <v>0</v>
      </c>
      <c r="L432" s="17">
        <f t="shared" si="25"/>
        <v>0</v>
      </c>
    </row>
    <row r="433" spans="1:12" s="18" customFormat="1" outlineLevel="2">
      <c r="A433" s="12"/>
      <c r="B433" s="7" t="s">
        <v>591</v>
      </c>
      <c r="C433" s="12"/>
      <c r="D433" s="12"/>
      <c r="E433" s="12"/>
      <c r="F433" s="13"/>
      <c r="G433" s="16">
        <f>SUBTOTAL(9,G429:G432)</f>
        <v>9924.75</v>
      </c>
      <c r="H433" s="16"/>
      <c r="I433" s="16">
        <f>SUBTOTAL(9,I429:I432)</f>
        <v>0</v>
      </c>
      <c r="J433" s="16">
        <f>SUBTOTAL(9,J429:J432)</f>
        <v>9924.75</v>
      </c>
      <c r="K433" s="16">
        <f>SUBTOTAL(9,K429:K432)</f>
        <v>0</v>
      </c>
      <c r="L433" s="17"/>
    </row>
    <row r="434" spans="1:12" s="18" customFormat="1" outlineLevel="3">
      <c r="A434" s="12" t="s">
        <v>402</v>
      </c>
      <c r="B434" s="12" t="s">
        <v>592</v>
      </c>
      <c r="C434" s="12" t="s">
        <v>407</v>
      </c>
      <c r="D434" s="12" t="s">
        <v>593</v>
      </c>
      <c r="E434" s="12" t="s">
        <v>594</v>
      </c>
      <c r="F434" s="13">
        <v>45870</v>
      </c>
      <c r="G434" s="16">
        <v>2558.2199999999998</v>
      </c>
      <c r="H434" s="16"/>
      <c r="I434" s="16"/>
      <c r="J434" s="16">
        <v>2483.7600000000002</v>
      </c>
      <c r="K434" s="16">
        <f t="shared" si="24"/>
        <v>74.459999999999582</v>
      </c>
      <c r="L434" s="17">
        <f t="shared" si="25"/>
        <v>2.9978741907430499E-2</v>
      </c>
    </row>
    <row r="435" spans="1:12" s="18" customFormat="1" outlineLevel="3">
      <c r="A435" s="12" t="s">
        <v>402</v>
      </c>
      <c r="B435" s="12" t="s">
        <v>592</v>
      </c>
      <c r="C435" s="12" t="s">
        <v>175</v>
      </c>
      <c r="D435" s="12" t="s">
        <v>176</v>
      </c>
      <c r="E435" s="12" t="s">
        <v>595</v>
      </c>
      <c r="F435" s="13">
        <v>45870</v>
      </c>
      <c r="G435" s="16">
        <v>1496</v>
      </c>
      <c r="H435" s="16"/>
      <c r="I435" s="16"/>
      <c r="J435" s="16">
        <v>1496</v>
      </c>
      <c r="K435" s="16">
        <f t="shared" si="24"/>
        <v>0</v>
      </c>
      <c r="L435" s="17">
        <f t="shared" si="25"/>
        <v>0</v>
      </c>
    </row>
    <row r="436" spans="1:12" s="18" customFormat="1" outlineLevel="3">
      <c r="A436" s="12" t="s">
        <v>402</v>
      </c>
      <c r="B436" s="12" t="s">
        <v>592</v>
      </c>
      <c r="C436" s="12" t="s">
        <v>141</v>
      </c>
      <c r="D436" s="12" t="s">
        <v>208</v>
      </c>
      <c r="E436" s="12" t="s">
        <v>594</v>
      </c>
      <c r="F436" s="13">
        <v>45870</v>
      </c>
      <c r="G436" s="16">
        <v>534.28</v>
      </c>
      <c r="H436" s="16"/>
      <c r="I436" s="16"/>
      <c r="J436" s="16">
        <v>518.91999999999996</v>
      </c>
      <c r="K436" s="16">
        <f t="shared" si="24"/>
        <v>15.360000000000014</v>
      </c>
      <c r="L436" s="17">
        <f t="shared" si="25"/>
        <v>2.9599938333461834E-2</v>
      </c>
    </row>
    <row r="437" spans="1:12" s="18" customFormat="1" outlineLevel="3">
      <c r="A437" s="12" t="s">
        <v>402</v>
      </c>
      <c r="B437" s="12" t="s">
        <v>592</v>
      </c>
      <c r="C437" s="12" t="s">
        <v>145</v>
      </c>
      <c r="D437" s="12" t="s">
        <v>210</v>
      </c>
      <c r="E437" s="12" t="s">
        <v>594</v>
      </c>
      <c r="F437" s="13">
        <v>45870</v>
      </c>
      <c r="G437" s="16">
        <v>2991.92</v>
      </c>
      <c r="H437" s="16"/>
      <c r="I437" s="16"/>
      <c r="J437" s="16">
        <v>2980.88</v>
      </c>
      <c r="K437" s="16">
        <f t="shared" si="24"/>
        <v>11.039999999999964</v>
      </c>
      <c r="L437" s="17">
        <f t="shared" si="25"/>
        <v>3.7036043047690491E-3</v>
      </c>
    </row>
    <row r="438" spans="1:12" s="18" customFormat="1" outlineLevel="3">
      <c r="A438" s="12" t="s">
        <v>402</v>
      </c>
      <c r="B438" s="12" t="s">
        <v>592</v>
      </c>
      <c r="C438" s="12" t="s">
        <v>131</v>
      </c>
      <c r="D438" s="12" t="s">
        <v>211</v>
      </c>
      <c r="E438" s="12" t="s">
        <v>594</v>
      </c>
      <c r="F438" s="13">
        <v>45870</v>
      </c>
      <c r="G438" s="16">
        <v>2561.33</v>
      </c>
      <c r="H438" s="16"/>
      <c r="I438" s="16"/>
      <c r="J438" s="16">
        <v>2494.75</v>
      </c>
      <c r="K438" s="16">
        <f t="shared" si="24"/>
        <v>66.579999999999927</v>
      </c>
      <c r="L438" s="17">
        <f t="shared" si="25"/>
        <v>2.6688044894277955E-2</v>
      </c>
    </row>
    <row r="439" spans="1:12" s="18" customFormat="1" outlineLevel="2">
      <c r="A439" s="12"/>
      <c r="B439" s="7" t="s">
        <v>596</v>
      </c>
      <c r="C439" s="12"/>
      <c r="D439" s="12"/>
      <c r="E439" s="12"/>
      <c r="F439" s="13"/>
      <c r="G439" s="16">
        <f>SUBTOTAL(9,G434:G438)</f>
        <v>10141.75</v>
      </c>
      <c r="H439" s="16"/>
      <c r="I439" s="16">
        <f>SUBTOTAL(9,I434:I438)</f>
        <v>0</v>
      </c>
      <c r="J439" s="16">
        <f>SUBTOTAL(9,J434:J438)</f>
        <v>9974.3100000000013</v>
      </c>
      <c r="K439" s="16">
        <f>SUBTOTAL(9,K434:K438)</f>
        <v>167.43999999999949</v>
      </c>
      <c r="L439" s="17"/>
    </row>
    <row r="440" spans="1:12" s="18" customFormat="1" outlineLevel="3">
      <c r="A440" s="12" t="s">
        <v>402</v>
      </c>
      <c r="B440" s="12" t="s">
        <v>597</v>
      </c>
      <c r="C440" s="12" t="s">
        <v>141</v>
      </c>
      <c r="D440" s="12" t="s">
        <v>141</v>
      </c>
      <c r="E440" s="12" t="s">
        <v>598</v>
      </c>
      <c r="F440" s="13">
        <v>45870</v>
      </c>
      <c r="G440" s="16">
        <v>0</v>
      </c>
      <c r="H440" s="16"/>
      <c r="I440" s="16"/>
      <c r="J440" s="16">
        <v>0</v>
      </c>
      <c r="K440" s="16">
        <f t="shared" si="24"/>
        <v>0</v>
      </c>
      <c r="L440" s="17" t="e">
        <f t="shared" si="25"/>
        <v>#DIV/0!</v>
      </c>
    </row>
    <row r="441" spans="1:12" s="18" customFormat="1" outlineLevel="3">
      <c r="A441" s="12" t="s">
        <v>402</v>
      </c>
      <c r="B441" s="12" t="s">
        <v>597</v>
      </c>
      <c r="C441" s="12" t="s">
        <v>145</v>
      </c>
      <c r="D441" s="12" t="s">
        <v>145</v>
      </c>
      <c r="E441" s="12" t="s">
        <v>598</v>
      </c>
      <c r="F441" s="13">
        <v>45870</v>
      </c>
      <c r="G441" s="16">
        <v>161</v>
      </c>
      <c r="H441" s="16"/>
      <c r="I441" s="16"/>
      <c r="J441" s="16">
        <v>161</v>
      </c>
      <c r="K441" s="16">
        <f t="shared" si="24"/>
        <v>0</v>
      </c>
      <c r="L441" s="17">
        <f t="shared" si="25"/>
        <v>0</v>
      </c>
    </row>
    <row r="442" spans="1:12" s="18" customFormat="1" outlineLevel="3">
      <c r="A442" s="12" t="s">
        <v>402</v>
      </c>
      <c r="B442" s="12" t="s">
        <v>597</v>
      </c>
      <c r="C442" s="12" t="s">
        <v>131</v>
      </c>
      <c r="D442" s="12" t="s">
        <v>131</v>
      </c>
      <c r="E442" s="12" t="s">
        <v>598</v>
      </c>
      <c r="F442" s="13">
        <v>45870</v>
      </c>
      <c r="G442" s="16">
        <v>1061.32</v>
      </c>
      <c r="H442" s="16"/>
      <c r="I442" s="16"/>
      <c r="J442" s="16">
        <v>1061.32</v>
      </c>
      <c r="K442" s="16">
        <f t="shared" si="24"/>
        <v>0</v>
      </c>
      <c r="L442" s="17">
        <f t="shared" si="25"/>
        <v>0</v>
      </c>
    </row>
    <row r="443" spans="1:12" s="18" customFormat="1" outlineLevel="2">
      <c r="A443" s="12"/>
      <c r="B443" s="7" t="s">
        <v>599</v>
      </c>
      <c r="C443" s="12"/>
      <c r="D443" s="12"/>
      <c r="E443" s="12"/>
      <c r="F443" s="13"/>
      <c r="G443" s="16">
        <f>SUBTOTAL(9,G440:G442)</f>
        <v>1222.32</v>
      </c>
      <c r="H443" s="16"/>
      <c r="I443" s="16">
        <f>SUBTOTAL(9,I440:I442)</f>
        <v>0</v>
      </c>
      <c r="J443" s="16">
        <f>SUBTOTAL(9,J440:J442)</f>
        <v>1222.32</v>
      </c>
      <c r="K443" s="16">
        <f>SUBTOTAL(9,K440:K442)</f>
        <v>0</v>
      </c>
      <c r="L443" s="17"/>
    </row>
    <row r="444" spans="1:12" s="18" customFormat="1" outlineLevel="3">
      <c r="A444" s="12" t="s">
        <v>402</v>
      </c>
      <c r="B444" s="12" t="s">
        <v>600</v>
      </c>
      <c r="C444" s="12" t="s">
        <v>175</v>
      </c>
      <c r="D444" s="12" t="s">
        <v>175</v>
      </c>
      <c r="E444" s="12" t="s">
        <v>601</v>
      </c>
      <c r="F444" s="13">
        <v>45870</v>
      </c>
      <c r="G444" s="16">
        <v>338.4</v>
      </c>
      <c r="H444" s="16"/>
      <c r="I444" s="16"/>
      <c r="J444" s="16">
        <v>0</v>
      </c>
      <c r="K444" s="16">
        <f t="shared" si="24"/>
        <v>338.4</v>
      </c>
      <c r="L444" s="17" t="e">
        <f t="shared" si="25"/>
        <v>#DIV/0!</v>
      </c>
    </row>
    <row r="445" spans="1:12" s="18" customFormat="1" outlineLevel="3">
      <c r="A445" s="12" t="s">
        <v>402</v>
      </c>
      <c r="B445" s="12" t="s">
        <v>600</v>
      </c>
      <c r="C445" s="12" t="s">
        <v>141</v>
      </c>
      <c r="D445" s="12" t="s">
        <v>141</v>
      </c>
      <c r="E445" s="12" t="s">
        <v>601</v>
      </c>
      <c r="F445" s="13">
        <v>45870</v>
      </c>
      <c r="G445" s="16">
        <v>100</v>
      </c>
      <c r="H445" s="16"/>
      <c r="I445" s="16"/>
      <c r="J445" s="16">
        <v>95</v>
      </c>
      <c r="K445" s="16">
        <f t="shared" si="24"/>
        <v>5</v>
      </c>
      <c r="L445" s="17">
        <f t="shared" si="25"/>
        <v>5.2631578947368418E-2</v>
      </c>
    </row>
    <row r="446" spans="1:12" s="18" customFormat="1" outlineLevel="3">
      <c r="A446" s="12" t="s">
        <v>402</v>
      </c>
      <c r="B446" s="12" t="s">
        <v>600</v>
      </c>
      <c r="C446" s="12" t="s">
        <v>145</v>
      </c>
      <c r="D446" s="12" t="s">
        <v>145</v>
      </c>
      <c r="E446" s="12" t="s">
        <v>601</v>
      </c>
      <c r="F446" s="13">
        <v>45870</v>
      </c>
      <c r="G446" s="16">
        <v>643</v>
      </c>
      <c r="H446" s="16"/>
      <c r="I446" s="16"/>
      <c r="J446" s="16">
        <v>643</v>
      </c>
      <c r="K446" s="16">
        <f t="shared" si="24"/>
        <v>0</v>
      </c>
      <c r="L446" s="17">
        <f t="shared" si="25"/>
        <v>0</v>
      </c>
    </row>
    <row r="447" spans="1:12" s="18" customFormat="1" outlineLevel="3">
      <c r="A447" s="12" t="s">
        <v>402</v>
      </c>
      <c r="B447" s="12" t="s">
        <v>600</v>
      </c>
      <c r="C447" s="12" t="s">
        <v>131</v>
      </c>
      <c r="D447" s="12" t="s">
        <v>500</v>
      </c>
      <c r="E447" s="12" t="s">
        <v>601</v>
      </c>
      <c r="F447" s="13">
        <v>45870</v>
      </c>
      <c r="G447" s="16">
        <v>1565.6</v>
      </c>
      <c r="H447" s="16"/>
      <c r="I447" s="16"/>
      <c r="J447" s="16">
        <v>1520</v>
      </c>
      <c r="K447" s="16">
        <f t="shared" si="24"/>
        <v>45.599999999999909</v>
      </c>
      <c r="L447" s="17">
        <f t="shared" si="25"/>
        <v>2.999999999999994E-2</v>
      </c>
    </row>
    <row r="448" spans="1:12" s="18" customFormat="1" outlineLevel="2">
      <c r="A448" s="12"/>
      <c r="B448" s="7" t="s">
        <v>602</v>
      </c>
      <c r="C448" s="12"/>
      <c r="D448" s="12"/>
      <c r="E448" s="12"/>
      <c r="F448" s="13"/>
      <c r="G448" s="16">
        <f>SUBTOTAL(9,G444:G447)</f>
        <v>2647</v>
      </c>
      <c r="H448" s="16"/>
      <c r="I448" s="16">
        <f>SUBTOTAL(9,I444:I447)</f>
        <v>0</v>
      </c>
      <c r="J448" s="16">
        <f>SUBTOTAL(9,J444:J447)</f>
        <v>2258</v>
      </c>
      <c r="K448" s="16">
        <f>SUBTOTAL(9,K444:K447)</f>
        <v>388.99999999999989</v>
      </c>
      <c r="L448" s="17"/>
    </row>
    <row r="449" spans="1:12" s="18" customFormat="1" outlineLevel="3">
      <c r="A449" s="12" t="s">
        <v>402</v>
      </c>
      <c r="B449" s="12" t="s">
        <v>603</v>
      </c>
      <c r="C449" s="12" t="s">
        <v>175</v>
      </c>
      <c r="D449" s="12" t="s">
        <v>604</v>
      </c>
      <c r="E449" s="12" t="s">
        <v>605</v>
      </c>
      <c r="F449" s="13">
        <v>45870</v>
      </c>
      <c r="G449" s="16">
        <v>387.5</v>
      </c>
      <c r="H449" s="16"/>
      <c r="I449" s="16"/>
      <c r="J449" s="16">
        <v>387.5</v>
      </c>
      <c r="K449" s="16">
        <f t="shared" si="24"/>
        <v>0</v>
      </c>
      <c r="L449" s="17">
        <f t="shared" si="25"/>
        <v>0</v>
      </c>
    </row>
    <row r="450" spans="1:12" s="18" customFormat="1" outlineLevel="3">
      <c r="A450" s="12" t="s">
        <v>402</v>
      </c>
      <c r="B450" s="12" t="s">
        <v>603</v>
      </c>
      <c r="C450" s="12" t="s">
        <v>141</v>
      </c>
      <c r="D450" s="12" t="s">
        <v>141</v>
      </c>
      <c r="E450" s="12" t="s">
        <v>605</v>
      </c>
      <c r="F450" s="13">
        <v>45870</v>
      </c>
      <c r="G450" s="16">
        <v>180</v>
      </c>
      <c r="H450" s="16"/>
      <c r="I450" s="16"/>
      <c r="J450" s="16">
        <v>180</v>
      </c>
      <c r="K450" s="16">
        <f t="shared" si="24"/>
        <v>0</v>
      </c>
      <c r="L450" s="17">
        <f t="shared" si="25"/>
        <v>0</v>
      </c>
    </row>
    <row r="451" spans="1:12" s="18" customFormat="1" outlineLevel="3">
      <c r="A451" s="12" t="s">
        <v>402</v>
      </c>
      <c r="B451" s="12" t="s">
        <v>603</v>
      </c>
      <c r="C451" s="12" t="s">
        <v>145</v>
      </c>
      <c r="D451" s="12" t="s">
        <v>145</v>
      </c>
      <c r="E451" s="12" t="s">
        <v>605</v>
      </c>
      <c r="F451" s="13">
        <v>45870</v>
      </c>
      <c r="G451" s="16">
        <v>885.5</v>
      </c>
      <c r="H451" s="16"/>
      <c r="I451" s="16"/>
      <c r="J451" s="16">
        <v>878.5</v>
      </c>
      <c r="K451" s="16">
        <f t="shared" si="24"/>
        <v>7</v>
      </c>
      <c r="L451" s="17">
        <f t="shared" si="25"/>
        <v>7.9681274900398405E-3</v>
      </c>
    </row>
    <row r="452" spans="1:12" s="18" customFormat="1" outlineLevel="3">
      <c r="A452" s="12" t="s">
        <v>402</v>
      </c>
      <c r="B452" s="12" t="s">
        <v>603</v>
      </c>
      <c r="C452" s="12" t="s">
        <v>131</v>
      </c>
      <c r="D452" s="12" t="s">
        <v>606</v>
      </c>
      <c r="E452" s="12" t="s">
        <v>605</v>
      </c>
      <c r="F452" s="13">
        <v>45870</v>
      </c>
      <c r="G452" s="16">
        <v>3150</v>
      </c>
      <c r="H452" s="16"/>
      <c r="I452" s="16"/>
      <c r="J452" s="16">
        <v>3150</v>
      </c>
      <c r="K452" s="16">
        <f t="shared" si="24"/>
        <v>0</v>
      </c>
      <c r="L452" s="17">
        <f t="shared" si="25"/>
        <v>0</v>
      </c>
    </row>
    <row r="453" spans="1:12" s="18" customFormat="1" outlineLevel="3">
      <c r="A453" s="12" t="s">
        <v>402</v>
      </c>
      <c r="B453" s="12" t="s">
        <v>603</v>
      </c>
      <c r="C453" s="12" t="s">
        <v>464</v>
      </c>
      <c r="D453" s="12" t="s">
        <v>464</v>
      </c>
      <c r="E453" s="12" t="s">
        <v>605</v>
      </c>
      <c r="F453" s="13">
        <v>45870</v>
      </c>
      <c r="G453" s="16">
        <v>106.5</v>
      </c>
      <c r="H453" s="16"/>
      <c r="I453" s="16"/>
      <c r="J453" s="16">
        <v>106.5</v>
      </c>
      <c r="K453" s="16">
        <f t="shared" si="24"/>
        <v>0</v>
      </c>
      <c r="L453" s="17">
        <f t="shared" si="25"/>
        <v>0</v>
      </c>
    </row>
    <row r="454" spans="1:12" s="18" customFormat="1" outlineLevel="2">
      <c r="A454" s="12"/>
      <c r="B454" s="7" t="s">
        <v>607</v>
      </c>
      <c r="C454" s="12"/>
      <c r="D454" s="12"/>
      <c r="E454" s="12"/>
      <c r="F454" s="13"/>
      <c r="G454" s="16">
        <f>SUBTOTAL(9,G449:G453)</f>
        <v>4709.5</v>
      </c>
      <c r="H454" s="16"/>
      <c r="I454" s="16">
        <f>SUBTOTAL(9,I449:I453)</f>
        <v>0</v>
      </c>
      <c r="J454" s="16">
        <f>SUBTOTAL(9,J449:J453)</f>
        <v>4702.5</v>
      </c>
      <c r="K454" s="16">
        <f>SUBTOTAL(9,K449:K453)</f>
        <v>7</v>
      </c>
      <c r="L454" s="17"/>
    </row>
    <row r="455" spans="1:12" s="18" customFormat="1" outlineLevel="3">
      <c r="A455" s="12" t="s">
        <v>402</v>
      </c>
      <c r="B455" s="12" t="s">
        <v>608</v>
      </c>
      <c r="C455" s="12" t="s">
        <v>407</v>
      </c>
      <c r="D455" s="12" t="s">
        <v>407</v>
      </c>
      <c r="E455" s="12" t="s">
        <v>609</v>
      </c>
      <c r="F455" s="13">
        <v>45870</v>
      </c>
      <c r="G455" s="16">
        <v>154.5</v>
      </c>
      <c r="H455" s="16"/>
      <c r="I455" s="16"/>
      <c r="J455" s="16">
        <v>154.5</v>
      </c>
      <c r="K455" s="16">
        <f t="shared" si="24"/>
        <v>0</v>
      </c>
      <c r="L455" s="17">
        <f t="shared" ref="L455:L524" si="26">+K455/J455</f>
        <v>0</v>
      </c>
    </row>
    <row r="456" spans="1:12" s="18" customFormat="1" outlineLevel="3">
      <c r="A456" s="12" t="s">
        <v>402</v>
      </c>
      <c r="B456" s="12" t="s">
        <v>608</v>
      </c>
      <c r="C456" s="12" t="s">
        <v>175</v>
      </c>
      <c r="D456" s="12" t="s">
        <v>175</v>
      </c>
      <c r="E456" s="12" t="s">
        <v>609</v>
      </c>
      <c r="F456" s="13">
        <v>45870</v>
      </c>
      <c r="G456" s="16">
        <v>297.5</v>
      </c>
      <c r="H456" s="16"/>
      <c r="I456" s="16"/>
      <c r="J456" s="16">
        <v>272.5</v>
      </c>
      <c r="K456" s="16">
        <f t="shared" ref="K456:K526" si="27">+G456-J456</f>
        <v>25</v>
      </c>
      <c r="L456" s="17">
        <f t="shared" si="26"/>
        <v>9.1743119266055051E-2</v>
      </c>
    </row>
    <row r="457" spans="1:12" s="18" customFormat="1" outlineLevel="3">
      <c r="A457" s="12" t="s">
        <v>402</v>
      </c>
      <c r="B457" s="12" t="s">
        <v>608</v>
      </c>
      <c r="C457" s="12" t="s">
        <v>141</v>
      </c>
      <c r="D457" s="12" t="s">
        <v>141</v>
      </c>
      <c r="E457" s="12" t="s">
        <v>609</v>
      </c>
      <c r="F457" s="13">
        <v>45870</v>
      </c>
      <c r="G457" s="16">
        <v>0</v>
      </c>
      <c r="H457" s="16"/>
      <c r="I457" s="16"/>
      <c r="J457" s="16">
        <v>0</v>
      </c>
      <c r="K457" s="16">
        <f t="shared" si="27"/>
        <v>0</v>
      </c>
      <c r="L457" s="17" t="e">
        <f t="shared" si="26"/>
        <v>#DIV/0!</v>
      </c>
    </row>
    <row r="458" spans="1:12" s="18" customFormat="1" outlineLevel="3">
      <c r="A458" s="12" t="s">
        <v>402</v>
      </c>
      <c r="B458" s="12" t="s">
        <v>608</v>
      </c>
      <c r="C458" s="12" t="s">
        <v>145</v>
      </c>
      <c r="D458" s="12" t="s">
        <v>145</v>
      </c>
      <c r="E458" s="12" t="s">
        <v>609</v>
      </c>
      <c r="F458" s="13">
        <v>45870</v>
      </c>
      <c r="G458" s="16">
        <v>442.5</v>
      </c>
      <c r="H458" s="16"/>
      <c r="I458" s="16"/>
      <c r="J458" s="16">
        <v>452.5</v>
      </c>
      <c r="K458" s="16">
        <f t="shared" si="27"/>
        <v>-10</v>
      </c>
      <c r="L458" s="17">
        <f t="shared" si="26"/>
        <v>-2.2099447513812154E-2</v>
      </c>
    </row>
    <row r="459" spans="1:12" s="18" customFormat="1" outlineLevel="3">
      <c r="A459" s="12" t="s">
        <v>402</v>
      </c>
      <c r="B459" s="12" t="s">
        <v>608</v>
      </c>
      <c r="C459" s="12" t="s">
        <v>131</v>
      </c>
      <c r="D459" s="12" t="s">
        <v>131</v>
      </c>
      <c r="E459" s="12" t="s">
        <v>609</v>
      </c>
      <c r="F459" s="13">
        <v>45870</v>
      </c>
      <c r="G459" s="16">
        <v>1563.3</v>
      </c>
      <c r="H459" s="16"/>
      <c r="I459" s="16"/>
      <c r="J459" s="16">
        <v>1563.3</v>
      </c>
      <c r="K459" s="16">
        <f t="shared" si="27"/>
        <v>0</v>
      </c>
      <c r="L459" s="17">
        <f t="shared" si="26"/>
        <v>0</v>
      </c>
    </row>
    <row r="460" spans="1:12" s="18" customFormat="1" outlineLevel="2">
      <c r="A460" s="12"/>
      <c r="B460" s="7" t="s">
        <v>610</v>
      </c>
      <c r="C460" s="12"/>
      <c r="D460" s="12"/>
      <c r="E460" s="12"/>
      <c r="F460" s="13"/>
      <c r="G460" s="16">
        <f>SUBTOTAL(9,G455:G459)</f>
        <v>2457.8000000000002</v>
      </c>
      <c r="H460" s="16"/>
      <c r="I460" s="16">
        <f>SUBTOTAL(9,I455:I459)</f>
        <v>0</v>
      </c>
      <c r="J460" s="16">
        <f>SUBTOTAL(9,J455:J459)</f>
        <v>2442.8000000000002</v>
      </c>
      <c r="K460" s="16">
        <f>SUBTOTAL(9,K455:K459)</f>
        <v>15</v>
      </c>
      <c r="L460" s="17"/>
    </row>
    <row r="461" spans="1:12" s="18" customFormat="1" outlineLevel="3">
      <c r="A461" s="12" t="s">
        <v>402</v>
      </c>
      <c r="B461" s="12" t="s">
        <v>611</v>
      </c>
      <c r="C461" s="12" t="s">
        <v>407</v>
      </c>
      <c r="D461" s="12" t="s">
        <v>407</v>
      </c>
      <c r="E461" s="12" t="s">
        <v>612</v>
      </c>
      <c r="F461" s="13">
        <v>45884</v>
      </c>
      <c r="G461" s="16">
        <v>200</v>
      </c>
      <c r="H461" s="16"/>
      <c r="I461" s="16"/>
      <c r="J461" s="16">
        <v>200</v>
      </c>
      <c r="K461" s="16">
        <f t="shared" si="27"/>
        <v>0</v>
      </c>
      <c r="L461" s="17">
        <f t="shared" si="26"/>
        <v>0</v>
      </c>
    </row>
    <row r="462" spans="1:12" s="18" customFormat="1" outlineLevel="3">
      <c r="A462" s="12" t="s">
        <v>402</v>
      </c>
      <c r="B462" s="12" t="s">
        <v>611</v>
      </c>
      <c r="C462" s="12" t="s">
        <v>175</v>
      </c>
      <c r="D462" s="12" t="s">
        <v>176</v>
      </c>
      <c r="E462" s="12" t="s">
        <v>612</v>
      </c>
      <c r="F462" s="13">
        <v>45884</v>
      </c>
      <c r="G462" s="16">
        <v>1878.56</v>
      </c>
      <c r="H462" s="16"/>
      <c r="I462" s="16"/>
      <c r="J462" s="16">
        <v>1878.56</v>
      </c>
      <c r="K462" s="16">
        <f t="shared" si="27"/>
        <v>0</v>
      </c>
      <c r="L462" s="17">
        <f t="shared" si="26"/>
        <v>0</v>
      </c>
    </row>
    <row r="463" spans="1:12" s="18" customFormat="1" outlineLevel="3">
      <c r="A463" s="12" t="s">
        <v>402</v>
      </c>
      <c r="B463" s="12" t="s">
        <v>611</v>
      </c>
      <c r="C463" s="12" t="s">
        <v>141</v>
      </c>
      <c r="D463" s="12" t="s">
        <v>141</v>
      </c>
      <c r="E463" s="12" t="s">
        <v>612</v>
      </c>
      <c r="F463" s="13">
        <v>45884</v>
      </c>
      <c r="G463" s="16">
        <v>550.5</v>
      </c>
      <c r="H463" s="16"/>
      <c r="I463" s="16"/>
      <c r="J463" s="16">
        <v>550.5</v>
      </c>
      <c r="K463" s="16">
        <f t="shared" si="27"/>
        <v>0</v>
      </c>
      <c r="L463" s="17">
        <f t="shared" si="26"/>
        <v>0</v>
      </c>
    </row>
    <row r="464" spans="1:12" s="18" customFormat="1" outlineLevel="3">
      <c r="A464" s="12" t="s">
        <v>402</v>
      </c>
      <c r="B464" s="12" t="s">
        <v>611</v>
      </c>
      <c r="C464" s="12" t="s">
        <v>145</v>
      </c>
      <c r="D464" s="12" t="s">
        <v>145</v>
      </c>
      <c r="E464" s="12" t="s">
        <v>612</v>
      </c>
      <c r="F464" s="13">
        <v>45884</v>
      </c>
      <c r="G464" s="16">
        <v>750.15</v>
      </c>
      <c r="H464" s="16"/>
      <c r="I464" s="16"/>
      <c r="J464" s="16">
        <v>750.15</v>
      </c>
      <c r="K464" s="16">
        <f t="shared" si="27"/>
        <v>0</v>
      </c>
      <c r="L464" s="17">
        <f t="shared" si="26"/>
        <v>0</v>
      </c>
    </row>
    <row r="465" spans="1:12" s="18" customFormat="1" outlineLevel="3">
      <c r="A465" s="12" t="s">
        <v>402</v>
      </c>
      <c r="B465" s="12" t="s">
        <v>611</v>
      </c>
      <c r="C465" s="12" t="s">
        <v>131</v>
      </c>
      <c r="D465" s="12" t="s">
        <v>131</v>
      </c>
      <c r="E465" s="12" t="s">
        <v>612</v>
      </c>
      <c r="F465" s="13">
        <v>45884</v>
      </c>
      <c r="G465" s="16">
        <v>2850.6</v>
      </c>
      <c r="H465" s="16"/>
      <c r="I465" s="16"/>
      <c r="J465" s="16">
        <v>2649.9</v>
      </c>
      <c r="K465" s="16">
        <f t="shared" si="27"/>
        <v>200.69999999999982</v>
      </c>
      <c r="L465" s="17">
        <f t="shared" si="26"/>
        <v>7.573870712102336E-2</v>
      </c>
    </row>
    <row r="466" spans="1:12" s="18" customFormat="1" outlineLevel="2">
      <c r="A466" s="12"/>
      <c r="B466" s="7" t="s">
        <v>613</v>
      </c>
      <c r="C466" s="12"/>
      <c r="D466" s="12"/>
      <c r="E466" s="12"/>
      <c r="F466" s="13"/>
      <c r="G466" s="16">
        <f>SUBTOTAL(9,G461:G465)</f>
        <v>6229.8099999999995</v>
      </c>
      <c r="H466" s="16"/>
      <c r="I466" s="16">
        <f>SUBTOTAL(9,I461:I465)</f>
        <v>0</v>
      </c>
      <c r="J466" s="16">
        <f>SUBTOTAL(9,J461:J465)</f>
        <v>6029.1100000000006</v>
      </c>
      <c r="K466" s="16">
        <f>SUBTOTAL(9,K461:K465)</f>
        <v>200.69999999999982</v>
      </c>
      <c r="L466" s="17"/>
    </row>
    <row r="467" spans="1:12" s="18" customFormat="1" outlineLevel="3">
      <c r="A467" s="12" t="s">
        <v>402</v>
      </c>
      <c r="B467" s="12" t="s">
        <v>614</v>
      </c>
      <c r="C467" s="12" t="s">
        <v>141</v>
      </c>
      <c r="D467" s="12" t="s">
        <v>141</v>
      </c>
      <c r="E467" s="12" t="s">
        <v>615</v>
      </c>
      <c r="F467" s="13">
        <v>45870</v>
      </c>
      <c r="G467" s="16">
        <v>262.5</v>
      </c>
      <c r="H467" s="16"/>
      <c r="I467" s="16"/>
      <c r="J467" s="16">
        <v>262.5</v>
      </c>
      <c r="K467" s="16">
        <f t="shared" si="27"/>
        <v>0</v>
      </c>
      <c r="L467" s="17">
        <f t="shared" si="26"/>
        <v>0</v>
      </c>
    </row>
    <row r="468" spans="1:12" s="18" customFormat="1" outlineLevel="3">
      <c r="A468" s="12" t="s">
        <v>402</v>
      </c>
      <c r="B468" s="12" t="s">
        <v>614</v>
      </c>
      <c r="C468" s="12" t="s">
        <v>145</v>
      </c>
      <c r="D468" s="12" t="s">
        <v>145</v>
      </c>
      <c r="E468" s="12" t="s">
        <v>615</v>
      </c>
      <c r="F468" s="13">
        <v>45870</v>
      </c>
      <c r="G468" s="16">
        <v>541</v>
      </c>
      <c r="H468" s="16"/>
      <c r="I468" s="16"/>
      <c r="J468" s="16">
        <v>541</v>
      </c>
      <c r="K468" s="16">
        <f t="shared" si="27"/>
        <v>0</v>
      </c>
      <c r="L468" s="17">
        <f t="shared" si="26"/>
        <v>0</v>
      </c>
    </row>
    <row r="469" spans="1:12" s="18" customFormat="1" outlineLevel="3">
      <c r="A469" s="12" t="s">
        <v>402</v>
      </c>
      <c r="B469" s="12" t="s">
        <v>614</v>
      </c>
      <c r="C469" s="12" t="s">
        <v>131</v>
      </c>
      <c r="D469" s="12" t="s">
        <v>131</v>
      </c>
      <c r="E469" s="12" t="s">
        <v>615</v>
      </c>
      <c r="F469" s="13">
        <v>45870</v>
      </c>
      <c r="G469" s="16">
        <v>970.99220000000003</v>
      </c>
      <c r="H469" s="16"/>
      <c r="I469" s="16"/>
      <c r="J469" s="16">
        <v>969.57439999999997</v>
      </c>
      <c r="K469" s="16">
        <f t="shared" si="27"/>
        <v>1.4178000000000566</v>
      </c>
      <c r="L469" s="17">
        <f t="shared" si="26"/>
        <v>1.4622910835930245E-3</v>
      </c>
    </row>
    <row r="470" spans="1:12" s="18" customFormat="1" outlineLevel="2">
      <c r="A470" s="12"/>
      <c r="B470" s="7" t="s">
        <v>616</v>
      </c>
      <c r="C470" s="12"/>
      <c r="D470" s="12"/>
      <c r="E470" s="12"/>
      <c r="F470" s="13"/>
      <c r="G470" s="16">
        <f>SUBTOTAL(9,G467:G469)</f>
        <v>1774.4922000000001</v>
      </c>
      <c r="H470" s="16"/>
      <c r="I470" s="16">
        <f>SUBTOTAL(9,I467:I469)</f>
        <v>0</v>
      </c>
      <c r="J470" s="16">
        <f>SUBTOTAL(9,J467:J469)</f>
        <v>1773.0744</v>
      </c>
      <c r="K470" s="16">
        <f>SUBTOTAL(9,K467:K469)</f>
        <v>1.4178000000000566</v>
      </c>
      <c r="L470" s="17"/>
    </row>
    <row r="471" spans="1:12" s="18" customFormat="1" outlineLevel="3">
      <c r="A471" s="12" t="s">
        <v>402</v>
      </c>
      <c r="B471" s="12" t="s">
        <v>617</v>
      </c>
      <c r="C471" s="12" t="s">
        <v>175</v>
      </c>
      <c r="D471" s="12" t="s">
        <v>618</v>
      </c>
      <c r="E471" s="12" t="s">
        <v>619</v>
      </c>
      <c r="F471" s="13">
        <v>45870</v>
      </c>
      <c r="G471" s="16">
        <v>4.8</v>
      </c>
      <c r="H471" s="16"/>
      <c r="I471" s="16"/>
      <c r="J471" s="16">
        <v>4.8</v>
      </c>
      <c r="K471" s="16">
        <f t="shared" si="27"/>
        <v>0</v>
      </c>
      <c r="L471" s="17">
        <f t="shared" si="26"/>
        <v>0</v>
      </c>
    </row>
    <row r="472" spans="1:12" s="18" customFormat="1" outlineLevel="3">
      <c r="A472" s="12" t="s">
        <v>402</v>
      </c>
      <c r="B472" s="12" t="s">
        <v>617</v>
      </c>
      <c r="C472" s="12" t="s">
        <v>175</v>
      </c>
      <c r="D472" s="12" t="s">
        <v>620</v>
      </c>
      <c r="E472" s="12" t="s">
        <v>621</v>
      </c>
      <c r="F472" s="13">
        <v>45870</v>
      </c>
      <c r="G472" s="16">
        <v>62.4</v>
      </c>
      <c r="H472" s="16"/>
      <c r="I472" s="16"/>
      <c r="J472" s="16">
        <v>62.4</v>
      </c>
      <c r="K472" s="16">
        <f t="shared" si="27"/>
        <v>0</v>
      </c>
      <c r="L472" s="17">
        <f t="shared" si="26"/>
        <v>0</v>
      </c>
    </row>
    <row r="473" spans="1:12" s="18" customFormat="1" outlineLevel="3">
      <c r="A473" s="12" t="s">
        <v>402</v>
      </c>
      <c r="B473" s="12" t="s">
        <v>617</v>
      </c>
      <c r="C473" s="12" t="s">
        <v>175</v>
      </c>
      <c r="D473" s="12" t="s">
        <v>622</v>
      </c>
      <c r="E473" s="12" t="s">
        <v>623</v>
      </c>
      <c r="F473" s="13">
        <v>45870</v>
      </c>
      <c r="G473" s="16">
        <v>4.8</v>
      </c>
      <c r="H473" s="16"/>
      <c r="I473" s="16"/>
      <c r="J473" s="16">
        <v>4.8</v>
      </c>
      <c r="K473" s="16">
        <f t="shared" si="27"/>
        <v>0</v>
      </c>
      <c r="L473" s="17">
        <f t="shared" si="26"/>
        <v>0</v>
      </c>
    </row>
    <row r="474" spans="1:12" s="18" customFormat="1" outlineLevel="3">
      <c r="A474" s="12" t="s">
        <v>402</v>
      </c>
      <c r="B474" s="12" t="s">
        <v>617</v>
      </c>
      <c r="C474" s="12" t="s">
        <v>175</v>
      </c>
      <c r="D474" s="12" t="s">
        <v>624</v>
      </c>
      <c r="E474" s="12" t="s">
        <v>625</v>
      </c>
      <c r="F474" s="13">
        <v>45870</v>
      </c>
      <c r="G474" s="16">
        <v>9.6</v>
      </c>
      <c r="H474" s="16"/>
      <c r="I474" s="16"/>
      <c r="J474" s="16">
        <v>9.6</v>
      </c>
      <c r="K474" s="16">
        <f t="shared" si="27"/>
        <v>0</v>
      </c>
      <c r="L474" s="17">
        <f t="shared" si="26"/>
        <v>0</v>
      </c>
    </row>
    <row r="475" spans="1:12" s="18" customFormat="1" outlineLevel="3">
      <c r="A475" s="12" t="s">
        <v>402</v>
      </c>
      <c r="B475" s="12" t="s">
        <v>617</v>
      </c>
      <c r="C475" s="12" t="s">
        <v>175</v>
      </c>
      <c r="D475" s="12" t="s">
        <v>626</v>
      </c>
      <c r="E475" s="12" t="s">
        <v>627</v>
      </c>
      <c r="F475" s="13">
        <v>45870</v>
      </c>
      <c r="G475" s="16">
        <v>4.8</v>
      </c>
      <c r="H475" s="16"/>
      <c r="I475" s="16"/>
      <c r="J475" s="16">
        <v>4.8</v>
      </c>
      <c r="K475" s="16">
        <f t="shared" si="27"/>
        <v>0</v>
      </c>
      <c r="L475" s="17">
        <f t="shared" si="26"/>
        <v>0</v>
      </c>
    </row>
    <row r="476" spans="1:12" s="18" customFormat="1" outlineLevel="3">
      <c r="A476" s="12" t="s">
        <v>402</v>
      </c>
      <c r="B476" s="12" t="s">
        <v>617</v>
      </c>
      <c r="C476" s="12" t="s">
        <v>175</v>
      </c>
      <c r="D476" s="12" t="s">
        <v>628</v>
      </c>
      <c r="E476" s="12" t="s">
        <v>629</v>
      </c>
      <c r="F476" s="13">
        <v>45870</v>
      </c>
      <c r="G476" s="16">
        <v>1442.4</v>
      </c>
      <c r="H476" s="16"/>
      <c r="I476" s="16"/>
      <c r="J476" s="16">
        <v>1214.4000000000001</v>
      </c>
      <c r="K476" s="16">
        <f t="shared" si="27"/>
        <v>228</v>
      </c>
      <c r="L476" s="17">
        <f t="shared" si="26"/>
        <v>0.18774703557312253</v>
      </c>
    </row>
    <row r="477" spans="1:12" s="18" customFormat="1" outlineLevel="3">
      <c r="A477" s="12" t="s">
        <v>402</v>
      </c>
      <c r="B477" s="12" t="s">
        <v>617</v>
      </c>
      <c r="C477" s="12" t="s">
        <v>175</v>
      </c>
      <c r="D477" s="12" t="s">
        <v>630</v>
      </c>
      <c r="E477" s="12" t="s">
        <v>631</v>
      </c>
      <c r="F477" s="13">
        <v>45870</v>
      </c>
      <c r="G477" s="16">
        <v>62.4</v>
      </c>
      <c r="H477" s="16"/>
      <c r="I477" s="16"/>
      <c r="J477" s="16">
        <v>62.4</v>
      </c>
      <c r="K477" s="16">
        <f t="shared" si="27"/>
        <v>0</v>
      </c>
      <c r="L477" s="17">
        <f t="shared" si="26"/>
        <v>0</v>
      </c>
    </row>
    <row r="478" spans="1:12" s="18" customFormat="1" outlineLevel="3">
      <c r="A478" s="12" t="s">
        <v>402</v>
      </c>
      <c r="B478" s="12" t="s">
        <v>617</v>
      </c>
      <c r="C478" s="12" t="s">
        <v>175</v>
      </c>
      <c r="D478" s="12" t="s">
        <v>632</v>
      </c>
      <c r="E478" s="12" t="s">
        <v>633</v>
      </c>
      <c r="F478" s="13">
        <v>45870</v>
      </c>
      <c r="G478" s="16">
        <v>4.8</v>
      </c>
      <c r="H478" s="16"/>
      <c r="I478" s="16"/>
      <c r="J478" s="16">
        <v>4.8</v>
      </c>
      <c r="K478" s="16">
        <f t="shared" si="27"/>
        <v>0</v>
      </c>
      <c r="L478" s="17">
        <f t="shared" si="26"/>
        <v>0</v>
      </c>
    </row>
    <row r="479" spans="1:12" s="18" customFormat="1" outlineLevel="3">
      <c r="A479" s="12" t="s">
        <v>402</v>
      </c>
      <c r="B479" s="12" t="s">
        <v>617</v>
      </c>
      <c r="C479" s="12" t="s">
        <v>175</v>
      </c>
      <c r="D479" s="12" t="s">
        <v>634</v>
      </c>
      <c r="E479" s="12" t="s">
        <v>635</v>
      </c>
      <c r="F479" s="13">
        <v>45870</v>
      </c>
      <c r="G479" s="16">
        <v>84</v>
      </c>
      <c r="H479" s="16"/>
      <c r="I479" s="16"/>
      <c r="J479" s="16">
        <v>84</v>
      </c>
      <c r="K479" s="16">
        <f t="shared" si="27"/>
        <v>0</v>
      </c>
      <c r="L479" s="17">
        <f t="shared" si="26"/>
        <v>0</v>
      </c>
    </row>
    <row r="480" spans="1:12" s="18" customFormat="1" outlineLevel="3">
      <c r="A480" s="12" t="s">
        <v>402</v>
      </c>
      <c r="B480" s="12" t="s">
        <v>617</v>
      </c>
      <c r="C480" s="12" t="s">
        <v>175</v>
      </c>
      <c r="D480" s="12" t="s">
        <v>636</v>
      </c>
      <c r="E480" s="12" t="s">
        <v>637</v>
      </c>
      <c r="F480" s="13">
        <v>45870</v>
      </c>
      <c r="G480" s="16">
        <v>31.2</v>
      </c>
      <c r="H480" s="16"/>
      <c r="I480" s="16"/>
      <c r="J480" s="16">
        <v>84</v>
      </c>
      <c r="K480" s="16">
        <f t="shared" si="27"/>
        <v>-52.8</v>
      </c>
      <c r="L480" s="17">
        <f t="shared" si="26"/>
        <v>-0.62857142857142856</v>
      </c>
    </row>
    <row r="481" spans="1:12" s="18" customFormat="1" outlineLevel="3">
      <c r="A481" s="12" t="s">
        <v>402</v>
      </c>
      <c r="B481" s="12" t="s">
        <v>617</v>
      </c>
      <c r="C481" s="12" t="s">
        <v>175</v>
      </c>
      <c r="D481" s="12" t="s">
        <v>638</v>
      </c>
      <c r="E481" s="12" t="s">
        <v>639</v>
      </c>
      <c r="F481" s="13">
        <v>45870</v>
      </c>
      <c r="G481" s="16">
        <v>52.8</v>
      </c>
      <c r="H481" s="16"/>
      <c r="I481" s="16"/>
      <c r="J481" s="16">
        <v>52.8</v>
      </c>
      <c r="K481" s="16">
        <f t="shared" si="27"/>
        <v>0</v>
      </c>
      <c r="L481" s="17">
        <f t="shared" si="26"/>
        <v>0</v>
      </c>
    </row>
    <row r="482" spans="1:12" s="18" customFormat="1" outlineLevel="3">
      <c r="A482" s="12" t="s">
        <v>402</v>
      </c>
      <c r="B482" s="12" t="s">
        <v>617</v>
      </c>
      <c r="C482" s="12" t="s">
        <v>175</v>
      </c>
      <c r="D482" s="12" t="s">
        <v>640</v>
      </c>
      <c r="E482" s="12" t="s">
        <v>641</v>
      </c>
      <c r="F482" s="13">
        <v>45870</v>
      </c>
      <c r="G482" s="16">
        <v>31.2</v>
      </c>
      <c r="H482" s="16"/>
      <c r="I482" s="16"/>
      <c r="J482" s="16">
        <v>31.2</v>
      </c>
      <c r="K482" s="16">
        <f t="shared" si="27"/>
        <v>0</v>
      </c>
      <c r="L482" s="17">
        <f t="shared" si="26"/>
        <v>0</v>
      </c>
    </row>
    <row r="483" spans="1:12" s="18" customFormat="1" outlineLevel="3">
      <c r="A483" s="12" t="s">
        <v>402</v>
      </c>
      <c r="B483" s="12" t="s">
        <v>617</v>
      </c>
      <c r="C483" s="12" t="s">
        <v>175</v>
      </c>
      <c r="D483" s="12" t="s">
        <v>642</v>
      </c>
      <c r="E483" s="12" t="s">
        <v>643</v>
      </c>
      <c r="F483" s="13">
        <v>45870</v>
      </c>
      <c r="G483" s="16">
        <v>4.8</v>
      </c>
      <c r="H483" s="16"/>
      <c r="I483" s="16"/>
      <c r="J483" s="16">
        <v>4.8</v>
      </c>
      <c r="K483" s="16">
        <f t="shared" si="27"/>
        <v>0</v>
      </c>
      <c r="L483" s="17">
        <f t="shared" si="26"/>
        <v>0</v>
      </c>
    </row>
    <row r="484" spans="1:12" s="18" customFormat="1" outlineLevel="3">
      <c r="A484" s="12" t="s">
        <v>402</v>
      </c>
      <c r="B484" s="12" t="s">
        <v>617</v>
      </c>
      <c r="C484" s="12" t="s">
        <v>175</v>
      </c>
      <c r="D484" s="12" t="s">
        <v>644</v>
      </c>
      <c r="E484" s="12" t="s">
        <v>645</v>
      </c>
      <c r="F484" s="13">
        <v>45870</v>
      </c>
      <c r="G484" s="16">
        <v>4.8</v>
      </c>
      <c r="H484" s="16"/>
      <c r="I484" s="16"/>
      <c r="J484" s="16">
        <v>4.8</v>
      </c>
      <c r="K484" s="16">
        <f t="shared" si="27"/>
        <v>0</v>
      </c>
      <c r="L484" s="17">
        <f t="shared" si="26"/>
        <v>0</v>
      </c>
    </row>
    <row r="485" spans="1:12" s="18" customFormat="1" outlineLevel="3">
      <c r="A485" s="12" t="s">
        <v>402</v>
      </c>
      <c r="B485" s="12" t="s">
        <v>617</v>
      </c>
      <c r="C485" s="12" t="s">
        <v>141</v>
      </c>
      <c r="D485" s="12" t="s">
        <v>646</v>
      </c>
      <c r="E485" s="12" t="s">
        <v>621</v>
      </c>
      <c r="F485" s="13">
        <v>45870</v>
      </c>
      <c r="G485" s="16">
        <v>54</v>
      </c>
      <c r="H485" s="16"/>
      <c r="I485" s="16"/>
      <c r="J485" s="16">
        <v>54</v>
      </c>
      <c r="K485" s="16">
        <f t="shared" si="27"/>
        <v>0</v>
      </c>
      <c r="L485" s="17">
        <f t="shared" si="26"/>
        <v>0</v>
      </c>
    </row>
    <row r="486" spans="1:12" s="18" customFormat="1" outlineLevel="3">
      <c r="A486" s="12" t="s">
        <v>402</v>
      </c>
      <c r="B486" s="12" t="s">
        <v>617</v>
      </c>
      <c r="C486" s="12" t="s">
        <v>141</v>
      </c>
      <c r="D486" s="12" t="s">
        <v>647</v>
      </c>
      <c r="E486" s="12" t="s">
        <v>623</v>
      </c>
      <c r="F486" s="13">
        <v>45870</v>
      </c>
      <c r="G486" s="16">
        <v>4</v>
      </c>
      <c r="H486" s="16"/>
      <c r="I486" s="16"/>
      <c r="J486" s="16">
        <v>4</v>
      </c>
      <c r="K486" s="16">
        <f t="shared" si="27"/>
        <v>0</v>
      </c>
      <c r="L486" s="17">
        <f t="shared" si="26"/>
        <v>0</v>
      </c>
    </row>
    <row r="487" spans="1:12" s="18" customFormat="1" outlineLevel="3">
      <c r="A487" s="12" t="s">
        <v>402</v>
      </c>
      <c r="B487" s="12" t="s">
        <v>617</v>
      </c>
      <c r="C487" s="12" t="s">
        <v>141</v>
      </c>
      <c r="D487" s="12" t="s">
        <v>648</v>
      </c>
      <c r="E487" s="12" t="s">
        <v>629</v>
      </c>
      <c r="F487" s="13">
        <v>45870</v>
      </c>
      <c r="G487" s="16">
        <v>366</v>
      </c>
      <c r="H487" s="16"/>
      <c r="I487" s="16"/>
      <c r="J487" s="16">
        <v>374</v>
      </c>
      <c r="K487" s="16">
        <f t="shared" si="27"/>
        <v>-8</v>
      </c>
      <c r="L487" s="17">
        <f t="shared" si="26"/>
        <v>-2.1390374331550801E-2</v>
      </c>
    </row>
    <row r="488" spans="1:12" s="18" customFormat="1" outlineLevel="3">
      <c r="A488" s="12" t="s">
        <v>402</v>
      </c>
      <c r="B488" s="12" t="s">
        <v>617</v>
      </c>
      <c r="C488" s="12" t="s">
        <v>141</v>
      </c>
      <c r="D488" s="12" t="s">
        <v>649</v>
      </c>
      <c r="E488" s="12" t="s">
        <v>641</v>
      </c>
      <c r="F488" s="13">
        <v>45870</v>
      </c>
      <c r="G488" s="16">
        <v>49</v>
      </c>
      <c r="H488" s="16"/>
      <c r="I488" s="16"/>
      <c r="J488" s="16">
        <v>49</v>
      </c>
      <c r="K488" s="16">
        <f t="shared" si="27"/>
        <v>0</v>
      </c>
      <c r="L488" s="17">
        <f t="shared" si="26"/>
        <v>0</v>
      </c>
    </row>
    <row r="489" spans="1:12" s="18" customFormat="1" outlineLevel="3">
      <c r="A489" s="12" t="s">
        <v>402</v>
      </c>
      <c r="B489" s="12" t="s">
        <v>617</v>
      </c>
      <c r="C489" s="12" t="s">
        <v>141</v>
      </c>
      <c r="D489" s="12" t="s">
        <v>650</v>
      </c>
      <c r="E489" s="12" t="s">
        <v>637</v>
      </c>
      <c r="F489" s="13">
        <v>45870</v>
      </c>
      <c r="G489" s="16">
        <v>50</v>
      </c>
      <c r="H489" s="16"/>
      <c r="I489" s="16"/>
      <c r="J489" s="16">
        <v>62</v>
      </c>
      <c r="K489" s="16">
        <f t="shared" si="27"/>
        <v>-12</v>
      </c>
      <c r="L489" s="17">
        <f t="shared" si="26"/>
        <v>-0.19354838709677419</v>
      </c>
    </row>
    <row r="490" spans="1:12" s="18" customFormat="1" outlineLevel="3">
      <c r="A490" s="12" t="s">
        <v>402</v>
      </c>
      <c r="B490" s="12" t="s">
        <v>617</v>
      </c>
      <c r="C490" s="12" t="s">
        <v>141</v>
      </c>
      <c r="D490" s="12" t="s">
        <v>651</v>
      </c>
      <c r="E490" s="12" t="s">
        <v>631</v>
      </c>
      <c r="F490" s="13">
        <v>45870</v>
      </c>
      <c r="G490" s="16">
        <v>62</v>
      </c>
      <c r="H490" s="16"/>
      <c r="I490" s="16"/>
      <c r="J490" s="16">
        <v>62</v>
      </c>
      <c r="K490" s="16">
        <f t="shared" si="27"/>
        <v>0</v>
      </c>
      <c r="L490" s="17">
        <f t="shared" si="26"/>
        <v>0</v>
      </c>
    </row>
    <row r="491" spans="1:12" s="18" customFormat="1" outlineLevel="3">
      <c r="A491" s="12" t="s">
        <v>402</v>
      </c>
      <c r="B491" s="12" t="s">
        <v>617</v>
      </c>
      <c r="C491" s="12" t="s">
        <v>141</v>
      </c>
      <c r="D491" s="12" t="s">
        <v>652</v>
      </c>
      <c r="E491" s="12" t="s">
        <v>635</v>
      </c>
      <c r="F491" s="13">
        <v>45870</v>
      </c>
      <c r="G491" s="16">
        <v>8</v>
      </c>
      <c r="H491" s="16"/>
      <c r="I491" s="16"/>
      <c r="J491" s="16">
        <v>16</v>
      </c>
      <c r="K491" s="16">
        <f t="shared" si="27"/>
        <v>-8</v>
      </c>
      <c r="L491" s="17">
        <f t="shared" si="26"/>
        <v>-0.5</v>
      </c>
    </row>
    <row r="492" spans="1:12" s="18" customFormat="1" outlineLevel="3">
      <c r="A492" s="12" t="s">
        <v>402</v>
      </c>
      <c r="B492" s="12" t="s">
        <v>617</v>
      </c>
      <c r="C492" s="12" t="s">
        <v>141</v>
      </c>
      <c r="D492" s="12" t="s">
        <v>653</v>
      </c>
      <c r="E492" s="12" t="s">
        <v>639</v>
      </c>
      <c r="F492" s="13">
        <v>45870</v>
      </c>
      <c r="G492" s="16">
        <v>8</v>
      </c>
      <c r="H492" s="16"/>
      <c r="I492" s="16"/>
      <c r="J492" s="16">
        <v>8</v>
      </c>
      <c r="K492" s="16">
        <f t="shared" si="27"/>
        <v>0</v>
      </c>
      <c r="L492" s="17">
        <f t="shared" si="26"/>
        <v>0</v>
      </c>
    </row>
    <row r="493" spans="1:12" s="18" customFormat="1" outlineLevel="3">
      <c r="A493" s="12" t="s">
        <v>402</v>
      </c>
      <c r="B493" s="12" t="s">
        <v>617</v>
      </c>
      <c r="C493" s="12" t="s">
        <v>145</v>
      </c>
      <c r="D493" s="12" t="s">
        <v>654</v>
      </c>
      <c r="E493" s="12" t="s">
        <v>621</v>
      </c>
      <c r="F493" s="13">
        <v>45870</v>
      </c>
      <c r="G493" s="16">
        <v>324.5</v>
      </c>
      <c r="H493" s="16"/>
      <c r="I493" s="16"/>
      <c r="J493" s="16">
        <v>330.5</v>
      </c>
      <c r="K493" s="16">
        <f t="shared" si="27"/>
        <v>-6</v>
      </c>
      <c r="L493" s="17">
        <f t="shared" si="26"/>
        <v>-1.8154311649016642E-2</v>
      </c>
    </row>
    <row r="494" spans="1:12" s="18" customFormat="1" outlineLevel="3">
      <c r="A494" s="12" t="s">
        <v>402</v>
      </c>
      <c r="B494" s="12" t="s">
        <v>617</v>
      </c>
      <c r="C494" s="12" t="s">
        <v>145</v>
      </c>
      <c r="D494" s="12" t="s">
        <v>655</v>
      </c>
      <c r="E494" s="12" t="s">
        <v>629</v>
      </c>
      <c r="F494" s="13">
        <v>45870</v>
      </c>
      <c r="G494" s="16">
        <v>1425.5</v>
      </c>
      <c r="H494" s="16"/>
      <c r="I494" s="16"/>
      <c r="J494" s="16">
        <v>1417.5</v>
      </c>
      <c r="K494" s="16">
        <f t="shared" si="27"/>
        <v>8</v>
      </c>
      <c r="L494" s="17">
        <f t="shared" si="26"/>
        <v>5.6437389770723108E-3</v>
      </c>
    </row>
    <row r="495" spans="1:12" s="18" customFormat="1" outlineLevel="3">
      <c r="A495" s="12" t="s">
        <v>402</v>
      </c>
      <c r="B495" s="12" t="s">
        <v>617</v>
      </c>
      <c r="C495" s="12" t="s">
        <v>145</v>
      </c>
      <c r="D495" s="12" t="s">
        <v>656</v>
      </c>
      <c r="E495" s="12" t="s">
        <v>635</v>
      </c>
      <c r="F495" s="13">
        <v>45870</v>
      </c>
      <c r="G495" s="16">
        <v>398</v>
      </c>
      <c r="H495" s="16"/>
      <c r="I495" s="16"/>
      <c r="J495" s="16">
        <v>386</v>
      </c>
      <c r="K495" s="16">
        <f t="shared" si="27"/>
        <v>12</v>
      </c>
      <c r="L495" s="17">
        <f t="shared" si="26"/>
        <v>3.1088082901554404E-2</v>
      </c>
    </row>
    <row r="496" spans="1:12" s="18" customFormat="1" outlineLevel="3">
      <c r="A496" s="12" t="s">
        <v>402</v>
      </c>
      <c r="B496" s="12" t="s">
        <v>617</v>
      </c>
      <c r="C496" s="12" t="s">
        <v>145</v>
      </c>
      <c r="D496" s="12" t="s">
        <v>657</v>
      </c>
      <c r="E496" s="12" t="s">
        <v>637</v>
      </c>
      <c r="F496" s="13">
        <v>45870</v>
      </c>
      <c r="G496" s="16">
        <v>333</v>
      </c>
      <c r="H496" s="16"/>
      <c r="I496" s="16"/>
      <c r="J496" s="16">
        <v>361.5</v>
      </c>
      <c r="K496" s="16">
        <f t="shared" si="27"/>
        <v>-28.5</v>
      </c>
      <c r="L496" s="17">
        <f t="shared" si="26"/>
        <v>-7.8838174273858919E-2</v>
      </c>
    </row>
    <row r="497" spans="1:12" s="18" customFormat="1" outlineLevel="3">
      <c r="A497" s="12" t="s">
        <v>402</v>
      </c>
      <c r="B497" s="12" t="s">
        <v>617</v>
      </c>
      <c r="C497" s="12" t="s">
        <v>145</v>
      </c>
      <c r="D497" s="12" t="s">
        <v>658</v>
      </c>
      <c r="E497" s="12" t="s">
        <v>639</v>
      </c>
      <c r="F497" s="13">
        <v>45870</v>
      </c>
      <c r="G497" s="16">
        <v>49</v>
      </c>
      <c r="H497" s="16"/>
      <c r="I497" s="16"/>
      <c r="J497" s="16">
        <v>49</v>
      </c>
      <c r="K497" s="16">
        <f t="shared" si="27"/>
        <v>0</v>
      </c>
      <c r="L497" s="17">
        <f t="shared" si="26"/>
        <v>0</v>
      </c>
    </row>
    <row r="498" spans="1:12" s="18" customFormat="1" outlineLevel="3">
      <c r="A498" s="12" t="s">
        <v>402</v>
      </c>
      <c r="B498" s="12" t="s">
        <v>617</v>
      </c>
      <c r="C498" s="12" t="s">
        <v>145</v>
      </c>
      <c r="D498" s="12" t="s">
        <v>659</v>
      </c>
      <c r="E498" s="12" t="s">
        <v>623</v>
      </c>
      <c r="F498" s="13">
        <v>45870</v>
      </c>
      <c r="G498" s="16">
        <v>24.5</v>
      </c>
      <c r="H498" s="16"/>
      <c r="I498" s="16"/>
      <c r="J498" s="16">
        <v>24.5</v>
      </c>
      <c r="K498" s="16">
        <f t="shared" si="27"/>
        <v>0</v>
      </c>
      <c r="L498" s="17">
        <f t="shared" si="26"/>
        <v>0</v>
      </c>
    </row>
    <row r="499" spans="1:12" s="18" customFormat="1" outlineLevel="3">
      <c r="A499" s="12" t="s">
        <v>402</v>
      </c>
      <c r="B499" s="12" t="s">
        <v>617</v>
      </c>
      <c r="C499" s="12" t="s">
        <v>145</v>
      </c>
      <c r="D499" s="12" t="s">
        <v>660</v>
      </c>
      <c r="E499" s="12" t="s">
        <v>631</v>
      </c>
      <c r="F499" s="13">
        <v>45870</v>
      </c>
      <c r="G499" s="16">
        <v>373.5</v>
      </c>
      <c r="H499" s="16"/>
      <c r="I499" s="16"/>
      <c r="J499" s="16">
        <v>373.5</v>
      </c>
      <c r="K499" s="16">
        <f t="shared" si="27"/>
        <v>0</v>
      </c>
      <c r="L499" s="17">
        <f t="shared" si="26"/>
        <v>0</v>
      </c>
    </row>
    <row r="500" spans="1:12" s="18" customFormat="1" outlineLevel="3">
      <c r="A500" s="12" t="s">
        <v>402</v>
      </c>
      <c r="B500" s="12" t="s">
        <v>617</v>
      </c>
      <c r="C500" s="12" t="s">
        <v>145</v>
      </c>
      <c r="D500" s="12" t="s">
        <v>661</v>
      </c>
      <c r="E500" s="12" t="s">
        <v>641</v>
      </c>
      <c r="F500" s="13">
        <v>45870</v>
      </c>
      <c r="G500" s="16">
        <v>24.5</v>
      </c>
      <c r="H500" s="16"/>
      <c r="I500" s="16"/>
      <c r="J500" s="16">
        <v>24.5</v>
      </c>
      <c r="K500" s="16">
        <f t="shared" si="27"/>
        <v>0</v>
      </c>
      <c r="L500" s="17">
        <f t="shared" si="26"/>
        <v>0</v>
      </c>
    </row>
    <row r="501" spans="1:12" s="18" customFormat="1" outlineLevel="3">
      <c r="A501" s="12" t="s">
        <v>402</v>
      </c>
      <c r="B501" s="12" t="s">
        <v>617</v>
      </c>
      <c r="C501" s="12" t="s">
        <v>131</v>
      </c>
      <c r="D501" s="12" t="s">
        <v>662</v>
      </c>
      <c r="E501" s="12" t="s">
        <v>621</v>
      </c>
      <c r="F501" s="13">
        <v>45870</v>
      </c>
      <c r="G501" s="16">
        <v>573.78</v>
      </c>
      <c r="H501" s="16"/>
      <c r="I501" s="16"/>
      <c r="J501" s="16">
        <v>573.78</v>
      </c>
      <c r="K501" s="16">
        <f t="shared" si="27"/>
        <v>0</v>
      </c>
      <c r="L501" s="17">
        <f t="shared" si="26"/>
        <v>0</v>
      </c>
    </row>
    <row r="502" spans="1:12" s="18" customFormat="1" outlineLevel="3">
      <c r="A502" s="12" t="s">
        <v>402</v>
      </c>
      <c r="B502" s="12" t="s">
        <v>617</v>
      </c>
      <c r="C502" s="12" t="s">
        <v>131</v>
      </c>
      <c r="D502" s="12" t="s">
        <v>663</v>
      </c>
      <c r="E502" s="12" t="s">
        <v>623</v>
      </c>
      <c r="F502" s="13">
        <v>45870</v>
      </c>
      <c r="G502" s="16">
        <v>350.15</v>
      </c>
      <c r="H502" s="16"/>
      <c r="I502" s="16"/>
      <c r="J502" s="16">
        <v>350.15</v>
      </c>
      <c r="K502" s="16">
        <f t="shared" si="27"/>
        <v>0</v>
      </c>
      <c r="L502" s="17">
        <f t="shared" si="26"/>
        <v>0</v>
      </c>
    </row>
    <row r="503" spans="1:12" s="18" customFormat="1" outlineLevel="3">
      <c r="A503" s="12" t="s">
        <v>402</v>
      </c>
      <c r="B503" s="12" t="s">
        <v>617</v>
      </c>
      <c r="C503" s="12" t="s">
        <v>131</v>
      </c>
      <c r="D503" s="12" t="s">
        <v>664</v>
      </c>
      <c r="E503" s="12" t="s">
        <v>629</v>
      </c>
      <c r="F503" s="13">
        <v>45870</v>
      </c>
      <c r="G503" s="16">
        <v>4717.3500000000004</v>
      </c>
      <c r="H503" s="16"/>
      <c r="I503" s="16"/>
      <c r="J503" s="16">
        <v>4461.05</v>
      </c>
      <c r="K503" s="16">
        <f t="shared" si="27"/>
        <v>256.30000000000018</v>
      </c>
      <c r="L503" s="17">
        <f t="shared" si="26"/>
        <v>5.7452841819750994E-2</v>
      </c>
    </row>
    <row r="504" spans="1:12" s="18" customFormat="1" outlineLevel="3">
      <c r="A504" s="12" t="s">
        <v>402</v>
      </c>
      <c r="B504" s="12" t="s">
        <v>617</v>
      </c>
      <c r="C504" s="12" t="s">
        <v>131</v>
      </c>
      <c r="D504" s="12" t="s">
        <v>665</v>
      </c>
      <c r="E504" s="12" t="s">
        <v>631</v>
      </c>
      <c r="F504" s="13">
        <v>45870</v>
      </c>
      <c r="G504" s="16">
        <v>584.45000000000005</v>
      </c>
      <c r="H504" s="16"/>
      <c r="I504" s="16"/>
      <c r="J504" s="16">
        <v>584.45000000000005</v>
      </c>
      <c r="K504" s="16">
        <f t="shared" si="27"/>
        <v>0</v>
      </c>
      <c r="L504" s="17">
        <f t="shared" si="26"/>
        <v>0</v>
      </c>
    </row>
    <row r="505" spans="1:12" s="18" customFormat="1" outlineLevel="3">
      <c r="A505" s="12" t="s">
        <v>402</v>
      </c>
      <c r="B505" s="12" t="s">
        <v>617</v>
      </c>
      <c r="C505" s="12" t="s">
        <v>131</v>
      </c>
      <c r="D505" s="12" t="s">
        <v>666</v>
      </c>
      <c r="E505" s="12" t="s">
        <v>641</v>
      </c>
      <c r="F505" s="13">
        <v>45870</v>
      </c>
      <c r="G505" s="16">
        <v>328.15</v>
      </c>
      <c r="H505" s="16"/>
      <c r="I505" s="16"/>
      <c r="J505" s="16">
        <v>328.15</v>
      </c>
      <c r="K505" s="16">
        <f t="shared" si="27"/>
        <v>0</v>
      </c>
      <c r="L505" s="17">
        <f t="shared" si="26"/>
        <v>0</v>
      </c>
    </row>
    <row r="506" spans="1:12" s="18" customFormat="1" outlineLevel="3">
      <c r="A506" s="12" t="s">
        <v>402</v>
      </c>
      <c r="B506" s="12" t="s">
        <v>617</v>
      </c>
      <c r="C506" s="12" t="s">
        <v>131</v>
      </c>
      <c r="D506" s="12" t="s">
        <v>667</v>
      </c>
      <c r="E506" s="12" t="s">
        <v>637</v>
      </c>
      <c r="F506" s="13">
        <v>45870</v>
      </c>
      <c r="G506" s="16">
        <v>701.93</v>
      </c>
      <c r="H506" s="16"/>
      <c r="I506" s="16"/>
      <c r="J506" s="16">
        <v>830.08</v>
      </c>
      <c r="K506" s="16">
        <f t="shared" si="27"/>
        <v>-128.15000000000009</v>
      </c>
      <c r="L506" s="17">
        <f t="shared" si="26"/>
        <v>-0.15438271010023141</v>
      </c>
    </row>
    <row r="507" spans="1:12" s="18" customFormat="1" outlineLevel="3">
      <c r="A507" s="12" t="s">
        <v>402</v>
      </c>
      <c r="B507" s="12" t="s">
        <v>617</v>
      </c>
      <c r="C507" s="12" t="s">
        <v>131</v>
      </c>
      <c r="D507" s="12" t="s">
        <v>668</v>
      </c>
      <c r="E507" s="12" t="s">
        <v>639</v>
      </c>
      <c r="F507" s="13">
        <v>45870</v>
      </c>
      <c r="G507" s="16">
        <v>456.3</v>
      </c>
      <c r="H507" s="16"/>
      <c r="I507" s="16"/>
      <c r="J507" s="16">
        <v>456.3</v>
      </c>
      <c r="K507" s="16">
        <f t="shared" si="27"/>
        <v>0</v>
      </c>
      <c r="L507" s="17">
        <f t="shared" si="26"/>
        <v>0</v>
      </c>
    </row>
    <row r="508" spans="1:12" s="18" customFormat="1" outlineLevel="3">
      <c r="A508" s="12" t="s">
        <v>402</v>
      </c>
      <c r="B508" s="12" t="s">
        <v>617</v>
      </c>
      <c r="C508" s="12" t="s">
        <v>131</v>
      </c>
      <c r="D508" s="12" t="s">
        <v>669</v>
      </c>
      <c r="E508" s="12" t="s">
        <v>635</v>
      </c>
      <c r="F508" s="13">
        <v>45870</v>
      </c>
      <c r="G508" s="16">
        <v>958.23</v>
      </c>
      <c r="H508" s="16"/>
      <c r="I508" s="16"/>
      <c r="J508" s="16">
        <v>958.23</v>
      </c>
      <c r="K508" s="16">
        <f t="shared" si="27"/>
        <v>0</v>
      </c>
      <c r="L508" s="17">
        <f t="shared" si="26"/>
        <v>0</v>
      </c>
    </row>
    <row r="509" spans="1:12" s="18" customFormat="1" outlineLevel="2">
      <c r="A509" s="12"/>
      <c r="B509" s="7" t="s">
        <v>670</v>
      </c>
      <c r="C509" s="12"/>
      <c r="D509" s="12"/>
      <c r="E509" s="12"/>
      <c r="F509" s="13"/>
      <c r="G509" s="16">
        <f>SUBTOTAL(9,G471:G508)</f>
        <v>14028.64</v>
      </c>
      <c r="H509" s="16"/>
      <c r="I509" s="16">
        <f>SUBTOTAL(9,I471:I508)</f>
        <v>0</v>
      </c>
      <c r="J509" s="16">
        <f>SUBTOTAL(9,J471:J508)</f>
        <v>13767.789999999999</v>
      </c>
      <c r="K509" s="16">
        <f>SUBTOTAL(9,K471:K508)</f>
        <v>260.85000000000008</v>
      </c>
      <c r="L509" s="17"/>
    </row>
    <row r="510" spans="1:12" s="18" customFormat="1" outlineLevel="3">
      <c r="A510" s="12" t="s">
        <v>402</v>
      </c>
      <c r="B510" s="12" t="s">
        <v>671</v>
      </c>
      <c r="C510" s="12" t="s">
        <v>141</v>
      </c>
      <c r="D510" s="12" t="s">
        <v>569</v>
      </c>
      <c r="E510" s="12" t="s">
        <v>672</v>
      </c>
      <c r="F510" s="13">
        <v>45870</v>
      </c>
      <c r="G510" s="16">
        <v>60</v>
      </c>
      <c r="H510" s="16"/>
      <c r="I510" s="16"/>
      <c r="J510" s="16">
        <v>60</v>
      </c>
      <c r="K510" s="16">
        <f t="shared" si="27"/>
        <v>0</v>
      </c>
      <c r="L510" s="17">
        <f t="shared" si="26"/>
        <v>0</v>
      </c>
    </row>
    <row r="511" spans="1:12" s="18" customFormat="1" outlineLevel="3">
      <c r="A511" s="12" t="s">
        <v>402</v>
      </c>
      <c r="B511" s="12" t="s">
        <v>671</v>
      </c>
      <c r="C511" s="12" t="s">
        <v>145</v>
      </c>
      <c r="D511" s="12" t="s">
        <v>570</v>
      </c>
      <c r="E511" s="12" t="s">
        <v>672</v>
      </c>
      <c r="F511" s="13">
        <v>45870</v>
      </c>
      <c r="G511" s="16">
        <v>431</v>
      </c>
      <c r="H511" s="16"/>
      <c r="I511" s="16"/>
      <c r="J511" s="16">
        <v>452</v>
      </c>
      <c r="K511" s="16">
        <f t="shared" si="27"/>
        <v>-21</v>
      </c>
      <c r="L511" s="17">
        <f t="shared" si="26"/>
        <v>-4.6460176991150445E-2</v>
      </c>
    </row>
    <row r="512" spans="1:12" s="18" customFormat="1" outlineLevel="3">
      <c r="A512" s="12" t="s">
        <v>402</v>
      </c>
      <c r="B512" s="12" t="s">
        <v>671</v>
      </c>
      <c r="C512" s="12" t="s">
        <v>131</v>
      </c>
      <c r="D512" s="12" t="s">
        <v>673</v>
      </c>
      <c r="E512" s="12" t="s">
        <v>672</v>
      </c>
      <c r="F512" s="13">
        <v>45870</v>
      </c>
      <c r="G512" s="16">
        <v>1327</v>
      </c>
      <c r="H512" s="16"/>
      <c r="I512" s="16"/>
      <c r="J512" s="16">
        <v>1327</v>
      </c>
      <c r="K512" s="16">
        <f t="shared" si="27"/>
        <v>0</v>
      </c>
      <c r="L512" s="17">
        <f t="shared" si="26"/>
        <v>0</v>
      </c>
    </row>
    <row r="513" spans="1:12" s="18" customFormat="1" outlineLevel="2">
      <c r="A513" s="12"/>
      <c r="B513" s="7" t="s">
        <v>674</v>
      </c>
      <c r="C513" s="12"/>
      <c r="D513" s="12"/>
      <c r="E513" s="12"/>
      <c r="F513" s="13"/>
      <c r="G513" s="16">
        <f>SUBTOTAL(9,G510:G512)</f>
        <v>1818</v>
      </c>
      <c r="H513" s="16"/>
      <c r="I513" s="16">
        <f>SUBTOTAL(9,I510:I512)</f>
        <v>0</v>
      </c>
      <c r="J513" s="16">
        <f>SUBTOTAL(9,J510:J512)</f>
        <v>1839</v>
      </c>
      <c r="K513" s="16">
        <f>SUBTOTAL(9,K510:K512)</f>
        <v>-21</v>
      </c>
      <c r="L513" s="17"/>
    </row>
    <row r="514" spans="1:12" s="18" customFormat="1" outlineLevel="3">
      <c r="A514" s="12" t="s">
        <v>402</v>
      </c>
      <c r="B514" s="12" t="s">
        <v>675</v>
      </c>
      <c r="C514" s="12" t="s">
        <v>407</v>
      </c>
      <c r="D514" s="12" t="s">
        <v>676</v>
      </c>
      <c r="E514" s="12" t="s">
        <v>677</v>
      </c>
      <c r="F514" s="13">
        <v>45870</v>
      </c>
      <c r="G514" s="16">
        <v>2872.5</v>
      </c>
      <c r="H514" s="16"/>
      <c r="I514" s="16"/>
      <c r="J514" s="16">
        <v>2872.5</v>
      </c>
      <c r="K514" s="16">
        <f t="shared" si="27"/>
        <v>0</v>
      </c>
      <c r="L514" s="17">
        <f t="shared" si="26"/>
        <v>0</v>
      </c>
    </row>
    <row r="515" spans="1:12" s="18" customFormat="1" outlineLevel="3">
      <c r="A515" s="12" t="s">
        <v>402</v>
      </c>
      <c r="B515" s="12" t="s">
        <v>675</v>
      </c>
      <c r="C515" s="12" t="s">
        <v>141</v>
      </c>
      <c r="D515" s="12" t="s">
        <v>678</v>
      </c>
      <c r="E515" s="12" t="s">
        <v>677</v>
      </c>
      <c r="F515" s="13">
        <v>45870</v>
      </c>
      <c r="G515" s="16">
        <v>745.02099999999996</v>
      </c>
      <c r="H515" s="16"/>
      <c r="I515" s="16"/>
      <c r="J515" s="16">
        <v>670.74099999999999</v>
      </c>
      <c r="K515" s="16">
        <f t="shared" si="27"/>
        <v>74.279999999999973</v>
      </c>
      <c r="L515" s="17">
        <f t="shared" si="26"/>
        <v>0.11074319297612636</v>
      </c>
    </row>
    <row r="516" spans="1:12" s="18" customFormat="1" outlineLevel="3">
      <c r="A516" s="12" t="s">
        <v>402</v>
      </c>
      <c r="B516" s="12" t="s">
        <v>675</v>
      </c>
      <c r="C516" s="12" t="s">
        <v>145</v>
      </c>
      <c r="D516" s="12" t="s">
        <v>679</v>
      </c>
      <c r="E516" s="12" t="s">
        <v>677</v>
      </c>
      <c r="F516" s="13">
        <v>45870</v>
      </c>
      <c r="G516" s="16">
        <v>2353.6999999999998</v>
      </c>
      <c r="H516" s="16"/>
      <c r="I516" s="16"/>
      <c r="J516" s="16">
        <v>2353.6999999999998</v>
      </c>
      <c r="K516" s="16">
        <f t="shared" si="27"/>
        <v>0</v>
      </c>
      <c r="L516" s="17">
        <f t="shared" si="26"/>
        <v>0</v>
      </c>
    </row>
    <row r="517" spans="1:12" s="18" customFormat="1" outlineLevel="3">
      <c r="A517" s="12" t="s">
        <v>402</v>
      </c>
      <c r="B517" s="12" t="s">
        <v>675</v>
      </c>
      <c r="C517" s="12" t="s">
        <v>131</v>
      </c>
      <c r="D517" s="12" t="s">
        <v>680</v>
      </c>
      <c r="E517" s="12" t="s">
        <v>677</v>
      </c>
      <c r="F517" s="13">
        <v>45870</v>
      </c>
      <c r="G517" s="16">
        <v>1210</v>
      </c>
      <c r="H517" s="16"/>
      <c r="I517" s="16"/>
      <c r="J517" s="16">
        <v>1310</v>
      </c>
      <c r="K517" s="16">
        <f t="shared" si="27"/>
        <v>-100</v>
      </c>
      <c r="L517" s="17">
        <f t="shared" si="26"/>
        <v>-7.6335877862595422E-2</v>
      </c>
    </row>
    <row r="518" spans="1:12" s="18" customFormat="1" outlineLevel="2">
      <c r="A518" s="12"/>
      <c r="B518" s="7" t="s">
        <v>681</v>
      </c>
      <c r="C518" s="12"/>
      <c r="D518" s="12"/>
      <c r="E518" s="12"/>
      <c r="F518" s="13"/>
      <c r="G518" s="16">
        <f>SUBTOTAL(9,G514:G517)</f>
        <v>7181.2209999999995</v>
      </c>
      <c r="H518" s="16"/>
      <c r="I518" s="16">
        <f>SUBTOTAL(9,I514:I517)</f>
        <v>0</v>
      </c>
      <c r="J518" s="16">
        <f>SUBTOTAL(9,J514:J517)</f>
        <v>7206.9409999999998</v>
      </c>
      <c r="K518" s="16">
        <f>SUBTOTAL(9,K514:K517)</f>
        <v>-25.720000000000027</v>
      </c>
      <c r="L518" s="17"/>
    </row>
    <row r="519" spans="1:12" s="18" customFormat="1" outlineLevel="3">
      <c r="A519" s="12" t="s">
        <v>402</v>
      </c>
      <c r="B519" s="12" t="s">
        <v>682</v>
      </c>
      <c r="C519" s="12" t="s">
        <v>407</v>
      </c>
      <c r="D519" s="12" t="s">
        <v>683</v>
      </c>
      <c r="E519" s="12" t="s">
        <v>684</v>
      </c>
      <c r="F519" s="13">
        <v>45884</v>
      </c>
      <c r="G519" s="16">
        <v>1966.5</v>
      </c>
      <c r="H519" s="16"/>
      <c r="I519" s="16"/>
      <c r="J519" s="16">
        <v>1966.5</v>
      </c>
      <c r="K519" s="16">
        <f t="shared" si="27"/>
        <v>0</v>
      </c>
      <c r="L519" s="17">
        <f t="shared" si="26"/>
        <v>0</v>
      </c>
    </row>
    <row r="520" spans="1:12" s="18" customFormat="1" outlineLevel="3">
      <c r="A520" s="12" t="s">
        <v>402</v>
      </c>
      <c r="B520" s="12" t="s">
        <v>682</v>
      </c>
      <c r="C520" s="12" t="s">
        <v>175</v>
      </c>
      <c r="D520" s="12" t="s">
        <v>685</v>
      </c>
      <c r="E520" s="12" t="s">
        <v>684</v>
      </c>
      <c r="F520" s="13">
        <v>45884</v>
      </c>
      <c r="G520" s="16">
        <v>4957</v>
      </c>
      <c r="H520" s="16"/>
      <c r="I520" s="16"/>
      <c r="J520" s="16">
        <v>4942</v>
      </c>
      <c r="K520" s="16">
        <f t="shared" si="27"/>
        <v>15</v>
      </c>
      <c r="L520" s="17">
        <f t="shared" si="26"/>
        <v>3.0352084176446781E-3</v>
      </c>
    </row>
    <row r="521" spans="1:12" s="18" customFormat="1" outlineLevel="3">
      <c r="A521" s="12" t="s">
        <v>402</v>
      </c>
      <c r="B521" s="12" t="s">
        <v>682</v>
      </c>
      <c r="C521" s="12" t="s">
        <v>141</v>
      </c>
      <c r="D521" s="12" t="s">
        <v>686</v>
      </c>
      <c r="E521" s="12" t="s">
        <v>684</v>
      </c>
      <c r="F521" s="13">
        <v>45884</v>
      </c>
      <c r="G521" s="16">
        <v>50</v>
      </c>
      <c r="H521" s="16"/>
      <c r="I521" s="16"/>
      <c r="J521" s="16">
        <v>50</v>
      </c>
      <c r="K521" s="16">
        <f t="shared" si="27"/>
        <v>0</v>
      </c>
      <c r="L521" s="17">
        <f t="shared" si="26"/>
        <v>0</v>
      </c>
    </row>
    <row r="522" spans="1:12" s="18" customFormat="1" outlineLevel="3">
      <c r="A522" s="12" t="s">
        <v>402</v>
      </c>
      <c r="B522" s="12" t="s">
        <v>682</v>
      </c>
      <c r="C522" s="12" t="s">
        <v>141</v>
      </c>
      <c r="D522" s="12" t="s">
        <v>141</v>
      </c>
      <c r="E522" s="12" t="s">
        <v>684</v>
      </c>
      <c r="F522" s="13">
        <v>45884</v>
      </c>
      <c r="G522" s="16">
        <v>2184.66</v>
      </c>
      <c r="H522" s="16"/>
      <c r="I522" s="16"/>
      <c r="J522" s="16">
        <v>2188.65</v>
      </c>
      <c r="K522" s="16">
        <f t="shared" si="27"/>
        <v>-3.9900000000002365</v>
      </c>
      <c r="L522" s="17">
        <f t="shared" si="26"/>
        <v>-1.8230416009870176E-3</v>
      </c>
    </row>
    <row r="523" spans="1:12" s="18" customFormat="1" outlineLevel="3">
      <c r="A523" s="12" t="s">
        <v>402</v>
      </c>
      <c r="B523" s="12" t="s">
        <v>682</v>
      </c>
      <c r="C523" s="12" t="s">
        <v>145</v>
      </c>
      <c r="D523" s="12" t="s">
        <v>145</v>
      </c>
      <c r="E523" s="12" t="s">
        <v>684</v>
      </c>
      <c r="F523" s="13">
        <v>45884</v>
      </c>
      <c r="G523" s="16">
        <v>978</v>
      </c>
      <c r="H523" s="16"/>
      <c r="I523" s="16"/>
      <c r="J523" s="16">
        <v>1017.99</v>
      </c>
      <c r="K523" s="16">
        <f t="shared" si="27"/>
        <v>-39.990000000000009</v>
      </c>
      <c r="L523" s="17">
        <f t="shared" si="26"/>
        <v>-3.928329354905255E-2</v>
      </c>
    </row>
    <row r="524" spans="1:12" s="18" customFormat="1" outlineLevel="3">
      <c r="A524" s="12" t="s">
        <v>402</v>
      </c>
      <c r="B524" s="12" t="s">
        <v>682</v>
      </c>
      <c r="C524" s="12" t="s">
        <v>131</v>
      </c>
      <c r="D524" s="12" t="s">
        <v>687</v>
      </c>
      <c r="E524" s="12" t="s">
        <v>684</v>
      </c>
      <c r="F524" s="13">
        <v>45884</v>
      </c>
      <c r="G524" s="16">
        <v>12149.4</v>
      </c>
      <c r="H524" s="16"/>
      <c r="I524" s="16"/>
      <c r="J524" s="16">
        <v>12149.4</v>
      </c>
      <c r="K524" s="16">
        <f t="shared" si="27"/>
        <v>0</v>
      </c>
      <c r="L524" s="17">
        <f t="shared" si="26"/>
        <v>0</v>
      </c>
    </row>
    <row r="525" spans="1:12" s="18" customFormat="1" outlineLevel="2">
      <c r="A525" s="12"/>
      <c r="B525" s="7" t="s">
        <v>688</v>
      </c>
      <c r="C525" s="12"/>
      <c r="D525" s="12"/>
      <c r="E525" s="12"/>
      <c r="F525" s="13"/>
      <c r="G525" s="16">
        <f>SUBTOTAL(9,G519:G524)</f>
        <v>22285.559999999998</v>
      </c>
      <c r="H525" s="16"/>
      <c r="I525" s="16">
        <f>SUBTOTAL(9,I519:I524)</f>
        <v>0</v>
      </c>
      <c r="J525" s="16">
        <f>SUBTOTAL(9,J519:J524)</f>
        <v>22314.54</v>
      </c>
      <c r="K525" s="16">
        <f>SUBTOTAL(9,K519:K524)</f>
        <v>-28.980000000000246</v>
      </c>
      <c r="L525" s="17"/>
    </row>
    <row r="526" spans="1:12" s="18" customFormat="1" outlineLevel="3">
      <c r="A526" s="12" t="s">
        <v>402</v>
      </c>
      <c r="B526" s="12" t="s">
        <v>689</v>
      </c>
      <c r="C526" s="12" t="s">
        <v>175</v>
      </c>
      <c r="D526" s="12" t="s">
        <v>175</v>
      </c>
      <c r="E526" s="12" t="s">
        <v>690</v>
      </c>
      <c r="F526" s="13">
        <v>45870</v>
      </c>
      <c r="G526" s="16">
        <v>1526</v>
      </c>
      <c r="H526" s="16"/>
      <c r="I526" s="16"/>
      <c r="J526" s="16">
        <v>1506</v>
      </c>
      <c r="K526" s="16">
        <f t="shared" si="27"/>
        <v>20</v>
      </c>
      <c r="L526" s="17">
        <f t="shared" ref="L526:L609" si="28">+K526/J526</f>
        <v>1.3280212483399735E-2</v>
      </c>
    </row>
    <row r="527" spans="1:12" s="18" customFormat="1" outlineLevel="3">
      <c r="A527" s="12" t="s">
        <v>402</v>
      </c>
      <c r="B527" s="12" t="s">
        <v>689</v>
      </c>
      <c r="C527" s="12" t="s">
        <v>141</v>
      </c>
      <c r="D527" s="12" t="s">
        <v>307</v>
      </c>
      <c r="E527" s="12" t="s">
        <v>690</v>
      </c>
      <c r="F527" s="13">
        <v>45870</v>
      </c>
      <c r="G527" s="16">
        <v>8115.0050000000001</v>
      </c>
      <c r="H527" s="16"/>
      <c r="I527" s="16"/>
      <c r="J527" s="16">
        <v>8107.4435000000003</v>
      </c>
      <c r="K527" s="16">
        <f t="shared" ref="K527:K610" si="29">+G527-J527</f>
        <v>7.5614999999997963</v>
      </c>
      <c r="L527" s="17">
        <f t="shared" si="28"/>
        <v>9.3266144870448936E-4</v>
      </c>
    </row>
    <row r="528" spans="1:12" s="18" customFormat="1" outlineLevel="3">
      <c r="A528" s="12" t="s">
        <v>402</v>
      </c>
      <c r="B528" s="12" t="s">
        <v>689</v>
      </c>
      <c r="C528" s="12" t="s">
        <v>145</v>
      </c>
      <c r="D528" s="12" t="s">
        <v>145</v>
      </c>
      <c r="E528" s="12" t="s">
        <v>690</v>
      </c>
      <c r="F528" s="13">
        <v>45870</v>
      </c>
      <c r="G528" s="16">
        <v>2112</v>
      </c>
      <c r="H528" s="16"/>
      <c r="I528" s="16"/>
      <c r="J528" s="16">
        <v>2135</v>
      </c>
      <c r="K528" s="16">
        <f t="shared" si="29"/>
        <v>-23</v>
      </c>
      <c r="L528" s="17">
        <f t="shared" si="28"/>
        <v>-1.0772833723653397E-2</v>
      </c>
    </row>
    <row r="529" spans="1:12" s="18" customFormat="1" outlineLevel="3">
      <c r="A529" s="12" t="s">
        <v>402</v>
      </c>
      <c r="B529" s="12" t="s">
        <v>689</v>
      </c>
      <c r="C529" s="12" t="s">
        <v>131</v>
      </c>
      <c r="D529" s="12" t="s">
        <v>131</v>
      </c>
      <c r="E529" s="12" t="s">
        <v>690</v>
      </c>
      <c r="F529" s="13">
        <v>45870</v>
      </c>
      <c r="G529" s="16">
        <v>4544.0050000000001</v>
      </c>
      <c r="H529" s="16"/>
      <c r="I529" s="16"/>
      <c r="J529" s="16">
        <v>4109</v>
      </c>
      <c r="K529" s="16">
        <f t="shared" si="29"/>
        <v>435.00500000000011</v>
      </c>
      <c r="L529" s="17">
        <f t="shared" si="28"/>
        <v>0.1058663908493551</v>
      </c>
    </row>
    <row r="530" spans="1:12" s="18" customFormat="1" outlineLevel="2">
      <c r="A530" s="12"/>
      <c r="B530" s="7" t="s">
        <v>691</v>
      </c>
      <c r="C530" s="12"/>
      <c r="D530" s="12"/>
      <c r="E530" s="12"/>
      <c r="F530" s="13"/>
      <c r="G530" s="16">
        <f>SUBTOTAL(9,G526:G529)</f>
        <v>16297.010000000002</v>
      </c>
      <c r="H530" s="16"/>
      <c r="I530" s="16">
        <f>SUBTOTAL(9,I526:I529)</f>
        <v>0</v>
      </c>
      <c r="J530" s="16">
        <f>SUBTOTAL(9,J526:J529)</f>
        <v>15857.443500000001</v>
      </c>
      <c r="K530" s="16">
        <f>SUBTOTAL(9,K526:K529)</f>
        <v>439.56649999999991</v>
      </c>
      <c r="L530" s="17"/>
    </row>
    <row r="531" spans="1:12" s="18" customFormat="1" outlineLevel="3">
      <c r="A531" s="12" t="s">
        <v>402</v>
      </c>
      <c r="B531" s="12" t="s">
        <v>692</v>
      </c>
      <c r="C531" s="12" t="s">
        <v>175</v>
      </c>
      <c r="D531" s="12" t="s">
        <v>693</v>
      </c>
      <c r="E531" s="12" t="s">
        <v>694</v>
      </c>
      <c r="F531" s="13">
        <v>45870</v>
      </c>
      <c r="G531" s="16">
        <v>70.599999999999994</v>
      </c>
      <c r="H531" s="16"/>
      <c r="I531" s="16"/>
      <c r="J531" s="16">
        <v>70.599999999999994</v>
      </c>
      <c r="K531" s="16">
        <f t="shared" si="29"/>
        <v>0</v>
      </c>
      <c r="L531" s="17">
        <f t="shared" si="28"/>
        <v>0</v>
      </c>
    </row>
    <row r="532" spans="1:12" s="18" customFormat="1" outlineLevel="3">
      <c r="A532" s="12" t="s">
        <v>402</v>
      </c>
      <c r="B532" s="12" t="s">
        <v>692</v>
      </c>
      <c r="C532" s="12" t="s">
        <v>141</v>
      </c>
      <c r="D532" s="12" t="s">
        <v>141</v>
      </c>
      <c r="E532" s="12" t="s">
        <v>694</v>
      </c>
      <c r="F532" s="13">
        <v>45870</v>
      </c>
      <c r="G532" s="16">
        <v>1800</v>
      </c>
      <c r="H532" s="16"/>
      <c r="I532" s="16"/>
      <c r="J532" s="16">
        <v>1780</v>
      </c>
      <c r="K532" s="16">
        <f t="shared" si="29"/>
        <v>20</v>
      </c>
      <c r="L532" s="17">
        <f t="shared" si="28"/>
        <v>1.1235955056179775E-2</v>
      </c>
    </row>
    <row r="533" spans="1:12" s="18" customFormat="1" outlineLevel="3">
      <c r="A533" s="12" t="s">
        <v>402</v>
      </c>
      <c r="B533" s="12" t="s">
        <v>692</v>
      </c>
      <c r="C533" s="12" t="s">
        <v>145</v>
      </c>
      <c r="D533" s="12" t="s">
        <v>145</v>
      </c>
      <c r="E533" s="12" t="s">
        <v>694</v>
      </c>
      <c r="F533" s="13">
        <v>45870</v>
      </c>
      <c r="G533" s="16">
        <v>2585</v>
      </c>
      <c r="H533" s="16"/>
      <c r="I533" s="16"/>
      <c r="J533" s="16">
        <v>2595</v>
      </c>
      <c r="K533" s="16">
        <f t="shared" si="29"/>
        <v>-10</v>
      </c>
      <c r="L533" s="17">
        <f t="shared" si="28"/>
        <v>-3.8535645472061657E-3</v>
      </c>
    </row>
    <row r="534" spans="1:12" s="18" customFormat="1" outlineLevel="3">
      <c r="A534" s="12" t="s">
        <v>402</v>
      </c>
      <c r="B534" s="12" t="s">
        <v>692</v>
      </c>
      <c r="C534" s="12" t="s">
        <v>131</v>
      </c>
      <c r="D534" s="12" t="s">
        <v>695</v>
      </c>
      <c r="E534" s="12" t="s">
        <v>694</v>
      </c>
      <c r="F534" s="13">
        <v>45870</v>
      </c>
      <c r="G534" s="16">
        <v>4274.5</v>
      </c>
      <c r="H534" s="16"/>
      <c r="I534" s="16"/>
      <c r="J534" s="16">
        <v>4274.5</v>
      </c>
      <c r="K534" s="16">
        <f t="shared" si="29"/>
        <v>0</v>
      </c>
      <c r="L534" s="17">
        <f t="shared" si="28"/>
        <v>0</v>
      </c>
    </row>
    <row r="535" spans="1:12" s="18" customFormat="1" outlineLevel="2">
      <c r="A535" s="12"/>
      <c r="B535" s="7" t="s">
        <v>696</v>
      </c>
      <c r="C535" s="12"/>
      <c r="D535" s="12"/>
      <c r="E535" s="12"/>
      <c r="F535" s="13"/>
      <c r="G535" s="16">
        <f>SUBTOTAL(9,G531:G534)</f>
        <v>8730.1</v>
      </c>
      <c r="H535" s="16"/>
      <c r="I535" s="16">
        <f>SUBTOTAL(9,I531:I534)</f>
        <v>0</v>
      </c>
      <c r="J535" s="16">
        <f>SUBTOTAL(9,J531:J534)</f>
        <v>8720.1</v>
      </c>
      <c r="K535" s="16">
        <f>SUBTOTAL(9,K531:K534)</f>
        <v>10</v>
      </c>
      <c r="L535" s="17"/>
    </row>
    <row r="536" spans="1:12" s="18" customFormat="1" outlineLevel="3">
      <c r="A536" s="12" t="s">
        <v>402</v>
      </c>
      <c r="B536" s="12" t="s">
        <v>697</v>
      </c>
      <c r="C536" s="12" t="s">
        <v>175</v>
      </c>
      <c r="D536" s="12" t="s">
        <v>175</v>
      </c>
      <c r="E536" s="12" t="s">
        <v>698</v>
      </c>
      <c r="F536" s="13">
        <v>45870</v>
      </c>
      <c r="G536" s="16">
        <v>773.3</v>
      </c>
      <c r="H536" s="16"/>
      <c r="I536" s="16"/>
      <c r="J536" s="16">
        <v>668.8</v>
      </c>
      <c r="K536" s="16">
        <f t="shared" si="29"/>
        <v>104.5</v>
      </c>
      <c r="L536" s="17">
        <f t="shared" si="28"/>
        <v>0.15625</v>
      </c>
    </row>
    <row r="537" spans="1:12" s="18" customFormat="1" outlineLevel="3">
      <c r="A537" s="12" t="s">
        <v>402</v>
      </c>
      <c r="B537" s="12" t="s">
        <v>697</v>
      </c>
      <c r="C537" s="12" t="s">
        <v>145</v>
      </c>
      <c r="D537" s="12" t="s">
        <v>145</v>
      </c>
      <c r="E537" s="12" t="s">
        <v>698</v>
      </c>
      <c r="F537" s="13">
        <v>45870</v>
      </c>
      <c r="G537" s="16">
        <v>1110</v>
      </c>
      <c r="H537" s="16"/>
      <c r="I537" s="16"/>
      <c r="J537" s="16">
        <v>1119</v>
      </c>
      <c r="K537" s="16">
        <f t="shared" si="29"/>
        <v>-9</v>
      </c>
      <c r="L537" s="17">
        <f t="shared" si="28"/>
        <v>-8.0428954423592495E-3</v>
      </c>
    </row>
    <row r="538" spans="1:12" s="18" customFormat="1" outlineLevel="3">
      <c r="A538" s="12" t="s">
        <v>402</v>
      </c>
      <c r="B538" s="12" t="s">
        <v>697</v>
      </c>
      <c r="C538" s="12" t="s">
        <v>131</v>
      </c>
      <c r="D538" s="12" t="s">
        <v>131</v>
      </c>
      <c r="E538" s="12" t="s">
        <v>698</v>
      </c>
      <c r="F538" s="13">
        <v>45870</v>
      </c>
      <c r="G538" s="16">
        <v>2243</v>
      </c>
      <c r="H538" s="16"/>
      <c r="I538" s="16"/>
      <c r="J538" s="16">
        <v>2243</v>
      </c>
      <c r="K538" s="16">
        <f t="shared" si="29"/>
        <v>0</v>
      </c>
      <c r="L538" s="17">
        <f t="shared" si="28"/>
        <v>0</v>
      </c>
    </row>
    <row r="539" spans="1:12" s="18" customFormat="1" outlineLevel="2">
      <c r="A539" s="12"/>
      <c r="B539" s="7" t="s">
        <v>699</v>
      </c>
      <c r="C539" s="12"/>
      <c r="D539" s="12"/>
      <c r="E539" s="12"/>
      <c r="F539" s="13"/>
      <c r="G539" s="16">
        <f>SUBTOTAL(9,G536:G538)</f>
        <v>4126.3</v>
      </c>
      <c r="H539" s="16"/>
      <c r="I539" s="16">
        <f>SUBTOTAL(9,I536:I538)</f>
        <v>0</v>
      </c>
      <c r="J539" s="16">
        <f>SUBTOTAL(9,J536:J538)</f>
        <v>4030.8</v>
      </c>
      <c r="K539" s="16">
        <f>SUBTOTAL(9,K536:K538)</f>
        <v>95.5</v>
      </c>
      <c r="L539" s="17"/>
    </row>
    <row r="540" spans="1:12" s="18" customFormat="1" outlineLevel="3">
      <c r="A540" s="12" t="s">
        <v>402</v>
      </c>
      <c r="B540" s="12" t="s">
        <v>700</v>
      </c>
      <c r="C540" s="12" t="s">
        <v>131</v>
      </c>
      <c r="D540" s="12" t="s">
        <v>701</v>
      </c>
      <c r="E540" s="12" t="s">
        <v>702</v>
      </c>
      <c r="F540" s="13">
        <v>45870</v>
      </c>
      <c r="G540" s="16">
        <v>1380.6</v>
      </c>
      <c r="H540" s="16"/>
      <c r="I540" s="16"/>
      <c r="J540" s="16">
        <v>1380.6</v>
      </c>
      <c r="K540" s="16">
        <f t="shared" si="29"/>
        <v>0</v>
      </c>
      <c r="L540" s="17">
        <f t="shared" si="28"/>
        <v>0</v>
      </c>
    </row>
    <row r="541" spans="1:12" s="18" customFormat="1" outlineLevel="2">
      <c r="A541" s="12"/>
      <c r="B541" s="7" t="s">
        <v>703</v>
      </c>
      <c r="C541" s="12"/>
      <c r="D541" s="12"/>
      <c r="E541" s="12"/>
      <c r="F541" s="13"/>
      <c r="G541" s="16">
        <f>SUBTOTAL(9,G540:G540)</f>
        <v>1380.6</v>
      </c>
      <c r="H541" s="16"/>
      <c r="I541" s="16">
        <f>SUBTOTAL(9,I540:I540)</f>
        <v>0</v>
      </c>
      <c r="J541" s="16">
        <f>SUBTOTAL(9,J540:J540)</f>
        <v>1380.6</v>
      </c>
      <c r="K541" s="16">
        <f>SUBTOTAL(9,K540:K540)</f>
        <v>0</v>
      </c>
      <c r="L541" s="17"/>
    </row>
    <row r="542" spans="1:12" s="18" customFormat="1" outlineLevel="3">
      <c r="A542" s="12" t="s">
        <v>402</v>
      </c>
      <c r="B542" s="12" t="s">
        <v>704</v>
      </c>
      <c r="C542" s="12" t="s">
        <v>131</v>
      </c>
      <c r="D542" s="12" t="s">
        <v>705</v>
      </c>
      <c r="E542" s="12" t="s">
        <v>706</v>
      </c>
      <c r="F542" s="13">
        <v>45870</v>
      </c>
      <c r="G542" s="16">
        <v>1542.83</v>
      </c>
      <c r="H542" s="16"/>
      <c r="I542" s="16"/>
      <c r="J542" s="16">
        <v>1542.83</v>
      </c>
      <c r="K542" s="16">
        <f t="shared" si="29"/>
        <v>0</v>
      </c>
      <c r="L542" s="17">
        <f t="shared" si="28"/>
        <v>0</v>
      </c>
    </row>
    <row r="543" spans="1:12" s="18" customFormat="1" outlineLevel="2">
      <c r="A543" s="12"/>
      <c r="B543" s="7" t="s">
        <v>707</v>
      </c>
      <c r="C543" s="12"/>
      <c r="D543" s="12"/>
      <c r="E543" s="12"/>
      <c r="F543" s="13"/>
      <c r="G543" s="16">
        <f>SUBTOTAL(9,G542:G542)</f>
        <v>1542.83</v>
      </c>
      <c r="H543" s="16"/>
      <c r="I543" s="16">
        <f>SUBTOTAL(9,I542:I542)</f>
        <v>0</v>
      </c>
      <c r="J543" s="16">
        <f>SUBTOTAL(9,J542:J542)</f>
        <v>1542.83</v>
      </c>
      <c r="K543" s="16">
        <f>SUBTOTAL(9,K542:K542)</f>
        <v>0</v>
      </c>
      <c r="L543" s="17"/>
    </row>
    <row r="544" spans="1:12" s="18" customFormat="1" outlineLevel="3">
      <c r="A544" s="12" t="s">
        <v>402</v>
      </c>
      <c r="B544" s="12" t="s">
        <v>708</v>
      </c>
      <c r="C544" s="12" t="s">
        <v>175</v>
      </c>
      <c r="D544" s="12" t="s">
        <v>176</v>
      </c>
      <c r="E544" s="12" t="s">
        <v>709</v>
      </c>
      <c r="F544" s="13">
        <v>45870</v>
      </c>
      <c r="G544" s="16">
        <v>330.72</v>
      </c>
      <c r="H544" s="16"/>
      <c r="I544" s="16"/>
      <c r="J544" s="16">
        <v>330.72</v>
      </c>
      <c r="K544" s="16">
        <f t="shared" si="29"/>
        <v>0</v>
      </c>
      <c r="L544" s="17">
        <f t="shared" si="28"/>
        <v>0</v>
      </c>
    </row>
    <row r="545" spans="1:12" s="18" customFormat="1" outlineLevel="3">
      <c r="A545" s="12" t="s">
        <v>402</v>
      </c>
      <c r="B545" s="12" t="s">
        <v>708</v>
      </c>
      <c r="C545" s="12" t="s">
        <v>141</v>
      </c>
      <c r="D545" s="12" t="s">
        <v>141</v>
      </c>
      <c r="E545" s="12" t="s">
        <v>709</v>
      </c>
      <c r="F545" s="13">
        <v>45870</v>
      </c>
      <c r="G545" s="16">
        <v>502.3372</v>
      </c>
      <c r="H545" s="16"/>
      <c r="I545" s="16"/>
      <c r="J545" s="16">
        <v>495.75400000000002</v>
      </c>
      <c r="K545" s="16">
        <f t="shared" si="29"/>
        <v>6.5831999999999766</v>
      </c>
      <c r="L545" s="17">
        <f t="shared" si="28"/>
        <v>1.3279166683476031E-2</v>
      </c>
    </row>
    <row r="546" spans="1:12" s="18" customFormat="1" outlineLevel="3">
      <c r="A546" s="12" t="s">
        <v>402</v>
      </c>
      <c r="B546" s="12" t="s">
        <v>708</v>
      </c>
      <c r="C546" s="12" t="s">
        <v>145</v>
      </c>
      <c r="D546" s="12" t="s">
        <v>145</v>
      </c>
      <c r="E546" s="12" t="s">
        <v>709</v>
      </c>
      <c r="F546" s="13">
        <v>45870</v>
      </c>
      <c r="G546" s="16">
        <v>1271.54</v>
      </c>
      <c r="H546" s="16"/>
      <c r="I546" s="16"/>
      <c r="J546" s="16">
        <v>1275.22</v>
      </c>
      <c r="K546" s="16">
        <f t="shared" si="29"/>
        <v>-3.6800000000000637</v>
      </c>
      <c r="L546" s="17">
        <f t="shared" si="28"/>
        <v>-2.8857765718856851E-3</v>
      </c>
    </row>
    <row r="547" spans="1:12" s="18" customFormat="1" outlineLevel="3">
      <c r="A547" s="12" t="s">
        <v>402</v>
      </c>
      <c r="B547" s="12" t="s">
        <v>708</v>
      </c>
      <c r="C547" s="12" t="s">
        <v>131</v>
      </c>
      <c r="D547" s="12" t="s">
        <v>710</v>
      </c>
      <c r="E547" s="12" t="s">
        <v>709</v>
      </c>
      <c r="F547" s="13">
        <v>45870</v>
      </c>
      <c r="G547" s="16">
        <v>1380.6027999999999</v>
      </c>
      <c r="H547" s="16"/>
      <c r="I547" s="16"/>
      <c r="J547" s="16">
        <v>1380.6</v>
      </c>
      <c r="K547" s="16">
        <f t="shared" si="29"/>
        <v>2.7999999999792635E-3</v>
      </c>
      <c r="L547" s="17">
        <f t="shared" si="28"/>
        <v>2.0281037230039575E-6</v>
      </c>
    </row>
    <row r="548" spans="1:12" s="18" customFormat="1" outlineLevel="2">
      <c r="A548" s="12"/>
      <c r="B548" s="7" t="s">
        <v>711</v>
      </c>
      <c r="C548" s="12"/>
      <c r="D548" s="12"/>
      <c r="E548" s="12"/>
      <c r="F548" s="13"/>
      <c r="G548" s="16">
        <f>SUBTOTAL(9,G544:G547)</f>
        <v>3485.2</v>
      </c>
      <c r="H548" s="16"/>
      <c r="I548" s="16">
        <f>SUBTOTAL(9,I544:I547)</f>
        <v>0</v>
      </c>
      <c r="J548" s="16">
        <f>SUBTOTAL(9,J544:J547)</f>
        <v>3482.2939999999999</v>
      </c>
      <c r="K548" s="16">
        <f>SUBTOTAL(9,K544:K547)</f>
        <v>2.9059999999998922</v>
      </c>
      <c r="L548" s="17"/>
    </row>
    <row r="549" spans="1:12" s="18" customFormat="1" outlineLevel="3">
      <c r="A549" s="12" t="s">
        <v>402</v>
      </c>
      <c r="B549" s="12" t="s">
        <v>712</v>
      </c>
      <c r="C549" s="12" t="s">
        <v>131</v>
      </c>
      <c r="D549" s="12" t="s">
        <v>713</v>
      </c>
      <c r="E549" s="12" t="s">
        <v>714</v>
      </c>
      <c r="F549" s="13">
        <v>45870</v>
      </c>
      <c r="G549" s="16">
        <v>1380.6</v>
      </c>
      <c r="H549" s="16"/>
      <c r="I549" s="16"/>
      <c r="J549" s="16">
        <v>1380.6</v>
      </c>
      <c r="K549" s="16">
        <f t="shared" si="29"/>
        <v>0</v>
      </c>
      <c r="L549" s="17">
        <f t="shared" si="28"/>
        <v>0</v>
      </c>
    </row>
    <row r="550" spans="1:12" s="18" customFormat="1" outlineLevel="2">
      <c r="A550" s="12"/>
      <c r="B550" s="7" t="s">
        <v>715</v>
      </c>
      <c r="C550" s="12"/>
      <c r="D550" s="12"/>
      <c r="E550" s="12"/>
      <c r="F550" s="13"/>
      <c r="G550" s="16">
        <f>SUBTOTAL(9,G549:G549)</f>
        <v>1380.6</v>
      </c>
      <c r="H550" s="16"/>
      <c r="I550" s="16">
        <f>SUBTOTAL(9,I549:I549)</f>
        <v>0</v>
      </c>
      <c r="J550" s="16">
        <f>SUBTOTAL(9,J549:J549)</f>
        <v>1380.6</v>
      </c>
      <c r="K550" s="16">
        <f>SUBTOTAL(9,K549:K549)</f>
        <v>0</v>
      </c>
      <c r="L550" s="17"/>
    </row>
    <row r="551" spans="1:12" s="18" customFormat="1" outlineLevel="3">
      <c r="A551" s="12" t="s">
        <v>402</v>
      </c>
      <c r="B551" s="12" t="s">
        <v>716</v>
      </c>
      <c r="C551" s="12" t="s">
        <v>141</v>
      </c>
      <c r="D551" s="12" t="s">
        <v>141</v>
      </c>
      <c r="E551" s="12" t="s">
        <v>717</v>
      </c>
      <c r="F551" s="13">
        <v>45870</v>
      </c>
      <c r="G551" s="16">
        <v>447.88260000000002</v>
      </c>
      <c r="H551" s="16"/>
      <c r="I551" s="16"/>
      <c r="J551" s="16">
        <v>445.23239999999998</v>
      </c>
      <c r="K551" s="16">
        <f t="shared" si="29"/>
        <v>2.6502000000000407</v>
      </c>
      <c r="L551" s="17">
        <f t="shared" si="28"/>
        <v>5.9523969953670054E-3</v>
      </c>
    </row>
    <row r="552" spans="1:12" s="18" customFormat="1" outlineLevel="3">
      <c r="A552" s="12" t="s">
        <v>402</v>
      </c>
      <c r="B552" s="12" t="s">
        <v>716</v>
      </c>
      <c r="C552" s="12" t="s">
        <v>145</v>
      </c>
      <c r="D552" s="12" t="s">
        <v>145</v>
      </c>
      <c r="E552" s="12" t="s">
        <v>717</v>
      </c>
      <c r="F552" s="13">
        <v>45870</v>
      </c>
      <c r="G552" s="16">
        <v>2454</v>
      </c>
      <c r="H552" s="16"/>
      <c r="I552" s="16"/>
      <c r="J552" s="16">
        <v>2440</v>
      </c>
      <c r="K552" s="16">
        <f t="shared" si="29"/>
        <v>14</v>
      </c>
      <c r="L552" s="17">
        <f t="shared" si="28"/>
        <v>5.7377049180327867E-3</v>
      </c>
    </row>
    <row r="553" spans="1:12" s="18" customFormat="1" outlineLevel="3">
      <c r="A553" s="12" t="s">
        <v>402</v>
      </c>
      <c r="B553" s="12" t="s">
        <v>716</v>
      </c>
      <c r="C553" s="12" t="s">
        <v>131</v>
      </c>
      <c r="D553" s="12" t="s">
        <v>131</v>
      </c>
      <c r="E553" s="12" t="s">
        <v>717</v>
      </c>
      <c r="F553" s="13">
        <v>45870</v>
      </c>
      <c r="G553" s="16">
        <v>5214</v>
      </c>
      <c r="H553" s="16"/>
      <c r="I553" s="16"/>
      <c r="J553" s="16">
        <v>4394</v>
      </c>
      <c r="K553" s="16">
        <f t="shared" si="29"/>
        <v>820</v>
      </c>
      <c r="L553" s="17">
        <f t="shared" si="28"/>
        <v>0.18661811561219846</v>
      </c>
    </row>
    <row r="554" spans="1:12" s="18" customFormat="1" outlineLevel="2">
      <c r="A554" s="12"/>
      <c r="B554" s="7" t="s">
        <v>718</v>
      </c>
      <c r="C554" s="12"/>
      <c r="D554" s="12"/>
      <c r="E554" s="12"/>
      <c r="F554" s="13"/>
      <c r="G554" s="16">
        <f>SUBTOTAL(9,G551:G553)</f>
        <v>8115.8825999999999</v>
      </c>
      <c r="H554" s="16"/>
      <c r="I554" s="16">
        <f>SUBTOTAL(9,I551:I553)</f>
        <v>0</v>
      </c>
      <c r="J554" s="16">
        <f>SUBTOTAL(9,J551:J553)</f>
        <v>7279.2323999999999</v>
      </c>
      <c r="K554" s="16">
        <f>SUBTOTAL(9,K551:K553)</f>
        <v>836.65020000000004</v>
      </c>
      <c r="L554" s="17"/>
    </row>
    <row r="555" spans="1:12" s="18" customFormat="1" outlineLevel="3">
      <c r="A555" s="12" t="s">
        <v>402</v>
      </c>
      <c r="B555" s="12" t="s">
        <v>719</v>
      </c>
      <c r="C555" s="12" t="s">
        <v>175</v>
      </c>
      <c r="D555" s="12" t="s">
        <v>720</v>
      </c>
      <c r="E555" s="12" t="s">
        <v>721</v>
      </c>
      <c r="F555" s="13">
        <v>45870</v>
      </c>
      <c r="G555" s="16">
        <v>3191.2</v>
      </c>
      <c r="H555" s="16"/>
      <c r="I555" s="16"/>
      <c r="J555" s="16">
        <v>3191.2</v>
      </c>
      <c r="K555" s="16">
        <f t="shared" si="29"/>
        <v>0</v>
      </c>
      <c r="L555" s="17">
        <f t="shared" si="28"/>
        <v>0</v>
      </c>
    </row>
    <row r="556" spans="1:12" s="18" customFormat="1" outlineLevel="3">
      <c r="A556" s="12" t="s">
        <v>402</v>
      </c>
      <c r="B556" s="12" t="s">
        <v>719</v>
      </c>
      <c r="C556" s="12" t="s">
        <v>141</v>
      </c>
      <c r="D556" s="12" t="s">
        <v>141</v>
      </c>
      <c r="E556" s="12" t="s">
        <v>721</v>
      </c>
      <c r="F556" s="13">
        <v>45870</v>
      </c>
      <c r="G556" s="16">
        <v>953.13520000000005</v>
      </c>
      <c r="H556" s="16"/>
      <c r="I556" s="16"/>
      <c r="J556" s="16">
        <v>960.11180000000002</v>
      </c>
      <c r="K556" s="16">
        <f t="shared" si="29"/>
        <v>-6.9765999999999622</v>
      </c>
      <c r="L556" s="17">
        <f t="shared" si="28"/>
        <v>-7.266445428542761E-3</v>
      </c>
    </row>
    <row r="557" spans="1:12" s="18" customFormat="1" outlineLevel="3">
      <c r="A557" s="12" t="s">
        <v>402</v>
      </c>
      <c r="B557" s="12" t="s">
        <v>719</v>
      </c>
      <c r="C557" s="12" t="s">
        <v>145</v>
      </c>
      <c r="D557" s="12" t="s">
        <v>145</v>
      </c>
      <c r="E557" s="12" t="s">
        <v>721</v>
      </c>
      <c r="F557" s="13">
        <v>45870</v>
      </c>
      <c r="G557" s="16">
        <v>717.22</v>
      </c>
      <c r="H557" s="16"/>
      <c r="I557" s="16"/>
      <c r="J557" s="16">
        <v>725.19</v>
      </c>
      <c r="K557" s="16">
        <f t="shared" si="29"/>
        <v>-7.9700000000000273</v>
      </c>
      <c r="L557" s="17">
        <f t="shared" si="28"/>
        <v>-1.0990223251837487E-2</v>
      </c>
    </row>
    <row r="558" spans="1:12" s="18" customFormat="1" outlineLevel="3">
      <c r="A558" s="12" t="s">
        <v>402</v>
      </c>
      <c r="B558" s="12" t="s">
        <v>719</v>
      </c>
      <c r="C558" s="12" t="s">
        <v>131</v>
      </c>
      <c r="D558" s="12" t="s">
        <v>722</v>
      </c>
      <c r="E558" s="12" t="s">
        <v>721</v>
      </c>
      <c r="F558" s="13">
        <v>45870</v>
      </c>
      <c r="G558" s="16">
        <v>2792.0947999999999</v>
      </c>
      <c r="H558" s="16"/>
      <c r="I558" s="16"/>
      <c r="J558" s="16">
        <v>2792.09</v>
      </c>
      <c r="K558" s="16">
        <f t="shared" si="29"/>
        <v>4.7999999997045961E-3</v>
      </c>
      <c r="L558" s="17">
        <f t="shared" si="28"/>
        <v>1.7191422911527192E-6</v>
      </c>
    </row>
    <row r="559" spans="1:12" s="18" customFormat="1" outlineLevel="2">
      <c r="A559" s="12"/>
      <c r="B559" s="7" t="s">
        <v>723</v>
      </c>
      <c r="C559" s="12"/>
      <c r="D559" s="12"/>
      <c r="E559" s="12"/>
      <c r="F559" s="13"/>
      <c r="G559" s="16">
        <f>SUBTOTAL(9,G555:G558)</f>
        <v>7653.65</v>
      </c>
      <c r="H559" s="16"/>
      <c r="I559" s="16">
        <f>SUBTOTAL(9,I555:I558)</f>
        <v>0</v>
      </c>
      <c r="J559" s="16">
        <f>SUBTOTAL(9,J555:J558)</f>
        <v>7668.5918000000001</v>
      </c>
      <c r="K559" s="16">
        <f>SUBTOTAL(9,K555:K558)</f>
        <v>-14.941800000000285</v>
      </c>
      <c r="L559" s="17"/>
    </row>
    <row r="560" spans="1:12" s="18" customFormat="1" outlineLevel="3">
      <c r="A560" s="12" t="s">
        <v>402</v>
      </c>
      <c r="B560" s="12" t="s">
        <v>724</v>
      </c>
      <c r="C560" s="12" t="s">
        <v>407</v>
      </c>
      <c r="D560" s="12" t="s">
        <v>407</v>
      </c>
      <c r="E560" s="12" t="s">
        <v>725</v>
      </c>
      <c r="F560" s="13">
        <v>45870</v>
      </c>
      <c r="G560" s="16">
        <v>700</v>
      </c>
      <c r="H560" s="16"/>
      <c r="I560" s="16"/>
      <c r="J560" s="16">
        <v>700</v>
      </c>
      <c r="K560" s="16">
        <f t="shared" si="29"/>
        <v>0</v>
      </c>
      <c r="L560" s="17">
        <f t="shared" si="28"/>
        <v>0</v>
      </c>
    </row>
    <row r="561" spans="1:12" s="18" customFormat="1" outlineLevel="3">
      <c r="A561" s="12" t="s">
        <v>402</v>
      </c>
      <c r="B561" s="12" t="s">
        <v>724</v>
      </c>
      <c r="C561" s="12" t="s">
        <v>175</v>
      </c>
      <c r="D561" s="12" t="s">
        <v>726</v>
      </c>
      <c r="E561" s="12" t="s">
        <v>725</v>
      </c>
      <c r="F561" s="13">
        <v>45870</v>
      </c>
      <c r="G561" s="16">
        <v>203.5</v>
      </c>
      <c r="H561" s="16"/>
      <c r="I561" s="16"/>
      <c r="J561" s="16">
        <v>191</v>
      </c>
      <c r="K561" s="16">
        <f t="shared" si="29"/>
        <v>12.5</v>
      </c>
      <c r="L561" s="17">
        <f t="shared" si="28"/>
        <v>6.5445026178010471E-2</v>
      </c>
    </row>
    <row r="562" spans="1:12" s="18" customFormat="1" outlineLevel="3">
      <c r="A562" s="12" t="s">
        <v>402</v>
      </c>
      <c r="B562" s="12" t="s">
        <v>724</v>
      </c>
      <c r="C562" s="12" t="s">
        <v>141</v>
      </c>
      <c r="D562" s="12" t="s">
        <v>141</v>
      </c>
      <c r="E562" s="12" t="s">
        <v>725</v>
      </c>
      <c r="F562" s="13">
        <v>45870</v>
      </c>
      <c r="G562" s="16">
        <v>10</v>
      </c>
      <c r="H562" s="16"/>
      <c r="I562" s="16"/>
      <c r="J562" s="16">
        <v>10</v>
      </c>
      <c r="K562" s="16">
        <f t="shared" si="29"/>
        <v>0</v>
      </c>
      <c r="L562" s="17">
        <f t="shared" si="28"/>
        <v>0</v>
      </c>
    </row>
    <row r="563" spans="1:12" s="18" customFormat="1" outlineLevel="3">
      <c r="A563" s="12" t="s">
        <v>402</v>
      </c>
      <c r="B563" s="12" t="s">
        <v>724</v>
      </c>
      <c r="C563" s="12" t="s">
        <v>145</v>
      </c>
      <c r="D563" s="12" t="s">
        <v>145</v>
      </c>
      <c r="E563" s="12" t="s">
        <v>725</v>
      </c>
      <c r="F563" s="13">
        <v>45870</v>
      </c>
      <c r="G563" s="16">
        <v>292</v>
      </c>
      <c r="H563" s="16"/>
      <c r="I563" s="16"/>
      <c r="J563" s="16">
        <v>292</v>
      </c>
      <c r="K563" s="16">
        <f t="shared" si="29"/>
        <v>0</v>
      </c>
      <c r="L563" s="17">
        <f t="shared" si="28"/>
        <v>0</v>
      </c>
    </row>
    <row r="564" spans="1:12" s="18" customFormat="1" outlineLevel="3">
      <c r="A564" s="12" t="s">
        <v>402</v>
      </c>
      <c r="B564" s="12" t="s">
        <v>724</v>
      </c>
      <c r="C564" s="12" t="s">
        <v>131</v>
      </c>
      <c r="D564" s="12" t="s">
        <v>131</v>
      </c>
      <c r="E564" s="12" t="s">
        <v>725</v>
      </c>
      <c r="F564" s="13">
        <v>45870</v>
      </c>
      <c r="G564" s="16">
        <v>1949.38</v>
      </c>
      <c r="H564" s="16"/>
      <c r="I564" s="16"/>
      <c r="J564" s="16">
        <v>1949.38</v>
      </c>
      <c r="K564" s="16">
        <f t="shared" si="29"/>
        <v>0</v>
      </c>
      <c r="L564" s="17">
        <f t="shared" si="28"/>
        <v>0</v>
      </c>
    </row>
    <row r="565" spans="1:12" s="18" customFormat="1" outlineLevel="2">
      <c r="A565" s="12"/>
      <c r="B565" s="7" t="s">
        <v>727</v>
      </c>
      <c r="C565" s="12"/>
      <c r="D565" s="12"/>
      <c r="E565" s="12"/>
      <c r="F565" s="13"/>
      <c r="G565" s="16">
        <f>SUBTOTAL(9,G560:G564)</f>
        <v>3154.88</v>
      </c>
      <c r="H565" s="16"/>
      <c r="I565" s="16">
        <f>SUBTOTAL(9,I560:I564)</f>
        <v>0</v>
      </c>
      <c r="J565" s="16">
        <f>SUBTOTAL(9,J560:J564)</f>
        <v>3142.38</v>
      </c>
      <c r="K565" s="16">
        <f>SUBTOTAL(9,K560:K564)</f>
        <v>12.5</v>
      </c>
      <c r="L565" s="17"/>
    </row>
    <row r="566" spans="1:12" s="18" customFormat="1" outlineLevel="3">
      <c r="A566" s="12" t="s">
        <v>402</v>
      </c>
      <c r="B566" s="12" t="s">
        <v>728</v>
      </c>
      <c r="C566" s="12" t="s">
        <v>407</v>
      </c>
      <c r="D566" s="12" t="s">
        <v>407</v>
      </c>
      <c r="E566" s="12" t="s">
        <v>729</v>
      </c>
      <c r="F566" s="13">
        <v>45884</v>
      </c>
      <c r="G566" s="16">
        <v>350</v>
      </c>
      <c r="H566" s="16"/>
      <c r="I566" s="16"/>
      <c r="J566" s="16">
        <v>350</v>
      </c>
      <c r="K566" s="16">
        <f t="shared" si="29"/>
        <v>0</v>
      </c>
      <c r="L566" s="17">
        <f t="shared" si="28"/>
        <v>0</v>
      </c>
    </row>
    <row r="567" spans="1:12" s="18" customFormat="1" outlineLevel="3">
      <c r="A567" s="12" t="s">
        <v>402</v>
      </c>
      <c r="B567" s="12" t="s">
        <v>728</v>
      </c>
      <c r="C567" s="12" t="s">
        <v>141</v>
      </c>
      <c r="D567" s="12" t="s">
        <v>141</v>
      </c>
      <c r="E567" s="12" t="s">
        <v>729</v>
      </c>
      <c r="F567" s="13">
        <v>45884</v>
      </c>
      <c r="G567" s="16">
        <v>738.25</v>
      </c>
      <c r="H567" s="16"/>
      <c r="I567" s="16"/>
      <c r="J567" s="16">
        <v>738.25</v>
      </c>
      <c r="K567" s="16">
        <f t="shared" si="29"/>
        <v>0</v>
      </c>
      <c r="L567" s="17">
        <f t="shared" si="28"/>
        <v>0</v>
      </c>
    </row>
    <row r="568" spans="1:12" s="18" customFormat="1" outlineLevel="3">
      <c r="A568" s="12" t="s">
        <v>402</v>
      </c>
      <c r="B568" s="12" t="s">
        <v>728</v>
      </c>
      <c r="C568" s="12" t="s">
        <v>145</v>
      </c>
      <c r="D568" s="12" t="s">
        <v>145</v>
      </c>
      <c r="E568" s="12" t="s">
        <v>729</v>
      </c>
      <c r="F568" s="13">
        <v>45884</v>
      </c>
      <c r="G568" s="16">
        <v>359.1</v>
      </c>
      <c r="H568" s="16"/>
      <c r="I568" s="16"/>
      <c r="J568" s="16">
        <v>303.10000000000002</v>
      </c>
      <c r="K568" s="16">
        <f t="shared" si="29"/>
        <v>56</v>
      </c>
      <c r="L568" s="17">
        <f t="shared" si="28"/>
        <v>0.18475750577367203</v>
      </c>
    </row>
    <row r="569" spans="1:12" s="18" customFormat="1" outlineLevel="2">
      <c r="A569" s="12"/>
      <c r="B569" s="7" t="s">
        <v>730</v>
      </c>
      <c r="C569" s="12"/>
      <c r="D569" s="12"/>
      <c r="E569" s="12"/>
      <c r="F569" s="13"/>
      <c r="G569" s="16">
        <f>SUBTOTAL(9,G566:G568)</f>
        <v>1447.35</v>
      </c>
      <c r="H569" s="16"/>
      <c r="I569" s="16">
        <f>SUBTOTAL(9,I566:I568)</f>
        <v>0</v>
      </c>
      <c r="J569" s="16">
        <f>SUBTOTAL(9,J566:J568)</f>
        <v>1391.35</v>
      </c>
      <c r="K569" s="16">
        <f>SUBTOTAL(9,K566:K568)</f>
        <v>56</v>
      </c>
      <c r="L569" s="17"/>
    </row>
    <row r="570" spans="1:12" s="18" customFormat="1" outlineLevel="3">
      <c r="A570" s="12" t="s">
        <v>402</v>
      </c>
      <c r="B570" s="12" t="s">
        <v>731</v>
      </c>
      <c r="C570" s="12" t="s">
        <v>175</v>
      </c>
      <c r="D570" s="12" t="s">
        <v>373</v>
      </c>
      <c r="E570" s="12" t="s">
        <v>732</v>
      </c>
      <c r="F570" s="13">
        <v>45870</v>
      </c>
      <c r="G570" s="16">
        <v>981.6</v>
      </c>
      <c r="H570" s="16"/>
      <c r="I570" s="16"/>
      <c r="J570" s="16">
        <v>928.8</v>
      </c>
      <c r="K570" s="16">
        <f t="shared" si="29"/>
        <v>52.800000000000068</v>
      </c>
      <c r="L570" s="17">
        <f t="shared" si="28"/>
        <v>5.6847545219638321E-2</v>
      </c>
    </row>
    <row r="571" spans="1:12" s="18" customFormat="1" outlineLevel="3">
      <c r="A571" s="12" t="s">
        <v>402</v>
      </c>
      <c r="B571" s="12" t="s">
        <v>731</v>
      </c>
      <c r="C571" s="12" t="s">
        <v>141</v>
      </c>
      <c r="D571" s="12" t="s">
        <v>141</v>
      </c>
      <c r="E571" s="12" t="s">
        <v>732</v>
      </c>
      <c r="F571" s="13">
        <v>45870</v>
      </c>
      <c r="G571" s="16">
        <v>378.63740000000001</v>
      </c>
      <c r="H571" s="16"/>
      <c r="I571" s="16"/>
      <c r="J571" s="16">
        <v>376.97899999999998</v>
      </c>
      <c r="K571" s="16">
        <f t="shared" si="29"/>
        <v>1.6584000000000287</v>
      </c>
      <c r="L571" s="17">
        <f t="shared" si="28"/>
        <v>4.3991840394293283E-3</v>
      </c>
    </row>
    <row r="572" spans="1:12" s="18" customFormat="1" outlineLevel="3">
      <c r="A572" s="12" t="s">
        <v>402</v>
      </c>
      <c r="B572" s="12" t="s">
        <v>731</v>
      </c>
      <c r="C572" s="12" t="s">
        <v>145</v>
      </c>
      <c r="D572" s="12" t="s">
        <v>145</v>
      </c>
      <c r="E572" s="12" t="s">
        <v>732</v>
      </c>
      <c r="F572" s="13">
        <v>45870</v>
      </c>
      <c r="G572" s="16">
        <v>1241</v>
      </c>
      <c r="H572" s="16"/>
      <c r="I572" s="16"/>
      <c r="J572" s="16">
        <v>1240</v>
      </c>
      <c r="K572" s="16">
        <f t="shared" si="29"/>
        <v>1</v>
      </c>
      <c r="L572" s="17">
        <f t="shared" si="28"/>
        <v>8.0645161290322581E-4</v>
      </c>
    </row>
    <row r="573" spans="1:12" s="18" customFormat="1" outlineLevel="3">
      <c r="A573" s="12" t="s">
        <v>402</v>
      </c>
      <c r="B573" s="12" t="s">
        <v>731</v>
      </c>
      <c r="C573" s="12" t="s">
        <v>131</v>
      </c>
      <c r="D573" s="12" t="s">
        <v>131</v>
      </c>
      <c r="E573" s="12" t="s">
        <v>732</v>
      </c>
      <c r="F573" s="13">
        <v>45870</v>
      </c>
      <c r="G573" s="16">
        <v>3333.0025999999998</v>
      </c>
      <c r="H573" s="16"/>
      <c r="I573" s="16"/>
      <c r="J573" s="16">
        <v>3271.0010000000002</v>
      </c>
      <c r="K573" s="16">
        <f t="shared" si="29"/>
        <v>62.001599999999598</v>
      </c>
      <c r="L573" s="17">
        <f t="shared" si="28"/>
        <v>1.8954931533191093E-2</v>
      </c>
    </row>
    <row r="574" spans="1:12" s="18" customFormat="1" outlineLevel="2">
      <c r="A574" s="12"/>
      <c r="B574" s="7" t="s">
        <v>733</v>
      </c>
      <c r="C574" s="12"/>
      <c r="D574" s="12"/>
      <c r="E574" s="12"/>
      <c r="F574" s="13"/>
      <c r="G574" s="16">
        <f>SUBTOTAL(9,G570:G573)</f>
        <v>5934.24</v>
      </c>
      <c r="H574" s="16"/>
      <c r="I574" s="16">
        <f>SUBTOTAL(9,I570:I573)</f>
        <v>0</v>
      </c>
      <c r="J574" s="16">
        <f>SUBTOTAL(9,J570:J573)</f>
        <v>5816.7800000000007</v>
      </c>
      <c r="K574" s="16">
        <f>SUBTOTAL(9,K570:K573)</f>
        <v>117.4599999999997</v>
      </c>
      <c r="L574" s="17"/>
    </row>
    <row r="575" spans="1:12" s="18" customFormat="1" outlineLevel="3">
      <c r="A575" s="12" t="s">
        <v>402</v>
      </c>
      <c r="B575" s="12" t="s">
        <v>734</v>
      </c>
      <c r="C575" s="12" t="s">
        <v>141</v>
      </c>
      <c r="D575" s="12" t="s">
        <v>141</v>
      </c>
      <c r="E575" s="12" t="s">
        <v>735</v>
      </c>
      <c r="F575" s="13">
        <v>45870</v>
      </c>
      <c r="G575" s="16">
        <v>1185</v>
      </c>
      <c r="H575" s="16"/>
      <c r="I575" s="16"/>
      <c r="J575" s="16">
        <v>1185</v>
      </c>
      <c r="K575" s="16">
        <f t="shared" si="29"/>
        <v>0</v>
      </c>
      <c r="L575" s="17">
        <f t="shared" si="28"/>
        <v>0</v>
      </c>
    </row>
    <row r="576" spans="1:12" s="18" customFormat="1" outlineLevel="3">
      <c r="A576" s="12" t="s">
        <v>402</v>
      </c>
      <c r="B576" s="12" t="s">
        <v>734</v>
      </c>
      <c r="C576" s="12" t="s">
        <v>131</v>
      </c>
      <c r="D576" s="12" t="s">
        <v>736</v>
      </c>
      <c r="E576" s="12" t="s">
        <v>737</v>
      </c>
      <c r="F576" s="13">
        <v>45870</v>
      </c>
      <c r="G576" s="16">
        <v>13068</v>
      </c>
      <c r="H576" s="16"/>
      <c r="I576" s="16"/>
      <c r="J576" s="16">
        <v>13068</v>
      </c>
      <c r="K576" s="16">
        <f t="shared" si="29"/>
        <v>0</v>
      </c>
      <c r="L576" s="17">
        <f t="shared" si="28"/>
        <v>0</v>
      </c>
    </row>
    <row r="577" spans="1:12" s="18" customFormat="1" outlineLevel="2">
      <c r="A577" s="12"/>
      <c r="B577" s="7" t="s">
        <v>738</v>
      </c>
      <c r="C577" s="12"/>
      <c r="D577" s="12"/>
      <c r="E577" s="12"/>
      <c r="F577" s="13"/>
      <c r="G577" s="16">
        <f>SUBTOTAL(9,G575:G576)</f>
        <v>14253</v>
      </c>
      <c r="H577" s="16"/>
      <c r="I577" s="16">
        <f>SUBTOTAL(9,I575:I576)</f>
        <v>0</v>
      </c>
      <c r="J577" s="16">
        <f>SUBTOTAL(9,J575:J576)</f>
        <v>14253</v>
      </c>
      <c r="K577" s="16">
        <f>SUBTOTAL(9,K575:K576)</f>
        <v>0</v>
      </c>
      <c r="L577" s="17"/>
    </row>
    <row r="578" spans="1:12" s="18" customFormat="1" outlineLevel="3">
      <c r="A578" s="12" t="s">
        <v>402</v>
      </c>
      <c r="B578" s="12" t="s">
        <v>739</v>
      </c>
      <c r="C578" s="12" t="s">
        <v>407</v>
      </c>
      <c r="D578" s="12" t="s">
        <v>740</v>
      </c>
      <c r="E578" s="12" t="s">
        <v>741</v>
      </c>
      <c r="F578" s="13">
        <v>45884</v>
      </c>
      <c r="G578" s="16">
        <v>177.125</v>
      </c>
      <c r="H578" s="16"/>
      <c r="I578" s="16"/>
      <c r="J578" s="16">
        <v>177.125</v>
      </c>
      <c r="K578" s="16">
        <f t="shared" si="29"/>
        <v>0</v>
      </c>
      <c r="L578" s="17">
        <f t="shared" si="28"/>
        <v>0</v>
      </c>
    </row>
    <row r="579" spans="1:12" s="18" customFormat="1" outlineLevel="3">
      <c r="A579" s="12" t="s">
        <v>402</v>
      </c>
      <c r="B579" s="12" t="s">
        <v>739</v>
      </c>
      <c r="C579" s="12" t="s">
        <v>175</v>
      </c>
      <c r="D579" s="12" t="s">
        <v>742</v>
      </c>
      <c r="E579" s="12" t="s">
        <v>741</v>
      </c>
      <c r="F579" s="13">
        <v>45884</v>
      </c>
      <c r="G579" s="16">
        <v>3388</v>
      </c>
      <c r="H579" s="16"/>
      <c r="I579" s="16"/>
      <c r="J579" s="16">
        <v>3322</v>
      </c>
      <c r="K579" s="16">
        <f t="shared" si="29"/>
        <v>66</v>
      </c>
      <c r="L579" s="17">
        <f t="shared" si="28"/>
        <v>1.9867549668874173E-2</v>
      </c>
    </row>
    <row r="580" spans="1:12" s="18" customFormat="1" outlineLevel="3">
      <c r="A580" s="12" t="s">
        <v>402</v>
      </c>
      <c r="B580" s="12" t="s">
        <v>739</v>
      </c>
      <c r="C580" s="12" t="s">
        <v>141</v>
      </c>
      <c r="D580" s="12" t="s">
        <v>141</v>
      </c>
      <c r="E580" s="12" t="s">
        <v>741</v>
      </c>
      <c r="F580" s="13">
        <v>45884</v>
      </c>
      <c r="G580" s="16">
        <v>619</v>
      </c>
      <c r="H580" s="16"/>
      <c r="I580" s="16"/>
      <c r="J580" s="16">
        <v>609</v>
      </c>
      <c r="K580" s="16">
        <f t="shared" si="29"/>
        <v>10</v>
      </c>
      <c r="L580" s="17">
        <f t="shared" si="28"/>
        <v>1.6420361247947456E-2</v>
      </c>
    </row>
    <row r="581" spans="1:12" s="18" customFormat="1" outlineLevel="3">
      <c r="A581" s="12" t="s">
        <v>402</v>
      </c>
      <c r="B581" s="12" t="s">
        <v>739</v>
      </c>
      <c r="C581" s="12" t="s">
        <v>145</v>
      </c>
      <c r="D581" s="12" t="s">
        <v>145</v>
      </c>
      <c r="E581" s="12" t="s">
        <v>741</v>
      </c>
      <c r="F581" s="13">
        <v>45884</v>
      </c>
      <c r="G581" s="16">
        <v>654</v>
      </c>
      <c r="H581" s="16"/>
      <c r="I581" s="16"/>
      <c r="J581" s="16">
        <v>624</v>
      </c>
      <c r="K581" s="16">
        <f t="shared" si="29"/>
        <v>30</v>
      </c>
      <c r="L581" s="17">
        <f t="shared" si="28"/>
        <v>4.807692307692308E-2</v>
      </c>
    </row>
    <row r="582" spans="1:12" s="18" customFormat="1" outlineLevel="3">
      <c r="A582" s="12" t="s">
        <v>402</v>
      </c>
      <c r="B582" s="12" t="s">
        <v>739</v>
      </c>
      <c r="C582" s="12" t="s">
        <v>131</v>
      </c>
      <c r="D582" s="12" t="s">
        <v>131</v>
      </c>
      <c r="E582" s="12" t="s">
        <v>741</v>
      </c>
      <c r="F582" s="13">
        <v>45884</v>
      </c>
      <c r="G582" s="16">
        <v>7951.5050000000001</v>
      </c>
      <c r="H582" s="16"/>
      <c r="I582" s="16"/>
      <c r="J582" s="16">
        <v>7951.5050000000001</v>
      </c>
      <c r="K582" s="16">
        <f t="shared" si="29"/>
        <v>0</v>
      </c>
      <c r="L582" s="17">
        <f t="shared" si="28"/>
        <v>0</v>
      </c>
    </row>
    <row r="583" spans="1:12" s="18" customFormat="1" outlineLevel="2">
      <c r="A583" s="12"/>
      <c r="B583" s="7" t="s">
        <v>743</v>
      </c>
      <c r="C583" s="12"/>
      <c r="D583" s="12"/>
      <c r="E583" s="12"/>
      <c r="F583" s="13"/>
      <c r="G583" s="16">
        <f>SUBTOTAL(9,G578:G582)</f>
        <v>12789.630000000001</v>
      </c>
      <c r="H583" s="16"/>
      <c r="I583" s="16">
        <f>SUBTOTAL(9,I578:I582)</f>
        <v>0</v>
      </c>
      <c r="J583" s="16">
        <f>SUBTOTAL(9,J578:J582)</f>
        <v>12683.630000000001</v>
      </c>
      <c r="K583" s="16">
        <f>SUBTOTAL(9,K578:K582)</f>
        <v>106</v>
      </c>
      <c r="L583" s="17"/>
    </row>
    <row r="584" spans="1:12" s="18" customFormat="1" outlineLevel="3">
      <c r="A584" s="12" t="s">
        <v>402</v>
      </c>
      <c r="B584" s="12" t="s">
        <v>744</v>
      </c>
      <c r="C584" s="12" t="s">
        <v>175</v>
      </c>
      <c r="D584" s="12" t="s">
        <v>745</v>
      </c>
      <c r="E584" s="12" t="s">
        <v>746</v>
      </c>
      <c r="F584" s="13">
        <v>45870</v>
      </c>
      <c r="G584" s="16">
        <v>1478.4</v>
      </c>
      <c r="H584" s="16"/>
      <c r="I584" s="16"/>
      <c r="J584" s="16">
        <v>1478.4</v>
      </c>
      <c r="K584" s="16">
        <f t="shared" si="29"/>
        <v>0</v>
      </c>
      <c r="L584" s="17">
        <f t="shared" si="28"/>
        <v>0</v>
      </c>
    </row>
    <row r="585" spans="1:12" s="18" customFormat="1" outlineLevel="3">
      <c r="A585" s="12" t="s">
        <v>402</v>
      </c>
      <c r="B585" s="12" t="s">
        <v>744</v>
      </c>
      <c r="C585" s="12" t="s">
        <v>141</v>
      </c>
      <c r="D585" s="12" t="s">
        <v>167</v>
      </c>
      <c r="E585" s="12" t="s">
        <v>747</v>
      </c>
      <c r="F585" s="13">
        <v>45870</v>
      </c>
      <c r="G585" s="16">
        <v>276</v>
      </c>
      <c r="H585" s="16"/>
      <c r="I585" s="16"/>
      <c r="J585" s="16">
        <v>300</v>
      </c>
      <c r="K585" s="16">
        <f t="shared" si="29"/>
        <v>-24</v>
      </c>
      <c r="L585" s="17">
        <f t="shared" si="28"/>
        <v>-0.08</v>
      </c>
    </row>
    <row r="586" spans="1:12" s="18" customFormat="1" outlineLevel="3">
      <c r="A586" s="12" t="s">
        <v>402</v>
      </c>
      <c r="B586" s="12" t="s">
        <v>744</v>
      </c>
      <c r="C586" s="12" t="s">
        <v>145</v>
      </c>
      <c r="D586" s="12" t="s">
        <v>169</v>
      </c>
      <c r="E586" s="12" t="s">
        <v>747</v>
      </c>
      <c r="F586" s="13">
        <v>45870</v>
      </c>
      <c r="G586" s="16">
        <v>1861</v>
      </c>
      <c r="H586" s="16"/>
      <c r="I586" s="16"/>
      <c r="J586" s="16">
        <v>1886</v>
      </c>
      <c r="K586" s="16">
        <f t="shared" si="29"/>
        <v>-25</v>
      </c>
      <c r="L586" s="17">
        <f t="shared" si="28"/>
        <v>-1.3255567338282079E-2</v>
      </c>
    </row>
    <row r="587" spans="1:12" s="18" customFormat="1" outlineLevel="3">
      <c r="A587" s="12" t="s">
        <v>402</v>
      </c>
      <c r="B587" s="12" t="s">
        <v>744</v>
      </c>
      <c r="C587" s="12" t="s">
        <v>131</v>
      </c>
      <c r="D587" s="12" t="s">
        <v>415</v>
      </c>
      <c r="E587" s="12" t="s">
        <v>747</v>
      </c>
      <c r="F587" s="13">
        <v>45870</v>
      </c>
      <c r="G587" s="16">
        <v>4616</v>
      </c>
      <c r="H587" s="16"/>
      <c r="I587" s="16"/>
      <c r="J587" s="16">
        <v>4189</v>
      </c>
      <c r="K587" s="16">
        <f t="shared" si="29"/>
        <v>427</v>
      </c>
      <c r="L587" s="17">
        <f t="shared" si="28"/>
        <v>0.10193363571258057</v>
      </c>
    </row>
    <row r="588" spans="1:12" s="18" customFormat="1" outlineLevel="2">
      <c r="A588" s="12"/>
      <c r="B588" s="7" t="s">
        <v>748</v>
      </c>
      <c r="C588" s="12"/>
      <c r="D588" s="12"/>
      <c r="E588" s="12"/>
      <c r="F588" s="13"/>
      <c r="G588" s="16">
        <f>SUBTOTAL(9,G584:G587)</f>
        <v>8231.4</v>
      </c>
      <c r="H588" s="16"/>
      <c r="I588" s="16">
        <f>SUBTOTAL(9,I584:I587)</f>
        <v>0</v>
      </c>
      <c r="J588" s="16">
        <f>SUBTOTAL(9,J584:J587)</f>
        <v>7853.4</v>
      </c>
      <c r="K588" s="16">
        <f>SUBTOTAL(9,K584:K587)</f>
        <v>378</v>
      </c>
      <c r="L588" s="17"/>
    </row>
    <row r="589" spans="1:12" s="18" customFormat="1" outlineLevel="3">
      <c r="A589" s="12" t="s">
        <v>402</v>
      </c>
      <c r="B589" s="12" t="s">
        <v>749</v>
      </c>
      <c r="C589" s="12" t="s">
        <v>175</v>
      </c>
      <c r="D589" s="12" t="s">
        <v>373</v>
      </c>
      <c r="E589" s="12" t="s">
        <v>750</v>
      </c>
      <c r="F589" s="13">
        <v>45870</v>
      </c>
      <c r="G589" s="16">
        <v>316.8</v>
      </c>
      <c r="H589" s="16"/>
      <c r="I589" s="16"/>
      <c r="J589" s="16">
        <v>316.8</v>
      </c>
      <c r="K589" s="16">
        <f t="shared" si="29"/>
        <v>0</v>
      </c>
      <c r="L589" s="17">
        <f t="shared" si="28"/>
        <v>0</v>
      </c>
    </row>
    <row r="590" spans="1:12" s="18" customFormat="1" outlineLevel="2">
      <c r="A590" s="12"/>
      <c r="B590" s="7" t="s">
        <v>751</v>
      </c>
      <c r="C590" s="12"/>
      <c r="D590" s="12"/>
      <c r="E590" s="12"/>
      <c r="F590" s="13"/>
      <c r="G590" s="16">
        <f>SUBTOTAL(9,G589:G589)</f>
        <v>316.8</v>
      </c>
      <c r="H590" s="16"/>
      <c r="I590" s="16">
        <f>SUBTOTAL(9,I589:I589)</f>
        <v>0</v>
      </c>
      <c r="J590" s="16">
        <f>SUBTOTAL(9,J589:J589)</f>
        <v>316.8</v>
      </c>
      <c r="K590" s="16">
        <f>SUBTOTAL(9,K589:K589)</f>
        <v>0</v>
      </c>
      <c r="L590" s="17"/>
    </row>
    <row r="591" spans="1:12" s="18" customFormat="1" outlineLevel="3">
      <c r="A591" s="12" t="s">
        <v>402</v>
      </c>
      <c r="B591" s="12" t="s">
        <v>752</v>
      </c>
      <c r="C591" s="12" t="s">
        <v>141</v>
      </c>
      <c r="D591" s="12" t="s">
        <v>141</v>
      </c>
      <c r="E591" s="12" t="s">
        <v>753</v>
      </c>
      <c r="F591" s="13">
        <v>45884</v>
      </c>
      <c r="G591" s="16">
        <v>0</v>
      </c>
      <c r="H591" s="16"/>
      <c r="I591" s="16"/>
      <c r="J591" s="16">
        <v>0</v>
      </c>
      <c r="K591" s="16">
        <f t="shared" si="29"/>
        <v>0</v>
      </c>
      <c r="L591" s="17"/>
    </row>
    <row r="592" spans="1:12" s="18" customFormat="1" outlineLevel="3">
      <c r="A592" s="12" t="s">
        <v>402</v>
      </c>
      <c r="B592" s="12" t="s">
        <v>752</v>
      </c>
      <c r="C592" s="12" t="s">
        <v>145</v>
      </c>
      <c r="D592" s="12" t="s">
        <v>145</v>
      </c>
      <c r="E592" s="12" t="s">
        <v>753</v>
      </c>
      <c r="F592" s="13">
        <v>45884</v>
      </c>
      <c r="G592" s="16">
        <v>77</v>
      </c>
      <c r="H592" s="16"/>
      <c r="I592" s="16"/>
      <c r="J592" s="16">
        <v>77</v>
      </c>
      <c r="K592" s="16">
        <f t="shared" si="29"/>
        <v>0</v>
      </c>
      <c r="L592" s="17">
        <f t="shared" si="28"/>
        <v>0</v>
      </c>
    </row>
    <row r="593" spans="1:12" s="18" customFormat="1" outlineLevel="3">
      <c r="A593" s="12" t="s">
        <v>402</v>
      </c>
      <c r="B593" s="12" t="s">
        <v>752</v>
      </c>
      <c r="C593" s="12" t="s">
        <v>131</v>
      </c>
      <c r="D593" s="12" t="s">
        <v>131</v>
      </c>
      <c r="E593" s="12" t="s">
        <v>753</v>
      </c>
      <c r="F593" s="13">
        <v>45884</v>
      </c>
      <c r="G593" s="16">
        <v>1338.75</v>
      </c>
      <c r="H593" s="16"/>
      <c r="I593" s="16"/>
      <c r="J593" s="16">
        <v>1338.75</v>
      </c>
      <c r="K593" s="16">
        <f t="shared" si="29"/>
        <v>0</v>
      </c>
      <c r="L593" s="17">
        <f t="shared" si="28"/>
        <v>0</v>
      </c>
    </row>
    <row r="594" spans="1:12" s="18" customFormat="1" outlineLevel="2">
      <c r="A594" s="12"/>
      <c r="B594" s="7" t="s">
        <v>754</v>
      </c>
      <c r="C594" s="12"/>
      <c r="D594" s="12"/>
      <c r="E594" s="12"/>
      <c r="F594" s="13"/>
      <c r="G594" s="16">
        <f>SUBTOTAL(9,G591:G593)</f>
        <v>1415.75</v>
      </c>
      <c r="H594" s="16"/>
      <c r="I594" s="16">
        <f>SUBTOTAL(9,I591:I593)</f>
        <v>0</v>
      </c>
      <c r="J594" s="16">
        <f>SUBTOTAL(9,J591:J593)</f>
        <v>1415.75</v>
      </c>
      <c r="K594" s="16">
        <f>SUBTOTAL(9,K591:K593)</f>
        <v>0</v>
      </c>
      <c r="L594" s="17"/>
    </row>
    <row r="595" spans="1:12" s="18" customFormat="1" outlineLevel="3">
      <c r="A595" s="12" t="s">
        <v>402</v>
      </c>
      <c r="B595" s="12" t="s">
        <v>755</v>
      </c>
      <c r="C595" s="12" t="s">
        <v>145</v>
      </c>
      <c r="D595" s="12" t="s">
        <v>145</v>
      </c>
      <c r="E595" s="12" t="s">
        <v>756</v>
      </c>
      <c r="F595" s="13">
        <v>45870</v>
      </c>
      <c r="G595" s="16">
        <v>5369.92</v>
      </c>
      <c r="H595" s="16"/>
      <c r="I595" s="16"/>
      <c r="J595" s="16">
        <v>5416.48</v>
      </c>
      <c r="K595" s="16">
        <f t="shared" si="29"/>
        <v>-46.559999999999491</v>
      </c>
      <c r="L595" s="17">
        <f t="shared" si="28"/>
        <v>-8.5959885386818549E-3</v>
      </c>
    </row>
    <row r="596" spans="1:12" s="18" customFormat="1" outlineLevel="3">
      <c r="A596" s="12" t="s">
        <v>402</v>
      </c>
      <c r="B596" s="12" t="s">
        <v>755</v>
      </c>
      <c r="C596" s="12" t="s">
        <v>131</v>
      </c>
      <c r="D596" s="12" t="s">
        <v>757</v>
      </c>
      <c r="E596" s="12" t="s">
        <v>758</v>
      </c>
      <c r="F596" s="13">
        <v>45870</v>
      </c>
      <c r="G596" s="16">
        <v>3125.14</v>
      </c>
      <c r="H596" s="16"/>
      <c r="I596" s="16"/>
      <c r="J596" s="16">
        <v>3125.14</v>
      </c>
      <c r="K596" s="16">
        <f t="shared" si="29"/>
        <v>0</v>
      </c>
      <c r="L596" s="17">
        <f t="shared" si="28"/>
        <v>0</v>
      </c>
    </row>
    <row r="597" spans="1:12" s="18" customFormat="1" outlineLevel="2">
      <c r="A597" s="12"/>
      <c r="B597" s="7" t="s">
        <v>759</v>
      </c>
      <c r="C597" s="12"/>
      <c r="D597" s="12"/>
      <c r="E597" s="12"/>
      <c r="F597" s="13"/>
      <c r="G597" s="16">
        <f>SUBTOTAL(9,G595:G596)</f>
        <v>8495.06</v>
      </c>
      <c r="H597" s="16"/>
      <c r="I597" s="16">
        <f>SUBTOTAL(9,I595:I596)</f>
        <v>0</v>
      </c>
      <c r="J597" s="16">
        <f>SUBTOTAL(9,J595:J596)</f>
        <v>8541.619999999999</v>
      </c>
      <c r="K597" s="16">
        <f>SUBTOTAL(9,K595:K596)</f>
        <v>-46.559999999999491</v>
      </c>
      <c r="L597" s="17"/>
    </row>
    <row r="598" spans="1:12" s="18" customFormat="1" outlineLevel="3">
      <c r="A598" s="12" t="s">
        <v>402</v>
      </c>
      <c r="B598" s="12" t="s">
        <v>760</v>
      </c>
      <c r="C598" s="12" t="s">
        <v>407</v>
      </c>
      <c r="D598" s="12" t="s">
        <v>407</v>
      </c>
      <c r="E598" s="12" t="s">
        <v>761</v>
      </c>
      <c r="F598" s="13">
        <v>45870</v>
      </c>
      <c r="G598" s="16">
        <v>586</v>
      </c>
      <c r="H598" s="16"/>
      <c r="I598" s="16"/>
      <c r="J598" s="16">
        <v>586</v>
      </c>
      <c r="K598" s="16">
        <f t="shared" si="29"/>
        <v>0</v>
      </c>
      <c r="L598" s="17">
        <f t="shared" si="28"/>
        <v>0</v>
      </c>
    </row>
    <row r="599" spans="1:12" s="18" customFormat="1" outlineLevel="3">
      <c r="A599" s="12" t="s">
        <v>402</v>
      </c>
      <c r="B599" s="12" t="s">
        <v>760</v>
      </c>
      <c r="C599" s="12" t="s">
        <v>175</v>
      </c>
      <c r="D599" s="12" t="s">
        <v>762</v>
      </c>
      <c r="E599" s="12" t="s">
        <v>761</v>
      </c>
      <c r="F599" s="13">
        <v>45870</v>
      </c>
      <c r="G599" s="16">
        <v>130.5</v>
      </c>
      <c r="H599" s="16"/>
      <c r="I599" s="16"/>
      <c r="J599" s="16">
        <v>130.5</v>
      </c>
      <c r="K599" s="16">
        <f t="shared" si="29"/>
        <v>0</v>
      </c>
      <c r="L599" s="17">
        <f t="shared" si="28"/>
        <v>0</v>
      </c>
    </row>
    <row r="600" spans="1:12" s="18" customFormat="1" outlineLevel="3">
      <c r="A600" s="12" t="s">
        <v>402</v>
      </c>
      <c r="B600" s="12" t="s">
        <v>760</v>
      </c>
      <c r="C600" s="12" t="s">
        <v>141</v>
      </c>
      <c r="D600" s="12" t="s">
        <v>141</v>
      </c>
      <c r="E600" s="12" t="s">
        <v>761</v>
      </c>
      <c r="F600" s="13">
        <v>45870</v>
      </c>
      <c r="G600" s="16">
        <v>22.5</v>
      </c>
      <c r="H600" s="16"/>
      <c r="I600" s="16"/>
      <c r="J600" s="16">
        <v>22.5</v>
      </c>
      <c r="K600" s="16">
        <f t="shared" si="29"/>
        <v>0</v>
      </c>
      <c r="L600" s="17">
        <f t="shared" si="28"/>
        <v>0</v>
      </c>
    </row>
    <row r="601" spans="1:12" s="18" customFormat="1" outlineLevel="3">
      <c r="A601" s="12" t="s">
        <v>402</v>
      </c>
      <c r="B601" s="12" t="s">
        <v>760</v>
      </c>
      <c r="C601" s="12" t="s">
        <v>145</v>
      </c>
      <c r="D601" s="12" t="s">
        <v>145</v>
      </c>
      <c r="E601" s="12" t="s">
        <v>761</v>
      </c>
      <c r="F601" s="13">
        <v>45870</v>
      </c>
      <c r="G601" s="16">
        <v>513.53</v>
      </c>
      <c r="H601" s="16"/>
      <c r="I601" s="16"/>
      <c r="J601" s="16">
        <v>513.53</v>
      </c>
      <c r="K601" s="16">
        <f t="shared" si="29"/>
        <v>0</v>
      </c>
      <c r="L601" s="17">
        <f t="shared" si="28"/>
        <v>0</v>
      </c>
    </row>
    <row r="602" spans="1:12" s="18" customFormat="1" outlineLevel="3">
      <c r="A602" s="12" t="s">
        <v>402</v>
      </c>
      <c r="B602" s="12" t="s">
        <v>760</v>
      </c>
      <c r="C602" s="12" t="s">
        <v>131</v>
      </c>
      <c r="D602" s="12" t="s">
        <v>763</v>
      </c>
      <c r="E602" s="12" t="s">
        <v>761</v>
      </c>
      <c r="F602" s="13">
        <v>45870</v>
      </c>
      <c r="G602" s="16">
        <v>1579.52</v>
      </c>
      <c r="H602" s="16"/>
      <c r="I602" s="16"/>
      <c r="J602" s="16">
        <v>1579.52</v>
      </c>
      <c r="K602" s="16">
        <f t="shared" si="29"/>
        <v>0</v>
      </c>
      <c r="L602" s="17">
        <f t="shared" si="28"/>
        <v>0</v>
      </c>
    </row>
    <row r="603" spans="1:12" s="18" customFormat="1" outlineLevel="2">
      <c r="A603" s="12"/>
      <c r="B603" s="7" t="s">
        <v>764</v>
      </c>
      <c r="C603" s="12"/>
      <c r="D603" s="12"/>
      <c r="E603" s="12"/>
      <c r="F603" s="13"/>
      <c r="G603" s="16">
        <f>SUBTOTAL(9,G598:G602)</f>
        <v>2832.05</v>
      </c>
      <c r="H603" s="16"/>
      <c r="I603" s="16">
        <f>SUBTOTAL(9,I598:I602)</f>
        <v>0</v>
      </c>
      <c r="J603" s="16">
        <f>SUBTOTAL(9,J598:J602)</f>
        <v>2832.05</v>
      </c>
      <c r="K603" s="16">
        <f>SUBTOTAL(9,K598:K602)</f>
        <v>0</v>
      </c>
      <c r="L603" s="17"/>
    </row>
    <row r="604" spans="1:12" s="18" customFormat="1" outlineLevel="3">
      <c r="A604" s="12" t="s">
        <v>402</v>
      </c>
      <c r="B604" s="12" t="s">
        <v>765</v>
      </c>
      <c r="C604" s="12" t="s">
        <v>175</v>
      </c>
      <c r="D604" s="12" t="s">
        <v>766</v>
      </c>
      <c r="E604" s="12" t="s">
        <v>767</v>
      </c>
      <c r="F604" s="13">
        <v>45870</v>
      </c>
      <c r="G604" s="16">
        <v>792</v>
      </c>
      <c r="H604" s="16"/>
      <c r="I604" s="16"/>
      <c r="J604" s="16">
        <v>770</v>
      </c>
      <c r="K604" s="16">
        <f t="shared" si="29"/>
        <v>22</v>
      </c>
      <c r="L604" s="17">
        <f t="shared" si="28"/>
        <v>2.8571428571428571E-2</v>
      </c>
    </row>
    <row r="605" spans="1:12" s="18" customFormat="1" outlineLevel="3">
      <c r="A605" s="12" t="s">
        <v>402</v>
      </c>
      <c r="B605" s="12" t="s">
        <v>765</v>
      </c>
      <c r="C605" s="12" t="s">
        <v>141</v>
      </c>
      <c r="D605" s="12" t="s">
        <v>141</v>
      </c>
      <c r="E605" s="12" t="s">
        <v>768</v>
      </c>
      <c r="F605" s="13">
        <v>45870</v>
      </c>
      <c r="G605" s="16">
        <v>361.62279999999998</v>
      </c>
      <c r="H605" s="16"/>
      <c r="I605" s="16"/>
      <c r="J605" s="16">
        <v>358.80939999999998</v>
      </c>
      <c r="K605" s="16">
        <f t="shared" si="29"/>
        <v>2.8134000000000015</v>
      </c>
      <c r="L605" s="17">
        <f t="shared" si="28"/>
        <v>7.840931703572987E-3</v>
      </c>
    </row>
    <row r="606" spans="1:12" s="18" customFormat="1" outlineLevel="3">
      <c r="A606" s="12" t="s">
        <v>402</v>
      </c>
      <c r="B606" s="12" t="s">
        <v>765</v>
      </c>
      <c r="C606" s="12" t="s">
        <v>145</v>
      </c>
      <c r="D606" s="12" t="s">
        <v>145</v>
      </c>
      <c r="E606" s="12" t="s">
        <v>768</v>
      </c>
      <c r="F606" s="13">
        <v>45870</v>
      </c>
      <c r="G606" s="16">
        <v>1012.5</v>
      </c>
      <c r="H606" s="16"/>
      <c r="I606" s="16"/>
      <c r="J606" s="16">
        <v>1033.5</v>
      </c>
      <c r="K606" s="16">
        <f t="shared" si="29"/>
        <v>-21</v>
      </c>
      <c r="L606" s="17">
        <f t="shared" si="28"/>
        <v>-2.0319303338171262E-2</v>
      </c>
    </row>
    <row r="607" spans="1:12" s="18" customFormat="1" outlineLevel="3">
      <c r="A607" s="12" t="s">
        <v>402</v>
      </c>
      <c r="B607" s="12" t="s">
        <v>765</v>
      </c>
      <c r="C607" s="12" t="s">
        <v>131</v>
      </c>
      <c r="D607" s="12" t="s">
        <v>131</v>
      </c>
      <c r="E607" s="12" t="s">
        <v>768</v>
      </c>
      <c r="F607" s="13">
        <v>45870</v>
      </c>
      <c r="G607" s="16">
        <v>1700</v>
      </c>
      <c r="H607" s="16"/>
      <c r="I607" s="16"/>
      <c r="J607" s="16">
        <v>1520.0006000000001</v>
      </c>
      <c r="K607" s="16">
        <f t="shared" si="29"/>
        <v>179.99939999999992</v>
      </c>
      <c r="L607" s="17">
        <f t="shared" si="28"/>
        <v>0.1184206111497587</v>
      </c>
    </row>
    <row r="608" spans="1:12" s="18" customFormat="1" outlineLevel="2">
      <c r="A608" s="12"/>
      <c r="B608" s="7" t="s">
        <v>769</v>
      </c>
      <c r="C608" s="12"/>
      <c r="D608" s="12"/>
      <c r="E608" s="12"/>
      <c r="F608" s="13"/>
      <c r="G608" s="16">
        <f>SUBTOTAL(9,G604:G607)</f>
        <v>3866.1228000000001</v>
      </c>
      <c r="H608" s="16"/>
      <c r="I608" s="16">
        <f>SUBTOTAL(9,I604:I607)</f>
        <v>0</v>
      </c>
      <c r="J608" s="16">
        <f>SUBTOTAL(9,J604:J607)</f>
        <v>3682.3100000000004</v>
      </c>
      <c r="K608" s="16">
        <f>SUBTOTAL(9,K604:K607)</f>
        <v>183.81279999999992</v>
      </c>
      <c r="L608" s="17"/>
    </row>
    <row r="609" spans="1:12" s="18" customFormat="1" outlineLevel="3">
      <c r="A609" s="12" t="s">
        <v>402</v>
      </c>
      <c r="B609" s="12" t="s">
        <v>770</v>
      </c>
      <c r="C609" s="12" t="s">
        <v>175</v>
      </c>
      <c r="D609" s="12" t="s">
        <v>176</v>
      </c>
      <c r="E609" s="12" t="s">
        <v>771</v>
      </c>
      <c r="F609" s="13">
        <v>45884</v>
      </c>
      <c r="G609" s="16">
        <v>415.2</v>
      </c>
      <c r="H609" s="16"/>
      <c r="I609" s="16"/>
      <c r="J609" s="16">
        <v>415.2</v>
      </c>
      <c r="K609" s="16">
        <f t="shared" si="29"/>
        <v>0</v>
      </c>
      <c r="L609" s="17">
        <f t="shared" si="28"/>
        <v>0</v>
      </c>
    </row>
    <row r="610" spans="1:12" s="18" customFormat="1" outlineLevel="3">
      <c r="A610" s="12" t="s">
        <v>402</v>
      </c>
      <c r="B610" s="12" t="s">
        <v>770</v>
      </c>
      <c r="C610" s="12" t="s">
        <v>141</v>
      </c>
      <c r="D610" s="12" t="s">
        <v>141</v>
      </c>
      <c r="E610" s="12" t="s">
        <v>771</v>
      </c>
      <c r="F610" s="13">
        <v>45884</v>
      </c>
      <c r="G610" s="16">
        <v>45</v>
      </c>
      <c r="H610" s="16"/>
      <c r="I610" s="16"/>
      <c r="J610" s="16">
        <v>45</v>
      </c>
      <c r="K610" s="16">
        <f t="shared" si="29"/>
        <v>0</v>
      </c>
      <c r="L610" s="17">
        <f t="shared" ref="L610:L686" si="30">+K610/J610</f>
        <v>0</v>
      </c>
    </row>
    <row r="611" spans="1:12" s="18" customFormat="1" outlineLevel="3">
      <c r="A611" s="12" t="s">
        <v>402</v>
      </c>
      <c r="B611" s="12" t="s">
        <v>770</v>
      </c>
      <c r="C611" s="12" t="s">
        <v>145</v>
      </c>
      <c r="D611" s="12" t="s">
        <v>145</v>
      </c>
      <c r="E611" s="12" t="s">
        <v>771</v>
      </c>
      <c r="F611" s="13">
        <v>45884</v>
      </c>
      <c r="G611" s="16">
        <v>174.25</v>
      </c>
      <c r="H611" s="16"/>
      <c r="I611" s="16"/>
      <c r="J611" s="16">
        <v>167.25</v>
      </c>
      <c r="K611" s="16">
        <f t="shared" ref="K611:K694" si="31">+G611-J611</f>
        <v>7</v>
      </c>
      <c r="L611" s="17">
        <f t="shared" si="30"/>
        <v>4.1853512705530643E-2</v>
      </c>
    </row>
    <row r="612" spans="1:12" s="18" customFormat="1" outlineLevel="3">
      <c r="A612" s="12" t="s">
        <v>402</v>
      </c>
      <c r="B612" s="12" t="s">
        <v>770</v>
      </c>
      <c r="C612" s="12" t="s">
        <v>131</v>
      </c>
      <c r="D612" s="12" t="s">
        <v>772</v>
      </c>
      <c r="E612" s="12" t="s">
        <v>771</v>
      </c>
      <c r="F612" s="13">
        <v>45884</v>
      </c>
      <c r="G612" s="16">
        <v>819</v>
      </c>
      <c r="H612" s="16"/>
      <c r="I612" s="16"/>
      <c r="J612" s="16">
        <v>819</v>
      </c>
      <c r="K612" s="16">
        <f t="shared" si="31"/>
        <v>0</v>
      </c>
      <c r="L612" s="17">
        <f t="shared" si="30"/>
        <v>0</v>
      </c>
    </row>
    <row r="613" spans="1:12" s="18" customFormat="1" outlineLevel="2">
      <c r="A613" s="12"/>
      <c r="B613" s="7" t="s">
        <v>773</v>
      </c>
      <c r="C613" s="12"/>
      <c r="D613" s="12"/>
      <c r="E613" s="12"/>
      <c r="F613" s="13"/>
      <c r="G613" s="16">
        <f>SUBTOTAL(9,G609:G612)</f>
        <v>1453.45</v>
      </c>
      <c r="H613" s="16"/>
      <c r="I613" s="16">
        <f>SUBTOTAL(9,I609:I612)</f>
        <v>0</v>
      </c>
      <c r="J613" s="16">
        <f>SUBTOTAL(9,J609:J612)</f>
        <v>1446.45</v>
      </c>
      <c r="K613" s="16">
        <f>SUBTOTAL(9,K609:K612)</f>
        <v>7</v>
      </c>
      <c r="L613" s="17"/>
    </row>
    <row r="614" spans="1:12" s="18" customFormat="1" outlineLevel="3">
      <c r="A614" s="12" t="s">
        <v>402</v>
      </c>
      <c r="B614" s="12" t="s">
        <v>774</v>
      </c>
      <c r="C614" s="12" t="s">
        <v>407</v>
      </c>
      <c r="D614" s="12" t="s">
        <v>593</v>
      </c>
      <c r="E614" s="12" t="s">
        <v>775</v>
      </c>
      <c r="F614" s="13">
        <v>45870</v>
      </c>
      <c r="G614" s="16">
        <v>600</v>
      </c>
      <c r="H614" s="16"/>
      <c r="I614" s="16"/>
      <c r="J614" s="16">
        <v>600</v>
      </c>
      <c r="K614" s="16">
        <f t="shared" si="31"/>
        <v>0</v>
      </c>
      <c r="L614" s="17">
        <f t="shared" si="30"/>
        <v>0</v>
      </c>
    </row>
    <row r="615" spans="1:12" s="18" customFormat="1" outlineLevel="3">
      <c r="A615" s="12" t="s">
        <v>402</v>
      </c>
      <c r="B615" s="12" t="s">
        <v>774</v>
      </c>
      <c r="C615" s="12" t="s">
        <v>175</v>
      </c>
      <c r="D615" s="12" t="s">
        <v>176</v>
      </c>
      <c r="E615" s="12" t="s">
        <v>775</v>
      </c>
      <c r="F615" s="13">
        <v>45870</v>
      </c>
      <c r="G615" s="16">
        <v>24.9</v>
      </c>
      <c r="H615" s="16"/>
      <c r="I615" s="16"/>
      <c r="J615" s="16">
        <v>24.9</v>
      </c>
      <c r="K615" s="16">
        <f t="shared" si="31"/>
        <v>0</v>
      </c>
      <c r="L615" s="17">
        <f t="shared" si="30"/>
        <v>0</v>
      </c>
    </row>
    <row r="616" spans="1:12" s="18" customFormat="1" outlineLevel="3">
      <c r="A616" s="12" t="s">
        <v>402</v>
      </c>
      <c r="B616" s="12" t="s">
        <v>774</v>
      </c>
      <c r="C616" s="12" t="s">
        <v>141</v>
      </c>
      <c r="D616" s="12" t="s">
        <v>141</v>
      </c>
      <c r="E616" s="12" t="s">
        <v>775</v>
      </c>
      <c r="F616" s="13">
        <v>45870</v>
      </c>
      <c r="G616" s="16">
        <v>50</v>
      </c>
      <c r="H616" s="16"/>
      <c r="I616" s="16"/>
      <c r="J616" s="16">
        <v>50</v>
      </c>
      <c r="K616" s="16">
        <f t="shared" si="31"/>
        <v>0</v>
      </c>
      <c r="L616" s="17">
        <f t="shared" si="30"/>
        <v>0</v>
      </c>
    </row>
    <row r="617" spans="1:12" s="18" customFormat="1" outlineLevel="3">
      <c r="A617" s="12" t="s">
        <v>402</v>
      </c>
      <c r="B617" s="12" t="s">
        <v>774</v>
      </c>
      <c r="C617" s="12" t="s">
        <v>145</v>
      </c>
      <c r="D617" s="12" t="s">
        <v>145</v>
      </c>
      <c r="E617" s="12" t="s">
        <v>775</v>
      </c>
      <c r="F617" s="13">
        <v>45870</v>
      </c>
      <c r="G617" s="16">
        <v>1392.84</v>
      </c>
      <c r="H617" s="16"/>
      <c r="I617" s="16"/>
      <c r="J617" s="16">
        <v>1407.52</v>
      </c>
      <c r="K617" s="16">
        <f t="shared" si="31"/>
        <v>-14.680000000000064</v>
      </c>
      <c r="L617" s="17">
        <f t="shared" si="30"/>
        <v>-1.0429691940434284E-2</v>
      </c>
    </row>
    <row r="618" spans="1:12" s="18" customFormat="1" outlineLevel="3">
      <c r="A618" s="12" t="s">
        <v>402</v>
      </c>
      <c r="B618" s="12" t="s">
        <v>774</v>
      </c>
      <c r="C618" s="12" t="s">
        <v>131</v>
      </c>
      <c r="D618" s="12" t="s">
        <v>131</v>
      </c>
      <c r="E618" s="12" t="s">
        <v>775</v>
      </c>
      <c r="F618" s="13">
        <v>45870</v>
      </c>
      <c r="G618" s="16">
        <v>6981.87</v>
      </c>
      <c r="H618" s="16"/>
      <c r="I618" s="16"/>
      <c r="J618" s="16">
        <v>6981.87</v>
      </c>
      <c r="K618" s="16">
        <f t="shared" si="31"/>
        <v>0</v>
      </c>
      <c r="L618" s="17">
        <f t="shared" si="30"/>
        <v>0</v>
      </c>
    </row>
    <row r="619" spans="1:12" s="18" customFormat="1" outlineLevel="2">
      <c r="A619" s="12"/>
      <c r="B619" s="7" t="s">
        <v>776</v>
      </c>
      <c r="C619" s="12"/>
      <c r="D619" s="12"/>
      <c r="E619" s="12"/>
      <c r="F619" s="13"/>
      <c r="G619" s="16">
        <f>SUBTOTAL(9,G614:G618)</f>
        <v>9049.61</v>
      </c>
      <c r="H619" s="16"/>
      <c r="I619" s="16">
        <f>SUBTOTAL(9,I614:I618)</f>
        <v>0</v>
      </c>
      <c r="J619" s="16">
        <f>SUBTOTAL(9,J614:J618)</f>
        <v>9064.2900000000009</v>
      </c>
      <c r="K619" s="16">
        <f>SUBTOTAL(9,K614:K618)</f>
        <v>-14.680000000000064</v>
      </c>
      <c r="L619" s="17"/>
    </row>
    <row r="620" spans="1:12" s="18" customFormat="1" outlineLevel="3">
      <c r="A620" s="12" t="s">
        <v>402</v>
      </c>
      <c r="B620" s="12" t="s">
        <v>777</v>
      </c>
      <c r="C620" s="12" t="s">
        <v>145</v>
      </c>
      <c r="D620" s="12" t="s">
        <v>183</v>
      </c>
      <c r="E620" s="12" t="s">
        <v>778</v>
      </c>
      <c r="F620" s="13">
        <v>45870</v>
      </c>
      <c r="G620" s="16">
        <v>1868.75</v>
      </c>
      <c r="H620" s="16"/>
      <c r="I620" s="16"/>
      <c r="J620" s="16">
        <v>1868.75</v>
      </c>
      <c r="K620" s="16">
        <f t="shared" si="31"/>
        <v>0</v>
      </c>
      <c r="L620" s="17">
        <f t="shared" si="30"/>
        <v>0</v>
      </c>
    </row>
    <row r="621" spans="1:12" s="18" customFormat="1" outlineLevel="3">
      <c r="A621" s="12" t="s">
        <v>402</v>
      </c>
      <c r="B621" s="12" t="s">
        <v>777</v>
      </c>
      <c r="C621" s="12" t="s">
        <v>131</v>
      </c>
      <c r="D621" s="12" t="s">
        <v>131</v>
      </c>
      <c r="E621" s="12" t="s">
        <v>779</v>
      </c>
      <c r="F621" s="13">
        <v>45870</v>
      </c>
      <c r="G621" s="16">
        <v>10860.92</v>
      </c>
      <c r="H621" s="16"/>
      <c r="I621" s="16"/>
      <c r="J621" s="16">
        <v>10860.92</v>
      </c>
      <c r="K621" s="16">
        <f t="shared" si="31"/>
        <v>0</v>
      </c>
      <c r="L621" s="17">
        <f t="shared" si="30"/>
        <v>0</v>
      </c>
    </row>
    <row r="622" spans="1:12" s="18" customFormat="1" outlineLevel="2">
      <c r="A622" s="12"/>
      <c r="B622" s="7" t="s">
        <v>780</v>
      </c>
      <c r="C622" s="12"/>
      <c r="D622" s="12"/>
      <c r="E622" s="12"/>
      <c r="F622" s="13"/>
      <c r="G622" s="16">
        <f>SUBTOTAL(9,G620:G621)</f>
        <v>12729.67</v>
      </c>
      <c r="H622" s="16"/>
      <c r="I622" s="16">
        <f>SUBTOTAL(9,I620:I621)</f>
        <v>0</v>
      </c>
      <c r="J622" s="16">
        <f>SUBTOTAL(9,J620:J621)</f>
        <v>12729.67</v>
      </c>
      <c r="K622" s="16">
        <f>SUBTOTAL(9,K620:K621)</f>
        <v>0</v>
      </c>
      <c r="L622" s="17"/>
    </row>
    <row r="623" spans="1:12" s="18" customFormat="1" outlineLevel="3">
      <c r="A623" s="12" t="s">
        <v>402</v>
      </c>
      <c r="B623" s="12" t="s">
        <v>781</v>
      </c>
      <c r="C623" s="12" t="s">
        <v>141</v>
      </c>
      <c r="D623" s="12" t="s">
        <v>141</v>
      </c>
      <c r="E623" s="12" t="s">
        <v>782</v>
      </c>
      <c r="F623" s="13">
        <v>45884</v>
      </c>
      <c r="G623" s="16">
        <v>309.24</v>
      </c>
      <c r="H623" s="16"/>
      <c r="I623" s="16"/>
      <c r="J623" s="16">
        <v>309.24</v>
      </c>
      <c r="K623" s="16">
        <f t="shared" si="31"/>
        <v>0</v>
      </c>
      <c r="L623" s="17">
        <f t="shared" si="30"/>
        <v>0</v>
      </c>
    </row>
    <row r="624" spans="1:12" s="18" customFormat="1" outlineLevel="2">
      <c r="A624" s="12"/>
      <c r="B624" s="7" t="s">
        <v>783</v>
      </c>
      <c r="C624" s="12"/>
      <c r="D624" s="12"/>
      <c r="E624" s="12"/>
      <c r="F624" s="13"/>
      <c r="G624" s="16">
        <f>SUBTOTAL(9,G623:G623)</f>
        <v>309.24</v>
      </c>
      <c r="H624" s="16"/>
      <c r="I624" s="16">
        <f>SUBTOTAL(9,I623:I623)</f>
        <v>0</v>
      </c>
      <c r="J624" s="16">
        <f>SUBTOTAL(9,J623:J623)</f>
        <v>309.24</v>
      </c>
      <c r="K624" s="16">
        <f>SUBTOTAL(9,K623:K623)</f>
        <v>0</v>
      </c>
      <c r="L624" s="17"/>
    </row>
    <row r="625" spans="1:13" s="18" customFormat="1" outlineLevel="3">
      <c r="A625" s="12" t="s">
        <v>402</v>
      </c>
      <c r="B625" s="12" t="s">
        <v>784</v>
      </c>
      <c r="C625" s="12" t="s">
        <v>145</v>
      </c>
      <c r="D625" s="12" t="s">
        <v>145</v>
      </c>
      <c r="E625" s="12" t="s">
        <v>785</v>
      </c>
      <c r="F625" s="13">
        <v>45870</v>
      </c>
      <c r="G625" s="16">
        <v>97.05</v>
      </c>
      <c r="H625" s="16"/>
      <c r="I625" s="16"/>
      <c r="J625" s="16">
        <v>97.05</v>
      </c>
      <c r="K625" s="16">
        <f t="shared" si="31"/>
        <v>0</v>
      </c>
      <c r="L625" s="17">
        <f t="shared" si="30"/>
        <v>0</v>
      </c>
    </row>
    <row r="626" spans="1:13" s="18" customFormat="1" outlineLevel="2">
      <c r="A626" s="12"/>
      <c r="B626" s="7" t="s">
        <v>786</v>
      </c>
      <c r="C626" s="12"/>
      <c r="D626" s="12"/>
      <c r="E626" s="12"/>
      <c r="F626" s="13"/>
      <c r="G626" s="16">
        <f>SUBTOTAL(9,G625:G625)</f>
        <v>97.05</v>
      </c>
      <c r="H626" s="16"/>
      <c r="I626" s="16">
        <f>SUBTOTAL(9,I625:I625)</f>
        <v>0</v>
      </c>
      <c r="J626" s="16">
        <f>SUBTOTAL(9,J625:J625)</f>
        <v>97.05</v>
      </c>
      <c r="K626" s="16">
        <f>SUBTOTAL(9,K625:K625)</f>
        <v>0</v>
      </c>
      <c r="L626" s="17"/>
    </row>
    <row r="627" spans="1:13" s="18" customFormat="1" outlineLevel="3">
      <c r="A627" s="12" t="s">
        <v>402</v>
      </c>
      <c r="B627" s="12" t="s">
        <v>787</v>
      </c>
      <c r="C627" s="12" t="s">
        <v>175</v>
      </c>
      <c r="D627" s="12" t="s">
        <v>176</v>
      </c>
      <c r="E627" s="12" t="s">
        <v>788</v>
      </c>
      <c r="F627" s="13">
        <v>45884</v>
      </c>
      <c r="G627" s="16">
        <v>165</v>
      </c>
      <c r="H627" s="16"/>
      <c r="I627" s="16"/>
      <c r="J627" s="16">
        <v>165</v>
      </c>
      <c r="K627" s="16">
        <f t="shared" si="31"/>
        <v>0</v>
      </c>
      <c r="L627" s="17">
        <f t="shared" si="30"/>
        <v>0</v>
      </c>
    </row>
    <row r="628" spans="1:13" s="18" customFormat="1" outlineLevel="3">
      <c r="A628" s="12" t="s">
        <v>402</v>
      </c>
      <c r="B628" s="12" t="s">
        <v>787</v>
      </c>
      <c r="C628" s="12" t="s">
        <v>141</v>
      </c>
      <c r="D628" s="12" t="s">
        <v>141</v>
      </c>
      <c r="E628" s="12" t="s">
        <v>788</v>
      </c>
      <c r="F628" s="13">
        <v>45884</v>
      </c>
      <c r="G628" s="16">
        <v>229.5</v>
      </c>
      <c r="H628" s="16"/>
      <c r="I628" s="16"/>
      <c r="J628" s="16">
        <v>195.5</v>
      </c>
      <c r="K628" s="16">
        <f t="shared" si="31"/>
        <v>34</v>
      </c>
      <c r="L628" s="17">
        <f t="shared" si="30"/>
        <v>0.17391304347826086</v>
      </c>
    </row>
    <row r="629" spans="1:13" s="18" customFormat="1" outlineLevel="3">
      <c r="A629" s="12" t="s">
        <v>402</v>
      </c>
      <c r="B629" s="12" t="s">
        <v>787</v>
      </c>
      <c r="C629" s="12" t="s">
        <v>145</v>
      </c>
      <c r="D629" s="12" t="s">
        <v>145</v>
      </c>
      <c r="E629" s="12" t="s">
        <v>788</v>
      </c>
      <c r="F629" s="13">
        <v>45884</v>
      </c>
      <c r="G629" s="16">
        <v>437</v>
      </c>
      <c r="H629" s="16"/>
      <c r="I629" s="16"/>
      <c r="J629" s="16">
        <v>450</v>
      </c>
      <c r="K629" s="16">
        <f t="shared" si="31"/>
        <v>-13</v>
      </c>
      <c r="L629" s="17">
        <f t="shared" si="30"/>
        <v>-2.8888888888888888E-2</v>
      </c>
    </row>
    <row r="630" spans="1:13" outlineLevel="3">
      <c r="A630" s="12" t="s">
        <v>402</v>
      </c>
      <c r="B630" s="12" t="s">
        <v>787</v>
      </c>
      <c r="C630" s="12" t="s">
        <v>131</v>
      </c>
      <c r="D630" s="12" t="s">
        <v>131</v>
      </c>
      <c r="E630" s="12" t="s">
        <v>788</v>
      </c>
      <c r="F630" s="13">
        <v>45884</v>
      </c>
      <c r="G630" s="16">
        <v>2849</v>
      </c>
      <c r="H630" s="16"/>
      <c r="I630" s="16"/>
      <c r="J630" s="16">
        <v>3178</v>
      </c>
      <c r="K630" s="16">
        <f t="shared" si="31"/>
        <v>-329</v>
      </c>
      <c r="L630" s="17">
        <f t="shared" si="30"/>
        <v>-0.10352422907488987</v>
      </c>
      <c r="M630" s="18"/>
    </row>
    <row r="631" spans="1:13" outlineLevel="2">
      <c r="B631" s="7" t="s">
        <v>789</v>
      </c>
      <c r="F631" s="13"/>
      <c r="G631" s="16">
        <f>SUBTOTAL(9,G627:G630)</f>
        <v>3680.5</v>
      </c>
      <c r="H631" s="16"/>
      <c r="I631" s="16">
        <f>SUBTOTAL(9,I627:I630)</f>
        <v>0</v>
      </c>
      <c r="J631" s="16">
        <f>SUBTOTAL(9,J627:J630)</f>
        <v>3988.5</v>
      </c>
      <c r="K631" s="16">
        <f>SUBTOTAL(9,K627:K630)</f>
        <v>-308</v>
      </c>
      <c r="L631" s="17"/>
      <c r="M631" s="18"/>
    </row>
    <row r="632" spans="1:13" outlineLevel="3">
      <c r="A632" s="12" t="s">
        <v>402</v>
      </c>
      <c r="B632" s="12" t="s">
        <v>790</v>
      </c>
      <c r="C632" s="12" t="s">
        <v>175</v>
      </c>
      <c r="D632" s="12" t="s">
        <v>175</v>
      </c>
      <c r="E632" s="12" t="s">
        <v>791</v>
      </c>
      <c r="F632" s="13">
        <v>45870</v>
      </c>
      <c r="G632" s="16">
        <v>20</v>
      </c>
      <c r="H632" s="16"/>
      <c r="I632" s="16"/>
      <c r="J632" s="16">
        <v>20</v>
      </c>
      <c r="K632" s="16">
        <f t="shared" si="31"/>
        <v>0</v>
      </c>
      <c r="L632" s="17">
        <f t="shared" si="30"/>
        <v>0</v>
      </c>
      <c r="M632" s="18"/>
    </row>
    <row r="633" spans="1:13" outlineLevel="3">
      <c r="A633" s="12" t="s">
        <v>402</v>
      </c>
      <c r="B633" s="12" t="s">
        <v>790</v>
      </c>
      <c r="C633" s="12" t="s">
        <v>141</v>
      </c>
      <c r="D633" s="12" t="s">
        <v>141</v>
      </c>
      <c r="E633" s="12" t="s">
        <v>791</v>
      </c>
      <c r="F633" s="13">
        <v>45870</v>
      </c>
      <c r="G633" s="16">
        <v>110.5</v>
      </c>
      <c r="H633" s="16"/>
      <c r="I633" s="16"/>
      <c r="J633" s="16">
        <v>110.5</v>
      </c>
      <c r="K633" s="16">
        <f t="shared" si="31"/>
        <v>0</v>
      </c>
      <c r="L633" s="17">
        <f t="shared" si="30"/>
        <v>0</v>
      </c>
      <c r="M633" s="18"/>
    </row>
    <row r="634" spans="1:13" outlineLevel="3">
      <c r="A634" s="12" t="s">
        <v>402</v>
      </c>
      <c r="B634" s="12" t="s">
        <v>790</v>
      </c>
      <c r="C634" s="12" t="s">
        <v>145</v>
      </c>
      <c r="D634" s="12" t="s">
        <v>145</v>
      </c>
      <c r="E634" s="12" t="s">
        <v>791</v>
      </c>
      <c r="F634" s="13">
        <v>45870</v>
      </c>
      <c r="G634" s="16">
        <v>854</v>
      </c>
      <c r="H634" s="16"/>
      <c r="I634" s="16"/>
      <c r="J634" s="16">
        <v>854</v>
      </c>
      <c r="K634" s="16">
        <f t="shared" si="31"/>
        <v>0</v>
      </c>
      <c r="L634" s="17">
        <f t="shared" si="30"/>
        <v>0</v>
      </c>
      <c r="M634" s="18"/>
    </row>
    <row r="635" spans="1:13" outlineLevel="3">
      <c r="A635" s="12" t="s">
        <v>402</v>
      </c>
      <c r="B635" s="12" t="s">
        <v>790</v>
      </c>
      <c r="C635" s="12" t="s">
        <v>131</v>
      </c>
      <c r="D635" s="12" t="s">
        <v>131</v>
      </c>
      <c r="E635" s="12" t="s">
        <v>791</v>
      </c>
      <c r="F635" s="13">
        <v>45870</v>
      </c>
      <c r="G635" s="16">
        <v>2868.42</v>
      </c>
      <c r="H635" s="16"/>
      <c r="I635" s="16"/>
      <c r="J635" s="16">
        <v>2868.42</v>
      </c>
      <c r="K635" s="16">
        <f t="shared" si="31"/>
        <v>0</v>
      </c>
      <c r="L635" s="17">
        <f t="shared" si="30"/>
        <v>0</v>
      </c>
      <c r="M635" s="18"/>
    </row>
    <row r="636" spans="1:13" outlineLevel="2">
      <c r="B636" s="7" t="s">
        <v>792</v>
      </c>
      <c r="F636" s="13"/>
      <c r="G636" s="16">
        <f>SUBTOTAL(9,G632:G635)</f>
        <v>3852.92</v>
      </c>
      <c r="H636" s="16"/>
      <c r="I636" s="16">
        <f>SUBTOTAL(9,I632:I635)</f>
        <v>0</v>
      </c>
      <c r="J636" s="16">
        <f>SUBTOTAL(9,J632:J635)</f>
        <v>3852.92</v>
      </c>
      <c r="K636" s="16">
        <f>SUBTOTAL(9,K632:K635)</f>
        <v>0</v>
      </c>
      <c r="L636" s="17"/>
      <c r="M636" s="18"/>
    </row>
    <row r="637" spans="1:13" outlineLevel="3">
      <c r="A637" s="12" t="s">
        <v>402</v>
      </c>
      <c r="B637" s="12" t="s">
        <v>793</v>
      </c>
      <c r="C637" s="12" t="s">
        <v>175</v>
      </c>
      <c r="D637" s="12" t="s">
        <v>175</v>
      </c>
      <c r="E637" s="12" t="s">
        <v>794</v>
      </c>
      <c r="F637" s="13">
        <v>45870</v>
      </c>
      <c r="G637" s="16">
        <v>577.02</v>
      </c>
      <c r="H637" s="16"/>
      <c r="I637" s="16"/>
      <c r="J637" s="16">
        <v>564.29999999999995</v>
      </c>
      <c r="K637" s="16">
        <f t="shared" si="31"/>
        <v>12.720000000000027</v>
      </c>
      <c r="L637" s="17">
        <f t="shared" si="30"/>
        <v>2.2541201488569959E-2</v>
      </c>
      <c r="M637" s="18"/>
    </row>
    <row r="638" spans="1:13" outlineLevel="3">
      <c r="A638" s="12" t="s">
        <v>402</v>
      </c>
      <c r="B638" s="12" t="s">
        <v>793</v>
      </c>
      <c r="C638" s="12" t="s">
        <v>141</v>
      </c>
      <c r="D638" s="12" t="s">
        <v>141</v>
      </c>
      <c r="E638" s="12" t="s">
        <v>795</v>
      </c>
      <c r="F638" s="13">
        <v>45870</v>
      </c>
      <c r="G638" s="16">
        <v>684.60260000000005</v>
      </c>
      <c r="H638" s="16"/>
      <c r="I638" s="16"/>
      <c r="J638" s="16">
        <v>332.59820000000002</v>
      </c>
      <c r="K638" s="16">
        <f t="shared" si="31"/>
        <v>352.00440000000003</v>
      </c>
      <c r="L638" s="17">
        <f t="shared" si="30"/>
        <v>1.0583472790893036</v>
      </c>
      <c r="M638" s="18"/>
    </row>
    <row r="639" spans="1:13" ht="30" outlineLevel="3">
      <c r="A639" s="12" t="s">
        <v>402</v>
      </c>
      <c r="B639" s="12" t="s">
        <v>793</v>
      </c>
      <c r="C639" s="12" t="s">
        <v>145</v>
      </c>
      <c r="D639" s="12" t="s">
        <v>145</v>
      </c>
      <c r="E639" s="12" t="s">
        <v>795</v>
      </c>
      <c r="F639" s="13">
        <v>45870</v>
      </c>
      <c r="G639" s="16">
        <f>8555</f>
        <v>8555</v>
      </c>
      <c r="H639" s="16"/>
      <c r="I639" s="16">
        <v>-4000</v>
      </c>
      <c r="J639" s="16">
        <v>8476</v>
      </c>
      <c r="K639" s="16">
        <f>SUM(G639:I639)-J639</f>
        <v>-3921</v>
      </c>
      <c r="L639" s="17">
        <f t="shared" si="30"/>
        <v>-0.4626002831524304</v>
      </c>
      <c r="M639" s="18" t="s">
        <v>796</v>
      </c>
    </row>
    <row r="640" spans="1:13" outlineLevel="3">
      <c r="A640" s="12" t="s">
        <v>402</v>
      </c>
      <c r="B640" s="12" t="s">
        <v>793</v>
      </c>
      <c r="C640" s="12" t="s">
        <v>131</v>
      </c>
      <c r="D640" s="12" t="s">
        <v>131</v>
      </c>
      <c r="E640" s="12" t="s">
        <v>795</v>
      </c>
      <c r="F640" s="13">
        <v>45870</v>
      </c>
      <c r="G640" s="16">
        <f>16580</f>
        <v>16580</v>
      </c>
      <c r="H640" s="16"/>
      <c r="I640" s="16">
        <v>-1520</v>
      </c>
      <c r="J640" s="16">
        <v>15870.0018</v>
      </c>
      <c r="K640" s="16">
        <f>SUM(G640:I640)-J640</f>
        <v>-810.0018</v>
      </c>
      <c r="L640" s="17">
        <f t="shared" si="30"/>
        <v>-5.1039805175069355E-2</v>
      </c>
      <c r="M640" s="18" t="s">
        <v>797</v>
      </c>
    </row>
    <row r="641" spans="1:13" outlineLevel="2">
      <c r="B641" s="7" t="s">
        <v>798</v>
      </c>
      <c r="F641" s="13"/>
      <c r="G641" s="16">
        <f>SUBTOTAL(9,G637:G640)</f>
        <v>26396.622600000002</v>
      </c>
      <c r="H641" s="16"/>
      <c r="I641" s="16">
        <f>SUBTOTAL(9,I637:I640)</f>
        <v>-5520</v>
      </c>
      <c r="J641" s="16">
        <f>SUBTOTAL(9,J637:J640)</f>
        <v>25242.9</v>
      </c>
      <c r="K641" s="16">
        <f>SUBTOTAL(9,K637:K640)</f>
        <v>-4366.2773999999999</v>
      </c>
      <c r="L641" s="17"/>
      <c r="M641" s="18"/>
    </row>
    <row r="642" spans="1:13" outlineLevel="3">
      <c r="A642" s="12" t="s">
        <v>402</v>
      </c>
      <c r="B642" s="12" t="s">
        <v>799</v>
      </c>
      <c r="C642" s="12" t="s">
        <v>407</v>
      </c>
      <c r="D642" s="12" t="s">
        <v>407</v>
      </c>
      <c r="E642" s="12" t="s">
        <v>800</v>
      </c>
      <c r="F642" s="13">
        <v>45884</v>
      </c>
      <c r="G642" s="16">
        <v>1746.16</v>
      </c>
      <c r="H642" s="16"/>
      <c r="I642" s="16"/>
      <c r="J642" s="16">
        <v>1746.16</v>
      </c>
      <c r="K642" s="16">
        <f t="shared" si="31"/>
        <v>0</v>
      </c>
      <c r="L642" s="17">
        <f t="shared" si="30"/>
        <v>0</v>
      </c>
      <c r="M642" s="18"/>
    </row>
    <row r="643" spans="1:13" outlineLevel="3">
      <c r="A643" s="12" t="s">
        <v>402</v>
      </c>
      <c r="B643" s="12" t="s">
        <v>799</v>
      </c>
      <c r="C643" s="12" t="s">
        <v>175</v>
      </c>
      <c r="D643" s="12" t="s">
        <v>175</v>
      </c>
      <c r="E643" s="12" t="s">
        <v>800</v>
      </c>
      <c r="F643" s="13">
        <v>45884</v>
      </c>
      <c r="G643" s="16">
        <v>176</v>
      </c>
      <c r="H643" s="16"/>
      <c r="I643" s="16"/>
      <c r="J643" s="16">
        <v>176</v>
      </c>
      <c r="K643" s="16">
        <f t="shared" si="31"/>
        <v>0</v>
      </c>
      <c r="L643" s="17">
        <f t="shared" si="30"/>
        <v>0</v>
      </c>
      <c r="M643" s="18"/>
    </row>
    <row r="644" spans="1:13" outlineLevel="3">
      <c r="A644" s="12" t="s">
        <v>402</v>
      </c>
      <c r="B644" s="12" t="s">
        <v>799</v>
      </c>
      <c r="C644" s="12" t="s">
        <v>141</v>
      </c>
      <c r="D644" s="12" t="s">
        <v>141</v>
      </c>
      <c r="E644" s="12" t="s">
        <v>800</v>
      </c>
      <c r="F644" s="13">
        <v>45884</v>
      </c>
      <c r="G644" s="16">
        <v>368.58</v>
      </c>
      <c r="H644" s="16"/>
      <c r="I644" s="16"/>
      <c r="J644" s="16">
        <v>368.58</v>
      </c>
      <c r="K644" s="16">
        <f t="shared" si="31"/>
        <v>0</v>
      </c>
      <c r="L644" s="17">
        <f t="shared" si="30"/>
        <v>0</v>
      </c>
      <c r="M644" s="18"/>
    </row>
    <row r="645" spans="1:13" outlineLevel="3">
      <c r="A645" s="12" t="s">
        <v>402</v>
      </c>
      <c r="B645" s="12" t="s">
        <v>799</v>
      </c>
      <c r="C645" s="12" t="s">
        <v>145</v>
      </c>
      <c r="D645" s="12" t="s">
        <v>145</v>
      </c>
      <c r="E645" s="12" t="s">
        <v>800</v>
      </c>
      <c r="F645" s="13">
        <v>45884</v>
      </c>
      <c r="G645" s="16">
        <v>70</v>
      </c>
      <c r="H645" s="16"/>
      <c r="I645" s="16"/>
      <c r="J645" s="16">
        <v>70</v>
      </c>
      <c r="K645" s="16">
        <f t="shared" si="31"/>
        <v>0</v>
      </c>
      <c r="L645" s="17">
        <f t="shared" si="30"/>
        <v>0</v>
      </c>
      <c r="M645" s="18"/>
    </row>
    <row r="646" spans="1:13" s="18" customFormat="1" outlineLevel="3">
      <c r="A646" s="12" t="s">
        <v>402</v>
      </c>
      <c r="B646" s="12" t="s">
        <v>799</v>
      </c>
      <c r="C646" s="12" t="s">
        <v>464</v>
      </c>
      <c r="D646" s="12" t="s">
        <v>464</v>
      </c>
      <c r="E646" s="12" t="s">
        <v>800</v>
      </c>
      <c r="F646" s="13">
        <v>45884</v>
      </c>
      <c r="G646" s="16">
        <v>250</v>
      </c>
      <c r="H646" s="16"/>
      <c r="I646" s="16"/>
      <c r="J646" s="16">
        <v>250</v>
      </c>
      <c r="K646" s="16">
        <f t="shared" si="31"/>
        <v>0</v>
      </c>
      <c r="L646" s="17">
        <f t="shared" si="30"/>
        <v>0</v>
      </c>
    </row>
    <row r="647" spans="1:13" s="18" customFormat="1" outlineLevel="2">
      <c r="A647" s="12"/>
      <c r="B647" s="7" t="s">
        <v>801</v>
      </c>
      <c r="C647" s="12"/>
      <c r="D647" s="12"/>
      <c r="E647" s="12"/>
      <c r="F647" s="13"/>
      <c r="G647" s="16">
        <f>SUBTOTAL(9,G642:G646)</f>
        <v>2610.7400000000002</v>
      </c>
      <c r="H647" s="16"/>
      <c r="I647" s="16">
        <f>SUBTOTAL(9,I642:I646)</f>
        <v>0</v>
      </c>
      <c r="J647" s="16">
        <f>SUBTOTAL(9,J642:J646)</f>
        <v>2610.7400000000002</v>
      </c>
      <c r="K647" s="16">
        <f>SUBTOTAL(9,K642:K646)</f>
        <v>0</v>
      </c>
      <c r="L647" s="17"/>
    </row>
    <row r="648" spans="1:13" s="18" customFormat="1" outlineLevel="3">
      <c r="A648" s="12" t="s">
        <v>402</v>
      </c>
      <c r="B648" s="12" t="s">
        <v>802</v>
      </c>
      <c r="C648" s="12" t="s">
        <v>175</v>
      </c>
      <c r="D648" s="12" t="s">
        <v>176</v>
      </c>
      <c r="E648" s="12" t="s">
        <v>803</v>
      </c>
      <c r="F648" s="13">
        <v>45870</v>
      </c>
      <c r="G648" s="16">
        <v>129.62</v>
      </c>
      <c r="H648" s="16"/>
      <c r="I648" s="16"/>
      <c r="J648" s="16">
        <v>129.62</v>
      </c>
      <c r="K648" s="16">
        <f t="shared" si="31"/>
        <v>0</v>
      </c>
      <c r="L648" s="17">
        <f t="shared" si="30"/>
        <v>0</v>
      </c>
    </row>
    <row r="649" spans="1:13" s="18" customFormat="1" outlineLevel="3">
      <c r="A649" s="12" t="s">
        <v>402</v>
      </c>
      <c r="B649" s="12" t="s">
        <v>802</v>
      </c>
      <c r="C649" s="12" t="s">
        <v>141</v>
      </c>
      <c r="D649" s="12" t="s">
        <v>167</v>
      </c>
      <c r="E649" s="12" t="s">
        <v>803</v>
      </c>
      <c r="F649" s="13">
        <v>45870</v>
      </c>
      <c r="G649" s="16">
        <v>108</v>
      </c>
      <c r="H649" s="16"/>
      <c r="I649" s="16"/>
      <c r="J649" s="16">
        <v>108</v>
      </c>
      <c r="K649" s="16">
        <f t="shared" si="31"/>
        <v>0</v>
      </c>
      <c r="L649" s="17">
        <f t="shared" si="30"/>
        <v>0</v>
      </c>
    </row>
    <row r="650" spans="1:13" s="18" customFormat="1" outlineLevel="3">
      <c r="A650" s="12" t="s">
        <v>402</v>
      </c>
      <c r="B650" s="12" t="s">
        <v>802</v>
      </c>
      <c r="C650" s="12" t="s">
        <v>145</v>
      </c>
      <c r="D650" s="12" t="s">
        <v>145</v>
      </c>
      <c r="E650" s="12" t="s">
        <v>803</v>
      </c>
      <c r="F650" s="13">
        <v>45870</v>
      </c>
      <c r="G650" s="16">
        <v>685</v>
      </c>
      <c r="H650" s="16"/>
      <c r="I650" s="16"/>
      <c r="J650" s="16">
        <v>695</v>
      </c>
      <c r="K650" s="16">
        <f t="shared" si="31"/>
        <v>-10</v>
      </c>
      <c r="L650" s="17">
        <f t="shared" si="30"/>
        <v>-1.4388489208633094E-2</v>
      </c>
    </row>
    <row r="651" spans="1:13" s="18" customFormat="1" outlineLevel="3">
      <c r="A651" s="12" t="s">
        <v>402</v>
      </c>
      <c r="B651" s="12" t="s">
        <v>802</v>
      </c>
      <c r="C651" s="12" t="s">
        <v>131</v>
      </c>
      <c r="D651" s="12" t="s">
        <v>131</v>
      </c>
      <c r="E651" s="12" t="s">
        <v>803</v>
      </c>
      <c r="F651" s="13">
        <v>45870</v>
      </c>
      <c r="G651" s="16">
        <v>2255.6999999999998</v>
      </c>
      <c r="H651" s="16"/>
      <c r="I651" s="16"/>
      <c r="J651" s="16">
        <v>2255.6999999999998</v>
      </c>
      <c r="K651" s="16">
        <f t="shared" si="31"/>
        <v>0</v>
      </c>
      <c r="L651" s="17">
        <f t="shared" si="30"/>
        <v>0</v>
      </c>
    </row>
    <row r="652" spans="1:13" s="18" customFormat="1" outlineLevel="2">
      <c r="A652" s="12"/>
      <c r="B652" s="7" t="s">
        <v>804</v>
      </c>
      <c r="C652" s="12"/>
      <c r="D652" s="12"/>
      <c r="E652" s="12"/>
      <c r="F652" s="13"/>
      <c r="G652" s="16">
        <f>SUBTOTAL(9,G648:G651)</f>
        <v>3178.3199999999997</v>
      </c>
      <c r="H652" s="16"/>
      <c r="I652" s="16">
        <f>SUBTOTAL(9,I648:I651)</f>
        <v>0</v>
      </c>
      <c r="J652" s="16">
        <f>SUBTOTAL(9,J648:J651)</f>
        <v>3188.3199999999997</v>
      </c>
      <c r="K652" s="16">
        <f>SUBTOTAL(9,K648:K651)</f>
        <v>-10</v>
      </c>
      <c r="L652" s="17"/>
    </row>
    <row r="653" spans="1:13" s="18" customFormat="1" outlineLevel="3">
      <c r="A653" s="12" t="s">
        <v>402</v>
      </c>
      <c r="B653" s="12" t="s">
        <v>805</v>
      </c>
      <c r="C653" s="12" t="s">
        <v>175</v>
      </c>
      <c r="D653" s="12" t="s">
        <v>175</v>
      </c>
      <c r="E653" s="12" t="s">
        <v>806</v>
      </c>
      <c r="F653" s="13">
        <v>45870</v>
      </c>
      <c r="G653" s="16">
        <v>1142.4000000000001</v>
      </c>
      <c r="H653" s="16"/>
      <c r="I653" s="16"/>
      <c r="J653" s="16">
        <v>1142.4000000000001</v>
      </c>
      <c r="K653" s="16">
        <f t="shared" si="31"/>
        <v>0</v>
      </c>
      <c r="L653" s="17">
        <f t="shared" si="30"/>
        <v>0</v>
      </c>
    </row>
    <row r="654" spans="1:13" s="18" customFormat="1" outlineLevel="3">
      <c r="A654" s="12" t="s">
        <v>402</v>
      </c>
      <c r="B654" s="12" t="s">
        <v>805</v>
      </c>
      <c r="C654" s="12" t="s">
        <v>141</v>
      </c>
      <c r="D654" s="12" t="s">
        <v>167</v>
      </c>
      <c r="E654" s="12" t="s">
        <v>806</v>
      </c>
      <c r="F654" s="13">
        <v>45870</v>
      </c>
      <c r="G654" s="16">
        <v>196</v>
      </c>
      <c r="H654" s="16"/>
      <c r="I654" s="16"/>
      <c r="J654" s="16">
        <v>196</v>
      </c>
      <c r="K654" s="16">
        <f t="shared" si="31"/>
        <v>0</v>
      </c>
      <c r="L654" s="17">
        <f t="shared" si="30"/>
        <v>0</v>
      </c>
    </row>
    <row r="655" spans="1:13" s="18" customFormat="1" outlineLevel="3">
      <c r="A655" s="12" t="s">
        <v>402</v>
      </c>
      <c r="B655" s="12" t="s">
        <v>805</v>
      </c>
      <c r="C655" s="12" t="s">
        <v>145</v>
      </c>
      <c r="D655" s="12" t="s">
        <v>169</v>
      </c>
      <c r="E655" s="12" t="s">
        <v>806</v>
      </c>
      <c r="F655" s="13">
        <v>45870</v>
      </c>
      <c r="G655" s="16">
        <v>1448</v>
      </c>
      <c r="H655" s="16"/>
      <c r="I655" s="16"/>
      <c r="J655" s="16">
        <v>1424</v>
      </c>
      <c r="K655" s="16">
        <f t="shared" si="31"/>
        <v>24</v>
      </c>
      <c r="L655" s="17">
        <f t="shared" si="30"/>
        <v>1.6853932584269662E-2</v>
      </c>
    </row>
    <row r="656" spans="1:13" s="18" customFormat="1" outlineLevel="3">
      <c r="A656" s="12" t="s">
        <v>402</v>
      </c>
      <c r="B656" s="12" t="s">
        <v>805</v>
      </c>
      <c r="C656" s="12" t="s">
        <v>131</v>
      </c>
      <c r="D656" s="12" t="s">
        <v>415</v>
      </c>
      <c r="E656" s="12" t="s">
        <v>806</v>
      </c>
      <c r="F656" s="13">
        <v>45870</v>
      </c>
      <c r="G656" s="16">
        <v>3523</v>
      </c>
      <c r="H656" s="16"/>
      <c r="I656" s="16"/>
      <c r="J656" s="16">
        <v>3530</v>
      </c>
      <c r="K656" s="16">
        <f t="shared" si="31"/>
        <v>-7</v>
      </c>
      <c r="L656" s="17">
        <f t="shared" si="30"/>
        <v>-1.9830028328611899E-3</v>
      </c>
    </row>
    <row r="657" spans="1:13" s="18" customFormat="1" outlineLevel="2">
      <c r="A657" s="12"/>
      <c r="B657" s="7" t="s">
        <v>807</v>
      </c>
      <c r="C657" s="12"/>
      <c r="D657" s="12"/>
      <c r="E657" s="12"/>
      <c r="F657" s="13"/>
      <c r="G657" s="16">
        <f>SUBTOTAL(9,G653:G656)</f>
        <v>6309.4</v>
      </c>
      <c r="H657" s="16"/>
      <c r="I657" s="16">
        <f>SUBTOTAL(9,I653:I656)</f>
        <v>0</v>
      </c>
      <c r="J657" s="16">
        <f>SUBTOTAL(9,J653:J656)</f>
        <v>6292.4</v>
      </c>
      <c r="K657" s="16">
        <f>SUBTOTAL(9,K653:K656)</f>
        <v>17</v>
      </c>
      <c r="L657" s="17"/>
    </row>
    <row r="658" spans="1:13" s="18" customFormat="1" outlineLevel="3">
      <c r="A658" s="12" t="s">
        <v>402</v>
      </c>
      <c r="B658" s="12" t="s">
        <v>808</v>
      </c>
      <c r="C658" s="12" t="s">
        <v>407</v>
      </c>
      <c r="D658" s="12" t="s">
        <v>407</v>
      </c>
      <c r="E658" s="12" t="s">
        <v>809</v>
      </c>
      <c r="F658" s="13">
        <v>45884</v>
      </c>
      <c r="G658" s="16">
        <v>450.8</v>
      </c>
      <c r="H658" s="16"/>
      <c r="I658" s="16"/>
      <c r="J658" s="16">
        <v>450.8</v>
      </c>
      <c r="K658" s="16">
        <f t="shared" si="31"/>
        <v>0</v>
      </c>
      <c r="L658" s="17">
        <f t="shared" si="30"/>
        <v>0</v>
      </c>
    </row>
    <row r="659" spans="1:13" s="18" customFormat="1" outlineLevel="3">
      <c r="A659" s="12" t="s">
        <v>402</v>
      </c>
      <c r="B659" s="12" t="s">
        <v>808</v>
      </c>
      <c r="C659" s="12" t="s">
        <v>141</v>
      </c>
      <c r="D659" s="12" t="s">
        <v>141</v>
      </c>
      <c r="E659" s="12" t="s">
        <v>809</v>
      </c>
      <c r="F659" s="13">
        <v>45884</v>
      </c>
      <c r="G659" s="16">
        <v>1277.06</v>
      </c>
      <c r="H659" s="16"/>
      <c r="I659" s="16"/>
      <c r="J659" s="16">
        <v>1277.06</v>
      </c>
      <c r="K659" s="16">
        <f t="shared" si="31"/>
        <v>0</v>
      </c>
      <c r="L659" s="17">
        <f t="shared" si="30"/>
        <v>0</v>
      </c>
    </row>
    <row r="660" spans="1:13" s="18" customFormat="1" outlineLevel="3">
      <c r="A660" s="12" t="s">
        <v>402</v>
      </c>
      <c r="B660" s="12" t="s">
        <v>808</v>
      </c>
      <c r="C660" s="12" t="s">
        <v>145</v>
      </c>
      <c r="D660" s="12" t="s">
        <v>145</v>
      </c>
      <c r="E660" s="12" t="s">
        <v>809</v>
      </c>
      <c r="F660" s="13">
        <v>45884</v>
      </c>
      <c r="G660" s="16">
        <v>84</v>
      </c>
      <c r="H660" s="16"/>
      <c r="I660" s="16"/>
      <c r="J660" s="16">
        <v>84</v>
      </c>
      <c r="K660" s="16">
        <f t="shared" si="31"/>
        <v>0</v>
      </c>
      <c r="L660" s="17">
        <f t="shared" si="30"/>
        <v>0</v>
      </c>
    </row>
    <row r="661" spans="1:13" s="18" customFormat="1" outlineLevel="2">
      <c r="A661" s="12"/>
      <c r="B661" s="7" t="s">
        <v>810</v>
      </c>
      <c r="C661" s="12"/>
      <c r="D661" s="12"/>
      <c r="E661" s="12"/>
      <c r="F661" s="13"/>
      <c r="G661" s="16">
        <f>SUBTOTAL(9,G658:G660)</f>
        <v>1811.86</v>
      </c>
      <c r="H661" s="16"/>
      <c r="I661" s="16">
        <f>SUBTOTAL(9,I658:I660)</f>
        <v>0</v>
      </c>
      <c r="J661" s="16">
        <f>SUBTOTAL(9,J658:J660)</f>
        <v>1811.86</v>
      </c>
      <c r="K661" s="16">
        <f>SUBTOTAL(9,K658:K660)</f>
        <v>0</v>
      </c>
      <c r="L661" s="17"/>
    </row>
    <row r="662" spans="1:13" outlineLevel="3">
      <c r="A662" s="12" t="s">
        <v>402</v>
      </c>
      <c r="B662" s="12" t="s">
        <v>811</v>
      </c>
      <c r="C662" s="12" t="s">
        <v>175</v>
      </c>
      <c r="D662" s="12" t="s">
        <v>176</v>
      </c>
      <c r="E662" s="12" t="s">
        <v>812</v>
      </c>
      <c r="F662" s="13">
        <v>45884</v>
      </c>
      <c r="G662" s="16">
        <v>190.5</v>
      </c>
      <c r="H662" s="16"/>
      <c r="I662" s="16"/>
      <c r="J662" s="16">
        <v>190.5</v>
      </c>
      <c r="K662" s="16">
        <f t="shared" si="31"/>
        <v>0</v>
      </c>
      <c r="L662" s="17">
        <f t="shared" si="30"/>
        <v>0</v>
      </c>
      <c r="M662" s="18"/>
    </row>
    <row r="663" spans="1:13" outlineLevel="3">
      <c r="A663" s="12" t="s">
        <v>402</v>
      </c>
      <c r="B663" s="12" t="s">
        <v>811</v>
      </c>
      <c r="C663" s="12" t="s">
        <v>175</v>
      </c>
      <c r="D663" s="12" t="s">
        <v>176</v>
      </c>
      <c r="E663" s="12" t="s">
        <v>813</v>
      </c>
      <c r="F663" s="13">
        <v>45884</v>
      </c>
      <c r="G663" s="16"/>
      <c r="H663" s="16"/>
      <c r="I663" s="16"/>
      <c r="J663" s="16"/>
      <c r="K663" s="16">
        <f t="shared" si="31"/>
        <v>0</v>
      </c>
      <c r="L663" s="17" t="e">
        <f t="shared" si="30"/>
        <v>#DIV/0!</v>
      </c>
      <c r="M663" s="18"/>
    </row>
    <row r="664" spans="1:13" outlineLevel="3">
      <c r="A664" s="12" t="s">
        <v>402</v>
      </c>
      <c r="B664" s="12" t="s">
        <v>811</v>
      </c>
      <c r="C664" s="12" t="s">
        <v>141</v>
      </c>
      <c r="D664" s="12" t="s">
        <v>141</v>
      </c>
      <c r="E664" s="12" t="s">
        <v>814</v>
      </c>
      <c r="F664" s="13">
        <v>45884</v>
      </c>
      <c r="G664" s="16">
        <v>152</v>
      </c>
      <c r="H664" s="16"/>
      <c r="I664" s="16"/>
      <c r="J664" s="16">
        <v>330.51</v>
      </c>
      <c r="K664" s="16">
        <f t="shared" si="31"/>
        <v>-178.51</v>
      </c>
      <c r="L664" s="17">
        <f t="shared" si="30"/>
        <v>-0.54010468669631784</v>
      </c>
      <c r="M664" s="18"/>
    </row>
    <row r="665" spans="1:13" outlineLevel="3">
      <c r="A665" s="12" t="s">
        <v>402</v>
      </c>
      <c r="B665" s="12" t="s">
        <v>811</v>
      </c>
      <c r="C665" s="12" t="s">
        <v>145</v>
      </c>
      <c r="D665" s="12" t="s">
        <v>145</v>
      </c>
      <c r="E665" s="12" t="s">
        <v>814</v>
      </c>
      <c r="F665" s="13">
        <v>45884</v>
      </c>
      <c r="G665" s="16">
        <v>862</v>
      </c>
      <c r="H665" s="16"/>
      <c r="I665" s="16"/>
      <c r="J665" s="16">
        <v>920</v>
      </c>
      <c r="K665" s="16">
        <f t="shared" si="31"/>
        <v>-58</v>
      </c>
      <c r="L665" s="17">
        <f t="shared" si="30"/>
        <v>-6.3043478260869562E-2</v>
      </c>
      <c r="M665" s="18"/>
    </row>
    <row r="666" spans="1:13" outlineLevel="3">
      <c r="A666" s="12" t="s">
        <v>402</v>
      </c>
      <c r="B666" s="12" t="s">
        <v>811</v>
      </c>
      <c r="C666" s="12" t="s">
        <v>131</v>
      </c>
      <c r="D666" s="12" t="s">
        <v>131</v>
      </c>
      <c r="E666" s="12" t="s">
        <v>815</v>
      </c>
      <c r="F666" s="13">
        <v>45884</v>
      </c>
      <c r="G666" s="16"/>
      <c r="H666" s="16"/>
      <c r="I666" s="16"/>
      <c r="J666" s="16"/>
      <c r="K666" s="16">
        <f t="shared" si="31"/>
        <v>0</v>
      </c>
      <c r="L666" s="17" t="e">
        <f t="shared" si="30"/>
        <v>#DIV/0!</v>
      </c>
      <c r="M666" s="18"/>
    </row>
    <row r="667" spans="1:13" outlineLevel="3">
      <c r="A667" s="12" t="s">
        <v>402</v>
      </c>
      <c r="B667" s="12" t="s">
        <v>811</v>
      </c>
      <c r="C667" s="12" t="s">
        <v>131</v>
      </c>
      <c r="D667" s="12" t="s">
        <v>131</v>
      </c>
      <c r="E667" s="12" t="s">
        <v>814</v>
      </c>
      <c r="F667" s="13">
        <v>45884</v>
      </c>
      <c r="G667" s="16">
        <v>1517.52</v>
      </c>
      <c r="H667" s="16"/>
      <c r="I667" s="16"/>
      <c r="J667" s="16">
        <v>1517.52</v>
      </c>
      <c r="K667" s="16">
        <f t="shared" si="31"/>
        <v>0</v>
      </c>
      <c r="L667" s="17">
        <f t="shared" si="30"/>
        <v>0</v>
      </c>
      <c r="M667" s="18"/>
    </row>
    <row r="668" spans="1:13" outlineLevel="2">
      <c r="B668" s="7" t="s">
        <v>816</v>
      </c>
      <c r="F668" s="13"/>
      <c r="G668" s="16">
        <f>SUBTOTAL(9,G662:G667)</f>
        <v>2722.02</v>
      </c>
      <c r="H668" s="16"/>
      <c r="I668" s="16">
        <f>SUBTOTAL(9,I662:I667)</f>
        <v>0</v>
      </c>
      <c r="J668" s="16">
        <f>SUBTOTAL(9,J662:J667)</f>
        <v>2958.5299999999997</v>
      </c>
      <c r="K668" s="16">
        <f>SUBTOTAL(9,K662:K667)</f>
        <v>-236.51</v>
      </c>
      <c r="L668" s="17"/>
      <c r="M668" s="18"/>
    </row>
    <row r="669" spans="1:13" outlineLevel="3">
      <c r="A669" s="12" t="s">
        <v>402</v>
      </c>
      <c r="B669" s="12" t="s">
        <v>817</v>
      </c>
      <c r="C669" s="12" t="s">
        <v>175</v>
      </c>
      <c r="D669" s="12" t="s">
        <v>176</v>
      </c>
      <c r="E669" s="12" t="s">
        <v>818</v>
      </c>
      <c r="F669" s="13">
        <v>45870</v>
      </c>
      <c r="G669" s="16">
        <v>1724.4</v>
      </c>
      <c r="H669" s="16"/>
      <c r="I669" s="16"/>
      <c r="J669" s="16">
        <v>1815.6</v>
      </c>
      <c r="K669" s="16">
        <f t="shared" si="31"/>
        <v>-91.199999999999818</v>
      </c>
      <c r="L669" s="17">
        <f t="shared" si="30"/>
        <v>-5.0231328486450663E-2</v>
      </c>
      <c r="M669" s="18"/>
    </row>
    <row r="670" spans="1:13" outlineLevel="3">
      <c r="A670" s="12" t="s">
        <v>402</v>
      </c>
      <c r="B670" s="12" t="s">
        <v>817</v>
      </c>
      <c r="C670" s="12" t="s">
        <v>141</v>
      </c>
      <c r="D670" s="12" t="s">
        <v>141</v>
      </c>
      <c r="E670" s="12" t="s">
        <v>818</v>
      </c>
      <c r="F670" s="13">
        <v>45870</v>
      </c>
      <c r="G670" s="16">
        <v>923</v>
      </c>
      <c r="H670" s="16"/>
      <c r="I670" s="16"/>
      <c r="J670" s="16">
        <v>918</v>
      </c>
      <c r="K670" s="16">
        <f t="shared" si="31"/>
        <v>5</v>
      </c>
      <c r="L670" s="17">
        <f t="shared" si="30"/>
        <v>5.4466230936819175E-3</v>
      </c>
      <c r="M670" s="18"/>
    </row>
    <row r="671" spans="1:13" outlineLevel="3">
      <c r="A671" s="12" t="s">
        <v>402</v>
      </c>
      <c r="B671" s="12" t="s">
        <v>817</v>
      </c>
      <c r="C671" s="12" t="s">
        <v>145</v>
      </c>
      <c r="D671" s="12" t="s">
        <v>145</v>
      </c>
      <c r="E671" s="12" t="s">
        <v>818</v>
      </c>
      <c r="F671" s="13">
        <v>45870</v>
      </c>
      <c r="G671" s="16">
        <v>1920.5</v>
      </c>
      <c r="H671" s="16"/>
      <c r="I671" s="16"/>
      <c r="J671" s="16">
        <v>1907</v>
      </c>
      <c r="K671" s="16">
        <f t="shared" si="31"/>
        <v>13.5</v>
      </c>
      <c r="L671" s="17">
        <f t="shared" si="30"/>
        <v>7.0791819611955948E-3</v>
      </c>
      <c r="M671" s="18"/>
    </row>
    <row r="672" spans="1:13" outlineLevel="3">
      <c r="A672" s="12" t="s">
        <v>402</v>
      </c>
      <c r="B672" s="12" t="s">
        <v>817</v>
      </c>
      <c r="C672" s="12" t="s">
        <v>131</v>
      </c>
      <c r="D672" s="12" t="s">
        <v>131</v>
      </c>
      <c r="E672" s="12" t="s">
        <v>818</v>
      </c>
      <c r="F672" s="13">
        <v>45870</v>
      </c>
      <c r="G672" s="16">
        <v>5421.3</v>
      </c>
      <c r="H672" s="16"/>
      <c r="I672" s="16"/>
      <c r="J672" s="16">
        <v>5421.3</v>
      </c>
      <c r="K672" s="16">
        <f t="shared" si="31"/>
        <v>0</v>
      </c>
      <c r="L672" s="17">
        <f t="shared" si="30"/>
        <v>0</v>
      </c>
      <c r="M672" s="18"/>
    </row>
    <row r="673" spans="1:13" outlineLevel="2">
      <c r="B673" s="7" t="s">
        <v>819</v>
      </c>
      <c r="F673" s="13"/>
      <c r="G673" s="16">
        <f>SUBTOTAL(9,G669:G672)</f>
        <v>9989.2000000000007</v>
      </c>
      <c r="H673" s="16"/>
      <c r="I673" s="16">
        <f>SUBTOTAL(9,I669:I672)</f>
        <v>0</v>
      </c>
      <c r="J673" s="16">
        <f>SUBTOTAL(9,J669:J672)</f>
        <v>10061.900000000001</v>
      </c>
      <c r="K673" s="16">
        <f>SUBTOTAL(9,K669:K672)</f>
        <v>-72.699999999999818</v>
      </c>
      <c r="L673" s="17"/>
      <c r="M673" s="18"/>
    </row>
    <row r="674" spans="1:13" outlineLevel="3">
      <c r="A674" s="12" t="s">
        <v>402</v>
      </c>
      <c r="B674" s="12" t="s">
        <v>820</v>
      </c>
      <c r="C674" s="12" t="s">
        <v>175</v>
      </c>
      <c r="D674" s="12" t="s">
        <v>821</v>
      </c>
      <c r="E674" s="12" t="s">
        <v>822</v>
      </c>
      <c r="F674" s="13">
        <v>45870</v>
      </c>
      <c r="G674" s="16">
        <v>1228.0999999999999</v>
      </c>
      <c r="H674" s="16"/>
      <c r="I674" s="16"/>
      <c r="J674" s="16">
        <v>1228.0999999999999</v>
      </c>
      <c r="K674" s="16">
        <f t="shared" si="31"/>
        <v>0</v>
      </c>
      <c r="L674" s="17">
        <f t="shared" si="30"/>
        <v>0</v>
      </c>
      <c r="M674" s="18"/>
    </row>
    <row r="675" spans="1:13" outlineLevel="3">
      <c r="A675" s="12" t="s">
        <v>402</v>
      </c>
      <c r="B675" s="12" t="s">
        <v>820</v>
      </c>
      <c r="C675" s="12" t="s">
        <v>141</v>
      </c>
      <c r="D675" s="12" t="s">
        <v>141</v>
      </c>
      <c r="E675" s="12" t="s">
        <v>822</v>
      </c>
      <c r="F675" s="13">
        <v>45870</v>
      </c>
      <c r="G675" s="16">
        <v>0</v>
      </c>
      <c r="H675" s="16"/>
      <c r="I675" s="16"/>
      <c r="J675" s="16">
        <v>0</v>
      </c>
      <c r="K675" s="16">
        <f t="shared" si="31"/>
        <v>0</v>
      </c>
      <c r="L675" s="17"/>
      <c r="M675" s="18"/>
    </row>
    <row r="676" spans="1:13" outlineLevel="3">
      <c r="A676" s="12" t="s">
        <v>402</v>
      </c>
      <c r="B676" s="12" t="s">
        <v>820</v>
      </c>
      <c r="C676" s="12" t="s">
        <v>145</v>
      </c>
      <c r="D676" s="12" t="s">
        <v>145</v>
      </c>
      <c r="E676" s="12" t="s">
        <v>822</v>
      </c>
      <c r="F676" s="13">
        <v>45870</v>
      </c>
      <c r="G676" s="16">
        <v>250</v>
      </c>
      <c r="H676" s="16"/>
      <c r="I676" s="16"/>
      <c r="J676" s="16">
        <v>250</v>
      </c>
      <c r="K676" s="16">
        <f t="shared" si="31"/>
        <v>0</v>
      </c>
      <c r="L676" s="17">
        <f t="shared" si="30"/>
        <v>0</v>
      </c>
      <c r="M676" s="18"/>
    </row>
    <row r="677" spans="1:13" outlineLevel="3">
      <c r="A677" s="12" t="s">
        <v>402</v>
      </c>
      <c r="B677" s="12" t="s">
        <v>820</v>
      </c>
      <c r="C677" s="12" t="s">
        <v>131</v>
      </c>
      <c r="D677" s="12" t="s">
        <v>823</v>
      </c>
      <c r="E677" s="12" t="s">
        <v>822</v>
      </c>
      <c r="F677" s="13">
        <v>45870</v>
      </c>
      <c r="G677" s="16">
        <v>5512.5</v>
      </c>
      <c r="H677" s="16"/>
      <c r="I677" s="16"/>
      <c r="J677" s="16">
        <v>5512.5</v>
      </c>
      <c r="K677" s="16">
        <f t="shared" si="31"/>
        <v>0</v>
      </c>
      <c r="L677" s="17">
        <f t="shared" si="30"/>
        <v>0</v>
      </c>
      <c r="M677" s="18"/>
    </row>
    <row r="678" spans="1:13" outlineLevel="2">
      <c r="B678" s="7" t="s">
        <v>824</v>
      </c>
      <c r="F678" s="13"/>
      <c r="G678" s="16">
        <f>SUBTOTAL(9,G674:G677)</f>
        <v>6990.6</v>
      </c>
      <c r="H678" s="16"/>
      <c r="I678" s="16">
        <f>SUBTOTAL(9,I674:I677)</f>
        <v>0</v>
      </c>
      <c r="J678" s="16">
        <f>SUBTOTAL(9,J674:J677)</f>
        <v>6990.6</v>
      </c>
      <c r="K678" s="16">
        <f>SUBTOTAL(9,K674:K677)</f>
        <v>0</v>
      </c>
      <c r="L678" s="17"/>
      <c r="M678" s="18"/>
    </row>
    <row r="679" spans="1:13" outlineLevel="3">
      <c r="A679" s="12" t="s">
        <v>402</v>
      </c>
      <c r="B679" s="12" t="s">
        <v>825</v>
      </c>
      <c r="C679" s="12" t="s">
        <v>175</v>
      </c>
      <c r="D679" s="12" t="s">
        <v>175</v>
      </c>
      <c r="E679" s="12" t="s">
        <v>826</v>
      </c>
      <c r="F679" s="13">
        <v>45870</v>
      </c>
      <c r="G679" s="16">
        <v>2751.2</v>
      </c>
      <c r="H679" s="16"/>
      <c r="I679" s="16"/>
      <c r="J679" s="16">
        <v>2751.2</v>
      </c>
      <c r="K679" s="16">
        <f t="shared" si="31"/>
        <v>0</v>
      </c>
      <c r="L679" s="17">
        <f t="shared" si="30"/>
        <v>0</v>
      </c>
      <c r="M679" s="18"/>
    </row>
    <row r="680" spans="1:13" outlineLevel="3">
      <c r="A680" s="12" t="s">
        <v>402</v>
      </c>
      <c r="B680" s="12" t="s">
        <v>825</v>
      </c>
      <c r="C680" s="12" t="s">
        <v>141</v>
      </c>
      <c r="D680" s="12" t="s">
        <v>141</v>
      </c>
      <c r="E680" s="12" t="s">
        <v>826</v>
      </c>
      <c r="F680" s="13">
        <v>45870</v>
      </c>
      <c r="G680" s="16">
        <v>471</v>
      </c>
      <c r="H680" s="16"/>
      <c r="I680" s="16"/>
      <c r="J680" s="16">
        <v>471</v>
      </c>
      <c r="K680" s="16">
        <f t="shared" si="31"/>
        <v>0</v>
      </c>
      <c r="L680" s="17">
        <f t="shared" si="30"/>
        <v>0</v>
      </c>
      <c r="M680" s="18"/>
    </row>
    <row r="681" spans="1:13" outlineLevel="3">
      <c r="A681" s="12" t="s">
        <v>402</v>
      </c>
      <c r="B681" s="12" t="s">
        <v>825</v>
      </c>
      <c r="C681" s="12" t="s">
        <v>145</v>
      </c>
      <c r="D681" s="12" t="s">
        <v>145</v>
      </c>
      <c r="E681" s="12" t="s">
        <v>827</v>
      </c>
      <c r="F681" s="13">
        <v>45870</v>
      </c>
      <c r="G681" s="16">
        <v>1136.75</v>
      </c>
      <c r="H681" s="16"/>
      <c r="I681" s="16"/>
      <c r="J681" s="16">
        <v>1127</v>
      </c>
      <c r="K681" s="16">
        <f t="shared" si="31"/>
        <v>9.75</v>
      </c>
      <c r="L681" s="17">
        <f t="shared" si="30"/>
        <v>8.6512866015971603E-3</v>
      </c>
      <c r="M681" s="18"/>
    </row>
    <row r="682" spans="1:13" outlineLevel="3">
      <c r="A682" s="12" t="s">
        <v>402</v>
      </c>
      <c r="B682" s="12" t="s">
        <v>825</v>
      </c>
      <c r="C682" s="12" t="s">
        <v>131</v>
      </c>
      <c r="D682" s="12" t="s">
        <v>828</v>
      </c>
      <c r="E682" s="12" t="s">
        <v>826</v>
      </c>
      <c r="F682" s="13">
        <v>45870</v>
      </c>
      <c r="G682" s="16">
        <v>11080.51</v>
      </c>
      <c r="H682" s="16"/>
      <c r="I682" s="16"/>
      <c r="J682" s="16">
        <v>11080.51</v>
      </c>
      <c r="K682" s="16">
        <f t="shared" si="31"/>
        <v>0</v>
      </c>
      <c r="L682" s="17">
        <f t="shared" si="30"/>
        <v>0</v>
      </c>
      <c r="M682" s="18"/>
    </row>
    <row r="683" spans="1:13" outlineLevel="2">
      <c r="B683" s="7" t="s">
        <v>829</v>
      </c>
      <c r="F683" s="13"/>
      <c r="G683" s="16">
        <f>SUBTOTAL(9,G679:G682)</f>
        <v>15439.46</v>
      </c>
      <c r="H683" s="16"/>
      <c r="I683" s="16">
        <f>SUBTOTAL(9,I679:I682)</f>
        <v>0</v>
      </c>
      <c r="J683" s="16">
        <f>SUBTOTAL(9,J679:J682)</f>
        <v>15429.71</v>
      </c>
      <c r="K683" s="16">
        <f>SUBTOTAL(9,K679:K682)</f>
        <v>9.75</v>
      </c>
      <c r="L683" s="17"/>
      <c r="M683" s="18"/>
    </row>
    <row r="684" spans="1:13" outlineLevel="3">
      <c r="A684" s="12" t="s">
        <v>402</v>
      </c>
      <c r="B684" s="12" t="s">
        <v>830</v>
      </c>
      <c r="C684" s="12" t="s">
        <v>141</v>
      </c>
      <c r="D684" s="12" t="s">
        <v>569</v>
      </c>
      <c r="E684" s="12" t="s">
        <v>831</v>
      </c>
      <c r="F684" s="13">
        <v>45870</v>
      </c>
      <c r="G684" s="16">
        <v>1085.0922</v>
      </c>
      <c r="H684" s="16"/>
      <c r="I684" s="16"/>
      <c r="J684" s="16">
        <v>1538.67</v>
      </c>
      <c r="K684" s="16">
        <f t="shared" si="31"/>
        <v>-453.57780000000002</v>
      </c>
      <c r="L684" s="17">
        <f t="shared" si="30"/>
        <v>-0.29478562654760282</v>
      </c>
      <c r="M684" s="18" t="s">
        <v>832</v>
      </c>
    </row>
    <row r="685" spans="1:13" outlineLevel="3">
      <c r="A685" s="12" t="s">
        <v>402</v>
      </c>
      <c r="B685" s="12" t="s">
        <v>830</v>
      </c>
      <c r="C685" s="12" t="s">
        <v>141</v>
      </c>
      <c r="D685" s="12" t="s">
        <v>141</v>
      </c>
      <c r="F685" s="13"/>
      <c r="G685" s="16"/>
      <c r="H685" s="16"/>
      <c r="I685" s="16"/>
      <c r="J685" s="16"/>
      <c r="K685" s="16"/>
      <c r="L685" s="17"/>
      <c r="M685" s="18"/>
    </row>
    <row r="686" spans="1:13" outlineLevel="3">
      <c r="A686" s="12" t="s">
        <v>402</v>
      </c>
      <c r="B686" s="12" t="s">
        <v>830</v>
      </c>
      <c r="C686" s="12" t="s">
        <v>145</v>
      </c>
      <c r="D686" s="12" t="s">
        <v>570</v>
      </c>
      <c r="E686" s="12" t="s">
        <v>831</v>
      </c>
      <c r="F686" s="13">
        <v>45870</v>
      </c>
      <c r="G686" s="16">
        <v>588</v>
      </c>
      <c r="H686" s="16"/>
      <c r="I686" s="16"/>
      <c r="J686" s="16">
        <v>338</v>
      </c>
      <c r="K686" s="16">
        <f t="shared" si="31"/>
        <v>250</v>
      </c>
      <c r="L686" s="17">
        <f t="shared" si="30"/>
        <v>0.73964497041420119</v>
      </c>
      <c r="M686" s="18" t="s">
        <v>832</v>
      </c>
    </row>
    <row r="687" spans="1:13" outlineLevel="3">
      <c r="A687" s="12" t="s">
        <v>402</v>
      </c>
      <c r="B687" s="12" t="s">
        <v>830</v>
      </c>
      <c r="C687" s="12" t="s">
        <v>145</v>
      </c>
      <c r="D687" s="12" t="s">
        <v>145</v>
      </c>
      <c r="F687" s="13"/>
      <c r="G687" s="16"/>
      <c r="H687" s="16"/>
      <c r="I687" s="16"/>
      <c r="J687" s="16"/>
      <c r="K687" s="16"/>
      <c r="L687" s="17"/>
      <c r="M687" s="18"/>
    </row>
    <row r="688" spans="1:13" outlineLevel="3">
      <c r="A688" s="12" t="s">
        <v>402</v>
      </c>
      <c r="B688" s="12" t="s">
        <v>830</v>
      </c>
      <c r="C688" s="12" t="s">
        <v>131</v>
      </c>
      <c r="D688" s="12" t="s">
        <v>522</v>
      </c>
      <c r="E688" s="12" t="s">
        <v>831</v>
      </c>
      <c r="F688" s="13">
        <v>45870</v>
      </c>
      <c r="G688" s="16">
        <v>3476</v>
      </c>
      <c r="H688" s="16"/>
      <c r="I688" s="16"/>
      <c r="J688" s="16">
        <v>0</v>
      </c>
      <c r="K688" s="16">
        <f t="shared" si="31"/>
        <v>3476</v>
      </c>
      <c r="L688" s="17"/>
      <c r="M688" s="18" t="s">
        <v>832</v>
      </c>
    </row>
    <row r="689" spans="1:13" outlineLevel="3">
      <c r="A689" s="12" t="s">
        <v>402</v>
      </c>
      <c r="B689" s="12" t="s">
        <v>830</v>
      </c>
      <c r="C689" s="12" t="s">
        <v>131</v>
      </c>
      <c r="D689" s="12" t="s">
        <v>833</v>
      </c>
      <c r="F689" s="13"/>
      <c r="G689" s="16"/>
      <c r="H689" s="16"/>
      <c r="I689" s="16"/>
      <c r="J689" s="16">
        <v>0</v>
      </c>
      <c r="K689" s="16"/>
      <c r="L689" s="17"/>
      <c r="M689" s="18"/>
    </row>
    <row r="690" spans="1:13" outlineLevel="2">
      <c r="B690" s="7" t="s">
        <v>834</v>
      </c>
      <c r="F690" s="13"/>
      <c r="G690" s="16">
        <f>SUBTOTAL(9,G684:G689)</f>
        <v>5149.0922</v>
      </c>
      <c r="H690" s="16"/>
      <c r="I690" s="16">
        <f>SUBTOTAL(9,I684:I689)</f>
        <v>0</v>
      </c>
      <c r="J690" s="16">
        <f>SUBTOTAL(9,J684:J689)</f>
        <v>1876.67</v>
      </c>
      <c r="K690" s="16">
        <f>SUBTOTAL(9,K684:K689)</f>
        <v>3272.4222</v>
      </c>
      <c r="L690" s="17"/>
      <c r="M690" s="18"/>
    </row>
    <row r="691" spans="1:13" outlineLevel="3">
      <c r="A691" s="12" t="s">
        <v>402</v>
      </c>
      <c r="B691" s="12" t="s">
        <v>835</v>
      </c>
      <c r="C691" s="12" t="s">
        <v>175</v>
      </c>
      <c r="D691" s="12" t="s">
        <v>175</v>
      </c>
      <c r="E691" s="12" t="s">
        <v>836</v>
      </c>
      <c r="F691" s="13">
        <v>45870</v>
      </c>
      <c r="G691" s="16">
        <v>1638.5</v>
      </c>
      <c r="H691" s="16"/>
      <c r="I691" s="16"/>
      <c r="J691" s="16">
        <v>1638.5</v>
      </c>
      <c r="K691" s="16">
        <f t="shared" si="31"/>
        <v>0</v>
      </c>
      <c r="L691" s="17">
        <f t="shared" ref="L691:L770" si="32">+K691/J691</f>
        <v>0</v>
      </c>
      <c r="M691" s="18"/>
    </row>
    <row r="692" spans="1:13" outlineLevel="3">
      <c r="A692" s="12" t="s">
        <v>402</v>
      </c>
      <c r="B692" s="12" t="s">
        <v>835</v>
      </c>
      <c r="C692" s="12" t="s">
        <v>141</v>
      </c>
      <c r="D692" s="12" t="s">
        <v>141</v>
      </c>
      <c r="E692" s="12" t="s">
        <v>836</v>
      </c>
      <c r="F692" s="13">
        <v>45870</v>
      </c>
      <c r="G692" s="16">
        <v>26.2</v>
      </c>
      <c r="H692" s="16"/>
      <c r="I692" s="16"/>
      <c r="J692" s="16">
        <v>26.2</v>
      </c>
      <c r="K692" s="16">
        <f t="shared" si="31"/>
        <v>0</v>
      </c>
      <c r="L692" s="17">
        <f t="shared" si="32"/>
        <v>0</v>
      </c>
      <c r="M692" s="18"/>
    </row>
    <row r="693" spans="1:13" outlineLevel="3">
      <c r="A693" s="12" t="s">
        <v>402</v>
      </c>
      <c r="B693" s="12" t="s">
        <v>835</v>
      </c>
      <c r="C693" s="12" t="s">
        <v>145</v>
      </c>
      <c r="D693" s="12" t="s">
        <v>145</v>
      </c>
      <c r="E693" s="12" t="s">
        <v>836</v>
      </c>
      <c r="F693" s="13">
        <v>45870</v>
      </c>
      <c r="G693" s="16">
        <v>1140</v>
      </c>
      <c r="H693" s="16"/>
      <c r="I693" s="16"/>
      <c r="J693" s="16">
        <v>1175</v>
      </c>
      <c r="K693" s="16">
        <f t="shared" si="31"/>
        <v>-35</v>
      </c>
      <c r="L693" s="17">
        <f t="shared" si="32"/>
        <v>-2.9787234042553193E-2</v>
      </c>
      <c r="M693" s="18"/>
    </row>
    <row r="694" spans="1:13" s="18" customFormat="1" outlineLevel="3">
      <c r="A694" s="12" t="s">
        <v>402</v>
      </c>
      <c r="B694" s="12" t="s">
        <v>835</v>
      </c>
      <c r="C694" s="12" t="s">
        <v>131</v>
      </c>
      <c r="D694" s="12" t="s">
        <v>131</v>
      </c>
      <c r="E694" s="12" t="s">
        <v>836</v>
      </c>
      <c r="F694" s="13">
        <v>45870</v>
      </c>
      <c r="G694" s="16">
        <v>4991</v>
      </c>
      <c r="H694" s="16"/>
      <c r="I694" s="16"/>
      <c r="J694" s="16">
        <v>4991</v>
      </c>
      <c r="K694" s="16">
        <f t="shared" si="31"/>
        <v>0</v>
      </c>
      <c r="L694" s="17">
        <f t="shared" si="32"/>
        <v>0</v>
      </c>
    </row>
    <row r="695" spans="1:13" s="18" customFormat="1" outlineLevel="3">
      <c r="A695" s="12" t="s">
        <v>402</v>
      </c>
      <c r="B695" s="12" t="s">
        <v>835</v>
      </c>
      <c r="C695" s="12" t="s">
        <v>464</v>
      </c>
      <c r="D695" s="12" t="s">
        <v>464</v>
      </c>
      <c r="E695" s="12" t="s">
        <v>836</v>
      </c>
      <c r="F695" s="13">
        <v>45870</v>
      </c>
      <c r="G695" s="16">
        <v>750</v>
      </c>
      <c r="H695" s="16"/>
      <c r="I695" s="16"/>
      <c r="J695" s="16">
        <v>750</v>
      </c>
      <c r="K695" s="16">
        <f t="shared" ref="K695:K776" si="33">+G695-J695</f>
        <v>0</v>
      </c>
      <c r="L695" s="17">
        <f t="shared" si="32"/>
        <v>0</v>
      </c>
    </row>
    <row r="696" spans="1:13" s="18" customFormat="1" outlineLevel="2">
      <c r="A696" s="12"/>
      <c r="B696" s="7" t="s">
        <v>837</v>
      </c>
      <c r="C696" s="12"/>
      <c r="D696" s="12"/>
      <c r="E696" s="12"/>
      <c r="F696" s="13"/>
      <c r="G696" s="16">
        <f>SUBTOTAL(9,G691:G695)</f>
        <v>8545.7000000000007</v>
      </c>
      <c r="H696" s="16"/>
      <c r="I696" s="16">
        <f>SUBTOTAL(9,I691:I695)</f>
        <v>0</v>
      </c>
      <c r="J696" s="16">
        <f>SUBTOTAL(9,J691:J695)</f>
        <v>8580.7000000000007</v>
      </c>
      <c r="K696" s="16">
        <f>SUBTOTAL(9,K691:K695)</f>
        <v>-35</v>
      </c>
      <c r="L696" s="17"/>
    </row>
    <row r="697" spans="1:13" s="18" customFormat="1" outlineLevel="3">
      <c r="A697" s="12" t="s">
        <v>402</v>
      </c>
      <c r="B697" s="12" t="s">
        <v>838</v>
      </c>
      <c r="C697" s="12" t="s">
        <v>141</v>
      </c>
      <c r="D697" s="12" t="s">
        <v>141</v>
      </c>
      <c r="E697" s="12" t="s">
        <v>839</v>
      </c>
      <c r="F697" s="13">
        <v>45870</v>
      </c>
      <c r="G697" s="16">
        <v>0</v>
      </c>
      <c r="H697" s="16"/>
      <c r="I697" s="16"/>
      <c r="J697" s="16">
        <v>0</v>
      </c>
      <c r="K697" s="16">
        <f t="shared" si="33"/>
        <v>0</v>
      </c>
      <c r="L697" s="17" t="e">
        <f t="shared" si="32"/>
        <v>#DIV/0!</v>
      </c>
    </row>
    <row r="698" spans="1:13" s="18" customFormat="1" outlineLevel="3">
      <c r="A698" s="12" t="s">
        <v>402</v>
      </c>
      <c r="B698" s="12" t="s">
        <v>838</v>
      </c>
      <c r="C698" s="12" t="s">
        <v>145</v>
      </c>
      <c r="D698" s="12" t="s">
        <v>146</v>
      </c>
      <c r="E698" s="12" t="s">
        <v>839</v>
      </c>
      <c r="F698" s="13">
        <v>45870</v>
      </c>
      <c r="G698" s="16">
        <v>2316</v>
      </c>
      <c r="H698" s="16"/>
      <c r="I698" s="16"/>
      <c r="J698" s="16">
        <v>2366</v>
      </c>
      <c r="K698" s="16">
        <f t="shared" si="33"/>
        <v>-50</v>
      </c>
      <c r="L698" s="17">
        <f t="shared" si="32"/>
        <v>-2.1132713440405747E-2</v>
      </c>
    </row>
    <row r="699" spans="1:13" s="18" customFormat="1" outlineLevel="3">
      <c r="A699" s="12" t="s">
        <v>402</v>
      </c>
      <c r="B699" s="12" t="s">
        <v>838</v>
      </c>
      <c r="C699" s="12" t="s">
        <v>131</v>
      </c>
      <c r="D699" s="12" t="s">
        <v>840</v>
      </c>
      <c r="E699" s="12" t="s">
        <v>839</v>
      </c>
      <c r="F699" s="13">
        <v>45870</v>
      </c>
      <c r="G699" s="16">
        <v>3675</v>
      </c>
      <c r="H699" s="16"/>
      <c r="I699" s="16"/>
      <c r="J699" s="16">
        <v>3675</v>
      </c>
      <c r="K699" s="16">
        <f t="shared" si="33"/>
        <v>0</v>
      </c>
      <c r="L699" s="17">
        <f t="shared" si="32"/>
        <v>0</v>
      </c>
    </row>
    <row r="700" spans="1:13" s="18" customFormat="1" outlineLevel="2">
      <c r="A700" s="12"/>
      <c r="B700" s="7" t="s">
        <v>841</v>
      </c>
      <c r="C700" s="12"/>
      <c r="D700" s="12"/>
      <c r="E700" s="12"/>
      <c r="F700" s="13"/>
      <c r="G700" s="16">
        <f>SUBTOTAL(9,G697:G699)</f>
        <v>5991</v>
      </c>
      <c r="H700" s="16"/>
      <c r="I700" s="16">
        <f>SUBTOTAL(9,I697:I699)</f>
        <v>0</v>
      </c>
      <c r="J700" s="16">
        <f>SUBTOTAL(9,J697:J699)</f>
        <v>6041</v>
      </c>
      <c r="K700" s="16">
        <f>SUBTOTAL(9,K697:K699)</f>
        <v>-50</v>
      </c>
      <c r="L700" s="17"/>
    </row>
    <row r="701" spans="1:13" s="18" customFormat="1" outlineLevel="3">
      <c r="A701" s="12" t="s">
        <v>402</v>
      </c>
      <c r="B701" s="12" t="s">
        <v>842</v>
      </c>
      <c r="C701" s="12" t="s">
        <v>175</v>
      </c>
      <c r="D701" s="12" t="s">
        <v>175</v>
      </c>
      <c r="E701" s="12" t="s">
        <v>843</v>
      </c>
      <c r="F701" s="13">
        <v>45870</v>
      </c>
      <c r="G701" s="16">
        <v>125</v>
      </c>
      <c r="H701" s="16"/>
      <c r="I701" s="16"/>
      <c r="J701" s="16">
        <v>125</v>
      </c>
      <c r="K701" s="16">
        <f t="shared" si="33"/>
        <v>0</v>
      </c>
      <c r="L701" s="17">
        <f t="shared" si="32"/>
        <v>0</v>
      </c>
    </row>
    <row r="702" spans="1:13" s="18" customFormat="1" outlineLevel="3">
      <c r="A702" s="12" t="s">
        <v>402</v>
      </c>
      <c r="B702" s="12" t="s">
        <v>842</v>
      </c>
      <c r="C702" s="12" t="s">
        <v>141</v>
      </c>
      <c r="D702" s="12" t="s">
        <v>141</v>
      </c>
      <c r="E702" s="12" t="s">
        <v>843</v>
      </c>
      <c r="F702" s="13">
        <v>45870</v>
      </c>
      <c r="G702" s="16">
        <v>254.75</v>
      </c>
      <c r="H702" s="16"/>
      <c r="I702" s="16"/>
      <c r="J702" s="16">
        <v>254.75</v>
      </c>
      <c r="K702" s="16">
        <f t="shared" si="33"/>
        <v>0</v>
      </c>
      <c r="L702" s="17">
        <f t="shared" si="32"/>
        <v>0</v>
      </c>
    </row>
    <row r="703" spans="1:13" s="18" customFormat="1" outlineLevel="3">
      <c r="A703" s="12" t="s">
        <v>402</v>
      </c>
      <c r="B703" s="12" t="s">
        <v>842</v>
      </c>
      <c r="C703" s="12" t="s">
        <v>145</v>
      </c>
      <c r="D703" s="12" t="s">
        <v>145</v>
      </c>
      <c r="E703" s="12" t="s">
        <v>843</v>
      </c>
      <c r="F703" s="13">
        <v>45870</v>
      </c>
      <c r="G703" s="16">
        <v>91</v>
      </c>
      <c r="H703" s="16"/>
      <c r="I703" s="16"/>
      <c r="J703" s="16">
        <v>91</v>
      </c>
      <c r="K703" s="16">
        <f t="shared" si="33"/>
        <v>0</v>
      </c>
      <c r="L703" s="17">
        <f t="shared" si="32"/>
        <v>0</v>
      </c>
    </row>
    <row r="704" spans="1:13" s="18" customFormat="1" outlineLevel="3">
      <c r="A704" s="12" t="s">
        <v>402</v>
      </c>
      <c r="B704" s="12" t="s">
        <v>842</v>
      </c>
      <c r="C704" s="12" t="s">
        <v>131</v>
      </c>
      <c r="D704" s="12" t="s">
        <v>844</v>
      </c>
      <c r="E704" s="12" t="s">
        <v>843</v>
      </c>
      <c r="F704" s="13">
        <v>45870</v>
      </c>
      <c r="G704" s="16">
        <v>2060.8000000000002</v>
      </c>
      <c r="H704" s="16"/>
      <c r="I704" s="16"/>
      <c r="J704" s="16">
        <v>2060.8000000000002</v>
      </c>
      <c r="K704" s="16">
        <f t="shared" si="33"/>
        <v>0</v>
      </c>
      <c r="L704" s="17">
        <f t="shared" si="32"/>
        <v>0</v>
      </c>
    </row>
    <row r="705" spans="1:12" s="18" customFormat="1" outlineLevel="2">
      <c r="A705" s="12"/>
      <c r="B705" s="7" t="s">
        <v>845</v>
      </c>
      <c r="C705" s="12"/>
      <c r="D705" s="12"/>
      <c r="E705" s="12"/>
      <c r="F705" s="13"/>
      <c r="G705" s="16">
        <f>SUBTOTAL(9,G701:G704)</f>
        <v>2531.5500000000002</v>
      </c>
      <c r="H705" s="16"/>
      <c r="I705" s="16">
        <f>SUBTOTAL(9,I701:I704)</f>
        <v>0</v>
      </c>
      <c r="J705" s="16">
        <f>SUBTOTAL(9,J701:J704)</f>
        <v>2531.5500000000002</v>
      </c>
      <c r="K705" s="16">
        <f>SUBTOTAL(9,K701:K704)</f>
        <v>0</v>
      </c>
      <c r="L705" s="17"/>
    </row>
    <row r="706" spans="1:12" s="18" customFormat="1" outlineLevel="3">
      <c r="A706" s="12" t="s">
        <v>402</v>
      </c>
      <c r="B706" s="12" t="s">
        <v>846</v>
      </c>
      <c r="C706" s="12" t="s">
        <v>407</v>
      </c>
      <c r="D706" s="12" t="s">
        <v>567</v>
      </c>
      <c r="E706" s="12" t="s">
        <v>847</v>
      </c>
      <c r="F706" s="13">
        <v>45870</v>
      </c>
      <c r="G706" s="16">
        <v>600</v>
      </c>
      <c r="H706" s="16"/>
      <c r="I706" s="16"/>
      <c r="J706" s="16">
        <v>600</v>
      </c>
      <c r="K706" s="16">
        <f t="shared" si="33"/>
        <v>0</v>
      </c>
      <c r="L706" s="17">
        <f t="shared" si="32"/>
        <v>0</v>
      </c>
    </row>
    <row r="707" spans="1:12" s="18" customFormat="1" outlineLevel="3">
      <c r="A707" s="12" t="s">
        <v>402</v>
      </c>
      <c r="B707" s="12" t="s">
        <v>846</v>
      </c>
      <c r="C707" s="12" t="s">
        <v>141</v>
      </c>
      <c r="D707" s="12" t="s">
        <v>569</v>
      </c>
      <c r="E707" s="12" t="s">
        <v>847</v>
      </c>
      <c r="F707" s="13">
        <v>45870</v>
      </c>
      <c r="G707" s="16">
        <v>254.31120000000001</v>
      </c>
      <c r="H707" s="16"/>
      <c r="I707" s="16"/>
      <c r="J707" s="16">
        <v>384.30419999999998</v>
      </c>
      <c r="K707" s="16">
        <f t="shared" si="33"/>
        <v>-129.99299999999997</v>
      </c>
      <c r="L707" s="17">
        <f t="shared" si="32"/>
        <v>-0.3382554757403119</v>
      </c>
    </row>
    <row r="708" spans="1:12" s="18" customFormat="1" outlineLevel="3">
      <c r="A708" s="12" t="s">
        <v>402</v>
      </c>
      <c r="B708" s="12" t="s">
        <v>846</v>
      </c>
      <c r="C708" s="12" t="s">
        <v>145</v>
      </c>
      <c r="D708" s="12" t="s">
        <v>570</v>
      </c>
      <c r="E708" s="12" t="s">
        <v>847</v>
      </c>
      <c r="F708" s="13">
        <v>45870</v>
      </c>
      <c r="G708" s="16">
        <v>840</v>
      </c>
      <c r="H708" s="16"/>
      <c r="I708" s="16"/>
      <c r="J708" s="16">
        <v>840</v>
      </c>
      <c r="K708" s="16">
        <f t="shared" si="33"/>
        <v>0</v>
      </c>
      <c r="L708" s="17">
        <f t="shared" si="32"/>
        <v>0</v>
      </c>
    </row>
    <row r="709" spans="1:12" s="18" customFormat="1" outlineLevel="3">
      <c r="A709" s="12" t="s">
        <v>402</v>
      </c>
      <c r="B709" s="12" t="s">
        <v>846</v>
      </c>
      <c r="C709" s="12" t="s">
        <v>131</v>
      </c>
      <c r="D709" s="12" t="s">
        <v>522</v>
      </c>
      <c r="E709" s="12" t="s">
        <v>847</v>
      </c>
      <c r="F709" s="13">
        <v>45870</v>
      </c>
      <c r="G709" s="16">
        <v>1480</v>
      </c>
      <c r="H709" s="16"/>
      <c r="I709" s="16"/>
      <c r="J709" s="16">
        <v>1480</v>
      </c>
      <c r="K709" s="16">
        <f t="shared" si="33"/>
        <v>0</v>
      </c>
      <c r="L709" s="17">
        <f t="shared" si="32"/>
        <v>0</v>
      </c>
    </row>
    <row r="710" spans="1:12" s="18" customFormat="1" outlineLevel="2">
      <c r="A710" s="12"/>
      <c r="B710" s="7" t="s">
        <v>848</v>
      </c>
      <c r="C710" s="12"/>
      <c r="D710" s="12"/>
      <c r="E710" s="12"/>
      <c r="F710" s="13"/>
      <c r="G710" s="16">
        <f>SUBTOTAL(9,G706:G709)</f>
        <v>3174.3112000000001</v>
      </c>
      <c r="H710" s="16"/>
      <c r="I710" s="16">
        <f>SUBTOTAL(9,I706:I709)</f>
        <v>0</v>
      </c>
      <c r="J710" s="16">
        <f>SUBTOTAL(9,J706:J709)</f>
        <v>3304.3042</v>
      </c>
      <c r="K710" s="16">
        <f>SUBTOTAL(9,K706:K709)</f>
        <v>-129.99299999999997</v>
      </c>
      <c r="L710" s="17"/>
    </row>
    <row r="711" spans="1:12" s="18" customFormat="1" outlineLevel="3">
      <c r="A711" s="12" t="s">
        <v>402</v>
      </c>
      <c r="B711" s="12" t="s">
        <v>849</v>
      </c>
      <c r="C711" s="12" t="s">
        <v>141</v>
      </c>
      <c r="D711" s="12" t="s">
        <v>141</v>
      </c>
      <c r="E711" s="12" t="s">
        <v>850</v>
      </c>
      <c r="F711" s="13">
        <v>45870</v>
      </c>
      <c r="G711" s="16">
        <v>309</v>
      </c>
      <c r="H711" s="16"/>
      <c r="I711" s="16"/>
      <c r="J711" s="16">
        <v>309</v>
      </c>
      <c r="K711" s="16">
        <f t="shared" si="33"/>
        <v>0</v>
      </c>
      <c r="L711" s="17">
        <f t="shared" si="32"/>
        <v>0</v>
      </c>
    </row>
    <row r="712" spans="1:12" s="18" customFormat="1" outlineLevel="3">
      <c r="A712" s="12" t="s">
        <v>402</v>
      </c>
      <c r="B712" s="12" t="s">
        <v>849</v>
      </c>
      <c r="C712" s="12" t="s">
        <v>145</v>
      </c>
      <c r="D712" s="12" t="s">
        <v>145</v>
      </c>
      <c r="E712" s="12" t="s">
        <v>850</v>
      </c>
      <c r="F712" s="13">
        <v>45870</v>
      </c>
      <c r="G712" s="16">
        <v>1086</v>
      </c>
      <c r="H712" s="16"/>
      <c r="I712" s="16"/>
      <c r="J712" s="16">
        <v>1086</v>
      </c>
      <c r="K712" s="16">
        <f t="shared" si="33"/>
        <v>0</v>
      </c>
      <c r="L712" s="17">
        <f t="shared" si="32"/>
        <v>0</v>
      </c>
    </row>
    <row r="713" spans="1:12" s="18" customFormat="1" outlineLevel="3">
      <c r="A713" s="12" t="s">
        <v>402</v>
      </c>
      <c r="B713" s="12" t="s">
        <v>849</v>
      </c>
      <c r="C713" s="12" t="s">
        <v>131</v>
      </c>
      <c r="D713" s="12" t="s">
        <v>851</v>
      </c>
      <c r="E713" s="12" t="s">
        <v>850</v>
      </c>
      <c r="F713" s="13">
        <v>45870</v>
      </c>
      <c r="G713" s="16">
        <v>5549.57</v>
      </c>
      <c r="H713" s="16"/>
      <c r="I713" s="16"/>
      <c r="J713" s="16">
        <v>5549.57</v>
      </c>
      <c r="K713" s="16">
        <f t="shared" si="33"/>
        <v>0</v>
      </c>
      <c r="L713" s="17">
        <f t="shared" si="32"/>
        <v>0</v>
      </c>
    </row>
    <row r="714" spans="1:12" s="18" customFormat="1" outlineLevel="3">
      <c r="A714" s="12" t="s">
        <v>402</v>
      </c>
      <c r="B714" s="12" t="s">
        <v>849</v>
      </c>
      <c r="C714" s="12" t="s">
        <v>464</v>
      </c>
      <c r="D714" s="12" t="s">
        <v>464</v>
      </c>
      <c r="E714" s="12" t="s">
        <v>850</v>
      </c>
      <c r="F714" s="13">
        <v>45870</v>
      </c>
      <c r="G714" s="16">
        <v>101.51</v>
      </c>
      <c r="H714" s="16"/>
      <c r="I714" s="16"/>
      <c r="J714" s="16">
        <v>101.51</v>
      </c>
      <c r="K714" s="16">
        <f t="shared" si="33"/>
        <v>0</v>
      </c>
      <c r="L714" s="17">
        <f t="shared" si="32"/>
        <v>0</v>
      </c>
    </row>
    <row r="715" spans="1:12" s="18" customFormat="1" outlineLevel="2">
      <c r="A715" s="12"/>
      <c r="B715" s="7" t="s">
        <v>852</v>
      </c>
      <c r="C715" s="12"/>
      <c r="D715" s="12"/>
      <c r="E715" s="12"/>
      <c r="F715" s="13"/>
      <c r="G715" s="16">
        <f>SUBTOTAL(9,G711:G714)</f>
        <v>7046.08</v>
      </c>
      <c r="H715" s="16"/>
      <c r="I715" s="16">
        <f>SUBTOTAL(9,I711:I714)</f>
        <v>0</v>
      </c>
      <c r="J715" s="16">
        <f>SUBTOTAL(9,J711:J714)</f>
        <v>7046.08</v>
      </c>
      <c r="K715" s="16">
        <f>SUBTOTAL(9,K711:K714)</f>
        <v>0</v>
      </c>
      <c r="L715" s="17"/>
    </row>
    <row r="716" spans="1:12" s="18" customFormat="1" outlineLevel="3">
      <c r="A716" s="12" t="s">
        <v>402</v>
      </c>
      <c r="B716" s="12" t="s">
        <v>853</v>
      </c>
      <c r="C716" s="12" t="s">
        <v>141</v>
      </c>
      <c r="D716" s="12" t="s">
        <v>141</v>
      </c>
      <c r="E716" s="12" t="s">
        <v>854</v>
      </c>
      <c r="F716" s="13">
        <v>45870</v>
      </c>
      <c r="G716" s="16">
        <v>130</v>
      </c>
      <c r="H716" s="16"/>
      <c r="I716" s="16"/>
      <c r="J716" s="16">
        <v>130</v>
      </c>
      <c r="K716" s="16">
        <f t="shared" si="33"/>
        <v>0</v>
      </c>
      <c r="L716" s="17">
        <f t="shared" si="32"/>
        <v>0</v>
      </c>
    </row>
    <row r="717" spans="1:12" s="18" customFormat="1" outlineLevel="3">
      <c r="A717" s="12" t="s">
        <v>402</v>
      </c>
      <c r="B717" s="12" t="s">
        <v>853</v>
      </c>
      <c r="C717" s="12" t="s">
        <v>145</v>
      </c>
      <c r="D717" s="12" t="s">
        <v>145</v>
      </c>
      <c r="E717" s="12" t="s">
        <v>854</v>
      </c>
      <c r="F717" s="13">
        <v>45870</v>
      </c>
      <c r="G717" s="16">
        <v>350</v>
      </c>
      <c r="H717" s="16"/>
      <c r="I717" s="16"/>
      <c r="J717" s="16">
        <v>343</v>
      </c>
      <c r="K717" s="16">
        <f t="shared" si="33"/>
        <v>7</v>
      </c>
      <c r="L717" s="17">
        <f t="shared" si="32"/>
        <v>2.0408163265306121E-2</v>
      </c>
    </row>
    <row r="718" spans="1:12" s="18" customFormat="1" outlineLevel="3">
      <c r="A718" s="12" t="s">
        <v>402</v>
      </c>
      <c r="B718" s="12" t="s">
        <v>853</v>
      </c>
      <c r="C718" s="12" t="s">
        <v>131</v>
      </c>
      <c r="D718" s="12" t="s">
        <v>855</v>
      </c>
      <c r="E718" s="12" t="s">
        <v>854</v>
      </c>
      <c r="F718" s="13">
        <v>45870</v>
      </c>
      <c r="G718" s="16">
        <v>1639.09</v>
      </c>
      <c r="H718" s="16"/>
      <c r="I718" s="16"/>
      <c r="J718" s="16">
        <v>1639.09</v>
      </c>
      <c r="K718" s="16">
        <f t="shared" si="33"/>
        <v>0</v>
      </c>
      <c r="L718" s="17">
        <f t="shared" si="32"/>
        <v>0</v>
      </c>
    </row>
    <row r="719" spans="1:12" s="18" customFormat="1" outlineLevel="2">
      <c r="A719" s="12"/>
      <c r="B719" s="7" t="s">
        <v>856</v>
      </c>
      <c r="C719" s="12"/>
      <c r="D719" s="12"/>
      <c r="E719" s="12"/>
      <c r="F719" s="13"/>
      <c r="G719" s="16">
        <f>SUBTOTAL(9,G716:G718)</f>
        <v>2119.09</v>
      </c>
      <c r="H719" s="16"/>
      <c r="I719" s="16">
        <f>SUBTOTAL(9,I716:I718)</f>
        <v>0</v>
      </c>
      <c r="J719" s="16">
        <f>SUBTOTAL(9,J716:J718)</f>
        <v>2112.09</v>
      </c>
      <c r="K719" s="16">
        <f>SUBTOTAL(9,K716:K718)</f>
        <v>7</v>
      </c>
      <c r="L719" s="17"/>
    </row>
    <row r="720" spans="1:12" s="18" customFormat="1" outlineLevel="3">
      <c r="A720" s="12" t="s">
        <v>402</v>
      </c>
      <c r="B720" s="12" t="s">
        <v>857</v>
      </c>
      <c r="C720" s="12" t="s">
        <v>175</v>
      </c>
      <c r="D720" s="12" t="s">
        <v>858</v>
      </c>
      <c r="E720" s="12" t="s">
        <v>859</v>
      </c>
      <c r="F720" s="13">
        <v>45870</v>
      </c>
      <c r="G720" s="16">
        <v>352.8</v>
      </c>
      <c r="H720" s="16"/>
      <c r="I720" s="16"/>
      <c r="J720" s="16">
        <v>348</v>
      </c>
      <c r="K720" s="16">
        <f t="shared" si="33"/>
        <v>4.8000000000000114</v>
      </c>
      <c r="L720" s="17">
        <f t="shared" si="32"/>
        <v>1.3793103448275895E-2</v>
      </c>
    </row>
    <row r="721" spans="1:12" s="18" customFormat="1" outlineLevel="3">
      <c r="A721" s="12" t="s">
        <v>402</v>
      </c>
      <c r="B721" s="12" t="s">
        <v>857</v>
      </c>
      <c r="C721" s="12" t="s">
        <v>141</v>
      </c>
      <c r="D721" s="12" t="s">
        <v>141</v>
      </c>
      <c r="E721" s="12" t="s">
        <v>859</v>
      </c>
      <c r="F721" s="13">
        <v>45870</v>
      </c>
      <c r="G721" s="16">
        <v>684.75</v>
      </c>
      <c r="H721" s="16"/>
      <c r="I721" s="16"/>
      <c r="J721" s="16">
        <v>679.75</v>
      </c>
      <c r="K721" s="16">
        <f t="shared" si="33"/>
        <v>5</v>
      </c>
      <c r="L721" s="17">
        <f t="shared" si="32"/>
        <v>7.35564545788893E-3</v>
      </c>
    </row>
    <row r="722" spans="1:12" s="18" customFormat="1" outlineLevel="3">
      <c r="A722" s="12" t="s">
        <v>402</v>
      </c>
      <c r="B722" s="12" t="s">
        <v>857</v>
      </c>
      <c r="C722" s="12" t="s">
        <v>145</v>
      </c>
      <c r="D722" s="12" t="s">
        <v>145</v>
      </c>
      <c r="E722" s="12" t="s">
        <v>859</v>
      </c>
      <c r="F722" s="13">
        <v>45870</v>
      </c>
      <c r="G722" s="16">
        <v>189</v>
      </c>
      <c r="H722" s="16"/>
      <c r="I722" s="16"/>
      <c r="J722" s="16">
        <v>189</v>
      </c>
      <c r="K722" s="16">
        <f t="shared" si="33"/>
        <v>0</v>
      </c>
      <c r="L722" s="17">
        <f t="shared" si="32"/>
        <v>0</v>
      </c>
    </row>
    <row r="723" spans="1:12" s="18" customFormat="1" outlineLevel="3">
      <c r="A723" s="12" t="s">
        <v>402</v>
      </c>
      <c r="B723" s="12" t="s">
        <v>857</v>
      </c>
      <c r="C723" s="12" t="s">
        <v>131</v>
      </c>
      <c r="D723" s="12" t="s">
        <v>860</v>
      </c>
      <c r="E723" s="12" t="s">
        <v>859</v>
      </c>
      <c r="F723" s="13">
        <v>45870</v>
      </c>
      <c r="G723" s="16">
        <v>1670.92</v>
      </c>
      <c r="H723" s="16"/>
      <c r="I723" s="16"/>
      <c r="J723" s="16">
        <v>1670.92</v>
      </c>
      <c r="K723" s="16">
        <f t="shared" si="33"/>
        <v>0</v>
      </c>
      <c r="L723" s="17">
        <f t="shared" si="32"/>
        <v>0</v>
      </c>
    </row>
    <row r="724" spans="1:12" s="18" customFormat="1" outlineLevel="2">
      <c r="A724" s="12"/>
      <c r="B724" s="7" t="s">
        <v>861</v>
      </c>
      <c r="C724" s="12"/>
      <c r="D724" s="12"/>
      <c r="E724" s="12"/>
      <c r="F724" s="13"/>
      <c r="G724" s="16">
        <f>SUBTOTAL(9,G720:G723)</f>
        <v>2897.4700000000003</v>
      </c>
      <c r="H724" s="16"/>
      <c r="I724" s="16">
        <f>SUBTOTAL(9,I720:I723)</f>
        <v>0</v>
      </c>
      <c r="J724" s="16">
        <f>SUBTOTAL(9,J720:J723)</f>
        <v>2887.67</v>
      </c>
      <c r="K724" s="16">
        <f>SUBTOTAL(9,K720:K723)</f>
        <v>9.8000000000000114</v>
      </c>
      <c r="L724" s="17"/>
    </row>
    <row r="725" spans="1:12" s="18" customFormat="1" outlineLevel="3">
      <c r="A725" s="12" t="s">
        <v>402</v>
      </c>
      <c r="B725" s="12" t="s">
        <v>862</v>
      </c>
      <c r="C725" s="12" t="s">
        <v>175</v>
      </c>
      <c r="D725" s="12" t="s">
        <v>863</v>
      </c>
      <c r="E725" s="12" t="s">
        <v>864</v>
      </c>
      <c r="F725" s="13">
        <v>45870</v>
      </c>
      <c r="G725" s="16">
        <v>140</v>
      </c>
      <c r="H725" s="16"/>
      <c r="I725" s="16"/>
      <c r="J725" s="16">
        <v>140</v>
      </c>
      <c r="K725" s="16">
        <f t="shared" si="33"/>
        <v>0</v>
      </c>
      <c r="L725" s="17">
        <f t="shared" si="32"/>
        <v>0</v>
      </c>
    </row>
    <row r="726" spans="1:12" s="18" customFormat="1" outlineLevel="3">
      <c r="A726" s="12" t="s">
        <v>402</v>
      </c>
      <c r="B726" s="12" t="s">
        <v>862</v>
      </c>
      <c r="C726" s="12" t="s">
        <v>141</v>
      </c>
      <c r="D726" s="12" t="s">
        <v>141</v>
      </c>
      <c r="E726" s="12" t="s">
        <v>864</v>
      </c>
      <c r="F726" s="13">
        <v>45870</v>
      </c>
      <c r="G726" s="16">
        <v>183.78</v>
      </c>
      <c r="H726" s="16"/>
      <c r="I726" s="16"/>
      <c r="J726" s="16">
        <v>183.78</v>
      </c>
      <c r="K726" s="16">
        <f t="shared" si="33"/>
        <v>0</v>
      </c>
      <c r="L726" s="17">
        <f t="shared" si="32"/>
        <v>0</v>
      </c>
    </row>
    <row r="727" spans="1:12" s="18" customFormat="1" outlineLevel="3">
      <c r="A727" s="12" t="s">
        <v>402</v>
      </c>
      <c r="B727" s="12" t="s">
        <v>862</v>
      </c>
      <c r="C727" s="12" t="s">
        <v>145</v>
      </c>
      <c r="D727" s="12" t="s">
        <v>145</v>
      </c>
      <c r="E727" s="12" t="s">
        <v>864</v>
      </c>
      <c r="F727" s="13">
        <v>45870</v>
      </c>
      <c r="G727" s="16">
        <v>131.25</v>
      </c>
      <c r="H727" s="16"/>
      <c r="I727" s="16"/>
      <c r="J727" s="16">
        <v>131.25</v>
      </c>
      <c r="K727" s="16">
        <f t="shared" si="33"/>
        <v>0</v>
      </c>
      <c r="L727" s="17">
        <f t="shared" si="32"/>
        <v>0</v>
      </c>
    </row>
    <row r="728" spans="1:12" s="18" customFormat="1" outlineLevel="3">
      <c r="A728" s="12" t="s">
        <v>402</v>
      </c>
      <c r="B728" s="12" t="s">
        <v>862</v>
      </c>
      <c r="C728" s="12" t="s">
        <v>131</v>
      </c>
      <c r="D728" s="12" t="s">
        <v>865</v>
      </c>
      <c r="E728" s="12" t="s">
        <v>864</v>
      </c>
      <c r="F728" s="13">
        <v>45870</v>
      </c>
      <c r="G728" s="16">
        <v>2639.29</v>
      </c>
      <c r="H728" s="16"/>
      <c r="I728" s="16"/>
      <c r="J728" s="16">
        <v>2639.29</v>
      </c>
      <c r="K728" s="16">
        <f t="shared" si="33"/>
        <v>0</v>
      </c>
      <c r="L728" s="17">
        <f t="shared" si="32"/>
        <v>0</v>
      </c>
    </row>
    <row r="729" spans="1:12" s="18" customFormat="1" outlineLevel="3">
      <c r="A729" s="12" t="s">
        <v>402</v>
      </c>
      <c r="B729" s="12" t="s">
        <v>862</v>
      </c>
      <c r="C729" s="12" t="s">
        <v>464</v>
      </c>
      <c r="D729" s="12" t="s">
        <v>866</v>
      </c>
      <c r="E729" s="12" t="s">
        <v>864</v>
      </c>
      <c r="F729" s="13">
        <v>45870</v>
      </c>
      <c r="G729" s="16">
        <v>919.28</v>
      </c>
      <c r="H729" s="16"/>
      <c r="I729" s="16"/>
      <c r="J729" s="16">
        <v>919.28</v>
      </c>
      <c r="K729" s="16">
        <f t="shared" si="33"/>
        <v>0</v>
      </c>
      <c r="L729" s="17">
        <f t="shared" si="32"/>
        <v>0</v>
      </c>
    </row>
    <row r="730" spans="1:12" s="18" customFormat="1" outlineLevel="2">
      <c r="A730" s="12"/>
      <c r="B730" s="7" t="s">
        <v>867</v>
      </c>
      <c r="C730" s="12"/>
      <c r="D730" s="12"/>
      <c r="E730" s="12"/>
      <c r="F730" s="13"/>
      <c r="G730" s="16">
        <f>SUBTOTAL(9,G725:G729)</f>
        <v>4013.5999999999995</v>
      </c>
      <c r="H730" s="16"/>
      <c r="I730" s="16">
        <f>SUBTOTAL(9,I725:I729)</f>
        <v>0</v>
      </c>
      <c r="J730" s="16">
        <f>SUBTOTAL(9,J725:J729)</f>
        <v>4013.5999999999995</v>
      </c>
      <c r="K730" s="16">
        <f>SUBTOTAL(9,K725:K729)</f>
        <v>0</v>
      </c>
      <c r="L730" s="17"/>
    </row>
    <row r="731" spans="1:12" s="18" customFormat="1" outlineLevel="3">
      <c r="A731" s="12" t="s">
        <v>402</v>
      </c>
      <c r="B731" s="12" t="s">
        <v>868</v>
      </c>
      <c r="C731" s="12" t="s">
        <v>141</v>
      </c>
      <c r="D731" s="12" t="s">
        <v>869</v>
      </c>
      <c r="E731" s="12" t="s">
        <v>870</v>
      </c>
      <c r="F731" s="13">
        <v>45870</v>
      </c>
      <c r="G731" s="16">
        <v>232.5</v>
      </c>
      <c r="H731" s="16"/>
      <c r="I731" s="16"/>
      <c r="J731" s="16">
        <v>245</v>
      </c>
      <c r="K731" s="16">
        <f t="shared" si="33"/>
        <v>-12.5</v>
      </c>
      <c r="L731" s="17">
        <f t="shared" si="32"/>
        <v>-5.1020408163265307E-2</v>
      </c>
    </row>
    <row r="732" spans="1:12" s="18" customFormat="1" outlineLevel="3">
      <c r="A732" s="12" t="s">
        <v>402</v>
      </c>
      <c r="B732" s="12" t="s">
        <v>868</v>
      </c>
      <c r="C732" s="12" t="s">
        <v>141</v>
      </c>
      <c r="D732" s="12" t="s">
        <v>871</v>
      </c>
      <c r="E732" s="12" t="s">
        <v>872</v>
      </c>
      <c r="F732" s="13">
        <v>45870</v>
      </c>
      <c r="G732" s="16">
        <v>352</v>
      </c>
      <c r="H732" s="16"/>
      <c r="I732" s="16"/>
      <c r="J732" s="16">
        <v>352</v>
      </c>
      <c r="K732" s="16">
        <f t="shared" si="33"/>
        <v>0</v>
      </c>
      <c r="L732" s="17">
        <f t="shared" si="32"/>
        <v>0</v>
      </c>
    </row>
    <row r="733" spans="1:12" s="18" customFormat="1" outlineLevel="3">
      <c r="A733" s="12" t="s">
        <v>402</v>
      </c>
      <c r="B733" s="12" t="s">
        <v>868</v>
      </c>
      <c r="C733" s="12" t="s">
        <v>145</v>
      </c>
      <c r="D733" s="12" t="s">
        <v>145</v>
      </c>
      <c r="E733" s="12" t="s">
        <v>873</v>
      </c>
      <c r="F733" s="13">
        <v>45870</v>
      </c>
      <c r="G733" s="16">
        <v>2083.25</v>
      </c>
      <c r="H733" s="16"/>
      <c r="I733" s="16"/>
      <c r="J733" s="16">
        <v>2057.25</v>
      </c>
      <c r="K733" s="16">
        <f t="shared" si="33"/>
        <v>26</v>
      </c>
      <c r="L733" s="17">
        <f t="shared" si="32"/>
        <v>1.2638230647709321E-2</v>
      </c>
    </row>
    <row r="734" spans="1:12" s="18" customFormat="1" outlineLevel="3">
      <c r="A734" s="12" t="s">
        <v>402</v>
      </c>
      <c r="B734" s="12" t="s">
        <v>868</v>
      </c>
      <c r="C734" s="12" t="s">
        <v>131</v>
      </c>
      <c r="D734" s="12" t="s">
        <v>874</v>
      </c>
      <c r="E734" s="12" t="s">
        <v>875</v>
      </c>
      <c r="F734" s="13">
        <v>45870</v>
      </c>
      <c r="G734" s="16">
        <v>11139.45</v>
      </c>
      <c r="H734" s="16"/>
      <c r="I734" s="16"/>
      <c r="J734" s="16">
        <v>11139.45</v>
      </c>
      <c r="K734" s="16">
        <f t="shared" si="33"/>
        <v>0</v>
      </c>
      <c r="L734" s="17">
        <f t="shared" si="32"/>
        <v>0</v>
      </c>
    </row>
    <row r="735" spans="1:12" s="18" customFormat="1" outlineLevel="2">
      <c r="A735" s="12"/>
      <c r="B735" s="7" t="s">
        <v>876</v>
      </c>
      <c r="C735" s="12"/>
      <c r="D735" s="12"/>
      <c r="E735" s="12"/>
      <c r="F735" s="13"/>
      <c r="G735" s="16">
        <f>SUBTOTAL(9,G731:G734)</f>
        <v>13807.2</v>
      </c>
      <c r="H735" s="16"/>
      <c r="I735" s="16">
        <f>SUBTOTAL(9,I731:I734)</f>
        <v>0</v>
      </c>
      <c r="J735" s="16">
        <f>SUBTOTAL(9,J731:J734)</f>
        <v>13793.7</v>
      </c>
      <c r="K735" s="16">
        <f>SUBTOTAL(9,K731:K734)</f>
        <v>13.5</v>
      </c>
      <c r="L735" s="17"/>
    </row>
    <row r="736" spans="1:12" s="18" customFormat="1" outlineLevel="3">
      <c r="A736" s="12" t="s">
        <v>402</v>
      </c>
      <c r="B736" s="12" t="s">
        <v>877</v>
      </c>
      <c r="C736" s="12" t="s">
        <v>175</v>
      </c>
      <c r="D736" s="12" t="s">
        <v>878</v>
      </c>
      <c r="E736" s="12" t="s">
        <v>879</v>
      </c>
      <c r="F736" s="13">
        <v>45870</v>
      </c>
      <c r="G736" s="16">
        <v>154</v>
      </c>
      <c r="H736" s="16"/>
      <c r="I736" s="16"/>
      <c r="J736" s="16">
        <v>154</v>
      </c>
      <c r="K736" s="16">
        <f t="shared" si="33"/>
        <v>0</v>
      </c>
      <c r="L736" s="17">
        <f t="shared" si="32"/>
        <v>0</v>
      </c>
    </row>
    <row r="737" spans="1:12" s="18" customFormat="1" outlineLevel="3">
      <c r="A737" s="12" t="s">
        <v>402</v>
      </c>
      <c r="B737" s="12" t="s">
        <v>877</v>
      </c>
      <c r="C737" s="12" t="s">
        <v>175</v>
      </c>
      <c r="D737" s="12" t="s">
        <v>880</v>
      </c>
      <c r="E737" s="12" t="s">
        <v>879</v>
      </c>
      <c r="F737" s="13">
        <v>45870</v>
      </c>
      <c r="G737" s="16">
        <v>1188</v>
      </c>
      <c r="H737" s="16"/>
      <c r="I737" s="16"/>
      <c r="J737" s="16">
        <v>1132</v>
      </c>
      <c r="K737" s="16">
        <f t="shared" si="33"/>
        <v>56</v>
      </c>
      <c r="L737" s="17">
        <f t="shared" si="32"/>
        <v>4.9469964664310952E-2</v>
      </c>
    </row>
    <row r="738" spans="1:12" s="18" customFormat="1" outlineLevel="3">
      <c r="A738" s="12" t="s">
        <v>402</v>
      </c>
      <c r="B738" s="12" t="s">
        <v>877</v>
      </c>
      <c r="C738" s="12" t="s">
        <v>141</v>
      </c>
      <c r="D738" s="12" t="s">
        <v>141</v>
      </c>
      <c r="E738" s="12" t="s">
        <v>879</v>
      </c>
      <c r="F738" s="13">
        <v>45870</v>
      </c>
      <c r="G738" s="16">
        <v>804.25</v>
      </c>
      <c r="H738" s="16"/>
      <c r="I738" s="16"/>
      <c r="J738" s="16">
        <v>804.25</v>
      </c>
      <c r="K738" s="16">
        <f t="shared" si="33"/>
        <v>0</v>
      </c>
      <c r="L738" s="17">
        <f t="shared" si="32"/>
        <v>0</v>
      </c>
    </row>
    <row r="739" spans="1:12" s="18" customFormat="1" outlineLevel="3">
      <c r="A739" s="12" t="s">
        <v>402</v>
      </c>
      <c r="B739" s="12" t="s">
        <v>877</v>
      </c>
      <c r="C739" s="12" t="s">
        <v>145</v>
      </c>
      <c r="D739" s="12" t="s">
        <v>145</v>
      </c>
      <c r="E739" s="12" t="s">
        <v>879</v>
      </c>
      <c r="F739" s="13">
        <v>45870</v>
      </c>
      <c r="G739" s="16">
        <v>1750.4</v>
      </c>
      <c r="H739" s="16"/>
      <c r="I739" s="16"/>
      <c r="J739" s="16">
        <v>1764.2</v>
      </c>
      <c r="K739" s="16">
        <f t="shared" si="33"/>
        <v>-13.799999999999955</v>
      </c>
      <c r="L739" s="17">
        <f t="shared" si="32"/>
        <v>-7.8222423761478022E-3</v>
      </c>
    </row>
    <row r="740" spans="1:12" s="18" customFormat="1" outlineLevel="3">
      <c r="A740" s="12" t="s">
        <v>402</v>
      </c>
      <c r="B740" s="12" t="s">
        <v>877</v>
      </c>
      <c r="C740" s="12" t="s">
        <v>131</v>
      </c>
      <c r="D740" s="12" t="s">
        <v>131</v>
      </c>
      <c r="E740" s="12" t="s">
        <v>879</v>
      </c>
      <c r="F740" s="13">
        <v>45870</v>
      </c>
      <c r="G740" s="16">
        <v>4372.3900000000003</v>
      </c>
      <c r="H740" s="16"/>
      <c r="I740" s="16"/>
      <c r="J740" s="16">
        <v>4372.3900000000003</v>
      </c>
      <c r="K740" s="16">
        <f t="shared" si="33"/>
        <v>0</v>
      </c>
      <c r="L740" s="17">
        <f t="shared" si="32"/>
        <v>0</v>
      </c>
    </row>
    <row r="741" spans="1:12" s="18" customFormat="1" outlineLevel="2">
      <c r="A741" s="12"/>
      <c r="B741" s="7" t="s">
        <v>881</v>
      </c>
      <c r="C741" s="12"/>
      <c r="D741" s="12"/>
      <c r="E741" s="12"/>
      <c r="F741" s="13"/>
      <c r="G741" s="16">
        <f>SUBTOTAL(9,G736:G740)</f>
        <v>8269.0400000000009</v>
      </c>
      <c r="H741" s="16"/>
      <c r="I741" s="16">
        <f>SUBTOTAL(9,I736:I740)</f>
        <v>0</v>
      </c>
      <c r="J741" s="16">
        <f>SUBTOTAL(9,J736:J740)</f>
        <v>8226.84</v>
      </c>
      <c r="K741" s="16">
        <f>SUBTOTAL(9,K736:K740)</f>
        <v>42.200000000000045</v>
      </c>
      <c r="L741" s="17"/>
    </row>
    <row r="742" spans="1:12" s="18" customFormat="1" outlineLevel="3">
      <c r="A742" s="12" t="s">
        <v>402</v>
      </c>
      <c r="B742" s="12" t="s">
        <v>882</v>
      </c>
      <c r="C742" s="12" t="s">
        <v>175</v>
      </c>
      <c r="D742" s="12" t="s">
        <v>175</v>
      </c>
      <c r="E742" s="12" t="s">
        <v>883</v>
      </c>
      <c r="F742" s="13">
        <v>45870</v>
      </c>
      <c r="G742" s="16">
        <v>282</v>
      </c>
      <c r="H742" s="16"/>
      <c r="I742" s="16"/>
      <c r="J742" s="16">
        <v>282</v>
      </c>
      <c r="K742" s="16">
        <f t="shared" si="33"/>
        <v>0</v>
      </c>
      <c r="L742" s="17">
        <f t="shared" si="32"/>
        <v>0</v>
      </c>
    </row>
    <row r="743" spans="1:12" s="18" customFormat="1" outlineLevel="3">
      <c r="A743" s="12" t="s">
        <v>402</v>
      </c>
      <c r="B743" s="12" t="s">
        <v>882</v>
      </c>
      <c r="C743" s="12" t="s">
        <v>141</v>
      </c>
      <c r="D743" s="12" t="s">
        <v>141</v>
      </c>
      <c r="E743" s="12" t="s">
        <v>883</v>
      </c>
      <c r="F743" s="13">
        <v>45870</v>
      </c>
      <c r="G743" s="16">
        <v>852.24440000000004</v>
      </c>
      <c r="H743" s="16"/>
      <c r="I743" s="16"/>
      <c r="J743" s="16">
        <v>848.62919999999997</v>
      </c>
      <c r="K743" s="16">
        <f t="shared" si="33"/>
        <v>3.6152000000000726</v>
      </c>
      <c r="L743" s="17">
        <f t="shared" si="32"/>
        <v>4.2600466729168316E-3</v>
      </c>
    </row>
    <row r="744" spans="1:12" s="18" customFormat="1" outlineLevel="3">
      <c r="A744" s="12" t="s">
        <v>402</v>
      </c>
      <c r="B744" s="12" t="s">
        <v>882</v>
      </c>
      <c r="C744" s="12" t="s">
        <v>145</v>
      </c>
      <c r="D744" s="12" t="s">
        <v>145</v>
      </c>
      <c r="E744" s="12" t="s">
        <v>883</v>
      </c>
      <c r="F744" s="13">
        <v>45870</v>
      </c>
      <c r="G744" s="16">
        <v>189</v>
      </c>
      <c r="H744" s="16"/>
      <c r="I744" s="16"/>
      <c r="J744" s="16">
        <v>175</v>
      </c>
      <c r="K744" s="16">
        <f t="shared" si="33"/>
        <v>14</v>
      </c>
      <c r="L744" s="17">
        <f t="shared" si="32"/>
        <v>0.08</v>
      </c>
    </row>
    <row r="745" spans="1:12" s="18" customFormat="1" outlineLevel="3">
      <c r="A745" s="12" t="s">
        <v>402</v>
      </c>
      <c r="B745" s="12" t="s">
        <v>882</v>
      </c>
      <c r="C745" s="12" t="s">
        <v>131</v>
      </c>
      <c r="D745" s="12" t="s">
        <v>131</v>
      </c>
      <c r="E745" s="12" t="s">
        <v>883</v>
      </c>
      <c r="F745" s="13">
        <v>45870</v>
      </c>
      <c r="G745" s="16">
        <v>1680</v>
      </c>
      <c r="H745" s="16"/>
      <c r="I745" s="16"/>
      <c r="J745" s="16">
        <v>1680.0008</v>
      </c>
      <c r="K745" s="16">
        <f t="shared" si="33"/>
        <v>-8.0000000002655725E-4</v>
      </c>
      <c r="L745" s="17">
        <f t="shared" si="32"/>
        <v>-4.7619024944902242E-7</v>
      </c>
    </row>
    <row r="746" spans="1:12" s="18" customFormat="1" outlineLevel="2">
      <c r="A746" s="12"/>
      <c r="B746" s="7" t="s">
        <v>884</v>
      </c>
      <c r="C746" s="12"/>
      <c r="D746" s="12"/>
      <c r="E746" s="12"/>
      <c r="F746" s="13"/>
      <c r="G746" s="16">
        <f>SUBTOTAL(9,G742:G745)</f>
        <v>3003.2444</v>
      </c>
      <c r="H746" s="16"/>
      <c r="I746" s="16">
        <f>SUBTOTAL(9,I742:I745)</f>
        <v>0</v>
      </c>
      <c r="J746" s="16">
        <f>SUBTOTAL(9,J742:J745)</f>
        <v>2985.63</v>
      </c>
      <c r="K746" s="16">
        <f>SUBTOTAL(9,K742:K745)</f>
        <v>17.614400000000046</v>
      </c>
      <c r="L746" s="17"/>
    </row>
    <row r="747" spans="1:12" s="18" customFormat="1" outlineLevel="3">
      <c r="A747" s="12" t="s">
        <v>402</v>
      </c>
      <c r="B747" s="12" t="s">
        <v>885</v>
      </c>
      <c r="C747" s="12" t="s">
        <v>141</v>
      </c>
      <c r="D747" s="12" t="s">
        <v>181</v>
      </c>
      <c r="E747" s="12" t="s">
        <v>886</v>
      </c>
      <c r="F747" s="13">
        <v>45870</v>
      </c>
      <c r="G747" s="16">
        <v>781</v>
      </c>
      <c r="H747" s="16"/>
      <c r="I747" s="16"/>
      <c r="J747" s="16">
        <v>781</v>
      </c>
      <c r="K747" s="16">
        <f t="shared" si="33"/>
        <v>0</v>
      </c>
      <c r="L747" s="17">
        <f t="shared" si="32"/>
        <v>0</v>
      </c>
    </row>
    <row r="748" spans="1:12" s="18" customFormat="1" outlineLevel="3">
      <c r="A748" s="12" t="s">
        <v>402</v>
      </c>
      <c r="B748" s="12" t="s">
        <v>885</v>
      </c>
      <c r="C748" s="12" t="s">
        <v>145</v>
      </c>
      <c r="D748" s="12" t="s">
        <v>145</v>
      </c>
      <c r="E748" s="12" t="s">
        <v>887</v>
      </c>
      <c r="F748" s="13">
        <v>45870</v>
      </c>
      <c r="G748" s="16">
        <v>4099.5</v>
      </c>
      <c r="H748" s="16"/>
      <c r="I748" s="16"/>
      <c r="J748" s="16">
        <v>4148.25</v>
      </c>
      <c r="K748" s="16">
        <f t="shared" si="33"/>
        <v>-48.75</v>
      </c>
      <c r="L748" s="17">
        <f t="shared" si="32"/>
        <v>-1.1751943590670765E-2</v>
      </c>
    </row>
    <row r="749" spans="1:12" s="18" customFormat="1" outlineLevel="3">
      <c r="A749" s="12" t="s">
        <v>402</v>
      </c>
      <c r="B749" s="12" t="s">
        <v>885</v>
      </c>
      <c r="C749" s="12" t="s">
        <v>131</v>
      </c>
      <c r="D749" s="12" t="s">
        <v>888</v>
      </c>
      <c r="E749" s="12" t="s">
        <v>889</v>
      </c>
      <c r="F749" s="13">
        <v>45870</v>
      </c>
      <c r="G749" s="16">
        <v>636.5</v>
      </c>
      <c r="H749" s="16"/>
      <c r="I749" s="16"/>
      <c r="J749" s="16">
        <v>636.5</v>
      </c>
      <c r="K749" s="16">
        <f t="shared" si="33"/>
        <v>0</v>
      </c>
      <c r="L749" s="17">
        <f t="shared" si="32"/>
        <v>0</v>
      </c>
    </row>
    <row r="750" spans="1:12" s="18" customFormat="1" outlineLevel="3">
      <c r="A750" s="12" t="s">
        <v>402</v>
      </c>
      <c r="B750" s="12" t="s">
        <v>885</v>
      </c>
      <c r="C750" s="12" t="s">
        <v>131</v>
      </c>
      <c r="D750" s="12" t="s">
        <v>415</v>
      </c>
      <c r="E750" s="12" t="s">
        <v>887</v>
      </c>
      <c r="F750" s="13">
        <v>45870</v>
      </c>
      <c r="G750" s="16">
        <v>11509.08</v>
      </c>
      <c r="H750" s="16"/>
      <c r="I750" s="16"/>
      <c r="J750" s="16">
        <v>11509.08</v>
      </c>
      <c r="K750" s="16">
        <f t="shared" si="33"/>
        <v>0</v>
      </c>
      <c r="L750" s="17">
        <f t="shared" si="32"/>
        <v>0</v>
      </c>
    </row>
    <row r="751" spans="1:12" s="18" customFormat="1" outlineLevel="3">
      <c r="A751" s="12" t="s">
        <v>402</v>
      </c>
      <c r="B751" s="12" t="s">
        <v>885</v>
      </c>
      <c r="C751" s="12" t="s">
        <v>464</v>
      </c>
      <c r="D751" s="12" t="s">
        <v>890</v>
      </c>
      <c r="E751" s="12" t="s">
        <v>887</v>
      </c>
      <c r="F751" s="13">
        <v>45870</v>
      </c>
      <c r="G751" s="16">
        <v>3650</v>
      </c>
      <c r="H751" s="16"/>
      <c r="I751" s="16"/>
      <c r="J751" s="16">
        <v>3650</v>
      </c>
      <c r="K751" s="16">
        <f t="shared" si="33"/>
        <v>0</v>
      </c>
      <c r="L751" s="17">
        <f t="shared" si="32"/>
        <v>0</v>
      </c>
    </row>
    <row r="752" spans="1:12" s="18" customFormat="1" outlineLevel="2">
      <c r="A752" s="12"/>
      <c r="B752" s="7" t="s">
        <v>891</v>
      </c>
      <c r="C752" s="12"/>
      <c r="D752" s="12"/>
      <c r="E752" s="12"/>
      <c r="F752" s="13"/>
      <c r="G752" s="16">
        <f>SUBTOTAL(9,G747:G751)</f>
        <v>20676.080000000002</v>
      </c>
      <c r="H752" s="16"/>
      <c r="I752" s="16">
        <f>SUBTOTAL(9,I747:I751)</f>
        <v>0</v>
      </c>
      <c r="J752" s="16">
        <f>SUBTOTAL(9,J747:J751)</f>
        <v>20724.830000000002</v>
      </c>
      <c r="K752" s="16">
        <f>SUBTOTAL(9,K747:K751)</f>
        <v>-48.75</v>
      </c>
      <c r="L752" s="17"/>
    </row>
    <row r="753" spans="1:13" s="18" customFormat="1" outlineLevel="3">
      <c r="A753" s="12" t="s">
        <v>402</v>
      </c>
      <c r="B753" s="12" t="s">
        <v>892</v>
      </c>
      <c r="C753" s="12" t="s">
        <v>175</v>
      </c>
      <c r="D753" s="12" t="s">
        <v>175</v>
      </c>
      <c r="E753" s="12" t="s">
        <v>893</v>
      </c>
      <c r="F753" s="13">
        <v>45870</v>
      </c>
      <c r="G753" s="16">
        <v>1962.6</v>
      </c>
      <c r="H753" s="16"/>
      <c r="I753" s="16"/>
      <c r="J753" s="16">
        <v>1962.6</v>
      </c>
      <c r="K753" s="16">
        <f t="shared" si="33"/>
        <v>0</v>
      </c>
      <c r="L753" s="17">
        <f t="shared" si="32"/>
        <v>0</v>
      </c>
    </row>
    <row r="754" spans="1:13" s="18" customFormat="1" outlineLevel="3">
      <c r="A754" s="12" t="s">
        <v>402</v>
      </c>
      <c r="B754" s="12" t="s">
        <v>892</v>
      </c>
      <c r="C754" s="12" t="s">
        <v>141</v>
      </c>
      <c r="D754" s="12" t="s">
        <v>141</v>
      </c>
      <c r="E754" s="12" t="s">
        <v>894</v>
      </c>
      <c r="F754" s="13">
        <v>45870</v>
      </c>
      <c r="G754" s="16">
        <v>210</v>
      </c>
      <c r="H754" s="16"/>
      <c r="I754" s="16"/>
      <c r="J754" s="16">
        <v>210</v>
      </c>
      <c r="K754" s="16">
        <f t="shared" si="33"/>
        <v>0</v>
      </c>
      <c r="L754" s="17">
        <f t="shared" si="32"/>
        <v>0</v>
      </c>
    </row>
    <row r="755" spans="1:13" s="18" customFormat="1" outlineLevel="3">
      <c r="A755" s="12" t="s">
        <v>402</v>
      </c>
      <c r="B755" s="12" t="s">
        <v>892</v>
      </c>
      <c r="C755" s="12" t="s">
        <v>145</v>
      </c>
      <c r="D755" s="12" t="s">
        <v>145</v>
      </c>
      <c r="E755" s="12" t="s">
        <v>894</v>
      </c>
      <c r="F755" s="13">
        <v>45870</v>
      </c>
      <c r="G755" s="16">
        <v>1237.5</v>
      </c>
      <c r="H755" s="16"/>
      <c r="I755" s="16"/>
      <c r="J755" s="16">
        <v>1250.5</v>
      </c>
      <c r="K755" s="16">
        <f t="shared" si="33"/>
        <v>-13</v>
      </c>
      <c r="L755" s="17">
        <f t="shared" si="32"/>
        <v>-1.0395841663334666E-2</v>
      </c>
    </row>
    <row r="756" spans="1:13" s="18" customFormat="1" outlineLevel="3">
      <c r="A756" s="12" t="s">
        <v>402</v>
      </c>
      <c r="B756" s="12" t="s">
        <v>892</v>
      </c>
      <c r="C756" s="12" t="s">
        <v>131</v>
      </c>
      <c r="D756" s="12" t="s">
        <v>131</v>
      </c>
      <c r="E756" s="12" t="s">
        <v>894</v>
      </c>
      <c r="F756" s="13">
        <v>45870</v>
      </c>
      <c r="G756" s="16">
        <v>4450</v>
      </c>
      <c r="H756" s="16"/>
      <c r="I756" s="16"/>
      <c r="J756" s="16">
        <v>4450</v>
      </c>
      <c r="K756" s="16">
        <f t="shared" si="33"/>
        <v>0</v>
      </c>
      <c r="L756" s="17">
        <f t="shared" si="32"/>
        <v>0</v>
      </c>
    </row>
    <row r="757" spans="1:13" s="18" customFormat="1" outlineLevel="2">
      <c r="A757" s="12"/>
      <c r="B757" s="7" t="s">
        <v>895</v>
      </c>
      <c r="C757" s="12"/>
      <c r="D757" s="12"/>
      <c r="E757" s="12"/>
      <c r="F757" s="13"/>
      <c r="G757" s="16">
        <f>SUBTOTAL(9,G753:G756)</f>
        <v>7860.1</v>
      </c>
      <c r="H757" s="16"/>
      <c r="I757" s="16">
        <f>SUBTOTAL(9,I753:I756)</f>
        <v>0</v>
      </c>
      <c r="J757" s="16">
        <f>SUBTOTAL(9,J753:J756)</f>
        <v>7873.1</v>
      </c>
      <c r="K757" s="16">
        <f>SUBTOTAL(9,K753:K756)</f>
        <v>-13</v>
      </c>
      <c r="L757" s="17"/>
    </row>
    <row r="758" spans="1:13" outlineLevel="3">
      <c r="A758" s="12" t="s">
        <v>402</v>
      </c>
      <c r="B758" s="12" t="s">
        <v>896</v>
      </c>
      <c r="C758" s="12" t="s">
        <v>131</v>
      </c>
      <c r="D758" s="12" t="s">
        <v>131</v>
      </c>
      <c r="E758" s="12" t="s">
        <v>897</v>
      </c>
      <c r="F758" s="13">
        <v>45870</v>
      </c>
      <c r="G758" s="16">
        <v>6519</v>
      </c>
      <c r="H758" s="16"/>
      <c r="I758" s="16"/>
      <c r="J758" s="16">
        <v>6554</v>
      </c>
      <c r="K758" s="16">
        <f t="shared" si="33"/>
        <v>-35</v>
      </c>
      <c r="L758" s="17">
        <f t="shared" si="32"/>
        <v>-5.3402502288678669E-3</v>
      </c>
      <c r="M758" s="18"/>
    </row>
    <row r="759" spans="1:13" outlineLevel="2">
      <c r="B759" s="7" t="s">
        <v>898</v>
      </c>
      <c r="F759" s="13"/>
      <c r="G759" s="16">
        <f>SUBTOTAL(9,G758:G758)</f>
        <v>6519</v>
      </c>
      <c r="H759" s="16"/>
      <c r="I759" s="16">
        <f>SUBTOTAL(9,I758:I758)</f>
        <v>0</v>
      </c>
      <c r="J759" s="16">
        <f>SUBTOTAL(9,J758:J758)</f>
        <v>6554</v>
      </c>
      <c r="K759" s="16">
        <f>SUBTOTAL(9,K758:K758)</f>
        <v>-35</v>
      </c>
      <c r="L759" s="17"/>
      <c r="M759" s="18"/>
    </row>
    <row r="760" spans="1:13" outlineLevel="3">
      <c r="A760" s="12" t="s">
        <v>402</v>
      </c>
      <c r="B760" s="12" t="s">
        <v>899</v>
      </c>
      <c r="C760" s="12" t="s">
        <v>175</v>
      </c>
      <c r="D760" s="12" t="s">
        <v>175</v>
      </c>
      <c r="E760" s="12" t="s">
        <v>900</v>
      </c>
      <c r="F760" s="13">
        <v>45870</v>
      </c>
      <c r="G760" s="16">
        <v>506</v>
      </c>
      <c r="H760" s="16"/>
      <c r="I760" s="16"/>
      <c r="J760" s="16">
        <v>352</v>
      </c>
      <c r="K760" s="16">
        <f t="shared" si="33"/>
        <v>154</v>
      </c>
      <c r="L760" s="17">
        <f t="shared" si="32"/>
        <v>0.4375</v>
      </c>
      <c r="M760" s="18"/>
    </row>
    <row r="761" spans="1:13" outlineLevel="3">
      <c r="A761" s="12" t="s">
        <v>402</v>
      </c>
      <c r="B761" s="12" t="s">
        <v>899</v>
      </c>
      <c r="C761" s="12" t="s">
        <v>141</v>
      </c>
      <c r="D761" s="12" t="s">
        <v>141</v>
      </c>
      <c r="E761" s="12" t="s">
        <v>900</v>
      </c>
      <c r="F761" s="13">
        <v>45870</v>
      </c>
      <c r="G761" s="16">
        <v>147.34</v>
      </c>
      <c r="H761" s="16"/>
      <c r="I761" s="16"/>
      <c r="J761" s="16">
        <v>147.34</v>
      </c>
      <c r="K761" s="16">
        <f t="shared" si="33"/>
        <v>0</v>
      </c>
      <c r="L761" s="17">
        <f t="shared" si="32"/>
        <v>0</v>
      </c>
      <c r="M761" s="18"/>
    </row>
    <row r="762" spans="1:13" outlineLevel="3">
      <c r="A762" s="12" t="s">
        <v>402</v>
      </c>
      <c r="B762" s="12" t="s">
        <v>899</v>
      </c>
      <c r="C762" s="12" t="s">
        <v>145</v>
      </c>
      <c r="D762" s="12" t="s">
        <v>145</v>
      </c>
      <c r="E762" s="12" t="s">
        <v>900</v>
      </c>
      <c r="F762" s="13">
        <v>45870</v>
      </c>
      <c r="G762" s="16">
        <v>1101.2</v>
      </c>
      <c r="H762" s="16"/>
      <c r="I762" s="16"/>
      <c r="J762" s="16">
        <v>1080.2</v>
      </c>
      <c r="K762" s="16">
        <f t="shared" si="33"/>
        <v>21</v>
      </c>
      <c r="L762" s="17">
        <f t="shared" si="32"/>
        <v>1.9440844288094797E-2</v>
      </c>
      <c r="M762" s="18"/>
    </row>
    <row r="763" spans="1:13" outlineLevel="3">
      <c r="A763" s="12" t="s">
        <v>402</v>
      </c>
      <c r="B763" s="12" t="s">
        <v>899</v>
      </c>
      <c r="C763" s="12" t="s">
        <v>131</v>
      </c>
      <c r="D763" s="12" t="s">
        <v>131</v>
      </c>
      <c r="E763" s="12" t="s">
        <v>900</v>
      </c>
      <c r="F763" s="13">
        <v>45870</v>
      </c>
      <c r="G763" s="16">
        <v>1801</v>
      </c>
      <c r="H763" s="16"/>
      <c r="I763" s="16"/>
      <c r="J763" s="16">
        <v>1801</v>
      </c>
      <c r="K763" s="16">
        <f t="shared" si="33"/>
        <v>0</v>
      </c>
      <c r="L763" s="17">
        <f t="shared" si="32"/>
        <v>0</v>
      </c>
      <c r="M763" s="18"/>
    </row>
    <row r="764" spans="1:13" outlineLevel="3">
      <c r="A764" s="12" t="s">
        <v>402</v>
      </c>
      <c r="B764" s="12" t="s">
        <v>899</v>
      </c>
      <c r="C764" s="12" t="s">
        <v>464</v>
      </c>
      <c r="D764" s="12" t="s">
        <v>464</v>
      </c>
      <c r="E764" s="12" t="s">
        <v>900</v>
      </c>
      <c r="F764" s="13">
        <v>45870</v>
      </c>
      <c r="G764" s="16">
        <v>92</v>
      </c>
      <c r="H764" s="16"/>
      <c r="I764" s="16"/>
      <c r="J764" s="16">
        <v>92</v>
      </c>
      <c r="K764" s="16">
        <f t="shared" si="33"/>
        <v>0</v>
      </c>
      <c r="L764" s="17">
        <f t="shared" si="32"/>
        <v>0</v>
      </c>
      <c r="M764" s="18"/>
    </row>
    <row r="765" spans="1:13" outlineLevel="2">
      <c r="B765" s="7" t="s">
        <v>901</v>
      </c>
      <c r="F765" s="13"/>
      <c r="G765" s="16">
        <f>SUBTOTAL(9,G760:G764)</f>
        <v>3647.54</v>
      </c>
      <c r="H765" s="16"/>
      <c r="I765" s="16">
        <f>SUBTOTAL(9,I760:I764)</f>
        <v>0</v>
      </c>
      <c r="J765" s="16">
        <f>SUBTOTAL(9,J760:J764)</f>
        <v>3472.54</v>
      </c>
      <c r="K765" s="16">
        <f>SUBTOTAL(9,K760:K764)</f>
        <v>175</v>
      </c>
      <c r="L765" s="17"/>
      <c r="M765" s="18"/>
    </row>
    <row r="766" spans="1:13" outlineLevel="3">
      <c r="A766" s="12" t="s">
        <v>402</v>
      </c>
      <c r="B766" s="12" t="s">
        <v>902</v>
      </c>
      <c r="C766" s="12" t="s">
        <v>407</v>
      </c>
      <c r="D766" s="12" t="s">
        <v>903</v>
      </c>
      <c r="F766" s="13"/>
      <c r="G766" s="16"/>
      <c r="H766" s="16"/>
      <c r="I766" s="16"/>
      <c r="J766" s="16">
        <v>329.4</v>
      </c>
      <c r="K766" s="16">
        <f>+G766-J766</f>
        <v>-329.4</v>
      </c>
      <c r="L766" s="17">
        <f t="shared" si="32"/>
        <v>-1</v>
      </c>
      <c r="M766" s="18"/>
    </row>
    <row r="767" spans="1:13" outlineLevel="2">
      <c r="B767" s="7" t="s">
        <v>904</v>
      </c>
      <c r="F767" s="13"/>
      <c r="G767" s="16">
        <f>SUBTOTAL(9,G766:G766)</f>
        <v>0</v>
      </c>
      <c r="H767" s="16"/>
      <c r="I767" s="16">
        <f>SUBTOTAL(9,I766:I766)</f>
        <v>0</v>
      </c>
      <c r="J767" s="16">
        <f>SUBTOTAL(9,J766:J766)</f>
        <v>329.4</v>
      </c>
      <c r="K767" s="16">
        <f>SUBTOTAL(9,K766:K766)</f>
        <v>-329.4</v>
      </c>
      <c r="L767" s="17"/>
      <c r="M767" s="18"/>
    </row>
    <row r="768" spans="1:13" outlineLevel="3">
      <c r="A768" s="12" t="s">
        <v>402</v>
      </c>
      <c r="B768" s="12" t="s">
        <v>905</v>
      </c>
      <c r="C768" s="12" t="s">
        <v>175</v>
      </c>
      <c r="D768" s="12" t="s">
        <v>175</v>
      </c>
      <c r="E768" s="12" t="s">
        <v>906</v>
      </c>
      <c r="F768" s="13">
        <v>45870</v>
      </c>
      <c r="G768" s="16">
        <v>16.5</v>
      </c>
      <c r="H768" s="16"/>
      <c r="I768" s="16"/>
      <c r="J768" s="16">
        <v>16.5</v>
      </c>
      <c r="K768" s="16">
        <f t="shared" si="33"/>
        <v>0</v>
      </c>
      <c r="L768" s="17">
        <f t="shared" si="32"/>
        <v>0</v>
      </c>
      <c r="M768" s="18"/>
    </row>
    <row r="769" spans="1:13" outlineLevel="3">
      <c r="A769" s="12" t="s">
        <v>402</v>
      </c>
      <c r="B769" s="12" t="s">
        <v>905</v>
      </c>
      <c r="C769" s="12" t="s">
        <v>141</v>
      </c>
      <c r="D769" s="12" t="s">
        <v>141</v>
      </c>
      <c r="E769" s="12" t="s">
        <v>906</v>
      </c>
      <c r="F769" s="13">
        <v>45870</v>
      </c>
      <c r="G769" s="16">
        <v>114.97</v>
      </c>
      <c r="H769" s="16"/>
      <c r="I769" s="16"/>
      <c r="J769" s="16">
        <v>114.97</v>
      </c>
      <c r="K769" s="16">
        <f t="shared" si="33"/>
        <v>0</v>
      </c>
      <c r="L769" s="17">
        <f t="shared" si="32"/>
        <v>0</v>
      </c>
      <c r="M769" s="18"/>
    </row>
    <row r="770" spans="1:13" outlineLevel="3">
      <c r="A770" s="12" t="s">
        <v>402</v>
      </c>
      <c r="B770" s="12" t="s">
        <v>905</v>
      </c>
      <c r="C770" s="12" t="s">
        <v>145</v>
      </c>
      <c r="D770" s="12" t="s">
        <v>145</v>
      </c>
      <c r="E770" s="12" t="s">
        <v>906</v>
      </c>
      <c r="F770" s="13">
        <v>45870</v>
      </c>
      <c r="G770" s="16">
        <v>435.8</v>
      </c>
      <c r="H770" s="16"/>
      <c r="I770" s="16"/>
      <c r="J770" s="16">
        <v>483.05</v>
      </c>
      <c r="K770" s="16">
        <f t="shared" si="33"/>
        <v>-47.25</v>
      </c>
      <c r="L770" s="17">
        <f t="shared" si="32"/>
        <v>-9.7815961080633479E-2</v>
      </c>
      <c r="M770" s="18"/>
    </row>
    <row r="771" spans="1:13" outlineLevel="3">
      <c r="A771" s="12" t="s">
        <v>402</v>
      </c>
      <c r="B771" s="12" t="s">
        <v>905</v>
      </c>
      <c r="C771" s="12" t="s">
        <v>131</v>
      </c>
      <c r="D771" s="12" t="s">
        <v>131</v>
      </c>
      <c r="E771" s="12" t="s">
        <v>906</v>
      </c>
      <c r="F771" s="13">
        <v>45870</v>
      </c>
      <c r="G771" s="16">
        <v>1207.5</v>
      </c>
      <c r="H771" s="16"/>
      <c r="I771" s="16"/>
      <c r="J771" s="16">
        <v>1207.5</v>
      </c>
      <c r="K771" s="16">
        <f t="shared" si="33"/>
        <v>0</v>
      </c>
      <c r="L771" s="17">
        <f t="shared" ref="L771:L825" si="34">+K771/J771</f>
        <v>0</v>
      </c>
      <c r="M771" s="18"/>
    </row>
    <row r="772" spans="1:13" outlineLevel="2">
      <c r="B772" s="7" t="s">
        <v>907</v>
      </c>
      <c r="F772" s="13"/>
      <c r="G772" s="16">
        <f>SUBTOTAL(9,G768:G771)</f>
        <v>1774.77</v>
      </c>
      <c r="H772" s="16"/>
      <c r="I772" s="16">
        <f>SUBTOTAL(9,I768:I771)</f>
        <v>0</v>
      </c>
      <c r="J772" s="16">
        <f>SUBTOTAL(9,J768:J771)</f>
        <v>1822.02</v>
      </c>
      <c r="K772" s="16">
        <f>SUBTOTAL(9,K768:K771)</f>
        <v>-47.25</v>
      </c>
      <c r="L772" s="17"/>
      <c r="M772" s="18"/>
    </row>
    <row r="773" spans="1:13" outlineLevel="3">
      <c r="A773" s="12" t="s">
        <v>402</v>
      </c>
      <c r="B773" s="12" t="s">
        <v>908</v>
      </c>
      <c r="C773" s="12" t="s">
        <v>175</v>
      </c>
      <c r="D773" s="12" t="s">
        <v>909</v>
      </c>
      <c r="E773" s="12" t="s">
        <v>910</v>
      </c>
      <c r="F773" s="13">
        <v>45870</v>
      </c>
      <c r="G773" s="16">
        <v>1780</v>
      </c>
      <c r="H773" s="16"/>
      <c r="I773" s="16"/>
      <c r="J773" s="16">
        <v>1780</v>
      </c>
      <c r="K773" s="16">
        <f t="shared" si="33"/>
        <v>0</v>
      </c>
      <c r="L773" s="17">
        <f t="shared" si="34"/>
        <v>0</v>
      </c>
      <c r="M773" s="18"/>
    </row>
    <row r="774" spans="1:13" s="18" customFormat="1" outlineLevel="3">
      <c r="A774" s="12" t="s">
        <v>402</v>
      </c>
      <c r="B774" s="12" t="s">
        <v>908</v>
      </c>
      <c r="C774" s="12" t="s">
        <v>141</v>
      </c>
      <c r="D774" s="12" t="s">
        <v>181</v>
      </c>
      <c r="E774" s="12" t="s">
        <v>910</v>
      </c>
      <c r="F774" s="13">
        <v>45870</v>
      </c>
      <c r="G774" s="16">
        <v>1555.402</v>
      </c>
      <c r="H774" s="16"/>
      <c r="I774" s="16"/>
      <c r="J774" s="16">
        <v>1507.787</v>
      </c>
      <c r="K774" s="16">
        <f t="shared" si="33"/>
        <v>47.615000000000009</v>
      </c>
      <c r="L774" s="17">
        <f t="shared" si="34"/>
        <v>3.1579394171723202E-2</v>
      </c>
    </row>
    <row r="775" spans="1:13" s="18" customFormat="1" outlineLevel="3">
      <c r="A775" s="12" t="s">
        <v>402</v>
      </c>
      <c r="B775" s="12" t="s">
        <v>908</v>
      </c>
      <c r="C775" s="12" t="s">
        <v>145</v>
      </c>
      <c r="D775" s="12" t="s">
        <v>183</v>
      </c>
      <c r="E775" s="12" t="s">
        <v>910</v>
      </c>
      <c r="F775" s="13">
        <v>45870</v>
      </c>
      <c r="G775" s="16">
        <v>2373</v>
      </c>
      <c r="H775" s="16"/>
      <c r="I775" s="16"/>
      <c r="J775" s="16">
        <v>2415</v>
      </c>
      <c r="K775" s="16">
        <f t="shared" si="33"/>
        <v>-42</v>
      </c>
      <c r="L775" s="17">
        <f t="shared" si="34"/>
        <v>-1.7391304347826087E-2</v>
      </c>
    </row>
    <row r="776" spans="1:13" s="18" customFormat="1" outlineLevel="3">
      <c r="A776" s="12" t="s">
        <v>402</v>
      </c>
      <c r="B776" s="12" t="s">
        <v>908</v>
      </c>
      <c r="C776" s="12" t="s">
        <v>131</v>
      </c>
      <c r="D776" s="12" t="s">
        <v>189</v>
      </c>
      <c r="E776" s="12" t="s">
        <v>910</v>
      </c>
      <c r="F776" s="13">
        <v>45870</v>
      </c>
      <c r="G776" s="16">
        <v>5146.1400000000003</v>
      </c>
      <c r="H776" s="16"/>
      <c r="I776" s="16"/>
      <c r="J776" s="16">
        <v>5102.8530000000001</v>
      </c>
      <c r="K776" s="16">
        <f t="shared" si="33"/>
        <v>43.287000000000262</v>
      </c>
      <c r="L776" s="17">
        <f t="shared" si="34"/>
        <v>8.482901623856353E-3</v>
      </c>
    </row>
    <row r="777" spans="1:13" s="18" customFormat="1" outlineLevel="2">
      <c r="A777" s="12"/>
      <c r="B777" s="7" t="s">
        <v>911</v>
      </c>
      <c r="C777" s="12"/>
      <c r="D777" s="12"/>
      <c r="E777" s="12"/>
      <c r="F777" s="13"/>
      <c r="G777" s="16">
        <f>SUBTOTAL(9,G773:G776)</f>
        <v>10854.542000000001</v>
      </c>
      <c r="H777" s="16"/>
      <c r="I777" s="16">
        <f>SUBTOTAL(9,I773:I776)</f>
        <v>0</v>
      </c>
      <c r="J777" s="16">
        <f>SUBTOTAL(9,J773:J776)</f>
        <v>10805.64</v>
      </c>
      <c r="K777" s="16">
        <f>SUBTOTAL(9,K773:K776)</f>
        <v>48.902000000000271</v>
      </c>
      <c r="L777" s="17"/>
    </row>
    <row r="778" spans="1:13" s="18" customFormat="1" outlineLevel="3">
      <c r="A778" s="12" t="s">
        <v>402</v>
      </c>
      <c r="B778" s="12" t="s">
        <v>912</v>
      </c>
      <c r="C778" s="12" t="s">
        <v>141</v>
      </c>
      <c r="D778" s="12" t="s">
        <v>141</v>
      </c>
      <c r="E778" s="12" t="s">
        <v>913</v>
      </c>
      <c r="F778" s="13">
        <v>45870</v>
      </c>
      <c r="G778" s="16">
        <v>353.13799999999998</v>
      </c>
      <c r="H778" s="16"/>
      <c r="I778" s="16"/>
      <c r="J778" s="16">
        <v>330.99439999999998</v>
      </c>
      <c r="K778" s="16">
        <f t="shared" ref="K778:K825" si="35">+G778-J778</f>
        <v>22.143599999999992</v>
      </c>
      <c r="L778" s="17">
        <f t="shared" si="34"/>
        <v>6.6900225502304553E-2</v>
      </c>
    </row>
    <row r="779" spans="1:13" s="18" customFormat="1" outlineLevel="3">
      <c r="A779" s="12" t="s">
        <v>402</v>
      </c>
      <c r="B779" s="12" t="s">
        <v>912</v>
      </c>
      <c r="C779" s="12" t="s">
        <v>145</v>
      </c>
      <c r="D779" s="12" t="s">
        <v>145</v>
      </c>
      <c r="E779" s="12" t="s">
        <v>913</v>
      </c>
      <c r="F779" s="13">
        <v>45870</v>
      </c>
      <c r="G779" s="16">
        <v>460</v>
      </c>
      <c r="H779" s="16"/>
      <c r="I779" s="16"/>
      <c r="J779" s="16">
        <v>460</v>
      </c>
      <c r="K779" s="16">
        <f t="shared" si="35"/>
        <v>0</v>
      </c>
      <c r="L779" s="17">
        <f t="shared" si="34"/>
        <v>0</v>
      </c>
    </row>
    <row r="780" spans="1:13" s="18" customFormat="1" outlineLevel="3">
      <c r="A780" s="12" t="s">
        <v>402</v>
      </c>
      <c r="B780" s="12" t="s">
        <v>912</v>
      </c>
      <c r="C780" s="12" t="s">
        <v>131</v>
      </c>
      <c r="D780" s="12" t="s">
        <v>914</v>
      </c>
      <c r="E780" s="12" t="s">
        <v>913</v>
      </c>
      <c r="F780" s="13">
        <v>45870</v>
      </c>
      <c r="G780" s="16">
        <v>2118.942</v>
      </c>
      <c r="H780" s="16"/>
      <c r="I780" s="16"/>
      <c r="J780" s="16">
        <v>2118.94</v>
      </c>
      <c r="K780" s="16">
        <f t="shared" si="35"/>
        <v>1.9999999999527063E-3</v>
      </c>
      <c r="L780" s="17">
        <f t="shared" si="34"/>
        <v>9.4386816047302247E-7</v>
      </c>
    </row>
    <row r="781" spans="1:13" s="18" customFormat="1" outlineLevel="2">
      <c r="A781" s="12"/>
      <c r="B781" s="7" t="s">
        <v>915</v>
      </c>
      <c r="C781" s="12"/>
      <c r="D781" s="12"/>
      <c r="E781" s="12"/>
      <c r="F781" s="13"/>
      <c r="G781" s="16">
        <f>SUBTOTAL(9,G778:G780)</f>
        <v>2932.08</v>
      </c>
      <c r="H781" s="16"/>
      <c r="I781" s="16">
        <f>SUBTOTAL(9,I778:I780)</f>
        <v>0</v>
      </c>
      <c r="J781" s="16">
        <f>SUBTOTAL(9,J778:J780)</f>
        <v>2909.9344000000001</v>
      </c>
      <c r="K781" s="16">
        <f>SUBTOTAL(9,K778:K780)</f>
        <v>22.145599999999945</v>
      </c>
      <c r="L781" s="17"/>
    </row>
    <row r="782" spans="1:13" s="18" customFormat="1" outlineLevel="3">
      <c r="A782" s="12" t="s">
        <v>402</v>
      </c>
      <c r="B782" s="12" t="s">
        <v>916</v>
      </c>
      <c r="C782" s="12" t="s">
        <v>175</v>
      </c>
      <c r="D782" s="12" t="s">
        <v>175</v>
      </c>
      <c r="E782" s="12" t="s">
        <v>917</v>
      </c>
      <c r="F782" s="13">
        <v>45870</v>
      </c>
      <c r="G782" s="16">
        <v>976</v>
      </c>
      <c r="H782" s="16"/>
      <c r="I782" s="16"/>
      <c r="J782" s="16">
        <v>976</v>
      </c>
      <c r="K782" s="16">
        <f t="shared" si="35"/>
        <v>0</v>
      </c>
      <c r="L782" s="17">
        <f t="shared" si="34"/>
        <v>0</v>
      </c>
    </row>
    <row r="783" spans="1:13" s="18" customFormat="1" outlineLevel="3">
      <c r="A783" s="12" t="s">
        <v>402</v>
      </c>
      <c r="B783" s="12" t="s">
        <v>916</v>
      </c>
      <c r="C783" s="12" t="s">
        <v>141</v>
      </c>
      <c r="D783" s="12" t="s">
        <v>141</v>
      </c>
      <c r="E783" s="12" t="s">
        <v>917</v>
      </c>
      <c r="F783" s="13">
        <v>45870</v>
      </c>
      <c r="G783" s="16">
        <v>535.92380000000003</v>
      </c>
      <c r="H783" s="16"/>
      <c r="I783" s="16"/>
      <c r="J783" s="16">
        <v>529.33759999999995</v>
      </c>
      <c r="K783" s="16">
        <f t="shared" si="35"/>
        <v>6.5862000000000762</v>
      </c>
      <c r="L783" s="17">
        <f t="shared" si="34"/>
        <v>1.2442343034010954E-2</v>
      </c>
    </row>
    <row r="784" spans="1:13" s="18" customFormat="1" outlineLevel="3">
      <c r="A784" s="12" t="s">
        <v>402</v>
      </c>
      <c r="B784" s="12" t="s">
        <v>916</v>
      </c>
      <c r="C784" s="12" t="s">
        <v>145</v>
      </c>
      <c r="D784" s="12" t="s">
        <v>145</v>
      </c>
      <c r="E784" s="12" t="s">
        <v>917</v>
      </c>
      <c r="F784" s="13">
        <v>45870</v>
      </c>
      <c r="G784" s="16">
        <v>1029</v>
      </c>
      <c r="H784" s="16"/>
      <c r="I784" s="16"/>
      <c r="J784" s="16">
        <v>1015</v>
      </c>
      <c r="K784" s="16">
        <f t="shared" si="35"/>
        <v>14</v>
      </c>
      <c r="L784" s="17">
        <f t="shared" si="34"/>
        <v>1.3793103448275862E-2</v>
      </c>
    </row>
    <row r="785" spans="1:13" s="18" customFormat="1" outlineLevel="3">
      <c r="A785" s="12" t="s">
        <v>402</v>
      </c>
      <c r="B785" s="12" t="s">
        <v>916</v>
      </c>
      <c r="C785" s="12" t="s">
        <v>131</v>
      </c>
      <c r="D785" s="12" t="s">
        <v>131</v>
      </c>
      <c r="E785" s="12" t="s">
        <v>917</v>
      </c>
      <c r="F785" s="13">
        <v>45870</v>
      </c>
      <c r="G785" s="16">
        <v>5315.63</v>
      </c>
      <c r="H785" s="16"/>
      <c r="I785" s="16"/>
      <c r="J785" s="16">
        <v>5315.6324000000004</v>
      </c>
      <c r="K785" s="16">
        <f t="shared" si="35"/>
        <v>-2.4000000003070454E-3</v>
      </c>
      <c r="L785" s="17">
        <f t="shared" si="34"/>
        <v>-4.5149848968244027E-7</v>
      </c>
    </row>
    <row r="786" spans="1:13" s="18" customFormat="1" outlineLevel="2">
      <c r="A786" s="12"/>
      <c r="B786" s="7" t="s">
        <v>918</v>
      </c>
      <c r="C786" s="12"/>
      <c r="D786" s="12"/>
      <c r="E786" s="12"/>
      <c r="F786" s="13"/>
      <c r="G786" s="16">
        <f>SUBTOTAL(9,G782:G785)</f>
        <v>7856.5537999999997</v>
      </c>
      <c r="H786" s="16"/>
      <c r="I786" s="16">
        <f>SUBTOTAL(9,I782:I785)</f>
        <v>0</v>
      </c>
      <c r="J786" s="16">
        <f>SUBTOTAL(9,J782:J785)</f>
        <v>7835.97</v>
      </c>
      <c r="K786" s="16">
        <f>SUBTOTAL(9,K782:K785)</f>
        <v>20.583799999999769</v>
      </c>
      <c r="L786" s="17"/>
    </row>
    <row r="787" spans="1:13" s="18" customFormat="1" outlineLevel="3">
      <c r="A787" s="12" t="s">
        <v>402</v>
      </c>
      <c r="B787" s="12" t="s">
        <v>919</v>
      </c>
      <c r="C787" s="12" t="s">
        <v>141</v>
      </c>
      <c r="D787" s="12" t="s">
        <v>307</v>
      </c>
      <c r="E787" s="12" t="s">
        <v>920</v>
      </c>
      <c r="F787" s="13">
        <v>45870</v>
      </c>
      <c r="G787" s="16">
        <v>1998.95</v>
      </c>
      <c r="H787" s="16"/>
      <c r="I787" s="16"/>
      <c r="J787" s="16">
        <v>296</v>
      </c>
      <c r="K787" s="16">
        <f t="shared" si="35"/>
        <v>1702.95</v>
      </c>
      <c r="L787" s="17">
        <f t="shared" si="34"/>
        <v>5.7532094594594598</v>
      </c>
    </row>
    <row r="788" spans="1:13" s="18" customFormat="1" outlineLevel="3">
      <c r="A788" s="12" t="s">
        <v>402</v>
      </c>
      <c r="B788" s="12" t="s">
        <v>919</v>
      </c>
      <c r="C788" s="12" t="s">
        <v>145</v>
      </c>
      <c r="D788" s="12" t="s">
        <v>308</v>
      </c>
      <c r="E788" s="12" t="s">
        <v>920</v>
      </c>
      <c r="F788" s="13">
        <v>45870</v>
      </c>
      <c r="G788" s="16">
        <v>1670</v>
      </c>
      <c r="H788" s="16"/>
      <c r="I788" s="16"/>
      <c r="J788" s="16">
        <v>1626</v>
      </c>
      <c r="K788" s="16">
        <f t="shared" si="35"/>
        <v>44</v>
      </c>
      <c r="L788" s="17">
        <f t="shared" si="34"/>
        <v>2.7060270602706028E-2</v>
      </c>
    </row>
    <row r="789" spans="1:13" s="18" customFormat="1" outlineLevel="3">
      <c r="A789" s="12" t="s">
        <v>402</v>
      </c>
      <c r="B789" s="12" t="s">
        <v>919</v>
      </c>
      <c r="C789" s="12" t="s">
        <v>131</v>
      </c>
      <c r="D789" s="12" t="s">
        <v>450</v>
      </c>
      <c r="E789" s="12" t="s">
        <v>920</v>
      </c>
      <c r="F789" s="13">
        <v>45870</v>
      </c>
      <c r="G789" s="16">
        <v>4999</v>
      </c>
      <c r="H789" s="16"/>
      <c r="I789" s="16"/>
      <c r="J789" s="16">
        <v>4764</v>
      </c>
      <c r="K789" s="16">
        <f t="shared" si="35"/>
        <v>235</v>
      </c>
      <c r="L789" s="17">
        <f t="shared" si="34"/>
        <v>4.9328295549958018E-2</v>
      </c>
    </row>
    <row r="790" spans="1:13" s="18" customFormat="1" outlineLevel="2">
      <c r="A790" s="12"/>
      <c r="B790" s="7" t="s">
        <v>921</v>
      </c>
      <c r="C790" s="12"/>
      <c r="D790" s="12"/>
      <c r="E790" s="12"/>
      <c r="F790" s="13"/>
      <c r="G790" s="16">
        <f>SUBTOTAL(9,G787:G789)</f>
        <v>8667.9500000000007</v>
      </c>
      <c r="H790" s="16"/>
      <c r="I790" s="16">
        <f>SUBTOTAL(9,I787:I789)</f>
        <v>0</v>
      </c>
      <c r="J790" s="16">
        <f>SUBTOTAL(9,J787:J789)</f>
        <v>6686</v>
      </c>
      <c r="K790" s="16">
        <f>SUBTOTAL(9,K787:K789)</f>
        <v>1981.95</v>
      </c>
      <c r="L790" s="17"/>
    </row>
    <row r="791" spans="1:13" outlineLevel="3">
      <c r="A791" s="12" t="s">
        <v>402</v>
      </c>
      <c r="B791" s="12" t="s">
        <v>922</v>
      </c>
      <c r="C791" s="12" t="s">
        <v>175</v>
      </c>
      <c r="D791" s="12" t="s">
        <v>175</v>
      </c>
      <c r="E791" s="12" t="s">
        <v>923</v>
      </c>
      <c r="F791" s="13">
        <v>45870</v>
      </c>
      <c r="G791" s="16">
        <v>528</v>
      </c>
      <c r="H791" s="16"/>
      <c r="I791" s="16"/>
      <c r="J791" s="16">
        <v>528</v>
      </c>
      <c r="K791" s="16">
        <f t="shared" si="35"/>
        <v>0</v>
      </c>
      <c r="L791" s="17">
        <f t="shared" si="34"/>
        <v>0</v>
      </c>
      <c r="M791" s="18"/>
    </row>
    <row r="792" spans="1:13" outlineLevel="3">
      <c r="A792" s="12" t="s">
        <v>402</v>
      </c>
      <c r="B792" s="12" t="s">
        <v>922</v>
      </c>
      <c r="C792" s="12" t="s">
        <v>141</v>
      </c>
      <c r="D792" s="12" t="s">
        <v>141</v>
      </c>
      <c r="E792" s="12" t="s">
        <v>923</v>
      </c>
      <c r="F792" s="13">
        <v>45870</v>
      </c>
      <c r="G792" s="16">
        <v>335.5</v>
      </c>
      <c r="H792" s="16"/>
      <c r="I792" s="16"/>
      <c r="J792" s="16">
        <v>335.5</v>
      </c>
      <c r="K792" s="16">
        <f t="shared" si="35"/>
        <v>0</v>
      </c>
      <c r="L792" s="17">
        <f t="shared" si="34"/>
        <v>0</v>
      </c>
      <c r="M792" s="18"/>
    </row>
    <row r="793" spans="1:13" outlineLevel="3">
      <c r="A793" s="12" t="s">
        <v>402</v>
      </c>
      <c r="B793" s="12" t="s">
        <v>922</v>
      </c>
      <c r="C793" s="12" t="s">
        <v>145</v>
      </c>
      <c r="D793" s="12" t="s">
        <v>145</v>
      </c>
      <c r="E793" s="12" t="s">
        <v>923</v>
      </c>
      <c r="F793" s="13">
        <v>45870</v>
      </c>
      <c r="G793" s="16">
        <v>1037</v>
      </c>
      <c r="H793" s="16"/>
      <c r="I793" s="16">
        <v>-49</v>
      </c>
      <c r="J793" s="16">
        <v>1002</v>
      </c>
      <c r="K793" s="16">
        <f>SUM(G793:I793)-J793</f>
        <v>-14</v>
      </c>
      <c r="L793" s="17">
        <f t="shared" si="34"/>
        <v>-1.3972055888223553E-2</v>
      </c>
      <c r="M793" s="18"/>
    </row>
    <row r="794" spans="1:13" outlineLevel="3">
      <c r="A794" s="12" t="s">
        <v>402</v>
      </c>
      <c r="B794" s="12" t="s">
        <v>922</v>
      </c>
      <c r="C794" s="12" t="s">
        <v>131</v>
      </c>
      <c r="D794" s="12" t="s">
        <v>131</v>
      </c>
      <c r="E794" s="12" t="s">
        <v>923</v>
      </c>
      <c r="F794" s="13">
        <v>45870</v>
      </c>
      <c r="G794" s="16">
        <v>1975</v>
      </c>
      <c r="H794" s="16"/>
      <c r="I794" s="16"/>
      <c r="J794" s="16">
        <v>1975</v>
      </c>
      <c r="K794" s="16">
        <f t="shared" si="35"/>
        <v>0</v>
      </c>
      <c r="L794" s="17">
        <f t="shared" si="34"/>
        <v>0</v>
      </c>
      <c r="M794" s="18"/>
    </row>
    <row r="795" spans="1:13" outlineLevel="2">
      <c r="B795" s="7" t="s">
        <v>924</v>
      </c>
      <c r="F795" s="13"/>
      <c r="G795" s="16">
        <f>SUBTOTAL(9,G791:G794)</f>
        <v>3875.5</v>
      </c>
      <c r="H795" s="16"/>
      <c r="I795" s="16">
        <f>SUBTOTAL(9,I791:I794)</f>
        <v>-49</v>
      </c>
      <c r="J795" s="16">
        <f>SUBTOTAL(9,J791:J794)</f>
        <v>3840.5</v>
      </c>
      <c r="K795" s="16">
        <f>SUBTOTAL(9,K791:K794)</f>
        <v>-14</v>
      </c>
      <c r="L795" s="17"/>
      <c r="M795" s="18"/>
    </row>
    <row r="796" spans="1:13" outlineLevel="3">
      <c r="A796" s="12" t="s">
        <v>402</v>
      </c>
      <c r="B796" s="12" t="s">
        <v>925</v>
      </c>
      <c r="C796" s="12" t="s">
        <v>175</v>
      </c>
      <c r="D796" s="12" t="s">
        <v>926</v>
      </c>
      <c r="E796" s="12" t="s">
        <v>927</v>
      </c>
      <c r="F796" s="13">
        <v>45870</v>
      </c>
      <c r="G796" s="16">
        <v>420</v>
      </c>
      <c r="H796" s="16"/>
      <c r="I796" s="16"/>
      <c r="J796" s="16">
        <v>420</v>
      </c>
      <c r="K796" s="16">
        <f t="shared" si="35"/>
        <v>0</v>
      </c>
      <c r="L796" s="17">
        <f t="shared" si="34"/>
        <v>0</v>
      </c>
      <c r="M796" s="18"/>
    </row>
    <row r="797" spans="1:13" outlineLevel="3">
      <c r="A797" s="12" t="s">
        <v>402</v>
      </c>
      <c r="B797" s="12" t="s">
        <v>925</v>
      </c>
      <c r="C797" s="12" t="s">
        <v>141</v>
      </c>
      <c r="D797" s="12" t="s">
        <v>141</v>
      </c>
      <c r="E797" s="12" t="s">
        <v>927</v>
      </c>
      <c r="F797" s="13">
        <v>45870</v>
      </c>
      <c r="G797" s="16">
        <v>80</v>
      </c>
      <c r="H797" s="16"/>
      <c r="I797" s="16"/>
      <c r="J797" s="16">
        <v>80</v>
      </c>
      <c r="K797" s="16">
        <f t="shared" si="35"/>
        <v>0</v>
      </c>
      <c r="L797" s="17">
        <f t="shared" si="34"/>
        <v>0</v>
      </c>
      <c r="M797" s="18"/>
    </row>
    <row r="798" spans="1:13" outlineLevel="3">
      <c r="A798" s="12" t="s">
        <v>402</v>
      </c>
      <c r="B798" s="12" t="s">
        <v>925</v>
      </c>
      <c r="C798" s="12" t="s">
        <v>145</v>
      </c>
      <c r="D798" s="12" t="s">
        <v>145</v>
      </c>
      <c r="E798" s="12" t="s">
        <v>927</v>
      </c>
      <c r="F798" s="13">
        <v>45870</v>
      </c>
      <c r="G798" s="16">
        <v>147</v>
      </c>
      <c r="H798" s="16"/>
      <c r="I798" s="16"/>
      <c r="J798" s="16">
        <v>147</v>
      </c>
      <c r="K798" s="16">
        <f t="shared" si="35"/>
        <v>0</v>
      </c>
      <c r="L798" s="17">
        <f t="shared" si="34"/>
        <v>0</v>
      </c>
      <c r="M798" s="18"/>
    </row>
    <row r="799" spans="1:13" outlineLevel="3">
      <c r="A799" s="12" t="s">
        <v>402</v>
      </c>
      <c r="B799" s="12" t="s">
        <v>925</v>
      </c>
      <c r="C799" s="12" t="s">
        <v>131</v>
      </c>
      <c r="D799" s="12" t="s">
        <v>928</v>
      </c>
      <c r="E799" s="12" t="s">
        <v>927</v>
      </c>
      <c r="F799" s="13">
        <v>45870</v>
      </c>
      <c r="G799" s="16">
        <v>1473.22</v>
      </c>
      <c r="H799" s="16"/>
      <c r="I799" s="16"/>
      <c r="J799" s="16">
        <v>1473.22</v>
      </c>
      <c r="K799" s="16">
        <f t="shared" si="35"/>
        <v>0</v>
      </c>
      <c r="L799" s="17">
        <f t="shared" si="34"/>
        <v>0</v>
      </c>
      <c r="M799" s="18"/>
    </row>
    <row r="800" spans="1:13" outlineLevel="2">
      <c r="B800" s="7" t="s">
        <v>929</v>
      </c>
      <c r="F800" s="13"/>
      <c r="G800" s="16">
        <f>SUBTOTAL(9,G796:G799)</f>
        <v>2120.2200000000003</v>
      </c>
      <c r="H800" s="16"/>
      <c r="I800" s="16">
        <f>SUBTOTAL(9,I796:I799)</f>
        <v>0</v>
      </c>
      <c r="J800" s="16">
        <f>SUBTOTAL(9,J796:J799)</f>
        <v>2120.2200000000003</v>
      </c>
      <c r="K800" s="16">
        <f>SUBTOTAL(9,K796:K799)</f>
        <v>0</v>
      </c>
      <c r="L800" s="17"/>
      <c r="M800" s="18"/>
    </row>
    <row r="801" spans="1:13" outlineLevel="3">
      <c r="A801" s="12" t="s">
        <v>402</v>
      </c>
      <c r="B801" s="12" t="s">
        <v>930</v>
      </c>
      <c r="C801" s="12" t="s">
        <v>175</v>
      </c>
      <c r="D801" s="12" t="s">
        <v>931</v>
      </c>
      <c r="E801" s="12" t="s">
        <v>932</v>
      </c>
      <c r="F801" s="13">
        <v>45870</v>
      </c>
      <c r="G801" s="16">
        <v>107.9</v>
      </c>
      <c r="H801" s="16"/>
      <c r="I801" s="16"/>
      <c r="J801" s="16">
        <v>107.9</v>
      </c>
      <c r="K801" s="16">
        <f t="shared" si="35"/>
        <v>0</v>
      </c>
      <c r="L801" s="17">
        <f t="shared" si="34"/>
        <v>0</v>
      </c>
      <c r="M801" s="18"/>
    </row>
    <row r="802" spans="1:13" outlineLevel="3">
      <c r="A802" s="12" t="s">
        <v>402</v>
      </c>
      <c r="B802" s="12" t="s">
        <v>930</v>
      </c>
      <c r="C802" s="12" t="s">
        <v>141</v>
      </c>
      <c r="D802" s="12" t="s">
        <v>141</v>
      </c>
      <c r="E802" s="12" t="s">
        <v>932</v>
      </c>
      <c r="F802" s="13">
        <v>45870</v>
      </c>
      <c r="G802" s="16">
        <v>775.75</v>
      </c>
      <c r="H802" s="16"/>
      <c r="I802" s="16"/>
      <c r="J802" s="16">
        <v>775.75</v>
      </c>
      <c r="K802" s="16">
        <f t="shared" si="35"/>
        <v>0</v>
      </c>
      <c r="L802" s="17">
        <f t="shared" si="34"/>
        <v>0</v>
      </c>
      <c r="M802" s="18"/>
    </row>
    <row r="803" spans="1:13" outlineLevel="3">
      <c r="A803" s="12" t="s">
        <v>402</v>
      </c>
      <c r="B803" s="12" t="s">
        <v>930</v>
      </c>
      <c r="C803" s="12" t="s">
        <v>145</v>
      </c>
      <c r="D803" s="12" t="s">
        <v>933</v>
      </c>
      <c r="E803" s="12" t="s">
        <v>932</v>
      </c>
      <c r="F803" s="13">
        <v>45870</v>
      </c>
      <c r="G803" s="16">
        <v>338.1</v>
      </c>
      <c r="H803" s="16"/>
      <c r="I803" s="16"/>
      <c r="J803" s="16">
        <v>338.1</v>
      </c>
      <c r="K803" s="16">
        <f t="shared" si="35"/>
        <v>0</v>
      </c>
      <c r="L803" s="17">
        <f t="shared" si="34"/>
        <v>0</v>
      </c>
      <c r="M803" s="18"/>
    </row>
    <row r="804" spans="1:13" outlineLevel="3">
      <c r="A804" s="12" t="s">
        <v>402</v>
      </c>
      <c r="B804" s="12" t="s">
        <v>930</v>
      </c>
      <c r="C804" s="12" t="s">
        <v>131</v>
      </c>
      <c r="D804" s="12" t="s">
        <v>934</v>
      </c>
      <c r="E804" s="12" t="s">
        <v>932</v>
      </c>
      <c r="F804" s="13">
        <v>45870</v>
      </c>
      <c r="G804" s="16">
        <v>1752.61</v>
      </c>
      <c r="H804" s="16"/>
      <c r="I804" s="16"/>
      <c r="J804" s="16">
        <v>1752.61</v>
      </c>
      <c r="K804" s="16">
        <f t="shared" si="35"/>
        <v>0</v>
      </c>
      <c r="L804" s="17">
        <f t="shared" si="34"/>
        <v>0</v>
      </c>
      <c r="M804" s="18"/>
    </row>
    <row r="805" spans="1:13" outlineLevel="2">
      <c r="B805" s="7" t="s">
        <v>935</v>
      </c>
      <c r="F805" s="13"/>
      <c r="G805" s="16">
        <f>SUBTOTAL(9,G801:G804)</f>
        <v>2974.3599999999997</v>
      </c>
      <c r="H805" s="16"/>
      <c r="I805" s="16">
        <f>SUBTOTAL(9,I801:I804)</f>
        <v>0</v>
      </c>
      <c r="J805" s="16">
        <f>SUBTOTAL(9,J801:J804)</f>
        <v>2974.3599999999997</v>
      </c>
      <c r="K805" s="16">
        <f>SUBTOTAL(9,K801:K804)</f>
        <v>0</v>
      </c>
      <c r="L805" s="17"/>
      <c r="M805" s="18"/>
    </row>
    <row r="806" spans="1:13" s="18" customFormat="1" outlineLevel="3">
      <c r="A806" s="12" t="s">
        <v>402</v>
      </c>
      <c r="B806" s="12" t="s">
        <v>936</v>
      </c>
      <c r="C806" s="12" t="s">
        <v>407</v>
      </c>
      <c r="D806" s="12" t="s">
        <v>407</v>
      </c>
      <c r="E806" s="12" t="s">
        <v>937</v>
      </c>
      <c r="F806" s="13">
        <v>45870</v>
      </c>
      <c r="G806" s="16">
        <v>465</v>
      </c>
      <c r="H806" s="16"/>
      <c r="I806" s="16"/>
      <c r="J806" s="16">
        <v>465</v>
      </c>
      <c r="K806" s="16">
        <f t="shared" si="35"/>
        <v>0</v>
      </c>
      <c r="L806" s="17">
        <f t="shared" si="34"/>
        <v>0</v>
      </c>
    </row>
    <row r="807" spans="1:13" s="18" customFormat="1" outlineLevel="3">
      <c r="A807" s="12" t="s">
        <v>402</v>
      </c>
      <c r="B807" s="12" t="s">
        <v>936</v>
      </c>
      <c r="C807" s="12" t="s">
        <v>141</v>
      </c>
      <c r="D807" s="12" t="s">
        <v>141</v>
      </c>
      <c r="E807" s="12" t="s">
        <v>937</v>
      </c>
      <c r="F807" s="13">
        <v>45870</v>
      </c>
      <c r="G807" s="16">
        <v>128</v>
      </c>
      <c r="H807" s="16"/>
      <c r="I807" s="16"/>
      <c r="J807" s="16">
        <v>128</v>
      </c>
      <c r="K807" s="16">
        <f t="shared" si="35"/>
        <v>0</v>
      </c>
      <c r="L807" s="17">
        <f t="shared" si="34"/>
        <v>0</v>
      </c>
    </row>
    <row r="808" spans="1:13" s="18" customFormat="1" outlineLevel="3">
      <c r="A808" s="12" t="s">
        <v>402</v>
      </c>
      <c r="B808" s="12" t="s">
        <v>936</v>
      </c>
      <c r="C808" s="12" t="s">
        <v>145</v>
      </c>
      <c r="D808" s="12" t="s">
        <v>145</v>
      </c>
      <c r="E808" s="12" t="s">
        <v>937</v>
      </c>
      <c r="F808" s="13">
        <v>45870</v>
      </c>
      <c r="G808" s="16">
        <v>1985</v>
      </c>
      <c r="H808" s="16"/>
      <c r="I808" s="16"/>
      <c r="J808" s="16">
        <v>1973</v>
      </c>
      <c r="K808" s="16">
        <f t="shared" si="35"/>
        <v>12</v>
      </c>
      <c r="L808" s="17">
        <f t="shared" si="34"/>
        <v>6.0821084642676132E-3</v>
      </c>
    </row>
    <row r="809" spans="1:13" s="18" customFormat="1" outlineLevel="3">
      <c r="A809" s="12" t="s">
        <v>402</v>
      </c>
      <c r="B809" s="12" t="s">
        <v>936</v>
      </c>
      <c r="C809" s="12" t="s">
        <v>131</v>
      </c>
      <c r="D809" s="12" t="s">
        <v>131</v>
      </c>
      <c r="E809" s="12" t="s">
        <v>937</v>
      </c>
      <c r="F809" s="13">
        <v>45870</v>
      </c>
      <c r="G809" s="16">
        <v>4164</v>
      </c>
      <c r="H809" s="16"/>
      <c r="I809" s="16"/>
      <c r="J809" s="16">
        <v>4164</v>
      </c>
      <c r="K809" s="16">
        <f t="shared" si="35"/>
        <v>0</v>
      </c>
      <c r="L809" s="17">
        <f t="shared" si="34"/>
        <v>0</v>
      </c>
    </row>
    <row r="810" spans="1:13" s="18" customFormat="1" outlineLevel="2">
      <c r="A810" s="12"/>
      <c r="B810" s="7" t="s">
        <v>938</v>
      </c>
      <c r="C810" s="12"/>
      <c r="D810" s="12"/>
      <c r="E810" s="12"/>
      <c r="F810" s="13"/>
      <c r="G810" s="16">
        <f>SUBTOTAL(9,G806:G809)</f>
        <v>6742</v>
      </c>
      <c r="H810" s="16"/>
      <c r="I810" s="16">
        <f>SUBTOTAL(9,I806:I809)</f>
        <v>0</v>
      </c>
      <c r="J810" s="16">
        <f>SUBTOTAL(9,J806:J809)</f>
        <v>6730</v>
      </c>
      <c r="K810" s="16">
        <f>SUBTOTAL(9,K806:K809)</f>
        <v>12</v>
      </c>
      <c r="L810" s="17"/>
    </row>
    <row r="811" spans="1:13" s="18" customFormat="1" outlineLevel="3">
      <c r="A811" s="12" t="s">
        <v>402</v>
      </c>
      <c r="B811" s="12" t="s">
        <v>939</v>
      </c>
      <c r="C811" s="12" t="s">
        <v>407</v>
      </c>
      <c r="D811" s="12" t="s">
        <v>940</v>
      </c>
      <c r="E811" s="12" t="s">
        <v>941</v>
      </c>
      <c r="F811" s="13">
        <v>45870</v>
      </c>
      <c r="G811" s="16">
        <v>2008.5</v>
      </c>
      <c r="H811" s="16"/>
      <c r="I811" s="16"/>
      <c r="J811" s="16">
        <v>2008.5</v>
      </c>
      <c r="K811" s="16">
        <f t="shared" si="35"/>
        <v>0</v>
      </c>
      <c r="L811" s="17">
        <f t="shared" si="34"/>
        <v>0</v>
      </c>
    </row>
    <row r="812" spans="1:13" s="18" customFormat="1" outlineLevel="3">
      <c r="A812" s="12" t="s">
        <v>402</v>
      </c>
      <c r="B812" s="12" t="s">
        <v>939</v>
      </c>
      <c r="C812" s="12" t="s">
        <v>141</v>
      </c>
      <c r="D812" s="12" t="s">
        <v>141</v>
      </c>
      <c r="E812" s="12" t="s">
        <v>941</v>
      </c>
      <c r="F812" s="13">
        <v>45870</v>
      </c>
      <c r="G812" s="16">
        <v>490.5</v>
      </c>
      <c r="H812" s="16"/>
      <c r="I812" s="16"/>
      <c r="J812" s="16">
        <v>490.5</v>
      </c>
      <c r="K812" s="16">
        <f t="shared" si="35"/>
        <v>0</v>
      </c>
      <c r="L812" s="17">
        <f t="shared" si="34"/>
        <v>0</v>
      </c>
    </row>
    <row r="813" spans="1:13" s="18" customFormat="1" outlineLevel="3">
      <c r="A813" s="12" t="s">
        <v>402</v>
      </c>
      <c r="B813" s="12" t="s">
        <v>939</v>
      </c>
      <c r="C813" s="12" t="s">
        <v>145</v>
      </c>
      <c r="D813" s="12" t="s">
        <v>145</v>
      </c>
      <c r="E813" s="12" t="s">
        <v>941</v>
      </c>
      <c r="F813" s="13">
        <v>45870</v>
      </c>
      <c r="G813" s="16">
        <v>2618</v>
      </c>
      <c r="H813" s="16"/>
      <c r="I813" s="16"/>
      <c r="J813" s="16">
        <v>2630</v>
      </c>
      <c r="K813" s="16">
        <f t="shared" si="35"/>
        <v>-12</v>
      </c>
      <c r="L813" s="17">
        <f t="shared" si="34"/>
        <v>-4.5627376425855515E-3</v>
      </c>
    </row>
    <row r="814" spans="1:13" s="18" customFormat="1" outlineLevel="3">
      <c r="A814" s="12" t="s">
        <v>402</v>
      </c>
      <c r="B814" s="12" t="s">
        <v>939</v>
      </c>
      <c r="C814" s="12" t="s">
        <v>131</v>
      </c>
      <c r="D814" s="12" t="s">
        <v>942</v>
      </c>
      <c r="E814" s="12" t="s">
        <v>941</v>
      </c>
      <c r="F814" s="13">
        <v>45870</v>
      </c>
      <c r="G814" s="16">
        <v>5055</v>
      </c>
      <c r="H814" s="16"/>
      <c r="I814" s="16"/>
      <c r="J814" s="16">
        <v>5035</v>
      </c>
      <c r="K814" s="16">
        <f t="shared" si="35"/>
        <v>20</v>
      </c>
      <c r="L814" s="17">
        <f t="shared" si="34"/>
        <v>3.9721946375372392E-3</v>
      </c>
    </row>
    <row r="815" spans="1:13" s="18" customFormat="1" outlineLevel="2">
      <c r="A815" s="12"/>
      <c r="B815" s="7" t="s">
        <v>943</v>
      </c>
      <c r="C815" s="12"/>
      <c r="D815" s="12"/>
      <c r="E815" s="12"/>
      <c r="F815" s="13"/>
      <c r="G815" s="16">
        <f>SUBTOTAL(9,G811:G814)</f>
        <v>10172</v>
      </c>
      <c r="H815" s="16"/>
      <c r="I815" s="16">
        <f>SUBTOTAL(9,I811:I814)</f>
        <v>0</v>
      </c>
      <c r="J815" s="16">
        <f>SUBTOTAL(9,J811:J814)</f>
        <v>10164</v>
      </c>
      <c r="K815" s="16">
        <f>SUBTOTAL(9,K811:K814)</f>
        <v>8</v>
      </c>
      <c r="L815" s="17"/>
    </row>
    <row r="816" spans="1:13" s="18" customFormat="1" outlineLevel="3">
      <c r="A816" s="12" t="s">
        <v>402</v>
      </c>
      <c r="B816" s="12" t="s">
        <v>944</v>
      </c>
      <c r="C816" s="12" t="s">
        <v>175</v>
      </c>
      <c r="D816" s="12" t="s">
        <v>175</v>
      </c>
      <c r="E816" s="12" t="s">
        <v>945</v>
      </c>
      <c r="F816" s="13">
        <v>45870</v>
      </c>
      <c r="G816" s="16">
        <v>2560</v>
      </c>
      <c r="H816" s="16"/>
      <c r="I816" s="16"/>
      <c r="J816" s="16">
        <v>2560</v>
      </c>
      <c r="K816" s="16">
        <f t="shared" si="35"/>
        <v>0</v>
      </c>
      <c r="L816" s="17">
        <f t="shared" si="34"/>
        <v>0</v>
      </c>
    </row>
    <row r="817" spans="1:12" s="18" customFormat="1" outlineLevel="3">
      <c r="A817" s="12" t="s">
        <v>402</v>
      </c>
      <c r="B817" s="12" t="s">
        <v>944</v>
      </c>
      <c r="C817" s="12" t="s">
        <v>145</v>
      </c>
      <c r="D817" s="12" t="s">
        <v>145</v>
      </c>
      <c r="E817" s="12" t="s">
        <v>945</v>
      </c>
      <c r="F817" s="13">
        <v>45870</v>
      </c>
      <c r="G817" s="16">
        <v>1964</v>
      </c>
      <c r="H817" s="16"/>
      <c r="I817" s="16"/>
      <c r="J817" s="16">
        <v>1988</v>
      </c>
      <c r="K817" s="16">
        <f t="shared" si="35"/>
        <v>-24</v>
      </c>
      <c r="L817" s="17">
        <f t="shared" si="34"/>
        <v>-1.2072434607645875E-2</v>
      </c>
    </row>
    <row r="818" spans="1:12" s="18" customFormat="1" outlineLevel="3">
      <c r="A818" s="12" t="s">
        <v>402</v>
      </c>
      <c r="B818" s="12" t="s">
        <v>944</v>
      </c>
      <c r="C818" s="12" t="s">
        <v>131</v>
      </c>
      <c r="D818" s="12" t="s">
        <v>131</v>
      </c>
      <c r="E818" s="12" t="s">
        <v>945</v>
      </c>
      <c r="F818" s="13">
        <v>45870</v>
      </c>
      <c r="G818" s="16">
        <v>5992</v>
      </c>
      <c r="H818" s="16"/>
      <c r="I818" s="16"/>
      <c r="J818" s="16">
        <v>5992</v>
      </c>
      <c r="K818" s="16">
        <f t="shared" si="35"/>
        <v>0</v>
      </c>
      <c r="L818" s="17">
        <f t="shared" si="34"/>
        <v>0</v>
      </c>
    </row>
    <row r="819" spans="1:12" s="18" customFormat="1" outlineLevel="2">
      <c r="A819" s="12"/>
      <c r="B819" s="7" t="s">
        <v>946</v>
      </c>
      <c r="C819" s="12"/>
      <c r="D819" s="12"/>
      <c r="E819" s="12"/>
      <c r="F819" s="13"/>
      <c r="G819" s="16">
        <f>SUBTOTAL(9,G816:G818)</f>
        <v>10516</v>
      </c>
      <c r="H819" s="16"/>
      <c r="I819" s="16">
        <f>SUBTOTAL(9,I816:I818)</f>
        <v>0</v>
      </c>
      <c r="J819" s="16">
        <f>SUBTOTAL(9,J816:J818)</f>
        <v>10540</v>
      </c>
      <c r="K819" s="16">
        <f>SUBTOTAL(9,K816:K818)</f>
        <v>-24</v>
      </c>
      <c r="L819" s="17"/>
    </row>
    <row r="820" spans="1:12" s="18" customFormat="1" outlineLevel="3">
      <c r="A820" s="12" t="s">
        <v>402</v>
      </c>
      <c r="B820" s="12" t="s">
        <v>947</v>
      </c>
      <c r="C820" s="12" t="s">
        <v>131</v>
      </c>
      <c r="D820" s="12" t="s">
        <v>189</v>
      </c>
      <c r="E820" s="12" t="s">
        <v>948</v>
      </c>
      <c r="F820" s="13">
        <v>45870</v>
      </c>
      <c r="G820" s="16">
        <v>1000</v>
      </c>
      <c r="H820" s="16"/>
      <c r="I820" s="16"/>
      <c r="J820" s="16">
        <v>1000</v>
      </c>
      <c r="K820" s="16">
        <f t="shared" si="35"/>
        <v>0</v>
      </c>
      <c r="L820" s="17">
        <f t="shared" si="34"/>
        <v>0</v>
      </c>
    </row>
    <row r="821" spans="1:12" s="18" customFormat="1" outlineLevel="2">
      <c r="A821" s="12"/>
      <c r="B821" s="7" t="s">
        <v>949</v>
      </c>
      <c r="C821" s="12"/>
      <c r="D821" s="12"/>
      <c r="E821" s="12"/>
      <c r="F821" s="13"/>
      <c r="G821" s="16">
        <f>SUBTOTAL(9,G820:G820)</f>
        <v>1000</v>
      </c>
      <c r="H821" s="16"/>
      <c r="I821" s="16">
        <f>SUBTOTAL(9,I820:I820)</f>
        <v>0</v>
      </c>
      <c r="J821" s="16">
        <f>SUBTOTAL(9,J820:J820)</f>
        <v>1000</v>
      </c>
      <c r="K821" s="16">
        <f>SUBTOTAL(9,K820:K820)</f>
        <v>0</v>
      </c>
      <c r="L821" s="17"/>
    </row>
    <row r="822" spans="1:12" s="18" customFormat="1" outlineLevel="3">
      <c r="A822" s="12" t="s">
        <v>402</v>
      </c>
      <c r="B822" s="12" t="s">
        <v>950</v>
      </c>
      <c r="C822" s="12" t="s">
        <v>407</v>
      </c>
      <c r="D822" s="12" t="s">
        <v>407</v>
      </c>
      <c r="E822" s="12" t="s">
        <v>951</v>
      </c>
      <c r="F822" s="13">
        <v>45884</v>
      </c>
      <c r="G822" s="16">
        <v>34.61</v>
      </c>
      <c r="H822" s="16"/>
      <c r="I822" s="16"/>
      <c r="J822" s="16">
        <v>34.61</v>
      </c>
      <c r="K822" s="16">
        <f t="shared" si="35"/>
        <v>0</v>
      </c>
      <c r="L822" s="17">
        <f t="shared" si="34"/>
        <v>0</v>
      </c>
    </row>
    <row r="823" spans="1:12" s="18" customFormat="1" outlineLevel="3">
      <c r="A823" s="12" t="s">
        <v>402</v>
      </c>
      <c r="B823" s="12" t="s">
        <v>950</v>
      </c>
      <c r="C823" s="12" t="s">
        <v>141</v>
      </c>
      <c r="D823" s="12" t="s">
        <v>141</v>
      </c>
      <c r="E823" s="12" t="s">
        <v>951</v>
      </c>
      <c r="F823" s="13">
        <v>45884</v>
      </c>
      <c r="G823" s="16">
        <v>178.96</v>
      </c>
      <c r="H823" s="16"/>
      <c r="I823" s="16"/>
      <c r="J823" s="16">
        <v>178.96</v>
      </c>
      <c r="K823" s="16">
        <f t="shared" si="35"/>
        <v>0</v>
      </c>
      <c r="L823" s="17">
        <f t="shared" si="34"/>
        <v>0</v>
      </c>
    </row>
    <row r="824" spans="1:12" s="18" customFormat="1" outlineLevel="3">
      <c r="A824" s="12" t="s">
        <v>402</v>
      </c>
      <c r="B824" s="12" t="s">
        <v>950</v>
      </c>
      <c r="C824" s="12" t="s">
        <v>145</v>
      </c>
      <c r="D824" s="12" t="s">
        <v>145</v>
      </c>
      <c r="E824" s="12" t="s">
        <v>951</v>
      </c>
      <c r="F824" s="13">
        <v>45884</v>
      </c>
      <c r="G824" s="16">
        <v>28</v>
      </c>
      <c r="H824" s="16"/>
      <c r="I824" s="16"/>
      <c r="J824" s="16">
        <v>28</v>
      </c>
      <c r="K824" s="16">
        <f t="shared" si="35"/>
        <v>0</v>
      </c>
      <c r="L824" s="17">
        <f t="shared" si="34"/>
        <v>0</v>
      </c>
    </row>
    <row r="825" spans="1:12" s="18" customFormat="1" outlineLevel="3">
      <c r="A825" s="12" t="s">
        <v>402</v>
      </c>
      <c r="B825" s="12" t="s">
        <v>950</v>
      </c>
      <c r="C825" s="12" t="s">
        <v>131</v>
      </c>
      <c r="D825" s="12" t="s">
        <v>131</v>
      </c>
      <c r="E825" s="12" t="s">
        <v>951</v>
      </c>
      <c r="F825" s="13">
        <v>45884</v>
      </c>
      <c r="G825" s="16">
        <v>449.4</v>
      </c>
      <c r="H825" s="16"/>
      <c r="I825" s="16"/>
      <c r="J825" s="16">
        <v>449.4</v>
      </c>
      <c r="K825" s="16">
        <f t="shared" si="35"/>
        <v>0</v>
      </c>
      <c r="L825" s="17">
        <f t="shared" si="34"/>
        <v>0</v>
      </c>
    </row>
    <row r="826" spans="1:12" s="18" customFormat="1" outlineLevel="2">
      <c r="A826" s="12"/>
      <c r="B826" s="7" t="s">
        <v>952</v>
      </c>
      <c r="C826" s="12"/>
      <c r="D826" s="12"/>
      <c r="E826" s="12"/>
      <c r="F826" s="13"/>
      <c r="G826" s="16">
        <f>SUBTOTAL(9,G822:G825)</f>
        <v>690.97</v>
      </c>
      <c r="H826" s="16"/>
      <c r="I826" s="16">
        <f>SUBTOTAL(9,I822:I825)</f>
        <v>0</v>
      </c>
      <c r="J826" s="16">
        <f>SUBTOTAL(9,J822:J825)</f>
        <v>690.97</v>
      </c>
      <c r="K826" s="16">
        <f>SUBTOTAL(9,K822:K825)</f>
        <v>0</v>
      </c>
      <c r="L826" s="17"/>
    </row>
    <row r="827" spans="1:12" s="18" customFormat="1" outlineLevel="1">
      <c r="A827" s="7" t="s">
        <v>953</v>
      </c>
      <c r="B827" s="12"/>
      <c r="C827" s="12"/>
      <c r="D827" s="12"/>
      <c r="E827" s="12"/>
      <c r="F827" s="13"/>
      <c r="G827" s="16">
        <f>SUBTOTAL(9,G215:G825)</f>
        <v>797581.03340000007</v>
      </c>
      <c r="H827" s="16"/>
      <c r="I827" s="16">
        <f>SUBTOTAL(9,I215:I825)</f>
        <v>-5569</v>
      </c>
      <c r="J827" s="16">
        <f>SUBTOTAL(9,J215:J825)</f>
        <v>781192.20310000004</v>
      </c>
      <c r="K827" s="16">
        <f>SUBTOTAL(9,K215:K825)</f>
        <v>12583.430300000004</v>
      </c>
      <c r="L827" s="17"/>
    </row>
    <row r="828" spans="1:12" s="18" customFormat="1">
      <c r="A828" s="7" t="s">
        <v>954</v>
      </c>
      <c r="B828" s="12"/>
      <c r="C828" s="12"/>
      <c r="D828" s="12"/>
      <c r="E828" s="12"/>
      <c r="F828" s="13"/>
      <c r="G828" s="19">
        <f>SUBTOTAL(9,G2:G825)</f>
        <v>928005.85619999992</v>
      </c>
      <c r="H828" s="19"/>
      <c r="I828" s="19">
        <f>SUBTOTAL(9,I2:I825)</f>
        <v>-5569</v>
      </c>
      <c r="J828" s="19">
        <f>SUBTOTAL(9,J2:J825)</f>
        <v>907987.29270000011</v>
      </c>
      <c r="K828" s="19">
        <f>SUBTOTAL(9,K2:K825)</f>
        <v>16213.163500000006</v>
      </c>
      <c r="L828" s="17"/>
    </row>
    <row r="829" spans="1:12">
      <c r="F829" s="13"/>
      <c r="G829" s="14">
        <f>+G828+I828</f>
        <v>922436.85619999992</v>
      </c>
    </row>
    <row r="831" spans="1:12">
      <c r="F831" s="7" t="s">
        <v>955</v>
      </c>
      <c r="G831" s="19">
        <f>+G214</f>
        <v>130424.82279999999</v>
      </c>
      <c r="J831" s="14">
        <f>+J214</f>
        <v>126795.08959999999</v>
      </c>
    </row>
    <row r="833" spans="6:11">
      <c r="F833" s="20" t="s">
        <v>30</v>
      </c>
      <c r="G833" s="14">
        <f>112279-168.18</f>
        <v>112110.82</v>
      </c>
      <c r="J833" s="14">
        <v>107888</v>
      </c>
    </row>
    <row r="834" spans="6:11">
      <c r="F834" s="20" t="s">
        <v>32</v>
      </c>
      <c r="G834" s="14">
        <v>0</v>
      </c>
      <c r="J834" s="14">
        <v>0</v>
      </c>
    </row>
    <row r="835" spans="6:11">
      <c r="F835" s="20" t="s">
        <v>33</v>
      </c>
      <c r="G835" s="14">
        <v>18314</v>
      </c>
      <c r="J835" s="14">
        <v>18907</v>
      </c>
    </row>
    <row r="837" spans="6:11">
      <c r="G837" s="16">
        <f>+G833+G834+G835</f>
        <v>130424.82</v>
      </c>
      <c r="J837" s="14">
        <v>126795</v>
      </c>
    </row>
    <row r="838" spans="6:11">
      <c r="G838" s="14">
        <f>+G837-G831</f>
        <v>-2.7999999874737114E-3</v>
      </c>
      <c r="J838" s="14">
        <f>+J831-J837</f>
        <v>8.9599999992060475E-2</v>
      </c>
    </row>
    <row r="842" spans="6:11">
      <c r="F842" s="7" t="s">
        <v>956</v>
      </c>
      <c r="G842" s="19">
        <f>+G827+I827</f>
        <v>792012.03340000007</v>
      </c>
      <c r="H842" s="16"/>
      <c r="I842" s="16"/>
      <c r="J842" s="16">
        <v>781192.20310000004</v>
      </c>
      <c r="K842" s="16">
        <f>+G842-J842</f>
        <v>10819.830300000031</v>
      </c>
    </row>
    <row r="843" spans="6:11">
      <c r="G843" s="16"/>
      <c r="H843" s="16"/>
      <c r="I843" s="16"/>
      <c r="J843" s="16"/>
      <c r="K843" s="16"/>
    </row>
    <row r="844" spans="6:11">
      <c r="G844" s="16"/>
      <c r="H844" s="16"/>
      <c r="I844" s="16"/>
      <c r="J844" s="16"/>
      <c r="K844" s="16"/>
    </row>
    <row r="845" spans="6:11">
      <c r="F845" s="21" t="s">
        <v>30</v>
      </c>
      <c r="G845" s="16">
        <v>475556</v>
      </c>
      <c r="H845" s="16"/>
      <c r="I845" s="16"/>
      <c r="J845" s="14">
        <v>466037</v>
      </c>
      <c r="K845" s="16"/>
    </row>
    <row r="846" spans="6:11">
      <c r="F846" s="21" t="s">
        <v>32</v>
      </c>
      <c r="G846" s="16">
        <v>26424</v>
      </c>
      <c r="H846" s="16"/>
      <c r="I846" s="16"/>
      <c r="J846" s="14">
        <v>26260</v>
      </c>
      <c r="K846" s="16"/>
    </row>
    <row r="847" spans="6:11">
      <c r="F847" s="21" t="s">
        <v>33</v>
      </c>
      <c r="G847" s="16">
        <v>290032</v>
      </c>
      <c r="H847" s="16"/>
      <c r="I847" s="16"/>
      <c r="J847" s="14">
        <v>288895</v>
      </c>
      <c r="K847" s="16"/>
    </row>
    <row r="848" spans="6:11">
      <c r="G848" s="16"/>
      <c r="H848" s="16"/>
      <c r="I848" s="16"/>
      <c r="J848" s="16"/>
      <c r="K848" s="16"/>
    </row>
    <row r="849" spans="6:11">
      <c r="G849" s="16">
        <f>+G845+G846+G847</f>
        <v>792012</v>
      </c>
      <c r="H849" s="16"/>
      <c r="I849" s="16"/>
      <c r="J849" s="14">
        <f>SUM(J845:J847)</f>
        <v>781192</v>
      </c>
      <c r="K849" s="16"/>
    </row>
    <row r="850" spans="6:11">
      <c r="G850" s="16">
        <f>+G849-G842</f>
        <v>-3.340000007301569E-2</v>
      </c>
      <c r="H850" s="16"/>
      <c r="I850" s="16"/>
      <c r="J850" s="16">
        <f>+J849-J842</f>
        <v>-0.20310000004246831</v>
      </c>
      <c r="K850" s="16"/>
    </row>
    <row r="851" spans="6:11">
      <c r="G851" s="16"/>
      <c r="H851" s="16"/>
      <c r="I851" s="16"/>
      <c r="J851" s="16"/>
      <c r="K851" s="16"/>
    </row>
    <row r="853" spans="6:11">
      <c r="F853" s="7" t="s">
        <v>957</v>
      </c>
      <c r="G853" s="19">
        <f>+G842+G831</f>
        <v>922436.85620000004</v>
      </c>
      <c r="J853" s="14">
        <f>+J842+J831</f>
        <v>907987.29269999999</v>
      </c>
    </row>
    <row r="855" spans="6:11">
      <c r="F855" s="20" t="s">
        <v>30</v>
      </c>
      <c r="G855" s="14">
        <f>+G833+G845</f>
        <v>587666.82000000007</v>
      </c>
      <c r="J855" s="14">
        <f>+J833+J845</f>
        <v>573925</v>
      </c>
    </row>
    <row r="856" spans="6:11">
      <c r="F856" s="20" t="s">
        <v>32</v>
      </c>
      <c r="G856" s="14">
        <f t="shared" ref="G856:G857" si="36">+G834+G846</f>
        <v>26424</v>
      </c>
      <c r="J856" s="14">
        <f t="shared" ref="J856:J857" si="37">+J834+J846</f>
        <v>26260</v>
      </c>
    </row>
    <row r="857" spans="6:11">
      <c r="F857" s="20" t="s">
        <v>33</v>
      </c>
      <c r="G857" s="14">
        <f t="shared" si="36"/>
        <v>308346</v>
      </c>
      <c r="J857" s="14">
        <f t="shared" si="37"/>
        <v>307802</v>
      </c>
    </row>
    <row r="859" spans="6:11">
      <c r="G859" s="14">
        <f>+SUM(G855:G857)</f>
        <v>922436.82000000007</v>
      </c>
      <c r="J859" s="14">
        <f>+SUM(J855:J857)</f>
        <v>907987</v>
      </c>
    </row>
    <row r="860" spans="6:11">
      <c r="G860" s="14">
        <f>+G859-G853</f>
        <v>-3.619999997317791E-2</v>
      </c>
      <c r="J860" s="14">
        <f>+J859-J853</f>
        <v>-0.29269999999087304</v>
      </c>
    </row>
  </sheetData>
  <autoFilter ref="A1:M212" xr:uid="{F89A90B0-DB19-442F-A8DE-BF552AD189F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8AB2-9413-4E6D-BA29-2CD73F8B8E7F}">
  <dimension ref="A1:AH94"/>
  <sheetViews>
    <sheetView workbookViewId="0">
      <pane ySplit="7" topLeftCell="A8" activePane="bottomLeft" state="frozen"/>
      <selection pane="bottomLeft" activeCell="B26" sqref="B26"/>
      <selection activeCell="B26" sqref="B26"/>
    </sheetView>
  </sheetViews>
  <sheetFormatPr defaultRowHeight="15.75"/>
  <cols>
    <col min="1" max="1" width="14.85546875" style="23" customWidth="1"/>
    <col min="2" max="2" width="12.140625" style="23" customWidth="1"/>
    <col min="3" max="3" width="16.42578125" style="23" customWidth="1"/>
    <col min="4" max="4" width="13" style="23" customWidth="1"/>
    <col min="5" max="5" width="23.7109375" style="23" bestFit="1" customWidth="1"/>
    <col min="6" max="6" width="32.7109375" style="23" bestFit="1" customWidth="1"/>
    <col min="7" max="7" width="18.7109375" style="42" customWidth="1"/>
    <col min="8" max="8" width="23.28515625" style="23" customWidth="1"/>
    <col min="9" max="10" width="21.140625" style="25" customWidth="1"/>
    <col min="11" max="16" width="20.28515625" style="23" customWidth="1"/>
    <col min="17" max="17" width="43.28515625" style="23" bestFit="1" customWidth="1"/>
    <col min="18" max="18" width="20.28515625" style="23" customWidth="1"/>
    <col min="19" max="19" width="21.28515625" style="28" customWidth="1"/>
    <col min="20" max="20" width="20.85546875" style="23" customWidth="1"/>
    <col min="21" max="16384" width="9.140625" style="23"/>
  </cols>
  <sheetData>
    <row r="1" spans="1:19" ht="19.5">
      <c r="A1" s="22" t="s">
        <v>958</v>
      </c>
      <c r="D1" s="24"/>
      <c r="E1" s="24"/>
      <c r="F1" s="169" t="s">
        <v>959</v>
      </c>
      <c r="G1" s="170"/>
      <c r="H1" s="25" t="s">
        <v>960</v>
      </c>
      <c r="I1" s="26" t="s">
        <v>961</v>
      </c>
      <c r="J1" s="27" t="s">
        <v>128</v>
      </c>
      <c r="R1" s="25"/>
    </row>
    <row r="2" spans="1:19" ht="19.5">
      <c r="C2" s="24"/>
      <c r="D2" s="24"/>
      <c r="E2" s="24"/>
      <c r="F2" s="29" t="s">
        <v>962</v>
      </c>
      <c r="G2" s="30">
        <v>64553</v>
      </c>
      <c r="H2" s="31">
        <f>ROUND(+H14,0)</f>
        <v>64553</v>
      </c>
      <c r="I2" s="32">
        <f>+G2-H2</f>
        <v>0</v>
      </c>
      <c r="J2" s="33"/>
      <c r="K2" s="34"/>
      <c r="L2" s="34"/>
      <c r="M2" s="34"/>
      <c r="N2" s="34"/>
      <c r="O2" s="34"/>
      <c r="P2" s="34"/>
      <c r="Q2" s="34"/>
      <c r="R2" s="28"/>
    </row>
    <row r="3" spans="1:19" ht="19.5">
      <c r="C3" s="24"/>
      <c r="D3" s="24"/>
      <c r="E3" s="24"/>
      <c r="F3" s="29" t="s">
        <v>963</v>
      </c>
      <c r="G3" s="30">
        <v>189126</v>
      </c>
      <c r="H3" s="31">
        <f>ROUND(+H47,0)</f>
        <v>189126</v>
      </c>
      <c r="I3" s="32">
        <f>+G3-H3</f>
        <v>0</v>
      </c>
      <c r="J3" s="35"/>
      <c r="K3" s="35"/>
      <c r="L3" s="35"/>
      <c r="M3" s="35"/>
      <c r="N3" s="35"/>
      <c r="O3" s="35"/>
      <c r="P3" s="35"/>
      <c r="Q3" s="34"/>
      <c r="R3" s="28"/>
    </row>
    <row r="4" spans="1:19" ht="25.5">
      <c r="A4" s="36" t="s">
        <v>964</v>
      </c>
      <c r="C4" s="24"/>
      <c r="D4" s="24"/>
      <c r="E4" s="24"/>
      <c r="F4" s="37" t="s">
        <v>965</v>
      </c>
      <c r="G4" s="30">
        <v>145868</v>
      </c>
      <c r="H4" s="31">
        <f>ROUND(+H62,0)</f>
        <v>145618</v>
      </c>
      <c r="I4" s="32">
        <f>+G4-H4</f>
        <v>250</v>
      </c>
      <c r="J4" s="38"/>
      <c r="K4" s="34"/>
      <c r="L4" s="34"/>
      <c r="M4" s="34"/>
      <c r="N4" s="34"/>
      <c r="O4" s="34"/>
      <c r="P4" s="34"/>
      <c r="Q4" s="34"/>
      <c r="R4" s="28"/>
    </row>
    <row r="5" spans="1:19" ht="20.25" thickBot="1">
      <c r="A5" s="39" t="s">
        <v>966</v>
      </c>
      <c r="C5" s="24"/>
      <c r="D5" s="24"/>
      <c r="E5" s="24"/>
      <c r="F5" s="40" t="s">
        <v>967</v>
      </c>
      <c r="G5" s="41">
        <v>75997</v>
      </c>
      <c r="H5" s="31" t="e">
        <f>ROUND(+H75,0)</f>
        <v>#REF!</v>
      </c>
      <c r="I5" s="32" t="e">
        <f>+G5-H5</f>
        <v>#REF!</v>
      </c>
      <c r="J5" s="38" t="s">
        <v>968</v>
      </c>
      <c r="K5" s="34"/>
      <c r="L5" s="34"/>
      <c r="M5" s="34"/>
      <c r="N5" s="34"/>
      <c r="O5" s="34"/>
      <c r="P5" s="34"/>
      <c r="Q5" s="34"/>
      <c r="R5" s="28"/>
    </row>
    <row r="6" spans="1:19">
      <c r="I6" s="28"/>
      <c r="J6" s="28"/>
      <c r="S6" s="23"/>
    </row>
    <row r="7" spans="1:19" ht="45">
      <c r="A7" s="43" t="s">
        <v>969</v>
      </c>
      <c r="B7" s="43" t="s">
        <v>970</v>
      </c>
      <c r="C7" s="44" t="s">
        <v>971</v>
      </c>
      <c r="D7" s="44" t="s">
        <v>972</v>
      </c>
      <c r="E7" s="44" t="s">
        <v>973</v>
      </c>
      <c r="F7" s="44" t="s">
        <v>974</v>
      </c>
      <c r="G7" s="45" t="s">
        <v>975</v>
      </c>
      <c r="H7" s="46" t="s">
        <v>976</v>
      </c>
      <c r="I7" s="46" t="s">
        <v>977</v>
      </c>
      <c r="J7" s="46" t="s">
        <v>978</v>
      </c>
      <c r="K7" s="47" t="s">
        <v>979</v>
      </c>
      <c r="L7" s="47" t="s">
        <v>980</v>
      </c>
      <c r="M7" s="47" t="s">
        <v>981</v>
      </c>
      <c r="N7" s="47" t="s">
        <v>982</v>
      </c>
      <c r="O7" s="47" t="s">
        <v>983</v>
      </c>
      <c r="P7" s="47" t="s">
        <v>984</v>
      </c>
      <c r="Q7" s="48" t="s">
        <v>128</v>
      </c>
      <c r="S7" s="23"/>
    </row>
    <row r="8" spans="1:19">
      <c r="A8" s="49">
        <v>45882</v>
      </c>
      <c r="B8" s="50"/>
      <c r="C8" s="51" t="s">
        <v>985</v>
      </c>
      <c r="D8" s="51" t="s">
        <v>986</v>
      </c>
      <c r="E8" s="51" t="s">
        <v>987</v>
      </c>
      <c r="F8" s="51" t="s">
        <v>988</v>
      </c>
      <c r="G8" s="52" t="s">
        <v>989</v>
      </c>
      <c r="H8" s="53">
        <v>11684.693384615386</v>
      </c>
      <c r="I8" s="53">
        <v>7665.79</v>
      </c>
      <c r="J8" s="53">
        <v>0</v>
      </c>
      <c r="K8" s="53">
        <f t="shared" ref="K8:K13" si="0">+H8-I8-J8</f>
        <v>4018.9033846153861</v>
      </c>
      <c r="L8" s="53">
        <v>8227.2061958041959</v>
      </c>
      <c r="M8" s="53">
        <f t="shared" ref="M8:M69" si="1">+K8-L8</f>
        <v>-4208.3028111888098</v>
      </c>
      <c r="N8" s="53"/>
      <c r="O8" s="53"/>
      <c r="P8" s="53"/>
      <c r="Q8" s="54" t="s">
        <v>990</v>
      </c>
      <c r="S8" s="23"/>
    </row>
    <row r="9" spans="1:19">
      <c r="A9" s="55"/>
      <c r="B9" s="56"/>
      <c r="C9" s="57" t="s">
        <v>991</v>
      </c>
      <c r="D9" s="57" t="s">
        <v>992</v>
      </c>
      <c r="E9" s="57" t="s">
        <v>993</v>
      </c>
      <c r="F9" s="57" t="s">
        <v>994</v>
      </c>
      <c r="G9" s="58" t="s">
        <v>989</v>
      </c>
      <c r="H9" s="59">
        <v>9565.9513846153859</v>
      </c>
      <c r="I9" s="59"/>
      <c r="J9" s="59">
        <v>0</v>
      </c>
      <c r="K9" s="59">
        <f t="shared" si="0"/>
        <v>9565.9513846153859</v>
      </c>
      <c r="L9" s="59">
        <v>10252.928125874127</v>
      </c>
      <c r="M9" s="59">
        <f t="shared" si="1"/>
        <v>-686.97674125874073</v>
      </c>
      <c r="N9" s="59"/>
      <c r="O9" s="59"/>
      <c r="P9" s="59"/>
      <c r="Q9" s="60"/>
      <c r="S9" s="23"/>
    </row>
    <row r="10" spans="1:19">
      <c r="A10" s="61"/>
      <c r="B10" s="62"/>
      <c r="C10" s="63" t="s">
        <v>995</v>
      </c>
      <c r="D10" s="63" t="s">
        <v>996</v>
      </c>
      <c r="E10" s="63" t="s">
        <v>997</v>
      </c>
      <c r="F10" s="63" t="s">
        <v>994</v>
      </c>
      <c r="G10" s="64" t="s">
        <v>989</v>
      </c>
      <c r="H10" s="59">
        <v>8091.190846153846</v>
      </c>
      <c r="I10" s="59"/>
      <c r="J10" s="59">
        <v>0</v>
      </c>
      <c r="K10" s="59">
        <f t="shared" si="0"/>
        <v>8091.190846153846</v>
      </c>
      <c r="L10" s="59">
        <v>8541.9456223776233</v>
      </c>
      <c r="M10" s="59">
        <f t="shared" si="1"/>
        <v>-450.7547762237773</v>
      </c>
      <c r="N10" s="59"/>
      <c r="O10" s="59"/>
      <c r="P10" s="59"/>
      <c r="Q10" s="60"/>
      <c r="S10" s="23"/>
    </row>
    <row r="11" spans="1:19">
      <c r="A11" s="55"/>
      <c r="B11" s="56"/>
      <c r="C11" s="57" t="s">
        <v>998</v>
      </c>
      <c r="D11" s="57" t="s">
        <v>999</v>
      </c>
      <c r="E11" s="57" t="s">
        <v>1000</v>
      </c>
      <c r="F11" s="57" t="s">
        <v>994</v>
      </c>
      <c r="G11" s="58" t="s">
        <v>989</v>
      </c>
      <c r="H11" s="59">
        <v>10915.046076923078</v>
      </c>
      <c r="I11" s="59"/>
      <c r="J11" s="59">
        <v>0</v>
      </c>
      <c r="K11" s="59">
        <f t="shared" si="0"/>
        <v>10915.046076923078</v>
      </c>
      <c r="L11" s="59">
        <v>11735.635916083918</v>
      </c>
      <c r="M11" s="59">
        <f t="shared" si="1"/>
        <v>-820.58983916084071</v>
      </c>
      <c r="N11" s="59"/>
      <c r="O11" s="59"/>
      <c r="P11" s="59"/>
      <c r="Q11" s="60"/>
      <c r="S11" s="23"/>
    </row>
    <row r="12" spans="1:19">
      <c r="A12" s="61"/>
      <c r="B12" s="62"/>
      <c r="C12" s="63" t="s">
        <v>1001</v>
      </c>
      <c r="D12" s="63" t="s">
        <v>1002</v>
      </c>
      <c r="E12" s="63" t="s">
        <v>1003</v>
      </c>
      <c r="F12" s="63" t="s">
        <v>1004</v>
      </c>
      <c r="G12" s="64" t="s">
        <v>989</v>
      </c>
      <c r="H12" s="59">
        <v>13641.611000000001</v>
      </c>
      <c r="I12" s="59"/>
      <c r="J12" s="59">
        <v>0</v>
      </c>
      <c r="K12" s="59">
        <f t="shared" si="0"/>
        <v>13641.611000000001</v>
      </c>
      <c r="L12" s="59">
        <v>14843.209909090911</v>
      </c>
      <c r="M12" s="59">
        <f t="shared" si="1"/>
        <v>-1201.5989090909097</v>
      </c>
      <c r="N12" s="59"/>
      <c r="O12" s="59"/>
      <c r="P12" s="59"/>
      <c r="Q12" s="60"/>
      <c r="S12" s="23"/>
    </row>
    <row r="13" spans="1:19">
      <c r="A13" s="55"/>
      <c r="B13" s="56"/>
      <c r="C13" s="63" t="s">
        <v>1005</v>
      </c>
      <c r="D13" s="63" t="s">
        <v>1006</v>
      </c>
      <c r="E13" s="63" t="s">
        <v>1007</v>
      </c>
      <c r="F13" s="63" t="s">
        <v>1008</v>
      </c>
      <c r="G13" s="64" t="s">
        <v>989</v>
      </c>
      <c r="H13" s="59">
        <v>10654.965153846155</v>
      </c>
      <c r="I13" s="59"/>
      <c r="J13" s="59">
        <v>0</v>
      </c>
      <c r="K13" s="59">
        <f t="shared" si="0"/>
        <v>10654.965153846155</v>
      </c>
      <c r="L13" s="59">
        <v>11468.906104895106</v>
      </c>
      <c r="M13" s="59">
        <f t="shared" si="1"/>
        <v>-813.94095104895132</v>
      </c>
      <c r="N13" s="59"/>
      <c r="O13" s="59"/>
      <c r="P13" s="59"/>
      <c r="Q13" s="60"/>
      <c r="S13" s="23"/>
    </row>
    <row r="14" spans="1:19">
      <c r="A14" s="65"/>
      <c r="B14" s="66"/>
      <c r="C14" s="67"/>
      <c r="D14" s="67"/>
      <c r="E14" s="67"/>
      <c r="F14" s="68"/>
      <c r="G14" s="69" t="s">
        <v>1009</v>
      </c>
      <c r="H14" s="70">
        <f>SUM(H8:H13)</f>
        <v>64553.457846153855</v>
      </c>
      <c r="I14" s="70">
        <f t="shared" ref="I14:K14" si="2">SUM(I8:I13)</f>
        <v>7665.79</v>
      </c>
      <c r="J14" s="70">
        <f t="shared" si="2"/>
        <v>0</v>
      </c>
      <c r="K14" s="70">
        <f t="shared" si="2"/>
        <v>56887.667846153847</v>
      </c>
      <c r="L14" s="70">
        <f>+SUM(L8:L13)</f>
        <v>65069.831874125877</v>
      </c>
      <c r="M14" s="70">
        <f t="shared" si="1"/>
        <v>-8182.1640279720305</v>
      </c>
      <c r="N14" s="70"/>
      <c r="O14" s="70"/>
      <c r="P14" s="70"/>
      <c r="Q14" s="71">
        <f>+M14/K14</f>
        <v>-0.14383018917386017</v>
      </c>
      <c r="S14" s="23"/>
    </row>
    <row r="15" spans="1:19">
      <c r="A15" s="72"/>
      <c r="B15" s="73"/>
      <c r="C15" s="74" t="s">
        <v>1010</v>
      </c>
      <c r="D15" s="74" t="s">
        <v>1011</v>
      </c>
      <c r="E15" s="74" t="s">
        <v>1012</v>
      </c>
      <c r="F15" s="74" t="s">
        <v>1013</v>
      </c>
      <c r="G15" s="75" t="s">
        <v>1014</v>
      </c>
      <c r="H15" s="76">
        <v>11143.388461538463</v>
      </c>
      <c r="I15" s="77"/>
      <c r="J15" s="76">
        <v>0</v>
      </c>
      <c r="K15" s="77">
        <f t="shared" ref="K15:K29" si="3">+H15-I15-J15</f>
        <v>11143.388461538463</v>
      </c>
      <c r="L15" s="77">
        <v>12052.760314685314</v>
      </c>
      <c r="M15" s="77">
        <f t="shared" si="1"/>
        <v>-909.37185314685121</v>
      </c>
      <c r="N15" s="77"/>
      <c r="O15" s="77"/>
      <c r="P15" s="77"/>
      <c r="Q15" s="78"/>
      <c r="S15" s="23"/>
    </row>
    <row r="16" spans="1:19">
      <c r="A16" s="72"/>
      <c r="B16" s="73"/>
      <c r="C16" s="74" t="s">
        <v>1015</v>
      </c>
      <c r="D16" s="74" t="s">
        <v>1016</v>
      </c>
      <c r="E16" s="74" t="s">
        <v>1017</v>
      </c>
      <c r="F16" s="74" t="s">
        <v>1018</v>
      </c>
      <c r="G16" s="75" t="s">
        <v>1014</v>
      </c>
      <c r="H16" s="76">
        <v>5082.1926923076935</v>
      </c>
      <c r="I16" s="77"/>
      <c r="J16" s="76">
        <v>0</v>
      </c>
      <c r="K16" s="77">
        <f t="shared" si="3"/>
        <v>5082.1926923076935</v>
      </c>
      <c r="L16" s="77">
        <v>5456.6311538461541</v>
      </c>
      <c r="M16" s="77">
        <f t="shared" si="1"/>
        <v>-374.43846153846061</v>
      </c>
      <c r="N16" s="77"/>
      <c r="O16" s="77"/>
      <c r="P16" s="77"/>
      <c r="Q16" s="78"/>
      <c r="S16" s="23"/>
    </row>
    <row r="17" spans="1:19">
      <c r="A17" s="79"/>
      <c r="B17" s="80"/>
      <c r="C17" s="81" t="s">
        <v>1019</v>
      </c>
      <c r="D17" s="81" t="s">
        <v>1020</v>
      </c>
      <c r="E17" s="81" t="s">
        <v>1021</v>
      </c>
      <c r="F17" s="81" t="s">
        <v>1004</v>
      </c>
      <c r="G17" s="81" t="s">
        <v>1014</v>
      </c>
      <c r="H17" s="76">
        <v>3066.8519999999999</v>
      </c>
      <c r="I17" s="82"/>
      <c r="J17" s="76">
        <v>0</v>
      </c>
      <c r="K17" s="82">
        <f t="shared" si="3"/>
        <v>3066.8519999999999</v>
      </c>
      <c r="L17" s="83">
        <v>4632.9359999999997</v>
      </c>
      <c r="M17" s="83">
        <f t="shared" si="1"/>
        <v>-1566.0839999999998</v>
      </c>
      <c r="N17" s="83"/>
      <c r="O17" s="83"/>
      <c r="P17" s="83"/>
      <c r="Q17" s="84" t="s">
        <v>1022</v>
      </c>
      <c r="S17" s="23"/>
    </row>
    <row r="18" spans="1:19">
      <c r="A18" s="72"/>
      <c r="B18" s="73"/>
      <c r="C18" s="74" t="s">
        <v>1023</v>
      </c>
      <c r="D18" s="74" t="s">
        <v>1024</v>
      </c>
      <c r="E18" s="74" t="s">
        <v>1025</v>
      </c>
      <c r="F18" s="74" t="s">
        <v>1004</v>
      </c>
      <c r="G18" s="75" t="s">
        <v>1014</v>
      </c>
      <c r="H18" s="76">
        <v>4443.6489999999994</v>
      </c>
      <c r="I18" s="77"/>
      <c r="J18" s="76">
        <v>313.5</v>
      </c>
      <c r="K18" s="77">
        <f t="shared" si="3"/>
        <v>4130.1489999999994</v>
      </c>
      <c r="L18" s="77">
        <v>5086.5884545454555</v>
      </c>
      <c r="M18" s="77">
        <f t="shared" si="1"/>
        <v>-956.4394545454561</v>
      </c>
      <c r="N18" s="77"/>
      <c r="O18" s="77"/>
      <c r="P18" s="77"/>
      <c r="Q18" s="78"/>
      <c r="S18" s="23"/>
    </row>
    <row r="19" spans="1:19">
      <c r="A19" s="72"/>
      <c r="B19" s="73"/>
      <c r="C19" s="74" t="s">
        <v>1026</v>
      </c>
      <c r="D19" s="74" t="s">
        <v>1027</v>
      </c>
      <c r="E19" s="74" t="s">
        <v>1028</v>
      </c>
      <c r="F19" s="74" t="s">
        <v>1004</v>
      </c>
      <c r="G19" s="75" t="s">
        <v>1014</v>
      </c>
      <c r="H19" s="76">
        <v>5885.0940000000001</v>
      </c>
      <c r="I19" s="77"/>
      <c r="J19" s="76">
        <v>252.3</v>
      </c>
      <c r="K19" s="77">
        <f t="shared" si="3"/>
        <v>5632.7939999999999</v>
      </c>
      <c r="L19" s="77">
        <v>6161.7771818181818</v>
      </c>
      <c r="M19" s="77">
        <f t="shared" si="1"/>
        <v>-528.98318181818195</v>
      </c>
      <c r="N19" s="77"/>
      <c r="O19" s="77"/>
      <c r="P19" s="77"/>
      <c r="Q19" s="78"/>
      <c r="S19" s="23"/>
    </row>
    <row r="20" spans="1:19">
      <c r="A20" s="72"/>
      <c r="B20" s="73"/>
      <c r="C20" s="74" t="s">
        <v>1029</v>
      </c>
      <c r="D20" s="74" t="s">
        <v>996</v>
      </c>
      <c r="E20" s="74" t="s">
        <v>1030</v>
      </c>
      <c r="F20" s="74" t="s">
        <v>1031</v>
      </c>
      <c r="G20" s="75" t="s">
        <v>1014</v>
      </c>
      <c r="H20" s="76">
        <v>7080.7073846153862</v>
      </c>
      <c r="I20" s="77"/>
      <c r="J20" s="76">
        <v>0</v>
      </c>
      <c r="K20" s="77">
        <f t="shared" si="3"/>
        <v>7080.7073846153862</v>
      </c>
      <c r="L20" s="77">
        <v>7682.8948531468541</v>
      </c>
      <c r="M20" s="77">
        <f t="shared" si="1"/>
        <v>-602.18746853146786</v>
      </c>
      <c r="N20" s="77"/>
      <c r="O20" s="77"/>
      <c r="P20" s="77"/>
      <c r="Q20" s="78"/>
      <c r="S20" s="23"/>
    </row>
    <row r="21" spans="1:19">
      <c r="A21" s="72"/>
      <c r="B21" s="73"/>
      <c r="C21" s="74" t="s">
        <v>1032</v>
      </c>
      <c r="D21" s="74" t="s">
        <v>1033</v>
      </c>
      <c r="E21" s="74" t="s">
        <v>1034</v>
      </c>
      <c r="F21" s="74" t="s">
        <v>1004</v>
      </c>
      <c r="G21" s="75" t="s">
        <v>1014</v>
      </c>
      <c r="H21" s="76">
        <v>5071.4930000000004</v>
      </c>
      <c r="I21" s="77"/>
      <c r="J21" s="76">
        <v>258.13</v>
      </c>
      <c r="K21" s="77">
        <f t="shared" si="3"/>
        <v>4813.3630000000003</v>
      </c>
      <c r="L21" s="77">
        <v>5176.401272727273</v>
      </c>
      <c r="M21" s="77">
        <f t="shared" si="1"/>
        <v>-363.03827272727267</v>
      </c>
      <c r="N21" s="77"/>
      <c r="O21" s="77"/>
      <c r="P21" s="77"/>
      <c r="Q21" s="78"/>
      <c r="S21" s="23"/>
    </row>
    <row r="22" spans="1:19">
      <c r="A22" s="72"/>
      <c r="B22" s="73"/>
      <c r="C22" s="74" t="s">
        <v>1035</v>
      </c>
      <c r="D22" s="74" t="s">
        <v>1036</v>
      </c>
      <c r="E22" s="74" t="s">
        <v>1037</v>
      </c>
      <c r="F22" s="74" t="s">
        <v>1031</v>
      </c>
      <c r="G22" s="75" t="s">
        <v>1014</v>
      </c>
      <c r="H22" s="76">
        <v>7899.6060769230771</v>
      </c>
      <c r="I22" s="77"/>
      <c r="J22" s="76">
        <v>0</v>
      </c>
      <c r="K22" s="77">
        <f t="shared" si="3"/>
        <v>7899.6060769230771</v>
      </c>
      <c r="L22" s="77">
        <v>8671.4988531468534</v>
      </c>
      <c r="M22" s="77">
        <f t="shared" si="1"/>
        <v>-771.89277622377631</v>
      </c>
      <c r="N22" s="77"/>
      <c r="O22" s="77"/>
      <c r="P22" s="77"/>
      <c r="Q22" s="78"/>
      <c r="S22" s="23"/>
    </row>
    <row r="23" spans="1:19">
      <c r="A23" s="72"/>
      <c r="B23" s="73"/>
      <c r="C23" s="74" t="s">
        <v>1038</v>
      </c>
      <c r="D23" s="74" t="s">
        <v>1039</v>
      </c>
      <c r="E23" s="74" t="s">
        <v>1040</v>
      </c>
      <c r="F23" s="74" t="s">
        <v>1004</v>
      </c>
      <c r="G23" s="75" t="s">
        <v>1014</v>
      </c>
      <c r="H23" s="76">
        <v>7343.6489999999994</v>
      </c>
      <c r="I23" s="77"/>
      <c r="J23" s="76">
        <v>128.71</v>
      </c>
      <c r="K23" s="77">
        <f t="shared" si="3"/>
        <v>7214.9389999999994</v>
      </c>
      <c r="L23" s="77">
        <v>7661.1790000000001</v>
      </c>
      <c r="M23" s="77">
        <f t="shared" si="1"/>
        <v>-446.24000000000069</v>
      </c>
      <c r="N23" s="77"/>
      <c r="O23" s="77"/>
      <c r="P23" s="77"/>
      <c r="Q23" s="78"/>
      <c r="S23" s="23"/>
    </row>
    <row r="24" spans="1:19">
      <c r="A24" s="85"/>
      <c r="B24" s="86">
        <v>45894</v>
      </c>
      <c r="C24" s="87" t="s">
        <v>1038</v>
      </c>
      <c r="D24" s="87" t="s">
        <v>1041</v>
      </c>
      <c r="E24" s="87" t="s">
        <v>1042</v>
      </c>
      <c r="F24" s="87" t="s">
        <v>1004</v>
      </c>
      <c r="G24" s="88" t="s">
        <v>1014</v>
      </c>
      <c r="H24" s="89">
        <v>0</v>
      </c>
      <c r="I24" s="89"/>
      <c r="J24" s="89">
        <v>0</v>
      </c>
      <c r="K24" s="89">
        <v>5204</v>
      </c>
      <c r="L24" s="89">
        <v>3156.3156363636367</v>
      </c>
      <c r="M24" s="89">
        <f t="shared" si="1"/>
        <v>2047.6843636363633</v>
      </c>
      <c r="N24" s="89"/>
      <c r="O24" s="89"/>
      <c r="P24" s="89"/>
      <c r="Q24" s="90" t="s">
        <v>1043</v>
      </c>
      <c r="S24" s="23"/>
    </row>
    <row r="25" spans="1:19">
      <c r="A25" s="72"/>
      <c r="B25" s="73"/>
      <c r="C25" s="74" t="s">
        <v>1044</v>
      </c>
      <c r="D25" s="74" t="s">
        <v>1045</v>
      </c>
      <c r="E25" s="74" t="s">
        <v>1046</v>
      </c>
      <c r="F25" s="74" t="s">
        <v>1031</v>
      </c>
      <c r="G25" s="75" t="s">
        <v>1014</v>
      </c>
      <c r="H25" s="76">
        <v>6743.3249999999998</v>
      </c>
      <c r="I25" s="77"/>
      <c r="J25" s="77">
        <v>440.69</v>
      </c>
      <c r="K25" s="77">
        <f t="shared" si="3"/>
        <v>6302.6350000000002</v>
      </c>
      <c r="L25" s="77">
        <v>6960.5121818181824</v>
      </c>
      <c r="M25" s="77">
        <f t="shared" si="1"/>
        <v>-657.87718181818218</v>
      </c>
      <c r="N25" s="77"/>
      <c r="O25" s="77"/>
      <c r="P25" s="77"/>
      <c r="Q25" s="78"/>
      <c r="S25" s="23"/>
    </row>
    <row r="26" spans="1:19">
      <c r="A26" s="85"/>
      <c r="B26" s="86">
        <v>45889</v>
      </c>
      <c r="C26" s="87" t="s">
        <v>1047</v>
      </c>
      <c r="D26" s="87" t="s">
        <v>1048</v>
      </c>
      <c r="E26" s="87" t="s">
        <v>1049</v>
      </c>
      <c r="F26" s="87" t="s">
        <v>1004</v>
      </c>
      <c r="G26" s="88" t="s">
        <v>1014</v>
      </c>
      <c r="H26" s="89">
        <v>517.32000000000005</v>
      </c>
      <c r="I26" s="89"/>
      <c r="J26" s="89">
        <v>0</v>
      </c>
      <c r="K26" s="89">
        <f>7.19*176</f>
        <v>1265.44</v>
      </c>
      <c r="L26" s="89">
        <v>0</v>
      </c>
      <c r="M26" s="89">
        <f t="shared" si="1"/>
        <v>1265.44</v>
      </c>
      <c r="N26" s="89"/>
      <c r="O26" s="89"/>
      <c r="P26" s="89"/>
      <c r="Q26" s="90" t="s">
        <v>1050</v>
      </c>
      <c r="S26" s="23"/>
    </row>
    <row r="27" spans="1:19">
      <c r="A27" s="72"/>
      <c r="B27" s="73"/>
      <c r="C27" s="74" t="s">
        <v>1051</v>
      </c>
      <c r="D27" s="74" t="s">
        <v>1052</v>
      </c>
      <c r="E27" s="74" t="s">
        <v>1053</v>
      </c>
      <c r="F27" s="74" t="s">
        <v>1004</v>
      </c>
      <c r="G27" s="75" t="s">
        <v>1014</v>
      </c>
      <c r="H27" s="76">
        <v>7288.3209999999999</v>
      </c>
      <c r="I27" s="77"/>
      <c r="J27" s="76">
        <v>593.41999999999996</v>
      </c>
      <c r="K27" s="77">
        <f t="shared" si="3"/>
        <v>6694.9009999999998</v>
      </c>
      <c r="L27" s="77">
        <v>7198.7209999999995</v>
      </c>
      <c r="M27" s="77">
        <f t="shared" si="1"/>
        <v>-503.81999999999971</v>
      </c>
      <c r="N27" s="77"/>
      <c r="O27" s="77"/>
      <c r="P27" s="77"/>
      <c r="Q27" s="78"/>
      <c r="S27" s="23"/>
    </row>
    <row r="28" spans="1:19">
      <c r="A28" s="72"/>
      <c r="B28" s="73"/>
      <c r="C28" s="74" t="s">
        <v>1054</v>
      </c>
      <c r="D28" s="74" t="s">
        <v>1055</v>
      </c>
      <c r="E28" s="74" t="s">
        <v>1056</v>
      </c>
      <c r="F28" s="74" t="s">
        <v>1031</v>
      </c>
      <c r="G28" s="75" t="s">
        <v>1014</v>
      </c>
      <c r="H28" s="76">
        <v>3812.6349999999998</v>
      </c>
      <c r="I28" s="77"/>
      <c r="J28" s="76">
        <v>132.04</v>
      </c>
      <c r="K28" s="77">
        <f t="shared" si="3"/>
        <v>3680.5949999999998</v>
      </c>
      <c r="L28" s="77">
        <v>4288.564636363637</v>
      </c>
      <c r="M28" s="77">
        <f t="shared" si="1"/>
        <v>-607.96963636363716</v>
      </c>
      <c r="N28" s="77"/>
      <c r="O28" s="77"/>
      <c r="P28" s="77"/>
      <c r="Q28" s="78"/>
      <c r="S28" s="23"/>
    </row>
    <row r="29" spans="1:19">
      <c r="A29" s="72"/>
      <c r="B29" s="73"/>
      <c r="C29" s="74" t="s">
        <v>1057</v>
      </c>
      <c r="D29" s="74" t="s">
        <v>1058</v>
      </c>
      <c r="E29" s="74" t="s">
        <v>1059</v>
      </c>
      <c r="F29" s="74" t="s">
        <v>1004</v>
      </c>
      <c r="G29" s="75" t="s">
        <v>1014</v>
      </c>
      <c r="H29" s="76">
        <v>6639.4090000000006</v>
      </c>
      <c r="I29" s="77"/>
      <c r="J29" s="76">
        <v>593.9</v>
      </c>
      <c r="K29" s="77">
        <f t="shared" si="3"/>
        <v>6045.5090000000009</v>
      </c>
      <c r="L29" s="77">
        <v>7041.8497272727273</v>
      </c>
      <c r="M29" s="77">
        <f t="shared" si="1"/>
        <v>-996.34072727272633</v>
      </c>
      <c r="N29" s="77"/>
      <c r="O29" s="77"/>
      <c r="P29" s="77"/>
      <c r="Q29" s="78"/>
      <c r="S29" s="23"/>
    </row>
    <row r="30" spans="1:19">
      <c r="A30" s="72"/>
      <c r="B30" s="73"/>
      <c r="C30" s="74" t="s">
        <v>1060</v>
      </c>
      <c r="D30" s="74" t="s">
        <v>1061</v>
      </c>
      <c r="E30" s="74" t="s">
        <v>1062</v>
      </c>
      <c r="F30" s="74" t="s">
        <v>1004</v>
      </c>
      <c r="G30" s="75" t="s">
        <v>1014</v>
      </c>
      <c r="H30" s="76">
        <v>1758.9</v>
      </c>
      <c r="I30" s="77"/>
      <c r="J30" s="76">
        <v>0</v>
      </c>
      <c r="K30" s="77">
        <v>1760</v>
      </c>
      <c r="L30" s="77">
        <v>1760</v>
      </c>
      <c r="M30" s="77">
        <f t="shared" si="1"/>
        <v>0</v>
      </c>
      <c r="N30" s="77"/>
      <c r="O30" s="77"/>
      <c r="P30" s="77"/>
      <c r="Q30" s="78"/>
      <c r="S30" s="23"/>
    </row>
    <row r="31" spans="1:19">
      <c r="A31" s="72"/>
      <c r="B31" s="73"/>
      <c r="C31" s="74" t="s">
        <v>1063</v>
      </c>
      <c r="D31" s="74" t="s">
        <v>1064</v>
      </c>
      <c r="E31" s="74" t="s">
        <v>1065</v>
      </c>
      <c r="F31" s="74" t="s">
        <v>1004</v>
      </c>
      <c r="G31" s="75" t="s">
        <v>1014</v>
      </c>
      <c r="H31" s="76">
        <v>5852.9870000000001</v>
      </c>
      <c r="I31" s="77"/>
      <c r="J31" s="76">
        <v>161.55000000000001</v>
      </c>
      <c r="K31" s="77">
        <f t="shared" ref="K31:K46" si="4">+H31-I31-J31</f>
        <v>5691.4369999999999</v>
      </c>
      <c r="L31" s="77">
        <v>6094.8434545454547</v>
      </c>
      <c r="M31" s="77">
        <f t="shared" si="1"/>
        <v>-403.40645454545484</v>
      </c>
      <c r="N31" s="77"/>
      <c r="O31" s="77"/>
      <c r="P31" s="77"/>
      <c r="Q31" s="78"/>
      <c r="S31" s="23"/>
    </row>
    <row r="32" spans="1:19">
      <c r="A32" s="72"/>
      <c r="B32" s="73"/>
      <c r="C32" s="74" t="s">
        <v>1066</v>
      </c>
      <c r="D32" s="74" t="s">
        <v>1067</v>
      </c>
      <c r="E32" s="74" t="s">
        <v>1068</v>
      </c>
      <c r="F32" s="74" t="s">
        <v>1004</v>
      </c>
      <c r="G32" s="75" t="s">
        <v>1014</v>
      </c>
      <c r="H32" s="76">
        <v>7536.764000000001</v>
      </c>
      <c r="I32" s="77"/>
      <c r="J32" s="76">
        <v>1212.81</v>
      </c>
      <c r="K32" s="77">
        <f t="shared" si="4"/>
        <v>6323.9540000000015</v>
      </c>
      <c r="L32" s="77">
        <v>6723.7575454545458</v>
      </c>
      <c r="M32" s="77">
        <f t="shared" si="1"/>
        <v>-399.80354545454429</v>
      </c>
      <c r="N32" s="77"/>
      <c r="O32" s="77"/>
      <c r="P32" s="77"/>
      <c r="Q32" s="78"/>
      <c r="S32" s="23"/>
    </row>
    <row r="33" spans="1:19">
      <c r="A33" s="72"/>
      <c r="B33" s="73"/>
      <c r="C33" s="74" t="s">
        <v>1069</v>
      </c>
      <c r="D33" s="74" t="s">
        <v>1070</v>
      </c>
      <c r="E33" s="74" t="s">
        <v>1071</v>
      </c>
      <c r="F33" s="74" t="s">
        <v>1004</v>
      </c>
      <c r="G33" s="75" t="s">
        <v>1014</v>
      </c>
      <c r="H33" s="76">
        <v>5571.0599999999995</v>
      </c>
      <c r="I33" s="77"/>
      <c r="J33" s="76">
        <v>540.07000000000005</v>
      </c>
      <c r="K33" s="77">
        <f t="shared" si="4"/>
        <v>5030.99</v>
      </c>
      <c r="L33" s="77">
        <v>5455.2901818181817</v>
      </c>
      <c r="M33" s="77">
        <f t="shared" si="1"/>
        <v>-424.30018181818195</v>
      </c>
      <c r="N33" s="77"/>
      <c r="O33" s="77"/>
      <c r="P33" s="77"/>
      <c r="Q33" s="78"/>
      <c r="S33" s="23"/>
    </row>
    <row r="34" spans="1:19">
      <c r="A34" s="72"/>
      <c r="B34" s="73"/>
      <c r="C34" s="74" t="s">
        <v>1072</v>
      </c>
      <c r="D34" s="74" t="s">
        <v>1070</v>
      </c>
      <c r="E34" s="74" t="s">
        <v>1073</v>
      </c>
      <c r="F34" s="74" t="s">
        <v>1004</v>
      </c>
      <c r="G34" s="75" t="s">
        <v>1014</v>
      </c>
      <c r="H34" s="76">
        <v>10502.845923076922</v>
      </c>
      <c r="I34" s="77"/>
      <c r="J34" s="76">
        <v>0</v>
      </c>
      <c r="K34" s="77">
        <f t="shared" si="4"/>
        <v>10502.845923076922</v>
      </c>
      <c r="L34" s="77">
        <v>11333.891629370632</v>
      </c>
      <c r="M34" s="77">
        <f t="shared" si="1"/>
        <v>-831.04570629370937</v>
      </c>
      <c r="N34" s="77"/>
      <c r="O34" s="77"/>
      <c r="P34" s="77"/>
      <c r="Q34" s="78"/>
      <c r="S34" s="23"/>
    </row>
    <row r="35" spans="1:19">
      <c r="A35" s="72"/>
      <c r="B35" s="73"/>
      <c r="C35" s="74" t="s">
        <v>1074</v>
      </c>
      <c r="D35" s="74" t="s">
        <v>1075</v>
      </c>
      <c r="E35" s="74" t="s">
        <v>1076</v>
      </c>
      <c r="F35" s="74" t="s">
        <v>1031</v>
      </c>
      <c r="G35" s="75" t="s">
        <v>1014</v>
      </c>
      <c r="H35" s="76">
        <v>6140.0030000000006</v>
      </c>
      <c r="I35" s="77"/>
      <c r="J35" s="76">
        <v>232.52</v>
      </c>
      <c r="K35" s="77">
        <f t="shared" si="4"/>
        <v>5907.4830000000002</v>
      </c>
      <c r="L35" s="77">
        <v>6549.5825454545457</v>
      </c>
      <c r="M35" s="77">
        <f t="shared" si="1"/>
        <v>-642.09954545454548</v>
      </c>
      <c r="N35" s="77"/>
      <c r="O35" s="77"/>
      <c r="P35" s="77"/>
      <c r="Q35" s="78"/>
      <c r="S35" s="23"/>
    </row>
    <row r="36" spans="1:19">
      <c r="A36" s="72"/>
      <c r="B36" s="73"/>
      <c r="C36" s="74" t="s">
        <v>1077</v>
      </c>
      <c r="D36" s="74" t="s">
        <v>1078</v>
      </c>
      <c r="E36" s="74" t="s">
        <v>1079</v>
      </c>
      <c r="F36" s="74" t="s">
        <v>1080</v>
      </c>
      <c r="G36" s="75" t="s">
        <v>1014</v>
      </c>
      <c r="H36" s="76">
        <v>8503.1139230769222</v>
      </c>
      <c r="I36" s="77"/>
      <c r="J36" s="76">
        <v>0</v>
      </c>
      <c r="K36" s="77">
        <f t="shared" si="4"/>
        <v>8503.1139230769222</v>
      </c>
      <c r="L36" s="77">
        <v>9196.9272657342663</v>
      </c>
      <c r="M36" s="77">
        <f t="shared" si="1"/>
        <v>-693.81334265734404</v>
      </c>
      <c r="N36" s="77"/>
      <c r="O36" s="77"/>
      <c r="P36" s="77"/>
      <c r="Q36" s="78"/>
      <c r="S36" s="23"/>
    </row>
    <row r="37" spans="1:19">
      <c r="A37" s="79"/>
      <c r="B37" s="80"/>
      <c r="C37" s="81" t="s">
        <v>1081</v>
      </c>
      <c r="D37" s="81" t="s">
        <v>1082</v>
      </c>
      <c r="E37" s="81" t="s">
        <v>1083</v>
      </c>
      <c r="F37" s="81" t="s">
        <v>1031</v>
      </c>
      <c r="G37" s="81" t="s">
        <v>1014</v>
      </c>
      <c r="H37" s="76">
        <v>3487.2449999999999</v>
      </c>
      <c r="I37" s="82"/>
      <c r="J37" s="76">
        <v>75.930000000000007</v>
      </c>
      <c r="K37" s="82">
        <f t="shared" si="4"/>
        <v>3411.3150000000001</v>
      </c>
      <c r="L37" s="83">
        <v>3926.7</v>
      </c>
      <c r="M37" s="83">
        <f t="shared" si="1"/>
        <v>-515.38499999999976</v>
      </c>
      <c r="N37" s="83"/>
      <c r="O37" s="83"/>
      <c r="P37" s="83"/>
      <c r="Q37" s="84"/>
      <c r="S37" s="23"/>
    </row>
    <row r="38" spans="1:19">
      <c r="A38" s="72"/>
      <c r="B38" s="73"/>
      <c r="C38" s="74" t="s">
        <v>1084</v>
      </c>
      <c r="D38" s="74" t="s">
        <v>1085</v>
      </c>
      <c r="E38" s="74" t="s">
        <v>1086</v>
      </c>
      <c r="F38" s="74" t="s">
        <v>1087</v>
      </c>
      <c r="G38" s="75" t="s">
        <v>1014</v>
      </c>
      <c r="H38" s="76">
        <v>6867.9240000000009</v>
      </c>
      <c r="I38" s="77"/>
      <c r="J38" s="76">
        <v>556.52</v>
      </c>
      <c r="K38" s="77">
        <f t="shared" si="4"/>
        <v>6311.4040000000005</v>
      </c>
      <c r="L38" s="77">
        <v>6795.4772727272721</v>
      </c>
      <c r="M38" s="77">
        <f t="shared" si="1"/>
        <v>-484.07327272727161</v>
      </c>
      <c r="N38" s="77"/>
      <c r="O38" s="77"/>
      <c r="P38" s="77"/>
      <c r="Q38" s="91"/>
      <c r="S38" s="23"/>
    </row>
    <row r="39" spans="1:19">
      <c r="A39" s="72"/>
      <c r="B39" s="73"/>
      <c r="C39" s="74" t="s">
        <v>1088</v>
      </c>
      <c r="D39" s="74" t="s">
        <v>1089</v>
      </c>
      <c r="E39" s="74" t="s">
        <v>1090</v>
      </c>
      <c r="F39" s="74" t="s">
        <v>1004</v>
      </c>
      <c r="G39" s="75" t="s">
        <v>1014</v>
      </c>
      <c r="H39" s="76">
        <v>4917.424</v>
      </c>
      <c r="I39" s="77"/>
      <c r="J39" s="76">
        <v>221.13</v>
      </c>
      <c r="K39" s="77">
        <f t="shared" si="4"/>
        <v>4696.2939999999999</v>
      </c>
      <c r="L39" s="77">
        <v>4788.4906363636364</v>
      </c>
      <c r="M39" s="77">
        <f t="shared" si="1"/>
        <v>-92.196636363636571</v>
      </c>
      <c r="N39" s="77"/>
      <c r="O39" s="77"/>
      <c r="P39" s="77"/>
      <c r="Q39" s="78"/>
      <c r="S39" s="23"/>
    </row>
    <row r="40" spans="1:19">
      <c r="A40" s="72"/>
      <c r="B40" s="73"/>
      <c r="C40" s="74" t="s">
        <v>1091</v>
      </c>
      <c r="D40" s="74" t="s">
        <v>1067</v>
      </c>
      <c r="E40" s="74" t="s">
        <v>1092</v>
      </c>
      <c r="F40" s="74" t="s">
        <v>1004</v>
      </c>
      <c r="G40" s="75" t="s">
        <v>1014</v>
      </c>
      <c r="H40" s="76">
        <v>5576.0889999999999</v>
      </c>
      <c r="I40" s="77"/>
      <c r="J40" s="76">
        <v>351.87</v>
      </c>
      <c r="K40" s="77">
        <f t="shared" si="4"/>
        <v>5224.2190000000001</v>
      </c>
      <c r="L40" s="77">
        <v>6328.9820909090913</v>
      </c>
      <c r="M40" s="77">
        <f t="shared" si="1"/>
        <v>-1104.7630909090913</v>
      </c>
      <c r="N40" s="77"/>
      <c r="O40" s="77"/>
      <c r="P40" s="77"/>
      <c r="Q40" s="78"/>
      <c r="S40" s="23"/>
    </row>
    <row r="41" spans="1:19">
      <c r="A41" s="72"/>
      <c r="B41" s="73"/>
      <c r="C41" s="74" t="s">
        <v>1093</v>
      </c>
      <c r="D41" s="74" t="s">
        <v>1064</v>
      </c>
      <c r="E41" s="74" t="s">
        <v>1094</v>
      </c>
      <c r="F41" s="74" t="s">
        <v>1095</v>
      </c>
      <c r="G41" s="75" t="s">
        <v>1014</v>
      </c>
      <c r="H41" s="76">
        <v>8051.8930769230765</v>
      </c>
      <c r="I41" s="77"/>
      <c r="J41" s="76">
        <v>0</v>
      </c>
      <c r="K41" s="77">
        <f t="shared" si="4"/>
        <v>8051.8930769230765</v>
      </c>
      <c r="L41" s="77">
        <v>8694.3384615384621</v>
      </c>
      <c r="M41" s="77">
        <f t="shared" si="1"/>
        <v>-642.44538461538559</v>
      </c>
      <c r="N41" s="77"/>
      <c r="O41" s="77"/>
      <c r="P41" s="77"/>
      <c r="Q41" s="78"/>
      <c r="S41" s="23"/>
    </row>
    <row r="42" spans="1:19">
      <c r="A42" s="72"/>
      <c r="B42" s="73"/>
      <c r="C42" s="74" t="s">
        <v>1096</v>
      </c>
      <c r="D42" s="74" t="s">
        <v>1097</v>
      </c>
      <c r="E42" s="74" t="s">
        <v>1098</v>
      </c>
      <c r="F42" s="74" t="s">
        <v>1004</v>
      </c>
      <c r="G42" s="75" t="s">
        <v>1014</v>
      </c>
      <c r="H42" s="76">
        <v>8305.1730000000007</v>
      </c>
      <c r="I42" s="77"/>
      <c r="J42" s="76">
        <v>0</v>
      </c>
      <c r="K42" s="77">
        <f t="shared" si="4"/>
        <v>8305.1730000000007</v>
      </c>
      <c r="L42" s="77">
        <v>8252.4118181818194</v>
      </c>
      <c r="M42" s="77">
        <f t="shared" si="1"/>
        <v>52.761181818181285</v>
      </c>
      <c r="N42" s="77"/>
      <c r="O42" s="77"/>
      <c r="P42" s="77"/>
      <c r="Q42" s="78"/>
      <c r="S42" s="23"/>
    </row>
    <row r="43" spans="1:19">
      <c r="A43" s="72"/>
      <c r="B43" s="73"/>
      <c r="C43" s="74" t="s">
        <v>1099</v>
      </c>
      <c r="D43" s="74" t="s">
        <v>1100</v>
      </c>
      <c r="E43" s="74" t="s">
        <v>1101</v>
      </c>
      <c r="F43" s="74" t="s">
        <v>1080</v>
      </c>
      <c r="G43" s="75" t="s">
        <v>1014</v>
      </c>
      <c r="H43" s="76">
        <v>7107.1980000000003</v>
      </c>
      <c r="I43" s="77"/>
      <c r="J43" s="76">
        <v>0</v>
      </c>
      <c r="K43" s="77">
        <f t="shared" si="4"/>
        <v>7107.1980000000003</v>
      </c>
      <c r="L43" s="77">
        <v>7691.9524545454542</v>
      </c>
      <c r="M43" s="77">
        <f t="shared" si="1"/>
        <v>-584.75445454545388</v>
      </c>
      <c r="N43" s="77"/>
      <c r="O43" s="77"/>
      <c r="P43" s="77"/>
      <c r="Q43" s="78"/>
      <c r="S43" s="23"/>
    </row>
    <row r="44" spans="1:19">
      <c r="A44" s="72"/>
      <c r="B44" s="73"/>
      <c r="C44" s="74" t="s">
        <v>1102</v>
      </c>
      <c r="D44" s="74" t="s">
        <v>1103</v>
      </c>
      <c r="E44" s="74" t="s">
        <v>1104</v>
      </c>
      <c r="F44" s="74" t="s">
        <v>1018</v>
      </c>
      <c r="G44" s="75" t="s">
        <v>1014</v>
      </c>
      <c r="H44" s="76">
        <v>4308.1350000000002</v>
      </c>
      <c r="I44" s="77"/>
      <c r="J44" s="76">
        <v>0</v>
      </c>
      <c r="K44" s="77">
        <f t="shared" si="4"/>
        <v>4308.1350000000002</v>
      </c>
      <c r="L44" s="77">
        <v>4663.5964545454544</v>
      </c>
      <c r="M44" s="77">
        <f t="shared" si="1"/>
        <v>-355.46145454545422</v>
      </c>
      <c r="N44" s="77"/>
      <c r="O44" s="77"/>
      <c r="P44" s="77"/>
      <c r="Q44" s="78"/>
      <c r="S44" s="23"/>
    </row>
    <row r="45" spans="1:19">
      <c r="A45" s="72"/>
      <c r="B45" s="72"/>
      <c r="C45" s="92" t="s">
        <v>1105</v>
      </c>
      <c r="D45" s="92" t="s">
        <v>1064</v>
      </c>
      <c r="E45" s="92" t="s">
        <v>1106</v>
      </c>
      <c r="F45" s="92" t="s">
        <v>1080</v>
      </c>
      <c r="G45" s="93" t="s">
        <v>1014</v>
      </c>
      <c r="H45" s="76">
        <v>7805.2379230769229</v>
      </c>
      <c r="I45" s="94"/>
      <c r="J45" s="76">
        <v>0</v>
      </c>
      <c r="K45" s="94">
        <f t="shared" si="4"/>
        <v>7805.2379230769229</v>
      </c>
      <c r="L45" s="94">
        <v>8494.8441748251753</v>
      </c>
      <c r="M45" s="94">
        <f t="shared" si="1"/>
        <v>-689.60625174825236</v>
      </c>
      <c r="N45" s="94"/>
      <c r="O45" s="94"/>
      <c r="P45" s="94"/>
      <c r="Q45" s="95"/>
      <c r="S45" s="23"/>
    </row>
    <row r="46" spans="1:19">
      <c r="A46" s="72"/>
      <c r="B46" s="73"/>
      <c r="C46" s="74" t="s">
        <v>1107</v>
      </c>
      <c r="D46" s="74" t="s">
        <v>1108</v>
      </c>
      <c r="E46" s="74" t="s">
        <v>1109</v>
      </c>
      <c r="F46" s="74" t="s">
        <v>1004</v>
      </c>
      <c r="G46" s="75" t="s">
        <v>1014</v>
      </c>
      <c r="H46" s="76">
        <v>4815.9809999999998</v>
      </c>
      <c r="I46" s="77"/>
      <c r="J46" s="76">
        <v>30.64</v>
      </c>
      <c r="K46" s="77">
        <f t="shared" si="4"/>
        <v>4785.3409999999994</v>
      </c>
      <c r="L46" s="77">
        <v>5255.2694545454542</v>
      </c>
      <c r="M46" s="77">
        <f t="shared" si="1"/>
        <v>-469.92845454545477</v>
      </c>
      <c r="N46" s="77"/>
      <c r="O46" s="77"/>
      <c r="P46" s="77"/>
      <c r="Q46" s="78"/>
      <c r="S46" s="23"/>
    </row>
    <row r="47" spans="1:19">
      <c r="A47" s="65"/>
      <c r="B47" s="66"/>
      <c r="C47" s="67"/>
      <c r="D47" s="67"/>
      <c r="E47" s="67"/>
      <c r="F47" s="67"/>
      <c r="G47" s="69" t="s">
        <v>1110</v>
      </c>
      <c r="H47" s="70">
        <f>SUM(H15:H46)</f>
        <v>189125.61546153846</v>
      </c>
      <c r="I47" s="70">
        <f>SUM(I15:I46)</f>
        <v>0</v>
      </c>
      <c r="J47" s="70">
        <f>SUM(J15:J46)</f>
        <v>6095.7300000000005</v>
      </c>
      <c r="K47" s="70">
        <f>SUM(K15:K46)</f>
        <v>188983.10546153848</v>
      </c>
      <c r="L47" s="70">
        <f>SUM(L15:L46)</f>
        <v>203234.98570629369</v>
      </c>
      <c r="M47" s="70">
        <f t="shared" si="1"/>
        <v>-14251.880244755215</v>
      </c>
      <c r="N47" s="70"/>
      <c r="O47" s="70"/>
      <c r="P47" s="70"/>
      <c r="Q47" s="71">
        <f>+M47/K47</f>
        <v>-7.5413514927426858E-2</v>
      </c>
      <c r="S47" s="23"/>
    </row>
    <row r="48" spans="1:19">
      <c r="A48" s="96"/>
      <c r="B48" s="97"/>
      <c r="C48" s="98" t="s">
        <v>1111</v>
      </c>
      <c r="D48" s="98" t="s">
        <v>1112</v>
      </c>
      <c r="E48" s="98" t="s">
        <v>1113</v>
      </c>
      <c r="F48" s="98" t="s">
        <v>1114</v>
      </c>
      <c r="G48" s="99" t="s">
        <v>1115</v>
      </c>
      <c r="H48" s="100">
        <v>2076.8000000000002</v>
      </c>
      <c r="I48" s="100"/>
      <c r="J48" s="100">
        <v>0</v>
      </c>
      <c r="K48" s="100">
        <f t="shared" ref="K48:K61" si="5">+H48-I48-J48</f>
        <v>2076.8000000000002</v>
      </c>
      <c r="L48" s="100">
        <v>2014.16</v>
      </c>
      <c r="M48" s="100">
        <f t="shared" si="1"/>
        <v>62.6400000000001</v>
      </c>
      <c r="N48" s="100"/>
      <c r="O48" s="100">
        <v>0</v>
      </c>
      <c r="P48" s="100">
        <f t="shared" ref="P48:P61" si="6">+N48-O48</f>
        <v>0</v>
      </c>
      <c r="Q48" s="101"/>
      <c r="S48" s="23"/>
    </row>
    <row r="49" spans="1:34">
      <c r="A49" s="96"/>
      <c r="B49" s="97"/>
      <c r="C49" s="98" t="s">
        <v>1116</v>
      </c>
      <c r="D49" s="98" t="s">
        <v>1117</v>
      </c>
      <c r="E49" s="98" t="s">
        <v>1118</v>
      </c>
      <c r="F49" s="98" t="s">
        <v>1114</v>
      </c>
      <c r="G49" s="99" t="s">
        <v>1115</v>
      </c>
      <c r="H49" s="100">
        <v>2335.39</v>
      </c>
      <c r="I49" s="100"/>
      <c r="J49" s="100">
        <v>0</v>
      </c>
      <c r="K49" s="100">
        <f t="shared" si="5"/>
        <v>2335.39</v>
      </c>
      <c r="L49" s="100">
        <v>2123.08</v>
      </c>
      <c r="M49" s="100">
        <f t="shared" si="1"/>
        <v>212.30999999999995</v>
      </c>
      <c r="N49" s="100"/>
      <c r="O49" s="100">
        <v>0</v>
      </c>
      <c r="P49" s="100">
        <f t="shared" si="6"/>
        <v>0</v>
      </c>
      <c r="Q49" s="101"/>
      <c r="S49" s="23"/>
    </row>
    <row r="50" spans="1:34">
      <c r="A50" s="96"/>
      <c r="B50" s="97"/>
      <c r="C50" s="98" t="s">
        <v>1119</v>
      </c>
      <c r="D50" s="98" t="s">
        <v>1120</v>
      </c>
      <c r="E50" s="98" t="s">
        <v>1121</v>
      </c>
      <c r="F50" s="98" t="s">
        <v>1114</v>
      </c>
      <c r="G50" s="99" t="s">
        <v>1115</v>
      </c>
      <c r="H50" s="100">
        <v>2307.6999999999998</v>
      </c>
      <c r="I50" s="100"/>
      <c r="J50" s="100">
        <v>0</v>
      </c>
      <c r="K50" s="100">
        <f t="shared" si="5"/>
        <v>2307.6999999999998</v>
      </c>
      <c r="L50" s="100">
        <v>2307.6</v>
      </c>
      <c r="M50" s="100">
        <f t="shared" si="1"/>
        <v>9.9999999999909051E-2</v>
      </c>
      <c r="N50" s="100"/>
      <c r="O50" s="100">
        <v>0</v>
      </c>
      <c r="P50" s="100">
        <f t="shared" si="6"/>
        <v>0</v>
      </c>
      <c r="Q50" s="101"/>
      <c r="S50" s="23"/>
    </row>
    <row r="51" spans="1:34">
      <c r="A51" s="96"/>
      <c r="B51" s="97"/>
      <c r="C51" s="98" t="s">
        <v>1122</v>
      </c>
      <c r="D51" s="98" t="s">
        <v>1123</v>
      </c>
      <c r="E51" s="98" t="s">
        <v>1124</v>
      </c>
      <c r="F51" s="98" t="s">
        <v>1114</v>
      </c>
      <c r="G51" s="99" t="s">
        <v>1115</v>
      </c>
      <c r="H51" s="100">
        <v>1987.42</v>
      </c>
      <c r="I51" s="100"/>
      <c r="J51" s="100">
        <v>0</v>
      </c>
      <c r="K51" s="100">
        <f t="shared" si="5"/>
        <v>1987.42</v>
      </c>
      <c r="L51" s="100">
        <v>2016.21</v>
      </c>
      <c r="M51" s="100">
        <f t="shared" si="1"/>
        <v>-28.789999999999964</v>
      </c>
      <c r="N51" s="100"/>
      <c r="O51" s="100">
        <v>0</v>
      </c>
      <c r="P51" s="100">
        <f t="shared" si="6"/>
        <v>0</v>
      </c>
      <c r="Q51" s="101"/>
      <c r="S51" s="23"/>
    </row>
    <row r="52" spans="1:34">
      <c r="A52" s="49">
        <v>45884</v>
      </c>
      <c r="B52" s="50"/>
      <c r="C52" s="51" t="s">
        <v>1125</v>
      </c>
      <c r="D52" s="51" t="s">
        <v>1126</v>
      </c>
      <c r="E52" s="51" t="s">
        <v>1127</v>
      </c>
      <c r="F52" s="51" t="s">
        <v>1128</v>
      </c>
      <c r="G52" s="52" t="s">
        <v>1115</v>
      </c>
      <c r="H52" s="53">
        <v>10196.151230769232</v>
      </c>
      <c r="I52" s="53">
        <v>4423.08</v>
      </c>
      <c r="J52" s="53">
        <v>0</v>
      </c>
      <c r="K52" s="53">
        <f t="shared" si="5"/>
        <v>5773.071230769232</v>
      </c>
      <c r="L52" s="53">
        <v>10649.830062937064</v>
      </c>
      <c r="M52" s="53">
        <f t="shared" si="1"/>
        <v>-4876.7588321678322</v>
      </c>
      <c r="N52" s="53"/>
      <c r="O52" s="53">
        <v>0</v>
      </c>
      <c r="P52" s="53">
        <f t="shared" si="6"/>
        <v>0</v>
      </c>
      <c r="Q52" s="102" t="s">
        <v>1129</v>
      </c>
      <c r="S52" s="23"/>
    </row>
    <row r="53" spans="1:34">
      <c r="A53" s="103"/>
      <c r="B53" s="104"/>
      <c r="C53" s="105" t="s">
        <v>1130</v>
      </c>
      <c r="D53" s="105" t="s">
        <v>1131</v>
      </c>
      <c r="E53" s="105" t="s">
        <v>1132</v>
      </c>
      <c r="F53" s="105" t="s">
        <v>1128</v>
      </c>
      <c r="G53" s="106" t="s">
        <v>1115</v>
      </c>
      <c r="H53" s="100">
        <v>13781.910307692309</v>
      </c>
      <c r="I53" s="100"/>
      <c r="J53" s="100">
        <v>0</v>
      </c>
      <c r="K53" s="100">
        <f t="shared" si="5"/>
        <v>13781.910307692309</v>
      </c>
      <c r="L53" s="100">
        <v>25217.64220979021</v>
      </c>
      <c r="M53" s="100">
        <f t="shared" si="1"/>
        <v>-11435.731902097901</v>
      </c>
      <c r="N53" s="100">
        <v>5935.75</v>
      </c>
      <c r="O53" s="100">
        <v>16097.01</v>
      </c>
      <c r="P53" s="100">
        <f t="shared" si="6"/>
        <v>-10161.26</v>
      </c>
      <c r="Q53" s="101"/>
      <c r="S53" s="23"/>
    </row>
    <row r="54" spans="1:34">
      <c r="A54" s="96"/>
      <c r="B54" s="97"/>
      <c r="C54" s="98" t="s">
        <v>1133</v>
      </c>
      <c r="D54" s="98" t="s">
        <v>996</v>
      </c>
      <c r="E54" s="98" t="s">
        <v>1134</v>
      </c>
      <c r="F54" s="98" t="s">
        <v>1128</v>
      </c>
      <c r="G54" s="99" t="s">
        <v>1115</v>
      </c>
      <c r="H54" s="100">
        <v>8368.4233846153857</v>
      </c>
      <c r="I54" s="100"/>
      <c r="J54" s="100">
        <v>0</v>
      </c>
      <c r="K54" s="100">
        <f t="shared" si="5"/>
        <v>8368.4233846153857</v>
      </c>
      <c r="L54" s="100">
        <v>10728.382489510488</v>
      </c>
      <c r="M54" s="100">
        <f t="shared" si="1"/>
        <v>-2359.9591048951024</v>
      </c>
      <c r="N54" s="100">
        <v>1723.16</v>
      </c>
      <c r="O54" s="100">
        <v>3256.62</v>
      </c>
      <c r="P54" s="100">
        <f t="shared" si="6"/>
        <v>-1533.4599999999998</v>
      </c>
      <c r="Q54" s="101"/>
      <c r="S54" s="23"/>
    </row>
    <row r="55" spans="1:34">
      <c r="A55" s="96"/>
      <c r="B55" s="97"/>
      <c r="C55" s="98" t="s">
        <v>1135</v>
      </c>
      <c r="D55" s="98" t="s">
        <v>1085</v>
      </c>
      <c r="E55" s="98" t="s">
        <v>1136</v>
      </c>
      <c r="F55" s="98" t="s">
        <v>1128</v>
      </c>
      <c r="G55" s="99" t="s">
        <v>1115</v>
      </c>
      <c r="H55" s="100">
        <v>7172.1695384615377</v>
      </c>
      <c r="I55" s="100"/>
      <c r="J55" s="100">
        <v>0</v>
      </c>
      <c r="K55" s="100">
        <f t="shared" si="5"/>
        <v>7172.1695384615377</v>
      </c>
      <c r="L55" s="100">
        <v>7187.5</v>
      </c>
      <c r="M55" s="100">
        <f t="shared" si="1"/>
        <v>-15.330461538462259</v>
      </c>
      <c r="N55" s="100"/>
      <c r="O55" s="100">
        <v>0</v>
      </c>
      <c r="P55" s="100">
        <f t="shared" si="6"/>
        <v>0</v>
      </c>
      <c r="Q55" s="101"/>
      <c r="S55" s="23"/>
    </row>
    <row r="56" spans="1:34">
      <c r="A56" s="96"/>
      <c r="B56" s="97"/>
      <c r="C56" s="98" t="s">
        <v>1137</v>
      </c>
      <c r="D56" s="98" t="s">
        <v>1126</v>
      </c>
      <c r="E56" s="98" t="s">
        <v>1138</v>
      </c>
      <c r="F56" s="98" t="s">
        <v>1139</v>
      </c>
      <c r="G56" s="99" t="s">
        <v>1115</v>
      </c>
      <c r="H56" s="100">
        <v>8541.479307692307</v>
      </c>
      <c r="I56" s="100"/>
      <c r="J56" s="100">
        <v>0</v>
      </c>
      <c r="K56" s="100">
        <f t="shared" si="5"/>
        <v>8541.479307692307</v>
      </c>
      <c r="L56" s="100">
        <v>9246.86320979021</v>
      </c>
      <c r="M56" s="100">
        <f t="shared" si="1"/>
        <v>-705.38390209790305</v>
      </c>
      <c r="N56" s="100"/>
      <c r="O56" s="100">
        <v>0</v>
      </c>
      <c r="P56" s="100">
        <f t="shared" si="6"/>
        <v>0</v>
      </c>
      <c r="Q56" s="101"/>
      <c r="S56" s="23"/>
    </row>
    <row r="57" spans="1:34">
      <c r="A57" s="103"/>
      <c r="B57" s="104"/>
      <c r="C57" s="105" t="s">
        <v>1072</v>
      </c>
      <c r="D57" s="105" t="s">
        <v>1140</v>
      </c>
      <c r="E57" s="105" t="s">
        <v>1141</v>
      </c>
      <c r="F57" s="105" t="s">
        <v>1139</v>
      </c>
      <c r="G57" s="105" t="s">
        <v>1115</v>
      </c>
      <c r="H57" s="100">
        <v>16983.046230769232</v>
      </c>
      <c r="I57" s="100"/>
      <c r="J57" s="100">
        <v>0</v>
      </c>
      <c r="K57" s="100">
        <f t="shared" si="5"/>
        <v>16983.046230769232</v>
      </c>
      <c r="L57" s="100">
        <v>18429.259748251749</v>
      </c>
      <c r="M57" s="100">
        <f t="shared" si="1"/>
        <v>-1446.2135174825162</v>
      </c>
      <c r="N57" s="100"/>
      <c r="O57" s="100">
        <v>0</v>
      </c>
      <c r="P57" s="100">
        <f t="shared" si="6"/>
        <v>0</v>
      </c>
      <c r="Q57" s="101"/>
      <c r="S57" s="23"/>
      <c r="AH57" s="23">
        <f>2080/8</f>
        <v>260</v>
      </c>
    </row>
    <row r="58" spans="1:34">
      <c r="A58" s="103"/>
      <c r="B58" s="104"/>
      <c r="C58" s="105" t="s">
        <v>1142</v>
      </c>
      <c r="D58" s="105" t="s">
        <v>1143</v>
      </c>
      <c r="E58" s="105" t="s">
        <v>1144</v>
      </c>
      <c r="F58" s="105" t="s">
        <v>1145</v>
      </c>
      <c r="G58" s="106" t="s">
        <v>1115</v>
      </c>
      <c r="H58" s="100">
        <v>10178.370999999999</v>
      </c>
      <c r="I58" s="100"/>
      <c r="J58" s="100">
        <v>0</v>
      </c>
      <c r="K58" s="100">
        <f t="shared" si="5"/>
        <v>10178.370999999999</v>
      </c>
      <c r="L58" s="100">
        <v>8187.7503636363635</v>
      </c>
      <c r="M58" s="100">
        <f t="shared" si="1"/>
        <v>1990.6206363636356</v>
      </c>
      <c r="N58" s="100">
        <v>2555.37</v>
      </c>
      <c r="O58" s="100">
        <v>144.58000000000001</v>
      </c>
      <c r="P58" s="100">
        <f t="shared" si="6"/>
        <v>2410.79</v>
      </c>
      <c r="Q58" s="101"/>
      <c r="S58" s="23"/>
    </row>
    <row r="59" spans="1:34">
      <c r="A59" s="96"/>
      <c r="B59" s="97"/>
      <c r="C59" s="98" t="s">
        <v>1146</v>
      </c>
      <c r="D59" s="98" t="s">
        <v>1126</v>
      </c>
      <c r="E59" s="98" t="s">
        <v>1147</v>
      </c>
      <c r="F59" s="98" t="s">
        <v>1148</v>
      </c>
      <c r="G59" s="99" t="s">
        <v>1115</v>
      </c>
      <c r="H59" s="100">
        <v>25181.336076923079</v>
      </c>
      <c r="I59" s="100"/>
      <c r="J59" s="100">
        <v>0</v>
      </c>
      <c r="K59" s="100">
        <f t="shared" si="5"/>
        <v>25181.336076923079</v>
      </c>
      <c r="L59" s="100">
        <v>27842.702279720284</v>
      </c>
      <c r="M59" s="100">
        <f t="shared" si="1"/>
        <v>-2661.3662027972059</v>
      </c>
      <c r="N59" s="100">
        <v>9616.01</v>
      </c>
      <c r="O59" s="100">
        <v>11133.41</v>
      </c>
      <c r="P59" s="100">
        <f t="shared" si="6"/>
        <v>-1517.3999999999996</v>
      </c>
      <c r="Q59" s="101"/>
      <c r="S59" s="23"/>
    </row>
    <row r="60" spans="1:34">
      <c r="A60" s="96"/>
      <c r="B60" s="97"/>
      <c r="C60" s="98" t="s">
        <v>1149</v>
      </c>
      <c r="D60" s="98" t="s">
        <v>1150</v>
      </c>
      <c r="E60" s="98" t="s">
        <v>1151</v>
      </c>
      <c r="F60" s="98" t="s">
        <v>1148</v>
      </c>
      <c r="G60" s="99" t="s">
        <v>1115</v>
      </c>
      <c r="H60" s="100">
        <v>10883.304846153846</v>
      </c>
      <c r="I60" s="100"/>
      <c r="J60" s="100">
        <v>0</v>
      </c>
      <c r="K60" s="100">
        <f t="shared" si="5"/>
        <v>10883.304846153846</v>
      </c>
      <c r="L60" s="100">
        <v>15580.833440559441</v>
      </c>
      <c r="M60" s="100">
        <f t="shared" si="1"/>
        <v>-4697.5285944055959</v>
      </c>
      <c r="N60" s="100">
        <v>1230.27</v>
      </c>
      <c r="O60" s="100">
        <v>4894.75</v>
      </c>
      <c r="P60" s="100">
        <f t="shared" si="6"/>
        <v>-3664.48</v>
      </c>
      <c r="Q60" s="101"/>
      <c r="S60" s="23"/>
    </row>
    <row r="61" spans="1:34">
      <c r="A61" s="103"/>
      <c r="B61" s="104"/>
      <c r="C61" s="105" t="s">
        <v>1152</v>
      </c>
      <c r="D61" s="105" t="s">
        <v>1078</v>
      </c>
      <c r="E61" s="105" t="s">
        <v>1153</v>
      </c>
      <c r="F61" s="105" t="s">
        <v>1148</v>
      </c>
      <c r="G61" s="106" t="s">
        <v>1115</v>
      </c>
      <c r="H61" s="100">
        <v>25624.841384615389</v>
      </c>
      <c r="I61" s="100"/>
      <c r="J61" s="100">
        <v>0</v>
      </c>
      <c r="K61" s="100">
        <f t="shared" si="5"/>
        <v>25624.841384615389</v>
      </c>
      <c r="L61" s="100">
        <v>9907.8367622377627</v>
      </c>
      <c r="M61" s="100">
        <f t="shared" si="1"/>
        <v>15717.004622377626</v>
      </c>
      <c r="N61" s="100">
        <v>16410.62</v>
      </c>
      <c r="O61" s="100">
        <v>1233.9100000000001</v>
      </c>
      <c r="P61" s="100">
        <f t="shared" si="6"/>
        <v>15176.71</v>
      </c>
      <c r="Q61" s="101"/>
      <c r="S61" s="23"/>
    </row>
    <row r="62" spans="1:34">
      <c r="A62" s="66"/>
      <c r="B62" s="66"/>
      <c r="C62" s="66"/>
      <c r="D62" s="66"/>
      <c r="E62" s="66"/>
      <c r="F62" s="66"/>
      <c r="G62" s="107" t="s">
        <v>1154</v>
      </c>
      <c r="H62" s="70">
        <f>SUM(H48:H61)</f>
        <v>145618.34330769232</v>
      </c>
      <c r="I62" s="70">
        <f>SUM(I48:I61)</f>
        <v>4423.08</v>
      </c>
      <c r="J62" s="70">
        <f>SUMIFS(J8:J74,F8:F74,"3-Sales Labor Costs")</f>
        <v>0</v>
      </c>
      <c r="K62" s="70">
        <f>SUMIFS(K8:K74,G8:G74,"3-Sales Labor Costs")</f>
        <v>141195.26330769231</v>
      </c>
      <c r="L62" s="70">
        <v>126930.65619047618</v>
      </c>
      <c r="M62" s="108">
        <f t="shared" si="1"/>
        <v>14264.607117216132</v>
      </c>
      <c r="N62" s="108">
        <f>SUM(N48:N61)</f>
        <v>37471.18</v>
      </c>
      <c r="O62" s="108">
        <f>SUM(O48:O61)</f>
        <v>36760.280000000006</v>
      </c>
      <c r="P62" s="108">
        <f>SUM(P48:P61)</f>
        <v>710.89999999999964</v>
      </c>
      <c r="Q62" s="71">
        <f t="shared" ref="Q62" si="7">+M62/K62</f>
        <v>0.1010275187924027</v>
      </c>
    </row>
    <row r="63" spans="1:34">
      <c r="A63" s="109">
        <v>45877</v>
      </c>
      <c r="B63" s="110"/>
      <c r="C63" s="36" t="s">
        <v>1155</v>
      </c>
      <c r="D63" s="36" t="s">
        <v>1156</v>
      </c>
      <c r="E63" s="36" t="s">
        <v>1157</v>
      </c>
      <c r="F63" s="36" t="s">
        <v>1158</v>
      </c>
      <c r="G63" s="111" t="s">
        <v>1159</v>
      </c>
      <c r="H63" s="53" t="e">
        <f>_xlfn.XLOOKUP(E63,[1]!Comparison6[Full Name],[1]!Comparison6[Employer Cost])</f>
        <v>#REF!</v>
      </c>
      <c r="I63" s="53">
        <v>2469.92</v>
      </c>
      <c r="J63" s="53">
        <v>0</v>
      </c>
      <c r="K63" s="53" t="e">
        <f>+H63-I63-J63</f>
        <v>#REF!</v>
      </c>
      <c r="L63" s="53">
        <v>9403.6507762237761</v>
      </c>
      <c r="M63" s="53" t="e">
        <f t="shared" si="1"/>
        <v>#REF!</v>
      </c>
      <c r="N63" s="53"/>
      <c r="O63" s="53"/>
      <c r="P63" s="53"/>
      <c r="Q63" s="54" t="s">
        <v>1160</v>
      </c>
      <c r="S63" s="23"/>
    </row>
    <row r="64" spans="1:34">
      <c r="A64" s="112"/>
      <c r="B64" s="113"/>
      <c r="C64" s="114" t="s">
        <v>1161</v>
      </c>
      <c r="D64" s="114" t="s">
        <v>1162</v>
      </c>
      <c r="E64" s="114" t="s">
        <v>1163</v>
      </c>
      <c r="F64" s="114" t="s">
        <v>1158</v>
      </c>
      <c r="G64" s="114" t="s">
        <v>1159</v>
      </c>
      <c r="H64" s="115">
        <v>11173.921230769232</v>
      </c>
      <c r="I64" s="115"/>
      <c r="J64" s="115">
        <v>0</v>
      </c>
      <c r="K64" s="115">
        <f>+H64-I64-J64</f>
        <v>11173.921230769232</v>
      </c>
      <c r="L64" s="115">
        <v>12124.987930069934</v>
      </c>
      <c r="M64" s="115">
        <f t="shared" si="1"/>
        <v>-951.06669930070166</v>
      </c>
      <c r="N64" s="115"/>
      <c r="O64" s="115"/>
      <c r="P64" s="115"/>
      <c r="Q64" s="116"/>
      <c r="S64" s="23"/>
    </row>
    <row r="65" spans="1:20">
      <c r="A65" s="112"/>
      <c r="B65" s="113"/>
      <c r="C65" s="114" t="s">
        <v>1164</v>
      </c>
      <c r="D65" s="114" t="s">
        <v>1165</v>
      </c>
      <c r="E65" s="114" t="s">
        <v>1166</v>
      </c>
      <c r="F65" s="114" t="s">
        <v>1167</v>
      </c>
      <c r="G65" s="114" t="s">
        <v>1159</v>
      </c>
      <c r="H65" s="115">
        <v>8103.1133846153862</v>
      </c>
      <c r="I65" s="115"/>
      <c r="J65" s="115">
        <v>0</v>
      </c>
      <c r="K65" s="115">
        <f t="shared" ref="K65:K74" si="8">+H65-I65-J65</f>
        <v>8103.1133846153862</v>
      </c>
      <c r="L65" s="115">
        <v>8484.2319650349655</v>
      </c>
      <c r="M65" s="115">
        <f t="shared" si="1"/>
        <v>-381.1185804195793</v>
      </c>
      <c r="N65" s="115"/>
      <c r="O65" s="115"/>
      <c r="P65" s="115"/>
      <c r="Q65" s="116"/>
      <c r="S65" s="23"/>
    </row>
    <row r="66" spans="1:20">
      <c r="A66" s="112"/>
      <c r="B66" s="113"/>
      <c r="C66" s="117" t="s">
        <v>1168</v>
      </c>
      <c r="D66" s="117" t="s">
        <v>1169</v>
      </c>
      <c r="E66" s="117" t="s">
        <v>1170</v>
      </c>
      <c r="F66" s="117" t="s">
        <v>1171</v>
      </c>
      <c r="G66" s="118" t="s">
        <v>1159</v>
      </c>
      <c r="H66" s="115">
        <v>8359.2883076923081</v>
      </c>
      <c r="I66" s="115"/>
      <c r="J66" s="115">
        <v>0</v>
      </c>
      <c r="K66" s="115">
        <f t="shared" si="8"/>
        <v>8359.2883076923081</v>
      </c>
      <c r="L66" s="115">
        <v>9066.2323916083933</v>
      </c>
      <c r="M66" s="115">
        <f t="shared" si="1"/>
        <v>-706.94408391608522</v>
      </c>
      <c r="N66" s="115"/>
      <c r="O66" s="115"/>
      <c r="P66" s="115"/>
      <c r="Q66" s="116"/>
      <c r="S66" s="23"/>
    </row>
    <row r="67" spans="1:20">
      <c r="A67" s="119"/>
      <c r="B67" s="120"/>
      <c r="C67" s="114" t="s">
        <v>1172</v>
      </c>
      <c r="D67" s="114" t="s">
        <v>1173</v>
      </c>
      <c r="E67" s="114" t="s">
        <v>1174</v>
      </c>
      <c r="F67" s="114" t="s">
        <v>1171</v>
      </c>
      <c r="G67" s="121" t="s">
        <v>1159</v>
      </c>
      <c r="H67" s="115">
        <v>11221.251461538463</v>
      </c>
      <c r="I67" s="115"/>
      <c r="J67" s="115">
        <v>0</v>
      </c>
      <c r="K67" s="115">
        <f t="shared" si="8"/>
        <v>11221.251461538463</v>
      </c>
      <c r="L67" s="115">
        <v>12130.003678321678</v>
      </c>
      <c r="M67" s="115">
        <f t="shared" si="1"/>
        <v>-908.75221678321577</v>
      </c>
      <c r="N67" s="115"/>
      <c r="O67" s="115"/>
      <c r="P67" s="115"/>
      <c r="Q67" s="116"/>
      <c r="S67" s="23"/>
    </row>
    <row r="68" spans="1:20">
      <c r="A68" s="119"/>
      <c r="B68" s="120"/>
      <c r="C68" s="117" t="s">
        <v>1175</v>
      </c>
      <c r="D68" s="117" t="s">
        <v>1176</v>
      </c>
      <c r="E68" s="117" t="s">
        <v>1177</v>
      </c>
      <c r="F68" s="117" t="s">
        <v>1114</v>
      </c>
      <c r="G68" s="117" t="s">
        <v>1159</v>
      </c>
      <c r="H68" s="115">
        <v>1470</v>
      </c>
      <c r="I68" s="115"/>
      <c r="J68" s="115">
        <v>0</v>
      </c>
      <c r="K68" s="115">
        <f t="shared" si="8"/>
        <v>1470</v>
      </c>
      <c r="L68" s="115">
        <v>1540</v>
      </c>
      <c r="M68" s="115">
        <f t="shared" si="1"/>
        <v>-70</v>
      </c>
      <c r="N68" s="115"/>
      <c r="O68" s="115"/>
      <c r="P68" s="115"/>
      <c r="Q68" s="116"/>
      <c r="S68" s="23"/>
    </row>
    <row r="69" spans="1:20">
      <c r="A69" s="119"/>
      <c r="B69" s="120"/>
      <c r="C69" s="117" t="s">
        <v>1178</v>
      </c>
      <c r="D69" s="117" t="s">
        <v>1179</v>
      </c>
      <c r="E69" s="117" t="s">
        <v>1180</v>
      </c>
      <c r="F69" s="117" t="s">
        <v>1114</v>
      </c>
      <c r="G69" s="118" t="s">
        <v>1159</v>
      </c>
      <c r="H69" s="115">
        <v>1860.14</v>
      </c>
      <c r="I69" s="115"/>
      <c r="J69" s="115">
        <v>0</v>
      </c>
      <c r="K69" s="115">
        <f t="shared" si="8"/>
        <v>1860.14</v>
      </c>
      <c r="L69" s="115">
        <v>1891.75</v>
      </c>
      <c r="M69" s="115">
        <f t="shared" si="1"/>
        <v>-31.6099999999999</v>
      </c>
      <c r="N69" s="115"/>
      <c r="O69" s="115"/>
      <c r="P69" s="115"/>
      <c r="Q69" s="116"/>
      <c r="S69" s="23"/>
    </row>
    <row r="70" spans="1:20">
      <c r="A70" s="119"/>
      <c r="B70" s="120"/>
      <c r="C70" s="117" t="s">
        <v>1181</v>
      </c>
      <c r="D70" s="117" t="s">
        <v>1182</v>
      </c>
      <c r="E70" s="117" t="s">
        <v>1183</v>
      </c>
      <c r="F70" s="117" t="s">
        <v>1114</v>
      </c>
      <c r="G70" s="118" t="s">
        <v>1159</v>
      </c>
      <c r="H70" s="115">
        <v>1986.32</v>
      </c>
      <c r="I70" s="115"/>
      <c r="J70" s="115">
        <v>0</v>
      </c>
      <c r="K70" s="115">
        <f t="shared" si="8"/>
        <v>1986.32</v>
      </c>
      <c r="L70" s="115">
        <v>1848.05</v>
      </c>
      <c r="M70" s="115">
        <f>+K70-L70</f>
        <v>138.26999999999998</v>
      </c>
      <c r="N70" s="115"/>
      <c r="O70" s="115"/>
      <c r="P70" s="115"/>
      <c r="Q70" s="116"/>
      <c r="S70" s="23"/>
    </row>
    <row r="71" spans="1:20">
      <c r="A71" s="49">
        <v>45863</v>
      </c>
      <c r="B71" s="50"/>
      <c r="C71" s="51" t="s">
        <v>1149</v>
      </c>
      <c r="D71" s="51" t="s">
        <v>1184</v>
      </c>
      <c r="E71" s="51" t="s">
        <v>1185</v>
      </c>
      <c r="F71" s="51" t="s">
        <v>1186</v>
      </c>
      <c r="G71" s="52" t="s">
        <v>1159</v>
      </c>
      <c r="H71" s="53">
        <v>2153</v>
      </c>
      <c r="I71" s="53">
        <v>2000</v>
      </c>
      <c r="J71" s="53">
        <v>0</v>
      </c>
      <c r="K71" s="53">
        <f t="shared" si="8"/>
        <v>153</v>
      </c>
      <c r="L71" s="53">
        <v>4761.7889090909093</v>
      </c>
      <c r="M71" s="53">
        <f>+K71-L71</f>
        <v>-4608.7889090909093</v>
      </c>
      <c r="N71" s="53"/>
      <c r="O71" s="53"/>
      <c r="P71" s="53"/>
      <c r="Q71" s="54" t="s">
        <v>1187</v>
      </c>
      <c r="S71" s="23"/>
    </row>
    <row r="72" spans="1:20">
      <c r="A72" s="119"/>
      <c r="B72" s="120"/>
      <c r="C72" s="114" t="s">
        <v>1019</v>
      </c>
      <c r="D72" s="114" t="s">
        <v>992</v>
      </c>
      <c r="E72" s="114" t="s">
        <v>1188</v>
      </c>
      <c r="F72" s="114" t="s">
        <v>1189</v>
      </c>
      <c r="G72" s="121" t="s">
        <v>1159</v>
      </c>
      <c r="H72" s="115">
        <v>6844.6200000000008</v>
      </c>
      <c r="I72" s="115"/>
      <c r="J72" s="115">
        <v>0</v>
      </c>
      <c r="K72" s="115">
        <f t="shared" si="8"/>
        <v>6844.6200000000008</v>
      </c>
      <c r="L72" s="115">
        <v>7306.7531818181824</v>
      </c>
      <c r="M72" s="115">
        <f>+K72-L72</f>
        <v>-462.13318181818158</v>
      </c>
      <c r="N72" s="115"/>
      <c r="O72" s="115"/>
      <c r="P72" s="115"/>
      <c r="Q72" s="116"/>
      <c r="S72" s="23"/>
    </row>
    <row r="73" spans="1:20" s="126" customFormat="1">
      <c r="A73" s="112"/>
      <c r="B73" s="112"/>
      <c r="C73" s="122" t="s">
        <v>1190</v>
      </c>
      <c r="D73" s="122" t="s">
        <v>1191</v>
      </c>
      <c r="E73" s="122" t="s">
        <v>1192</v>
      </c>
      <c r="F73" s="122" t="s">
        <v>1189</v>
      </c>
      <c r="G73" s="123" t="s">
        <v>1159</v>
      </c>
      <c r="H73" s="115">
        <v>8461.0529999999999</v>
      </c>
      <c r="I73" s="124"/>
      <c r="J73" s="125">
        <v>0</v>
      </c>
      <c r="K73" s="125">
        <f t="shared" si="8"/>
        <v>8461.0529999999999</v>
      </c>
      <c r="L73" s="125">
        <v>8909.1951818181824</v>
      </c>
      <c r="M73" s="125">
        <f>+K73-L73</f>
        <v>-448.14218181818251</v>
      </c>
      <c r="N73" s="125"/>
      <c r="O73" s="125"/>
      <c r="P73" s="125"/>
      <c r="Q73" s="116"/>
    </row>
    <row r="74" spans="1:20">
      <c r="A74" s="119"/>
      <c r="B74" s="119"/>
      <c r="C74" s="127" t="s">
        <v>1193</v>
      </c>
      <c r="D74" s="127" t="s">
        <v>1191</v>
      </c>
      <c r="E74" s="127" t="s">
        <v>1194</v>
      </c>
      <c r="F74" s="127" t="s">
        <v>1195</v>
      </c>
      <c r="G74" s="128" t="s">
        <v>1159</v>
      </c>
      <c r="H74" s="115">
        <v>7904.0045384615378</v>
      </c>
      <c r="I74" s="115"/>
      <c r="J74" s="115">
        <v>0</v>
      </c>
      <c r="K74" s="115">
        <f t="shared" si="8"/>
        <v>7904.0045384615378</v>
      </c>
      <c r="L74" s="115">
        <v>8463.7844125874126</v>
      </c>
      <c r="M74" s="115">
        <f>+K74-L74</f>
        <v>-559.77987412587481</v>
      </c>
      <c r="N74" s="115"/>
      <c r="O74" s="115"/>
      <c r="P74" s="115"/>
      <c r="Q74" s="116"/>
      <c r="S74" s="23"/>
    </row>
    <row r="75" spans="1:20">
      <c r="G75" s="129" t="s">
        <v>1196</v>
      </c>
      <c r="H75" s="108" t="e">
        <f>SUM(H63:H74)</f>
        <v>#REF!</v>
      </c>
      <c r="I75" s="108">
        <f t="shared" ref="I75:K75" si="9">SUM(I63:I74)</f>
        <v>4469.92</v>
      </c>
      <c r="J75" s="108">
        <f t="shared" si="9"/>
        <v>0</v>
      </c>
      <c r="K75" s="108" t="e">
        <f t="shared" si="9"/>
        <v>#REF!</v>
      </c>
      <c r="L75" s="108">
        <f>SUM(L63:L74)</f>
        <v>85930.428426573431</v>
      </c>
      <c r="M75" s="108" t="e">
        <f t="shared" ref="M75" si="10">+K75-L75</f>
        <v>#REF!</v>
      </c>
      <c r="N75" s="108"/>
      <c r="O75" s="108"/>
      <c r="P75" s="108"/>
      <c r="Q75" s="71" t="e">
        <f>+M75/K75</f>
        <v>#REF!</v>
      </c>
      <c r="S75" s="23"/>
    </row>
    <row r="76" spans="1:20">
      <c r="G76" s="129"/>
      <c r="H76" s="130"/>
      <c r="I76" s="131"/>
      <c r="J76" s="131"/>
      <c r="K76" s="131"/>
      <c r="L76" s="131"/>
      <c r="M76" s="131"/>
      <c r="N76" s="131"/>
      <c r="O76" s="131"/>
      <c r="P76" s="131"/>
      <c r="Q76" s="132"/>
      <c r="S76" s="23"/>
    </row>
    <row r="77" spans="1:20">
      <c r="F77" s="132"/>
      <c r="G77" s="133" t="s">
        <v>1197</v>
      </c>
      <c r="H77" s="130" t="e">
        <f>H75+H62+H47+H14</f>
        <v>#REF!</v>
      </c>
      <c r="I77" s="131">
        <f>+I75+I62+I47+I14</f>
        <v>16558.79</v>
      </c>
      <c r="J77" s="131">
        <f>+J75+J62+J47+J14</f>
        <v>6095.7300000000005</v>
      </c>
      <c r="K77" s="131" t="e">
        <f>K75+K62+K47+K14</f>
        <v>#REF!</v>
      </c>
      <c r="L77" s="131">
        <f>+L75+L62+L47+L14</f>
        <v>481165.90219746914</v>
      </c>
      <c r="M77" s="108" t="e">
        <f>+K77-L77</f>
        <v>#REF!</v>
      </c>
      <c r="N77" s="108">
        <f>+N62</f>
        <v>37471.18</v>
      </c>
      <c r="O77" s="108">
        <f>+O62</f>
        <v>36760.280000000006</v>
      </c>
      <c r="P77" s="108">
        <f>+N77-O77</f>
        <v>710.89999999999418</v>
      </c>
      <c r="Q77" s="71" t="e">
        <f>+M77/K77</f>
        <v>#REF!</v>
      </c>
      <c r="R77" s="28"/>
      <c r="S77" s="23"/>
    </row>
    <row r="78" spans="1:20" ht="18.75">
      <c r="A78" s="134" t="s">
        <v>1198</v>
      </c>
      <c r="G78" s="129"/>
      <c r="H78" s="130"/>
      <c r="I78" s="135"/>
      <c r="J78" s="131"/>
      <c r="K78" s="131"/>
      <c r="L78" s="131"/>
      <c r="M78" s="131"/>
      <c r="N78" s="131"/>
      <c r="O78" s="131"/>
      <c r="P78" s="131"/>
      <c r="Q78" s="132"/>
      <c r="R78" s="28"/>
      <c r="S78" s="23"/>
    </row>
    <row r="79" spans="1:20">
      <c r="B79" s="136">
        <v>45902</v>
      </c>
      <c r="C79" s="23" t="s">
        <v>1199</v>
      </c>
      <c r="D79" s="23" t="s">
        <v>1200</v>
      </c>
      <c r="E79" s="23" t="s">
        <v>1201</v>
      </c>
      <c r="F79" s="74" t="s">
        <v>1004</v>
      </c>
      <c r="G79" s="75" t="s">
        <v>1014</v>
      </c>
      <c r="H79" s="31"/>
      <c r="I79" s="23"/>
      <c r="J79" s="23"/>
      <c r="R79" s="28"/>
      <c r="S79" s="31"/>
      <c r="T79" s="31"/>
    </row>
    <row r="80" spans="1:20">
      <c r="G80" s="23"/>
      <c r="I80" s="23"/>
      <c r="J80" s="23"/>
      <c r="R80" s="28"/>
      <c r="S80" s="31"/>
      <c r="T80" s="31"/>
    </row>
    <row r="81" spans="6:19">
      <c r="G81" s="137" t="s">
        <v>1202</v>
      </c>
      <c r="H81" s="25"/>
      <c r="I81" s="23"/>
      <c r="J81" s="23"/>
      <c r="R81" s="28"/>
      <c r="S81" s="31"/>
    </row>
    <row r="82" spans="6:19">
      <c r="G82" s="137" t="s">
        <v>1203</v>
      </c>
      <c r="H82" s="138"/>
      <c r="I82" s="23"/>
      <c r="J82" s="23"/>
      <c r="K82" s="138">
        <f>SUMIFS(K8:K81,G8:G81,"1-IT Project Labor")</f>
        <v>56887.667846153847</v>
      </c>
      <c r="L82" s="138"/>
      <c r="M82" s="138"/>
      <c r="N82" s="138"/>
      <c r="O82" s="138"/>
      <c r="P82" s="138"/>
      <c r="R82" s="28"/>
      <c r="S82" s="23"/>
    </row>
    <row r="83" spans="6:19">
      <c r="G83" s="137" t="s">
        <v>1204</v>
      </c>
      <c r="H83" s="139"/>
      <c r="I83" s="23"/>
      <c r="J83" s="23"/>
      <c r="K83" s="138">
        <f>SUMIFS(K8:K80,G8:G80,"2-Direct Labor")</f>
        <v>188983.10546153848</v>
      </c>
      <c r="L83" s="138"/>
      <c r="M83" s="138"/>
      <c r="N83" s="138"/>
      <c r="O83" s="138"/>
      <c r="P83" s="138"/>
      <c r="R83" s="28"/>
      <c r="S83" s="23"/>
    </row>
    <row r="84" spans="6:19">
      <c r="G84" s="137" t="s">
        <v>1205</v>
      </c>
      <c r="H84" s="138"/>
      <c r="I84" s="23"/>
      <c r="J84" s="23"/>
      <c r="K84" s="138">
        <f>SUMIFS(K8:K80,G8:G80,"3-Sales Labor Costs")</f>
        <v>141195.26330769231</v>
      </c>
      <c r="L84" s="138"/>
      <c r="M84" s="138"/>
      <c r="N84" s="138"/>
      <c r="O84" s="138"/>
      <c r="P84" s="138"/>
      <c r="R84" s="28"/>
      <c r="S84" s="23"/>
    </row>
    <row r="85" spans="6:19">
      <c r="G85" s="137" t="s">
        <v>1206</v>
      </c>
      <c r="H85" s="138"/>
      <c r="I85" s="23"/>
      <c r="J85" s="23"/>
      <c r="K85" s="138" t="e">
        <f>SUMIFS(K8:K80,G8:G80,"4-Admin ")</f>
        <v>#REF!</v>
      </c>
      <c r="L85" s="138"/>
      <c r="M85" s="138"/>
      <c r="N85" s="138"/>
      <c r="O85" s="138"/>
      <c r="P85" s="138"/>
      <c r="R85" s="28"/>
      <c r="S85" s="23"/>
    </row>
    <row r="86" spans="6:19">
      <c r="G86" s="137" t="s">
        <v>1197</v>
      </c>
      <c r="H86" s="138"/>
      <c r="I86" s="23"/>
      <c r="J86" s="23"/>
      <c r="K86" s="138" t="e">
        <f>SUM(K82:K85)</f>
        <v>#REF!</v>
      </c>
      <c r="L86" s="138"/>
      <c r="M86" s="138"/>
      <c r="N86" s="138"/>
      <c r="O86" s="138"/>
      <c r="P86" s="138"/>
      <c r="R86" s="28"/>
      <c r="S86" s="23"/>
    </row>
    <row r="87" spans="6:19">
      <c r="H87" s="25"/>
      <c r="J87" s="23"/>
      <c r="K87" s="138"/>
      <c r="L87" s="138"/>
      <c r="M87" s="138"/>
      <c r="N87" s="138"/>
      <c r="O87" s="138"/>
      <c r="P87" s="138"/>
      <c r="R87" s="28"/>
      <c r="S87" s="23"/>
    </row>
    <row r="88" spans="6:19">
      <c r="F88" s="67"/>
      <c r="H88" s="140"/>
      <c r="I88" s="140"/>
      <c r="J88" s="31"/>
      <c r="K88" s="31"/>
      <c r="L88" s="31"/>
      <c r="M88" s="31"/>
      <c r="N88" s="31"/>
      <c r="O88" s="31"/>
      <c r="P88" s="31"/>
      <c r="Q88" s="31"/>
      <c r="R88" s="28"/>
      <c r="S88" s="23"/>
    </row>
    <row r="89" spans="6:19">
      <c r="F89" s="141"/>
      <c r="H89" s="140"/>
      <c r="I89" s="140"/>
      <c r="J89" s="31"/>
      <c r="K89" s="31"/>
      <c r="L89" s="31"/>
      <c r="M89" s="31"/>
      <c r="N89" s="31"/>
      <c r="O89" s="31"/>
      <c r="P89" s="31"/>
      <c r="R89" s="28"/>
      <c r="S89" s="23"/>
    </row>
    <row r="90" spans="6:19">
      <c r="H90" s="25"/>
      <c r="J90" s="23"/>
      <c r="R90" s="28"/>
      <c r="S90" s="23"/>
    </row>
    <row r="91" spans="6:19">
      <c r="H91" s="25"/>
      <c r="J91" s="23"/>
      <c r="R91" s="28"/>
      <c r="S91" s="23"/>
    </row>
    <row r="92" spans="6:19">
      <c r="H92" s="25"/>
      <c r="J92" s="23"/>
      <c r="R92" s="28"/>
      <c r="S92" s="23"/>
    </row>
    <row r="93" spans="6:19">
      <c r="R93" s="28"/>
      <c r="S93" s="23"/>
    </row>
    <row r="94" spans="6:19">
      <c r="R94" s="28"/>
      <c r="S94" s="23"/>
    </row>
  </sheetData>
  <autoFilter ref="A7:T78" xr:uid="{BBDFE225-E5DA-4A08-8312-A9C08EF41A09}"/>
  <mergeCells count="1">
    <mergeCell ref="F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87F368-F0F7-420E-8E76-9401535E75CD}"/>
</file>

<file path=customXml/itemProps2.xml><?xml version="1.0" encoding="utf-8"?>
<ds:datastoreItem xmlns:ds="http://schemas.openxmlformats.org/officeDocument/2006/customXml" ds:itemID="{7BFD5F95-6559-41BF-8ADC-D767CBCF766F}"/>
</file>

<file path=customXml/itemProps3.xml><?xml version="1.0" encoding="utf-8"?>
<ds:datastoreItem xmlns:ds="http://schemas.openxmlformats.org/officeDocument/2006/customXml" ds:itemID="{492DF854-E753-493B-8640-5D6AE8521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White, Zachary</dc:creator>
  <cp:keywords/>
  <dc:description/>
  <cp:lastModifiedBy>Zachary White</cp:lastModifiedBy>
  <cp:revision/>
  <dcterms:created xsi:type="dcterms:W3CDTF">2025-09-25T16:41:56Z</dcterms:created>
  <dcterms:modified xsi:type="dcterms:W3CDTF">2025-10-02T18:30:13Z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2025-09-25T16:41:28Z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fdcb8c56-f254-4ec0-bab3-6cb6ac3ff078</vt:lpwstr>
  </property>
  <property fmtid="{D5CDD505-2E9C-101B-9397-08002B2CF9AE}" pid="8" name="MSIP_Label_e3926ae2-a5f5-4eb8-b7a9-2a972f12d6fe_ContentBits">
    <vt:lpwstr>0</vt:lpwstr>
  </property>
  <property fmtid="{D5CDD505-2E9C-101B-9397-08002B2CF9AE}" pid="9" name="MSIP_Label_e3926ae2-a5f5-4eb8-b7a9-2a972f12d6fe_Tag">
    <vt:lpwstr>10, 3, 0, 1</vt:lpwstr>
  </property>
  <property fmtid="{D5CDD505-2E9C-101B-9397-08002B2CF9AE}" pid="10" name="ContentTypeId">
    <vt:lpwstr>0x0101001A56198B76F4F64085C7A299E3D96786</vt:lpwstr>
  </property>
  <property fmtid="{D5CDD505-2E9C-101B-9397-08002B2CF9AE}" pid="11" name="MediaServiceImageTags">
    <vt:lpwstr/>
  </property>
</Properties>
</file>