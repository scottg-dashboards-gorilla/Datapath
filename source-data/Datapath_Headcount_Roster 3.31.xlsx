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scott/Documents/CLevelAdvising/Datapath/HR/"/>
    </mc:Choice>
  </mc:AlternateContent>
  <xr:revisionPtr revIDLastSave="0" documentId="8_{53FB4817-5BA7-9E40-AAB3-C2F4D6750914}" xr6:coauthVersionLast="47" xr6:coauthVersionMax="47" xr10:uidLastSave="{00000000-0000-0000-0000-000000000000}"/>
  <bookViews>
    <workbookView xWindow="3660" yWindow="660" windowWidth="34560" windowHeight="21680" activeTab="1" xr2:uid="{00000000-000D-0000-FFFF-FFFF00000000}"/>
  </bookViews>
  <sheets>
    <sheet name="Summary " sheetId="4" r:id="rId1"/>
    <sheet name="Full Roster" sheetId="1" r:id="rId2"/>
    <sheet name="Department Summary" sheetId="2" state="hidden" r:id="rId3"/>
    <sheet name="Functional Role Summary" sheetId="3" state="hidden" r:id="rId4"/>
  </sheets>
  <definedNames>
    <definedName name="_xlnm._FilterDatabase" localSheetId="1" hidden="1">'Full Roster'!$A$1:$K$69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9" i="1" l="1"/>
  <c r="B32" i="4"/>
  <c r="B31" i="4"/>
  <c r="B30" i="4"/>
  <c r="B29" i="4"/>
  <c r="B28" i="4"/>
  <c r="B27" i="4"/>
  <c r="B26" i="4"/>
  <c r="B25" i="4"/>
  <c r="B24" i="4"/>
  <c r="B23" i="4"/>
  <c r="B22" i="4"/>
  <c r="B21" i="4"/>
  <c r="B18" i="4"/>
  <c r="B2" i="4"/>
  <c r="B6" i="4"/>
  <c r="B5" i="4"/>
  <c r="B4" i="4"/>
  <c r="B3" i="4"/>
  <c r="B7" i="4" l="1"/>
</calcChain>
</file>

<file path=xl/sharedStrings.xml><?xml version="1.0" encoding="utf-8"?>
<sst xmlns="http://schemas.openxmlformats.org/spreadsheetml/2006/main" count="523" uniqueCount="203">
  <si>
    <t>#</t>
  </si>
  <si>
    <t>Name</t>
  </si>
  <si>
    <t>Title</t>
  </si>
  <si>
    <t>Department</t>
  </si>
  <si>
    <t>Functional Role</t>
  </si>
  <si>
    <t>Executive Leadership</t>
  </si>
  <si>
    <t>James Bates</t>
  </si>
  <si>
    <t>Co-CEO</t>
  </si>
  <si>
    <t>Executive</t>
  </si>
  <si>
    <t>—</t>
  </si>
  <si>
    <t>David Darmstandler</t>
  </si>
  <si>
    <t>Scott Gordon</t>
  </si>
  <si>
    <t>COO</t>
  </si>
  <si>
    <t>Co-CEOs</t>
  </si>
  <si>
    <t>Human Resources</t>
  </si>
  <si>
    <t>Nahili Bekele</t>
  </si>
  <si>
    <t>HR Leadership</t>
  </si>
  <si>
    <t>Cloud Services</t>
  </si>
  <si>
    <t>Peter Annabel</t>
  </si>
  <si>
    <t>Leadership</t>
  </si>
  <si>
    <t>Sales &amp; Procurement</t>
  </si>
  <si>
    <t>Dan Sturdivant</t>
  </si>
  <si>
    <t>David Craig</t>
  </si>
  <si>
    <t>Procurement Manager</t>
  </si>
  <si>
    <t>Procurement</t>
  </si>
  <si>
    <t>Sales</t>
  </si>
  <si>
    <t>Joel Walker</t>
  </si>
  <si>
    <t>Service &amp; Operations</t>
  </si>
  <si>
    <t>Brandon Johnson</t>
  </si>
  <si>
    <t>Kerr Conkle</t>
  </si>
  <si>
    <t>Service Manager</t>
  </si>
  <si>
    <t>Management</t>
  </si>
  <si>
    <t>Michelle Contreras</t>
  </si>
  <si>
    <t>Service Team Lead</t>
  </si>
  <si>
    <t>Team Lead</t>
  </si>
  <si>
    <t>Sam Dean</t>
  </si>
  <si>
    <t>Luis Pena</t>
  </si>
  <si>
    <t>Brandon Hulsey-Cedeno</t>
  </si>
  <si>
    <t>Coordination</t>
  </si>
  <si>
    <t>Kevin Barr</t>
  </si>
  <si>
    <t>Helpdesk Technician</t>
  </si>
  <si>
    <t>Technician</t>
  </si>
  <si>
    <t>Cristina Chavez Soto</t>
  </si>
  <si>
    <t>Service Technician I</t>
  </si>
  <si>
    <t>Oscar Contreras</t>
  </si>
  <si>
    <t>Nathaniel Dupray</t>
  </si>
  <si>
    <t>Arnold Vega</t>
  </si>
  <si>
    <t>Tommy Wijaya</t>
  </si>
  <si>
    <t>Cole Matuszynski</t>
  </si>
  <si>
    <t>Tier 1 Service Technician</t>
  </si>
  <si>
    <t>Christopher Vouis</t>
  </si>
  <si>
    <t>Bench Technician</t>
  </si>
  <si>
    <t>Colton Keim</t>
  </si>
  <si>
    <t>Field Service Technician I</t>
  </si>
  <si>
    <t>Field Technician</t>
  </si>
  <si>
    <t>Service Escalation Engineer</t>
  </si>
  <si>
    <t>Escalation Engineer</t>
  </si>
  <si>
    <t>Gabriel Espinoza</t>
  </si>
  <si>
    <t>Matthew Irick</t>
  </si>
  <si>
    <t>Cory Strassell</t>
  </si>
  <si>
    <t>Service Engineer I</t>
  </si>
  <si>
    <t>Engineer</t>
  </si>
  <si>
    <t>Mark Mercer</t>
  </si>
  <si>
    <t>Escalation Technician II</t>
  </si>
  <si>
    <t>Service Optimization</t>
  </si>
  <si>
    <t>Director of Service Optimization</t>
  </si>
  <si>
    <t>Jacob Berlin</t>
  </si>
  <si>
    <t>Data Engineer</t>
  </si>
  <si>
    <t>Strategic Partnerships</t>
  </si>
  <si>
    <t>Nathan La Fleche</t>
  </si>
  <si>
    <t>Director of Strategic Partnerships</t>
  </si>
  <si>
    <t>Carla Humber Munguia</t>
  </si>
  <si>
    <t>Inside Account Manager</t>
  </si>
  <si>
    <t>Account Management</t>
  </si>
  <si>
    <t>Ricky Maestas</t>
  </si>
  <si>
    <t>MJ Martinez</t>
  </si>
  <si>
    <t>Business Operations Sales Specialist</t>
  </si>
  <si>
    <t>Julissa Valeria Martinez Duran</t>
  </si>
  <si>
    <t>Engineering &amp; Security</t>
  </si>
  <si>
    <t>Stephen Walski</t>
  </si>
  <si>
    <t>Director of Engineering and Security</t>
  </si>
  <si>
    <t>Danny Chadwell</t>
  </si>
  <si>
    <t>Sales Engineering</t>
  </si>
  <si>
    <t>Angelica Jackson</t>
  </si>
  <si>
    <t>Security Analyst</t>
  </si>
  <si>
    <t>Security</t>
  </si>
  <si>
    <t>Network Engineering</t>
  </si>
  <si>
    <t>Marshall Rownd</t>
  </si>
  <si>
    <t>Keith Newson</t>
  </si>
  <si>
    <t>Engineering Team Manager</t>
  </si>
  <si>
    <t>Engineering</t>
  </si>
  <si>
    <t>Devin Peterson</t>
  </si>
  <si>
    <t>James Bruce</t>
  </si>
  <si>
    <t>Christopher Gilmore</t>
  </si>
  <si>
    <t>Matthew Lampe</t>
  </si>
  <si>
    <t>Headcount</t>
  </si>
  <si>
    <t>% of Total</t>
  </si>
  <si>
    <t>TOTAL</t>
  </si>
  <si>
    <t>Employement Type</t>
  </si>
  <si>
    <t>Direct</t>
  </si>
  <si>
    <t xml:space="preserve">Direct </t>
  </si>
  <si>
    <t>Contractor (CRDLE)</t>
  </si>
  <si>
    <t xml:space="preserve">HR Manager </t>
  </si>
  <si>
    <t xml:space="preserve">Melinda Hennington </t>
  </si>
  <si>
    <t xml:space="preserve">Admin Finance </t>
  </si>
  <si>
    <t xml:space="preserve">Administration &amp; Finance </t>
  </si>
  <si>
    <t xml:space="preserve">Jaquelene Dizon </t>
  </si>
  <si>
    <t xml:space="preserve">Payroll Analyst </t>
  </si>
  <si>
    <t xml:space="preserve">Finance </t>
  </si>
  <si>
    <t>Citron Cooper</t>
  </si>
  <si>
    <t xml:space="preserve">Function </t>
  </si>
  <si>
    <t xml:space="preserve">Sub- Function </t>
  </si>
  <si>
    <t xml:space="preserve">Line Manager </t>
  </si>
  <si>
    <t xml:space="preserve">Finace </t>
  </si>
  <si>
    <t xml:space="preserve">Payroll </t>
  </si>
  <si>
    <t xml:space="preserve">Engineering &amp; Security </t>
  </si>
  <si>
    <t>IT Director</t>
  </si>
  <si>
    <t>Sr. Systems Analyst</t>
  </si>
  <si>
    <t xml:space="preserve">Central Services &amp; Internal IT </t>
  </si>
  <si>
    <t>Director of Cloud Operations</t>
  </si>
  <si>
    <t xml:space="preserve">Engineering/ Projects </t>
  </si>
  <si>
    <t xml:space="preserve">Cloud Services </t>
  </si>
  <si>
    <t xml:space="preserve">Network Engineer </t>
  </si>
  <si>
    <t xml:space="preserve">Sales Engineer Lead </t>
  </si>
  <si>
    <t>Cyber Security</t>
  </si>
  <si>
    <t xml:space="preserve">Procurement </t>
  </si>
  <si>
    <t>Engineering Leadership</t>
  </si>
  <si>
    <t xml:space="preserve">Procurement Leadership </t>
  </si>
  <si>
    <t xml:space="preserve">Genelyn Terrones </t>
  </si>
  <si>
    <t xml:space="preserve">Procurement Specialist </t>
  </si>
  <si>
    <t>Contractor (BruntWork)</t>
  </si>
  <si>
    <t xml:space="preserve">Sales &amp; Marketing </t>
  </si>
  <si>
    <t xml:space="preserve">Vice President </t>
  </si>
  <si>
    <t xml:space="preserve">Marketing </t>
  </si>
  <si>
    <t xml:space="preserve">Sales Leadership </t>
  </si>
  <si>
    <t xml:space="preserve">Myca Villanueva </t>
  </si>
  <si>
    <t xml:space="preserve">RevOps Specialist </t>
  </si>
  <si>
    <t>Strategic Partnerships Leadership</t>
  </si>
  <si>
    <t>EDU Account Executive</t>
  </si>
  <si>
    <t>Contractor (Direct)</t>
  </si>
  <si>
    <t xml:space="preserve">Jay Harvey </t>
  </si>
  <si>
    <t>West Coast Sales</t>
  </si>
  <si>
    <t xml:space="preserve">Carrlyne David </t>
  </si>
  <si>
    <t xml:space="preserve">Manager, Inside Account Management </t>
  </si>
  <si>
    <t xml:space="preserve">East Coast Sales </t>
  </si>
  <si>
    <t>EDU Account</t>
  </si>
  <si>
    <t xml:space="preserve">Inside Account </t>
  </si>
  <si>
    <t>Senior Acct. Exec</t>
  </si>
  <si>
    <t xml:space="preserve">Edwin De Guzman </t>
  </si>
  <si>
    <t xml:space="preserve">Sales Coordinator </t>
  </si>
  <si>
    <t xml:space="preserve">Hermella Mulugeta </t>
  </si>
  <si>
    <t>Service Optimization Leadership</t>
  </si>
  <si>
    <t>Timothy Stewart</t>
  </si>
  <si>
    <t xml:space="preserve">Service Delivery </t>
  </si>
  <si>
    <t>Employeement Type</t>
  </si>
  <si>
    <t>Service Delivery Leadership</t>
  </si>
  <si>
    <t>TOTAL HEADCOUNT:</t>
  </si>
  <si>
    <t>Service Delivery Workflow</t>
  </si>
  <si>
    <t>Service Delivery Management</t>
  </si>
  <si>
    <t>Sercice Delivery T.Lead</t>
  </si>
  <si>
    <t>Willam Doyle</t>
  </si>
  <si>
    <t>Jenny Magcalayo</t>
  </si>
  <si>
    <t>Girly De La Pena</t>
  </si>
  <si>
    <t xml:space="preserve">Hoover Dimson </t>
  </si>
  <si>
    <t>Michael Trude</t>
  </si>
  <si>
    <t xml:space="preserve">Kerr Conkle </t>
  </si>
  <si>
    <t xml:space="preserve">Matt Brinovec </t>
  </si>
  <si>
    <t>Nathan Lanning</t>
  </si>
  <si>
    <t>#HC</t>
  </si>
  <si>
    <t>National Director of Service Delivery</t>
  </si>
  <si>
    <t xml:space="preserve">Total HC </t>
  </si>
  <si>
    <t xml:space="preserve">Department </t>
  </si>
  <si>
    <t>Contractor (Microsourcing)</t>
  </si>
  <si>
    <t>Total HC</t>
  </si>
  <si>
    <t xml:space="preserve">Line Manger </t>
  </si>
  <si>
    <t xml:space="preserve">Span of Control </t>
  </si>
  <si>
    <t>R&amp;D</t>
  </si>
  <si>
    <t xml:space="preserve">Sales   </t>
  </si>
  <si>
    <t>sales</t>
  </si>
  <si>
    <t>P&amp;L Classification 1</t>
  </si>
  <si>
    <t>P&amp;L Classification 2</t>
  </si>
  <si>
    <t>Percentage tied to column F</t>
  </si>
  <si>
    <t>Percentage tied to column H</t>
  </si>
  <si>
    <t>Managed IT Service</t>
  </si>
  <si>
    <t>NOC</t>
  </si>
  <si>
    <t>Team Thundr</t>
  </si>
  <si>
    <t>Team Byte Club</t>
  </si>
  <si>
    <t>Team Top Gun</t>
  </si>
  <si>
    <t>var tech?</t>
  </si>
  <si>
    <t>Cloud Datacenter</t>
  </si>
  <si>
    <t>service</t>
  </si>
  <si>
    <t>hw/software resale</t>
  </si>
  <si>
    <t>PS</t>
  </si>
  <si>
    <t xml:space="preserve">security  </t>
  </si>
  <si>
    <t>haskell Macaraig</t>
  </si>
  <si>
    <t>100\%</t>
  </si>
  <si>
    <t>G&amp;A &gt; HR</t>
  </si>
  <si>
    <t>G&amp;A &gt; finance</t>
  </si>
  <si>
    <t>G&amp;A &gt; sr leadership</t>
  </si>
  <si>
    <t>G&amp;A Sr Leadership</t>
  </si>
  <si>
    <t>G&amp;A &gt; Marketing</t>
  </si>
  <si>
    <t>Managed IT AM</t>
  </si>
  <si>
    <t>Admin &gt; Central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</si>
</sst>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rgb="FF1B3A5C"/>
      <name val="Arial"/>
      <family val="2"/>
    </font>
    <font>
      <sz val="10"/>
      <color rgb="FF333333"/>
      <name val="Arial"/>
      <family val="2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E8EFF5"/>
      </patternFill>
    </fill>
    <fill>
      <patternFill patternType="solid">
        <fgColor rgb="FFFFFFFF"/>
      </patternFill>
    </fill>
    <fill>
      <patternFill patternType="solid">
        <fgColor rgb="FFF7F7F7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4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0" fillId="0" borderId="2" xfId="0" applyBorder="1"/>
    <xf numFmtId="0" fontId="1" fillId="2" borderId="3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left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left" vertical="center" wrapText="1"/>
    </xf>
    <xf numFmtId="0" fontId="3" fillId="4" borderId="9" xfId="0" applyFont="1" applyFill="1" applyBorder="1" applyAlignment="1">
      <alignment horizontal="left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3" fillId="4" borderId="11" xfId="0" applyFont="1" applyFill="1" applyBorder="1" applyAlignment="1">
      <alignment horizontal="left" vertical="center" wrapText="1"/>
    </xf>
    <xf numFmtId="0" fontId="2" fillId="3" borderId="12" xfId="0" applyFont="1" applyFill="1" applyBorder="1" applyAlignment="1">
      <alignment vertical="center" wrapText="1"/>
    </xf>
    <xf numFmtId="0" fontId="2" fillId="3" borderId="13" xfId="0" applyFont="1" applyFill="1" applyBorder="1" applyAlignment="1">
      <alignment vertical="center" wrapText="1"/>
    </xf>
    <xf numFmtId="0" fontId="2" fillId="3" borderId="14" xfId="0" applyFont="1" applyFill="1" applyBorder="1" applyAlignment="1">
      <alignment vertical="center" wrapText="1"/>
    </xf>
    <xf numFmtId="0" fontId="2" fillId="3" borderId="12" xfId="0" applyFont="1" applyFill="1" applyBorder="1" applyAlignment="1">
      <alignment vertical="center"/>
    </xf>
    <xf numFmtId="0" fontId="2" fillId="3" borderId="13" xfId="0" applyFont="1" applyFill="1" applyBorder="1" applyAlignment="1">
      <alignment vertical="center"/>
    </xf>
    <xf numFmtId="0" fontId="2" fillId="3" borderId="14" xfId="0" applyFont="1" applyFill="1" applyBorder="1" applyAlignment="1">
      <alignment vertical="center"/>
    </xf>
    <xf numFmtId="0" fontId="1" fillId="2" borderId="15" xfId="0" applyFont="1" applyFill="1" applyBorder="1"/>
    <xf numFmtId="0" fontId="1" fillId="2" borderId="16" xfId="0" applyFont="1" applyFill="1" applyBorder="1" applyAlignment="1">
      <alignment vertical="center" wrapText="1"/>
    </xf>
    <xf numFmtId="0" fontId="1" fillId="2" borderId="17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  <xf numFmtId="9" fontId="3" fillId="4" borderId="2" xfId="0" applyNumberFormat="1" applyFont="1" applyFill="1" applyBorder="1" applyAlignment="1">
      <alignment horizontal="left" vertical="center" wrapText="1"/>
    </xf>
    <xf numFmtId="0" fontId="3" fillId="4" borderId="18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9" fontId="3" fillId="4" borderId="3" xfId="0" applyNumberFormat="1" applyFont="1" applyFill="1" applyBorder="1" applyAlignment="1">
      <alignment horizontal="left" vertical="center" wrapText="1"/>
    </xf>
    <xf numFmtId="9" fontId="3" fillId="4" borderId="4" xfId="0" applyNumberFormat="1" applyFont="1" applyFill="1" applyBorder="1" applyAlignment="1">
      <alignment horizontal="left" vertical="center" wrapText="1"/>
    </xf>
    <xf numFmtId="9" fontId="3" fillId="4" borderId="8" xfId="0" applyNumberFormat="1" applyFont="1" applyFill="1" applyBorder="1" applyAlignment="1">
      <alignment horizontal="left" vertical="center" wrapText="1"/>
    </xf>
    <xf numFmtId="9" fontId="0" fillId="0" borderId="0" xfId="1" applyFont="1"/>
    <xf numFmtId="9" fontId="0" fillId="0" borderId="0" xfId="1" applyFont="1" applyAlignment="1">
      <alignment horizontal="left"/>
    </xf>
    <xf numFmtId="0" fontId="3" fillId="4" borderId="19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left" vertical="center" wrapText="1"/>
    </xf>
    <xf numFmtId="9" fontId="3" fillId="4" borderId="20" xfId="0" applyNumberFormat="1" applyFont="1" applyFill="1" applyBorder="1" applyAlignment="1">
      <alignment horizontal="left" vertical="center" wrapText="1"/>
    </xf>
    <xf numFmtId="0" fontId="3" fillId="4" borderId="21" xfId="0" applyFont="1" applyFill="1" applyBorder="1" applyAlignment="1">
      <alignment horizontal="left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EAC67-5082-4EF9-A58F-602231D66A18}">
  <sheetPr>
    <tabColor rgb="FF002060"/>
  </sheetPr>
  <dimension ref="A1:B32"/>
  <sheetViews>
    <sheetView workbookViewId="0">
      <selection activeCell="D5" sqref="D5"/>
    </sheetView>
  </sheetViews>
  <sheetFormatPr baseColWidth="10" defaultColWidth="8.83203125" defaultRowHeight="15" x14ac:dyDescent="0.2"/>
  <cols>
    <col min="1" max="1" width="26.33203125" customWidth="1"/>
    <col min="2" max="2" width="20.1640625" customWidth="1"/>
  </cols>
  <sheetData>
    <row r="1" spans="1:2" x14ac:dyDescent="0.2">
      <c r="A1" s="11" t="s">
        <v>154</v>
      </c>
      <c r="B1" s="11" t="s">
        <v>168</v>
      </c>
    </row>
    <row r="2" spans="1:2" x14ac:dyDescent="0.2">
      <c r="A2" s="12" t="s">
        <v>100</v>
      </c>
      <c r="B2" s="12">
        <f>COUNTIF('Full Roster'!K1:K69,"Direct")</f>
        <v>46</v>
      </c>
    </row>
    <row r="3" spans="1:2" x14ac:dyDescent="0.2">
      <c r="A3" s="12" t="s">
        <v>101</v>
      </c>
      <c r="B3" s="12">
        <f>COUNTIF('Full Roster'!K2:K69,"Contractor (CRDLE)")</f>
        <v>2</v>
      </c>
    </row>
    <row r="4" spans="1:2" x14ac:dyDescent="0.2">
      <c r="A4" s="12" t="s">
        <v>172</v>
      </c>
      <c r="B4" s="12">
        <f>COUNTIF('Full Roster'!K2:K69,"Contractor (Microsourcing)")</f>
        <v>3</v>
      </c>
    </row>
    <row r="5" spans="1:2" x14ac:dyDescent="0.2">
      <c r="A5" s="12" t="s">
        <v>130</v>
      </c>
      <c r="B5" s="12">
        <f>COUNTIF('Full Roster'!K2:K69,"Contractor (BruntWork)")</f>
        <v>5</v>
      </c>
    </row>
    <row r="6" spans="1:2" x14ac:dyDescent="0.2">
      <c r="A6" s="12" t="s">
        <v>139</v>
      </c>
      <c r="B6" s="12">
        <f>COUNTIF('Full Roster'!K2:K69,"Contractor (Direct)")</f>
        <v>3</v>
      </c>
    </row>
    <row r="7" spans="1:2" x14ac:dyDescent="0.2">
      <c r="A7" s="11" t="s">
        <v>170</v>
      </c>
      <c r="B7" s="11">
        <f>SUM(B2:B6)</f>
        <v>59</v>
      </c>
    </row>
    <row r="9" spans="1:2" x14ac:dyDescent="0.2">
      <c r="A9" s="11" t="s">
        <v>171</v>
      </c>
      <c r="B9" s="11" t="s">
        <v>168</v>
      </c>
    </row>
    <row r="10" spans="1:2" x14ac:dyDescent="0.2">
      <c r="A10" s="13" t="s">
        <v>5</v>
      </c>
      <c r="B10" s="13">
        <v>3</v>
      </c>
    </row>
    <row r="11" spans="1:2" x14ac:dyDescent="0.2">
      <c r="A11" s="13" t="s">
        <v>105</v>
      </c>
      <c r="B11" s="13">
        <v>2</v>
      </c>
    </row>
    <row r="12" spans="1:2" x14ac:dyDescent="0.2">
      <c r="A12" s="13" t="s">
        <v>14</v>
      </c>
      <c r="B12" s="13">
        <v>1</v>
      </c>
    </row>
    <row r="13" spans="1:2" x14ac:dyDescent="0.2">
      <c r="A13" s="13" t="s">
        <v>115</v>
      </c>
      <c r="B13" s="13">
        <v>11</v>
      </c>
    </row>
    <row r="14" spans="1:2" x14ac:dyDescent="0.2">
      <c r="A14" s="13" t="s">
        <v>24</v>
      </c>
      <c r="B14" s="13">
        <v>3</v>
      </c>
    </row>
    <row r="15" spans="1:2" x14ac:dyDescent="0.2">
      <c r="A15" s="13" t="s">
        <v>131</v>
      </c>
      <c r="B15" s="13">
        <v>11</v>
      </c>
    </row>
    <row r="16" spans="1:2" x14ac:dyDescent="0.2">
      <c r="A16" s="13" t="s">
        <v>64</v>
      </c>
      <c r="B16" s="13">
        <v>2</v>
      </c>
    </row>
    <row r="17" spans="1:2" x14ac:dyDescent="0.2">
      <c r="A17" s="13" t="s">
        <v>153</v>
      </c>
      <c r="B17" s="13">
        <v>25</v>
      </c>
    </row>
    <row r="18" spans="1:2" x14ac:dyDescent="0.2">
      <c r="A18" s="11" t="s">
        <v>173</v>
      </c>
      <c r="B18" s="11">
        <f>SUM(B10:B17)</f>
        <v>58</v>
      </c>
    </row>
    <row r="20" spans="1:2" x14ac:dyDescent="0.2">
      <c r="A20" s="11" t="s">
        <v>174</v>
      </c>
      <c r="B20" s="11" t="s">
        <v>175</v>
      </c>
    </row>
    <row r="21" spans="1:2" x14ac:dyDescent="0.2">
      <c r="A21" s="12" t="s">
        <v>28</v>
      </c>
      <c r="B21" s="13">
        <f>COUNTIF('Full Roster'!$J$2:$J$68,"Brandon Johnson")</f>
        <v>16</v>
      </c>
    </row>
    <row r="22" spans="1:2" x14ac:dyDescent="0.2">
      <c r="A22" s="12" t="s">
        <v>13</v>
      </c>
      <c r="B22" s="13">
        <f>COUNTIF('Full Roster'!$J$2:$J$68,"Co-CEOs")</f>
        <v>1</v>
      </c>
    </row>
    <row r="23" spans="1:2" x14ac:dyDescent="0.2">
      <c r="A23" s="12" t="s">
        <v>21</v>
      </c>
      <c r="B23" s="13">
        <f>COUNTIF('Full Roster'!$J$2:$J$68,"Dan Sturdivant")</f>
        <v>5</v>
      </c>
    </row>
    <row r="24" spans="1:2" x14ac:dyDescent="0.2">
      <c r="A24" s="12" t="s">
        <v>22</v>
      </c>
      <c r="B24" s="13">
        <f>COUNTIF('Full Roster'!$J$2:$J$68,"David Craig")</f>
        <v>2</v>
      </c>
    </row>
    <row r="25" spans="1:2" x14ac:dyDescent="0.2">
      <c r="A25" s="12" t="s">
        <v>6</v>
      </c>
      <c r="B25" s="13">
        <f>COUNTIF('Full Roster'!$J$2:$J$68,"James Bates")</f>
        <v>0</v>
      </c>
    </row>
    <row r="26" spans="1:2" x14ac:dyDescent="0.2">
      <c r="A26" s="12" t="s">
        <v>26</v>
      </c>
      <c r="B26" s="13">
        <f>COUNTIF('Full Roster'!$J$2:$J$68,"Joel Walker")</f>
        <v>2</v>
      </c>
    </row>
    <row r="27" spans="1:2" x14ac:dyDescent="0.2">
      <c r="A27" s="12" t="s">
        <v>88</v>
      </c>
      <c r="B27" s="13">
        <f>COUNTIF('Full Roster'!$J$2:$J$68,"Keith Newson")</f>
        <v>0</v>
      </c>
    </row>
    <row r="28" spans="1:2" x14ac:dyDescent="0.2">
      <c r="A28" s="12" t="s">
        <v>165</v>
      </c>
      <c r="B28" s="13">
        <f>COUNTIF('Full Roster'!$J$2:$J$68,"Kerr Conkle ")</f>
        <v>7</v>
      </c>
    </row>
    <row r="29" spans="1:2" x14ac:dyDescent="0.2">
      <c r="A29" s="12" t="s">
        <v>69</v>
      </c>
      <c r="B29" s="13">
        <f>COUNTIF('Full Roster'!$J$2:$J$68,"Nathan La Fleche")</f>
        <v>3</v>
      </c>
    </row>
    <row r="30" spans="1:2" x14ac:dyDescent="0.2">
      <c r="A30" s="12" t="s">
        <v>11</v>
      </c>
      <c r="B30" s="13">
        <f>COUNTIF('Full Roster'!$J$2:$J$68,"Scott Gordon")</f>
        <v>5</v>
      </c>
    </row>
    <row r="31" spans="1:2" x14ac:dyDescent="0.2">
      <c r="A31" s="12" t="s">
        <v>79</v>
      </c>
      <c r="B31" s="13">
        <f>COUNTIF('Full Roster'!$J$2:$J$68,"Stephen Walski")</f>
        <v>0</v>
      </c>
    </row>
    <row r="32" spans="1:2" x14ac:dyDescent="0.2">
      <c r="A32" s="12" t="s">
        <v>152</v>
      </c>
      <c r="B32" s="13">
        <f>COUNTIF('Full Roster'!$J$2:$J$68,"Timothy Stewart")</f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A5C"/>
  </sheetPr>
  <dimension ref="A1:K69"/>
  <sheetViews>
    <sheetView tabSelected="1" topLeftCell="B1" zoomScale="157" workbookViewId="0">
      <pane ySplit="1" topLeftCell="A2" activePane="bottomLeft" state="frozen"/>
      <selection pane="bottomLeft" activeCell="F15" sqref="F15"/>
    </sheetView>
  </sheetViews>
  <sheetFormatPr baseColWidth="10" defaultColWidth="8.83203125" defaultRowHeight="15" x14ac:dyDescent="0.2"/>
  <cols>
    <col min="1" max="1" width="5" customWidth="1"/>
    <col min="2" max="2" width="45.6640625" customWidth="1"/>
    <col min="3" max="3" width="38" customWidth="1"/>
    <col min="4" max="4" width="24" customWidth="1"/>
    <col min="5" max="7" width="28.83203125" customWidth="1"/>
    <col min="8" max="9" width="36.83203125" customWidth="1"/>
    <col min="10" max="10" width="22" customWidth="1"/>
    <col min="11" max="11" width="32.83203125" customWidth="1"/>
  </cols>
  <sheetData>
    <row r="1" spans="1:11" ht="16" thickBot="1" x14ac:dyDescent="0.25">
      <c r="A1" s="14" t="s">
        <v>0</v>
      </c>
      <c r="B1" s="14" t="s">
        <v>1</v>
      </c>
      <c r="C1" s="14" t="s">
        <v>2</v>
      </c>
      <c r="D1" s="14" t="s">
        <v>110</v>
      </c>
      <c r="E1" s="14" t="s">
        <v>111</v>
      </c>
      <c r="F1" s="14" t="s">
        <v>179</v>
      </c>
      <c r="G1" s="14" t="s">
        <v>181</v>
      </c>
      <c r="H1" s="14" t="s">
        <v>180</v>
      </c>
      <c r="I1" s="14" t="s">
        <v>182</v>
      </c>
      <c r="J1" s="14" t="s">
        <v>112</v>
      </c>
      <c r="K1" s="14" t="s">
        <v>98</v>
      </c>
    </row>
    <row r="2" spans="1:11" ht="14.5" customHeight="1" x14ac:dyDescent="0.2">
      <c r="A2" s="23"/>
      <c r="B2" s="24"/>
      <c r="C2" s="24"/>
      <c r="D2" s="24" t="s">
        <v>5</v>
      </c>
      <c r="E2" s="24"/>
      <c r="F2" s="24"/>
      <c r="G2" s="24"/>
      <c r="H2" s="24"/>
      <c r="I2" s="24"/>
      <c r="J2" s="24"/>
      <c r="K2" s="25"/>
    </row>
    <row r="3" spans="1:11" x14ac:dyDescent="0.2">
      <c r="A3" s="20">
        <v>1</v>
      </c>
      <c r="B3" s="21" t="s">
        <v>6</v>
      </c>
      <c r="C3" s="21" t="s">
        <v>7</v>
      </c>
      <c r="D3" s="21" t="s">
        <v>5</v>
      </c>
      <c r="E3" s="21" t="s">
        <v>8</v>
      </c>
      <c r="F3" s="21" t="s">
        <v>176</v>
      </c>
      <c r="G3" s="38">
        <v>1</v>
      </c>
      <c r="H3" s="21"/>
      <c r="I3" s="21"/>
      <c r="J3" s="21" t="s">
        <v>9</v>
      </c>
      <c r="K3" s="22" t="s">
        <v>99</v>
      </c>
    </row>
    <row r="4" spans="1:11" x14ac:dyDescent="0.2">
      <c r="A4" s="15">
        <v>2</v>
      </c>
      <c r="B4" s="12" t="s">
        <v>10</v>
      </c>
      <c r="C4" s="12" t="s">
        <v>7</v>
      </c>
      <c r="D4" s="12" t="s">
        <v>5</v>
      </c>
      <c r="E4" s="12" t="s">
        <v>8</v>
      </c>
      <c r="F4" s="12" t="s">
        <v>199</v>
      </c>
      <c r="G4" s="34">
        <v>1</v>
      </c>
      <c r="H4" s="12"/>
      <c r="I4" s="12"/>
      <c r="J4" s="12" t="s">
        <v>9</v>
      </c>
      <c r="K4" s="16" t="s">
        <v>99</v>
      </c>
    </row>
    <row r="5" spans="1:11" ht="16" thickBot="1" x14ac:dyDescent="0.25">
      <c r="A5" s="17">
        <v>3</v>
      </c>
      <c r="B5" s="18" t="s">
        <v>11</v>
      </c>
      <c r="C5" s="18" t="s">
        <v>12</v>
      </c>
      <c r="D5" s="18" t="s">
        <v>5</v>
      </c>
      <c r="E5" s="18" t="s">
        <v>8</v>
      </c>
      <c r="F5" s="18" t="s">
        <v>198</v>
      </c>
      <c r="G5" s="39">
        <v>1</v>
      </c>
      <c r="H5" s="18"/>
      <c r="I5" s="18"/>
      <c r="J5" s="18" t="s">
        <v>13</v>
      </c>
      <c r="K5" s="19" t="s">
        <v>99</v>
      </c>
    </row>
    <row r="6" spans="1:11" ht="14.5" customHeight="1" x14ac:dyDescent="0.2">
      <c r="A6" s="26"/>
      <c r="B6" s="27"/>
      <c r="C6" s="27"/>
      <c r="D6" s="27" t="s">
        <v>105</v>
      </c>
      <c r="E6" s="27"/>
      <c r="F6" s="27"/>
      <c r="G6" s="27"/>
      <c r="H6" s="27"/>
      <c r="I6" s="27"/>
      <c r="J6" s="27"/>
      <c r="K6" s="28"/>
    </row>
    <row r="7" spans="1:11" ht="13.75" customHeight="1" x14ac:dyDescent="0.2">
      <c r="A7" s="15">
        <v>4</v>
      </c>
      <c r="B7" s="12" t="s">
        <v>103</v>
      </c>
      <c r="C7" s="12" t="s">
        <v>104</v>
      </c>
      <c r="D7" s="12" t="s">
        <v>108</v>
      </c>
      <c r="E7" s="12" t="s">
        <v>113</v>
      </c>
      <c r="F7" s="12" t="s">
        <v>197</v>
      </c>
      <c r="G7" s="34">
        <v>1</v>
      </c>
      <c r="H7" s="12"/>
      <c r="I7" s="12"/>
      <c r="J7" s="12" t="s">
        <v>109</v>
      </c>
      <c r="K7" s="16" t="s">
        <v>99</v>
      </c>
    </row>
    <row r="8" spans="1:11" ht="16" thickBot="1" x14ac:dyDescent="0.25">
      <c r="A8" s="17">
        <v>5</v>
      </c>
      <c r="B8" s="18" t="s">
        <v>106</v>
      </c>
      <c r="C8" s="18" t="s">
        <v>107</v>
      </c>
      <c r="D8" s="18" t="s">
        <v>108</v>
      </c>
      <c r="E8" s="18" t="s">
        <v>114</v>
      </c>
      <c r="F8" s="18" t="s">
        <v>197</v>
      </c>
      <c r="G8" s="34">
        <v>1</v>
      </c>
      <c r="H8" s="18"/>
      <c r="I8" s="18"/>
      <c r="J8" s="18" t="s">
        <v>9</v>
      </c>
      <c r="K8" s="19" t="s">
        <v>172</v>
      </c>
    </row>
    <row r="9" spans="1:11" ht="14.5" customHeight="1" x14ac:dyDescent="0.2">
      <c r="A9" s="26"/>
      <c r="B9" s="27"/>
      <c r="C9" s="27"/>
      <c r="D9" s="27" t="s">
        <v>14</v>
      </c>
      <c r="E9" s="27"/>
      <c r="F9" s="27"/>
      <c r="G9" s="27"/>
      <c r="H9" s="27"/>
      <c r="I9" s="27"/>
      <c r="J9" s="27"/>
      <c r="K9" s="28"/>
    </row>
    <row r="10" spans="1:11" ht="16" thickBot="1" x14ac:dyDescent="0.25">
      <c r="A10" s="17">
        <v>6</v>
      </c>
      <c r="B10" s="18" t="s">
        <v>15</v>
      </c>
      <c r="C10" s="18" t="s">
        <v>102</v>
      </c>
      <c r="D10" s="18" t="s">
        <v>14</v>
      </c>
      <c r="E10" s="18" t="s">
        <v>16</v>
      </c>
      <c r="F10" s="18" t="s">
        <v>196</v>
      </c>
      <c r="G10" s="34">
        <v>1</v>
      </c>
      <c r="H10" s="18"/>
      <c r="I10" s="18"/>
      <c r="J10" s="18" t="s">
        <v>11</v>
      </c>
      <c r="K10" s="19" t="s">
        <v>101</v>
      </c>
    </row>
    <row r="11" spans="1:11" ht="14.5" customHeight="1" x14ac:dyDescent="0.2">
      <c r="A11" s="26"/>
      <c r="B11" s="27"/>
      <c r="C11" s="27"/>
      <c r="D11" s="27" t="s">
        <v>115</v>
      </c>
      <c r="E11" s="27"/>
      <c r="F11" s="27"/>
      <c r="G11" s="27"/>
      <c r="H11" s="27"/>
      <c r="I11" s="27"/>
      <c r="J11" s="27"/>
      <c r="K11" s="28"/>
    </row>
    <row r="12" spans="1:11" ht="14.5" customHeight="1" x14ac:dyDescent="0.2">
      <c r="A12">
        <v>7</v>
      </c>
      <c r="B12" t="s">
        <v>79</v>
      </c>
      <c r="C12" t="s">
        <v>80</v>
      </c>
      <c r="D12" t="s">
        <v>78</v>
      </c>
      <c r="E12" t="s">
        <v>126</v>
      </c>
      <c r="F12" t="s">
        <v>193</v>
      </c>
      <c r="G12" s="41">
        <v>0.5</v>
      </c>
      <c r="H12" t="s">
        <v>19</v>
      </c>
      <c r="I12" s="40">
        <v>0.5</v>
      </c>
      <c r="K12" s="16" t="s">
        <v>99</v>
      </c>
    </row>
    <row r="13" spans="1:11" x14ac:dyDescent="0.2">
      <c r="A13">
        <v>8</v>
      </c>
      <c r="B13" t="s">
        <v>87</v>
      </c>
      <c r="C13" t="s">
        <v>116</v>
      </c>
      <c r="D13" t="s">
        <v>78</v>
      </c>
      <c r="E13" t="s">
        <v>118</v>
      </c>
      <c r="F13" t="s">
        <v>202</v>
      </c>
      <c r="G13" s="41">
        <v>1</v>
      </c>
      <c r="I13" s="40"/>
      <c r="K13" s="16" t="s">
        <v>99</v>
      </c>
    </row>
    <row r="14" spans="1:11" x14ac:dyDescent="0.2">
      <c r="A14">
        <v>9</v>
      </c>
      <c r="B14" t="s">
        <v>91</v>
      </c>
      <c r="C14" t="s">
        <v>117</v>
      </c>
      <c r="D14" t="s">
        <v>78</v>
      </c>
      <c r="E14" t="s">
        <v>118</v>
      </c>
      <c r="F14" t="s">
        <v>202</v>
      </c>
      <c r="G14" s="41">
        <v>1</v>
      </c>
      <c r="I14" s="40"/>
      <c r="K14" s="16" t="s">
        <v>99</v>
      </c>
    </row>
    <row r="15" spans="1:11" x14ac:dyDescent="0.2">
      <c r="A15">
        <v>11</v>
      </c>
      <c r="B15" t="s">
        <v>18</v>
      </c>
      <c r="C15" t="s">
        <v>119</v>
      </c>
      <c r="D15" t="s">
        <v>78</v>
      </c>
      <c r="E15" t="s">
        <v>121</v>
      </c>
      <c r="F15" t="s">
        <v>176</v>
      </c>
      <c r="G15" s="41">
        <v>0.75</v>
      </c>
      <c r="H15" t="s">
        <v>189</v>
      </c>
      <c r="I15" s="40">
        <v>0.25</v>
      </c>
      <c r="K15" s="16" t="s">
        <v>99</v>
      </c>
    </row>
    <row r="16" spans="1:11" x14ac:dyDescent="0.2">
      <c r="A16">
        <v>12</v>
      </c>
      <c r="B16" t="s">
        <v>88</v>
      </c>
      <c r="C16" t="s">
        <v>89</v>
      </c>
      <c r="D16" t="s">
        <v>78</v>
      </c>
      <c r="E16" t="s">
        <v>120</v>
      </c>
      <c r="F16" t="s">
        <v>192</v>
      </c>
      <c r="G16" s="41">
        <v>0.75</v>
      </c>
      <c r="H16" t="s">
        <v>190</v>
      </c>
      <c r="I16" s="40">
        <v>0.25</v>
      </c>
      <c r="K16" s="16" t="s">
        <v>99</v>
      </c>
    </row>
    <row r="17" spans="1:11" x14ac:dyDescent="0.2">
      <c r="A17">
        <v>13</v>
      </c>
      <c r="B17" t="s">
        <v>92</v>
      </c>
      <c r="C17" t="s">
        <v>117</v>
      </c>
      <c r="D17" t="s">
        <v>78</v>
      </c>
      <c r="E17" t="s">
        <v>120</v>
      </c>
      <c r="F17" t="s">
        <v>192</v>
      </c>
      <c r="G17" s="41">
        <v>0.75</v>
      </c>
      <c r="H17" t="s">
        <v>190</v>
      </c>
      <c r="I17" s="40">
        <v>0.25</v>
      </c>
      <c r="K17" s="16" t="s">
        <v>99</v>
      </c>
    </row>
    <row r="18" spans="1:11" x14ac:dyDescent="0.2">
      <c r="A18">
        <v>10</v>
      </c>
      <c r="B18" t="s">
        <v>59</v>
      </c>
      <c r="C18" t="s">
        <v>55</v>
      </c>
      <c r="D18" t="s">
        <v>78</v>
      </c>
      <c r="E18" t="s">
        <v>118</v>
      </c>
      <c r="F18" t="s">
        <v>193</v>
      </c>
      <c r="G18" s="41">
        <v>1</v>
      </c>
      <c r="I18" s="40"/>
      <c r="K18" s="16" t="s">
        <v>99</v>
      </c>
    </row>
    <row r="19" spans="1:11" x14ac:dyDescent="0.2">
      <c r="A19">
        <v>51</v>
      </c>
      <c r="B19" t="s">
        <v>166</v>
      </c>
      <c r="C19" t="s">
        <v>122</v>
      </c>
      <c r="D19" t="s">
        <v>115</v>
      </c>
      <c r="E19" t="s">
        <v>120</v>
      </c>
      <c r="F19" t="s">
        <v>192</v>
      </c>
      <c r="G19" s="41">
        <v>0.75</v>
      </c>
      <c r="H19" t="s">
        <v>190</v>
      </c>
      <c r="I19" s="40">
        <v>0.25</v>
      </c>
      <c r="K19" s="16" t="s">
        <v>99</v>
      </c>
    </row>
    <row r="20" spans="1:11" x14ac:dyDescent="0.2">
      <c r="A20">
        <v>14</v>
      </c>
      <c r="B20" t="s">
        <v>93</v>
      </c>
      <c r="C20" t="s">
        <v>117</v>
      </c>
      <c r="D20" t="s">
        <v>78</v>
      </c>
      <c r="E20" t="s">
        <v>120</v>
      </c>
      <c r="F20" t="s">
        <v>192</v>
      </c>
      <c r="G20" s="41">
        <v>0.75</v>
      </c>
      <c r="H20" t="s">
        <v>190</v>
      </c>
      <c r="I20" s="40">
        <v>0.25</v>
      </c>
      <c r="K20" s="16" t="s">
        <v>99</v>
      </c>
    </row>
    <row r="21" spans="1:11" x14ac:dyDescent="0.2">
      <c r="A21">
        <v>15</v>
      </c>
      <c r="B21" t="s">
        <v>94</v>
      </c>
      <c r="C21" t="s">
        <v>122</v>
      </c>
      <c r="D21" t="s">
        <v>78</v>
      </c>
      <c r="E21" t="s">
        <v>120</v>
      </c>
      <c r="F21" t="s">
        <v>192</v>
      </c>
      <c r="G21" s="41">
        <v>0.75</v>
      </c>
      <c r="H21" t="s">
        <v>190</v>
      </c>
      <c r="I21" s="40">
        <v>0.25</v>
      </c>
      <c r="K21" s="16" t="s">
        <v>99</v>
      </c>
    </row>
    <row r="22" spans="1:11" x14ac:dyDescent="0.2">
      <c r="A22">
        <v>16</v>
      </c>
      <c r="B22" t="s">
        <v>81</v>
      </c>
      <c r="C22" t="s">
        <v>123</v>
      </c>
      <c r="D22" t="s">
        <v>78</v>
      </c>
      <c r="E22" t="s">
        <v>82</v>
      </c>
      <c r="F22" t="s">
        <v>25</v>
      </c>
      <c r="G22" s="41">
        <v>1</v>
      </c>
      <c r="I22" s="40"/>
      <c r="K22" s="16" t="s">
        <v>99</v>
      </c>
    </row>
    <row r="23" spans="1:11" ht="15.5" customHeight="1" thickBot="1" x14ac:dyDescent="0.25">
      <c r="A23">
        <v>17</v>
      </c>
      <c r="B23" t="s">
        <v>83</v>
      </c>
      <c r="C23" t="s">
        <v>84</v>
      </c>
      <c r="D23" t="s">
        <v>78</v>
      </c>
      <c r="E23" t="s">
        <v>124</v>
      </c>
      <c r="F23" t="s">
        <v>193</v>
      </c>
      <c r="G23" s="41">
        <v>1</v>
      </c>
      <c r="I23" s="40"/>
      <c r="K23" s="19" t="s">
        <v>99</v>
      </c>
    </row>
    <row r="24" spans="1:11" ht="14.5" customHeight="1" x14ac:dyDescent="0.2">
      <c r="A24" s="26"/>
      <c r="B24" s="27"/>
      <c r="C24" s="27"/>
      <c r="D24" s="27" t="s">
        <v>24</v>
      </c>
      <c r="E24" s="27"/>
      <c r="F24" s="27"/>
      <c r="G24" s="27"/>
      <c r="H24" s="27"/>
      <c r="I24" s="27"/>
      <c r="J24" s="27"/>
      <c r="K24" s="28"/>
    </row>
    <row r="25" spans="1:11" x14ac:dyDescent="0.2">
      <c r="A25" s="15">
        <v>18</v>
      </c>
      <c r="B25" s="12" t="s">
        <v>22</v>
      </c>
      <c r="C25" s="12" t="s">
        <v>23</v>
      </c>
      <c r="D25" s="12" t="s">
        <v>125</v>
      </c>
      <c r="E25" s="12" t="s">
        <v>127</v>
      </c>
      <c r="F25" s="12" t="s">
        <v>191</v>
      </c>
      <c r="G25" s="34">
        <v>1</v>
      </c>
      <c r="H25" s="12"/>
      <c r="I25" s="12"/>
      <c r="J25" s="12" t="s">
        <v>11</v>
      </c>
      <c r="K25" s="16" t="s">
        <v>99</v>
      </c>
    </row>
    <row r="26" spans="1:11" x14ac:dyDescent="0.2">
      <c r="A26" s="15">
        <v>19</v>
      </c>
      <c r="B26" s="12" t="s">
        <v>128</v>
      </c>
      <c r="C26" s="12" t="s">
        <v>129</v>
      </c>
      <c r="D26" s="12" t="s">
        <v>125</v>
      </c>
      <c r="E26" s="12" t="s">
        <v>125</v>
      </c>
      <c r="F26" s="12" t="s">
        <v>191</v>
      </c>
      <c r="G26" s="34">
        <v>1</v>
      </c>
      <c r="H26" s="12"/>
      <c r="I26" s="12"/>
      <c r="J26" s="12" t="s">
        <v>22</v>
      </c>
      <c r="K26" s="16" t="s">
        <v>130</v>
      </c>
    </row>
    <row r="27" spans="1:11" ht="16" thickBot="1" x14ac:dyDescent="0.25">
      <c r="A27" s="17">
        <v>20</v>
      </c>
      <c r="B27" s="18" t="s">
        <v>142</v>
      </c>
      <c r="C27" s="18" t="s">
        <v>129</v>
      </c>
      <c r="D27" s="18" t="s">
        <v>125</v>
      </c>
      <c r="E27" s="18" t="s">
        <v>125</v>
      </c>
      <c r="F27" s="12" t="s">
        <v>191</v>
      </c>
      <c r="G27" s="34">
        <v>1</v>
      </c>
      <c r="H27" s="18"/>
      <c r="I27" s="18"/>
      <c r="J27" s="18" t="s">
        <v>22</v>
      </c>
      <c r="K27" s="19" t="s">
        <v>130</v>
      </c>
    </row>
    <row r="28" spans="1:11" ht="14.5" customHeight="1" x14ac:dyDescent="0.2">
      <c r="A28" s="26"/>
      <c r="B28" s="27"/>
      <c r="C28" s="27"/>
      <c r="D28" s="27" t="s">
        <v>131</v>
      </c>
      <c r="E28" s="27"/>
      <c r="F28" s="27"/>
      <c r="G28" s="27"/>
      <c r="H28" s="27"/>
      <c r="I28" s="27"/>
      <c r="J28" s="27"/>
      <c r="K28" s="28"/>
    </row>
    <row r="29" spans="1:11" x14ac:dyDescent="0.2">
      <c r="A29" s="15">
        <v>21</v>
      </c>
      <c r="B29" s="12" t="s">
        <v>21</v>
      </c>
      <c r="C29" s="12" t="s">
        <v>132</v>
      </c>
      <c r="D29" s="12" t="s">
        <v>131</v>
      </c>
      <c r="E29" s="12" t="s">
        <v>134</v>
      </c>
      <c r="F29" s="12" t="s">
        <v>177</v>
      </c>
      <c r="G29" s="34">
        <v>0.5</v>
      </c>
      <c r="H29" s="12" t="s">
        <v>198</v>
      </c>
      <c r="I29" s="34">
        <v>0.5</v>
      </c>
      <c r="J29" s="12" t="s">
        <v>11</v>
      </c>
      <c r="K29" s="16" t="s">
        <v>99</v>
      </c>
    </row>
    <row r="30" spans="1:11" x14ac:dyDescent="0.2">
      <c r="A30" s="15">
        <v>22</v>
      </c>
      <c r="B30" s="12" t="s">
        <v>135</v>
      </c>
      <c r="C30" s="12" t="s">
        <v>136</v>
      </c>
      <c r="D30" s="12" t="s">
        <v>131</v>
      </c>
      <c r="E30" s="12" t="s">
        <v>133</v>
      </c>
      <c r="F30" s="12" t="s">
        <v>200</v>
      </c>
      <c r="G30" s="34">
        <v>1</v>
      </c>
      <c r="H30" s="12"/>
      <c r="I30" s="12"/>
      <c r="J30" s="12" t="s">
        <v>21</v>
      </c>
      <c r="K30" s="16" t="s">
        <v>172</v>
      </c>
    </row>
    <row r="31" spans="1:11" x14ac:dyDescent="0.2">
      <c r="A31" s="15">
        <v>23</v>
      </c>
      <c r="B31" s="12" t="s">
        <v>69</v>
      </c>
      <c r="C31" s="12" t="s">
        <v>70</v>
      </c>
      <c r="D31" s="12" t="s">
        <v>131</v>
      </c>
      <c r="E31" s="12" t="s">
        <v>137</v>
      </c>
      <c r="F31" s="12" t="s">
        <v>25</v>
      </c>
      <c r="G31" s="34">
        <v>0.5</v>
      </c>
      <c r="H31" s="12" t="s">
        <v>201</v>
      </c>
      <c r="I31" s="34">
        <v>0.5</v>
      </c>
      <c r="J31" s="12" t="s">
        <v>21</v>
      </c>
      <c r="K31" s="16" t="s">
        <v>99</v>
      </c>
    </row>
    <row r="32" spans="1:11" x14ac:dyDescent="0.2">
      <c r="A32" s="15">
        <v>24</v>
      </c>
      <c r="B32" s="12" t="s">
        <v>75</v>
      </c>
      <c r="C32" s="12" t="s">
        <v>76</v>
      </c>
      <c r="D32" s="12" t="s">
        <v>141</v>
      </c>
      <c r="E32" s="12" t="s">
        <v>146</v>
      </c>
      <c r="F32" s="12" t="s">
        <v>201</v>
      </c>
      <c r="G32" s="34">
        <v>1</v>
      </c>
      <c r="H32" s="12"/>
      <c r="I32" s="12"/>
      <c r="J32" s="12" t="s">
        <v>69</v>
      </c>
      <c r="K32" s="16" t="s">
        <v>139</v>
      </c>
    </row>
    <row r="33" spans="1:11" x14ac:dyDescent="0.2">
      <c r="A33" s="15">
        <v>25</v>
      </c>
      <c r="B33" s="12" t="s">
        <v>77</v>
      </c>
      <c r="C33" s="12" t="s">
        <v>72</v>
      </c>
      <c r="D33" s="12" t="s">
        <v>141</v>
      </c>
      <c r="E33" s="12" t="s">
        <v>146</v>
      </c>
      <c r="F33" s="12" t="s">
        <v>201</v>
      </c>
      <c r="G33" s="34">
        <v>1</v>
      </c>
      <c r="H33" s="12"/>
      <c r="I33" s="12"/>
      <c r="J33" s="12" t="s">
        <v>69</v>
      </c>
      <c r="K33" s="16" t="s">
        <v>139</v>
      </c>
    </row>
    <row r="34" spans="1:11" x14ac:dyDescent="0.2">
      <c r="A34" s="15">
        <v>26</v>
      </c>
      <c r="B34" s="12" t="s">
        <v>71</v>
      </c>
      <c r="C34" s="12" t="s">
        <v>72</v>
      </c>
      <c r="D34" s="12" t="s">
        <v>141</v>
      </c>
      <c r="E34" s="12" t="s">
        <v>146</v>
      </c>
      <c r="F34" s="12" t="s">
        <v>201</v>
      </c>
      <c r="G34" s="34">
        <v>1</v>
      </c>
      <c r="H34" s="12"/>
      <c r="I34" s="12"/>
      <c r="J34" s="12" t="s">
        <v>69</v>
      </c>
      <c r="K34" s="16" t="s">
        <v>139</v>
      </c>
    </row>
    <row r="35" spans="1:11" x14ac:dyDescent="0.2">
      <c r="A35" s="15">
        <v>27</v>
      </c>
      <c r="B35" s="12" t="s">
        <v>74</v>
      </c>
      <c r="C35" s="12" t="s">
        <v>138</v>
      </c>
      <c r="D35" s="12" t="s">
        <v>141</v>
      </c>
      <c r="E35" s="12" t="s">
        <v>145</v>
      </c>
      <c r="F35" s="12" t="s">
        <v>178</v>
      </c>
      <c r="G35" s="34">
        <v>0.5</v>
      </c>
      <c r="H35" s="12" t="s">
        <v>201</v>
      </c>
      <c r="I35" s="34">
        <v>0.5</v>
      </c>
      <c r="J35" s="12" t="s">
        <v>21</v>
      </c>
      <c r="K35" s="16" t="s">
        <v>99</v>
      </c>
    </row>
    <row r="36" spans="1:11" x14ac:dyDescent="0.2">
      <c r="A36" s="15">
        <v>28</v>
      </c>
      <c r="B36" s="12" t="s">
        <v>140</v>
      </c>
      <c r="C36" s="12" t="s">
        <v>147</v>
      </c>
      <c r="D36" s="12" t="s">
        <v>141</v>
      </c>
      <c r="E36" s="12" t="s">
        <v>68</v>
      </c>
      <c r="F36" s="12" t="s">
        <v>178</v>
      </c>
      <c r="G36" s="34">
        <v>0.8</v>
      </c>
      <c r="H36" s="12" t="s">
        <v>201</v>
      </c>
      <c r="I36" s="34">
        <v>0.2</v>
      </c>
      <c r="J36" s="12" t="s">
        <v>21</v>
      </c>
      <c r="K36" s="16" t="s">
        <v>99</v>
      </c>
    </row>
    <row r="37" spans="1:11" x14ac:dyDescent="0.2">
      <c r="A37" s="15">
        <v>29</v>
      </c>
      <c r="B37" s="12" t="s">
        <v>26</v>
      </c>
      <c r="C37" s="12" t="s">
        <v>143</v>
      </c>
      <c r="D37" s="12" t="s">
        <v>144</v>
      </c>
      <c r="E37" s="12" t="s">
        <v>146</v>
      </c>
      <c r="F37" s="12" t="s">
        <v>178</v>
      </c>
      <c r="G37" s="34">
        <v>0.5</v>
      </c>
      <c r="H37" s="12" t="s">
        <v>201</v>
      </c>
      <c r="I37" s="34">
        <v>0.5</v>
      </c>
      <c r="J37" s="12" t="s">
        <v>21</v>
      </c>
      <c r="K37" s="16" t="s">
        <v>99</v>
      </c>
    </row>
    <row r="38" spans="1:11" x14ac:dyDescent="0.2">
      <c r="A38" s="15">
        <v>30</v>
      </c>
      <c r="B38" s="12" t="s">
        <v>148</v>
      </c>
      <c r="C38" s="12" t="s">
        <v>149</v>
      </c>
      <c r="D38" s="12" t="s">
        <v>144</v>
      </c>
      <c r="E38" s="12" t="s">
        <v>146</v>
      </c>
      <c r="F38" s="12" t="s">
        <v>201</v>
      </c>
      <c r="G38" s="34">
        <v>1</v>
      </c>
      <c r="H38" s="12"/>
      <c r="I38" s="12"/>
      <c r="J38" s="12" t="s">
        <v>26</v>
      </c>
      <c r="K38" s="16" t="s">
        <v>172</v>
      </c>
    </row>
    <row r="39" spans="1:11" ht="16" thickBot="1" x14ac:dyDescent="0.25">
      <c r="A39" s="17">
        <v>31</v>
      </c>
      <c r="B39" s="18" t="s">
        <v>150</v>
      </c>
      <c r="C39" s="18" t="s">
        <v>72</v>
      </c>
      <c r="D39" s="18" t="s">
        <v>144</v>
      </c>
      <c r="E39" s="18" t="s">
        <v>146</v>
      </c>
      <c r="F39" s="12" t="s">
        <v>201</v>
      </c>
      <c r="G39" s="37">
        <v>1</v>
      </c>
      <c r="H39" s="33"/>
      <c r="I39" s="33"/>
      <c r="J39" s="18" t="s">
        <v>26</v>
      </c>
      <c r="K39" s="19" t="s">
        <v>101</v>
      </c>
    </row>
    <row r="40" spans="1:11" ht="14.5" customHeight="1" x14ac:dyDescent="0.2">
      <c r="A40" s="26"/>
      <c r="B40" s="27"/>
      <c r="C40" s="27"/>
      <c r="D40" s="27" t="s">
        <v>64</v>
      </c>
      <c r="E40" s="27"/>
      <c r="F40" s="27"/>
      <c r="G40" s="27"/>
      <c r="H40" s="27"/>
      <c r="I40" s="27"/>
      <c r="J40" s="27"/>
      <c r="K40" s="28"/>
    </row>
    <row r="41" spans="1:11" x14ac:dyDescent="0.2">
      <c r="A41" s="15">
        <v>32</v>
      </c>
      <c r="B41" s="12" t="s">
        <v>152</v>
      </c>
      <c r="C41" s="12" t="s">
        <v>65</v>
      </c>
      <c r="D41" s="12" t="s">
        <v>64</v>
      </c>
      <c r="E41" s="12" t="s">
        <v>151</v>
      </c>
      <c r="F41" s="12" t="s">
        <v>176</v>
      </c>
      <c r="G41" s="34">
        <v>1</v>
      </c>
      <c r="H41" s="12"/>
      <c r="I41" s="12"/>
      <c r="J41" s="12" t="s">
        <v>11</v>
      </c>
      <c r="K41" s="16" t="s">
        <v>99</v>
      </c>
    </row>
    <row r="42" spans="1:11" ht="16" thickBot="1" x14ac:dyDescent="0.25">
      <c r="A42" s="17">
        <v>33</v>
      </c>
      <c r="B42" s="18" t="s">
        <v>66</v>
      </c>
      <c r="C42" s="18" t="s">
        <v>67</v>
      </c>
      <c r="D42" s="18" t="s">
        <v>64</v>
      </c>
      <c r="E42" s="18" t="s">
        <v>64</v>
      </c>
      <c r="F42" s="18" t="s">
        <v>176</v>
      </c>
      <c r="G42" s="34">
        <v>1</v>
      </c>
      <c r="H42" s="18"/>
      <c r="I42" s="18"/>
      <c r="J42" s="18" t="s">
        <v>152</v>
      </c>
      <c r="K42" s="19" t="s">
        <v>99</v>
      </c>
    </row>
    <row r="43" spans="1:11" ht="16" thickBot="1" x14ac:dyDescent="0.25">
      <c r="A43" s="42">
        <v>59</v>
      </c>
      <c r="B43" s="43" t="s">
        <v>194</v>
      </c>
      <c r="C43" s="43" t="s">
        <v>67</v>
      </c>
      <c r="D43" s="43" t="s">
        <v>153</v>
      </c>
      <c r="E43" s="43" t="s">
        <v>64</v>
      </c>
      <c r="F43" s="43" t="s">
        <v>176</v>
      </c>
      <c r="G43" s="44" t="s">
        <v>195</v>
      </c>
      <c r="H43" s="43"/>
      <c r="I43" s="43"/>
      <c r="J43" s="43" t="s">
        <v>152</v>
      </c>
      <c r="K43" s="45" t="s">
        <v>99</v>
      </c>
    </row>
    <row r="44" spans="1:11" ht="14.5" customHeight="1" x14ac:dyDescent="0.2">
      <c r="A44" s="26"/>
      <c r="B44" s="27"/>
      <c r="C44" s="27"/>
      <c r="D44" s="27" t="s">
        <v>153</v>
      </c>
      <c r="E44" s="27"/>
      <c r="F44" s="27"/>
      <c r="G44" s="27"/>
      <c r="H44" s="27"/>
      <c r="I44" s="27"/>
      <c r="J44" s="27"/>
      <c r="K44" s="28"/>
    </row>
    <row r="45" spans="1:11" x14ac:dyDescent="0.2">
      <c r="A45" s="15">
        <v>34</v>
      </c>
      <c r="B45" s="12" t="s">
        <v>28</v>
      </c>
      <c r="C45" s="12" t="s">
        <v>169</v>
      </c>
      <c r="D45" s="12" t="s">
        <v>153</v>
      </c>
      <c r="E45" s="12" t="s">
        <v>155</v>
      </c>
      <c r="F45" s="12" t="s">
        <v>183</v>
      </c>
      <c r="G45" s="34">
        <v>1</v>
      </c>
      <c r="H45" s="12"/>
      <c r="I45" s="34">
        <v>1</v>
      </c>
      <c r="J45" s="12" t="s">
        <v>11</v>
      </c>
      <c r="K45" s="16" t="s">
        <v>99</v>
      </c>
    </row>
    <row r="46" spans="1:11" x14ac:dyDescent="0.2">
      <c r="A46" s="15">
        <v>35</v>
      </c>
      <c r="B46" s="12" t="s">
        <v>37</v>
      </c>
      <c r="C46" s="32" t="s">
        <v>33</v>
      </c>
      <c r="D46" s="12" t="s">
        <v>153</v>
      </c>
      <c r="E46" s="12" t="s">
        <v>157</v>
      </c>
      <c r="F46" s="12" t="s">
        <v>183</v>
      </c>
      <c r="G46" s="34">
        <v>1</v>
      </c>
      <c r="H46" s="35" t="s">
        <v>185</v>
      </c>
      <c r="I46" s="34">
        <v>1</v>
      </c>
      <c r="J46" s="12" t="s">
        <v>28</v>
      </c>
      <c r="K46" s="16" t="s">
        <v>99</v>
      </c>
    </row>
    <row r="47" spans="1:11" x14ac:dyDescent="0.2">
      <c r="A47" s="15">
        <v>36</v>
      </c>
      <c r="B47" s="12" t="s">
        <v>29</v>
      </c>
      <c r="C47" s="12" t="s">
        <v>30</v>
      </c>
      <c r="D47" s="12" t="s">
        <v>153</v>
      </c>
      <c r="E47" s="12" t="s">
        <v>158</v>
      </c>
      <c r="F47" s="12" t="s">
        <v>183</v>
      </c>
      <c r="G47" s="34">
        <v>1</v>
      </c>
      <c r="H47" s="35" t="s">
        <v>186</v>
      </c>
      <c r="I47" s="34">
        <v>1</v>
      </c>
      <c r="J47" s="12" t="s">
        <v>28</v>
      </c>
      <c r="K47" s="16" t="s">
        <v>99</v>
      </c>
    </row>
    <row r="48" spans="1:11" x14ac:dyDescent="0.2">
      <c r="A48" s="15">
        <v>37</v>
      </c>
      <c r="B48" s="12" t="s">
        <v>32</v>
      </c>
      <c r="C48" s="12" t="s">
        <v>33</v>
      </c>
      <c r="D48" s="12" t="s">
        <v>153</v>
      </c>
      <c r="E48" s="12" t="s">
        <v>159</v>
      </c>
      <c r="F48" s="12" t="s">
        <v>183</v>
      </c>
      <c r="G48" s="34">
        <v>1</v>
      </c>
      <c r="H48" s="35" t="s">
        <v>187</v>
      </c>
      <c r="I48" s="34">
        <v>1</v>
      </c>
      <c r="J48" s="12" t="s">
        <v>28</v>
      </c>
      <c r="K48" s="16" t="s">
        <v>99</v>
      </c>
    </row>
    <row r="49" spans="1:11" x14ac:dyDescent="0.2">
      <c r="A49" s="15">
        <v>38</v>
      </c>
      <c r="B49" s="12" t="s">
        <v>160</v>
      </c>
      <c r="C49" s="12" t="s">
        <v>55</v>
      </c>
      <c r="D49" s="12" t="s">
        <v>153</v>
      </c>
      <c r="E49" s="12" t="s">
        <v>56</v>
      </c>
      <c r="F49" s="12" t="s">
        <v>183</v>
      </c>
      <c r="G49" s="34">
        <v>1</v>
      </c>
      <c r="H49" s="36" t="s">
        <v>187</v>
      </c>
      <c r="I49" s="34">
        <v>1</v>
      </c>
      <c r="J49" s="12" t="s">
        <v>28</v>
      </c>
      <c r="K49" s="16" t="s">
        <v>99</v>
      </c>
    </row>
    <row r="50" spans="1:11" x14ac:dyDescent="0.2">
      <c r="A50" s="15">
        <v>39</v>
      </c>
      <c r="B50" s="12" t="s">
        <v>44</v>
      </c>
      <c r="C50" s="12" t="s">
        <v>43</v>
      </c>
      <c r="D50" s="12" t="s">
        <v>153</v>
      </c>
      <c r="E50" s="12" t="s">
        <v>41</v>
      </c>
      <c r="F50" s="12" t="s">
        <v>183</v>
      </c>
      <c r="G50" s="34">
        <v>1</v>
      </c>
      <c r="H50" s="36" t="s">
        <v>187</v>
      </c>
      <c r="I50" s="34">
        <v>1</v>
      </c>
      <c r="J50" s="12" t="s">
        <v>28</v>
      </c>
      <c r="K50" s="16" t="s">
        <v>99</v>
      </c>
    </row>
    <row r="51" spans="1:11" x14ac:dyDescent="0.2">
      <c r="A51" s="15">
        <v>40</v>
      </c>
      <c r="B51" s="12" t="s">
        <v>47</v>
      </c>
      <c r="C51" s="12" t="s">
        <v>43</v>
      </c>
      <c r="D51" s="12" t="s">
        <v>153</v>
      </c>
      <c r="E51" s="12" t="s">
        <v>41</v>
      </c>
      <c r="F51" s="12" t="s">
        <v>183</v>
      </c>
      <c r="G51" s="34">
        <v>1</v>
      </c>
      <c r="H51" s="36" t="s">
        <v>187</v>
      </c>
      <c r="I51" s="34">
        <v>1</v>
      </c>
      <c r="J51" s="12" t="s">
        <v>28</v>
      </c>
      <c r="K51" s="16" t="s">
        <v>99</v>
      </c>
    </row>
    <row r="52" spans="1:11" x14ac:dyDescent="0.2">
      <c r="A52" s="15">
        <v>41</v>
      </c>
      <c r="B52" s="12" t="s">
        <v>161</v>
      </c>
      <c r="C52" s="12" t="s">
        <v>43</v>
      </c>
      <c r="D52" s="12" t="s">
        <v>153</v>
      </c>
      <c r="E52" s="12" t="s">
        <v>41</v>
      </c>
      <c r="F52" s="12" t="s">
        <v>183</v>
      </c>
      <c r="G52" s="34">
        <v>1</v>
      </c>
      <c r="H52" s="36" t="s">
        <v>187</v>
      </c>
      <c r="I52" s="34">
        <v>1</v>
      </c>
      <c r="J52" s="12" t="s">
        <v>28</v>
      </c>
      <c r="K52" s="16" t="s">
        <v>130</v>
      </c>
    </row>
    <row r="53" spans="1:11" x14ac:dyDescent="0.2">
      <c r="A53" s="15">
        <v>42</v>
      </c>
      <c r="B53" s="12" t="s">
        <v>162</v>
      </c>
      <c r="C53" s="12" t="s">
        <v>43</v>
      </c>
      <c r="D53" s="12" t="s">
        <v>153</v>
      </c>
      <c r="E53" s="12" t="s">
        <v>41</v>
      </c>
      <c r="F53" s="12" t="s">
        <v>183</v>
      </c>
      <c r="G53" s="34">
        <v>1</v>
      </c>
      <c r="H53" s="36" t="s">
        <v>187</v>
      </c>
      <c r="I53" s="34">
        <v>1</v>
      </c>
      <c r="J53" s="12" t="s">
        <v>28</v>
      </c>
      <c r="K53" s="16" t="s">
        <v>130</v>
      </c>
    </row>
    <row r="54" spans="1:11" x14ac:dyDescent="0.2">
      <c r="A54" s="15">
        <v>43</v>
      </c>
      <c r="B54" s="12" t="s">
        <v>57</v>
      </c>
      <c r="C54" s="12" t="s">
        <v>55</v>
      </c>
      <c r="D54" s="12" t="s">
        <v>153</v>
      </c>
      <c r="E54" s="12" t="s">
        <v>56</v>
      </c>
      <c r="F54" s="12" t="s">
        <v>183</v>
      </c>
      <c r="G54" s="34">
        <v>1</v>
      </c>
      <c r="H54" s="36" t="s">
        <v>185</v>
      </c>
      <c r="I54" s="34">
        <v>1</v>
      </c>
      <c r="J54" s="12" t="s">
        <v>28</v>
      </c>
      <c r="K54" s="16" t="s">
        <v>99</v>
      </c>
    </row>
    <row r="55" spans="1:11" x14ac:dyDescent="0.2">
      <c r="A55" s="15">
        <v>44</v>
      </c>
      <c r="B55" s="12" t="s">
        <v>58</v>
      </c>
      <c r="C55" s="12" t="s">
        <v>55</v>
      </c>
      <c r="D55" s="12" t="s">
        <v>153</v>
      </c>
      <c r="E55" s="12" t="s">
        <v>56</v>
      </c>
      <c r="F55" s="12" t="s">
        <v>183</v>
      </c>
      <c r="G55" s="34">
        <v>1</v>
      </c>
      <c r="H55" s="36" t="s">
        <v>185</v>
      </c>
      <c r="I55" s="34">
        <v>1</v>
      </c>
      <c r="J55" s="12" t="s">
        <v>28</v>
      </c>
      <c r="K55" s="16" t="s">
        <v>99</v>
      </c>
    </row>
    <row r="56" spans="1:11" x14ac:dyDescent="0.2">
      <c r="A56" s="15">
        <v>45</v>
      </c>
      <c r="B56" s="12" t="s">
        <v>62</v>
      </c>
      <c r="C56" s="12" t="s">
        <v>63</v>
      </c>
      <c r="D56" s="12" t="s">
        <v>153</v>
      </c>
      <c r="E56" s="12" t="s">
        <v>56</v>
      </c>
      <c r="F56" s="12" t="s">
        <v>183</v>
      </c>
      <c r="G56" s="34">
        <v>1</v>
      </c>
      <c r="H56" s="36" t="s">
        <v>185</v>
      </c>
      <c r="I56" s="34">
        <v>1</v>
      </c>
      <c r="J56" s="12" t="s">
        <v>28</v>
      </c>
      <c r="K56" s="16" t="s">
        <v>99</v>
      </c>
    </row>
    <row r="57" spans="1:11" x14ac:dyDescent="0.2">
      <c r="A57" s="15">
        <v>46</v>
      </c>
      <c r="B57" s="12" t="s">
        <v>36</v>
      </c>
      <c r="C57" s="12" t="s">
        <v>34</v>
      </c>
      <c r="D57" s="12" t="s">
        <v>153</v>
      </c>
      <c r="E57" s="12" t="s">
        <v>34</v>
      </c>
      <c r="F57" s="12" t="s">
        <v>183</v>
      </c>
      <c r="G57" s="34">
        <v>1</v>
      </c>
      <c r="H57" s="36" t="s">
        <v>185</v>
      </c>
      <c r="I57" s="34">
        <v>1</v>
      </c>
      <c r="J57" s="12" t="s">
        <v>28</v>
      </c>
      <c r="K57" s="16" t="s">
        <v>99</v>
      </c>
    </row>
    <row r="58" spans="1:11" x14ac:dyDescent="0.2">
      <c r="A58" s="15">
        <v>47</v>
      </c>
      <c r="B58" s="12" t="s">
        <v>46</v>
      </c>
      <c r="C58" s="12" t="s">
        <v>43</v>
      </c>
      <c r="D58" s="12" t="s">
        <v>153</v>
      </c>
      <c r="E58" s="12" t="s">
        <v>41</v>
      </c>
      <c r="F58" s="12" t="s">
        <v>183</v>
      </c>
      <c r="G58" s="34">
        <v>1</v>
      </c>
      <c r="H58" s="36" t="s">
        <v>185</v>
      </c>
      <c r="I58" s="34">
        <v>1</v>
      </c>
      <c r="J58" s="12" t="s">
        <v>28</v>
      </c>
      <c r="K58" s="16" t="s">
        <v>99</v>
      </c>
    </row>
    <row r="59" spans="1:11" x14ac:dyDescent="0.2">
      <c r="A59" s="15">
        <v>48</v>
      </c>
      <c r="B59" s="12" t="s">
        <v>163</v>
      </c>
      <c r="C59" s="12" t="s">
        <v>43</v>
      </c>
      <c r="D59" s="12" t="s">
        <v>153</v>
      </c>
      <c r="E59" s="12" t="s">
        <v>41</v>
      </c>
      <c r="F59" s="12" t="s">
        <v>183</v>
      </c>
      <c r="G59" s="34">
        <v>1</v>
      </c>
      <c r="H59" s="12" t="s">
        <v>184</v>
      </c>
      <c r="I59" s="34">
        <v>1</v>
      </c>
      <c r="J59" s="12" t="s">
        <v>28</v>
      </c>
      <c r="K59" s="16" t="s">
        <v>130</v>
      </c>
    </row>
    <row r="60" spans="1:11" x14ac:dyDescent="0.2">
      <c r="A60" s="15">
        <v>49</v>
      </c>
      <c r="B60" s="12" t="s">
        <v>42</v>
      </c>
      <c r="C60" s="12" t="s">
        <v>43</v>
      </c>
      <c r="D60" s="12" t="s">
        <v>153</v>
      </c>
      <c r="E60" s="12" t="s">
        <v>41</v>
      </c>
      <c r="F60" s="12" t="s">
        <v>183</v>
      </c>
      <c r="G60" s="34">
        <v>1</v>
      </c>
      <c r="H60" s="36" t="s">
        <v>185</v>
      </c>
      <c r="I60" s="34">
        <v>1</v>
      </c>
      <c r="J60" s="12" t="s">
        <v>28</v>
      </c>
      <c r="K60" s="16" t="s">
        <v>99</v>
      </c>
    </row>
    <row r="61" spans="1:11" x14ac:dyDescent="0.2">
      <c r="A61" s="15">
        <v>50</v>
      </c>
      <c r="B61" s="12" t="s">
        <v>164</v>
      </c>
      <c r="C61" s="12" t="s">
        <v>33</v>
      </c>
      <c r="D61" s="12" t="s">
        <v>153</v>
      </c>
      <c r="E61" s="12" t="s">
        <v>34</v>
      </c>
      <c r="F61" s="12" t="s">
        <v>183</v>
      </c>
      <c r="G61" s="34">
        <v>1</v>
      </c>
      <c r="H61" s="36" t="s">
        <v>186</v>
      </c>
      <c r="I61" s="34">
        <v>1</v>
      </c>
      <c r="J61" s="12" t="s">
        <v>165</v>
      </c>
      <c r="K61" s="16" t="s">
        <v>99</v>
      </c>
    </row>
    <row r="62" spans="1:11" x14ac:dyDescent="0.2">
      <c r="A62" s="15">
        <v>52</v>
      </c>
      <c r="B62" s="12" t="s">
        <v>52</v>
      </c>
      <c r="C62" s="12" t="s">
        <v>53</v>
      </c>
      <c r="D62" s="12" t="s">
        <v>153</v>
      </c>
      <c r="E62" s="12" t="s">
        <v>54</v>
      </c>
      <c r="F62" s="12" t="s">
        <v>183</v>
      </c>
      <c r="G62" s="34">
        <v>1</v>
      </c>
      <c r="H62" s="36" t="s">
        <v>186</v>
      </c>
      <c r="I62" s="34">
        <v>1</v>
      </c>
      <c r="J62" s="12" t="s">
        <v>165</v>
      </c>
      <c r="K62" s="16" t="s">
        <v>99</v>
      </c>
    </row>
    <row r="63" spans="1:11" x14ac:dyDescent="0.2">
      <c r="A63" s="15">
        <v>53</v>
      </c>
      <c r="B63" s="12" t="s">
        <v>45</v>
      </c>
      <c r="C63" s="12" t="s">
        <v>43</v>
      </c>
      <c r="D63" s="12" t="s">
        <v>153</v>
      </c>
      <c r="E63" s="12" t="s">
        <v>41</v>
      </c>
      <c r="F63" s="12" t="s">
        <v>183</v>
      </c>
      <c r="G63" s="34">
        <v>1</v>
      </c>
      <c r="H63" s="36" t="s">
        <v>186</v>
      </c>
      <c r="I63" s="34">
        <v>1</v>
      </c>
      <c r="J63" s="12" t="s">
        <v>165</v>
      </c>
      <c r="K63" s="16" t="s">
        <v>99</v>
      </c>
    </row>
    <row r="64" spans="1:11" x14ac:dyDescent="0.2">
      <c r="A64" s="15">
        <v>54</v>
      </c>
      <c r="B64" s="12" t="s">
        <v>35</v>
      </c>
      <c r="C64" s="12" t="s">
        <v>33</v>
      </c>
      <c r="D64" s="12" t="s">
        <v>153</v>
      </c>
      <c r="E64" s="12" t="s">
        <v>34</v>
      </c>
      <c r="F64" s="12" t="s">
        <v>183</v>
      </c>
      <c r="G64" s="34">
        <v>1</v>
      </c>
      <c r="H64" s="36" t="s">
        <v>186</v>
      </c>
      <c r="I64" s="34">
        <v>1</v>
      </c>
      <c r="J64" s="12" t="s">
        <v>165</v>
      </c>
      <c r="K64" s="16" t="s">
        <v>99</v>
      </c>
    </row>
    <row r="65" spans="1:11" x14ac:dyDescent="0.2">
      <c r="A65" s="15">
        <v>55</v>
      </c>
      <c r="B65" s="12" t="s">
        <v>48</v>
      </c>
      <c r="C65" s="12" t="s">
        <v>49</v>
      </c>
      <c r="D65" s="12" t="s">
        <v>153</v>
      </c>
      <c r="E65" s="12" t="s">
        <v>41</v>
      </c>
      <c r="F65" s="12" t="s">
        <v>183</v>
      </c>
      <c r="G65" s="34">
        <v>1</v>
      </c>
      <c r="H65" s="36" t="s">
        <v>186</v>
      </c>
      <c r="I65" s="34">
        <v>1</v>
      </c>
      <c r="J65" s="12" t="s">
        <v>165</v>
      </c>
      <c r="K65" s="16" t="s">
        <v>99</v>
      </c>
    </row>
    <row r="66" spans="1:11" x14ac:dyDescent="0.2">
      <c r="A66" s="15">
        <v>56</v>
      </c>
      <c r="B66" s="12" t="s">
        <v>167</v>
      </c>
      <c r="C66" s="12" t="s">
        <v>60</v>
      </c>
      <c r="D66" s="12" t="s">
        <v>153</v>
      </c>
      <c r="E66" s="12" t="s">
        <v>61</v>
      </c>
      <c r="F66" s="12" t="s">
        <v>183</v>
      </c>
      <c r="G66" s="34">
        <v>1</v>
      </c>
      <c r="H66" s="36" t="s">
        <v>186</v>
      </c>
      <c r="I66" s="34">
        <v>1</v>
      </c>
      <c r="J66" s="12" t="s">
        <v>165</v>
      </c>
      <c r="K66" s="16" t="s">
        <v>99</v>
      </c>
    </row>
    <row r="67" spans="1:11" x14ac:dyDescent="0.2">
      <c r="A67" s="15">
        <v>57</v>
      </c>
      <c r="B67" s="12" t="s">
        <v>39</v>
      </c>
      <c r="C67" s="12" t="s">
        <v>40</v>
      </c>
      <c r="D67" s="12" t="s">
        <v>153</v>
      </c>
      <c r="E67" s="12" t="s">
        <v>41</v>
      </c>
      <c r="F67" s="12" t="s">
        <v>183</v>
      </c>
      <c r="G67" s="34">
        <v>1</v>
      </c>
      <c r="H67" s="36" t="s">
        <v>186</v>
      </c>
      <c r="I67" s="34">
        <v>1</v>
      </c>
      <c r="J67" s="12" t="s">
        <v>165</v>
      </c>
      <c r="K67" s="16" t="s">
        <v>99</v>
      </c>
    </row>
    <row r="68" spans="1:11" ht="16" thickBot="1" x14ac:dyDescent="0.25">
      <c r="A68" s="17">
        <v>58</v>
      </c>
      <c r="B68" s="18" t="s">
        <v>50</v>
      </c>
      <c r="C68" s="18" t="s">
        <v>51</v>
      </c>
      <c r="D68" s="18" t="s">
        <v>153</v>
      </c>
      <c r="E68" s="18" t="s">
        <v>41</v>
      </c>
      <c r="F68" s="12" t="s">
        <v>183</v>
      </c>
      <c r="G68" s="34">
        <v>1</v>
      </c>
      <c r="H68" s="18" t="s">
        <v>188</v>
      </c>
      <c r="I68" s="34">
        <v>1</v>
      </c>
      <c r="J68" s="18" t="s">
        <v>28</v>
      </c>
      <c r="K68" s="19" t="s">
        <v>99</v>
      </c>
    </row>
    <row r="69" spans="1:11" ht="16" thickBot="1" x14ac:dyDescent="0.25">
      <c r="A69" s="29"/>
      <c r="B69" s="30" t="s">
        <v>156</v>
      </c>
      <c r="C69" s="30">
        <f>A68</f>
        <v>58</v>
      </c>
      <c r="D69" s="30"/>
      <c r="E69" s="30"/>
      <c r="F69" s="30"/>
      <c r="G69" s="30"/>
      <c r="H69" s="30"/>
      <c r="I69" s="30"/>
      <c r="J69" s="30"/>
      <c r="K69" s="31"/>
    </row>
  </sheetData>
  <autoFilter ref="A1:K69" xr:uid="{17FC2BC3-000A-42D6-B752-97A37C86E847}"/>
  <pageMargins left="0.75" right="0.75" top="1" bottom="1" header="0.5" footer="0.5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B3A5C"/>
  </sheetPr>
  <dimension ref="A1:C10"/>
  <sheetViews>
    <sheetView workbookViewId="0"/>
  </sheetViews>
  <sheetFormatPr baseColWidth="10" defaultColWidth="8.83203125" defaultRowHeight="15" x14ac:dyDescent="0.2"/>
  <cols>
    <col min="1" max="1" width="32" customWidth="1"/>
    <col min="2" max="3" width="14" customWidth="1"/>
  </cols>
  <sheetData>
    <row r="1" spans="1:3" x14ac:dyDescent="0.2">
      <c r="A1" s="1" t="s">
        <v>3</v>
      </c>
      <c r="B1" s="1" t="s">
        <v>95</v>
      </c>
      <c r="C1" s="1" t="s">
        <v>96</v>
      </c>
    </row>
    <row r="2" spans="1:3" x14ac:dyDescent="0.2">
      <c r="A2" s="5" t="s">
        <v>5</v>
      </c>
      <c r="B2" s="4">
        <v>3</v>
      </c>
      <c r="C2" s="8">
        <v>6.1224489795918373E-2</v>
      </c>
    </row>
    <row r="3" spans="1:3" x14ac:dyDescent="0.2">
      <c r="A3" s="3" t="s">
        <v>14</v>
      </c>
      <c r="B3" s="2">
        <v>1</v>
      </c>
      <c r="C3" s="9">
        <v>2.0408163265306121E-2</v>
      </c>
    </row>
    <row r="4" spans="1:3" x14ac:dyDescent="0.2">
      <c r="A4" s="5" t="s">
        <v>17</v>
      </c>
      <c r="B4" s="4">
        <v>1</v>
      </c>
      <c r="C4" s="8">
        <v>2.0408163265306121E-2</v>
      </c>
    </row>
    <row r="5" spans="1:3" x14ac:dyDescent="0.2">
      <c r="A5" s="3" t="s">
        <v>20</v>
      </c>
      <c r="B5" s="2">
        <v>4</v>
      </c>
      <c r="C5" s="9">
        <v>8.1632653061224483E-2</v>
      </c>
    </row>
    <row r="6" spans="1:3" x14ac:dyDescent="0.2">
      <c r="A6" s="5" t="s">
        <v>27</v>
      </c>
      <c r="B6" s="4">
        <v>22</v>
      </c>
      <c r="C6" s="8">
        <v>0.44897959183673469</v>
      </c>
    </row>
    <row r="7" spans="1:3" x14ac:dyDescent="0.2">
      <c r="A7" s="3" t="s">
        <v>64</v>
      </c>
      <c r="B7" s="2">
        <v>2</v>
      </c>
      <c r="C7" s="9">
        <v>4.0816326530612242E-2</v>
      </c>
    </row>
    <row r="8" spans="1:3" x14ac:dyDescent="0.2">
      <c r="A8" s="5" t="s">
        <v>68</v>
      </c>
      <c r="B8" s="4">
        <v>5</v>
      </c>
      <c r="C8" s="8">
        <v>0.1020408163265306</v>
      </c>
    </row>
    <row r="9" spans="1:3" x14ac:dyDescent="0.2">
      <c r="A9" s="3" t="s">
        <v>78</v>
      </c>
      <c r="B9" s="2">
        <v>11</v>
      </c>
      <c r="C9" s="9">
        <v>0.22448979591836729</v>
      </c>
    </row>
    <row r="10" spans="1:3" x14ac:dyDescent="0.2">
      <c r="A10" s="7" t="s">
        <v>97</v>
      </c>
      <c r="B10" s="1">
        <v>49</v>
      </c>
      <c r="C10" s="10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B3A5C"/>
  </sheetPr>
  <dimension ref="A1:C19"/>
  <sheetViews>
    <sheetView workbookViewId="0">
      <selection activeCell="A8" sqref="A8"/>
    </sheetView>
  </sheetViews>
  <sheetFormatPr baseColWidth="10" defaultColWidth="8.83203125" defaultRowHeight="15" x14ac:dyDescent="0.2"/>
  <cols>
    <col min="1" max="1" width="28" customWidth="1"/>
    <col min="2" max="3" width="14" customWidth="1"/>
  </cols>
  <sheetData>
    <row r="1" spans="1:3" x14ac:dyDescent="0.2">
      <c r="A1" s="1" t="s">
        <v>4</v>
      </c>
      <c r="B1" s="1" t="s">
        <v>95</v>
      </c>
      <c r="C1" s="1" t="s">
        <v>96</v>
      </c>
    </row>
    <row r="2" spans="1:3" x14ac:dyDescent="0.2">
      <c r="A2" s="5" t="s">
        <v>41</v>
      </c>
      <c r="B2" s="4">
        <v>8</v>
      </c>
      <c r="C2" s="8">
        <v>0.16326530612244899</v>
      </c>
    </row>
    <row r="3" spans="1:3" x14ac:dyDescent="0.2">
      <c r="A3" s="3" t="s">
        <v>19</v>
      </c>
      <c r="B3" s="2">
        <v>7</v>
      </c>
      <c r="C3" s="9">
        <v>0.14285714285714279</v>
      </c>
    </row>
    <row r="4" spans="1:3" x14ac:dyDescent="0.2">
      <c r="A4" s="5" t="s">
        <v>56</v>
      </c>
      <c r="B4" s="4">
        <v>5</v>
      </c>
      <c r="C4" s="8">
        <v>0.1020408163265306</v>
      </c>
    </row>
    <row r="5" spans="1:3" x14ac:dyDescent="0.2">
      <c r="A5" s="3" t="s">
        <v>25</v>
      </c>
      <c r="B5" s="2">
        <v>4</v>
      </c>
      <c r="C5" s="9">
        <v>8.1632653061224483E-2</v>
      </c>
    </row>
    <row r="6" spans="1:3" x14ac:dyDescent="0.2">
      <c r="A6" s="5" t="s">
        <v>34</v>
      </c>
      <c r="B6" s="4">
        <v>4</v>
      </c>
      <c r="C6" s="8">
        <v>8.1632653061224483E-2</v>
      </c>
    </row>
    <row r="7" spans="1:3" x14ac:dyDescent="0.2">
      <c r="A7" s="3" t="s">
        <v>8</v>
      </c>
      <c r="B7" s="2">
        <v>3</v>
      </c>
      <c r="C7" s="9">
        <v>6.1224489795918373E-2</v>
      </c>
    </row>
    <row r="8" spans="1:3" x14ac:dyDescent="0.2">
      <c r="A8" s="5" t="s">
        <v>86</v>
      </c>
      <c r="B8" s="4">
        <v>3</v>
      </c>
      <c r="C8" s="8">
        <v>6.1224489795918373E-2</v>
      </c>
    </row>
    <row r="9" spans="1:3" x14ac:dyDescent="0.2">
      <c r="A9" s="3" t="s">
        <v>90</v>
      </c>
      <c r="B9" s="2">
        <v>3</v>
      </c>
      <c r="C9" s="9">
        <v>6.1224489795918373E-2</v>
      </c>
    </row>
    <row r="10" spans="1:3" x14ac:dyDescent="0.2">
      <c r="A10" s="5" t="s">
        <v>31</v>
      </c>
      <c r="B10" s="4">
        <v>2</v>
      </c>
      <c r="C10" s="8">
        <v>4.0816326530612242E-2</v>
      </c>
    </row>
    <row r="11" spans="1:3" x14ac:dyDescent="0.2">
      <c r="A11" s="3" t="s">
        <v>61</v>
      </c>
      <c r="B11" s="2">
        <v>2</v>
      </c>
      <c r="C11" s="9">
        <v>4.0816326530612242E-2</v>
      </c>
    </row>
    <row r="12" spans="1:3" x14ac:dyDescent="0.2">
      <c r="A12" s="5" t="s">
        <v>73</v>
      </c>
      <c r="B12" s="4">
        <v>2</v>
      </c>
      <c r="C12" s="8">
        <v>4.0816326530612242E-2</v>
      </c>
    </row>
    <row r="13" spans="1:3" x14ac:dyDescent="0.2">
      <c r="A13" s="3" t="s">
        <v>16</v>
      </c>
      <c r="B13" s="2">
        <v>1</v>
      </c>
      <c r="C13" s="9">
        <v>2.0408163265306121E-2</v>
      </c>
    </row>
    <row r="14" spans="1:3" x14ac:dyDescent="0.2">
      <c r="A14" s="5" t="s">
        <v>24</v>
      </c>
      <c r="B14" s="4">
        <v>1</v>
      </c>
      <c r="C14" s="8">
        <v>2.0408163265306121E-2</v>
      </c>
    </row>
    <row r="15" spans="1:3" x14ac:dyDescent="0.2">
      <c r="A15" s="3" t="s">
        <v>38</v>
      </c>
      <c r="B15" s="2">
        <v>1</v>
      </c>
      <c r="C15" s="9">
        <v>2.0408163265306121E-2</v>
      </c>
    </row>
    <row r="16" spans="1:3" x14ac:dyDescent="0.2">
      <c r="A16" s="5" t="s">
        <v>54</v>
      </c>
      <c r="B16" s="4">
        <v>1</v>
      </c>
      <c r="C16" s="8">
        <v>2.0408163265306121E-2</v>
      </c>
    </row>
    <row r="17" spans="1:3" x14ac:dyDescent="0.2">
      <c r="A17" s="3" t="s">
        <v>82</v>
      </c>
      <c r="B17" s="2">
        <v>1</v>
      </c>
      <c r="C17" s="9">
        <v>2.0408163265306121E-2</v>
      </c>
    </row>
    <row r="18" spans="1:3" x14ac:dyDescent="0.2">
      <c r="A18" s="5" t="s">
        <v>85</v>
      </c>
      <c r="B18" s="4">
        <v>1</v>
      </c>
      <c r="C18" s="8">
        <v>2.0408163265306121E-2</v>
      </c>
    </row>
    <row r="19" spans="1:3" x14ac:dyDescent="0.2">
      <c r="A19" s="6" t="s">
        <v>97</v>
      </c>
      <c r="B19" s="1">
        <v>49</v>
      </c>
      <c r="C19" s="1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 </vt:lpstr>
      <vt:lpstr>Full Roster</vt:lpstr>
      <vt:lpstr>Department Summary</vt:lpstr>
      <vt:lpstr>Functional Role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Scott G</cp:lastModifiedBy>
  <dcterms:created xsi:type="dcterms:W3CDTF">2026-03-19T21:36:34Z</dcterms:created>
  <dcterms:modified xsi:type="dcterms:W3CDTF">2026-03-31T23:16:15Z</dcterms:modified>
</cp:coreProperties>
</file>