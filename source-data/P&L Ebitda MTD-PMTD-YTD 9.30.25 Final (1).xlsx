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mc:AlternateContent xmlns:mc="http://schemas.openxmlformats.org/markup-compatibility/2006">
    <mc:Choice Requires="x15">
      <x15ac:absPath xmlns:x15ac="http://schemas.microsoft.com/office/spreadsheetml/2010/11/ac" url="I:\Datapath\09.25\"/>
    </mc:Choice>
  </mc:AlternateContent>
  <xr:revisionPtr revIDLastSave="1" documentId="13_ncr:1_{313E67D8-1E5F-426F-A3CB-2524543F9C3D}" xr6:coauthVersionLast="47" xr6:coauthVersionMax="47" xr10:uidLastSave="{1A3E137D-DDE6-4EBD-B6EE-CE405B0097C7}"/>
  <bookViews>
    <workbookView xWindow="-120" yWindow="-120" windowWidth="29040" windowHeight="15720" activeTab="1" xr2:uid="{00000000-000D-0000-FFFF-FFFF00000000}"/>
  </bookViews>
  <sheets>
    <sheet name="Sept P&amp;L" sheetId="1" r:id="rId1"/>
    <sheet name="Agreement Compare September" sheetId="3" r:id="rId2"/>
    <sheet name="Payroll Breakdown September" sheetId="2" r:id="rId3"/>
  </sheets>
  <definedNames>
    <definedName name="_xlnm._FilterDatabase" localSheetId="2" hidden="1">'Payroll Breakdown September'!$A$7:$T$79</definedName>
    <definedName name="_xlnm._FilterDatabase" localSheetId="0" hidden="1">'Sept P&amp;L'!$A$10:$N$10</definedName>
    <definedName name="NB_Monthly_Recurring_Private_Cloud_CA">#REF!</definedName>
    <definedName name="NB_Monthly_Recurring_Private_Cloud_OH">#REF!</definedName>
    <definedName name="NB_Monthly_Recurring_Resale_CA">#REF!</definedName>
    <definedName name="NB_Monthly_Recurring_Resale_OH">#REF!</definedName>
    <definedName name="NB_Monthly_Recurring_Services_CA">#REF!</definedName>
    <definedName name="NB_Monthly_Recurring_Services_OH">#REF!</definedName>
    <definedName name="WA_Monthly_Recurring_Private_Cloud_CA" localSheetId="1">#REF!</definedName>
    <definedName name="WA_Monthly_Recurring_Private_Cloud_CA">#REF!</definedName>
    <definedName name="WA_Monthly_Recurring_Resale_CA" localSheetId="1">#REF!</definedName>
    <definedName name="WA_Monthly_Recurring_Resale_CA">#REF!</definedName>
    <definedName name="WA_Monthly_Recurring_Resale_OH">#REF!</definedName>
    <definedName name="WA_Monthly_Recurring_Services_CA" localSheetId="1">#REF!</definedName>
    <definedName name="WA_Monthly_Recurring_Services_CA">#REF!</definedName>
    <definedName name="WA_Monthly_Recurring_Services_OH">#REF!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36" i="3" l="1"/>
  <c r="G835" i="3"/>
  <c r="G845" i="3"/>
  <c r="G847" i="3" s="1"/>
  <c r="K838" i="3"/>
  <c r="L838" i="3" s="1"/>
  <c r="H838" i="3"/>
  <c r="H824" i="3"/>
  <c r="J818" i="3"/>
  <c r="I818" i="3"/>
  <c r="H818" i="3"/>
  <c r="G818" i="3"/>
  <c r="K816" i="3"/>
  <c r="L816" i="3" s="1"/>
  <c r="H816" i="3"/>
  <c r="J812" i="3"/>
  <c r="I812" i="3"/>
  <c r="G812" i="3"/>
  <c r="K811" i="3"/>
  <c r="L811" i="3" s="1"/>
  <c r="H811" i="3"/>
  <c r="K810" i="3"/>
  <c r="L810" i="3" s="1"/>
  <c r="H810" i="3"/>
  <c r="L809" i="3"/>
  <c r="K809" i="3"/>
  <c r="H809" i="3"/>
  <c r="K808" i="3"/>
  <c r="L808" i="3" s="1"/>
  <c r="H808" i="3"/>
  <c r="L807" i="3"/>
  <c r="K807" i="3"/>
  <c r="H807" i="3"/>
  <c r="H812" i="3" s="1"/>
  <c r="J806" i="3"/>
  <c r="I806" i="3"/>
  <c r="G806" i="3"/>
  <c r="L805" i="3"/>
  <c r="K805" i="3"/>
  <c r="H805" i="3"/>
  <c r="L804" i="3"/>
  <c r="K804" i="3"/>
  <c r="H804" i="3"/>
  <c r="H806" i="3" s="1"/>
  <c r="J803" i="3"/>
  <c r="I803" i="3"/>
  <c r="G803" i="3"/>
  <c r="K802" i="3"/>
  <c r="L802" i="3" s="1"/>
  <c r="H802" i="3"/>
  <c r="H803" i="3" s="1"/>
  <c r="J801" i="3"/>
  <c r="I801" i="3"/>
  <c r="H801" i="3"/>
  <c r="G801" i="3"/>
  <c r="L800" i="3"/>
  <c r="K800" i="3"/>
  <c r="H800" i="3"/>
  <c r="L799" i="3"/>
  <c r="K799" i="3"/>
  <c r="H799" i="3"/>
  <c r="J798" i="3"/>
  <c r="I798" i="3"/>
  <c r="G798" i="3"/>
  <c r="K797" i="3"/>
  <c r="L797" i="3" s="1"/>
  <c r="H797" i="3"/>
  <c r="K796" i="3"/>
  <c r="L796" i="3" s="1"/>
  <c r="H796" i="3"/>
  <c r="L795" i="3"/>
  <c r="K795" i="3"/>
  <c r="H795" i="3"/>
  <c r="K794" i="3"/>
  <c r="L794" i="3" s="1"/>
  <c r="H794" i="3"/>
  <c r="J793" i="3"/>
  <c r="I793" i="3"/>
  <c r="G793" i="3"/>
  <c r="L792" i="3"/>
  <c r="K792" i="3"/>
  <c r="H792" i="3"/>
  <c r="K791" i="3"/>
  <c r="L791" i="3" s="1"/>
  <c r="H791" i="3"/>
  <c r="H793" i="3" s="1"/>
  <c r="J790" i="3"/>
  <c r="I790" i="3"/>
  <c r="H790" i="3"/>
  <c r="G790" i="3"/>
  <c r="L789" i="3"/>
  <c r="K789" i="3"/>
  <c r="H789" i="3"/>
  <c r="J788" i="3"/>
  <c r="I788" i="3"/>
  <c r="G788" i="3"/>
  <c r="L787" i="3"/>
  <c r="K787" i="3"/>
  <c r="H787" i="3"/>
  <c r="L786" i="3"/>
  <c r="K786" i="3"/>
  <c r="H786" i="3"/>
  <c r="K785" i="3"/>
  <c r="L785" i="3" s="1"/>
  <c r="H785" i="3"/>
  <c r="L784" i="3"/>
  <c r="K784" i="3"/>
  <c r="H784" i="3"/>
  <c r="J783" i="3"/>
  <c r="I783" i="3"/>
  <c r="G783" i="3"/>
  <c r="K782" i="3"/>
  <c r="L782" i="3" s="1"/>
  <c r="H782" i="3"/>
  <c r="L781" i="3"/>
  <c r="K781" i="3"/>
  <c r="H781" i="3"/>
  <c r="L780" i="3"/>
  <c r="K780" i="3"/>
  <c r="H780" i="3"/>
  <c r="H783" i="3" s="1"/>
  <c r="J779" i="3"/>
  <c r="I779" i="3"/>
  <c r="G779" i="3"/>
  <c r="L778" i="3"/>
  <c r="K778" i="3"/>
  <c r="H778" i="3"/>
  <c r="H779" i="3" s="1"/>
  <c r="J777" i="3"/>
  <c r="I777" i="3"/>
  <c r="G777" i="3"/>
  <c r="K776" i="3"/>
  <c r="L776" i="3" s="1"/>
  <c r="H776" i="3"/>
  <c r="L775" i="3"/>
  <c r="K775" i="3"/>
  <c r="H775" i="3"/>
  <c r="L774" i="3"/>
  <c r="K774" i="3"/>
  <c r="H774" i="3"/>
  <c r="K773" i="3"/>
  <c r="L773" i="3" s="1"/>
  <c r="H773" i="3"/>
  <c r="L772" i="3"/>
  <c r="K772" i="3"/>
  <c r="H772" i="3"/>
  <c r="J771" i="3"/>
  <c r="I771" i="3"/>
  <c r="H771" i="3"/>
  <c r="G771" i="3"/>
  <c r="L770" i="3"/>
  <c r="K770" i="3"/>
  <c r="H770" i="3"/>
  <c r="L769" i="3"/>
  <c r="K769" i="3"/>
  <c r="H769" i="3"/>
  <c r="K768" i="3"/>
  <c r="L768" i="3" s="1"/>
  <c r="H768" i="3"/>
  <c r="J767" i="3"/>
  <c r="I767" i="3"/>
  <c r="G767" i="3"/>
  <c r="L766" i="3"/>
  <c r="K766" i="3"/>
  <c r="H766" i="3"/>
  <c r="K765" i="3"/>
  <c r="L765" i="3" s="1"/>
  <c r="H765" i="3"/>
  <c r="H767" i="3" s="1"/>
  <c r="K764" i="3"/>
  <c r="L764" i="3" s="1"/>
  <c r="H764" i="3"/>
  <c r="L763" i="3"/>
  <c r="K763" i="3"/>
  <c r="H763" i="3"/>
  <c r="L762" i="3"/>
  <c r="K762" i="3"/>
  <c r="H762" i="3"/>
  <c r="J761" i="3"/>
  <c r="I761" i="3"/>
  <c r="G761" i="3"/>
  <c r="L760" i="3"/>
  <c r="K760" i="3"/>
  <c r="H760" i="3"/>
  <c r="K759" i="3"/>
  <c r="L759" i="3" s="1"/>
  <c r="H759" i="3"/>
  <c r="L758" i="3"/>
  <c r="K758" i="3"/>
  <c r="H758" i="3"/>
  <c r="H761" i="3" s="1"/>
  <c r="J757" i="3"/>
  <c r="I757" i="3"/>
  <c r="G757" i="3"/>
  <c r="L756" i="3"/>
  <c r="K756" i="3"/>
  <c r="H756" i="3"/>
  <c r="L755" i="3"/>
  <c r="K755" i="3"/>
  <c r="H755" i="3"/>
  <c r="H757" i="3" s="1"/>
  <c r="J754" i="3"/>
  <c r="I754" i="3"/>
  <c r="G754" i="3"/>
  <c r="K753" i="3"/>
  <c r="L753" i="3" s="1"/>
  <c r="H753" i="3"/>
  <c r="H754" i="3" s="1"/>
  <c r="J752" i="3"/>
  <c r="I752" i="3"/>
  <c r="H752" i="3"/>
  <c r="G752" i="3"/>
  <c r="L751" i="3"/>
  <c r="K751" i="3"/>
  <c r="H751" i="3"/>
  <c r="L750" i="3"/>
  <c r="K750" i="3"/>
  <c r="H750" i="3"/>
  <c r="L749" i="3"/>
  <c r="K749" i="3"/>
  <c r="H749" i="3"/>
  <c r="J748" i="3"/>
  <c r="I748" i="3"/>
  <c r="G748" i="3"/>
  <c r="K747" i="3"/>
  <c r="L747" i="3" s="1"/>
  <c r="H747" i="3"/>
  <c r="L746" i="3"/>
  <c r="K746" i="3"/>
  <c r="H746" i="3"/>
  <c r="K745" i="3"/>
  <c r="L745" i="3" s="1"/>
  <c r="H745" i="3"/>
  <c r="L744" i="3"/>
  <c r="K744" i="3"/>
  <c r="H744" i="3"/>
  <c r="L743" i="3"/>
  <c r="K743" i="3"/>
  <c r="H743" i="3"/>
  <c r="K742" i="3"/>
  <c r="L742" i="3" s="1"/>
  <c r="H742" i="3"/>
  <c r="H748" i="3" s="1"/>
  <c r="K741" i="3"/>
  <c r="L741" i="3" s="1"/>
  <c r="H741" i="3"/>
  <c r="J740" i="3"/>
  <c r="I740" i="3"/>
  <c r="G740" i="3"/>
  <c r="L739" i="3"/>
  <c r="K739" i="3"/>
  <c r="H739" i="3"/>
  <c r="L738" i="3"/>
  <c r="K738" i="3"/>
  <c r="H738" i="3"/>
  <c r="K737" i="3"/>
  <c r="L737" i="3" s="1"/>
  <c r="H737" i="3"/>
  <c r="K736" i="3"/>
  <c r="L736" i="3" s="1"/>
  <c r="H736" i="3"/>
  <c r="K735" i="3"/>
  <c r="L735" i="3" s="1"/>
  <c r="H735" i="3"/>
  <c r="K734" i="3"/>
  <c r="L734" i="3" s="1"/>
  <c r="H734" i="3"/>
  <c r="H740" i="3" s="1"/>
  <c r="J733" i="3"/>
  <c r="I733" i="3"/>
  <c r="G733" i="3"/>
  <c r="L732" i="3"/>
  <c r="K732" i="3"/>
  <c r="H732" i="3"/>
  <c r="L731" i="3"/>
  <c r="K731" i="3"/>
  <c r="H731" i="3"/>
  <c r="L730" i="3"/>
  <c r="K730" i="3"/>
  <c r="H730" i="3"/>
  <c r="L729" i="3"/>
  <c r="K729" i="3"/>
  <c r="H729" i="3"/>
  <c r="L728" i="3"/>
  <c r="K728" i="3"/>
  <c r="H728" i="3"/>
  <c r="H733" i="3" s="1"/>
  <c r="L727" i="3"/>
  <c r="K727" i="3"/>
  <c r="H727" i="3"/>
  <c r="J726" i="3"/>
  <c r="I726" i="3"/>
  <c r="G726" i="3"/>
  <c r="L725" i="3"/>
  <c r="K725" i="3"/>
  <c r="H725" i="3"/>
  <c r="L724" i="3"/>
  <c r="K724" i="3"/>
  <c r="H724" i="3"/>
  <c r="K723" i="3"/>
  <c r="L723" i="3" s="1"/>
  <c r="H723" i="3"/>
  <c r="H726" i="3" s="1"/>
  <c r="L722" i="3"/>
  <c r="K722" i="3"/>
  <c r="H722" i="3"/>
  <c r="J721" i="3"/>
  <c r="I721" i="3"/>
  <c r="G721" i="3"/>
  <c r="L720" i="3"/>
  <c r="K720" i="3"/>
  <c r="H720" i="3"/>
  <c r="L719" i="3"/>
  <c r="K719" i="3"/>
  <c r="H719" i="3"/>
  <c r="K718" i="3"/>
  <c r="L718" i="3" s="1"/>
  <c r="H718" i="3"/>
  <c r="K717" i="3"/>
  <c r="L717" i="3" s="1"/>
  <c r="H717" i="3"/>
  <c r="K716" i="3"/>
  <c r="L716" i="3" s="1"/>
  <c r="H716" i="3"/>
  <c r="H721" i="3" s="1"/>
  <c r="J715" i="3"/>
  <c r="I715" i="3"/>
  <c r="H715" i="3"/>
  <c r="G715" i="3"/>
  <c r="K714" i="3"/>
  <c r="L714" i="3" s="1"/>
  <c r="H714" i="3"/>
  <c r="L713" i="3"/>
  <c r="K713" i="3"/>
  <c r="H713" i="3"/>
  <c r="L712" i="3"/>
  <c r="K712" i="3"/>
  <c r="H712" i="3"/>
  <c r="J711" i="3"/>
  <c r="I711" i="3"/>
  <c r="G711" i="3"/>
  <c r="K710" i="3"/>
  <c r="L710" i="3" s="1"/>
  <c r="H710" i="3"/>
  <c r="K709" i="3"/>
  <c r="L709" i="3" s="1"/>
  <c r="H709" i="3"/>
  <c r="L708" i="3"/>
  <c r="K708" i="3"/>
  <c r="H708" i="3"/>
  <c r="K707" i="3"/>
  <c r="L707" i="3" s="1"/>
  <c r="H707" i="3"/>
  <c r="J706" i="3"/>
  <c r="I706" i="3"/>
  <c r="G706" i="3"/>
  <c r="L705" i="3"/>
  <c r="K705" i="3"/>
  <c r="H705" i="3"/>
  <c r="K704" i="3"/>
  <c r="L704" i="3" s="1"/>
  <c r="H704" i="3"/>
  <c r="L703" i="3"/>
  <c r="K703" i="3"/>
  <c r="H703" i="3"/>
  <c r="K702" i="3"/>
  <c r="L702" i="3" s="1"/>
  <c r="H702" i="3"/>
  <c r="L701" i="3"/>
  <c r="K701" i="3"/>
  <c r="H701" i="3"/>
  <c r="H706" i="3" s="1"/>
  <c r="J700" i="3"/>
  <c r="I700" i="3"/>
  <c r="G700" i="3"/>
  <c r="L699" i="3"/>
  <c r="K699" i="3"/>
  <c r="H699" i="3"/>
  <c r="K698" i="3"/>
  <c r="L698" i="3" s="1"/>
  <c r="H698" i="3"/>
  <c r="K697" i="3"/>
  <c r="L697" i="3" s="1"/>
  <c r="H697" i="3"/>
  <c r="L696" i="3"/>
  <c r="K696" i="3"/>
  <c r="H696" i="3"/>
  <c r="K695" i="3"/>
  <c r="L695" i="3" s="1"/>
  <c r="H695" i="3"/>
  <c r="J694" i="3"/>
  <c r="I694" i="3"/>
  <c r="G694" i="3"/>
  <c r="K693" i="3"/>
  <c r="L693" i="3" s="1"/>
  <c r="H693" i="3"/>
  <c r="K692" i="3"/>
  <c r="L692" i="3" s="1"/>
  <c r="H692" i="3"/>
  <c r="L691" i="3"/>
  <c r="K691" i="3"/>
  <c r="H691" i="3"/>
  <c r="K690" i="3"/>
  <c r="L690" i="3" s="1"/>
  <c r="H690" i="3"/>
  <c r="J689" i="3"/>
  <c r="I689" i="3"/>
  <c r="H689" i="3"/>
  <c r="G689" i="3"/>
  <c r="L688" i="3"/>
  <c r="K688" i="3"/>
  <c r="H688" i="3"/>
  <c r="L687" i="3"/>
  <c r="K687" i="3"/>
  <c r="H687" i="3"/>
  <c r="J686" i="3"/>
  <c r="I686" i="3"/>
  <c r="G686" i="3"/>
  <c r="L685" i="3"/>
  <c r="K685" i="3"/>
  <c r="H685" i="3"/>
  <c r="K684" i="3"/>
  <c r="L684" i="3" s="1"/>
  <c r="H684" i="3"/>
  <c r="L683" i="3"/>
  <c r="K683" i="3"/>
  <c r="H683" i="3"/>
  <c r="K682" i="3"/>
  <c r="L682" i="3" s="1"/>
  <c r="H682" i="3"/>
  <c r="L681" i="3"/>
  <c r="K681" i="3"/>
  <c r="H681" i="3"/>
  <c r="L680" i="3"/>
  <c r="K680" i="3"/>
  <c r="H680" i="3"/>
  <c r="J679" i="3"/>
  <c r="I679" i="3"/>
  <c r="H679" i="3"/>
  <c r="G679" i="3"/>
  <c r="L678" i="3"/>
  <c r="K678" i="3"/>
  <c r="H678" i="3"/>
  <c r="K677" i="3"/>
  <c r="L677" i="3" s="1"/>
  <c r="H677" i="3"/>
  <c r="L676" i="3"/>
  <c r="K676" i="3"/>
  <c r="H676" i="3"/>
  <c r="L675" i="3"/>
  <c r="K675" i="3"/>
  <c r="H675" i="3"/>
  <c r="K674" i="3"/>
  <c r="L674" i="3" s="1"/>
  <c r="H674" i="3"/>
  <c r="J673" i="3"/>
  <c r="I673" i="3"/>
  <c r="H673" i="3"/>
  <c r="G673" i="3"/>
  <c r="J670" i="3"/>
  <c r="I670" i="3"/>
  <c r="G670" i="3"/>
  <c r="K669" i="3"/>
  <c r="L669" i="3" s="1"/>
  <c r="H669" i="3"/>
  <c r="L668" i="3"/>
  <c r="K668" i="3"/>
  <c r="H668" i="3"/>
  <c r="H670" i="3" s="1"/>
  <c r="J667" i="3"/>
  <c r="I667" i="3"/>
  <c r="G667" i="3"/>
  <c r="L666" i="3"/>
  <c r="K666" i="3"/>
  <c r="H666" i="3"/>
  <c r="K665" i="3"/>
  <c r="L665" i="3" s="1"/>
  <c r="H665" i="3"/>
  <c r="K664" i="3"/>
  <c r="L664" i="3" s="1"/>
  <c r="H664" i="3"/>
  <c r="J663" i="3"/>
  <c r="I663" i="3"/>
  <c r="H663" i="3"/>
  <c r="G663" i="3"/>
  <c r="L662" i="3"/>
  <c r="K662" i="3"/>
  <c r="H662" i="3"/>
  <c r="J661" i="3"/>
  <c r="I661" i="3"/>
  <c r="G661" i="3"/>
  <c r="L660" i="3"/>
  <c r="K660" i="3"/>
  <c r="H660" i="3"/>
  <c r="K659" i="3"/>
  <c r="L659" i="3" s="1"/>
  <c r="H659" i="3"/>
  <c r="H661" i="3" s="1"/>
  <c r="J658" i="3"/>
  <c r="I658" i="3"/>
  <c r="G658" i="3"/>
  <c r="L657" i="3"/>
  <c r="K657" i="3"/>
  <c r="H657" i="3"/>
  <c r="L656" i="3"/>
  <c r="K656" i="3"/>
  <c r="H656" i="3"/>
  <c r="H658" i="3" s="1"/>
  <c r="J655" i="3"/>
  <c r="I655" i="3"/>
  <c r="G655" i="3"/>
  <c r="L654" i="3"/>
  <c r="K654" i="3"/>
  <c r="H654" i="3"/>
  <c r="K653" i="3"/>
  <c r="L653" i="3" s="1"/>
  <c r="H653" i="3"/>
  <c r="H655" i="3" s="1"/>
  <c r="J652" i="3"/>
  <c r="I652" i="3"/>
  <c r="G652" i="3"/>
  <c r="G819" i="3" s="1"/>
  <c r="K651" i="3"/>
  <c r="L651" i="3" s="1"/>
  <c r="H651" i="3"/>
  <c r="L650" i="3"/>
  <c r="K650" i="3"/>
  <c r="H650" i="3"/>
  <c r="L649" i="3"/>
  <c r="K649" i="3"/>
  <c r="H649" i="3"/>
  <c r="K648" i="3"/>
  <c r="L648" i="3" s="1"/>
  <c r="H648" i="3"/>
  <c r="K647" i="3"/>
  <c r="L647" i="3" s="1"/>
  <c r="H647" i="3"/>
  <c r="L646" i="3"/>
  <c r="K646" i="3"/>
  <c r="H646" i="3"/>
  <c r="K645" i="3"/>
  <c r="L645" i="3" s="1"/>
  <c r="H645" i="3"/>
  <c r="H652" i="3" s="1"/>
  <c r="J644" i="3"/>
  <c r="I644" i="3"/>
  <c r="H644" i="3"/>
  <c r="G644" i="3"/>
  <c r="L643" i="3"/>
  <c r="K643" i="3"/>
  <c r="H643" i="3"/>
  <c r="J642" i="3"/>
  <c r="I642" i="3"/>
  <c r="G642" i="3"/>
  <c r="K641" i="3"/>
  <c r="L641" i="3" s="1"/>
  <c r="H641" i="3"/>
  <c r="K640" i="3"/>
  <c r="L640" i="3" s="1"/>
  <c r="H640" i="3"/>
  <c r="K639" i="3"/>
  <c r="L639" i="3" s="1"/>
  <c r="H639" i="3"/>
  <c r="L638" i="3"/>
  <c r="K638" i="3"/>
  <c r="H638" i="3"/>
  <c r="K637" i="3"/>
  <c r="L637" i="3" s="1"/>
  <c r="H637" i="3"/>
  <c r="J636" i="3"/>
  <c r="I636" i="3"/>
  <c r="G636" i="3"/>
  <c r="L635" i="3"/>
  <c r="K635" i="3"/>
  <c r="H635" i="3"/>
  <c r="K634" i="3"/>
  <c r="L634" i="3" s="1"/>
  <c r="H634" i="3"/>
  <c r="L633" i="3"/>
  <c r="K633" i="3"/>
  <c r="H633" i="3"/>
  <c r="K632" i="3"/>
  <c r="L632" i="3" s="1"/>
  <c r="H632" i="3"/>
  <c r="J631" i="3"/>
  <c r="J819" i="3" s="1"/>
  <c r="I631" i="3"/>
  <c r="G631" i="3"/>
  <c r="L630" i="3"/>
  <c r="K630" i="3"/>
  <c r="H630" i="3"/>
  <c r="L629" i="3"/>
  <c r="K629" i="3"/>
  <c r="H629" i="3"/>
  <c r="K628" i="3"/>
  <c r="L628" i="3" s="1"/>
  <c r="H628" i="3"/>
  <c r="K627" i="3"/>
  <c r="L627" i="3" s="1"/>
  <c r="H627" i="3"/>
  <c r="L626" i="3"/>
  <c r="K626" i="3"/>
  <c r="H626" i="3"/>
  <c r="J625" i="3"/>
  <c r="I625" i="3"/>
  <c r="I819" i="3" s="1"/>
  <c r="G625" i="3"/>
  <c r="L624" i="3"/>
  <c r="K624" i="3"/>
  <c r="H624" i="3"/>
  <c r="H625" i="3" s="1"/>
  <c r="J623" i="3"/>
  <c r="I623" i="3"/>
  <c r="G623" i="3"/>
  <c r="K622" i="3"/>
  <c r="L622" i="3" s="1"/>
  <c r="H622" i="3"/>
  <c r="L621" i="3"/>
  <c r="K621" i="3"/>
  <c r="H621" i="3"/>
  <c r="J619" i="3"/>
  <c r="I619" i="3"/>
  <c r="G619" i="3"/>
  <c r="L618" i="3"/>
  <c r="K618" i="3"/>
  <c r="H618" i="3"/>
  <c r="L617" i="3"/>
  <c r="K617" i="3"/>
  <c r="H617" i="3"/>
  <c r="H616" i="3"/>
  <c r="K616" i="3" s="1"/>
  <c r="L616" i="3" s="1"/>
  <c r="K615" i="3"/>
  <c r="L615" i="3" s="1"/>
  <c r="H615" i="3"/>
  <c r="H619" i="3" s="1"/>
  <c r="J614" i="3"/>
  <c r="I614" i="3"/>
  <c r="H614" i="3"/>
  <c r="G614" i="3"/>
  <c r="L613" i="3"/>
  <c r="H613" i="3"/>
  <c r="K613" i="3" s="1"/>
  <c r="J612" i="3"/>
  <c r="I612" i="3"/>
  <c r="G612" i="3"/>
  <c r="L611" i="3"/>
  <c r="K611" i="3"/>
  <c r="H611" i="3"/>
  <c r="H610" i="3"/>
  <c r="K610" i="3" s="1"/>
  <c r="L610" i="3" s="1"/>
  <c r="H609" i="3"/>
  <c r="J608" i="3"/>
  <c r="I608" i="3"/>
  <c r="H608" i="3"/>
  <c r="G608" i="3"/>
  <c r="H607" i="3"/>
  <c r="K607" i="3" s="1"/>
  <c r="L607" i="3" s="1"/>
  <c r="L606" i="3"/>
  <c r="K606" i="3"/>
  <c r="H606" i="3"/>
  <c r="K605" i="3"/>
  <c r="L605" i="3" s="1"/>
  <c r="H605" i="3"/>
  <c r="H604" i="3"/>
  <c r="K604" i="3" s="1"/>
  <c r="L604" i="3" s="1"/>
  <c r="J603" i="3"/>
  <c r="I603" i="3"/>
  <c r="H603" i="3"/>
  <c r="G603" i="3"/>
  <c r="L602" i="3"/>
  <c r="K602" i="3"/>
  <c r="H602" i="3"/>
  <c r="K601" i="3"/>
  <c r="L601" i="3" s="1"/>
  <c r="H601" i="3"/>
  <c r="L600" i="3"/>
  <c r="K600" i="3"/>
  <c r="H600" i="3"/>
  <c r="H599" i="3"/>
  <c r="K599" i="3" s="1"/>
  <c r="L599" i="3" s="1"/>
  <c r="J598" i="3"/>
  <c r="I598" i="3"/>
  <c r="G598" i="3"/>
  <c r="K597" i="3"/>
  <c r="L597" i="3" s="1"/>
  <c r="H597" i="3"/>
  <c r="H596" i="3"/>
  <c r="K596" i="3" s="1"/>
  <c r="L596" i="3" s="1"/>
  <c r="H595" i="3"/>
  <c r="K594" i="3"/>
  <c r="L594" i="3" s="1"/>
  <c r="H594" i="3"/>
  <c r="J593" i="3"/>
  <c r="I593" i="3"/>
  <c r="G593" i="3"/>
  <c r="H592" i="3"/>
  <c r="K592" i="3" s="1"/>
  <c r="L592" i="3" s="1"/>
  <c r="K591" i="3"/>
  <c r="L591" i="3" s="1"/>
  <c r="H591" i="3"/>
  <c r="H590" i="3"/>
  <c r="H593" i="3" s="1"/>
  <c r="K589" i="3"/>
  <c r="L589" i="3" s="1"/>
  <c r="H589" i="3"/>
  <c r="J588" i="3"/>
  <c r="I588" i="3"/>
  <c r="G588" i="3"/>
  <c r="L587" i="3"/>
  <c r="K587" i="3"/>
  <c r="H587" i="3"/>
  <c r="L586" i="3"/>
  <c r="K586" i="3"/>
  <c r="H586" i="3"/>
  <c r="H585" i="3"/>
  <c r="K585" i="3" s="1"/>
  <c r="L585" i="3" s="1"/>
  <c r="H584" i="3"/>
  <c r="H588" i="3" s="1"/>
  <c r="J583" i="3"/>
  <c r="I583" i="3"/>
  <c r="H583" i="3"/>
  <c r="G583" i="3"/>
  <c r="H582" i="3"/>
  <c r="K582" i="3" s="1"/>
  <c r="L582" i="3" s="1"/>
  <c r="L581" i="3"/>
  <c r="K581" i="3"/>
  <c r="H581" i="3"/>
  <c r="K580" i="3"/>
  <c r="L580" i="3" s="1"/>
  <c r="H580" i="3"/>
  <c r="J579" i="3"/>
  <c r="I579" i="3"/>
  <c r="G579" i="3"/>
  <c r="H578" i="3"/>
  <c r="K578" i="3" s="1"/>
  <c r="L578" i="3" s="1"/>
  <c r="H577" i="3"/>
  <c r="H579" i="3" s="1"/>
  <c r="K576" i="3"/>
  <c r="L576" i="3" s="1"/>
  <c r="H576" i="3"/>
  <c r="L575" i="3"/>
  <c r="K575" i="3"/>
  <c r="H575" i="3"/>
  <c r="J574" i="3"/>
  <c r="I574" i="3"/>
  <c r="G574" i="3"/>
  <c r="H573" i="3"/>
  <c r="K573" i="3" s="1"/>
  <c r="L573" i="3" s="1"/>
  <c r="L572" i="3"/>
  <c r="K572" i="3"/>
  <c r="H572" i="3"/>
  <c r="H571" i="3"/>
  <c r="H574" i="3" s="1"/>
  <c r="J570" i="3"/>
  <c r="I570" i="3"/>
  <c r="H570" i="3"/>
  <c r="G570" i="3"/>
  <c r="L569" i="3"/>
  <c r="K569" i="3"/>
  <c r="H569" i="3"/>
  <c r="H568" i="3"/>
  <c r="K568" i="3" s="1"/>
  <c r="L568" i="3" s="1"/>
  <c r="H567" i="3"/>
  <c r="K567" i="3" s="1"/>
  <c r="L567" i="3" s="1"/>
  <c r="H566" i="3"/>
  <c r="K566" i="3" s="1"/>
  <c r="L566" i="3" s="1"/>
  <c r="J565" i="3"/>
  <c r="I565" i="3"/>
  <c r="H565" i="3"/>
  <c r="G565" i="3"/>
  <c r="H564" i="3"/>
  <c r="K564" i="3" s="1"/>
  <c r="L564" i="3" s="1"/>
  <c r="K563" i="3"/>
  <c r="L563" i="3" s="1"/>
  <c r="H563" i="3"/>
  <c r="L562" i="3"/>
  <c r="K562" i="3"/>
  <c r="H562" i="3"/>
  <c r="L561" i="3"/>
  <c r="K561" i="3"/>
  <c r="H561" i="3"/>
  <c r="J560" i="3"/>
  <c r="I560" i="3"/>
  <c r="G560" i="3"/>
  <c r="K559" i="3"/>
  <c r="L559" i="3" s="1"/>
  <c r="H559" i="3"/>
  <c r="K558" i="3"/>
  <c r="L558" i="3" s="1"/>
  <c r="H558" i="3"/>
  <c r="H557" i="3"/>
  <c r="K557" i="3" s="1"/>
  <c r="L557" i="3" s="1"/>
  <c r="L556" i="3"/>
  <c r="K556" i="3"/>
  <c r="H556" i="3"/>
  <c r="K555" i="3"/>
  <c r="L555" i="3" s="1"/>
  <c r="H555" i="3"/>
  <c r="J554" i="3"/>
  <c r="I554" i="3"/>
  <c r="H554" i="3"/>
  <c r="G554" i="3"/>
  <c r="H553" i="3"/>
  <c r="K553" i="3" s="1"/>
  <c r="L553" i="3" s="1"/>
  <c r="J552" i="3"/>
  <c r="I552" i="3"/>
  <c r="G552" i="3"/>
  <c r="L551" i="3"/>
  <c r="H551" i="3"/>
  <c r="K551" i="3" s="1"/>
  <c r="L550" i="3"/>
  <c r="K550" i="3"/>
  <c r="H550" i="3"/>
  <c r="K549" i="3"/>
  <c r="L549" i="3" s="1"/>
  <c r="H549" i="3"/>
  <c r="H548" i="3"/>
  <c r="K548" i="3" s="1"/>
  <c r="L548" i="3" s="1"/>
  <c r="J547" i="3"/>
  <c r="I547" i="3"/>
  <c r="H547" i="3"/>
  <c r="G547" i="3"/>
  <c r="K546" i="3"/>
  <c r="L546" i="3" s="1"/>
  <c r="H546" i="3"/>
  <c r="K545" i="3"/>
  <c r="L545" i="3" s="1"/>
  <c r="H545" i="3"/>
  <c r="L544" i="3"/>
  <c r="K544" i="3"/>
  <c r="H544" i="3"/>
  <c r="H543" i="3"/>
  <c r="K543" i="3" s="1"/>
  <c r="L543" i="3" s="1"/>
  <c r="H542" i="3"/>
  <c r="K542" i="3" s="1"/>
  <c r="L542" i="3" s="1"/>
  <c r="H541" i="3"/>
  <c r="K541" i="3" s="1"/>
  <c r="L541" i="3" s="1"/>
  <c r="J540" i="3"/>
  <c r="I540" i="3"/>
  <c r="G540" i="3"/>
  <c r="H539" i="3"/>
  <c r="K539" i="3" s="1"/>
  <c r="L539" i="3" s="1"/>
  <c r="K538" i="3"/>
  <c r="L538" i="3" s="1"/>
  <c r="H538" i="3"/>
  <c r="L537" i="3"/>
  <c r="K537" i="3"/>
  <c r="H537" i="3"/>
  <c r="L536" i="3"/>
  <c r="K536" i="3"/>
  <c r="H536" i="3"/>
  <c r="J535" i="3"/>
  <c r="I535" i="3"/>
  <c r="G535" i="3"/>
  <c r="H534" i="3"/>
  <c r="K534" i="3" s="1"/>
  <c r="L534" i="3" s="1"/>
  <c r="K533" i="3"/>
  <c r="L533" i="3" s="1"/>
  <c r="H533" i="3"/>
  <c r="H532" i="3"/>
  <c r="K532" i="3" s="1"/>
  <c r="L532" i="3" s="1"/>
  <c r="L531" i="3"/>
  <c r="K531" i="3"/>
  <c r="H531" i="3"/>
  <c r="K530" i="3"/>
  <c r="L530" i="3" s="1"/>
  <c r="H530" i="3"/>
  <c r="J529" i="3"/>
  <c r="I529" i="3"/>
  <c r="G529" i="3"/>
  <c r="L528" i="3"/>
  <c r="K528" i="3"/>
  <c r="H528" i="3"/>
  <c r="H527" i="3"/>
  <c r="H529" i="3" s="1"/>
  <c r="K526" i="3"/>
  <c r="L526" i="3" s="1"/>
  <c r="H526" i="3"/>
  <c r="L525" i="3"/>
  <c r="K525" i="3"/>
  <c r="H525" i="3"/>
  <c r="J524" i="3"/>
  <c r="I524" i="3"/>
  <c r="G524" i="3"/>
  <c r="H523" i="3"/>
  <c r="K523" i="3" s="1"/>
  <c r="L523" i="3" s="1"/>
  <c r="H522" i="3"/>
  <c r="K522" i="3" s="1"/>
  <c r="L522" i="3" s="1"/>
  <c r="H521" i="3"/>
  <c r="K521" i="3" s="1"/>
  <c r="L521" i="3" s="1"/>
  <c r="H520" i="3"/>
  <c r="K519" i="3"/>
  <c r="L519" i="3" s="1"/>
  <c r="H519" i="3"/>
  <c r="J518" i="3"/>
  <c r="I518" i="3"/>
  <c r="G518" i="3"/>
  <c r="H517" i="3"/>
  <c r="K517" i="3" s="1"/>
  <c r="L517" i="3" s="1"/>
  <c r="H516" i="3"/>
  <c r="K516" i="3" s="1"/>
  <c r="L516" i="3" s="1"/>
  <c r="K515" i="3"/>
  <c r="L515" i="3" s="1"/>
  <c r="H515" i="3"/>
  <c r="L514" i="3"/>
  <c r="K514" i="3"/>
  <c r="H514" i="3"/>
  <c r="J513" i="3"/>
  <c r="I513" i="3"/>
  <c r="H513" i="3"/>
  <c r="G513" i="3"/>
  <c r="K512" i="3"/>
  <c r="L512" i="3" s="1"/>
  <c r="H512" i="3"/>
  <c r="L511" i="3"/>
  <c r="K511" i="3"/>
  <c r="H511" i="3"/>
  <c r="K510" i="3"/>
  <c r="L510" i="3" s="1"/>
  <c r="H510" i="3"/>
  <c r="J509" i="3"/>
  <c r="I509" i="3"/>
  <c r="H509" i="3"/>
  <c r="G509" i="3"/>
  <c r="L508" i="3"/>
  <c r="K508" i="3"/>
  <c r="H508" i="3"/>
  <c r="H507" i="3"/>
  <c r="K507" i="3" s="1"/>
  <c r="L507" i="3" s="1"/>
  <c r="L506" i="3"/>
  <c r="K506" i="3"/>
  <c r="H506" i="3"/>
  <c r="K505" i="3"/>
  <c r="L505" i="3" s="1"/>
  <c r="H505" i="3"/>
  <c r="J504" i="3"/>
  <c r="I504" i="3"/>
  <c r="G504" i="3"/>
  <c r="H503" i="3"/>
  <c r="H504" i="3" s="1"/>
  <c r="K502" i="3"/>
  <c r="L502" i="3" s="1"/>
  <c r="H502" i="3"/>
  <c r="K501" i="3"/>
  <c r="L501" i="3" s="1"/>
  <c r="H501" i="3"/>
  <c r="L500" i="3"/>
  <c r="K500" i="3"/>
  <c r="H500" i="3"/>
  <c r="J499" i="3"/>
  <c r="I499" i="3"/>
  <c r="G499" i="3"/>
  <c r="H498" i="3"/>
  <c r="K498" i="3" s="1"/>
  <c r="L498" i="3" s="1"/>
  <c r="H497" i="3"/>
  <c r="K497" i="3" s="1"/>
  <c r="L497" i="3" s="1"/>
  <c r="H496" i="3"/>
  <c r="K496" i="3" s="1"/>
  <c r="L496" i="3" s="1"/>
  <c r="H495" i="3"/>
  <c r="J494" i="3"/>
  <c r="I494" i="3"/>
  <c r="G494" i="3"/>
  <c r="H493" i="3"/>
  <c r="K493" i="3" s="1"/>
  <c r="L493" i="3" s="1"/>
  <c r="H492" i="3"/>
  <c r="K492" i="3" s="1"/>
  <c r="L492" i="3" s="1"/>
  <c r="K491" i="3"/>
  <c r="H491" i="3"/>
  <c r="H494" i="3" s="1"/>
  <c r="J490" i="3"/>
  <c r="I490" i="3"/>
  <c r="H490" i="3"/>
  <c r="G490" i="3"/>
  <c r="K489" i="3"/>
  <c r="H489" i="3"/>
  <c r="J488" i="3"/>
  <c r="I488" i="3"/>
  <c r="G488" i="3"/>
  <c r="H487" i="3"/>
  <c r="K487" i="3" s="1"/>
  <c r="L487" i="3" s="1"/>
  <c r="K486" i="3"/>
  <c r="L486" i="3" s="1"/>
  <c r="H486" i="3"/>
  <c r="H485" i="3"/>
  <c r="K485" i="3" s="1"/>
  <c r="L485" i="3" s="1"/>
  <c r="K484" i="3"/>
  <c r="L484" i="3" s="1"/>
  <c r="H484" i="3"/>
  <c r="H483" i="3"/>
  <c r="J482" i="3"/>
  <c r="I482" i="3"/>
  <c r="H482" i="3"/>
  <c r="G482" i="3"/>
  <c r="L481" i="3"/>
  <c r="K481" i="3"/>
  <c r="H481" i="3"/>
  <c r="H480" i="3"/>
  <c r="K480" i="3" s="1"/>
  <c r="L480" i="3" s="1"/>
  <c r="H479" i="3"/>
  <c r="K479" i="3" s="1"/>
  <c r="L479" i="3" s="1"/>
  <c r="J478" i="3"/>
  <c r="I478" i="3"/>
  <c r="G478" i="3"/>
  <c r="H477" i="3"/>
  <c r="H478" i="3" s="1"/>
  <c r="H476" i="3"/>
  <c r="K476" i="3" s="1"/>
  <c r="L476" i="3" s="1"/>
  <c r="K475" i="3"/>
  <c r="L475" i="3" s="1"/>
  <c r="H475" i="3"/>
  <c r="K474" i="3"/>
  <c r="L474" i="3" s="1"/>
  <c r="H474" i="3"/>
  <c r="J473" i="3"/>
  <c r="I473" i="3"/>
  <c r="G473" i="3"/>
  <c r="H472" i="3"/>
  <c r="K472" i="3" s="1"/>
  <c r="L472" i="3" s="1"/>
  <c r="H471" i="3"/>
  <c r="K471" i="3" s="1"/>
  <c r="L471" i="3" s="1"/>
  <c r="K470" i="3"/>
  <c r="H470" i="3"/>
  <c r="K469" i="3"/>
  <c r="L469" i="3" s="1"/>
  <c r="H469" i="3"/>
  <c r="J468" i="3"/>
  <c r="I468" i="3"/>
  <c r="G468" i="3"/>
  <c r="K467" i="3"/>
  <c r="L467" i="3" s="1"/>
  <c r="H467" i="3"/>
  <c r="H466" i="3"/>
  <c r="K466" i="3" s="1"/>
  <c r="L466" i="3" s="1"/>
  <c r="H465" i="3"/>
  <c r="K465" i="3" s="1"/>
  <c r="L465" i="3" s="1"/>
  <c r="K464" i="3"/>
  <c r="L464" i="3" s="1"/>
  <c r="H464" i="3"/>
  <c r="J463" i="3"/>
  <c r="I463" i="3"/>
  <c r="H463" i="3"/>
  <c r="G463" i="3"/>
  <c r="L462" i="3"/>
  <c r="K462" i="3"/>
  <c r="H462" i="3"/>
  <c r="H461" i="3"/>
  <c r="K461" i="3" s="1"/>
  <c r="L461" i="3" s="1"/>
  <c r="H460" i="3"/>
  <c r="K460" i="3" s="1"/>
  <c r="L460" i="3" s="1"/>
  <c r="K459" i="3"/>
  <c r="L459" i="3" s="1"/>
  <c r="H459" i="3"/>
  <c r="J458" i="3"/>
  <c r="I458" i="3"/>
  <c r="G458" i="3"/>
  <c r="H457" i="3"/>
  <c r="K457" i="3" s="1"/>
  <c r="L457" i="3" s="1"/>
  <c r="K456" i="3"/>
  <c r="L456" i="3" s="1"/>
  <c r="H456" i="3"/>
  <c r="K455" i="3"/>
  <c r="L455" i="3" s="1"/>
  <c r="H455" i="3"/>
  <c r="J454" i="3"/>
  <c r="I454" i="3"/>
  <c r="G454" i="3"/>
  <c r="H453" i="3"/>
  <c r="K453" i="3" s="1"/>
  <c r="L453" i="3" s="1"/>
  <c r="H452" i="3"/>
  <c r="K452" i="3" s="1"/>
  <c r="L452" i="3" s="1"/>
  <c r="K451" i="3"/>
  <c r="L451" i="3" s="1"/>
  <c r="H451" i="3"/>
  <c r="H450" i="3"/>
  <c r="J449" i="3"/>
  <c r="I449" i="3"/>
  <c r="G449" i="3"/>
  <c r="L448" i="3"/>
  <c r="K448" i="3"/>
  <c r="H448" i="3"/>
  <c r="H447" i="3"/>
  <c r="K447" i="3" s="1"/>
  <c r="L447" i="3" s="1"/>
  <c r="H446" i="3"/>
  <c r="K446" i="3" s="1"/>
  <c r="L446" i="3" s="1"/>
  <c r="K445" i="3"/>
  <c r="L445" i="3" s="1"/>
  <c r="H445" i="3"/>
  <c r="J444" i="3"/>
  <c r="I444" i="3"/>
  <c r="G444" i="3"/>
  <c r="H443" i="3"/>
  <c r="K443" i="3" s="1"/>
  <c r="L443" i="3" s="1"/>
  <c r="K442" i="3"/>
  <c r="L442" i="3" s="1"/>
  <c r="H442" i="3"/>
  <c r="H441" i="3"/>
  <c r="K441" i="3" s="1"/>
  <c r="L441" i="3" s="1"/>
  <c r="H440" i="3"/>
  <c r="K440" i="3" s="1"/>
  <c r="L440" i="3" s="1"/>
  <c r="H439" i="3"/>
  <c r="H444" i="3" s="1"/>
  <c r="J438" i="3"/>
  <c r="I438" i="3"/>
  <c r="H438" i="3"/>
  <c r="G438" i="3"/>
  <c r="L437" i="3"/>
  <c r="K437" i="3"/>
  <c r="H437" i="3"/>
  <c r="H436" i="3"/>
  <c r="K436" i="3" s="1"/>
  <c r="L436" i="3" s="1"/>
  <c r="H435" i="3"/>
  <c r="K435" i="3" s="1"/>
  <c r="L435" i="3" s="1"/>
  <c r="H434" i="3"/>
  <c r="K434" i="3" s="1"/>
  <c r="L434" i="3" s="1"/>
  <c r="J433" i="3"/>
  <c r="I433" i="3"/>
  <c r="H433" i="3"/>
  <c r="G433" i="3"/>
  <c r="H432" i="3"/>
  <c r="K432" i="3" s="1"/>
  <c r="L432" i="3" s="1"/>
  <c r="K431" i="3"/>
  <c r="L431" i="3" s="1"/>
  <c r="H431" i="3"/>
  <c r="K430" i="3"/>
  <c r="L430" i="3" s="1"/>
  <c r="H430" i="3"/>
  <c r="L429" i="3"/>
  <c r="K429" i="3"/>
  <c r="H429" i="3"/>
  <c r="J428" i="3"/>
  <c r="I428" i="3"/>
  <c r="G428" i="3"/>
  <c r="H427" i="3"/>
  <c r="K427" i="3" s="1"/>
  <c r="L427" i="3" s="1"/>
  <c r="K426" i="3"/>
  <c r="L426" i="3" s="1"/>
  <c r="H426" i="3"/>
  <c r="H425" i="3"/>
  <c r="K425" i="3" s="1"/>
  <c r="L425" i="3" s="1"/>
  <c r="H424" i="3"/>
  <c r="K424" i="3" s="1"/>
  <c r="L424" i="3" s="1"/>
  <c r="J423" i="3"/>
  <c r="I423" i="3"/>
  <c r="G423" i="3"/>
  <c r="H422" i="3"/>
  <c r="H423" i="3" s="1"/>
  <c r="J421" i="3"/>
  <c r="I421" i="3"/>
  <c r="H421" i="3"/>
  <c r="G421" i="3"/>
  <c r="L420" i="3"/>
  <c r="K420" i="3"/>
  <c r="H420" i="3"/>
  <c r="J419" i="3"/>
  <c r="I419" i="3"/>
  <c r="H419" i="3"/>
  <c r="G419" i="3"/>
  <c r="K418" i="3"/>
  <c r="L418" i="3" s="1"/>
  <c r="H418" i="3"/>
  <c r="L417" i="3"/>
  <c r="K417" i="3"/>
  <c r="H417" i="3"/>
  <c r="J416" i="3"/>
  <c r="I416" i="3"/>
  <c r="H416" i="3"/>
  <c r="G416" i="3"/>
  <c r="H415" i="3"/>
  <c r="K415" i="3" s="1"/>
  <c r="L415" i="3" s="1"/>
  <c r="K414" i="3"/>
  <c r="L414" i="3" s="1"/>
  <c r="H414" i="3"/>
  <c r="H413" i="3"/>
  <c r="K413" i="3" s="1"/>
  <c r="L413" i="3" s="1"/>
  <c r="H412" i="3"/>
  <c r="K412" i="3" s="1"/>
  <c r="L412" i="3" s="1"/>
  <c r="K411" i="3"/>
  <c r="L411" i="3" s="1"/>
  <c r="H411" i="3"/>
  <c r="J410" i="3"/>
  <c r="I410" i="3"/>
  <c r="G410" i="3"/>
  <c r="K409" i="3"/>
  <c r="L409" i="3" s="1"/>
  <c r="H409" i="3"/>
  <c r="H408" i="3"/>
  <c r="H410" i="3" s="1"/>
  <c r="K407" i="3"/>
  <c r="L407" i="3" s="1"/>
  <c r="H407" i="3"/>
  <c r="L406" i="3"/>
  <c r="K406" i="3"/>
  <c r="H406" i="3"/>
  <c r="J405" i="3"/>
  <c r="I405" i="3"/>
  <c r="G405" i="3"/>
  <c r="H404" i="3"/>
  <c r="K404" i="3" s="1"/>
  <c r="L404" i="3" s="1"/>
  <c r="H403" i="3"/>
  <c r="K403" i="3" s="1"/>
  <c r="L403" i="3" s="1"/>
  <c r="H402" i="3"/>
  <c r="K402" i="3" s="1"/>
  <c r="L402" i="3" s="1"/>
  <c r="H401" i="3"/>
  <c r="J400" i="3"/>
  <c r="I400" i="3"/>
  <c r="I620" i="3" s="1"/>
  <c r="G400" i="3"/>
  <c r="H399" i="3"/>
  <c r="K399" i="3" s="1"/>
  <c r="L399" i="3" s="1"/>
  <c r="H398" i="3"/>
  <c r="K398" i="3" s="1"/>
  <c r="L398" i="3" s="1"/>
  <c r="H397" i="3"/>
  <c r="K397" i="3" s="1"/>
  <c r="L397" i="3" s="1"/>
  <c r="H396" i="3"/>
  <c r="H400" i="3" s="1"/>
  <c r="L395" i="3"/>
  <c r="K395" i="3"/>
  <c r="H395" i="3"/>
  <c r="J394" i="3"/>
  <c r="I394" i="3"/>
  <c r="H394" i="3"/>
  <c r="G394" i="3"/>
  <c r="L393" i="3"/>
  <c r="K393" i="3"/>
  <c r="H393" i="3"/>
  <c r="L392" i="3"/>
  <c r="K392" i="3"/>
  <c r="H392" i="3"/>
  <c r="J391" i="3"/>
  <c r="I391" i="3"/>
  <c r="G391" i="3"/>
  <c r="H390" i="3"/>
  <c r="H391" i="3" s="1"/>
  <c r="L389" i="3"/>
  <c r="K389" i="3"/>
  <c r="H389" i="3"/>
  <c r="K388" i="3"/>
  <c r="H388" i="3"/>
  <c r="J387" i="3"/>
  <c r="I387" i="3"/>
  <c r="G387" i="3"/>
  <c r="K386" i="3"/>
  <c r="L386" i="3" s="1"/>
  <c r="H386" i="3"/>
  <c r="H387" i="3" s="1"/>
  <c r="J385" i="3"/>
  <c r="I385" i="3"/>
  <c r="G385" i="3"/>
  <c r="H384" i="3"/>
  <c r="K384" i="3" s="1"/>
  <c r="L384" i="3" s="1"/>
  <c r="H383" i="3"/>
  <c r="H385" i="3" s="1"/>
  <c r="K382" i="3"/>
  <c r="L382" i="3" s="1"/>
  <c r="H382" i="3"/>
  <c r="L381" i="3"/>
  <c r="K381" i="3"/>
  <c r="H381" i="3"/>
  <c r="J380" i="3"/>
  <c r="I380" i="3"/>
  <c r="G380" i="3"/>
  <c r="H379" i="3"/>
  <c r="K379" i="3" s="1"/>
  <c r="L379" i="3" s="1"/>
  <c r="K378" i="3"/>
  <c r="L378" i="3" s="1"/>
  <c r="H378" i="3"/>
  <c r="H377" i="3"/>
  <c r="K377" i="3" s="1"/>
  <c r="L377" i="3" s="1"/>
  <c r="H376" i="3"/>
  <c r="K376" i="3" s="1"/>
  <c r="L376" i="3" s="1"/>
  <c r="K375" i="3"/>
  <c r="L375" i="3" s="1"/>
  <c r="H375" i="3"/>
  <c r="J374" i="3"/>
  <c r="I374" i="3"/>
  <c r="G374" i="3"/>
  <c r="H373" i="3"/>
  <c r="K373" i="3" s="1"/>
  <c r="L373" i="3" s="1"/>
  <c r="K372" i="3"/>
  <c r="L372" i="3" s="1"/>
  <c r="H372" i="3"/>
  <c r="J371" i="3"/>
  <c r="I371" i="3"/>
  <c r="H371" i="3"/>
  <c r="G371" i="3"/>
  <c r="L370" i="3"/>
  <c r="H370" i="3"/>
  <c r="K370" i="3" s="1"/>
  <c r="K369" i="3"/>
  <c r="L369" i="3" s="1"/>
  <c r="H369" i="3"/>
  <c r="K368" i="3"/>
  <c r="L368" i="3" s="1"/>
  <c r="H368" i="3"/>
  <c r="L367" i="3"/>
  <c r="K367" i="3"/>
  <c r="H367" i="3"/>
  <c r="J366" i="3"/>
  <c r="I366" i="3"/>
  <c r="G366" i="3"/>
  <c r="K365" i="3"/>
  <c r="L365" i="3" s="1"/>
  <c r="H365" i="3"/>
  <c r="K364" i="3"/>
  <c r="L364" i="3" s="1"/>
  <c r="H364" i="3"/>
  <c r="H363" i="3"/>
  <c r="K363" i="3" s="1"/>
  <c r="L363" i="3" s="1"/>
  <c r="J362" i="3"/>
  <c r="I362" i="3"/>
  <c r="G362" i="3"/>
  <c r="L361" i="3"/>
  <c r="K361" i="3"/>
  <c r="H361" i="3"/>
  <c r="K360" i="3"/>
  <c r="L360" i="3" s="1"/>
  <c r="H360" i="3"/>
  <c r="H359" i="3"/>
  <c r="K359" i="3" s="1"/>
  <c r="L359" i="3" s="1"/>
  <c r="K358" i="3"/>
  <c r="L358" i="3" s="1"/>
  <c r="H358" i="3"/>
  <c r="K357" i="3"/>
  <c r="L357" i="3" s="1"/>
  <c r="H357" i="3"/>
  <c r="J356" i="3"/>
  <c r="I356" i="3"/>
  <c r="G356" i="3"/>
  <c r="K355" i="3"/>
  <c r="L355" i="3" s="1"/>
  <c r="H355" i="3"/>
  <c r="H354" i="3"/>
  <c r="K354" i="3" s="1"/>
  <c r="L354" i="3" s="1"/>
  <c r="H353" i="3"/>
  <c r="K353" i="3" s="1"/>
  <c r="L353" i="3" s="1"/>
  <c r="H352" i="3"/>
  <c r="J351" i="3"/>
  <c r="I351" i="3"/>
  <c r="G351" i="3"/>
  <c r="K350" i="3"/>
  <c r="H350" i="3"/>
  <c r="H349" i="3"/>
  <c r="K349" i="3" s="1"/>
  <c r="H348" i="3"/>
  <c r="K348" i="3" s="1"/>
  <c r="K347" i="3"/>
  <c r="H347" i="3"/>
  <c r="J346" i="3"/>
  <c r="I346" i="3"/>
  <c r="G346" i="3"/>
  <c r="H345" i="3"/>
  <c r="K345" i="3" s="1"/>
  <c r="L345" i="3" s="1"/>
  <c r="L344" i="3"/>
  <c r="K344" i="3"/>
  <c r="H344" i="3"/>
  <c r="H343" i="3"/>
  <c r="K343" i="3" s="1"/>
  <c r="L343" i="3" s="1"/>
  <c r="J342" i="3"/>
  <c r="I342" i="3"/>
  <c r="H342" i="3"/>
  <c r="G342" i="3"/>
  <c r="L341" i="3"/>
  <c r="K341" i="3"/>
  <c r="H341" i="3"/>
  <c r="J340" i="3"/>
  <c r="I340" i="3"/>
  <c r="H340" i="3"/>
  <c r="G340" i="3"/>
  <c r="H339" i="3"/>
  <c r="K339" i="3" s="1"/>
  <c r="L339" i="3" s="1"/>
  <c r="K338" i="3"/>
  <c r="L338" i="3" s="1"/>
  <c r="H338" i="3"/>
  <c r="H337" i="3"/>
  <c r="K337" i="3" s="1"/>
  <c r="L337" i="3" s="1"/>
  <c r="H336" i="3"/>
  <c r="K336" i="3" s="1"/>
  <c r="L336" i="3" s="1"/>
  <c r="J335" i="3"/>
  <c r="I335" i="3"/>
  <c r="G335" i="3"/>
  <c r="H334" i="3"/>
  <c r="H335" i="3" s="1"/>
  <c r="J333" i="3"/>
  <c r="I333" i="3"/>
  <c r="H333" i="3"/>
  <c r="G333" i="3"/>
  <c r="K332" i="3"/>
  <c r="L332" i="3" s="1"/>
  <c r="H332" i="3"/>
  <c r="J331" i="3"/>
  <c r="I331" i="3"/>
  <c r="G331" i="3"/>
  <c r="K330" i="3"/>
  <c r="L330" i="3" s="1"/>
  <c r="H330" i="3"/>
  <c r="L329" i="3"/>
  <c r="K329" i="3"/>
  <c r="H329" i="3"/>
  <c r="H328" i="3"/>
  <c r="H331" i="3" s="1"/>
  <c r="J327" i="3"/>
  <c r="I327" i="3"/>
  <c r="H327" i="3"/>
  <c r="G327" i="3"/>
  <c r="L326" i="3"/>
  <c r="K326" i="3"/>
  <c r="H326" i="3"/>
  <c r="H325" i="3"/>
  <c r="K325" i="3" s="1"/>
  <c r="L325" i="3" s="1"/>
  <c r="H324" i="3"/>
  <c r="K324" i="3" s="1"/>
  <c r="L324" i="3" s="1"/>
  <c r="K323" i="3"/>
  <c r="L323" i="3" s="1"/>
  <c r="H323" i="3"/>
  <c r="J322" i="3"/>
  <c r="I322" i="3"/>
  <c r="G322" i="3"/>
  <c r="H321" i="3"/>
  <c r="H322" i="3" s="1"/>
  <c r="K320" i="3"/>
  <c r="L320" i="3" s="1"/>
  <c r="H320" i="3"/>
  <c r="K319" i="3"/>
  <c r="L319" i="3" s="1"/>
  <c r="H319" i="3"/>
  <c r="L318" i="3"/>
  <c r="K318" i="3"/>
  <c r="H318" i="3"/>
  <c r="J317" i="3"/>
  <c r="I317" i="3"/>
  <c r="G317" i="3"/>
  <c r="H316" i="3"/>
  <c r="K316" i="3" s="1"/>
  <c r="L316" i="3" s="1"/>
  <c r="H315" i="3"/>
  <c r="K315" i="3" s="1"/>
  <c r="L315" i="3" s="1"/>
  <c r="H314" i="3"/>
  <c r="K314" i="3" s="1"/>
  <c r="L314" i="3" s="1"/>
  <c r="H313" i="3"/>
  <c r="K313" i="3" s="1"/>
  <c r="L313" i="3" s="1"/>
  <c r="K312" i="3"/>
  <c r="L312" i="3" s="1"/>
  <c r="H312" i="3"/>
  <c r="K311" i="3"/>
  <c r="L311" i="3" s="1"/>
  <c r="H311" i="3"/>
  <c r="J310" i="3"/>
  <c r="I310" i="3"/>
  <c r="G310" i="3"/>
  <c r="H309" i="3"/>
  <c r="K309" i="3" s="1"/>
  <c r="L309" i="3" s="1"/>
  <c r="H308" i="3"/>
  <c r="K308" i="3" s="1"/>
  <c r="L308" i="3" s="1"/>
  <c r="K307" i="3"/>
  <c r="L307" i="3" s="1"/>
  <c r="H307" i="3"/>
  <c r="H306" i="3"/>
  <c r="J305" i="3"/>
  <c r="I305" i="3"/>
  <c r="G305" i="3"/>
  <c r="L304" i="3"/>
  <c r="K304" i="3"/>
  <c r="H304" i="3"/>
  <c r="H303" i="3"/>
  <c r="K303" i="3" s="1"/>
  <c r="L303" i="3" s="1"/>
  <c r="H302" i="3"/>
  <c r="H305" i="3" s="1"/>
  <c r="J301" i="3"/>
  <c r="I301" i="3"/>
  <c r="G301" i="3"/>
  <c r="H300" i="3"/>
  <c r="K300" i="3" s="1"/>
  <c r="L300" i="3" s="1"/>
  <c r="H299" i="3"/>
  <c r="K299" i="3" s="1"/>
  <c r="L299" i="3" s="1"/>
  <c r="K298" i="3"/>
  <c r="L298" i="3" s="1"/>
  <c r="H298" i="3"/>
  <c r="K297" i="3"/>
  <c r="L297" i="3" s="1"/>
  <c r="H297" i="3"/>
  <c r="H296" i="3"/>
  <c r="K296" i="3" s="1"/>
  <c r="L296" i="3" s="1"/>
  <c r="H295" i="3"/>
  <c r="K295" i="3" s="1"/>
  <c r="L295" i="3" s="1"/>
  <c r="H294" i="3"/>
  <c r="K294" i="3" s="1"/>
  <c r="L294" i="3" s="1"/>
  <c r="K293" i="3"/>
  <c r="L293" i="3" s="1"/>
  <c r="H293" i="3"/>
  <c r="K292" i="3"/>
  <c r="L292" i="3" s="1"/>
  <c r="H292" i="3"/>
  <c r="L291" i="3"/>
  <c r="K291" i="3"/>
  <c r="H291" i="3"/>
  <c r="H290" i="3"/>
  <c r="K290" i="3" s="1"/>
  <c r="L290" i="3" s="1"/>
  <c r="H289" i="3"/>
  <c r="K289" i="3" s="1"/>
  <c r="L289" i="3" s="1"/>
  <c r="K288" i="3"/>
  <c r="L288" i="3" s="1"/>
  <c r="H288" i="3"/>
  <c r="K287" i="3"/>
  <c r="L287" i="3" s="1"/>
  <c r="H287" i="3"/>
  <c r="L286" i="3"/>
  <c r="K286" i="3"/>
  <c r="H286" i="3"/>
  <c r="H285" i="3"/>
  <c r="K285" i="3" s="1"/>
  <c r="L285" i="3" s="1"/>
  <c r="H284" i="3"/>
  <c r="K284" i="3" s="1"/>
  <c r="L284" i="3" s="1"/>
  <c r="H283" i="3"/>
  <c r="K283" i="3" s="1"/>
  <c r="L283" i="3" s="1"/>
  <c r="H282" i="3"/>
  <c r="K282" i="3" s="1"/>
  <c r="L282" i="3" s="1"/>
  <c r="K281" i="3"/>
  <c r="L281" i="3" s="1"/>
  <c r="H281" i="3"/>
  <c r="L280" i="3"/>
  <c r="H280" i="3"/>
  <c r="K280" i="3" s="1"/>
  <c r="H279" i="3"/>
  <c r="K279" i="3" s="1"/>
  <c r="L279" i="3" s="1"/>
  <c r="K278" i="3"/>
  <c r="L278" i="3" s="1"/>
  <c r="H278" i="3"/>
  <c r="H277" i="3"/>
  <c r="K277" i="3" s="1"/>
  <c r="L277" i="3" s="1"/>
  <c r="K276" i="3"/>
  <c r="L276" i="3" s="1"/>
  <c r="H276" i="3"/>
  <c r="H275" i="3"/>
  <c r="K275" i="3" s="1"/>
  <c r="L275" i="3" s="1"/>
  <c r="H274" i="3"/>
  <c r="K274" i="3" s="1"/>
  <c r="L274" i="3" s="1"/>
  <c r="K273" i="3"/>
  <c r="L273" i="3" s="1"/>
  <c r="H273" i="3"/>
  <c r="K272" i="3"/>
  <c r="L272" i="3" s="1"/>
  <c r="H272" i="3"/>
  <c r="L271" i="3"/>
  <c r="K271" i="3"/>
  <c r="H271" i="3"/>
  <c r="H270" i="3"/>
  <c r="K270" i="3" s="1"/>
  <c r="L270" i="3" s="1"/>
  <c r="H269" i="3"/>
  <c r="K269" i="3" s="1"/>
  <c r="L269" i="3" s="1"/>
  <c r="H268" i="3"/>
  <c r="K268" i="3" s="1"/>
  <c r="L268" i="3" s="1"/>
  <c r="K267" i="3"/>
  <c r="L267" i="3" s="1"/>
  <c r="H267" i="3"/>
  <c r="L266" i="3"/>
  <c r="K266" i="3"/>
  <c r="H266" i="3"/>
  <c r="H265" i="3"/>
  <c r="K265" i="3" s="1"/>
  <c r="L265" i="3" s="1"/>
  <c r="H264" i="3"/>
  <c r="K264" i="3" s="1"/>
  <c r="L264" i="3" s="1"/>
  <c r="H263" i="3"/>
  <c r="K263" i="3" s="1"/>
  <c r="L263" i="3" s="1"/>
  <c r="H262" i="3"/>
  <c r="K262" i="3" s="1"/>
  <c r="J261" i="3"/>
  <c r="I261" i="3"/>
  <c r="G261" i="3"/>
  <c r="H260" i="3"/>
  <c r="K260" i="3" s="1"/>
  <c r="L260" i="3" s="1"/>
  <c r="H259" i="3"/>
  <c r="K259" i="3" s="1"/>
  <c r="L259" i="3" s="1"/>
  <c r="K258" i="3"/>
  <c r="L258" i="3" s="1"/>
  <c r="H258" i="3"/>
  <c r="J257" i="3"/>
  <c r="I257" i="3"/>
  <c r="G257" i="3"/>
  <c r="H256" i="3"/>
  <c r="K256" i="3" s="1"/>
  <c r="L256" i="3" s="1"/>
  <c r="K255" i="3"/>
  <c r="L255" i="3" s="1"/>
  <c r="H255" i="3"/>
  <c r="K254" i="3"/>
  <c r="L254" i="3" s="1"/>
  <c r="H254" i="3"/>
  <c r="L253" i="3"/>
  <c r="K253" i="3"/>
  <c r="H253" i="3"/>
  <c r="H252" i="3"/>
  <c r="K252" i="3" s="1"/>
  <c r="L252" i="3" s="1"/>
  <c r="J251" i="3"/>
  <c r="I251" i="3"/>
  <c r="G251" i="3"/>
  <c r="H250" i="3"/>
  <c r="K250" i="3" s="1"/>
  <c r="L250" i="3" s="1"/>
  <c r="H249" i="3"/>
  <c r="H251" i="3" s="1"/>
  <c r="K248" i="3"/>
  <c r="H248" i="3"/>
  <c r="L247" i="3"/>
  <c r="H247" i="3"/>
  <c r="K247" i="3" s="1"/>
  <c r="H246" i="3"/>
  <c r="K246" i="3" s="1"/>
  <c r="L246" i="3" s="1"/>
  <c r="J245" i="3"/>
  <c r="I245" i="3"/>
  <c r="G245" i="3"/>
  <c r="K244" i="3"/>
  <c r="L244" i="3" s="1"/>
  <c r="L243" i="3"/>
  <c r="K243" i="3"/>
  <c r="H242" i="3"/>
  <c r="K242" i="3" s="1"/>
  <c r="K241" i="3"/>
  <c r="L241" i="3" s="1"/>
  <c r="K240" i="3"/>
  <c r="H240" i="3"/>
  <c r="L239" i="3"/>
  <c r="K239" i="3"/>
  <c r="K238" i="3"/>
  <c r="H238" i="3"/>
  <c r="H245" i="3" s="1"/>
  <c r="K237" i="3"/>
  <c r="L237" i="3" s="1"/>
  <c r="J236" i="3"/>
  <c r="I236" i="3"/>
  <c r="G236" i="3"/>
  <c r="H235" i="3"/>
  <c r="K235" i="3" s="1"/>
  <c r="L235" i="3" s="1"/>
  <c r="K234" i="3"/>
  <c r="L234" i="3" s="1"/>
  <c r="H234" i="3"/>
  <c r="H233" i="3"/>
  <c r="H236" i="3" s="1"/>
  <c r="K232" i="3"/>
  <c r="L232" i="3" s="1"/>
  <c r="H232" i="3"/>
  <c r="J231" i="3"/>
  <c r="I231" i="3"/>
  <c r="G231" i="3"/>
  <c r="K230" i="3"/>
  <c r="L230" i="3" s="1"/>
  <c r="H230" i="3"/>
  <c r="K229" i="3"/>
  <c r="L229" i="3" s="1"/>
  <c r="H229" i="3"/>
  <c r="H228" i="3"/>
  <c r="H231" i="3" s="1"/>
  <c r="J227" i="3"/>
  <c r="I227" i="3"/>
  <c r="G227" i="3"/>
  <c r="K226" i="3"/>
  <c r="L226" i="3" s="1"/>
  <c r="H226" i="3"/>
  <c r="H225" i="3"/>
  <c r="K225" i="3" s="1"/>
  <c r="L225" i="3" s="1"/>
  <c r="H224" i="3"/>
  <c r="K224" i="3" s="1"/>
  <c r="L224" i="3" s="1"/>
  <c r="H223" i="3"/>
  <c r="K223" i="3" s="1"/>
  <c r="L223" i="3" s="1"/>
  <c r="H222" i="3"/>
  <c r="H227" i="3" s="1"/>
  <c r="J221" i="3"/>
  <c r="I221" i="3"/>
  <c r="H221" i="3"/>
  <c r="G221" i="3"/>
  <c r="L220" i="3"/>
  <c r="H220" i="3"/>
  <c r="K220" i="3" s="1"/>
  <c r="K219" i="3"/>
  <c r="L219" i="3" s="1"/>
  <c r="H219" i="3"/>
  <c r="L218" i="3"/>
  <c r="K218" i="3"/>
  <c r="H218" i="3"/>
  <c r="L217" i="3"/>
  <c r="K217" i="3"/>
  <c r="H217" i="3"/>
  <c r="J216" i="3"/>
  <c r="I216" i="3"/>
  <c r="G216" i="3"/>
  <c r="H215" i="3"/>
  <c r="H216" i="3" s="1"/>
  <c r="K214" i="3"/>
  <c r="L214" i="3" s="1"/>
  <c r="H214" i="3"/>
  <c r="L213" i="3"/>
  <c r="H213" i="3"/>
  <c r="K213" i="3" s="1"/>
  <c r="K212" i="3"/>
  <c r="L212" i="3" s="1"/>
  <c r="H212" i="3"/>
  <c r="J211" i="3"/>
  <c r="I211" i="3"/>
  <c r="G211" i="3"/>
  <c r="H210" i="3"/>
  <c r="K210" i="3" s="1"/>
  <c r="L210" i="3" s="1"/>
  <c r="H209" i="3"/>
  <c r="K209" i="3" s="1"/>
  <c r="L209" i="3" s="1"/>
  <c r="H208" i="3"/>
  <c r="H211" i="3" s="1"/>
  <c r="K207" i="3"/>
  <c r="L207" i="3" s="1"/>
  <c r="H207" i="3"/>
  <c r="J206" i="3"/>
  <c r="I206" i="3"/>
  <c r="G206" i="3"/>
  <c r="K205" i="3"/>
  <c r="L205" i="3" s="1"/>
  <c r="H205" i="3"/>
  <c r="H204" i="3"/>
  <c r="K204" i="3" s="1"/>
  <c r="L204" i="3" s="1"/>
  <c r="K203" i="3"/>
  <c r="L203" i="3" s="1"/>
  <c r="H203" i="3"/>
  <c r="H202" i="3"/>
  <c r="H206" i="3" s="1"/>
  <c r="J201" i="3"/>
  <c r="I201" i="3"/>
  <c r="G201" i="3"/>
  <c r="H200" i="3"/>
  <c r="K200" i="3" s="1"/>
  <c r="L200" i="3" s="1"/>
  <c r="H199" i="3"/>
  <c r="K199" i="3" s="1"/>
  <c r="L199" i="3" s="1"/>
  <c r="H198" i="3"/>
  <c r="K198" i="3" s="1"/>
  <c r="L198" i="3" s="1"/>
  <c r="K197" i="3"/>
  <c r="L197" i="3" s="1"/>
  <c r="H197" i="3"/>
  <c r="J196" i="3"/>
  <c r="I196" i="3"/>
  <c r="H196" i="3"/>
  <c r="G196" i="3"/>
  <c r="L195" i="3"/>
  <c r="H195" i="3"/>
  <c r="K195" i="3" s="1"/>
  <c r="K194" i="3"/>
  <c r="L194" i="3" s="1"/>
  <c r="H194" i="3"/>
  <c r="L193" i="3"/>
  <c r="K193" i="3"/>
  <c r="H193" i="3"/>
  <c r="L192" i="3"/>
  <c r="K192" i="3"/>
  <c r="H192" i="3"/>
  <c r="J191" i="3"/>
  <c r="I191" i="3"/>
  <c r="H191" i="3"/>
  <c r="G191" i="3"/>
  <c r="H190" i="3"/>
  <c r="K190" i="3" s="1"/>
  <c r="L190" i="3" s="1"/>
  <c r="K189" i="3"/>
  <c r="L189" i="3" s="1"/>
  <c r="H189" i="3"/>
  <c r="L188" i="3"/>
  <c r="H188" i="3"/>
  <c r="K188" i="3" s="1"/>
  <c r="K187" i="3"/>
  <c r="L187" i="3" s="1"/>
  <c r="H187" i="3"/>
  <c r="J186" i="3"/>
  <c r="I186" i="3"/>
  <c r="G186" i="3"/>
  <c r="H185" i="3"/>
  <c r="K185" i="3" s="1"/>
  <c r="L185" i="3" s="1"/>
  <c r="H184" i="3"/>
  <c r="K184" i="3" s="1"/>
  <c r="L184" i="3" s="1"/>
  <c r="K183" i="3"/>
  <c r="L183" i="3" s="1"/>
  <c r="H183" i="3"/>
  <c r="K182" i="3"/>
  <c r="L182" i="3" s="1"/>
  <c r="H182" i="3"/>
  <c r="H181" i="3"/>
  <c r="K181" i="3" s="1"/>
  <c r="L181" i="3" s="1"/>
  <c r="J180" i="3"/>
  <c r="I180" i="3"/>
  <c r="G180" i="3"/>
  <c r="H179" i="3"/>
  <c r="K179" i="3" s="1"/>
  <c r="L179" i="3" s="1"/>
  <c r="H178" i="3"/>
  <c r="K178" i="3" s="1"/>
  <c r="L178" i="3" s="1"/>
  <c r="K177" i="3"/>
  <c r="L177" i="3" s="1"/>
  <c r="H177" i="3"/>
  <c r="H180" i="3" s="1"/>
  <c r="L176" i="3"/>
  <c r="H176" i="3"/>
  <c r="K176" i="3" s="1"/>
  <c r="K175" i="3"/>
  <c r="L175" i="3" s="1"/>
  <c r="H175" i="3"/>
  <c r="J174" i="3"/>
  <c r="I174" i="3"/>
  <c r="G174" i="3"/>
  <c r="H173" i="3"/>
  <c r="K173" i="3" s="1"/>
  <c r="L173" i="3" s="1"/>
  <c r="H172" i="3"/>
  <c r="K172" i="3" s="1"/>
  <c r="L172" i="3" s="1"/>
  <c r="H171" i="3"/>
  <c r="H174" i="3" s="1"/>
  <c r="L170" i="3"/>
  <c r="K170" i="3"/>
  <c r="H170" i="3"/>
  <c r="J169" i="3"/>
  <c r="I169" i="3"/>
  <c r="G169" i="3"/>
  <c r="L168" i="3"/>
  <c r="K168" i="3"/>
  <c r="K167" i="3"/>
  <c r="L167" i="3" s="1"/>
  <c r="H167" i="3"/>
  <c r="K166" i="3"/>
  <c r="L166" i="3" s="1"/>
  <c r="H165" i="3"/>
  <c r="H169" i="3" s="1"/>
  <c r="H164" i="3"/>
  <c r="K164" i="3" s="1"/>
  <c r="L164" i="3" s="1"/>
  <c r="K163" i="3"/>
  <c r="L163" i="3" s="1"/>
  <c r="H163" i="3"/>
  <c r="J162" i="3"/>
  <c r="I162" i="3"/>
  <c r="H162" i="3"/>
  <c r="G162" i="3"/>
  <c r="L161" i="3"/>
  <c r="K161" i="3"/>
  <c r="H161" i="3"/>
  <c r="L160" i="3"/>
  <c r="K160" i="3"/>
  <c r="H160" i="3"/>
  <c r="H159" i="3"/>
  <c r="K159" i="3" s="1"/>
  <c r="L159" i="3" s="1"/>
  <c r="H158" i="3"/>
  <c r="K158" i="3" s="1"/>
  <c r="L158" i="3" s="1"/>
  <c r="J157" i="3"/>
  <c r="I157" i="3"/>
  <c r="H157" i="3"/>
  <c r="G157" i="3"/>
  <c r="H156" i="3"/>
  <c r="K156" i="3" s="1"/>
  <c r="L156" i="3" s="1"/>
  <c r="K155" i="3"/>
  <c r="L155" i="3" s="1"/>
  <c r="H155" i="3"/>
  <c r="K154" i="3"/>
  <c r="L154" i="3" s="1"/>
  <c r="H154" i="3"/>
  <c r="H153" i="3"/>
  <c r="K153" i="3" s="1"/>
  <c r="L153" i="3" s="1"/>
  <c r="J152" i="3"/>
  <c r="I152" i="3"/>
  <c r="G152" i="3"/>
  <c r="K151" i="3"/>
  <c r="L151" i="3" s="1"/>
  <c r="H151" i="3"/>
  <c r="K150" i="3"/>
  <c r="L150" i="3" s="1"/>
  <c r="H150" i="3"/>
  <c r="H149" i="3"/>
  <c r="K149" i="3" s="1"/>
  <c r="L149" i="3" s="1"/>
  <c r="H148" i="3"/>
  <c r="K148" i="3" s="1"/>
  <c r="L148" i="3" s="1"/>
  <c r="H147" i="3"/>
  <c r="K147" i="3" s="1"/>
  <c r="L147" i="3" s="1"/>
  <c r="J146" i="3"/>
  <c r="I146" i="3"/>
  <c r="H146" i="3"/>
  <c r="G146" i="3"/>
  <c r="H145" i="3"/>
  <c r="K145" i="3" s="1"/>
  <c r="L145" i="3" s="1"/>
  <c r="H144" i="3"/>
  <c r="K144" i="3" s="1"/>
  <c r="L144" i="3" s="1"/>
  <c r="K143" i="3"/>
  <c r="L143" i="3" s="1"/>
  <c r="H143" i="3"/>
  <c r="L142" i="3"/>
  <c r="K142" i="3"/>
  <c r="H142" i="3"/>
  <c r="J141" i="3"/>
  <c r="I141" i="3"/>
  <c r="G141" i="3"/>
  <c r="K140" i="3"/>
  <c r="L140" i="3" s="1"/>
  <c r="H140" i="3"/>
  <c r="H139" i="3"/>
  <c r="H141" i="3" s="1"/>
  <c r="K138" i="3"/>
  <c r="L138" i="3" s="1"/>
  <c r="H138" i="3"/>
  <c r="J137" i="3"/>
  <c r="I137" i="3"/>
  <c r="G137" i="3"/>
  <c r="L136" i="3"/>
  <c r="K136" i="3"/>
  <c r="H136" i="3"/>
  <c r="L135" i="3"/>
  <c r="K135" i="3"/>
  <c r="H135" i="3"/>
  <c r="H134" i="3"/>
  <c r="K134" i="3" s="1"/>
  <c r="L134" i="3" s="1"/>
  <c r="H133" i="3"/>
  <c r="H137" i="3" s="1"/>
  <c r="J132" i="3"/>
  <c r="J620" i="3" s="1"/>
  <c r="I132" i="3"/>
  <c r="G132" i="3"/>
  <c r="L131" i="3"/>
  <c r="H131" i="3"/>
  <c r="K131" i="3" s="1"/>
  <c r="K130" i="3"/>
  <c r="L130" i="3" s="1"/>
  <c r="H130" i="3"/>
  <c r="K129" i="3"/>
  <c r="L129" i="3" s="1"/>
  <c r="H129" i="3"/>
  <c r="K128" i="3"/>
  <c r="L128" i="3" s="1"/>
  <c r="H128" i="3"/>
  <c r="H127" i="3"/>
  <c r="K127" i="3" s="1"/>
  <c r="L127" i="3" s="1"/>
  <c r="K126" i="3"/>
  <c r="L126" i="3" s="1"/>
  <c r="H126" i="3"/>
  <c r="H125" i="3"/>
  <c r="K125" i="3" s="1"/>
  <c r="L125" i="3" s="1"/>
  <c r="K124" i="3"/>
  <c r="L124" i="3" s="1"/>
  <c r="H124" i="3"/>
  <c r="J123" i="3"/>
  <c r="I123" i="3"/>
  <c r="G123" i="3"/>
  <c r="H122" i="3"/>
  <c r="K122" i="3" s="1"/>
  <c r="L122" i="3" s="1"/>
  <c r="H121" i="3"/>
  <c r="K121" i="3" s="1"/>
  <c r="L121" i="3" s="1"/>
  <c r="K120" i="3"/>
  <c r="L120" i="3" s="1"/>
  <c r="H120" i="3"/>
  <c r="K119" i="3"/>
  <c r="L119" i="3" s="1"/>
  <c r="H119" i="3"/>
  <c r="J118" i="3"/>
  <c r="I118" i="3"/>
  <c r="G118" i="3"/>
  <c r="L117" i="3"/>
  <c r="K117" i="3"/>
  <c r="H117" i="3"/>
  <c r="L116" i="3"/>
  <c r="K116" i="3"/>
  <c r="H116" i="3"/>
  <c r="H115" i="3"/>
  <c r="K115" i="3" s="1"/>
  <c r="L115" i="3" s="1"/>
  <c r="H114" i="3"/>
  <c r="K114" i="3" s="1"/>
  <c r="L114" i="3" s="1"/>
  <c r="J113" i="3"/>
  <c r="I113" i="3"/>
  <c r="G113" i="3"/>
  <c r="H112" i="3"/>
  <c r="K112" i="3" s="1"/>
  <c r="L112" i="3" s="1"/>
  <c r="K111" i="3"/>
  <c r="L111" i="3" s="1"/>
  <c r="H111" i="3"/>
  <c r="K110" i="3"/>
  <c r="L110" i="3" s="1"/>
  <c r="H110" i="3"/>
  <c r="J109" i="3"/>
  <c r="I109" i="3"/>
  <c r="G109" i="3"/>
  <c r="K108" i="3"/>
  <c r="L108" i="3" s="1"/>
  <c r="H108" i="3"/>
  <c r="H107" i="3"/>
  <c r="H109" i="3" s="1"/>
  <c r="K106" i="3"/>
  <c r="L106" i="3" s="1"/>
  <c r="H106" i="3"/>
  <c r="H105" i="3"/>
  <c r="K105" i="3" s="1"/>
  <c r="L105" i="3" s="1"/>
  <c r="J104" i="3"/>
  <c r="I104" i="3"/>
  <c r="G104" i="3"/>
  <c r="H103" i="3"/>
  <c r="K103" i="3" s="1"/>
  <c r="L103" i="3" s="1"/>
  <c r="K102" i="3"/>
  <c r="L102" i="3" s="1"/>
  <c r="H102" i="3"/>
  <c r="J101" i="3"/>
  <c r="I101" i="3"/>
  <c r="G101" i="3"/>
  <c r="K100" i="3"/>
  <c r="L100" i="3" s="1"/>
  <c r="H100" i="3"/>
  <c r="L99" i="3"/>
  <c r="H99" i="3"/>
  <c r="K99" i="3" s="1"/>
  <c r="H98" i="3"/>
  <c r="K98" i="3" s="1"/>
  <c r="L98" i="3" s="1"/>
  <c r="K97" i="3"/>
  <c r="H97" i="3"/>
  <c r="K96" i="3"/>
  <c r="L96" i="3" s="1"/>
  <c r="H96" i="3"/>
  <c r="H101" i="3" s="1"/>
  <c r="J95" i="3"/>
  <c r="I95" i="3"/>
  <c r="H95" i="3"/>
  <c r="G95" i="3"/>
  <c r="L94" i="3"/>
  <c r="K94" i="3"/>
  <c r="H94" i="3"/>
  <c r="H93" i="3"/>
  <c r="K93" i="3" s="1"/>
  <c r="L93" i="3" s="1"/>
  <c r="K92" i="3"/>
  <c r="L92" i="3" s="1"/>
  <c r="H92" i="3"/>
  <c r="K91" i="3"/>
  <c r="L91" i="3" s="1"/>
  <c r="H91" i="3"/>
  <c r="H90" i="3"/>
  <c r="K90" i="3" s="1"/>
  <c r="L90" i="3" s="1"/>
  <c r="J89" i="3"/>
  <c r="I89" i="3"/>
  <c r="G89" i="3"/>
  <c r="H88" i="3"/>
  <c r="H89" i="3" s="1"/>
  <c r="K87" i="3"/>
  <c r="L87" i="3" s="1"/>
  <c r="H87" i="3"/>
  <c r="L86" i="3"/>
  <c r="H86" i="3"/>
  <c r="K86" i="3" s="1"/>
  <c r="H85" i="3"/>
  <c r="K85" i="3" s="1"/>
  <c r="L85" i="3" s="1"/>
  <c r="J84" i="3"/>
  <c r="I84" i="3"/>
  <c r="G84" i="3"/>
  <c r="K83" i="3"/>
  <c r="L83" i="3" s="1"/>
  <c r="H83" i="3"/>
  <c r="H82" i="3"/>
  <c r="K82" i="3" s="1"/>
  <c r="L82" i="3" s="1"/>
  <c r="H81" i="3"/>
  <c r="K81" i="3" s="1"/>
  <c r="L81" i="3" s="1"/>
  <c r="K80" i="3"/>
  <c r="L80" i="3" s="1"/>
  <c r="H80" i="3"/>
  <c r="J79" i="3"/>
  <c r="I79" i="3"/>
  <c r="G79" i="3"/>
  <c r="H78" i="3"/>
  <c r="K78" i="3" s="1"/>
  <c r="L78" i="3" s="1"/>
  <c r="K77" i="3"/>
  <c r="L77" i="3" s="1"/>
  <c r="H77" i="3"/>
  <c r="H76" i="3"/>
  <c r="K76" i="3" s="1"/>
  <c r="L76" i="3" s="1"/>
  <c r="K75" i="3"/>
  <c r="L75" i="3" s="1"/>
  <c r="H75" i="3"/>
  <c r="H74" i="3"/>
  <c r="J73" i="3"/>
  <c r="I73" i="3"/>
  <c r="G73" i="3"/>
  <c r="L72" i="3"/>
  <c r="K72" i="3"/>
  <c r="H72" i="3"/>
  <c r="H71" i="3"/>
  <c r="H73" i="3" s="1"/>
  <c r="J70" i="3"/>
  <c r="I70" i="3"/>
  <c r="G70" i="3"/>
  <c r="L69" i="3"/>
  <c r="K69" i="3"/>
  <c r="H69" i="3"/>
  <c r="L68" i="3"/>
  <c r="H68" i="3"/>
  <c r="K68" i="3" s="1"/>
  <c r="K67" i="3"/>
  <c r="L67" i="3" s="1"/>
  <c r="H67" i="3"/>
  <c r="K66" i="3"/>
  <c r="L66" i="3" s="1"/>
  <c r="H66" i="3"/>
  <c r="K65" i="3"/>
  <c r="L65" i="3" s="1"/>
  <c r="H65" i="3"/>
  <c r="H70" i="3" s="1"/>
  <c r="J64" i="3"/>
  <c r="I64" i="3"/>
  <c r="H64" i="3"/>
  <c r="G64" i="3"/>
  <c r="H63" i="3"/>
  <c r="K63" i="3" s="1"/>
  <c r="L63" i="3" s="1"/>
  <c r="K62" i="3"/>
  <c r="L62" i="3" s="1"/>
  <c r="H62" i="3"/>
  <c r="H61" i="3"/>
  <c r="K61" i="3" s="1"/>
  <c r="L61" i="3" s="1"/>
  <c r="H60" i="3"/>
  <c r="K60" i="3" s="1"/>
  <c r="L60" i="3" s="1"/>
  <c r="J59" i="3"/>
  <c r="I59" i="3"/>
  <c r="G59" i="3"/>
  <c r="H58" i="3"/>
  <c r="K58" i="3" s="1"/>
  <c r="L58" i="3" s="1"/>
  <c r="H57" i="3"/>
  <c r="K57" i="3" s="1"/>
  <c r="L57" i="3" s="1"/>
  <c r="L56" i="3"/>
  <c r="H56" i="3"/>
  <c r="K56" i="3" s="1"/>
  <c r="J55" i="3"/>
  <c r="I55" i="3"/>
  <c r="G55" i="3"/>
  <c r="H54" i="3"/>
  <c r="K54" i="3" s="1"/>
  <c r="L54" i="3" s="1"/>
  <c r="H53" i="3"/>
  <c r="K53" i="3" s="1"/>
  <c r="L53" i="3" s="1"/>
  <c r="H52" i="3"/>
  <c r="K52" i="3" s="1"/>
  <c r="L52" i="3" s="1"/>
  <c r="H51" i="3"/>
  <c r="J50" i="3"/>
  <c r="I50" i="3"/>
  <c r="G50" i="3"/>
  <c r="K49" i="3"/>
  <c r="L49" i="3" s="1"/>
  <c r="H49" i="3"/>
  <c r="L48" i="3"/>
  <c r="K48" i="3"/>
  <c r="H48" i="3"/>
  <c r="L47" i="3"/>
  <c r="K47" i="3"/>
  <c r="H47" i="3"/>
  <c r="H46" i="3"/>
  <c r="H50" i="3" s="1"/>
  <c r="J45" i="3"/>
  <c r="I45" i="3"/>
  <c r="G45" i="3"/>
  <c r="K44" i="3"/>
  <c r="L44" i="3" s="1"/>
  <c r="H44" i="3"/>
  <c r="H43" i="3"/>
  <c r="K43" i="3" s="1"/>
  <c r="L43" i="3" s="1"/>
  <c r="K42" i="3"/>
  <c r="L42" i="3" s="1"/>
  <c r="H42" i="3"/>
  <c r="K41" i="3"/>
  <c r="L41" i="3" s="1"/>
  <c r="H41" i="3"/>
  <c r="K40" i="3"/>
  <c r="L40" i="3" s="1"/>
  <c r="H40" i="3"/>
  <c r="J39" i="3"/>
  <c r="I39" i="3"/>
  <c r="H39" i="3"/>
  <c r="G39" i="3"/>
  <c r="H38" i="3"/>
  <c r="K38" i="3" s="1"/>
  <c r="L38" i="3" s="1"/>
  <c r="K37" i="3"/>
  <c r="L37" i="3" s="1"/>
  <c r="H37" i="3"/>
  <c r="H36" i="3"/>
  <c r="K36" i="3" s="1"/>
  <c r="L36" i="3" s="1"/>
  <c r="J35" i="3"/>
  <c r="I35" i="3"/>
  <c r="H35" i="3"/>
  <c r="G35" i="3"/>
  <c r="H34" i="3"/>
  <c r="K34" i="3" s="1"/>
  <c r="L34" i="3" s="1"/>
  <c r="K33" i="3"/>
  <c r="L33" i="3" s="1"/>
  <c r="H33" i="3"/>
  <c r="J32" i="3"/>
  <c r="I32" i="3"/>
  <c r="G32" i="3"/>
  <c r="K31" i="3"/>
  <c r="L31" i="3" s="1"/>
  <c r="H31" i="3"/>
  <c r="H30" i="3"/>
  <c r="K30" i="3" s="1"/>
  <c r="L30" i="3" s="1"/>
  <c r="H29" i="3"/>
  <c r="K29" i="3" s="1"/>
  <c r="L29" i="3" s="1"/>
  <c r="H28" i="3"/>
  <c r="K28" i="3" s="1"/>
  <c r="L28" i="3" s="1"/>
  <c r="H27" i="3"/>
  <c r="H32" i="3" s="1"/>
  <c r="J26" i="3"/>
  <c r="I26" i="3"/>
  <c r="G26" i="3"/>
  <c r="H25" i="3"/>
  <c r="K25" i="3" s="1"/>
  <c r="L25" i="3" s="1"/>
  <c r="K24" i="3"/>
  <c r="L24" i="3" s="1"/>
  <c r="H24" i="3"/>
  <c r="L23" i="3"/>
  <c r="K23" i="3"/>
  <c r="H23" i="3"/>
  <c r="L22" i="3"/>
  <c r="K22" i="3"/>
  <c r="H22" i="3"/>
  <c r="J21" i="3"/>
  <c r="I21" i="3"/>
  <c r="G21" i="3"/>
  <c r="H20" i="3"/>
  <c r="K20" i="3" s="1"/>
  <c r="L20" i="3" s="1"/>
  <c r="L19" i="3"/>
  <c r="K19" i="3"/>
  <c r="H19" i="3"/>
  <c r="H18" i="3"/>
  <c r="K18" i="3" s="1"/>
  <c r="L18" i="3" s="1"/>
  <c r="K17" i="3"/>
  <c r="L17" i="3" s="1"/>
  <c r="H17" i="3"/>
  <c r="J16" i="3"/>
  <c r="I16" i="3"/>
  <c r="G16" i="3"/>
  <c r="H15" i="3"/>
  <c r="K15" i="3" s="1"/>
  <c r="L15" i="3" s="1"/>
  <c r="K14" i="3"/>
  <c r="L14" i="3" s="1"/>
  <c r="H14" i="3"/>
  <c r="H13" i="3"/>
  <c r="K13" i="3" s="1"/>
  <c r="L13" i="3" s="1"/>
  <c r="K12" i="3"/>
  <c r="L12" i="3" s="1"/>
  <c r="H12" i="3"/>
  <c r="H11" i="3"/>
  <c r="K11" i="3" s="1"/>
  <c r="L11" i="3" s="1"/>
  <c r="J10" i="3"/>
  <c r="I10" i="3"/>
  <c r="G10" i="3"/>
  <c r="H9" i="3"/>
  <c r="K9" i="3" s="1"/>
  <c r="L9" i="3" s="1"/>
  <c r="H8" i="3"/>
  <c r="K8" i="3" s="1"/>
  <c r="L8" i="3" s="1"/>
  <c r="H7" i="3"/>
  <c r="H10" i="3" s="1"/>
  <c r="H6" i="3"/>
  <c r="K6" i="3" s="1"/>
  <c r="L6" i="3" s="1"/>
  <c r="J5" i="3"/>
  <c r="I5" i="3"/>
  <c r="G5" i="3"/>
  <c r="H4" i="3"/>
  <c r="K4" i="3" s="1"/>
  <c r="L4" i="3" s="1"/>
  <c r="H3" i="3"/>
  <c r="K3" i="3" s="1"/>
  <c r="L3" i="3" s="1"/>
  <c r="H2" i="3"/>
  <c r="K2" i="3" s="1"/>
  <c r="L2" i="3" s="1"/>
  <c r="K334" i="3" l="1"/>
  <c r="L334" i="3" s="1"/>
  <c r="K408" i="3"/>
  <c r="L408" i="3" s="1"/>
  <c r="K477" i="3"/>
  <c r="L477" i="3" s="1"/>
  <c r="K590" i="3"/>
  <c r="L590" i="3" s="1"/>
  <c r="K133" i="3"/>
  <c r="L133" i="3" s="1"/>
  <c r="K208" i="3"/>
  <c r="L208" i="3" s="1"/>
  <c r="K222" i="3"/>
  <c r="L222" i="3" s="1"/>
  <c r="K249" i="3"/>
  <c r="L249" i="3" s="1"/>
  <c r="K306" i="3"/>
  <c r="L306" i="3" s="1"/>
  <c r="H310" i="3"/>
  <c r="K328" i="3"/>
  <c r="L328" i="3" s="1"/>
  <c r="K401" i="3"/>
  <c r="L401" i="3" s="1"/>
  <c r="H405" i="3"/>
  <c r="K422" i="3"/>
  <c r="L422" i="3" s="1"/>
  <c r="K495" i="3"/>
  <c r="L495" i="3" s="1"/>
  <c r="H499" i="3"/>
  <c r="K577" i="3"/>
  <c r="L577" i="3" s="1"/>
  <c r="H623" i="3"/>
  <c r="H819" i="3" s="1"/>
  <c r="H711" i="3"/>
  <c r="H788" i="3"/>
  <c r="K215" i="3"/>
  <c r="L215" i="3" s="1"/>
  <c r="K88" i="3"/>
  <c r="L88" i="3" s="1"/>
  <c r="H26" i="3"/>
  <c r="H104" i="3"/>
  <c r="H118" i="3"/>
  <c r="H201" i="3"/>
  <c r="K321" i="3"/>
  <c r="L321" i="3" s="1"/>
  <c r="H362" i="3"/>
  <c r="H374" i="3"/>
  <c r="H380" i="3"/>
  <c r="H473" i="3"/>
  <c r="K503" i="3"/>
  <c r="L503" i="3" s="1"/>
  <c r="K584" i="3"/>
  <c r="L584" i="3" s="1"/>
  <c r="H667" i="3"/>
  <c r="H257" i="3"/>
  <c r="H351" i="3"/>
  <c r="I820" i="3"/>
  <c r="K171" i="3"/>
  <c r="L171" i="3" s="1"/>
  <c r="K439" i="3"/>
  <c r="L439" i="3" s="1"/>
  <c r="K27" i="3"/>
  <c r="L27" i="3" s="1"/>
  <c r="K74" i="3"/>
  <c r="L74" i="3" s="1"/>
  <c r="H79" i="3"/>
  <c r="H113" i="3"/>
  <c r="K202" i="3"/>
  <c r="L202" i="3" s="1"/>
  <c r="K233" i="3"/>
  <c r="L233" i="3" s="1"/>
  <c r="H301" i="3"/>
  <c r="H366" i="3"/>
  <c r="K527" i="3"/>
  <c r="L527" i="3" s="1"/>
  <c r="K571" i="3"/>
  <c r="L571" i="3" s="1"/>
  <c r="H55" i="3"/>
  <c r="H59" i="3"/>
  <c r="H356" i="3"/>
  <c r="H612" i="3"/>
  <c r="H700" i="3"/>
  <c r="H777" i="3"/>
  <c r="H21" i="3"/>
  <c r="K51" i="3"/>
  <c r="L51" i="3" s="1"/>
  <c r="H123" i="3"/>
  <c r="K352" i="3"/>
  <c r="L352" i="3" s="1"/>
  <c r="H468" i="3"/>
  <c r="K520" i="3"/>
  <c r="L520" i="3" s="1"/>
  <c r="H524" i="3"/>
  <c r="K609" i="3"/>
  <c r="L609" i="3" s="1"/>
  <c r="H535" i="3"/>
  <c r="H642" i="3"/>
  <c r="K383" i="3"/>
  <c r="L383" i="3" s="1"/>
  <c r="K390" i="3"/>
  <c r="L390" i="3" s="1"/>
  <c r="K396" i="3"/>
  <c r="L396" i="3" s="1"/>
  <c r="K595" i="3"/>
  <c r="L595" i="3" s="1"/>
  <c r="H598" i="3"/>
  <c r="H84" i="3"/>
  <c r="H152" i="3"/>
  <c r="H261" i="3"/>
  <c r="K450" i="3"/>
  <c r="L450" i="3" s="1"/>
  <c r="H454" i="3"/>
  <c r="H552" i="3"/>
  <c r="H686" i="3"/>
  <c r="H458" i="3"/>
  <c r="H694" i="3"/>
  <c r="J820" i="3"/>
  <c r="K46" i="3"/>
  <c r="L46" i="3" s="1"/>
  <c r="K228" i="3"/>
  <c r="L228" i="3" s="1"/>
  <c r="H346" i="3"/>
  <c r="H798" i="3"/>
  <c r="H5" i="3"/>
  <c r="K139" i="3"/>
  <c r="L139" i="3" s="1"/>
  <c r="H540" i="3"/>
  <c r="K7" i="3"/>
  <c r="L7" i="3" s="1"/>
  <c r="H45" i="3"/>
  <c r="K107" i="3"/>
  <c r="L107" i="3" s="1"/>
  <c r="K165" i="3"/>
  <c r="L165" i="3" s="1"/>
  <c r="K302" i="3"/>
  <c r="L302" i="3" s="1"/>
  <c r="H317" i="3"/>
  <c r="H488" i="3"/>
  <c r="H631" i="3"/>
  <c r="H636" i="3"/>
  <c r="H428" i="3"/>
  <c r="K483" i="3"/>
  <c r="L483" i="3" s="1"/>
  <c r="H518" i="3"/>
  <c r="H560" i="3"/>
  <c r="G620" i="3"/>
  <c r="H132" i="3"/>
  <c r="K71" i="3"/>
  <c r="L71" i="3" s="1"/>
  <c r="H449" i="3"/>
  <c r="G820" i="3"/>
  <c r="H16" i="3"/>
  <c r="H620" i="3" s="1"/>
  <c r="H186" i="3"/>
  <c r="H820" i="3" l="1"/>
  <c r="O78" i="2" l="1"/>
  <c r="J78" i="2"/>
  <c r="I78" i="2"/>
  <c r="H78" i="2"/>
  <c r="L76" i="2"/>
  <c r="L78" i="2" s="1"/>
  <c r="J76" i="2"/>
  <c r="I76" i="2"/>
  <c r="H76" i="2"/>
  <c r="M75" i="2"/>
  <c r="K75" i="2"/>
  <c r="K74" i="2"/>
  <c r="M74" i="2" s="1"/>
  <c r="K73" i="2"/>
  <c r="M73" i="2" s="1"/>
  <c r="K72" i="2"/>
  <c r="M72" i="2" s="1"/>
  <c r="K71" i="2"/>
  <c r="M71" i="2" s="1"/>
  <c r="K69" i="2"/>
  <c r="M69" i="2" s="1"/>
  <c r="K68" i="2"/>
  <c r="M68" i="2" s="1"/>
  <c r="K67" i="2"/>
  <c r="M67" i="2" s="1"/>
  <c r="M66" i="2"/>
  <c r="K66" i="2"/>
  <c r="K65" i="2"/>
  <c r="M65" i="2" s="1"/>
  <c r="M64" i="2"/>
  <c r="K64" i="2"/>
  <c r="K87" i="2" s="1"/>
  <c r="O63" i="2"/>
  <c r="N63" i="2"/>
  <c r="N78" i="2" s="1"/>
  <c r="P78" i="2" s="1"/>
  <c r="J63" i="2"/>
  <c r="I63" i="2"/>
  <c r="H63" i="2"/>
  <c r="H4" i="2" s="1"/>
  <c r="I4" i="2" s="1"/>
  <c r="P62" i="2"/>
  <c r="K62" i="2"/>
  <c r="M62" i="2" s="1"/>
  <c r="P61" i="2"/>
  <c r="K61" i="2"/>
  <c r="M61" i="2" s="1"/>
  <c r="P60" i="2"/>
  <c r="K60" i="2"/>
  <c r="M60" i="2" s="1"/>
  <c r="P59" i="2"/>
  <c r="K59" i="2"/>
  <c r="M59" i="2" s="1"/>
  <c r="AH58" i="2"/>
  <c r="P58" i="2"/>
  <c r="M58" i="2"/>
  <c r="K58" i="2"/>
  <c r="P57" i="2"/>
  <c r="K57" i="2"/>
  <c r="M57" i="2" s="1"/>
  <c r="P56" i="2"/>
  <c r="K56" i="2"/>
  <c r="M56" i="2" s="1"/>
  <c r="P55" i="2"/>
  <c r="K55" i="2"/>
  <c r="M55" i="2" s="1"/>
  <c r="P54" i="2"/>
  <c r="M54" i="2"/>
  <c r="K54" i="2"/>
  <c r="P53" i="2"/>
  <c r="M53" i="2"/>
  <c r="K53" i="2"/>
  <c r="P52" i="2"/>
  <c r="K52" i="2"/>
  <c r="M52" i="2" s="1"/>
  <c r="P51" i="2"/>
  <c r="K51" i="2"/>
  <c r="M51" i="2" s="1"/>
  <c r="P50" i="2"/>
  <c r="K50" i="2"/>
  <c r="M50" i="2" s="1"/>
  <c r="P49" i="2"/>
  <c r="P63" i="2" s="1"/>
  <c r="K49" i="2"/>
  <c r="K86" i="2" s="1"/>
  <c r="L48" i="2"/>
  <c r="J48" i="2"/>
  <c r="I48" i="2"/>
  <c r="H48" i="2"/>
  <c r="K47" i="2"/>
  <c r="M47" i="2" s="1"/>
  <c r="K46" i="2"/>
  <c r="M46" i="2" s="1"/>
  <c r="M45" i="2"/>
  <c r="K45" i="2"/>
  <c r="K44" i="2"/>
  <c r="M44" i="2" s="1"/>
  <c r="K43" i="2"/>
  <c r="M43" i="2" s="1"/>
  <c r="K42" i="2"/>
  <c r="M42" i="2" s="1"/>
  <c r="K41" i="2"/>
  <c r="M41" i="2" s="1"/>
  <c r="K40" i="2"/>
  <c r="M40" i="2" s="1"/>
  <c r="M39" i="2"/>
  <c r="K39" i="2"/>
  <c r="K38" i="2"/>
  <c r="M38" i="2" s="1"/>
  <c r="K36" i="2"/>
  <c r="M36" i="2" s="1"/>
  <c r="K35" i="2"/>
  <c r="M35" i="2" s="1"/>
  <c r="M34" i="2"/>
  <c r="K34" i="2"/>
  <c r="K33" i="2"/>
  <c r="M33" i="2" s="1"/>
  <c r="K32" i="2"/>
  <c r="M32" i="2" s="1"/>
  <c r="K31" i="2"/>
  <c r="M31" i="2" s="1"/>
  <c r="K30" i="2"/>
  <c r="M30" i="2" s="1"/>
  <c r="K29" i="2"/>
  <c r="M29" i="2" s="1"/>
  <c r="M28" i="2"/>
  <c r="K28" i="2"/>
  <c r="K27" i="2"/>
  <c r="M27" i="2" s="1"/>
  <c r="K26" i="2"/>
  <c r="M26" i="2" s="1"/>
  <c r="K25" i="2"/>
  <c r="M25" i="2" s="1"/>
  <c r="M24" i="2"/>
  <c r="K24" i="2"/>
  <c r="K23" i="2"/>
  <c r="M23" i="2" s="1"/>
  <c r="K22" i="2"/>
  <c r="M22" i="2" s="1"/>
  <c r="K21" i="2"/>
  <c r="M21" i="2" s="1"/>
  <c r="K20" i="2"/>
  <c r="M20" i="2" s="1"/>
  <c r="K19" i="2"/>
  <c r="M19" i="2" s="1"/>
  <c r="M18" i="2"/>
  <c r="K18" i="2"/>
  <c r="K17" i="2"/>
  <c r="M17" i="2" s="1"/>
  <c r="K16" i="2"/>
  <c r="M16" i="2" s="1"/>
  <c r="K15" i="2"/>
  <c r="K85" i="2" s="1"/>
  <c r="L14" i="2"/>
  <c r="J14" i="2"/>
  <c r="I14" i="2"/>
  <c r="H14" i="2"/>
  <c r="K13" i="2"/>
  <c r="M13" i="2" s="1"/>
  <c r="K12" i="2"/>
  <c r="M12" i="2" s="1"/>
  <c r="K11" i="2"/>
  <c r="K84" i="2" s="1"/>
  <c r="K88" i="2" s="1"/>
  <c r="K10" i="2"/>
  <c r="M10" i="2" s="1"/>
  <c r="M9" i="2"/>
  <c r="K9" i="2"/>
  <c r="K8" i="2"/>
  <c r="M8" i="2" s="1"/>
  <c r="H5" i="2"/>
  <c r="I5" i="2" s="1"/>
  <c r="H3" i="2"/>
  <c r="I3" i="2" s="1"/>
  <c r="H2" i="2"/>
  <c r="I2" i="2" s="1"/>
  <c r="K48" i="2" l="1"/>
  <c r="M48" i="2" s="1"/>
  <c r="Q48" i="2" s="1"/>
  <c r="K76" i="2"/>
  <c r="M49" i="2"/>
  <c r="K14" i="2"/>
  <c r="M14" i="2" s="1"/>
  <c r="Q14" i="2" s="1"/>
  <c r="K63" i="2"/>
  <c r="M63" i="2" s="1"/>
  <c r="Q63" i="2" s="1"/>
  <c r="M11" i="2"/>
  <c r="M15" i="2"/>
  <c r="K78" i="2" l="1"/>
  <c r="M78" i="2" s="1"/>
  <c r="Q78" i="2" s="1"/>
  <c r="M76" i="2"/>
  <c r="Q76" i="2" s="1"/>
</calcChain>
</file>

<file path=xl/sharedStrings.xml><?xml version="1.0" encoding="utf-8"?>
<sst xmlns="http://schemas.openxmlformats.org/spreadsheetml/2006/main" count="4250" uniqueCount="1225">
  <si>
    <t>Datapath</t>
  </si>
  <si>
    <t>P&amp;L MTD with Previous Month Comparison</t>
  </si>
  <si>
    <t>Reporting Book:</t>
  </si>
  <si>
    <t>ACCRUAL</t>
  </si>
  <si>
    <t>As of Date:</t>
  </si>
  <si>
    <t>09/30/2025</t>
  </si>
  <si>
    <t>Location group:</t>
  </si>
  <si>
    <t>Modesto Fresno Ohio</t>
  </si>
  <si>
    <t xml:space="preserve"> </t>
  </si>
  <si>
    <t>DP California</t>
  </si>
  <si>
    <t>DP Ohio</t>
  </si>
  <si>
    <t>Data Path - All Locations</t>
  </si>
  <si>
    <t>Month Ending</t>
  </si>
  <si>
    <t>Year To Date</t>
  </si>
  <si>
    <t>08/31/2025</t>
  </si>
  <si>
    <t>Actual</t>
  </si>
  <si>
    <t>Month Variance</t>
  </si>
  <si>
    <t>Variance</t>
  </si>
  <si>
    <t xml:space="preserve">  Net Income- With DL above the line</t>
  </si>
  <si>
    <t xml:space="preserve">  </t>
  </si>
  <si>
    <t xml:space="preserve">    Operating Net Income- DL above the line</t>
  </si>
  <si>
    <t xml:space="preserve">    </t>
  </si>
  <si>
    <t xml:space="preserve">      Gross Profit with Direct Labor</t>
  </si>
  <si>
    <t xml:space="preserve">      </t>
  </si>
  <si>
    <t xml:space="preserve">        Revenue</t>
  </si>
  <si>
    <t xml:space="preserve">        </t>
  </si>
  <si>
    <t xml:space="preserve">          Monthly Recurring Services</t>
  </si>
  <si>
    <t>Irvine is billed the 15th of the month for services performed the following month, as such, revenue is reversed and posts in the subsequent month. This was not performed in Aug and therefore should right-size in October.</t>
  </si>
  <si>
    <t xml:space="preserve">          Monthly Recurring Private Cloud</t>
  </si>
  <si>
    <t xml:space="preserve">          Monthly Recurring Resale</t>
  </si>
  <si>
    <t xml:space="preserve">          Project Services</t>
  </si>
  <si>
    <t>Decrease primarily the result of NRR accrual delta $80k to Ohio (too much pushed forward to August), offset by increase  in Cristo Rey laptop/Chromebook order$41k to . Sept was the soonest we could invoice.</t>
  </si>
  <si>
    <t xml:space="preserve">          Subcontracted Services</t>
  </si>
  <si>
    <t>CA Cabling customer Constellation Brands cabling Job $33k job in Aug.</t>
  </si>
  <si>
    <t xml:space="preserve">          Product Sales</t>
  </si>
  <si>
    <t>$351k Decrease in: Imagine Pediatrics, and Vital Care as well as schools (seasonality per discussion with Melinda): St. John 23rd, Millennium Comm, North Shore High, East Guernsey, offset by increase in Scheurer Health $67k.</t>
  </si>
  <si>
    <t xml:space="preserve">          Revenue - Other</t>
  </si>
  <si>
    <t xml:space="preserve">        Total Revenue</t>
  </si>
  <si>
    <t xml:space="preserve">        Cost of Rev with Direct and IT Project Labor</t>
  </si>
  <si>
    <t xml:space="preserve">          Managed IT Service Costs</t>
  </si>
  <si>
    <t>Reclassed ~$13k to inventory from previous iteration</t>
  </si>
  <si>
    <t xml:space="preserve">          Cost of Monthly Recurring Cloud</t>
  </si>
  <si>
    <t xml:space="preserve">          Cost of Monthly Recurring Resale</t>
  </si>
  <si>
    <t>Reclassed ~$15k to inventory from previous iteration</t>
  </si>
  <si>
    <t xml:space="preserve">          Project Service Costs</t>
  </si>
  <si>
    <t xml:space="preserve">          Subcontractor Service Costs</t>
  </si>
  <si>
    <t>See above</t>
  </si>
  <si>
    <t xml:space="preserve">          Product Sales Cost</t>
  </si>
  <si>
    <t xml:space="preserve">          IT Project Labor</t>
  </si>
  <si>
    <t>Variance due to Jack H. severance in August-Ohio.</t>
  </si>
  <si>
    <t xml:space="preserve">          Direct Labor Costs</t>
  </si>
  <si>
    <t>Direct Labor CA-Luis H was dismissed with PTO payout $16k; Jenny M. hired in Sept $1.7k contractor wages.</t>
  </si>
  <si>
    <t xml:space="preserve">        Total Cost of Rev with IT Project and Direct Labor</t>
  </si>
  <si>
    <t xml:space="preserve">      Total Gross Profit with Direct Labor</t>
  </si>
  <si>
    <t xml:space="preserve">      Sales Labor Costs</t>
  </si>
  <si>
    <t>Sales Wages CA-Nathan L commissions down $15k offset by increase in accrual; Sales Wages Ohio-Commissions increase, primarily Joel W. commissions increased $19k Sept, offset by Dan K. dismissed in Aug with severance payout.</t>
  </si>
  <si>
    <t xml:space="preserve">      Operating Expense- no Direct or Sales Labor</t>
  </si>
  <si>
    <t xml:space="preserve">        Payroll and Related Expenses no Direct or Sales Labor</t>
  </si>
  <si>
    <t>Dennis V. pto payout Sept, offset by Adam H severance payout Aug.</t>
  </si>
  <si>
    <t xml:space="preserve">        Utilities and Facilities</t>
  </si>
  <si>
    <t xml:space="preserve">          Facilities</t>
  </si>
  <si>
    <t xml:space="preserve">          Repairs and Maintenance</t>
  </si>
  <si>
    <t xml:space="preserve">          Utilities</t>
  </si>
  <si>
    <t>Reviewing for possible missing charges to Ramp ($5k CA): David Craig - Monthly Bill - Legacy Intermedia Clients, and Ramp: Rebecca Moore - Comcast internet service - J Street totaling $3600; Dennis V. $2k ramp charges Aug not Sept (mostly t-mobile).</t>
  </si>
  <si>
    <t xml:space="preserve">        Total Utilities and Facilities</t>
  </si>
  <si>
    <t xml:space="preserve">        Operating and Maintenance Expenses</t>
  </si>
  <si>
    <t xml:space="preserve">          Software and Maintenance</t>
  </si>
  <si>
    <t xml:space="preserve">ConnectWise geography ~$7k with acct 50000 from prior month, managed IT costs. 
</t>
  </si>
  <si>
    <t xml:space="preserve">          Professional Services</t>
  </si>
  <si>
    <t>Citrin decrease $31k (assessment and transition) offset by OC Secure Solutions $14k increase.</t>
  </si>
  <si>
    <t xml:space="preserve">          Automobile Expenses</t>
  </si>
  <si>
    <t xml:space="preserve">        Total Operating and Maintenance Expenses</t>
  </si>
  <si>
    <t xml:space="preserve">        Marketing and Advertising Expenses</t>
  </si>
  <si>
    <t xml:space="preserve">          Advertising and Promotion</t>
  </si>
  <si>
    <t>Developer expense $2k plus Grow IT Partners one time marketing expense $5.7k.</t>
  </si>
  <si>
    <t xml:space="preserve">        Total Marketing and Advertising Expenses</t>
  </si>
  <si>
    <t xml:space="preserve">        General and Administrative Expenses</t>
  </si>
  <si>
    <t xml:space="preserve">          Office Supplies</t>
  </si>
  <si>
    <t xml:space="preserve">          Charitable Contributions</t>
  </si>
  <si>
    <t>Donated to Big Valley Christian School for a benefit golf tournament and United Way, $4k 49rs foundation plus $3k Jarron and Candrancho.</t>
  </si>
  <si>
    <t xml:space="preserve">          Education</t>
  </si>
  <si>
    <t xml:space="preserve">          Finance Charges</t>
  </si>
  <si>
    <t xml:space="preserve">          Travel, Meals and Entertainment</t>
  </si>
  <si>
    <t xml:space="preserve">          </t>
  </si>
  <si>
    <t xml:space="preserve">            Travel Expenses</t>
  </si>
  <si>
    <t xml:space="preserve">            Meals and Entertainment</t>
  </si>
  <si>
    <t xml:space="preserve">          Total Travel, Meals and Entertainment</t>
  </si>
  <si>
    <t xml:space="preserve">        Total General and Administrative Expenses</t>
  </si>
  <si>
    <t xml:space="preserve">        Taxes and Insurance</t>
  </si>
  <si>
    <t xml:space="preserve">          Insurance</t>
  </si>
  <si>
    <t>Sept $7.1k Bill - Ohio Bureau of Work Comp: Workers' Compensation installment, audit true-up, and audit charges.</t>
  </si>
  <si>
    <t xml:space="preserve">          Taxes</t>
  </si>
  <si>
    <t xml:space="preserve">        Total Taxes and Insurance</t>
  </si>
  <si>
    <t xml:space="preserve">      Total Operating Expense- no Direct or Sales Labor</t>
  </si>
  <si>
    <t xml:space="preserve">    Total Operating Net Income- DL above the line</t>
  </si>
  <si>
    <t xml:space="preserve">    Other Income (Expense)</t>
  </si>
  <si>
    <t xml:space="preserve">      Other Income</t>
  </si>
  <si>
    <t xml:space="preserve">        Interest Income</t>
  </si>
  <si>
    <t xml:space="preserve">        Other Income</t>
  </si>
  <si>
    <t xml:space="preserve"> August represents mainly a Gusto payroll reimbursement for fines paid plus sale of sports tickets, Metallica tickets.</t>
  </si>
  <si>
    <t xml:space="preserve">      Total Other Income</t>
  </si>
  <si>
    <t xml:space="preserve">      Other Expense</t>
  </si>
  <si>
    <t xml:space="preserve">        Interest Expenses</t>
  </si>
  <si>
    <t xml:space="preserve">        Partnership Expenses</t>
  </si>
  <si>
    <t xml:space="preserve">        Other Expenses</t>
  </si>
  <si>
    <t>In August there was MSA Corporate Strategies LLC bill of $28k; Sept Lease Direct funding $11k (unknown deposit)</t>
  </si>
  <si>
    <t xml:space="preserve">      Total Other Expense</t>
  </si>
  <si>
    <t xml:space="preserve">    Total Other Income (Expense)</t>
  </si>
  <si>
    <t xml:space="preserve">    Income Taxes</t>
  </si>
  <si>
    <t xml:space="preserve">      State and Local Taxes</t>
  </si>
  <si>
    <t xml:space="preserve">    Total Income Taxes</t>
  </si>
  <si>
    <t xml:space="preserve">  Net Income</t>
  </si>
  <si>
    <t>Created on : 10/18/2025 6:33 PM PDT</t>
  </si>
  <si>
    <t>Location</t>
  </si>
  <si>
    <t>Customer</t>
  </si>
  <si>
    <t>Agreement Type</t>
  </si>
  <si>
    <t>Agreement Name</t>
  </si>
  <si>
    <t>Invoice Number</t>
  </si>
  <si>
    <t>Invoice Date</t>
  </si>
  <si>
    <t>September Financials</t>
  </si>
  <si>
    <t>September Revenue</t>
  </si>
  <si>
    <t>August Clawback</t>
  </si>
  <si>
    <t>August Financials</t>
  </si>
  <si>
    <t>Difference September - August</t>
  </si>
  <si>
    <t>% Change</t>
  </si>
  <si>
    <t>Notes</t>
  </si>
  <si>
    <t>CA</t>
  </si>
  <si>
    <t>24 Hour Home Care</t>
  </si>
  <si>
    <t>Recurring Resale - MSP</t>
  </si>
  <si>
    <t>Recurring Resale - MSP 2024/27</t>
  </si>
  <si>
    <t>179772</t>
  </si>
  <si>
    <t>Recurring Resale - Security</t>
  </si>
  <si>
    <t>T-Services-MSP</t>
  </si>
  <si>
    <t>24 Hour Home Care Total</t>
  </si>
  <si>
    <t>7C Escrow</t>
  </si>
  <si>
    <t>Cloud - Private</t>
  </si>
  <si>
    <t>180181</t>
  </si>
  <si>
    <t>7C Escrow Total</t>
  </si>
  <si>
    <t>Abest Professional Health Care</t>
  </si>
  <si>
    <t>Recurring Resale - Microsoft 365 NCE</t>
  </si>
  <si>
    <t>179773</t>
  </si>
  <si>
    <t>Recurring Resale - MSP 2025/27</t>
  </si>
  <si>
    <t>Temp Backups Agreement</t>
  </si>
  <si>
    <t>Recurring Resale - Security 2025/27</t>
  </si>
  <si>
    <t>IS-ESP-1 and DPMSAT were removed from agreement</t>
  </si>
  <si>
    <t>T-Services-MSP 2024/27</t>
  </si>
  <si>
    <t xml:space="preserve">User count dropped from </t>
  </si>
  <si>
    <t>Abest Professional Health Care Total</t>
  </si>
  <si>
    <t>ABI Healthcare</t>
  </si>
  <si>
    <t>179774</t>
  </si>
  <si>
    <t>MSP -Recurring Resale</t>
  </si>
  <si>
    <t>Users and endpoints dropped</t>
  </si>
  <si>
    <t>ABI Healthcare Total</t>
  </si>
  <si>
    <t>ABIFI Professional Health Care</t>
  </si>
  <si>
    <t>179775</t>
  </si>
  <si>
    <t>Recurring Resale - Security 2024/27</t>
  </si>
  <si>
    <t>Huntress/Huntress365/DPMSAT dropped</t>
  </si>
  <si>
    <t>Endpoints dropped</t>
  </si>
  <si>
    <t>ABIFI Professional Health Care Total</t>
  </si>
  <si>
    <t>Ability Ambeck Mortgage</t>
  </si>
  <si>
    <t>Ability Microsoft 365</t>
  </si>
  <si>
    <t>179777</t>
  </si>
  <si>
    <t>Recurring Resale - MSP 25/26</t>
  </si>
  <si>
    <t>179776</t>
  </si>
  <si>
    <t>Ability - Recurring Resale - Security</t>
  </si>
  <si>
    <t>Ability-Managed</t>
  </si>
  <si>
    <t>Ability Ambeck Mortgage Total</t>
  </si>
  <si>
    <t>Advantage Home Care</t>
  </si>
  <si>
    <t>179778</t>
  </si>
  <si>
    <t>IS-ESP-1 and Huntress dropped</t>
  </si>
  <si>
    <t>Advantage Home Care Total</t>
  </si>
  <si>
    <t>Agape Corporation  WEB Du</t>
  </si>
  <si>
    <t>179740</t>
  </si>
  <si>
    <t>Agape Corporation  WEB Du Total</t>
  </si>
  <si>
    <t>Agee Construction</t>
  </si>
  <si>
    <t>179741</t>
  </si>
  <si>
    <t>Agee Microsoft 365</t>
  </si>
  <si>
    <t>Huntress dropped</t>
  </si>
  <si>
    <t>Agee Construction Total</t>
  </si>
  <si>
    <t>Alliance Services</t>
  </si>
  <si>
    <t>179779</t>
  </si>
  <si>
    <t>Alliance Services Total</t>
  </si>
  <si>
    <t>Ameribest</t>
  </si>
  <si>
    <t>179780</t>
  </si>
  <si>
    <t>End user dropped</t>
  </si>
  <si>
    <t>Ameribest Total</t>
  </si>
  <si>
    <t>American Institute of Science and Technology</t>
  </si>
  <si>
    <t>179781</t>
  </si>
  <si>
    <t>IS-ESP-1 dropped</t>
  </si>
  <si>
    <t>T-Services-MSP 24/27</t>
  </si>
  <si>
    <t>American Institute of Science and Technology Total</t>
  </si>
  <si>
    <t>Anonymous LLC</t>
  </si>
  <si>
    <t>Anonymous Cloud Services</t>
  </si>
  <si>
    <t>180182</t>
  </si>
  <si>
    <t>M365 Apps dropped</t>
  </si>
  <si>
    <t>Anonymous LLC Total</t>
  </si>
  <si>
    <t>Applegate Teeples Drilling</t>
  </si>
  <si>
    <t>179782</t>
  </si>
  <si>
    <t>DPMB-AFI-0365 dropped</t>
  </si>
  <si>
    <t>Applegate Teeples Drilling Total</t>
  </si>
  <si>
    <t>ATD Home Health Agency, INC</t>
  </si>
  <si>
    <t>Recurring Resale - Security 24/27</t>
  </si>
  <si>
    <t>179783</t>
  </si>
  <si>
    <t>endpoint and users dropped</t>
  </si>
  <si>
    <t>ATD Home Health Agency, INC Total</t>
  </si>
  <si>
    <t>Aweta - Americas</t>
  </si>
  <si>
    <t>179742</t>
  </si>
  <si>
    <t>T-Services-Security</t>
  </si>
  <si>
    <t>Aweta - Americas Total</t>
  </si>
  <si>
    <t>Big Valley Grace Community Church</t>
  </si>
  <si>
    <t>179784</t>
  </si>
  <si>
    <t>Virtual Server dropped</t>
  </si>
  <si>
    <t>Big Valley Grace Community Church Total</t>
  </si>
  <si>
    <t>Borba Farms Partners</t>
  </si>
  <si>
    <t>179743</t>
  </si>
  <si>
    <t>Borba Farms Partners Total</t>
  </si>
  <si>
    <t>Caloy Company LLC</t>
  </si>
  <si>
    <t>179785</t>
  </si>
  <si>
    <t>Caloy Microsoft 365</t>
  </si>
  <si>
    <t>Caloy-Managed</t>
  </si>
  <si>
    <t>Caloy Company LLC Total</t>
  </si>
  <si>
    <t>Capital Financial Consultants Group</t>
  </si>
  <si>
    <t>Capital Financial Cloud Services</t>
  </si>
  <si>
    <t>180183</t>
  </si>
  <si>
    <t>180184</t>
  </si>
  <si>
    <t>Agreement started 08/01 and is billed annually</t>
  </si>
  <si>
    <t>Capital Financial Consultants Group Total</t>
  </si>
  <si>
    <t>Carmel Unified School District</t>
  </si>
  <si>
    <t>179786</t>
  </si>
  <si>
    <t>T-Services-MSP 25/26</t>
  </si>
  <si>
    <t>Carmel Unified School District Total</t>
  </si>
  <si>
    <t>Central Valley Pain Management</t>
  </si>
  <si>
    <t>179787</t>
  </si>
  <si>
    <t>CV Pain Management Managed Services</t>
  </si>
  <si>
    <t>Central Valley Pain Management Total</t>
  </si>
  <si>
    <t>Chatom Union School District</t>
  </si>
  <si>
    <t>179788</t>
  </si>
  <si>
    <t>Recurring Resale - Security 25/26</t>
  </si>
  <si>
    <t>Server and endpoints dropped</t>
  </si>
  <si>
    <t>Chatom Union School District Total</t>
  </si>
  <si>
    <t>Choice Home Care</t>
  </si>
  <si>
    <t>179789</t>
  </si>
  <si>
    <t>MTS cloud storage dropped</t>
  </si>
  <si>
    <t>Choice Home Care Total</t>
  </si>
  <si>
    <t>Circle of Life - First Nations - Soaring Eagles</t>
  </si>
  <si>
    <t>179790</t>
  </si>
  <si>
    <t>Managed Services</t>
  </si>
  <si>
    <t>Circle of Life - First Nations - Soaring Eagles Total</t>
  </si>
  <si>
    <t>City of Atwater</t>
  </si>
  <si>
    <t>City of Atwater Microsoft 365</t>
  </si>
  <si>
    <t>179796</t>
  </si>
  <si>
    <t>Managed Office 365 Backups</t>
  </si>
  <si>
    <t>179793</t>
  </si>
  <si>
    <t>179795</t>
  </si>
  <si>
    <t>Recurring Resale - MSP - Mimecast</t>
  </si>
  <si>
    <t>179792</t>
  </si>
  <si>
    <t>179791</t>
  </si>
  <si>
    <t>City of Atwater Managed Service</t>
  </si>
  <si>
    <t>T-Services-MSP - Managed Services</t>
  </si>
  <si>
    <t>179794</t>
  </si>
  <si>
    <t>City of Atwater Total</t>
  </si>
  <si>
    <t>City of Firebaugh</t>
  </si>
  <si>
    <t>Cloud - Private 2025</t>
  </si>
  <si>
    <t>179744</t>
  </si>
  <si>
    <t>Recurring Resale - MSP 2025</t>
  </si>
  <si>
    <t>Recurring Resale - Security 2025</t>
  </si>
  <si>
    <t>T-Services-MSP 2025</t>
  </si>
  <si>
    <t>City of Firebaugh Total</t>
  </si>
  <si>
    <t>City of Mendota</t>
  </si>
  <si>
    <t>179797</t>
  </si>
  <si>
    <t>T-Services-MSP 25/28</t>
  </si>
  <si>
    <t>City of Mendota Total</t>
  </si>
  <si>
    <t>City of Selma</t>
  </si>
  <si>
    <t>Microsoft 365</t>
  </si>
  <si>
    <t>179745</t>
  </si>
  <si>
    <t>Recurring Resale - MSP 2024/2027</t>
  </si>
  <si>
    <t>179746</t>
  </si>
  <si>
    <t>Recurring Resale - Security 2024/2027</t>
  </si>
  <si>
    <t>T-Services-MSP 2024/2027</t>
  </si>
  <si>
    <t>City of Selma Total</t>
  </si>
  <si>
    <t>Collectibles Management Resources</t>
  </si>
  <si>
    <t>Private Cloud Services</t>
  </si>
  <si>
    <t>179747</t>
  </si>
  <si>
    <t>Collectibles Management Microsoft 365</t>
  </si>
  <si>
    <t>Collectibles Management Support360</t>
  </si>
  <si>
    <t>Collectibles Management Resources Total</t>
  </si>
  <si>
    <t>Community Action Partnership of Madera Co</t>
  </si>
  <si>
    <t>179751</t>
  </si>
  <si>
    <t>179749</t>
  </si>
  <si>
    <t>179750</t>
  </si>
  <si>
    <t>179748</t>
  </si>
  <si>
    <t>Community Action Partnership of Madera Co Total</t>
  </si>
  <si>
    <t>Cranbrook Group Inc.</t>
  </si>
  <si>
    <t>179798B</t>
  </si>
  <si>
    <t>179798</t>
  </si>
  <si>
    <t>Cranbrook Group Inc. Total</t>
  </si>
  <si>
    <t>Daniel, Towle and Warkentine CPA</t>
  </si>
  <si>
    <t>Recurring Resale - Microsoft 365 NCE -EG</t>
  </si>
  <si>
    <t>179752</t>
  </si>
  <si>
    <t>Recurring Resale - MSP EG</t>
  </si>
  <si>
    <t>179753</t>
  </si>
  <si>
    <t>Recurring Resale - Security EG</t>
  </si>
  <si>
    <t>New agreement</t>
  </si>
  <si>
    <t>T-Services-MSP EG</t>
  </si>
  <si>
    <t>New agreement went up $100</t>
  </si>
  <si>
    <t>Daniel, Towle and Warkentine CPA Total</t>
  </si>
  <si>
    <t>DeHart Plumbing, Heating &amp; Air, Inc.</t>
  </si>
  <si>
    <t>DeHart Microsoft 365</t>
  </si>
  <si>
    <t>180019</t>
  </si>
  <si>
    <t>179800</t>
  </si>
  <si>
    <t>DPMSAT dropped</t>
  </si>
  <si>
    <t>DeHart Plumbing, Heating &amp; Air, Inc. Total</t>
  </si>
  <si>
    <t>Del Puerto Health Care District</t>
  </si>
  <si>
    <t>Del Puerto Microsoft 365</t>
  </si>
  <si>
    <t>179801</t>
  </si>
  <si>
    <t>Del Puerto-Managed</t>
  </si>
  <si>
    <t>Del Puerto Security Services</t>
  </si>
  <si>
    <t>Del Puerto Health Care District Total</t>
  </si>
  <si>
    <t>Dependable Home Health Care</t>
  </si>
  <si>
    <t>179802</t>
  </si>
  <si>
    <t>DPMB-0365 dropped</t>
  </si>
  <si>
    <t>DuoMFA and DPMSAT dropeed</t>
  </si>
  <si>
    <t>endpoint and user count dropped</t>
  </si>
  <si>
    <t>Dependable Home Health Care Total</t>
  </si>
  <si>
    <t>Devoted Guardians</t>
  </si>
  <si>
    <t>180029</t>
  </si>
  <si>
    <t>Devoted Guardians Total</t>
  </si>
  <si>
    <t>DiMare</t>
  </si>
  <si>
    <t>Cloud - Private 25/28</t>
  </si>
  <si>
    <t>179804</t>
  </si>
  <si>
    <t>Recurring Resale - MSP 25/28</t>
  </si>
  <si>
    <t>Recurring Resale - Security 25/28</t>
  </si>
  <si>
    <t>DiMare Total</t>
  </si>
  <si>
    <t>Diversified Machining &amp; Fabrication</t>
  </si>
  <si>
    <t>179805</t>
  </si>
  <si>
    <t>Diversified Machining &amp; Fabrication Total</t>
  </si>
  <si>
    <t>Duarte Nursery</t>
  </si>
  <si>
    <t>Duarte Microsoft 365</t>
  </si>
  <si>
    <t>179806</t>
  </si>
  <si>
    <t>Duarte Nursery Total</t>
  </si>
  <si>
    <t>Dust Bowl Brewing Company</t>
  </si>
  <si>
    <t>Dustbowl Microsoft 365</t>
  </si>
  <si>
    <t>179807</t>
  </si>
  <si>
    <t>Dust Bowl Brewing Company Total</t>
  </si>
  <si>
    <t>Eastern Sierra USD</t>
  </si>
  <si>
    <t>179808</t>
  </si>
  <si>
    <t>Eastern Sierra USD Total</t>
  </si>
  <si>
    <t>Empire Union School District</t>
  </si>
  <si>
    <t>179809</t>
  </si>
  <si>
    <t>Recurring Resale - MSP 25/26 B</t>
  </si>
  <si>
    <t>179811</t>
  </si>
  <si>
    <t>179810</t>
  </si>
  <si>
    <t>Empire Union School District Total</t>
  </si>
  <si>
    <t>Fabricated Extrusion Company</t>
  </si>
  <si>
    <t>24/27 Cloud - Private</t>
  </si>
  <si>
    <t>179813</t>
  </si>
  <si>
    <t>179812</t>
  </si>
  <si>
    <t>24/27 Recurring Resale - MSP</t>
  </si>
  <si>
    <t>24/27 Recurring Resale - Security</t>
  </si>
  <si>
    <t>24/27 T-Services-MSP</t>
  </si>
  <si>
    <t>endpoint dropped</t>
  </si>
  <si>
    <t>Fabricated Extrusion Company Total</t>
  </si>
  <si>
    <t>Field Van, Inc</t>
  </si>
  <si>
    <t>179754</t>
  </si>
  <si>
    <t>Field Van, Inc Total</t>
  </si>
  <si>
    <t>Fiscalini Farmstead</t>
  </si>
  <si>
    <t>179814</t>
  </si>
  <si>
    <t>Fiscalini Farmstead Total</t>
  </si>
  <si>
    <t>Formulation Technology, Inc.</t>
  </si>
  <si>
    <t>Formulation Tech Microsoft 365</t>
  </si>
  <si>
    <t>new agreement</t>
  </si>
  <si>
    <t>179815</t>
  </si>
  <si>
    <t xml:space="preserve">new agreement </t>
  </si>
  <si>
    <t>Formation-Managed</t>
  </si>
  <si>
    <t>Formulation Technology, Inc. Total</t>
  </si>
  <si>
    <t>Fortune-Ratliff General Contractors, Inc.</t>
  </si>
  <si>
    <t>179755</t>
  </si>
  <si>
    <t>Fortune-Ratliff General Contractors, Inc. Total</t>
  </si>
  <si>
    <t>Free Wheelchair Mission</t>
  </si>
  <si>
    <t>180185</t>
  </si>
  <si>
    <t>Free Wheelchair Mission Total</t>
  </si>
  <si>
    <t>Gill Ranch Storage, LLC</t>
  </si>
  <si>
    <t>179756</t>
  </si>
  <si>
    <t>Gill Ranch Storage, LLC Total</t>
  </si>
  <si>
    <t>Graceada Partners</t>
  </si>
  <si>
    <t>Co Pilot Licensing</t>
  </si>
  <si>
    <t>180050</t>
  </si>
  <si>
    <t>Microsoft 365 - 520-530 9th Street</t>
  </si>
  <si>
    <t>180060</t>
  </si>
  <si>
    <t>Microsoft 365 - Carson Aire</t>
  </si>
  <si>
    <t>180054</t>
  </si>
  <si>
    <t>Microsoft 365 - Cedar Oaks</t>
  </si>
  <si>
    <t>180057</t>
  </si>
  <si>
    <t>Microsoft 365 - College Park</t>
  </si>
  <si>
    <t>180058</t>
  </si>
  <si>
    <t>Microsoft 365 - La Loma</t>
  </si>
  <si>
    <t>180059</t>
  </si>
  <si>
    <t>Microsoft 365 - Main</t>
  </si>
  <si>
    <t>180049</t>
  </si>
  <si>
    <t>users dropped</t>
  </si>
  <si>
    <t>Microsoft 365 - Stoneybrook</t>
  </si>
  <si>
    <t>180053</t>
  </si>
  <si>
    <t>Microsoft 365 - Sundance</t>
  </si>
  <si>
    <t>180061</t>
  </si>
  <si>
    <t>Microsoft 365 - The Lofts</t>
  </si>
  <si>
    <t>180052</t>
  </si>
  <si>
    <t>Microsoft 365 - Tyner Ranch</t>
  </si>
  <si>
    <t>180051</t>
  </si>
  <si>
    <t>Microsoft 365 - Vantage Point</t>
  </si>
  <si>
    <t>180055</t>
  </si>
  <si>
    <t>Microsoft 365 - Willows</t>
  </si>
  <si>
    <t>180056</t>
  </si>
  <si>
    <t>Recurring Resale - Microsoft 365 NCE - Sherwood Manor</t>
  </si>
  <si>
    <t>180063</t>
  </si>
  <si>
    <t>Recurring Resale - Microsoft 365 NCE 17th Place Townhomes</t>
  </si>
  <si>
    <t>180062</t>
  </si>
  <si>
    <t>Recurring Resale - MSP - Carson Aire</t>
  </si>
  <si>
    <t>Recurring Resale - MSP - Cedar Oaks Apartments</t>
  </si>
  <si>
    <t>Recurring Resale - MSP - Main</t>
  </si>
  <si>
    <t>Recurring Resale - MSP - The Willows</t>
  </si>
  <si>
    <t>Recurring Resale - MSP - Tyner Ranch</t>
  </si>
  <si>
    <t>Recurring Resale - MSP -Stoneybrook Apartments</t>
  </si>
  <si>
    <t>Recurring Resale - MSP -The Lofts</t>
  </si>
  <si>
    <t>Recurring Resale - MSP -Vantage Point Apartments</t>
  </si>
  <si>
    <t>Recurring Resale - Security - Carson Aire</t>
  </si>
  <si>
    <t>Recurring Resale - Security - Main</t>
  </si>
  <si>
    <t>Recurring Resale - Security - The Lofts</t>
  </si>
  <si>
    <t>Recurring Resale - Security - Tyner Ranch</t>
  </si>
  <si>
    <t>Recurring Resale - Security - Vantage Point Apartments</t>
  </si>
  <si>
    <t>Recurring Resale - Security -Cedar Oaks Apartments</t>
  </si>
  <si>
    <t>Recurring Resale - Security -Stoneybrook Apartments</t>
  </si>
  <si>
    <t>Recurring Resale - Security -the Willows</t>
  </si>
  <si>
    <t>T-Services-MSP - Carson Aire</t>
  </si>
  <si>
    <t>T-Services-MSP - Cedar Oaks Apartments</t>
  </si>
  <si>
    <t>T-Services-MSP - Main</t>
  </si>
  <si>
    <t>T-Services-MSP -Stoneybrook Apartments</t>
  </si>
  <si>
    <t>T-Services-MSP -The Willows</t>
  </si>
  <si>
    <t>T-Services-MSP -Tyner Ranch</t>
  </si>
  <si>
    <t>T-Services-MSP -Vantage Point Apartments</t>
  </si>
  <si>
    <t>T-Services-MSP-The Lofts</t>
  </si>
  <si>
    <t>Graceada Partners Total</t>
  </si>
  <si>
    <t>Gratton Elementary School District</t>
  </si>
  <si>
    <t>179816</t>
  </si>
  <si>
    <t>T-Services-MSP 2025/2028</t>
  </si>
  <si>
    <t>Gratton Elementary School District Total</t>
  </si>
  <si>
    <t>Hall Management Corp</t>
  </si>
  <si>
    <t>Cloud - Private 2025/28</t>
  </si>
  <si>
    <t>179757</t>
  </si>
  <si>
    <t>Recurring Resale - MSP 2025/28</t>
  </si>
  <si>
    <t>Recurring Resale - Security 2025/28</t>
  </si>
  <si>
    <t>T-Services-MSP 2025/28</t>
  </si>
  <si>
    <t>Hall Management Corp Total</t>
  </si>
  <si>
    <t>Hercules OEM Group</t>
  </si>
  <si>
    <t>Hercules Cloud - Private</t>
  </si>
  <si>
    <t>180186</t>
  </si>
  <si>
    <t>Hercules OEM Group Microsoft 365</t>
  </si>
  <si>
    <t>All Seals Intermedia</t>
  </si>
  <si>
    <t>Hercules OEM Group Managed Services</t>
  </si>
  <si>
    <t>Hercules OEM Group Total</t>
  </si>
  <si>
    <t>HHHC</t>
  </si>
  <si>
    <t>179817</t>
  </si>
  <si>
    <t>Recurring Resale - MSP 24/27</t>
  </si>
  <si>
    <t>HHHC Total</t>
  </si>
  <si>
    <t>Horizon Nut Company</t>
  </si>
  <si>
    <t>Horizon Nut Microsoft 365</t>
  </si>
  <si>
    <t>179818</t>
  </si>
  <si>
    <t>Horizon Nut Managed Services</t>
  </si>
  <si>
    <t>Horizon Nut Company Total</t>
  </si>
  <si>
    <t>Impact Home Health</t>
  </si>
  <si>
    <t>179819</t>
  </si>
  <si>
    <t>Impact Home Health Total</t>
  </si>
  <si>
    <t>Inland Star Distribution Center - Carson</t>
  </si>
  <si>
    <t>Inland CARSON - Managed Service - NO End User Support</t>
  </si>
  <si>
    <t>179758</t>
  </si>
  <si>
    <t>Inland Star Distribution Center - Carson Total</t>
  </si>
  <si>
    <t>Inland Star Distribution Center - Corporate</t>
  </si>
  <si>
    <t>Inland CORPORATE - Managed Service - NO End User Support</t>
  </si>
  <si>
    <t>179759</t>
  </si>
  <si>
    <t>Inland Star Distribution Center - Corporate Total</t>
  </si>
  <si>
    <t>Inland Star Distribution Center - Fresno</t>
  </si>
  <si>
    <t>179760</t>
  </si>
  <si>
    <t>Inland Star - Managed Service - NO End User Support</t>
  </si>
  <si>
    <t>Inland Star Distribution Center - Fresno Total</t>
  </si>
  <si>
    <t>Inland Star Distribution Center - Visalia</t>
  </si>
  <si>
    <t>Inland Visalia Managed Service - NO End User Support</t>
  </si>
  <si>
    <t>179761</t>
  </si>
  <si>
    <t>Inland Star Distribution Center - Visalia Total</t>
  </si>
  <si>
    <t>Inteli-care LLC</t>
  </si>
  <si>
    <t>179820</t>
  </si>
  <si>
    <t>Inteli-care LLC Total</t>
  </si>
  <si>
    <t>Jame O Bookkeeping</t>
  </si>
  <si>
    <t>180041</t>
  </si>
  <si>
    <t>Jame O Bookkeeping Total</t>
  </si>
  <si>
    <t>JEM Management Corporation</t>
  </si>
  <si>
    <t>JEM Microsoft 365</t>
  </si>
  <si>
    <t>179762</t>
  </si>
  <si>
    <t>JEM Management Support360</t>
  </si>
  <si>
    <t>JEM Management Corporation Total</t>
  </si>
  <si>
    <t>John Potter Specialty Foods, Inc.</t>
  </si>
  <si>
    <t>179821</t>
  </si>
  <si>
    <t>John Potter Microsoft 365</t>
  </si>
  <si>
    <t>John Potter Specialty Foods, Inc. Total</t>
  </si>
  <si>
    <t>Kaplan &amp; Trombi</t>
  </si>
  <si>
    <t>180187</t>
  </si>
  <si>
    <t>Kaplan &amp; Trombi Total</t>
  </si>
  <si>
    <t>Keen Care</t>
  </si>
  <si>
    <t>Microsoft 365 NCE</t>
  </si>
  <si>
    <t>179822</t>
  </si>
  <si>
    <t>Huntress365 and DPMSAT dropped</t>
  </si>
  <si>
    <t>Users dropped</t>
  </si>
  <si>
    <t>Keen Care Total</t>
  </si>
  <si>
    <t>Keyes Union School District</t>
  </si>
  <si>
    <t>179824</t>
  </si>
  <si>
    <t>Keyes USD-Managed</t>
  </si>
  <si>
    <t>179823</t>
  </si>
  <si>
    <t>Keyes Union School District Total</t>
  </si>
  <si>
    <t>Laguna Tools</t>
  </si>
  <si>
    <t>Laguna Tools Cloud Services</t>
  </si>
  <si>
    <t>180188</t>
  </si>
  <si>
    <t>Laguna Tools Microsoft 365</t>
  </si>
  <si>
    <t>Laguna Tools Total</t>
  </si>
  <si>
    <t>Life Improvement Homecare, Inc.</t>
  </si>
  <si>
    <t>Recurring Resale - Microsoft 365 NCE - Monthly</t>
  </si>
  <si>
    <t>179826</t>
  </si>
  <si>
    <t>179825</t>
  </si>
  <si>
    <t>endpoints and users dropped</t>
  </si>
  <si>
    <t>Life Improvement Homecare, Inc. Total</t>
  </si>
  <si>
    <t>Line-Mobility</t>
  </si>
  <si>
    <t>179827</t>
  </si>
  <si>
    <t>Line-Mobility Total</t>
  </si>
  <si>
    <t>Linwood Engineering Associates</t>
  </si>
  <si>
    <t>180189</t>
  </si>
  <si>
    <t>Linwood Engineering Associates Total</t>
  </si>
  <si>
    <t>Lucia Mar Unified School District</t>
  </si>
  <si>
    <t>179828</t>
  </si>
  <si>
    <t>VOIP Support</t>
  </si>
  <si>
    <t>179829</t>
  </si>
  <si>
    <t>Lucia Mar Unified School District Total</t>
  </si>
  <si>
    <t>Madera County Transportation Commission</t>
  </si>
  <si>
    <t>179763</t>
  </si>
  <si>
    <t>Madera County Transportation Microsoft 365</t>
  </si>
  <si>
    <t>Madera Transport Support360</t>
  </si>
  <si>
    <t>Madera County Transportation Commission Total</t>
  </si>
  <si>
    <t>MedTech Billing Services</t>
  </si>
  <si>
    <t>Microsoft NCE</t>
  </si>
  <si>
    <t>179831</t>
  </si>
  <si>
    <t>179830</t>
  </si>
  <si>
    <t>MedTech Billing Services Total</t>
  </si>
  <si>
    <t>Modiv</t>
  </si>
  <si>
    <t>180190</t>
  </si>
  <si>
    <t>MODIV Managed IT  month to month</t>
  </si>
  <si>
    <t>Modiv Total</t>
  </si>
  <si>
    <t>Monte Vista Small Animal Hospital</t>
  </si>
  <si>
    <t>179832</t>
  </si>
  <si>
    <t>Monte Vista Small Animal Hospital Total</t>
  </si>
  <si>
    <t>Newman-Crows Landing USD</t>
  </si>
  <si>
    <t>179834</t>
  </si>
  <si>
    <t>179833</t>
  </si>
  <si>
    <t>Newman-Crows Landing USD Total</t>
  </si>
  <si>
    <t>Nyansa Learning Corporation</t>
  </si>
  <si>
    <t>180191</t>
  </si>
  <si>
    <t>Nyansa Learning Corporation Total</t>
  </si>
  <si>
    <t>Oliveira Wealth</t>
  </si>
  <si>
    <t>179835</t>
  </si>
  <si>
    <t>Oliveira Wealth Total</t>
  </si>
  <si>
    <t>Orange County Human Relations</t>
  </si>
  <si>
    <t>180192</t>
  </si>
  <si>
    <t>Huntress and DPMSAT dropped</t>
  </si>
  <si>
    <t>endpoints dropped</t>
  </si>
  <si>
    <t>Orange County Human Relations Total</t>
  </si>
  <si>
    <t>Panoche Energy Center</t>
  </si>
  <si>
    <t>179764</t>
  </si>
  <si>
    <t>Panoche Energy Center Total</t>
  </si>
  <si>
    <t>Pasco</t>
  </si>
  <si>
    <t>179837</t>
  </si>
  <si>
    <t>179836</t>
  </si>
  <si>
    <t>Site services and users dropped</t>
  </si>
  <si>
    <t>Pasco Total</t>
  </si>
  <si>
    <t>Peak Real Estate Management LLC</t>
  </si>
  <si>
    <t>180193</t>
  </si>
  <si>
    <t>Peak Real Estate Management LLC Total</t>
  </si>
  <si>
    <t>Pearl's Hope</t>
  </si>
  <si>
    <t>179838</t>
  </si>
  <si>
    <t>Pearl's Hope Total</t>
  </si>
  <si>
    <t>PeopleCare Health Services</t>
  </si>
  <si>
    <t>179839</t>
  </si>
  <si>
    <t>PeopleCare Health Services Total</t>
  </si>
  <si>
    <t>Primetime Escrow</t>
  </si>
  <si>
    <t>180194</t>
  </si>
  <si>
    <t>Primetime Escrow Total</t>
  </si>
  <si>
    <t>Project Hope Alliance</t>
  </si>
  <si>
    <t>180196B</t>
  </si>
  <si>
    <t>180195</t>
  </si>
  <si>
    <t>Project Hope Alliance Total</t>
  </si>
  <si>
    <t>Quality Home Services</t>
  </si>
  <si>
    <t>179765</t>
  </si>
  <si>
    <t>Quality Home Services Total</t>
  </si>
  <si>
    <t>REMAX Executive</t>
  </si>
  <si>
    <t>Remax Microsoft 365</t>
  </si>
  <si>
    <t>179840</t>
  </si>
  <si>
    <t>REMAX - Managed Services</t>
  </si>
  <si>
    <t>REMAX Executive Total</t>
  </si>
  <si>
    <t>River Delta USD</t>
  </si>
  <si>
    <t>179841</t>
  </si>
  <si>
    <t>179842</t>
  </si>
  <si>
    <t>River Delta-Managed</t>
  </si>
  <si>
    <t>River Delta USD Total</t>
  </si>
  <si>
    <t>Rizo Lopez Foods</t>
  </si>
  <si>
    <t>179843</t>
  </si>
  <si>
    <t>Rizo Lopez Foods Total</t>
  </si>
  <si>
    <t>Rumiano Cheese Company</t>
  </si>
  <si>
    <t>179844</t>
  </si>
  <si>
    <t>Rumiano Cheese Company Total</t>
  </si>
  <si>
    <t>Samaritan Home Health</t>
  </si>
  <si>
    <t>179845</t>
  </si>
  <si>
    <t>Samaritan Home Health Total</t>
  </si>
  <si>
    <t>Samaritan Village</t>
  </si>
  <si>
    <t>179846</t>
  </si>
  <si>
    <t>Samaritan Managed Services</t>
  </si>
  <si>
    <t>Samaritan Village Total</t>
  </si>
  <si>
    <t>Sargent &amp; Bryan, Inc</t>
  </si>
  <si>
    <t>179847</t>
  </si>
  <si>
    <t>Sargent &amp; Bryan Support360</t>
  </si>
  <si>
    <t>Sargent &amp; Bryan, Inc Total</t>
  </si>
  <si>
    <t>Satake USA</t>
  </si>
  <si>
    <t>179848</t>
  </si>
  <si>
    <t>Satake USA Total</t>
  </si>
  <si>
    <t>Sconza Candy Company</t>
  </si>
  <si>
    <t>179849</t>
  </si>
  <si>
    <t>Sconza Candy Managed Services</t>
  </si>
  <si>
    <t>Sconza Candy Company Total</t>
  </si>
  <si>
    <t>Shiloh Elementary School District</t>
  </si>
  <si>
    <t>179850</t>
  </si>
  <si>
    <t>Shiloh-Managed</t>
  </si>
  <si>
    <t>Shiloh Elementary School District Total</t>
  </si>
  <si>
    <t>Spring Creek Golf &amp; Country Club</t>
  </si>
  <si>
    <t>Spring Creek Microsoft 365</t>
  </si>
  <si>
    <t>179851</t>
  </si>
  <si>
    <t>Hunterss dropped</t>
  </si>
  <si>
    <t>Spring Creek-Managed</t>
  </si>
  <si>
    <t>Spring Creek Golf &amp; Country Club Total</t>
  </si>
  <si>
    <t>St Lukes Family Practice</t>
  </si>
  <si>
    <t>St. Luke's Family Practice Microsoft 365</t>
  </si>
  <si>
    <t>179852</t>
  </si>
  <si>
    <t>St Lukes-Managed</t>
  </si>
  <si>
    <t>St. Lukes Security Services</t>
  </si>
  <si>
    <t>St Lukes Family Practice Total</t>
  </si>
  <si>
    <t>Stanislaus Union School District</t>
  </si>
  <si>
    <t>Backups</t>
  </si>
  <si>
    <t>179855</t>
  </si>
  <si>
    <t>Remote Software</t>
  </si>
  <si>
    <t>179853</t>
  </si>
  <si>
    <t>179856</t>
  </si>
  <si>
    <t>MSA Stanislaus USD</t>
  </si>
  <si>
    <t>179854</t>
  </si>
  <si>
    <t>Stanislaus Union School District Total</t>
  </si>
  <si>
    <t>Stewart &amp; Jasper</t>
  </si>
  <si>
    <t>Microsoft 365 NCE - Jasper Foods</t>
  </si>
  <si>
    <t>179857</t>
  </si>
  <si>
    <t>Stewart &amp; Jasper Microsoft 365</t>
  </si>
  <si>
    <t>Stewart &amp; Jasper Total</t>
  </si>
  <si>
    <t>SVH Law</t>
  </si>
  <si>
    <t>179858</t>
  </si>
  <si>
    <t>SVH Law Total</t>
  </si>
  <si>
    <t>Sylvan Union School District</t>
  </si>
  <si>
    <t>179861</t>
  </si>
  <si>
    <t>179860</t>
  </si>
  <si>
    <t>179862</t>
  </si>
  <si>
    <t>2525Sylvan VOIP Managed</t>
  </si>
  <si>
    <t>179859</t>
  </si>
  <si>
    <t>Sylvan Union Security</t>
  </si>
  <si>
    <t>Sylvan Union School District Total</t>
  </si>
  <si>
    <t>TCB Industrial</t>
  </si>
  <si>
    <t>179864</t>
  </si>
  <si>
    <t>179863</t>
  </si>
  <si>
    <t>TCB Industrial Total</t>
  </si>
  <si>
    <t>Team Risk Management Strategies</t>
  </si>
  <si>
    <t>179865</t>
  </si>
  <si>
    <t>Team Risk Management Strategies Total</t>
  </si>
  <si>
    <t>Terra Linda Farms</t>
  </si>
  <si>
    <t>179766</t>
  </si>
  <si>
    <t>Terra Linda Farms Total</t>
  </si>
  <si>
    <t>United Way of Stanislaus County</t>
  </si>
  <si>
    <t>180071</t>
  </si>
  <si>
    <t>United Way of Stanislaus County Total</t>
  </si>
  <si>
    <t>Valley Iron</t>
  </si>
  <si>
    <t>Recurring Resale - Microsoft 365 NCE 25/26</t>
  </si>
  <si>
    <t>179767</t>
  </si>
  <si>
    <t>Valley Iron Total</t>
  </si>
  <si>
    <t>Valley Urology</t>
  </si>
  <si>
    <t>179768</t>
  </si>
  <si>
    <t>Valley Urology Support360</t>
  </si>
  <si>
    <t>Valley Urology Total</t>
  </si>
  <si>
    <t>Vie-Del Company</t>
  </si>
  <si>
    <t>179769</t>
  </si>
  <si>
    <t>Vie-Del Company Total</t>
  </si>
  <si>
    <t>Vital Care Solutions</t>
  </si>
  <si>
    <t>179867</t>
  </si>
  <si>
    <t>Vital Care Solutions Total</t>
  </si>
  <si>
    <t>Warden's</t>
  </si>
  <si>
    <t>179868</t>
  </si>
  <si>
    <t>Warden's Total</t>
  </si>
  <si>
    <t>Warren &amp; Baerg Manufacturing, Inc.</t>
  </si>
  <si>
    <t>Warren &amp; Baerg Microsoft 365</t>
  </si>
  <si>
    <t>179770</t>
  </si>
  <si>
    <t>Warren &amp; Baerg Support360</t>
  </si>
  <si>
    <t>Warren &amp; Baerg Manufacturing, Inc. Total</t>
  </si>
  <si>
    <t>Weakley &amp; Arendt, LLP</t>
  </si>
  <si>
    <t>Weakley &amp; Arendt Microsoft 365</t>
  </si>
  <si>
    <t>179771</t>
  </si>
  <si>
    <t>Weakley Security Agreement</t>
  </si>
  <si>
    <t>Weakley &amp; Arendt, LLP Support360</t>
  </si>
  <si>
    <t>Weakley &amp; Arendt, LLP Total</t>
  </si>
  <si>
    <t>Western Steel Buildings</t>
  </si>
  <si>
    <t>179869</t>
  </si>
  <si>
    <t>Western Steel Buildings Total</t>
  </si>
  <si>
    <t>Westmark Incorporated</t>
  </si>
  <si>
    <t>Cloud - Private 2023-2027</t>
  </si>
  <si>
    <t>179870</t>
  </si>
  <si>
    <t>West-Mark Inc Managed Services</t>
  </si>
  <si>
    <t>Westmark Incorporated Total</t>
  </si>
  <si>
    <t>Winton-Ireland, Strom &amp; Green</t>
  </si>
  <si>
    <t>179871</t>
  </si>
  <si>
    <t>Winton-Ireland, Strom &amp; Green Total</t>
  </si>
  <si>
    <t>Yosemite Farm Credit</t>
  </si>
  <si>
    <t>179872</t>
  </si>
  <si>
    <t>Yosemite Farm Credit Total</t>
  </si>
  <si>
    <t>Your Escrow Company</t>
  </si>
  <si>
    <t>180197</t>
  </si>
  <si>
    <t>Your Escrow Company Total</t>
  </si>
  <si>
    <t>CA Total</t>
  </si>
  <si>
    <t>OH</t>
  </si>
  <si>
    <t>Albert Einstein Academy of Ohio</t>
  </si>
  <si>
    <t>180089OH</t>
  </si>
  <si>
    <t>Agreement started 08/01/2025</t>
  </si>
  <si>
    <t>Albert Einstein Academy of Ohio Total</t>
  </si>
  <si>
    <t>Arcanum Butler Local School District</t>
  </si>
  <si>
    <t>179984OH</t>
  </si>
  <si>
    <t>Arcanum Butler Local School District Total</t>
  </si>
  <si>
    <t>Arts and College Preparatory Academy</t>
  </si>
  <si>
    <t>Erate-MIBS-School Percentage</t>
  </si>
  <si>
    <t>Erate-MIBS-School Percentage 25/26</t>
  </si>
  <si>
    <t>179937OH</t>
  </si>
  <si>
    <t>179971OH</t>
  </si>
  <si>
    <t>T-Erate-MIBS-USAC Percentage</t>
  </si>
  <si>
    <t>T-Erate-MIBS-USAC Percentage 25/26</t>
  </si>
  <si>
    <t>179912OH</t>
  </si>
  <si>
    <t>In GL under USAC</t>
  </si>
  <si>
    <t>T-Services-MSP 2025-Evergreen</t>
  </si>
  <si>
    <t>Arts and College Preparatory Academy Total</t>
  </si>
  <si>
    <t>Caldwell Exempted Village</t>
  </si>
  <si>
    <t>179935OH</t>
  </si>
  <si>
    <t>we billed for July in August along with August, these amounts do not change</t>
  </si>
  <si>
    <t>179913OH</t>
  </si>
  <si>
    <t>T-Services-MSP 2025 Camera</t>
  </si>
  <si>
    <t>179986OH</t>
  </si>
  <si>
    <t>T-Services-MSP VoIP</t>
  </si>
  <si>
    <t>179990OH</t>
  </si>
  <si>
    <t>Caldwell Exempted Village Total</t>
  </si>
  <si>
    <t>City Day Community School</t>
  </si>
  <si>
    <t>179943OH</t>
  </si>
  <si>
    <t>179974OH</t>
  </si>
  <si>
    <t>179914OH</t>
  </si>
  <si>
    <t>Managed Services 2024/27</t>
  </si>
  <si>
    <t>City Day Community School Total</t>
  </si>
  <si>
    <t>Columbus Preparatory Academy</t>
  </si>
  <si>
    <t>180005OH</t>
  </si>
  <si>
    <t>Columbus Preparatory Academy Total</t>
  </si>
  <si>
    <t>Cristo Rey High School</t>
  </si>
  <si>
    <t>179944OH</t>
  </si>
  <si>
    <t>179954OH</t>
  </si>
  <si>
    <t>179915OH</t>
  </si>
  <si>
    <t>2018/2026 VOIP</t>
  </si>
  <si>
    <t>179992OH</t>
  </si>
  <si>
    <t>T-Services-MSP - Student Device Support 25/26</t>
  </si>
  <si>
    <t>179963OH</t>
  </si>
  <si>
    <t>Cristo Rey High School Total</t>
  </si>
  <si>
    <t>Dayton SMART Elementary</t>
  </si>
  <si>
    <t>179981OH</t>
  </si>
  <si>
    <t>Dayton SMART Elementary Total</t>
  </si>
  <si>
    <t>East Muskingum School District</t>
  </si>
  <si>
    <t>180004OH</t>
  </si>
  <si>
    <t>179983OH</t>
  </si>
  <si>
    <t>East Muskingum School District Total</t>
  </si>
  <si>
    <t>Energility LLC</t>
  </si>
  <si>
    <t>179996OH</t>
  </si>
  <si>
    <t>2021/23 MSC</t>
  </si>
  <si>
    <t>Energility LLC Total</t>
  </si>
  <si>
    <t>Explorers Academy of Science and Tech</t>
  </si>
  <si>
    <t>Voice Services 2024/25</t>
  </si>
  <si>
    <t>179993OH</t>
  </si>
  <si>
    <t>Explorers Academy of Science and Tech Total</t>
  </si>
  <si>
    <t>Focus Learning Academy North</t>
  </si>
  <si>
    <t>179959OH</t>
  </si>
  <si>
    <t>Focus Learning Academy North Total</t>
  </si>
  <si>
    <t>Focus Learning Academy of Central Col</t>
  </si>
  <si>
    <t>179952OH</t>
  </si>
  <si>
    <t>179916OH</t>
  </si>
  <si>
    <t>Focus Learning Academy of Central Col Total</t>
  </si>
  <si>
    <t>Franklinton High School</t>
  </si>
  <si>
    <t>24/25 Recurring Resale - Security</t>
  </si>
  <si>
    <t>24/25 T-Services-MSP</t>
  </si>
  <si>
    <t>Franklinton High School Total</t>
  </si>
  <si>
    <t>Global Ambassadors Language Academy</t>
  </si>
  <si>
    <t>179940OH</t>
  </si>
  <si>
    <t>Recurring Resale - MSP 25/27</t>
  </si>
  <si>
    <t>179970OHB</t>
  </si>
  <si>
    <t>Recurring Resale - Security 25/27</t>
  </si>
  <si>
    <t>179917OH</t>
  </si>
  <si>
    <t>T-Services-MSP 25/27</t>
  </si>
  <si>
    <t>Global Ambassadors Language Academy Total</t>
  </si>
  <si>
    <t>Holowicki Enterprises</t>
  </si>
  <si>
    <t>Managed Security - Britton Store #35696</t>
  </si>
  <si>
    <t>180001OH</t>
  </si>
  <si>
    <t>Managed Security - Renner Store #11490</t>
  </si>
  <si>
    <t>180002OH</t>
  </si>
  <si>
    <t>Managed Security Avery Store #15746</t>
  </si>
  <si>
    <t>180007OH</t>
  </si>
  <si>
    <t>Managed Security Hillard #2466</t>
  </si>
  <si>
    <t>179999OH</t>
  </si>
  <si>
    <t>Managed Security Marysville #28775</t>
  </si>
  <si>
    <t>179998OH</t>
  </si>
  <si>
    <t>Managed Security West Jefferson Store #22386</t>
  </si>
  <si>
    <t>180003OH</t>
  </si>
  <si>
    <t>Holowicki Enterprises Total</t>
  </si>
  <si>
    <t>Imagine Akron Academy</t>
  </si>
  <si>
    <t>179947OH</t>
  </si>
  <si>
    <t>179918OH</t>
  </si>
  <si>
    <t>Imagine Akron Academy Total</t>
  </si>
  <si>
    <t>Imagine Bella Academy of Excellence</t>
  </si>
  <si>
    <t>179950OH</t>
  </si>
  <si>
    <t>Recurring Resale - Security 2024/25</t>
  </si>
  <si>
    <t>179976OH</t>
  </si>
  <si>
    <t>179919OH</t>
  </si>
  <si>
    <t>T-Services-MSP 2024/2025</t>
  </si>
  <si>
    <t>Imagine Bella Academy of Excellence Total</t>
  </si>
  <si>
    <t>Imagine Columbus Primary Academy</t>
  </si>
  <si>
    <t>179945OH</t>
  </si>
  <si>
    <t>179972OH</t>
  </si>
  <si>
    <t>179920OH</t>
  </si>
  <si>
    <t>Imagine Columbus Primary Academy Total</t>
  </si>
  <si>
    <t>Imagine Great Western Academy</t>
  </si>
  <si>
    <t>179938OH</t>
  </si>
  <si>
    <t>179956OH</t>
  </si>
  <si>
    <t>Recurring Resale - MSP 25/26B</t>
  </si>
  <si>
    <t>180006OH</t>
  </si>
  <si>
    <t>179921OH</t>
  </si>
  <si>
    <t>2021/2023 MSC</t>
  </si>
  <si>
    <t>Imagine Great Western Academy Total</t>
  </si>
  <si>
    <t>Imagine Groveport Community School</t>
  </si>
  <si>
    <t>179936OH</t>
  </si>
  <si>
    <t>179955OH</t>
  </si>
  <si>
    <t>179922OH</t>
  </si>
  <si>
    <t>Imagine Groveport Community School Total</t>
  </si>
  <si>
    <t>Imagine Klepinger Rd</t>
  </si>
  <si>
    <t>179961OH</t>
  </si>
  <si>
    <t>Imagine Klepinger Rd Total</t>
  </si>
  <si>
    <t>Imagine Leadership Academy</t>
  </si>
  <si>
    <t>179953OH</t>
  </si>
  <si>
    <t>24/25 Recurring Resale - MSP</t>
  </si>
  <si>
    <t>179978OH</t>
  </si>
  <si>
    <t>179923OH</t>
  </si>
  <si>
    <t>Imagine Leadership Academy Total</t>
  </si>
  <si>
    <t>Imagine Madison Ave</t>
  </si>
  <si>
    <t>179949OH</t>
  </si>
  <si>
    <t>179958OH</t>
  </si>
  <si>
    <t>179924OH</t>
  </si>
  <si>
    <t>Imagine Madison Ave Total</t>
  </si>
  <si>
    <t>Imagine Sullivant</t>
  </si>
  <si>
    <t>179941OH</t>
  </si>
  <si>
    <t>180088OH</t>
  </si>
  <si>
    <t>Huntress droppped</t>
  </si>
  <si>
    <t>179925OH</t>
  </si>
  <si>
    <t>Imagine Sullivant Total</t>
  </si>
  <si>
    <t>Invictus HS</t>
  </si>
  <si>
    <t>179951OH</t>
  </si>
  <si>
    <t>179964OH</t>
  </si>
  <si>
    <t>179926OH</t>
  </si>
  <si>
    <t>24 to 27 T-Services-MSP</t>
  </si>
  <si>
    <t>Invictus HS Total</t>
  </si>
  <si>
    <t>LHollingworth</t>
  </si>
  <si>
    <t>Chromebook ADP Managed Services</t>
  </si>
  <si>
    <t>Chromebook ADP Managed Services 24/27</t>
  </si>
  <si>
    <t>179965OH</t>
  </si>
  <si>
    <t>179946OH</t>
  </si>
  <si>
    <t>179994OH</t>
  </si>
  <si>
    <t>179927OH</t>
  </si>
  <si>
    <t>Managed Services 24/27</t>
  </si>
  <si>
    <t>LHollingworth Total</t>
  </si>
  <si>
    <t>Luther Memorial</t>
  </si>
  <si>
    <t>180036OH</t>
  </si>
  <si>
    <t>This agreement was not signed until end of August, billed for August and September on annual invoice</t>
  </si>
  <si>
    <t>Luther Memorial Total</t>
  </si>
  <si>
    <t>Lutheran High School East</t>
  </si>
  <si>
    <t>179997OH</t>
  </si>
  <si>
    <t>Lutheran High School East Total</t>
  </si>
  <si>
    <t>Miami East Local Schools</t>
  </si>
  <si>
    <t>179934OH</t>
  </si>
  <si>
    <t>179928OH</t>
  </si>
  <si>
    <t>Miami East Local Schools Total</t>
  </si>
  <si>
    <t>Millennium Comm School</t>
  </si>
  <si>
    <t>179988OH</t>
  </si>
  <si>
    <t>the recurring resale agreement was created in August/prorated amoutnt for July $151.11</t>
  </si>
  <si>
    <t>Security Services</t>
  </si>
  <si>
    <t>179985OH</t>
  </si>
  <si>
    <t>2022/2024 MSC</t>
  </si>
  <si>
    <t>179957OH</t>
  </si>
  <si>
    <t>Millennium Comm School Total</t>
  </si>
  <si>
    <t>North Shore High School</t>
  </si>
  <si>
    <t>179942OH</t>
  </si>
  <si>
    <t>179967OH</t>
  </si>
  <si>
    <t>179929OH</t>
  </si>
  <si>
    <t>North Shore High School Total</t>
  </si>
  <si>
    <t>Par Excellence Academy</t>
  </si>
  <si>
    <t>Recurring Resale - MSP 1</t>
  </si>
  <si>
    <t>179975OH</t>
  </si>
  <si>
    <t>Par Excellence Academy Total</t>
  </si>
  <si>
    <t>River Gate HS</t>
  </si>
  <si>
    <t>179948OH</t>
  </si>
  <si>
    <t>179979OH</t>
  </si>
  <si>
    <t>179930OH</t>
  </si>
  <si>
    <t>River Gate HS Total</t>
  </si>
  <si>
    <t>Scheurer Health</t>
  </si>
  <si>
    <t>Blended Services</t>
  </si>
  <si>
    <t>179980OH</t>
  </si>
  <si>
    <t>Scheurer Health Total</t>
  </si>
  <si>
    <t>St John Lutheran Nottingham</t>
  </si>
  <si>
    <t>179982OH</t>
  </si>
  <si>
    <t>St John Lutheran Nottingham Total</t>
  </si>
  <si>
    <t>St. Adalbert School</t>
  </si>
  <si>
    <t>179939OH</t>
  </si>
  <si>
    <t>School MSC St Adalbert</t>
  </si>
  <si>
    <t>179995OH</t>
  </si>
  <si>
    <t>179931OH</t>
  </si>
  <si>
    <t>St. Adalbert School Total</t>
  </si>
  <si>
    <t>Strasburg-Franklin Local Schools</t>
  </si>
  <si>
    <t>T-Services-MSP Voice Only</t>
  </si>
  <si>
    <t>179989OH</t>
  </si>
  <si>
    <t>Strasburg-Franklin Local Schools Total</t>
  </si>
  <si>
    <t>Sunbridge Schools</t>
  </si>
  <si>
    <t>Recurring Resale - MSP 2024-2025</t>
  </si>
  <si>
    <t>180000OH</t>
  </si>
  <si>
    <t>T-Services-MSP -EG</t>
  </si>
  <si>
    <t>179977OH</t>
  </si>
  <si>
    <t>Sunbridge Schools Total</t>
  </si>
  <si>
    <t>The Richland School of Academic Arts</t>
  </si>
  <si>
    <t>179966OH</t>
  </si>
  <si>
    <t>Recurring Resale - MSP 24/26</t>
  </si>
  <si>
    <t>Recurring Resale - Security - 24/26</t>
  </si>
  <si>
    <t>School MSC 24/26</t>
  </si>
  <si>
    <t>The Richland School of Academic Arts Total</t>
  </si>
  <si>
    <t>The Ummah Center</t>
  </si>
  <si>
    <t>179987OH</t>
  </si>
  <si>
    <t>The Ummah Center Total</t>
  </si>
  <si>
    <t>Toledo School for the Arts</t>
  </si>
  <si>
    <t>179991OH</t>
  </si>
  <si>
    <t>Toledo School for the Arts Total</t>
  </si>
  <si>
    <t>Westwood Prep</t>
  </si>
  <si>
    <t>Recurring Resale - SecurityB</t>
  </si>
  <si>
    <t>179960OH</t>
  </si>
  <si>
    <t>Westwood Prep Total</t>
  </si>
  <si>
    <t>Worthington Christian School</t>
  </si>
  <si>
    <t>179933OH</t>
  </si>
  <si>
    <t>179962OH</t>
  </si>
  <si>
    <t>179932OH</t>
  </si>
  <si>
    <t>Worthington Christian School Total</t>
  </si>
  <si>
    <t>Youthbuild Columbus Community</t>
  </si>
  <si>
    <t>24/26 Recurring Resale - MSP</t>
  </si>
  <si>
    <t>24/26 Recurring Resale - Security</t>
  </si>
  <si>
    <t>24/26 T-Services-MSP</t>
  </si>
  <si>
    <t>179969OH</t>
  </si>
  <si>
    <t>24/26 T-Services-MSP B</t>
  </si>
  <si>
    <t>Youthbuild Columbus Community Total</t>
  </si>
  <si>
    <t>OH Total</t>
  </si>
  <si>
    <t>Grand Total</t>
  </si>
  <si>
    <t>Total</t>
  </si>
  <si>
    <t>Clawback</t>
  </si>
  <si>
    <t>See Sept P&amp;L (Irvine)</t>
  </si>
  <si>
    <t>See above commentary</t>
  </si>
  <si>
    <t>August Payroll Breakdown</t>
  </si>
  <si>
    <t>P&amp;L</t>
  </si>
  <si>
    <t xml:space="preserve">Payoll Cost </t>
  </si>
  <si>
    <t>Differences</t>
  </si>
  <si>
    <t>IT Project Labor</t>
  </si>
  <si>
    <t>Direct Labor</t>
  </si>
  <si>
    <t xml:space="preserve">Dismissed </t>
  </si>
  <si>
    <t>Sales
 (includes commissions)</t>
  </si>
  <si>
    <t>CC transactions</t>
  </si>
  <si>
    <t>New Hires</t>
  </si>
  <si>
    <t>Admin</t>
  </si>
  <si>
    <t>Stop loss</t>
  </si>
  <si>
    <t xml:space="preserve">Last Day </t>
  </si>
  <si>
    <t>New Hire
First Day</t>
  </si>
  <si>
    <t>Last Name</t>
  </si>
  <si>
    <t>First Name</t>
  </si>
  <si>
    <t>Full Name</t>
  </si>
  <si>
    <t>Department</t>
  </si>
  <si>
    <t>Financial Statement 
category</t>
  </si>
  <si>
    <t>Payroll Cost</t>
  </si>
  <si>
    <t>One time 
Payouts</t>
  </si>
  <si>
    <t xml:space="preserve">After- Hours On Call and Overtime </t>
  </si>
  <si>
    <t>Monthly Base Cost</t>
  </si>
  <si>
    <t>August Monthly Base Estimated</t>
  </si>
  <si>
    <t>Diff</t>
  </si>
  <si>
    <t>Commissions Current Month</t>
  </si>
  <si>
    <t>Commissions Previous Month</t>
  </si>
  <si>
    <t>Difference</t>
  </si>
  <si>
    <t>Harsch</t>
  </si>
  <si>
    <t>Jack</t>
  </si>
  <si>
    <t>Jack Harsch</t>
  </si>
  <si>
    <t>East Coast - Engineering</t>
  </si>
  <si>
    <t>1-IT Project Labor</t>
  </si>
  <si>
    <t>PTO pay out</t>
  </si>
  <si>
    <t>Bruce</t>
  </si>
  <si>
    <t>James</t>
  </si>
  <si>
    <t>James Bruce</t>
  </si>
  <si>
    <t xml:space="preserve">West Coast - Engineering </t>
  </si>
  <si>
    <t>Lampe</t>
  </si>
  <si>
    <t>Matthew</t>
  </si>
  <si>
    <t>Matthew Lampe</t>
  </si>
  <si>
    <t>Newson</t>
  </si>
  <si>
    <t>Keith</t>
  </si>
  <si>
    <t>Keith Newson</t>
  </si>
  <si>
    <t>Walski</t>
  </si>
  <si>
    <t>Stephen</t>
  </si>
  <si>
    <t>Stephen Walski</t>
  </si>
  <si>
    <t>West Coast - Service Delivery</t>
  </si>
  <si>
    <t>Gilmore</t>
  </si>
  <si>
    <t>Christopher</t>
  </si>
  <si>
    <t>Christopher Gilmore</t>
  </si>
  <si>
    <t>West Cost-Fresno Engineering</t>
  </si>
  <si>
    <t>1-IT Project Labor Total</t>
  </si>
  <si>
    <t>Annabel</t>
  </si>
  <si>
    <t>Peter</t>
  </si>
  <si>
    <t>Peter Annabel</t>
  </si>
  <si>
    <t>Cloud Services</t>
  </si>
  <si>
    <t>2-Direct Labor</t>
  </si>
  <si>
    <t>Barr</t>
  </si>
  <si>
    <t>Kevin</t>
  </si>
  <si>
    <t>Kevin Barr</t>
  </si>
  <si>
    <t>East Coast - Installation Services</t>
  </si>
  <si>
    <t>Bates</t>
  </si>
  <si>
    <t>Colin</t>
  </si>
  <si>
    <t>Colin Bates</t>
  </si>
  <si>
    <t>Lower number of hours each payroll</t>
  </si>
  <si>
    <t>Blair</t>
  </si>
  <si>
    <t>Joshua</t>
  </si>
  <si>
    <t>Joshua Blair</t>
  </si>
  <si>
    <t>Brennan</t>
  </si>
  <si>
    <t>Thomas</t>
  </si>
  <si>
    <t>Thomas Brennan</t>
  </si>
  <si>
    <t>Brinovec</t>
  </si>
  <si>
    <t>Matthew Brinovec</t>
  </si>
  <si>
    <t>East Coast - Service Desk</t>
  </si>
  <si>
    <t>Chavez Soto</t>
  </si>
  <si>
    <t>Cristina</t>
  </si>
  <si>
    <t>Cristina Chavez Soto</t>
  </si>
  <si>
    <t>Conkle</t>
  </si>
  <si>
    <t>Kerr</t>
  </si>
  <si>
    <t>Kerr Conkle</t>
  </si>
  <si>
    <t>Contreras</t>
  </si>
  <si>
    <t>Angela</t>
  </si>
  <si>
    <t>Angela Contreras</t>
  </si>
  <si>
    <t>Oscar</t>
  </si>
  <si>
    <t>Oscar Contreras</t>
  </si>
  <si>
    <t>Dean</t>
  </si>
  <si>
    <t>Sam</t>
  </si>
  <si>
    <t>Sam Dean</t>
  </si>
  <si>
    <t>Dimson</t>
  </si>
  <si>
    <t>Hoover</t>
  </si>
  <si>
    <t>Hoover Dimson</t>
  </si>
  <si>
    <t>Doyle</t>
  </si>
  <si>
    <t>William</t>
  </si>
  <si>
    <t>William Doyle</t>
  </si>
  <si>
    <t>Dupray</t>
  </si>
  <si>
    <t>Nathaniel</t>
  </si>
  <si>
    <t>Nathaniel Dupray</t>
  </si>
  <si>
    <t>Espinoza</t>
  </si>
  <si>
    <t>Gabriel</t>
  </si>
  <si>
    <t>Gabriel Espinoza</t>
  </si>
  <si>
    <t>Fajardo</t>
  </si>
  <si>
    <t>Franz Aram</t>
  </si>
  <si>
    <t>Franz Aram Fajardo</t>
  </si>
  <si>
    <t>Hughes</t>
  </si>
  <si>
    <t>Michael</t>
  </si>
  <si>
    <t>Michael Hughes</t>
  </si>
  <si>
    <t>Huizar</t>
  </si>
  <si>
    <t>Luis</t>
  </si>
  <si>
    <t>Luis Huizar</t>
  </si>
  <si>
    <t>Hulsey-Cedeno</t>
  </si>
  <si>
    <t>Brandon</t>
  </si>
  <si>
    <t>Brandon Hulsey-Cedeno</t>
  </si>
  <si>
    <t>Johnson</t>
  </si>
  <si>
    <t>Brandon Johnson</t>
  </si>
  <si>
    <t>Keim</t>
  </si>
  <si>
    <t>Colton</t>
  </si>
  <si>
    <t>Colton Keim</t>
  </si>
  <si>
    <t>Lanning</t>
  </si>
  <si>
    <t>Nathan</t>
  </si>
  <si>
    <t>Nathan Lanning</t>
  </si>
  <si>
    <t>East Coast - Field Engineering</t>
  </si>
  <si>
    <t>Magcalayo</t>
  </si>
  <si>
    <t>Jenny Rose</t>
  </si>
  <si>
    <t>Jenny Rose Magcalayo</t>
  </si>
  <si>
    <t>Matuszynski</t>
  </si>
  <si>
    <t>Cole</t>
  </si>
  <si>
    <t>Cole Matuszynski</t>
  </si>
  <si>
    <t>Mercer</t>
  </si>
  <si>
    <t>Mark</t>
  </si>
  <si>
    <t>Mark Mercer</t>
  </si>
  <si>
    <t>West Coast-Fresno Service</t>
  </si>
  <si>
    <t>Morozov</t>
  </si>
  <si>
    <t>Steve</t>
  </si>
  <si>
    <t>Steve Morozov</t>
  </si>
  <si>
    <t>Pena</t>
  </si>
  <si>
    <t>Luis Pena</t>
  </si>
  <si>
    <t>Schilber</t>
  </si>
  <si>
    <t>Michael Schilber</t>
  </si>
  <si>
    <t>Cyber Security</t>
  </si>
  <si>
    <t>Stewart</t>
  </si>
  <si>
    <t>Timothy</t>
  </si>
  <si>
    <t>Timothy Stewart</t>
  </si>
  <si>
    <t>Strassell</t>
  </si>
  <si>
    <t>Cory</t>
  </si>
  <si>
    <t>Cory Strassell</t>
  </si>
  <si>
    <t>Terrell</t>
  </si>
  <si>
    <t>Duncan</t>
  </si>
  <si>
    <t>Duncan Terrell</t>
  </si>
  <si>
    <t>Trude</t>
  </si>
  <si>
    <t>Michael Trude</t>
  </si>
  <si>
    <t>Wijaya</t>
  </si>
  <si>
    <t>Tommy</t>
  </si>
  <si>
    <t>Tommy Wijaya</t>
  </si>
  <si>
    <t>Direct Labor Total</t>
  </si>
  <si>
    <t>De Guzman</t>
  </si>
  <si>
    <t>Edwin</t>
  </si>
  <si>
    <t>Edwin De Guzman</t>
  </si>
  <si>
    <t>Contract Wages</t>
  </si>
  <si>
    <t>3-Sales Labor Costs</t>
  </si>
  <si>
    <t>Martinez Duran</t>
  </si>
  <si>
    <t>Julissa</t>
  </si>
  <si>
    <t>Julissa Martinez Duran</t>
  </si>
  <si>
    <t>Martinez</t>
  </si>
  <si>
    <t>Maria</t>
  </si>
  <si>
    <t>Maria Martinez</t>
  </si>
  <si>
    <t>Villanueva</t>
  </si>
  <si>
    <t>Myca</t>
  </si>
  <si>
    <t>Myca Villanueva</t>
  </si>
  <si>
    <t>Kuphal</t>
  </si>
  <si>
    <t>Daniel</t>
  </si>
  <si>
    <t>Daniel Kuphal</t>
  </si>
  <si>
    <t>East Coast - Sales and Marketing</t>
  </si>
  <si>
    <t>Severance pay out</t>
  </si>
  <si>
    <t>Walker</t>
  </si>
  <si>
    <t>Joel</t>
  </si>
  <si>
    <t>Joel Walker</t>
  </si>
  <si>
    <t>Baker</t>
  </si>
  <si>
    <t>Matthew Baker</t>
  </si>
  <si>
    <t>Wallace</t>
  </si>
  <si>
    <t>Mark Wallace</t>
  </si>
  <si>
    <t>Chadwell</t>
  </si>
  <si>
    <t>Daniel Chadwell</t>
  </si>
  <si>
    <t>Procurement and Sales Engineering</t>
  </si>
  <si>
    <t>DinYero</t>
  </si>
  <si>
    <t>DinYero Johnson</t>
  </si>
  <si>
    <t>Maestas</t>
  </si>
  <si>
    <t>Ricky</t>
  </si>
  <si>
    <t>Ricky Maestas</t>
  </si>
  <si>
    <t>West Coast - Education</t>
  </si>
  <si>
    <t>Sturdivant</t>
  </si>
  <si>
    <t>Daniel Sturdivant</t>
  </si>
  <si>
    <t>West Coast - Sales + Marketing</t>
  </si>
  <si>
    <t>Harvey</t>
  </si>
  <si>
    <t>Jay</t>
  </si>
  <si>
    <t>Jay Harvey</t>
  </si>
  <si>
    <t>La Fleche</t>
  </si>
  <si>
    <t>Nathan La Fleche</t>
  </si>
  <si>
    <t>Sales Labor Total</t>
  </si>
  <si>
    <t>Moore</t>
  </si>
  <si>
    <t>Rebecca</t>
  </si>
  <si>
    <t>Rebecca Moore</t>
  </si>
  <si>
    <t xml:space="preserve">Admin + Finance + HR	</t>
  </si>
  <si>
    <t xml:space="preserve">4-Admin </t>
  </si>
  <si>
    <t>Outstanding PTO payout</t>
  </si>
  <si>
    <t>Vicencio</t>
  </si>
  <si>
    <t>P. Dennis</t>
  </si>
  <si>
    <t>P. Dennis Vicencio</t>
  </si>
  <si>
    <t>Hennington</t>
  </si>
  <si>
    <t>Melinda</t>
  </si>
  <si>
    <t>Melinda Hennington</t>
  </si>
  <si>
    <t>Admin Finance-Fresno</t>
  </si>
  <si>
    <t>Peterson</t>
  </si>
  <si>
    <t>Devin</t>
  </si>
  <si>
    <t>Devin Peterson</t>
  </si>
  <si>
    <t>Central Services &amp; Internal IT</t>
  </si>
  <si>
    <t>Rownd</t>
  </si>
  <si>
    <t>Marshall</t>
  </si>
  <si>
    <t>Marshall Rownd</t>
  </si>
  <si>
    <t>Terrones</t>
  </si>
  <si>
    <t>Genelyn</t>
  </si>
  <si>
    <t>Genelyn Terrones</t>
  </si>
  <si>
    <t>David</t>
  </si>
  <si>
    <t>Carrlyn</t>
  </si>
  <si>
    <t>Carrlyn David</t>
  </si>
  <si>
    <t>Procurement</t>
  </si>
  <si>
    <t>Esteras</t>
  </si>
  <si>
    <t>Lyza</t>
  </si>
  <si>
    <t>Lyza Esteras</t>
  </si>
  <si>
    <t>Dizon</t>
  </si>
  <si>
    <t>Jaquelene</t>
  </si>
  <si>
    <t>Jaquelene Dizon</t>
  </si>
  <si>
    <t>James Bates</t>
  </si>
  <si>
    <t>Owner</t>
  </si>
  <si>
    <t>Darmstandler</t>
  </si>
  <si>
    <t>David Darmstandler</t>
  </si>
  <si>
    <t>Craig</t>
  </si>
  <si>
    <t>David Craig</t>
  </si>
  <si>
    <t>Admin Total Costs</t>
  </si>
  <si>
    <t>Total Labor Costs</t>
  </si>
  <si>
    <t>New Hires - September</t>
  </si>
  <si>
    <t>Est April Totals</t>
  </si>
  <si>
    <t>IT Project Labor Costs</t>
  </si>
  <si>
    <t>Direct Labor Costs</t>
  </si>
  <si>
    <t>Sales Labor Costs</t>
  </si>
  <si>
    <t>Admin Labor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</si>
</sst>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s>
  <fonts count="23">
    <font>
      <sz val="10"/>
      <name val="Arial"/>
      <family val="2"/>
    </font>
    <font>
      <sz val="11"/>
      <color theme="1"/>
      <name val="Calibri"/>
      <family val="2"/>
      <scheme val="minor"/>
    </font>
    <font>
      <b/>
      <sz val="12"/>
      <name val="Helvetica"/>
      <family val="2"/>
    </font>
    <font>
      <sz val="8"/>
      <name val="Helvetica"/>
      <family val="2"/>
    </font>
    <font>
      <sz val="6"/>
      <name val="Helvetica"/>
      <family val="2"/>
    </font>
    <font>
      <b/>
      <sz val="8"/>
      <name val="Helvetica"/>
      <family val="2"/>
    </font>
    <font>
      <sz val="10"/>
      <name val="Helvetica"/>
      <family val="2"/>
    </font>
    <font>
      <sz val="10"/>
      <name val="Arial"/>
      <family val="2"/>
    </font>
    <font>
      <sz val="10"/>
      <color theme="1"/>
      <name val="Arial"/>
      <family val="2"/>
    </font>
    <font>
      <sz val="8"/>
      <name val="Helvetica"/>
    </font>
    <font>
      <b/>
      <sz val="11"/>
      <color theme="0"/>
      <name val="Calibri"/>
      <family val="2"/>
      <scheme val="minor"/>
    </font>
    <font>
      <b/>
      <sz val="11"/>
      <color theme="1"/>
      <name val="Calibri"/>
      <family val="2"/>
      <scheme val="minor"/>
    </font>
    <font>
      <sz val="12"/>
      <color theme="1"/>
      <name val="Calibri"/>
      <family val="2"/>
      <scheme val="minor"/>
    </font>
    <font>
      <b/>
      <sz val="15"/>
      <color theme="1"/>
      <name val="Calibri"/>
      <family val="2"/>
      <scheme val="minor"/>
    </font>
    <font>
      <sz val="8"/>
      <color theme="1"/>
      <name val="Calibri"/>
      <family val="2"/>
      <scheme val="minor"/>
    </font>
    <font>
      <b/>
      <sz val="9"/>
      <color theme="1"/>
      <name val="Calibri"/>
      <family val="2"/>
      <scheme val="minor"/>
    </font>
    <font>
      <b/>
      <sz val="14"/>
      <color theme="1"/>
      <name val="Calibri"/>
      <family val="2"/>
      <scheme val="minor"/>
    </font>
    <font>
      <b/>
      <i/>
      <sz val="11"/>
      <color theme="1"/>
      <name val="Calibri"/>
      <family val="2"/>
      <scheme val="minor"/>
    </font>
    <font>
      <i/>
      <sz val="11"/>
      <color theme="1"/>
      <name val="Calibri"/>
      <family val="2"/>
      <scheme val="minor"/>
    </font>
    <font>
      <sz val="11"/>
      <name val="Aptos Narrow"/>
      <family val="2"/>
    </font>
    <font>
      <b/>
      <sz val="11"/>
      <name val="Aptos Narrow"/>
      <family val="2"/>
    </font>
    <font>
      <sz val="11"/>
      <name val="Aptos Narrow"/>
      <family val="2"/>
    </font>
    <font>
      <b/>
      <sz val="10"/>
      <color rgb="FFFF0000"/>
      <name val="Arial"/>
      <family val="2"/>
    </font>
  </fonts>
  <fills count="18">
    <fill>
      <patternFill patternType="none"/>
    </fill>
    <fill>
      <patternFill patternType="gray125"/>
    </fill>
    <fill>
      <patternFill patternType="solid">
        <fgColor rgb="FFFFFFFF"/>
        <bgColor indexed="64"/>
      </patternFill>
    </fill>
    <fill>
      <patternFill patternType="solid">
        <fgColor rgb="FFFB3B3B"/>
        <bgColor theme="4" tint="0.79998168889431442"/>
      </patternFill>
    </fill>
    <fill>
      <patternFill patternType="solid">
        <fgColor theme="9" tint="0.39997558519241921"/>
        <bgColor indexed="64"/>
      </patternFill>
    </fill>
    <fill>
      <patternFill patternType="solid">
        <fgColor theme="4"/>
        <bgColor theme="4"/>
      </patternFill>
    </fill>
    <fill>
      <patternFill patternType="solid">
        <fgColor rgb="FFFB3B3B"/>
        <bgColor indexed="64"/>
      </patternFill>
    </fill>
    <fill>
      <patternFill patternType="solid">
        <fgColor theme="4" tint="0.59999389629810485"/>
        <bgColor theme="4" tint="0.79998168889431442"/>
      </patternFill>
    </fill>
    <fill>
      <patternFill patternType="solid">
        <fgColor theme="4" tint="0.59999389629810485"/>
        <bgColor indexed="64"/>
      </patternFill>
    </fill>
    <fill>
      <patternFill patternType="solid">
        <fgColor rgb="FFFFFFA3"/>
        <bgColor indexed="64"/>
      </patternFill>
    </fill>
    <fill>
      <patternFill patternType="solid">
        <fgColor rgb="FFFFFF99"/>
        <bgColor indexed="64"/>
      </patternFill>
    </fill>
    <fill>
      <patternFill patternType="solid">
        <fgColor theme="9"/>
        <bgColor indexed="64"/>
      </patternFill>
    </fill>
    <fill>
      <patternFill patternType="solid">
        <fgColor theme="5" tint="0.59999389629810485"/>
        <bgColor indexed="64"/>
      </patternFill>
    </fill>
    <fill>
      <patternFill patternType="solid">
        <fgColor theme="5" tint="0.59999389629810485"/>
        <bgColor theme="4" tint="0.79998168889431442"/>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theme="5" tint="0.79998168889431442"/>
        <bgColor indexed="64"/>
      </patternFill>
    </fill>
  </fills>
  <borders count="14">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style="thin">
        <color auto="1"/>
      </top>
      <bottom style="double">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4"/>
      </left>
      <right style="thin">
        <color theme="4"/>
      </right>
      <top style="thin">
        <color theme="4"/>
      </top>
      <bottom style="thin">
        <color theme="4"/>
      </bottom>
      <diagonal/>
    </border>
  </borders>
  <cellStyleXfs count="16">
    <xf numFmtId="0" fontId="0" fillId="0" borderId="0"/>
    <xf numFmtId="9"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43" fontId="7" fillId="0" borderId="0" applyFont="0" applyFill="0" applyBorder="0" applyAlignment="0" applyProtection="0"/>
    <xf numFmtId="41" fontId="7" fillId="0" borderId="0" applyFont="0" applyFill="0" applyBorder="0" applyAlignment="0" applyProtection="0"/>
    <xf numFmtId="0" fontId="8" fillId="0" borderId="0"/>
    <xf numFmtId="0" fontId="12" fillId="0" borderId="0"/>
    <xf numFmtId="43" fontId="12"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9" fillId="0" borderId="0"/>
    <xf numFmtId="0" fontId="1" fillId="0" borderId="0"/>
    <xf numFmtId="43" fontId="19" fillId="0" borderId="0" applyFont="0" applyFill="0" applyBorder="0" applyAlignment="0" applyProtection="0"/>
    <xf numFmtId="0" fontId="21" fillId="0" borderId="0"/>
    <xf numFmtId="9" fontId="19" fillId="0" borderId="0" applyFont="0" applyFill="0" applyBorder="0" applyAlignment="0" applyProtection="0"/>
  </cellStyleXfs>
  <cellXfs count="176">
    <xf numFmtId="0" fontId="0" fillId="0" borderId="0" xfId="0"/>
    <xf numFmtId="0" fontId="0" fillId="2" borderId="0" xfId="0" applyFill="1"/>
    <xf numFmtId="0" fontId="0" fillId="2" borderId="0" xfId="0" applyFill="1" applyAlignment="1">
      <alignment horizontal="left"/>
    </xf>
    <xf numFmtId="0" fontId="2" fillId="2" borderId="0" xfId="0" applyFont="1" applyFill="1" applyAlignment="1">
      <alignment horizontal="left"/>
    </xf>
    <xf numFmtId="0" fontId="3" fillId="2" borderId="0" xfId="0" applyFont="1" applyFill="1" applyAlignment="1">
      <alignment horizontal="left"/>
    </xf>
    <xf numFmtId="0" fontId="3" fillId="2" borderId="0" xfId="0" applyFont="1" applyFill="1" applyAlignment="1">
      <alignment horizontal="right"/>
    </xf>
    <xf numFmtId="0" fontId="3" fillId="2" borderId="1" xfId="0" applyFont="1" applyFill="1" applyBorder="1" applyAlignment="1">
      <alignment horizontal="right"/>
    </xf>
    <xf numFmtId="0" fontId="3" fillId="2" borderId="1" xfId="0" applyFont="1" applyFill="1" applyBorder="1" applyAlignment="1">
      <alignment horizontal="left"/>
    </xf>
    <xf numFmtId="0" fontId="4" fillId="2" borderId="0" xfId="0" applyFont="1" applyFill="1" applyAlignment="1">
      <alignment horizontal="left"/>
    </xf>
    <xf numFmtId="0" fontId="4" fillId="2" borderId="2" xfId="0" applyFont="1" applyFill="1" applyBorder="1" applyAlignment="1">
      <alignment horizontal="right"/>
    </xf>
    <xf numFmtId="0" fontId="5" fillId="2" borderId="0" xfId="0" applyFont="1" applyFill="1" applyAlignment="1">
      <alignment horizontal="left"/>
    </xf>
    <xf numFmtId="0" fontId="6" fillId="2" borderId="0" xfId="0" applyFont="1" applyFill="1" applyAlignment="1">
      <alignment horizontal="left"/>
    </xf>
    <xf numFmtId="164" fontId="3" fillId="2" borderId="0" xfId="0" applyNumberFormat="1" applyFont="1" applyFill="1" applyAlignment="1">
      <alignment horizontal="right"/>
    </xf>
    <xf numFmtId="164" fontId="3" fillId="2" borderId="2" xfId="0" applyNumberFormat="1" applyFont="1" applyFill="1" applyBorder="1" applyAlignment="1">
      <alignment horizontal="right"/>
    </xf>
    <xf numFmtId="164" fontId="3" fillId="2" borderId="3" xfId="0" applyNumberFormat="1" applyFont="1" applyFill="1" applyBorder="1" applyAlignment="1">
      <alignment horizontal="right"/>
    </xf>
    <xf numFmtId="0" fontId="3" fillId="2" borderId="2" xfId="0" applyFont="1" applyFill="1" applyBorder="1" applyAlignment="1">
      <alignment horizontal="left"/>
    </xf>
    <xf numFmtId="0" fontId="6" fillId="2" borderId="2" xfId="0" applyFont="1" applyFill="1" applyBorder="1" applyAlignment="1">
      <alignment horizontal="left"/>
    </xf>
    <xf numFmtId="164" fontId="5" fillId="2" borderId="4" xfId="0" applyNumberFormat="1" applyFont="1" applyFill="1" applyBorder="1" applyAlignment="1">
      <alignment horizontal="right"/>
    </xf>
    <xf numFmtId="0" fontId="9" fillId="2" borderId="0" xfId="0" applyFont="1" applyFill="1" applyAlignment="1">
      <alignment wrapText="1"/>
    </xf>
    <xf numFmtId="164" fontId="3" fillId="0" borderId="0" xfId="0" applyNumberFormat="1" applyFont="1" applyAlignment="1">
      <alignment horizontal="right"/>
    </xf>
    <xf numFmtId="0" fontId="13" fillId="0" borderId="0" xfId="7" applyFont="1" applyAlignment="1">
      <alignment horizontal="left"/>
    </xf>
    <xf numFmtId="0" fontId="12" fillId="0" borderId="0" xfId="7"/>
    <xf numFmtId="0" fontId="13" fillId="0" borderId="0" xfId="7" applyFont="1" applyAlignment="1">
      <alignment horizontal="center"/>
    </xf>
    <xf numFmtId="0" fontId="12" fillId="0" borderId="0" xfId="7" applyAlignment="1">
      <alignment horizontal="center"/>
    </xf>
    <xf numFmtId="40" fontId="12" fillId="0" borderId="0" xfId="7" applyNumberFormat="1" applyAlignment="1">
      <alignment horizontal="left" wrapText="1"/>
    </xf>
    <xf numFmtId="0" fontId="12" fillId="0" borderId="0" xfId="7" applyAlignment="1">
      <alignment wrapText="1"/>
    </xf>
    <xf numFmtId="43" fontId="0" fillId="0" borderId="0" xfId="8" applyFont="1"/>
    <xf numFmtId="43" fontId="11" fillId="0" borderId="7" xfId="8" applyFont="1" applyBorder="1" applyAlignment="1">
      <alignment horizontal="right"/>
    </xf>
    <xf numFmtId="43" fontId="11" fillId="0" borderId="8" xfId="8" applyFont="1" applyBorder="1" applyAlignment="1">
      <alignment horizontal="center"/>
    </xf>
    <xf numFmtId="43" fontId="12" fillId="0" borderId="0" xfId="7" applyNumberFormat="1"/>
    <xf numFmtId="40" fontId="12" fillId="0" borderId="0" xfId="7" applyNumberFormat="1" applyAlignment="1">
      <alignment horizontal="left"/>
    </xf>
    <xf numFmtId="0" fontId="14" fillId="0" borderId="0" xfId="7" applyFont="1" applyAlignment="1">
      <alignment horizontal="left" wrapText="1"/>
    </xf>
    <xf numFmtId="43" fontId="12" fillId="0" borderId="0" xfId="9" applyFont="1"/>
    <xf numFmtId="43" fontId="14" fillId="0" borderId="0" xfId="9" applyFont="1" applyAlignment="1">
      <alignment wrapText="1"/>
    </xf>
    <xf numFmtId="0" fontId="12" fillId="3" borderId="9" xfId="7" applyFill="1" applyBorder="1"/>
    <xf numFmtId="43" fontId="15" fillId="0" borderId="7" xfId="8" applyFont="1" applyBorder="1" applyAlignment="1">
      <alignment horizontal="right" wrapText="1"/>
    </xf>
    <xf numFmtId="43" fontId="14" fillId="0" borderId="0" xfId="7" applyNumberFormat="1" applyFont="1" applyAlignment="1">
      <alignment wrapText="1"/>
    </xf>
    <xf numFmtId="0" fontId="12" fillId="4" borderId="10" xfId="7" applyFill="1" applyBorder="1"/>
    <xf numFmtId="43" fontId="11" fillId="0" borderId="11" xfId="8" applyFont="1" applyBorder="1" applyAlignment="1">
      <alignment horizontal="right"/>
    </xf>
    <xf numFmtId="43" fontId="11" fillId="0" borderId="12" xfId="8" applyFont="1" applyBorder="1" applyAlignment="1">
      <alignment horizontal="center"/>
    </xf>
    <xf numFmtId="0" fontId="12" fillId="0" borderId="0" xfId="7" applyAlignment="1">
      <alignment horizontal="left"/>
    </xf>
    <xf numFmtId="14" fontId="10" fillId="5" borderId="9" xfId="7" applyNumberFormat="1" applyFont="1" applyFill="1" applyBorder="1" applyAlignment="1">
      <alignment wrapText="1"/>
    </xf>
    <xf numFmtId="0" fontId="10" fillId="5" borderId="9" xfId="7" applyFont="1" applyFill="1" applyBorder="1"/>
    <xf numFmtId="0" fontId="10" fillId="5" borderId="9" xfId="7" applyFont="1" applyFill="1" applyBorder="1" applyAlignment="1">
      <alignment horizontal="left" wrapText="1"/>
    </xf>
    <xf numFmtId="43" fontId="10" fillId="5" borderId="9" xfId="9" applyFont="1" applyFill="1" applyBorder="1" applyAlignment="1">
      <alignment horizontal="center" wrapText="1"/>
    </xf>
    <xf numFmtId="43" fontId="10" fillId="5" borderId="0" xfId="9" applyFont="1" applyFill="1" applyAlignment="1">
      <alignment horizontal="center" wrapText="1"/>
    </xf>
    <xf numFmtId="43" fontId="10" fillId="5" borderId="0" xfId="8" applyFont="1" applyFill="1" applyAlignment="1">
      <alignment horizontal="center" wrapText="1"/>
    </xf>
    <xf numFmtId="14" fontId="12" fillId="6" borderId="10" xfId="7" applyNumberFormat="1" applyFill="1" applyBorder="1"/>
    <xf numFmtId="14" fontId="12" fillId="6" borderId="9" xfId="7" applyNumberFormat="1" applyFill="1" applyBorder="1"/>
    <xf numFmtId="0" fontId="12" fillId="6" borderId="9" xfId="7" applyFill="1" applyBorder="1"/>
    <xf numFmtId="0" fontId="12" fillId="6" borderId="9" xfId="7" applyFill="1" applyBorder="1" applyAlignment="1">
      <alignment horizontal="left"/>
    </xf>
    <xf numFmtId="43" fontId="0" fillId="6" borderId="13" xfId="9" applyFont="1" applyFill="1" applyBorder="1"/>
    <xf numFmtId="10" fontId="0" fillId="6" borderId="13" xfId="10" applyNumberFormat="1" applyFont="1" applyFill="1" applyBorder="1"/>
    <xf numFmtId="14" fontId="12" fillId="7" borderId="10" xfId="7" applyNumberFormat="1" applyFill="1" applyBorder="1"/>
    <xf numFmtId="14" fontId="12" fillId="7" borderId="9" xfId="7" applyNumberFormat="1" applyFill="1" applyBorder="1"/>
    <xf numFmtId="0" fontId="12" fillId="8" borderId="9" xfId="7" applyFill="1" applyBorder="1"/>
    <xf numFmtId="0" fontId="12" fillId="8" borderId="9" xfId="7" applyFill="1" applyBorder="1" applyAlignment="1">
      <alignment horizontal="left"/>
    </xf>
    <xf numFmtId="43" fontId="0" fillId="8" borderId="13" xfId="9" applyFont="1" applyFill="1" applyBorder="1"/>
    <xf numFmtId="10" fontId="0" fillId="8" borderId="13" xfId="10" applyNumberFormat="1" applyFont="1" applyFill="1" applyBorder="1"/>
    <xf numFmtId="14" fontId="12" fillId="8" borderId="10" xfId="7" applyNumberFormat="1" applyFill="1" applyBorder="1"/>
    <xf numFmtId="14" fontId="12" fillId="8" borderId="9" xfId="7" applyNumberFormat="1" applyFill="1" applyBorder="1"/>
    <xf numFmtId="0" fontId="12" fillId="7" borderId="9" xfId="7" applyFill="1" applyBorder="1"/>
    <xf numFmtId="0" fontId="12" fillId="7" borderId="9" xfId="7" applyFill="1" applyBorder="1" applyAlignment="1">
      <alignment horizontal="left"/>
    </xf>
    <xf numFmtId="14" fontId="12" fillId="0" borderId="10" xfId="7" applyNumberFormat="1" applyBorder="1"/>
    <xf numFmtId="14" fontId="12" fillId="0" borderId="9" xfId="7" applyNumberFormat="1" applyBorder="1"/>
    <xf numFmtId="0" fontId="12" fillId="0" borderId="9" xfId="7" applyBorder="1"/>
    <xf numFmtId="0" fontId="11" fillId="0" borderId="9" xfId="7" applyFont="1" applyBorder="1"/>
    <xf numFmtId="0" fontId="11" fillId="0" borderId="9" xfId="7" applyFont="1" applyBorder="1" applyAlignment="1">
      <alignment horizontal="left"/>
    </xf>
    <xf numFmtId="43" fontId="11" fillId="0" borderId="13" xfId="9" applyFont="1" applyBorder="1"/>
    <xf numFmtId="10" fontId="11" fillId="0" borderId="13" xfId="10" applyNumberFormat="1" applyFont="1" applyBorder="1"/>
    <xf numFmtId="14" fontId="12" fillId="9" borderId="10" xfId="7" applyNumberFormat="1" applyFill="1" applyBorder="1"/>
    <xf numFmtId="14" fontId="12" fillId="9" borderId="9" xfId="7" applyNumberFormat="1" applyFill="1" applyBorder="1"/>
    <xf numFmtId="0" fontId="12" fillId="9" borderId="9" xfId="7" applyFill="1" applyBorder="1"/>
    <xf numFmtId="0" fontId="12" fillId="9" borderId="9" xfId="7" applyFill="1" applyBorder="1" applyAlignment="1">
      <alignment horizontal="left"/>
    </xf>
    <xf numFmtId="43" fontId="0" fillId="10" borderId="13" xfId="9" applyFont="1" applyFill="1" applyBorder="1"/>
    <xf numFmtId="43" fontId="0" fillId="9" borderId="13" xfId="9" applyFont="1" applyFill="1" applyBorder="1"/>
    <xf numFmtId="9" fontId="0" fillId="9" borderId="13" xfId="10" applyFont="1" applyFill="1" applyBorder="1"/>
    <xf numFmtId="0" fontId="1" fillId="10" borderId="10" xfId="7" applyFont="1" applyFill="1" applyBorder="1"/>
    <xf numFmtId="14" fontId="1" fillId="10" borderId="9" xfId="7" applyNumberFormat="1" applyFont="1" applyFill="1" applyBorder="1"/>
    <xf numFmtId="0" fontId="1" fillId="10" borderId="9" xfId="7" applyFont="1" applyFill="1" applyBorder="1"/>
    <xf numFmtId="0" fontId="1" fillId="10" borderId="13" xfId="7" applyFont="1" applyFill="1" applyBorder="1"/>
    <xf numFmtId="43" fontId="1" fillId="10" borderId="13" xfId="7" applyNumberFormat="1" applyFont="1" applyFill="1" applyBorder="1"/>
    <xf numFmtId="9" fontId="1" fillId="10" borderId="13" xfId="10" applyFont="1" applyFill="1" applyBorder="1" applyAlignment="1">
      <alignment wrapText="1"/>
    </xf>
    <xf numFmtId="14" fontId="12" fillId="11" borderId="10" xfId="7" applyNumberFormat="1" applyFill="1" applyBorder="1"/>
    <xf numFmtId="14" fontId="12" fillId="11" borderId="9" xfId="7" applyNumberFormat="1" applyFill="1" applyBorder="1"/>
    <xf numFmtId="0" fontId="12" fillId="11" borderId="9" xfId="7" applyFill="1" applyBorder="1"/>
    <xf numFmtId="0" fontId="12" fillId="11" borderId="9" xfId="7" applyFill="1" applyBorder="1" applyAlignment="1">
      <alignment horizontal="left"/>
    </xf>
    <xf numFmtId="43" fontId="0" fillId="11" borderId="13" xfId="9" applyFont="1" applyFill="1" applyBorder="1"/>
    <xf numFmtId="9" fontId="0" fillId="11" borderId="13" xfId="10" applyFont="1" applyFill="1" applyBorder="1"/>
    <xf numFmtId="9" fontId="0" fillId="10" borderId="13" xfId="10" applyFont="1" applyFill="1" applyBorder="1"/>
    <xf numFmtId="0" fontId="12" fillId="9" borderId="10" xfId="7" applyFill="1" applyBorder="1"/>
    <xf numFmtId="0" fontId="12" fillId="9" borderId="10" xfId="7" applyFill="1" applyBorder="1" applyAlignment="1">
      <alignment horizontal="left"/>
    </xf>
    <xf numFmtId="43" fontId="0" fillId="9" borderId="10" xfId="9" applyFont="1" applyFill="1" applyBorder="1"/>
    <xf numFmtId="9" fontId="0" fillId="9" borderId="10" xfId="10" applyFont="1" applyFill="1" applyBorder="1"/>
    <xf numFmtId="14" fontId="12" fillId="12" borderId="10" xfId="7" applyNumberFormat="1" applyFill="1" applyBorder="1"/>
    <xf numFmtId="14" fontId="12" fillId="12" borderId="9" xfId="7" applyNumberFormat="1" applyFill="1" applyBorder="1"/>
    <xf numFmtId="0" fontId="12" fillId="12" borderId="9" xfId="7" applyFill="1" applyBorder="1"/>
    <xf numFmtId="0" fontId="12" fillId="12" borderId="9" xfId="7" applyFill="1" applyBorder="1" applyAlignment="1">
      <alignment horizontal="left"/>
    </xf>
    <xf numFmtId="43" fontId="0" fillId="12" borderId="13" xfId="9" applyFont="1" applyFill="1" applyBorder="1"/>
    <xf numFmtId="9" fontId="0" fillId="12" borderId="13" xfId="10" applyFont="1" applyFill="1" applyBorder="1"/>
    <xf numFmtId="9" fontId="0" fillId="6" borderId="13" xfId="10" applyFont="1" applyFill="1" applyBorder="1"/>
    <xf numFmtId="14" fontId="12" fillId="13" borderId="10" xfId="7" applyNumberFormat="1" applyFill="1" applyBorder="1"/>
    <xf numFmtId="14" fontId="12" fillId="13" borderId="9" xfId="7" applyNumberFormat="1" applyFill="1" applyBorder="1"/>
    <xf numFmtId="0" fontId="12" fillId="13" borderId="9" xfId="7" applyFill="1" applyBorder="1"/>
    <xf numFmtId="0" fontId="12" fillId="13" borderId="9" xfId="7" applyFill="1" applyBorder="1" applyAlignment="1">
      <alignment horizontal="left"/>
    </xf>
    <xf numFmtId="14" fontId="11" fillId="0" borderId="9" xfId="7" applyNumberFormat="1" applyFont="1" applyBorder="1"/>
    <xf numFmtId="43" fontId="11" fillId="0" borderId="13" xfId="9" applyFont="1" applyBorder="1" applyAlignment="1">
      <alignment horizontal="center"/>
    </xf>
    <xf numFmtId="14" fontId="12" fillId="3" borderId="10" xfId="7" applyNumberFormat="1" applyFill="1" applyBorder="1"/>
    <xf numFmtId="14" fontId="12" fillId="3" borderId="9" xfId="7" applyNumberFormat="1" applyFill="1" applyBorder="1"/>
    <xf numFmtId="0" fontId="12" fillId="3" borderId="9" xfId="7" applyFill="1" applyBorder="1" applyAlignment="1">
      <alignment horizontal="left"/>
    </xf>
    <xf numFmtId="14" fontId="12" fillId="14" borderId="10" xfId="7" applyNumberFormat="1" applyFill="1" applyBorder="1"/>
    <xf numFmtId="14" fontId="12" fillId="14" borderId="9" xfId="7" applyNumberFormat="1" applyFill="1" applyBorder="1"/>
    <xf numFmtId="0" fontId="12" fillId="15" borderId="9" xfId="7" applyFill="1" applyBorder="1"/>
    <xf numFmtId="43" fontId="0" fillId="14" borderId="13" xfId="9" applyFont="1" applyFill="1" applyBorder="1"/>
    <xf numFmtId="10" fontId="0" fillId="14" borderId="13" xfId="10" applyNumberFormat="1" applyFont="1" applyFill="1" applyBorder="1"/>
    <xf numFmtId="0" fontId="12" fillId="14" borderId="9" xfId="7" applyFill="1" applyBorder="1"/>
    <xf numFmtId="0" fontId="12" fillId="14" borderId="9" xfId="7" applyFill="1" applyBorder="1" applyAlignment="1">
      <alignment horizontal="left"/>
    </xf>
    <xf numFmtId="14" fontId="12" fillId="15" borderId="10" xfId="7" applyNumberFormat="1" applyFill="1" applyBorder="1"/>
    <xf numFmtId="14" fontId="12" fillId="15" borderId="9" xfId="7" applyNumberFormat="1" applyFill="1" applyBorder="1"/>
    <xf numFmtId="0" fontId="12" fillId="15" borderId="9" xfId="7" applyFill="1" applyBorder="1" applyAlignment="1">
      <alignment horizontal="left"/>
    </xf>
    <xf numFmtId="0" fontId="12" fillId="15" borderId="10" xfId="7" applyFill="1" applyBorder="1"/>
    <xf numFmtId="0" fontId="12" fillId="15" borderId="10" xfId="7" applyFill="1" applyBorder="1" applyAlignment="1">
      <alignment horizontal="left"/>
    </xf>
    <xf numFmtId="43" fontId="0" fillId="14" borderId="10" xfId="9" applyFont="1" applyFill="1" applyBorder="1"/>
    <xf numFmtId="43" fontId="0" fillId="14" borderId="0" xfId="9" applyFont="1" applyFill="1" applyBorder="1"/>
    <xf numFmtId="0" fontId="1" fillId="0" borderId="0" xfId="7" applyFont="1"/>
    <xf numFmtId="0" fontId="12" fillId="14" borderId="10" xfId="7" applyFill="1" applyBorder="1"/>
    <xf numFmtId="0" fontId="12" fillId="14" borderId="10" xfId="7" applyFill="1" applyBorder="1" applyAlignment="1">
      <alignment horizontal="left"/>
    </xf>
    <xf numFmtId="0" fontId="11" fillId="0" borderId="0" xfId="7" applyFont="1" applyAlignment="1">
      <alignment horizontal="left"/>
    </xf>
    <xf numFmtId="43" fontId="11" fillId="0" borderId="0" xfId="9" applyFont="1" applyAlignment="1">
      <alignment horizontal="center"/>
    </xf>
    <xf numFmtId="43" fontId="11" fillId="0" borderId="0" xfId="9" applyFont="1"/>
    <xf numFmtId="0" fontId="11" fillId="0" borderId="0" xfId="7" applyFont="1"/>
    <xf numFmtId="43" fontId="11" fillId="0" borderId="0" xfId="8" applyFont="1" applyAlignment="1">
      <alignment horizontal="left"/>
    </xf>
    <xf numFmtId="0" fontId="16" fillId="16" borderId="10" xfId="7" applyFont="1" applyFill="1" applyBorder="1"/>
    <xf numFmtId="43" fontId="11" fillId="0" borderId="9" xfId="9" applyFont="1" applyBorder="1"/>
    <xf numFmtId="14" fontId="12" fillId="0" borderId="0" xfId="7" applyNumberFormat="1"/>
    <xf numFmtId="0" fontId="12" fillId="9" borderId="0" xfId="7" applyFill="1"/>
    <xf numFmtId="0" fontId="12" fillId="9" borderId="0" xfId="7" applyFill="1" applyAlignment="1">
      <alignment horizontal="left"/>
    </xf>
    <xf numFmtId="0" fontId="17" fillId="0" borderId="0" xfId="7" applyFont="1" applyAlignment="1">
      <alignment horizontal="left"/>
    </xf>
    <xf numFmtId="43" fontId="18" fillId="0" borderId="0" xfId="8" applyFont="1" applyAlignment="1">
      <alignment horizontal="center"/>
    </xf>
    <xf numFmtId="43" fontId="18" fillId="0" borderId="0" xfId="7" applyNumberFormat="1" applyFont="1" applyAlignment="1">
      <alignment horizontal="center"/>
    </xf>
    <xf numFmtId="43" fontId="12" fillId="0" borderId="0" xfId="7" applyNumberFormat="1" applyAlignment="1">
      <alignment horizontal="center"/>
    </xf>
    <xf numFmtId="0" fontId="12" fillId="0" borderId="10" xfId="7" applyBorder="1"/>
    <xf numFmtId="0" fontId="20" fillId="0" borderId="0" xfId="11" applyFont="1"/>
    <xf numFmtId="0" fontId="20" fillId="0" borderId="0" xfId="12" applyFont="1"/>
    <xf numFmtId="0" fontId="20" fillId="0" borderId="0" xfId="12" applyFont="1" applyAlignment="1">
      <alignment horizontal="center" wrapText="1"/>
    </xf>
    <xf numFmtId="43" fontId="20" fillId="0" borderId="0" xfId="13" applyFont="1" applyAlignment="1">
      <alignment horizontal="center" wrapText="1"/>
    </xf>
    <xf numFmtId="43" fontId="20" fillId="0" borderId="0" xfId="13" applyFont="1" applyAlignment="1">
      <alignment horizontal="center"/>
    </xf>
    <xf numFmtId="0" fontId="1" fillId="0" borderId="0" xfId="12"/>
    <xf numFmtId="0" fontId="21" fillId="0" borderId="0" xfId="14"/>
    <xf numFmtId="14" fontId="21" fillId="0" borderId="0" xfId="14" applyNumberFormat="1"/>
    <xf numFmtId="43" fontId="0" fillId="0" borderId="0" xfId="13" applyFont="1"/>
    <xf numFmtId="9" fontId="0" fillId="0" borderId="0" xfId="15" applyFont="1" applyAlignment="1">
      <alignment wrapText="1"/>
    </xf>
    <xf numFmtId="0" fontId="21" fillId="17" borderId="0" xfId="14" applyFill="1"/>
    <xf numFmtId="14" fontId="21" fillId="17" borderId="0" xfId="14" applyNumberFormat="1" applyFill="1"/>
    <xf numFmtId="43" fontId="0" fillId="17" borderId="0" xfId="13" applyFont="1" applyFill="1"/>
    <xf numFmtId="43" fontId="0" fillId="0" borderId="0" xfId="13" applyFont="1" applyFill="1"/>
    <xf numFmtId="0" fontId="19" fillId="14" borderId="0" xfId="14" applyFont="1" applyFill="1"/>
    <xf numFmtId="0" fontId="21" fillId="14" borderId="0" xfId="14" applyFill="1"/>
    <xf numFmtId="14" fontId="21" fillId="14" borderId="0" xfId="14" applyNumberFormat="1" applyFill="1"/>
    <xf numFmtId="43" fontId="0" fillId="14" borderId="0" xfId="13" applyFont="1" applyFill="1"/>
    <xf numFmtId="0" fontId="20" fillId="14" borderId="0" xfId="14" applyFont="1" applyFill="1"/>
    <xf numFmtId="9" fontId="0" fillId="14" borderId="0" xfId="15" applyFont="1" applyFill="1" applyAlignment="1">
      <alignment wrapText="1"/>
    </xf>
    <xf numFmtId="9" fontId="0" fillId="0" borderId="0" xfId="15" applyFont="1"/>
    <xf numFmtId="0" fontId="0" fillId="0" borderId="0" xfId="11" applyFont="1" applyAlignment="1">
      <alignment horizontal="right"/>
    </xf>
    <xf numFmtId="0" fontId="19" fillId="0" borderId="0" xfId="11"/>
    <xf numFmtId="43" fontId="19" fillId="0" borderId="0" xfId="13"/>
    <xf numFmtId="0" fontId="19" fillId="0" borderId="0" xfId="11" applyAlignment="1">
      <alignment horizontal="right"/>
    </xf>
    <xf numFmtId="0" fontId="1" fillId="0" borderId="0" xfId="12" applyAlignment="1">
      <alignment wrapText="1"/>
    </xf>
    <xf numFmtId="43" fontId="22" fillId="0" borderId="0" xfId="13" applyFont="1"/>
    <xf numFmtId="164" fontId="3" fillId="8" borderId="0" xfId="0" applyNumberFormat="1" applyFont="1" applyFill="1" applyAlignment="1">
      <alignment horizontal="right"/>
    </xf>
    <xf numFmtId="0" fontId="9" fillId="8" borderId="0" xfId="0" applyFont="1" applyFill="1" applyAlignment="1">
      <alignment wrapText="1"/>
    </xf>
    <xf numFmtId="0" fontId="11" fillId="0" borderId="5" xfId="7" applyFont="1" applyBorder="1" applyAlignment="1">
      <alignment horizontal="center"/>
    </xf>
    <xf numFmtId="0" fontId="11" fillId="0" borderId="6" xfId="7" applyFont="1" applyBorder="1" applyAlignment="1">
      <alignment horizontal="center"/>
    </xf>
    <xf numFmtId="0" fontId="20" fillId="0" borderId="0" xfId="14" applyFont="1"/>
    <xf numFmtId="43" fontId="19" fillId="14" borderId="0" xfId="13" applyFont="1" applyFill="1"/>
    <xf numFmtId="43" fontId="20" fillId="0" borderId="0" xfId="13" applyFont="1"/>
  </cellXfs>
  <cellStyles count="16">
    <cellStyle name="Comma" xfId="4" xr:uid="{00000000-0005-0000-0000-000004000000}"/>
    <cellStyle name="Comma [0]" xfId="5" xr:uid="{00000000-0005-0000-0000-000005000000}"/>
    <cellStyle name="Comma 2" xfId="13" xr:uid="{FA29C265-D33D-4EC7-8272-B7AEC2BC238C}"/>
    <cellStyle name="Comma 2 2" xfId="8" xr:uid="{FAEE8B0B-23A0-4A63-ACC8-E2F33BDD6FD7}"/>
    <cellStyle name="Comma 3" xfId="9" xr:uid="{3F7E1750-4D55-4DA3-B3D8-A9A5DD8E67C0}"/>
    <cellStyle name="Currency" xfId="2" xr:uid="{00000000-0005-0000-0000-000002000000}"/>
    <cellStyle name="Currency [0]" xfId="3" xr:uid="{00000000-0005-0000-0000-000003000000}"/>
    <cellStyle name="Normal" xfId="0" builtinId="0"/>
    <cellStyle name="Normal 2" xfId="6" xr:uid="{A47DA60F-50A3-4CE0-8C2C-E54B3A519EA4}"/>
    <cellStyle name="Normal 2 2" xfId="7" xr:uid="{A5D6825F-F6C3-4D6F-9F3B-56836D8AACAF}"/>
    <cellStyle name="Normal 2 2 2" xfId="12" xr:uid="{0626EA51-B17A-4F8A-A600-5478D9A5B3FE}"/>
    <cellStyle name="Normal 2 3" xfId="11" xr:uid="{62862A0D-0AFB-4357-9174-337C755267F0}"/>
    <cellStyle name="Normal 2 4" xfId="14" xr:uid="{2F28469A-D188-4F90-BB6E-C1B640F9A360}"/>
    <cellStyle name="Percent" xfId="1" xr:uid="{00000000-0005-0000-0000-000001000000}"/>
    <cellStyle name="Percent 2" xfId="10" xr:uid="{12D0B09D-AD69-4B09-93A8-DC0806EAF352}"/>
    <cellStyle name="Percent 2 2" xfId="15" xr:uid="{49EC6580-2E39-4819-8D8F-B854808581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3"/>
  <sheetViews>
    <sheetView zoomScale="115" zoomScaleNormal="115" workbookViewId="0">
      <pane ySplit="9" topLeftCell="A64" activePane="bottomLeft" state="frozen"/>
      <selection pane="bottomLeft" activeCell="B15" sqref="B15"/>
    </sheetView>
  </sheetViews>
  <sheetFormatPr defaultColWidth="9.140625" defaultRowHeight="12.75"/>
  <cols>
    <col min="1" max="1" width="32.28515625" style="1" customWidth="1"/>
    <col min="2" max="2" width="16" style="1" customWidth="1"/>
    <col min="3" max="3" width="10.42578125" style="1" customWidth="1"/>
    <col min="4" max="4" width="9" style="1" customWidth="1"/>
    <col min="5" max="6" width="10.42578125" style="1" customWidth="1"/>
    <col min="7" max="7" width="8" style="1" customWidth="1"/>
    <col min="8" max="9" width="18.140625" style="1" customWidth="1"/>
    <col min="10" max="10" width="8" style="1" customWidth="1"/>
    <col min="11" max="12" width="10.42578125" style="1" customWidth="1"/>
    <col min="13" max="13" width="18.140625" style="1" customWidth="1"/>
    <col min="14" max="14" width="48.42578125" style="18" customWidth="1"/>
    <col min="15" max="16384" width="9.140625" style="1"/>
  </cols>
  <sheetData>
    <row r="1" spans="1:14" ht="15.75">
      <c r="A1" s="3" t="s">
        <v>0</v>
      </c>
    </row>
    <row r="2" spans="1:14" ht="15.75">
      <c r="A2" s="3" t="s">
        <v>1</v>
      </c>
    </row>
    <row r="3" spans="1:14">
      <c r="A3" s="4" t="s">
        <v>2</v>
      </c>
      <c r="B3" s="4" t="s">
        <v>3</v>
      </c>
    </row>
    <row r="4" spans="1:14">
      <c r="A4" s="4" t="s">
        <v>4</v>
      </c>
      <c r="B4" s="4" t="s">
        <v>5</v>
      </c>
    </row>
    <row r="5" spans="1:14">
      <c r="A5" s="4" t="s">
        <v>6</v>
      </c>
      <c r="B5" s="4" t="s">
        <v>7</v>
      </c>
    </row>
    <row r="6" spans="1:14">
      <c r="A6" s="2" t="s">
        <v>8</v>
      </c>
    </row>
    <row r="7" spans="1:14">
      <c r="A7" s="4" t="s">
        <v>8</v>
      </c>
      <c r="B7" s="5" t="s">
        <v>9</v>
      </c>
      <c r="C7" s="5" t="s">
        <v>9</v>
      </c>
      <c r="D7" s="4" t="s">
        <v>8</v>
      </c>
      <c r="E7" s="5" t="s">
        <v>10</v>
      </c>
      <c r="F7" s="5" t="s">
        <v>10</v>
      </c>
      <c r="G7" s="4" t="s">
        <v>8</v>
      </c>
      <c r="H7" s="5" t="s">
        <v>11</v>
      </c>
      <c r="I7" s="5" t="s">
        <v>11</v>
      </c>
      <c r="J7" s="4" t="s">
        <v>8</v>
      </c>
      <c r="K7" s="5" t="s">
        <v>9</v>
      </c>
      <c r="L7" s="5" t="s">
        <v>10</v>
      </c>
      <c r="M7" s="5" t="s">
        <v>11</v>
      </c>
    </row>
    <row r="8" spans="1:14">
      <c r="A8" s="4" t="s">
        <v>8</v>
      </c>
      <c r="B8" s="5" t="s">
        <v>12</v>
      </c>
      <c r="C8" s="5" t="s">
        <v>12</v>
      </c>
      <c r="D8" s="4" t="s">
        <v>8</v>
      </c>
      <c r="E8" s="5" t="s">
        <v>12</v>
      </c>
      <c r="F8" s="5" t="s">
        <v>12</v>
      </c>
      <c r="G8" s="4" t="s">
        <v>8</v>
      </c>
      <c r="H8" s="5" t="s">
        <v>12</v>
      </c>
      <c r="I8" s="5" t="s">
        <v>12</v>
      </c>
      <c r="J8" s="4" t="s">
        <v>8</v>
      </c>
      <c r="K8" s="5" t="s">
        <v>13</v>
      </c>
      <c r="L8" s="5" t="s">
        <v>13</v>
      </c>
      <c r="M8" s="5" t="s">
        <v>13</v>
      </c>
    </row>
    <row r="9" spans="1:14">
      <c r="A9" s="4" t="s">
        <v>8</v>
      </c>
      <c r="B9" s="6" t="s">
        <v>5</v>
      </c>
      <c r="C9" s="6" t="s">
        <v>14</v>
      </c>
      <c r="D9" s="7" t="s">
        <v>8</v>
      </c>
      <c r="E9" s="6" t="s">
        <v>5</v>
      </c>
      <c r="F9" s="6" t="s">
        <v>14</v>
      </c>
      <c r="G9" s="7" t="s">
        <v>8</v>
      </c>
      <c r="H9" s="6" t="s">
        <v>5</v>
      </c>
      <c r="I9" s="6" t="s">
        <v>14</v>
      </c>
      <c r="J9" s="7" t="s">
        <v>8</v>
      </c>
      <c r="K9" s="6" t="s">
        <v>5</v>
      </c>
      <c r="L9" s="6" t="s">
        <v>5</v>
      </c>
      <c r="M9" s="6" t="s">
        <v>5</v>
      </c>
    </row>
    <row r="10" spans="1:14">
      <c r="A10" s="8" t="s">
        <v>8</v>
      </c>
      <c r="B10" s="9" t="s">
        <v>8</v>
      </c>
      <c r="C10" s="9" t="s">
        <v>15</v>
      </c>
      <c r="D10" s="9" t="s">
        <v>16</v>
      </c>
      <c r="E10" s="9" t="s">
        <v>15</v>
      </c>
      <c r="F10" s="9" t="s">
        <v>15</v>
      </c>
      <c r="G10" s="9" t="s">
        <v>17</v>
      </c>
      <c r="H10" s="9" t="s">
        <v>15</v>
      </c>
      <c r="I10" s="9" t="s">
        <v>15</v>
      </c>
      <c r="J10" s="9" t="s">
        <v>17</v>
      </c>
      <c r="K10" s="9" t="s">
        <v>15</v>
      </c>
      <c r="L10" s="9" t="s">
        <v>15</v>
      </c>
      <c r="M10" s="9" t="s">
        <v>15</v>
      </c>
    </row>
    <row r="11" spans="1:14">
      <c r="A11" s="10" t="s">
        <v>18</v>
      </c>
      <c r="B11" s="10" t="s">
        <v>19</v>
      </c>
      <c r="C11" s="10" t="s">
        <v>19</v>
      </c>
      <c r="D11" s="10" t="s">
        <v>19</v>
      </c>
      <c r="E11" s="10" t="s">
        <v>19</v>
      </c>
      <c r="F11" s="10" t="s">
        <v>19</v>
      </c>
      <c r="G11" s="10" t="s">
        <v>19</v>
      </c>
      <c r="H11" s="10" t="s">
        <v>19</v>
      </c>
      <c r="I11" s="10" t="s">
        <v>19</v>
      </c>
      <c r="J11" s="10" t="s">
        <v>19</v>
      </c>
      <c r="K11" s="10" t="s">
        <v>19</v>
      </c>
      <c r="L11" s="10" t="s">
        <v>19</v>
      </c>
      <c r="M11" s="10" t="s">
        <v>19</v>
      </c>
    </row>
    <row r="12" spans="1:14">
      <c r="A12" s="4" t="s">
        <v>20</v>
      </c>
      <c r="B12" s="4" t="s">
        <v>21</v>
      </c>
      <c r="C12" s="11" t="s">
        <v>21</v>
      </c>
      <c r="D12" s="11" t="s">
        <v>21</v>
      </c>
      <c r="E12" s="11" t="s">
        <v>21</v>
      </c>
      <c r="F12" s="11" t="s">
        <v>21</v>
      </c>
      <c r="G12" s="4" t="s">
        <v>21</v>
      </c>
      <c r="H12" s="11" t="s">
        <v>21</v>
      </c>
      <c r="I12" s="11" t="s">
        <v>21</v>
      </c>
      <c r="J12" s="11" t="s">
        <v>21</v>
      </c>
      <c r="K12" s="11" t="s">
        <v>21</v>
      </c>
      <c r="L12" s="4" t="s">
        <v>21</v>
      </c>
      <c r="M12" s="4" t="s">
        <v>21</v>
      </c>
    </row>
    <row r="13" spans="1:14">
      <c r="A13" s="4" t="s">
        <v>22</v>
      </c>
      <c r="B13" s="4" t="s">
        <v>23</v>
      </c>
      <c r="C13" s="11" t="s">
        <v>23</v>
      </c>
      <c r="D13" s="11" t="s">
        <v>23</v>
      </c>
      <c r="E13" s="11" t="s">
        <v>23</v>
      </c>
      <c r="F13" s="11" t="s">
        <v>23</v>
      </c>
      <c r="G13" s="4" t="s">
        <v>23</v>
      </c>
      <c r="H13" s="11" t="s">
        <v>23</v>
      </c>
      <c r="I13" s="11" t="s">
        <v>23</v>
      </c>
      <c r="J13" s="11" t="s">
        <v>23</v>
      </c>
      <c r="K13" s="11" t="s">
        <v>23</v>
      </c>
      <c r="L13" s="4" t="s">
        <v>23</v>
      </c>
      <c r="M13" s="4" t="s">
        <v>23</v>
      </c>
    </row>
    <row r="14" spans="1:14">
      <c r="A14" s="4" t="s">
        <v>24</v>
      </c>
      <c r="B14" s="4" t="s">
        <v>25</v>
      </c>
      <c r="C14" s="11" t="s">
        <v>25</v>
      </c>
      <c r="D14" s="11" t="s">
        <v>25</v>
      </c>
      <c r="E14" s="11" t="s">
        <v>25</v>
      </c>
      <c r="F14" s="11" t="s">
        <v>25</v>
      </c>
      <c r="G14" s="4" t="s">
        <v>25</v>
      </c>
      <c r="H14" s="11" t="s">
        <v>25</v>
      </c>
      <c r="I14" s="11" t="s">
        <v>25</v>
      </c>
      <c r="J14" s="11" t="s">
        <v>25</v>
      </c>
      <c r="K14" s="11" t="s">
        <v>25</v>
      </c>
      <c r="L14" s="4" t="s">
        <v>25</v>
      </c>
      <c r="M14" s="4" t="s">
        <v>25</v>
      </c>
    </row>
    <row r="15" spans="1:14" ht="45">
      <c r="A15" s="4" t="s">
        <v>26</v>
      </c>
      <c r="B15" s="12">
        <v>441148</v>
      </c>
      <c r="C15" s="12">
        <v>475556</v>
      </c>
      <c r="D15" s="12">
        <v>-34408</v>
      </c>
      <c r="E15" s="12">
        <v>106069</v>
      </c>
      <c r="F15" s="12">
        <v>112279</v>
      </c>
      <c r="G15" s="12">
        <v>-6210</v>
      </c>
      <c r="H15" s="12">
        <v>547217</v>
      </c>
      <c r="I15" s="12">
        <v>587835</v>
      </c>
      <c r="J15" s="169">
        <v>-40618</v>
      </c>
      <c r="K15" s="12">
        <v>4056103</v>
      </c>
      <c r="L15" s="12">
        <v>1050180</v>
      </c>
      <c r="M15" s="12">
        <v>5106283</v>
      </c>
      <c r="N15" s="170" t="s">
        <v>27</v>
      </c>
    </row>
    <row r="16" spans="1:14">
      <c r="A16" s="4" t="s">
        <v>28</v>
      </c>
      <c r="B16" s="12">
        <v>21601</v>
      </c>
      <c r="C16" s="12">
        <v>26424</v>
      </c>
      <c r="D16" s="12">
        <v>-4823</v>
      </c>
      <c r="E16" s="12">
        <v>0</v>
      </c>
      <c r="F16" s="12">
        <v>0</v>
      </c>
      <c r="G16" s="12">
        <v>0</v>
      </c>
      <c r="H16" s="12">
        <v>21601</v>
      </c>
      <c r="I16" s="12">
        <v>26424</v>
      </c>
      <c r="J16" s="12">
        <v>-4822</v>
      </c>
      <c r="K16" s="12">
        <v>212034</v>
      </c>
      <c r="L16" s="12">
        <v>0</v>
      </c>
      <c r="M16" s="12">
        <v>212034</v>
      </c>
    </row>
    <row r="17" spans="1:14" ht="45">
      <c r="A17" s="4" t="s">
        <v>29</v>
      </c>
      <c r="B17" s="12">
        <v>279889</v>
      </c>
      <c r="C17" s="12">
        <v>290032</v>
      </c>
      <c r="D17" s="12">
        <v>-10143</v>
      </c>
      <c r="E17" s="12">
        <v>19820</v>
      </c>
      <c r="F17" s="12">
        <v>18314</v>
      </c>
      <c r="G17" s="12">
        <v>1506</v>
      </c>
      <c r="H17" s="12">
        <v>299709</v>
      </c>
      <c r="I17" s="12">
        <v>308346</v>
      </c>
      <c r="J17" s="169">
        <v>-8638</v>
      </c>
      <c r="K17" s="12">
        <v>2376743</v>
      </c>
      <c r="L17" s="12">
        <v>172908</v>
      </c>
      <c r="M17" s="12">
        <v>2549651</v>
      </c>
      <c r="N17" s="170" t="s">
        <v>27</v>
      </c>
    </row>
    <row r="18" spans="1:14" ht="45">
      <c r="A18" s="4" t="s">
        <v>30</v>
      </c>
      <c r="B18" s="12">
        <v>24527</v>
      </c>
      <c r="C18" s="12">
        <v>27600</v>
      </c>
      <c r="D18" s="12">
        <v>-3073</v>
      </c>
      <c r="E18" s="12">
        <v>21545</v>
      </c>
      <c r="F18" s="12">
        <v>77093</v>
      </c>
      <c r="G18" s="12">
        <v>-55549</v>
      </c>
      <c r="H18" s="12">
        <v>46071</v>
      </c>
      <c r="I18" s="12">
        <v>104693</v>
      </c>
      <c r="J18" s="169">
        <v>-58622</v>
      </c>
      <c r="K18" s="12">
        <v>459870</v>
      </c>
      <c r="L18" s="12">
        <v>260998</v>
      </c>
      <c r="M18" s="12">
        <v>720867</v>
      </c>
      <c r="N18" s="170" t="s">
        <v>31</v>
      </c>
    </row>
    <row r="19" spans="1:14" ht="22.5">
      <c r="A19" s="4" t="s">
        <v>32</v>
      </c>
      <c r="B19" s="12">
        <v>7030</v>
      </c>
      <c r="C19" s="12">
        <v>34769</v>
      </c>
      <c r="D19" s="12">
        <v>-27739</v>
      </c>
      <c r="E19" s="12">
        <v>7449</v>
      </c>
      <c r="F19" s="12">
        <v>1370</v>
      </c>
      <c r="G19" s="12">
        <v>6079</v>
      </c>
      <c r="H19" s="12">
        <v>14480</v>
      </c>
      <c r="I19" s="12">
        <v>36139</v>
      </c>
      <c r="J19" s="169">
        <v>-21659</v>
      </c>
      <c r="K19" s="12">
        <v>240786</v>
      </c>
      <c r="L19" s="12">
        <v>41604</v>
      </c>
      <c r="M19" s="12">
        <v>282391</v>
      </c>
      <c r="N19" s="170" t="s">
        <v>33</v>
      </c>
    </row>
    <row r="20" spans="1:14" ht="45">
      <c r="A20" s="4" t="s">
        <v>34</v>
      </c>
      <c r="B20" s="12">
        <v>112854</v>
      </c>
      <c r="C20" s="12">
        <v>89562</v>
      </c>
      <c r="D20" s="12">
        <v>23292</v>
      </c>
      <c r="E20" s="12">
        <v>251215</v>
      </c>
      <c r="F20" s="12">
        <v>578108</v>
      </c>
      <c r="G20" s="12">
        <v>-326892</v>
      </c>
      <c r="H20" s="12">
        <v>364070</v>
      </c>
      <c r="I20" s="12">
        <v>667670</v>
      </c>
      <c r="J20" s="169">
        <v>-303601</v>
      </c>
      <c r="K20" s="12">
        <v>1890450</v>
      </c>
      <c r="L20" s="12">
        <v>2835089</v>
      </c>
      <c r="M20" s="12">
        <v>4725539</v>
      </c>
      <c r="N20" s="170" t="s">
        <v>35</v>
      </c>
    </row>
    <row r="21" spans="1:14">
      <c r="A21" s="4" t="s">
        <v>36</v>
      </c>
      <c r="B21" s="12">
        <v>5585</v>
      </c>
      <c r="C21" s="12">
        <v>5607</v>
      </c>
      <c r="D21" s="12">
        <v>-23</v>
      </c>
      <c r="E21" s="12">
        <v>721</v>
      </c>
      <c r="F21" s="12">
        <v>779</v>
      </c>
      <c r="G21" s="12">
        <v>-57</v>
      </c>
      <c r="H21" s="12">
        <v>6305</v>
      </c>
      <c r="I21" s="12">
        <v>6386</v>
      </c>
      <c r="J21" s="12">
        <v>-80</v>
      </c>
      <c r="K21" s="12">
        <v>56525</v>
      </c>
      <c r="L21" s="12">
        <v>9829</v>
      </c>
      <c r="M21" s="12">
        <v>66354</v>
      </c>
    </row>
    <row r="22" spans="1:14">
      <c r="A22" s="4" t="s">
        <v>37</v>
      </c>
      <c r="B22" s="13">
        <v>892634</v>
      </c>
      <c r="C22" s="13">
        <v>949550</v>
      </c>
      <c r="D22" s="13">
        <v>-56917</v>
      </c>
      <c r="E22" s="13">
        <v>406819</v>
      </c>
      <c r="F22" s="13">
        <v>787943</v>
      </c>
      <c r="G22" s="13">
        <v>-381123</v>
      </c>
      <c r="H22" s="13">
        <v>1299453</v>
      </c>
      <c r="I22" s="13">
        <v>1737493</v>
      </c>
      <c r="J22" s="13">
        <v>-438040</v>
      </c>
      <c r="K22" s="13">
        <v>9292511</v>
      </c>
      <c r="L22" s="13">
        <v>4370608</v>
      </c>
      <c r="M22" s="13">
        <v>13663119</v>
      </c>
    </row>
    <row r="23" spans="1:14">
      <c r="A23" s="4" t="s">
        <v>38</v>
      </c>
      <c r="B23" s="4" t="s">
        <v>25</v>
      </c>
      <c r="C23" s="11" t="s">
        <v>25</v>
      </c>
      <c r="D23" s="11" t="s">
        <v>25</v>
      </c>
      <c r="E23" s="11" t="s">
        <v>25</v>
      </c>
      <c r="F23" s="11" t="s">
        <v>25</v>
      </c>
      <c r="G23" s="4" t="s">
        <v>25</v>
      </c>
      <c r="H23" s="11" t="s">
        <v>25</v>
      </c>
      <c r="I23" s="11" t="s">
        <v>25</v>
      </c>
      <c r="J23" s="11" t="s">
        <v>25</v>
      </c>
      <c r="K23" s="11" t="s">
        <v>25</v>
      </c>
      <c r="L23" s="4" t="s">
        <v>25</v>
      </c>
      <c r="M23" s="4" t="s">
        <v>25</v>
      </c>
    </row>
    <row r="24" spans="1:14">
      <c r="A24" s="4" t="s">
        <v>39</v>
      </c>
      <c r="B24" s="12">
        <v>17845</v>
      </c>
      <c r="C24" s="12">
        <v>20096</v>
      </c>
      <c r="D24" s="12">
        <v>-2251</v>
      </c>
      <c r="E24" s="12">
        <v>12059</v>
      </c>
      <c r="F24" s="12">
        <v>8347</v>
      </c>
      <c r="G24" s="12">
        <v>3713</v>
      </c>
      <c r="H24" s="12">
        <v>29904</v>
      </c>
      <c r="I24" s="12">
        <v>28443</v>
      </c>
      <c r="J24" s="169">
        <v>1461</v>
      </c>
      <c r="K24" s="12">
        <v>160404</v>
      </c>
      <c r="L24" s="12">
        <v>64437</v>
      </c>
      <c r="M24" s="12">
        <v>224841</v>
      </c>
      <c r="N24" s="170" t="s">
        <v>40</v>
      </c>
    </row>
    <row r="25" spans="1:14">
      <c r="A25" s="4" t="s">
        <v>41</v>
      </c>
      <c r="B25" s="12">
        <v>9013</v>
      </c>
      <c r="C25" s="12">
        <v>11284</v>
      </c>
      <c r="D25" s="12">
        <v>-2271</v>
      </c>
      <c r="E25" s="12">
        <v>0</v>
      </c>
      <c r="F25" s="12">
        <v>0</v>
      </c>
      <c r="G25" s="12">
        <v>0</v>
      </c>
      <c r="H25" s="12">
        <v>9013</v>
      </c>
      <c r="I25" s="12">
        <v>11283</v>
      </c>
      <c r="J25" s="12">
        <v>-2270</v>
      </c>
      <c r="K25" s="12">
        <v>96383</v>
      </c>
      <c r="L25" s="12">
        <v>0</v>
      </c>
      <c r="M25" s="12">
        <v>96383</v>
      </c>
    </row>
    <row r="26" spans="1:14">
      <c r="A26" s="4" t="s">
        <v>42</v>
      </c>
      <c r="B26" s="12">
        <v>169311</v>
      </c>
      <c r="C26" s="12">
        <v>169772</v>
      </c>
      <c r="D26" s="12">
        <v>-461</v>
      </c>
      <c r="E26" s="12">
        <v>8011</v>
      </c>
      <c r="F26" s="12">
        <v>9204</v>
      </c>
      <c r="G26" s="12">
        <v>-1193</v>
      </c>
      <c r="H26" s="12">
        <v>177322</v>
      </c>
      <c r="I26" s="12">
        <v>178977</v>
      </c>
      <c r="J26" s="169">
        <v>-1655</v>
      </c>
      <c r="K26" s="12">
        <v>1458839</v>
      </c>
      <c r="L26" s="12">
        <v>75217</v>
      </c>
      <c r="M26" s="12">
        <v>1534055</v>
      </c>
      <c r="N26" s="170" t="s">
        <v>43</v>
      </c>
    </row>
    <row r="27" spans="1:14">
      <c r="A27" s="4" t="s">
        <v>44</v>
      </c>
      <c r="B27" s="12">
        <v>0</v>
      </c>
      <c r="C27" s="12">
        <v>0</v>
      </c>
      <c r="D27" s="12">
        <v>0</v>
      </c>
      <c r="E27" s="12">
        <v>0</v>
      </c>
      <c r="F27" s="12">
        <v>0</v>
      </c>
      <c r="G27" s="12">
        <v>0</v>
      </c>
      <c r="H27" s="12">
        <v>0</v>
      </c>
      <c r="I27" s="12">
        <v>0</v>
      </c>
      <c r="J27" s="12">
        <v>0</v>
      </c>
      <c r="K27" s="12">
        <v>2822</v>
      </c>
      <c r="L27" s="12">
        <v>76</v>
      </c>
      <c r="M27" s="12">
        <v>2899</v>
      </c>
    </row>
    <row r="28" spans="1:14">
      <c r="A28" s="4" t="s">
        <v>45</v>
      </c>
      <c r="B28" s="12">
        <v>6719</v>
      </c>
      <c r="C28" s="12">
        <v>28974</v>
      </c>
      <c r="D28" s="12">
        <v>-22255</v>
      </c>
      <c r="E28" s="12">
        <v>6704</v>
      </c>
      <c r="F28" s="12">
        <v>2365</v>
      </c>
      <c r="G28" s="12">
        <v>4339</v>
      </c>
      <c r="H28" s="12">
        <v>13423</v>
      </c>
      <c r="I28" s="12">
        <v>31339</v>
      </c>
      <c r="J28" s="169">
        <v>-17916</v>
      </c>
      <c r="K28" s="12">
        <v>204492</v>
      </c>
      <c r="L28" s="12">
        <v>37578</v>
      </c>
      <c r="M28" s="12">
        <v>242071</v>
      </c>
      <c r="N28" s="170" t="s">
        <v>46</v>
      </c>
    </row>
    <row r="29" spans="1:14">
      <c r="A29" s="4" t="s">
        <v>47</v>
      </c>
      <c r="B29" s="12">
        <v>104408</v>
      </c>
      <c r="C29" s="12">
        <v>82173</v>
      </c>
      <c r="D29" s="12">
        <v>22234</v>
      </c>
      <c r="E29" s="12">
        <v>216746</v>
      </c>
      <c r="F29" s="12">
        <v>487257</v>
      </c>
      <c r="G29" s="12">
        <v>-270512</v>
      </c>
      <c r="H29" s="12">
        <v>321154</v>
      </c>
      <c r="I29" s="12">
        <v>569431</v>
      </c>
      <c r="J29" s="169">
        <v>-248276</v>
      </c>
      <c r="K29" s="12">
        <v>1615424</v>
      </c>
      <c r="L29" s="12">
        <v>2405083</v>
      </c>
      <c r="M29" s="12">
        <v>4020506</v>
      </c>
      <c r="N29" s="170" t="s">
        <v>46</v>
      </c>
    </row>
    <row r="30" spans="1:14">
      <c r="A30" s="4" t="s">
        <v>48</v>
      </c>
      <c r="B30" s="12">
        <v>55386</v>
      </c>
      <c r="C30" s="12">
        <v>52869</v>
      </c>
      <c r="D30" s="12">
        <v>2518</v>
      </c>
      <c r="E30" s="12">
        <v>0</v>
      </c>
      <c r="F30" s="12">
        <v>11685</v>
      </c>
      <c r="G30" s="12">
        <v>-11684</v>
      </c>
      <c r="H30" s="12">
        <v>55387</v>
      </c>
      <c r="I30" s="12">
        <v>64553</v>
      </c>
      <c r="J30" s="169">
        <v>-9167</v>
      </c>
      <c r="K30" s="12">
        <v>489538</v>
      </c>
      <c r="L30" s="12">
        <v>94834</v>
      </c>
      <c r="M30" s="12">
        <v>584372</v>
      </c>
      <c r="N30" s="170" t="s">
        <v>49</v>
      </c>
    </row>
    <row r="31" spans="1:14" ht="22.5">
      <c r="A31" s="4" t="s">
        <v>50</v>
      </c>
      <c r="B31" s="12">
        <v>141445</v>
      </c>
      <c r="C31" s="12">
        <v>121156</v>
      </c>
      <c r="D31" s="12">
        <v>20288</v>
      </c>
      <c r="E31" s="12">
        <v>69252</v>
      </c>
      <c r="F31" s="12">
        <v>67969</v>
      </c>
      <c r="G31" s="12">
        <v>1282</v>
      </c>
      <c r="H31" s="12">
        <v>210696</v>
      </c>
      <c r="I31" s="12">
        <v>189126</v>
      </c>
      <c r="J31" s="169">
        <v>21570</v>
      </c>
      <c r="K31" s="12">
        <v>1263785</v>
      </c>
      <c r="L31" s="12">
        <v>616470</v>
      </c>
      <c r="M31" s="12">
        <v>1880255</v>
      </c>
      <c r="N31" s="170" t="s">
        <v>51</v>
      </c>
    </row>
    <row r="32" spans="1:14">
      <c r="A32" s="4" t="s">
        <v>52</v>
      </c>
      <c r="B32" s="13">
        <v>504127</v>
      </c>
      <c r="C32" s="13">
        <v>486324</v>
      </c>
      <c r="D32" s="13">
        <v>17802</v>
      </c>
      <c r="E32" s="13">
        <v>312772</v>
      </c>
      <c r="F32" s="13">
        <v>586827</v>
      </c>
      <c r="G32" s="13">
        <v>-274055</v>
      </c>
      <c r="H32" s="13">
        <v>816899</v>
      </c>
      <c r="I32" s="13">
        <v>1073152</v>
      </c>
      <c r="J32" s="13">
        <v>-256253</v>
      </c>
      <c r="K32" s="13">
        <v>5291687</v>
      </c>
      <c r="L32" s="13">
        <v>3293695</v>
      </c>
      <c r="M32" s="13">
        <v>8585382</v>
      </c>
    </row>
    <row r="33" spans="1:14">
      <c r="A33" s="4" t="s">
        <v>53</v>
      </c>
      <c r="B33" s="13">
        <v>388507</v>
      </c>
      <c r="C33" s="13">
        <v>463226</v>
      </c>
      <c r="D33" s="13">
        <v>-74718</v>
      </c>
      <c r="E33" s="13">
        <v>94047</v>
      </c>
      <c r="F33" s="13">
        <v>201116</v>
      </c>
      <c r="G33" s="13">
        <v>-107069</v>
      </c>
      <c r="H33" s="13">
        <v>482554</v>
      </c>
      <c r="I33" s="13">
        <v>664341</v>
      </c>
      <c r="J33" s="13">
        <v>-181787</v>
      </c>
      <c r="K33" s="13">
        <v>4000825</v>
      </c>
      <c r="L33" s="13">
        <v>1076913</v>
      </c>
      <c r="M33" s="13">
        <v>5077737</v>
      </c>
    </row>
    <row r="34" spans="1:14" ht="45">
      <c r="A34" s="4" t="s">
        <v>54</v>
      </c>
      <c r="B34" s="12">
        <v>95528</v>
      </c>
      <c r="C34" s="12">
        <v>106350</v>
      </c>
      <c r="D34" s="12">
        <v>-10821</v>
      </c>
      <c r="E34" s="12">
        <v>52067</v>
      </c>
      <c r="F34" s="12">
        <v>39519</v>
      </c>
      <c r="G34" s="12">
        <v>12548</v>
      </c>
      <c r="H34" s="12">
        <v>147595</v>
      </c>
      <c r="I34" s="12">
        <v>145868</v>
      </c>
      <c r="J34" s="169">
        <v>1727</v>
      </c>
      <c r="K34" s="12">
        <v>921790</v>
      </c>
      <c r="L34" s="12">
        <v>399027</v>
      </c>
      <c r="M34" s="12">
        <v>1320816</v>
      </c>
      <c r="N34" s="170" t="s">
        <v>55</v>
      </c>
    </row>
    <row r="35" spans="1:14">
      <c r="A35" s="4" t="s">
        <v>56</v>
      </c>
      <c r="B35" s="4" t="s">
        <v>23</v>
      </c>
      <c r="C35" s="11" t="s">
        <v>23</v>
      </c>
      <c r="D35" s="11" t="s">
        <v>23</v>
      </c>
      <c r="E35" s="11" t="s">
        <v>23</v>
      </c>
      <c r="F35" s="11" t="s">
        <v>23</v>
      </c>
      <c r="G35" s="4" t="s">
        <v>23</v>
      </c>
      <c r="H35" s="11" t="s">
        <v>23</v>
      </c>
      <c r="I35" s="11" t="s">
        <v>23</v>
      </c>
      <c r="J35" s="11" t="s">
        <v>23</v>
      </c>
      <c r="K35" s="11" t="s">
        <v>23</v>
      </c>
      <c r="L35" s="4" t="s">
        <v>23</v>
      </c>
      <c r="M35" s="4" t="s">
        <v>23</v>
      </c>
    </row>
    <row r="36" spans="1:14" ht="22.5">
      <c r="A36" s="4" t="s">
        <v>57</v>
      </c>
      <c r="B36" s="12">
        <v>75369</v>
      </c>
      <c r="C36" s="12">
        <v>72844</v>
      </c>
      <c r="D36" s="12">
        <v>2524</v>
      </c>
      <c r="E36" s="12">
        <v>0</v>
      </c>
      <c r="F36" s="12">
        <v>3403</v>
      </c>
      <c r="G36" s="12">
        <v>-3403</v>
      </c>
      <c r="H36" s="12">
        <v>75368</v>
      </c>
      <c r="I36" s="12">
        <v>76247</v>
      </c>
      <c r="J36" s="169">
        <v>-879</v>
      </c>
      <c r="K36" s="12">
        <v>728518</v>
      </c>
      <c r="L36" s="12">
        <v>39990</v>
      </c>
      <c r="M36" s="12">
        <v>768508</v>
      </c>
      <c r="N36" s="170" t="s">
        <v>58</v>
      </c>
    </row>
    <row r="37" spans="1:14">
      <c r="A37" s="4" t="s">
        <v>59</v>
      </c>
      <c r="B37" s="4" t="s">
        <v>25</v>
      </c>
      <c r="C37" s="11" t="s">
        <v>25</v>
      </c>
      <c r="D37" s="11" t="s">
        <v>25</v>
      </c>
      <c r="E37" s="11" t="s">
        <v>25</v>
      </c>
      <c r="F37" s="11" t="s">
        <v>25</v>
      </c>
      <c r="G37" s="4" t="s">
        <v>25</v>
      </c>
      <c r="H37" s="11" t="s">
        <v>25</v>
      </c>
      <c r="I37" s="11" t="s">
        <v>25</v>
      </c>
      <c r="J37" s="11" t="s">
        <v>25</v>
      </c>
      <c r="K37" s="11" t="s">
        <v>25</v>
      </c>
      <c r="L37" s="4" t="s">
        <v>25</v>
      </c>
      <c r="M37" s="4" t="s">
        <v>25</v>
      </c>
    </row>
    <row r="38" spans="1:14">
      <c r="A38" s="4" t="s">
        <v>60</v>
      </c>
      <c r="B38" s="12">
        <v>15935</v>
      </c>
      <c r="C38" s="12">
        <v>16504</v>
      </c>
      <c r="D38" s="12">
        <v>-569</v>
      </c>
      <c r="E38" s="12">
        <v>1800</v>
      </c>
      <c r="F38" s="12">
        <v>6107</v>
      </c>
      <c r="G38" s="12">
        <v>-4307</v>
      </c>
      <c r="H38" s="12">
        <v>17736</v>
      </c>
      <c r="I38" s="12">
        <v>22611</v>
      </c>
      <c r="J38" s="12">
        <v>-4876</v>
      </c>
      <c r="K38" s="12">
        <v>148891</v>
      </c>
      <c r="L38" s="12">
        <v>74913</v>
      </c>
      <c r="M38" s="12">
        <v>223803</v>
      </c>
    </row>
    <row r="39" spans="1:14">
      <c r="A39" s="4" t="s">
        <v>61</v>
      </c>
      <c r="B39" s="12">
        <v>714</v>
      </c>
      <c r="C39" s="12">
        <v>125</v>
      </c>
      <c r="D39" s="12">
        <v>589</v>
      </c>
      <c r="E39" s="12">
        <v>429</v>
      </c>
      <c r="F39" s="12">
        <v>3696</v>
      </c>
      <c r="G39" s="12">
        <v>-3267</v>
      </c>
      <c r="H39" s="12">
        <v>1143</v>
      </c>
      <c r="I39" s="12">
        <v>3821</v>
      </c>
      <c r="J39" s="12">
        <v>-2677</v>
      </c>
      <c r="K39" s="12">
        <v>3331</v>
      </c>
      <c r="L39" s="12">
        <v>23461</v>
      </c>
      <c r="M39" s="12">
        <v>26793</v>
      </c>
    </row>
    <row r="40" spans="1:14" ht="45">
      <c r="A40" s="4" t="s">
        <v>62</v>
      </c>
      <c r="B40" s="12">
        <v>7774</v>
      </c>
      <c r="C40" s="12">
        <v>13939</v>
      </c>
      <c r="D40" s="12">
        <v>-6164</v>
      </c>
      <c r="E40" s="12">
        <v>1601</v>
      </c>
      <c r="F40" s="12">
        <v>2982</v>
      </c>
      <c r="G40" s="12">
        <v>-1380</v>
      </c>
      <c r="H40" s="12">
        <v>9376</v>
      </c>
      <c r="I40" s="12">
        <v>16921</v>
      </c>
      <c r="J40" s="169">
        <v>-7545</v>
      </c>
      <c r="K40" s="12">
        <v>96487</v>
      </c>
      <c r="L40" s="12">
        <v>19158</v>
      </c>
      <c r="M40" s="12">
        <v>115645</v>
      </c>
      <c r="N40" s="170" t="s">
        <v>63</v>
      </c>
    </row>
    <row r="41" spans="1:14">
      <c r="A41" s="4" t="s">
        <v>64</v>
      </c>
      <c r="B41" s="13">
        <v>24423</v>
      </c>
      <c r="C41" s="13">
        <v>30568</v>
      </c>
      <c r="D41" s="13">
        <v>-6144</v>
      </c>
      <c r="E41" s="13">
        <v>3830</v>
      </c>
      <c r="F41" s="13">
        <v>12785</v>
      </c>
      <c r="G41" s="13">
        <v>-8954</v>
      </c>
      <c r="H41" s="13">
        <v>28255</v>
      </c>
      <c r="I41" s="13">
        <v>43353</v>
      </c>
      <c r="J41" s="13">
        <v>-15098</v>
      </c>
      <c r="K41" s="13">
        <v>248709</v>
      </c>
      <c r="L41" s="13">
        <v>117532</v>
      </c>
      <c r="M41" s="13">
        <v>366241</v>
      </c>
    </row>
    <row r="42" spans="1:14">
      <c r="A42" s="4" t="s">
        <v>65</v>
      </c>
      <c r="B42" s="4" t="s">
        <v>25</v>
      </c>
      <c r="C42" s="11" t="s">
        <v>25</v>
      </c>
      <c r="D42" s="11" t="s">
        <v>25</v>
      </c>
      <c r="E42" s="11" t="s">
        <v>25</v>
      </c>
      <c r="F42" s="11" t="s">
        <v>25</v>
      </c>
      <c r="G42" s="4" t="s">
        <v>25</v>
      </c>
      <c r="H42" s="11" t="s">
        <v>25</v>
      </c>
      <c r="I42" s="11" t="s">
        <v>25</v>
      </c>
      <c r="J42" s="11" t="s">
        <v>25</v>
      </c>
      <c r="K42" s="11" t="s">
        <v>25</v>
      </c>
      <c r="L42" s="4" t="s">
        <v>25</v>
      </c>
      <c r="M42" s="4" t="s">
        <v>25</v>
      </c>
    </row>
    <row r="43" spans="1:14" ht="45">
      <c r="A43" s="4" t="s">
        <v>66</v>
      </c>
      <c r="B43" s="12">
        <v>32273</v>
      </c>
      <c r="C43" s="12">
        <v>23221</v>
      </c>
      <c r="D43" s="12">
        <v>9051</v>
      </c>
      <c r="E43" s="12">
        <v>8476</v>
      </c>
      <c r="F43" s="12">
        <v>7783</v>
      </c>
      <c r="G43" s="12">
        <v>693</v>
      </c>
      <c r="H43" s="12">
        <v>40748</v>
      </c>
      <c r="I43" s="12">
        <v>31004</v>
      </c>
      <c r="J43" s="169">
        <v>9744</v>
      </c>
      <c r="K43" s="12">
        <v>200963</v>
      </c>
      <c r="L43" s="12">
        <v>69640</v>
      </c>
      <c r="M43" s="12">
        <v>270603</v>
      </c>
      <c r="N43" s="170" t="s">
        <v>67</v>
      </c>
    </row>
    <row r="44" spans="1:14" ht="22.5">
      <c r="A44" s="4" t="s">
        <v>68</v>
      </c>
      <c r="B44" s="12">
        <v>75931</v>
      </c>
      <c r="C44" s="12">
        <v>86606</v>
      </c>
      <c r="D44" s="12">
        <v>-10674</v>
      </c>
      <c r="E44" s="12">
        <v>2653</v>
      </c>
      <c r="F44" s="12">
        <v>2893</v>
      </c>
      <c r="G44" s="12">
        <v>-240</v>
      </c>
      <c r="H44" s="12">
        <v>78584</v>
      </c>
      <c r="I44" s="12">
        <v>89499</v>
      </c>
      <c r="J44" s="169">
        <v>-10915</v>
      </c>
      <c r="K44" s="12">
        <v>566628</v>
      </c>
      <c r="L44" s="12">
        <v>34451</v>
      </c>
      <c r="M44" s="12">
        <v>601079</v>
      </c>
      <c r="N44" s="170" t="s">
        <v>69</v>
      </c>
    </row>
    <row r="45" spans="1:14">
      <c r="A45" s="4" t="s">
        <v>70</v>
      </c>
      <c r="B45" s="12">
        <v>3294</v>
      </c>
      <c r="C45" s="12">
        <v>3737</v>
      </c>
      <c r="D45" s="12">
        <v>-444</v>
      </c>
      <c r="E45" s="12">
        <v>2237</v>
      </c>
      <c r="F45" s="12">
        <v>3683</v>
      </c>
      <c r="G45" s="12">
        <v>-1447</v>
      </c>
      <c r="H45" s="12">
        <v>5530</v>
      </c>
      <c r="I45" s="12">
        <v>7420</v>
      </c>
      <c r="J45" s="12">
        <v>-1890</v>
      </c>
      <c r="K45" s="12">
        <v>37419</v>
      </c>
      <c r="L45" s="12">
        <v>23645</v>
      </c>
      <c r="M45" s="12">
        <v>61064</v>
      </c>
    </row>
    <row r="46" spans="1:14">
      <c r="A46" s="4" t="s">
        <v>71</v>
      </c>
      <c r="B46" s="13">
        <v>111498</v>
      </c>
      <c r="C46" s="13">
        <v>113564</v>
      </c>
      <c r="D46" s="13">
        <v>-2067</v>
      </c>
      <c r="E46" s="13">
        <v>13366</v>
      </c>
      <c r="F46" s="13">
        <v>14359</v>
      </c>
      <c r="G46" s="13">
        <v>-994</v>
      </c>
      <c r="H46" s="13">
        <v>124862</v>
      </c>
      <c r="I46" s="13">
        <v>127923</v>
      </c>
      <c r="J46" s="13">
        <v>-3061</v>
      </c>
      <c r="K46" s="13">
        <v>805010</v>
      </c>
      <c r="L46" s="13">
        <v>127736</v>
      </c>
      <c r="M46" s="13">
        <v>932746</v>
      </c>
    </row>
    <row r="47" spans="1:14">
      <c r="A47" s="4" t="s">
        <v>72</v>
      </c>
      <c r="B47" s="4" t="s">
        <v>25</v>
      </c>
      <c r="C47" s="11" t="s">
        <v>25</v>
      </c>
      <c r="D47" s="11" t="s">
        <v>25</v>
      </c>
      <c r="E47" s="11" t="s">
        <v>25</v>
      </c>
      <c r="F47" s="11" t="s">
        <v>25</v>
      </c>
      <c r="G47" s="4" t="s">
        <v>25</v>
      </c>
      <c r="H47" s="11" t="s">
        <v>25</v>
      </c>
      <c r="I47" s="11" t="s">
        <v>25</v>
      </c>
      <c r="J47" s="11" t="s">
        <v>25</v>
      </c>
      <c r="K47" s="11" t="s">
        <v>25</v>
      </c>
      <c r="L47" s="4" t="s">
        <v>25</v>
      </c>
      <c r="M47" s="4" t="s">
        <v>25</v>
      </c>
    </row>
    <row r="48" spans="1:14" ht="22.5">
      <c r="A48" s="4" t="s">
        <v>73</v>
      </c>
      <c r="B48" s="12">
        <v>14314</v>
      </c>
      <c r="C48" s="12">
        <v>8081</v>
      </c>
      <c r="D48" s="12">
        <v>6234</v>
      </c>
      <c r="E48" s="12">
        <v>0</v>
      </c>
      <c r="F48" s="12">
        <v>967</v>
      </c>
      <c r="G48" s="12">
        <v>-967</v>
      </c>
      <c r="H48" s="12">
        <v>14315</v>
      </c>
      <c r="I48" s="12">
        <v>9048</v>
      </c>
      <c r="J48" s="169">
        <v>5267</v>
      </c>
      <c r="K48" s="12">
        <v>69071</v>
      </c>
      <c r="L48" s="12">
        <v>6743</v>
      </c>
      <c r="M48" s="12">
        <v>75814</v>
      </c>
      <c r="N48" s="170" t="s">
        <v>74</v>
      </c>
    </row>
    <row r="49" spans="1:14">
      <c r="A49" s="4" t="s">
        <v>75</v>
      </c>
      <c r="B49" s="13">
        <v>14314</v>
      </c>
      <c r="C49" s="13">
        <v>8081</v>
      </c>
      <c r="D49" s="13">
        <v>6234</v>
      </c>
      <c r="E49" s="13">
        <v>0</v>
      </c>
      <c r="F49" s="13">
        <v>967</v>
      </c>
      <c r="G49" s="13">
        <v>-967</v>
      </c>
      <c r="H49" s="13">
        <v>14315</v>
      </c>
      <c r="I49" s="13">
        <v>9048</v>
      </c>
      <c r="J49" s="13">
        <v>5267</v>
      </c>
      <c r="K49" s="13">
        <v>69071</v>
      </c>
      <c r="L49" s="13">
        <v>6743</v>
      </c>
      <c r="M49" s="13">
        <v>75814</v>
      </c>
    </row>
    <row r="50" spans="1:14">
      <c r="A50" s="4" t="s">
        <v>76</v>
      </c>
      <c r="B50" s="4" t="s">
        <v>25</v>
      </c>
      <c r="C50" s="11" t="s">
        <v>25</v>
      </c>
      <c r="D50" s="11" t="s">
        <v>25</v>
      </c>
      <c r="E50" s="11" t="s">
        <v>25</v>
      </c>
      <c r="F50" s="11" t="s">
        <v>25</v>
      </c>
      <c r="G50" s="4" t="s">
        <v>25</v>
      </c>
      <c r="H50" s="11" t="s">
        <v>25</v>
      </c>
      <c r="I50" s="11" t="s">
        <v>25</v>
      </c>
      <c r="J50" s="11" t="s">
        <v>25</v>
      </c>
      <c r="K50" s="11" t="s">
        <v>25</v>
      </c>
      <c r="L50" s="4" t="s">
        <v>25</v>
      </c>
      <c r="M50" s="4" t="s">
        <v>25</v>
      </c>
    </row>
    <row r="51" spans="1:14">
      <c r="A51" s="4" t="s">
        <v>77</v>
      </c>
      <c r="B51" s="12">
        <v>9131</v>
      </c>
      <c r="C51" s="12">
        <v>7292</v>
      </c>
      <c r="D51" s="12">
        <v>1838</v>
      </c>
      <c r="E51" s="12">
        <v>1302</v>
      </c>
      <c r="F51" s="12">
        <v>1975</v>
      </c>
      <c r="G51" s="12">
        <v>-673</v>
      </c>
      <c r="H51" s="12">
        <v>10433</v>
      </c>
      <c r="I51" s="12">
        <v>9267</v>
      </c>
      <c r="J51" s="12">
        <v>1165</v>
      </c>
      <c r="K51" s="12">
        <v>49717</v>
      </c>
      <c r="L51" s="12">
        <v>20419</v>
      </c>
      <c r="M51" s="12">
        <v>70136</v>
      </c>
    </row>
    <row r="52" spans="1:14" ht="33.75">
      <c r="A52" s="4" t="s">
        <v>78</v>
      </c>
      <c r="B52" s="12">
        <v>7458</v>
      </c>
      <c r="C52" s="12">
        <v>1255</v>
      </c>
      <c r="D52" s="12">
        <v>6203</v>
      </c>
      <c r="E52" s="12">
        <v>0</v>
      </c>
      <c r="F52" s="12">
        <v>0</v>
      </c>
      <c r="G52" s="12">
        <v>0</v>
      </c>
      <c r="H52" s="12">
        <v>7458</v>
      </c>
      <c r="I52" s="12">
        <v>1255</v>
      </c>
      <c r="J52" s="169">
        <v>6203</v>
      </c>
      <c r="K52" s="12">
        <v>32063</v>
      </c>
      <c r="L52" s="12">
        <v>0</v>
      </c>
      <c r="M52" s="12">
        <v>32062</v>
      </c>
      <c r="N52" s="170" t="s">
        <v>79</v>
      </c>
    </row>
    <row r="53" spans="1:14">
      <c r="A53" s="4" t="s">
        <v>80</v>
      </c>
      <c r="B53" s="12">
        <v>450</v>
      </c>
      <c r="C53" s="12">
        <v>65</v>
      </c>
      <c r="D53" s="12">
        <v>385</v>
      </c>
      <c r="E53" s="12">
        <v>0</v>
      </c>
      <c r="F53" s="12">
        <v>0</v>
      </c>
      <c r="G53" s="12">
        <v>0</v>
      </c>
      <c r="H53" s="12">
        <v>450</v>
      </c>
      <c r="I53" s="12">
        <v>65</v>
      </c>
      <c r="J53" s="12">
        <v>385</v>
      </c>
      <c r="K53" s="12">
        <v>10132</v>
      </c>
      <c r="L53" s="12">
        <v>0</v>
      </c>
      <c r="M53" s="12">
        <v>10133</v>
      </c>
    </row>
    <row r="54" spans="1:14">
      <c r="A54" s="4" t="s">
        <v>81</v>
      </c>
      <c r="B54" s="12">
        <v>2791</v>
      </c>
      <c r="C54" s="12">
        <v>2942</v>
      </c>
      <c r="D54" s="12">
        <v>-151</v>
      </c>
      <c r="E54" s="12">
        <v>0</v>
      </c>
      <c r="F54" s="12">
        <v>0</v>
      </c>
      <c r="G54" s="12">
        <v>0</v>
      </c>
      <c r="H54" s="12">
        <v>2791</v>
      </c>
      <c r="I54" s="12">
        <v>2942</v>
      </c>
      <c r="J54" s="12">
        <v>-150</v>
      </c>
      <c r="K54" s="12">
        <v>29448</v>
      </c>
      <c r="L54" s="12">
        <v>-118</v>
      </c>
      <c r="M54" s="12">
        <v>29330</v>
      </c>
    </row>
    <row r="55" spans="1:14">
      <c r="A55" s="4" t="s">
        <v>82</v>
      </c>
      <c r="B55" s="4" t="s">
        <v>83</v>
      </c>
      <c r="C55" s="11" t="s">
        <v>83</v>
      </c>
      <c r="D55" s="11" t="s">
        <v>83</v>
      </c>
      <c r="E55" s="11" t="s">
        <v>83</v>
      </c>
      <c r="F55" s="11" t="s">
        <v>83</v>
      </c>
      <c r="G55" s="4" t="s">
        <v>83</v>
      </c>
      <c r="H55" s="11" t="s">
        <v>83</v>
      </c>
      <c r="I55" s="11" t="s">
        <v>83</v>
      </c>
      <c r="J55" s="11" t="s">
        <v>83</v>
      </c>
      <c r="K55" s="11" t="s">
        <v>83</v>
      </c>
      <c r="L55" s="4" t="s">
        <v>83</v>
      </c>
      <c r="M55" s="4" t="s">
        <v>83</v>
      </c>
    </row>
    <row r="56" spans="1:14">
      <c r="A56" s="4" t="s">
        <v>84</v>
      </c>
      <c r="B56" s="12">
        <v>4202</v>
      </c>
      <c r="C56" s="12">
        <v>2733</v>
      </c>
      <c r="D56" s="12">
        <v>1469</v>
      </c>
      <c r="E56" s="12">
        <v>3854</v>
      </c>
      <c r="F56" s="12">
        <v>38</v>
      </c>
      <c r="G56" s="12">
        <v>3816</v>
      </c>
      <c r="H56" s="12">
        <v>8055</v>
      </c>
      <c r="I56" s="12">
        <v>2772</v>
      </c>
      <c r="J56" s="12">
        <v>5284</v>
      </c>
      <c r="K56" s="12">
        <v>38390</v>
      </c>
      <c r="L56" s="12">
        <v>8247</v>
      </c>
      <c r="M56" s="12">
        <v>46638</v>
      </c>
    </row>
    <row r="57" spans="1:14">
      <c r="A57" s="4" t="s">
        <v>85</v>
      </c>
      <c r="B57" s="12">
        <v>817</v>
      </c>
      <c r="C57" s="12">
        <v>779</v>
      </c>
      <c r="D57" s="12">
        <v>39</v>
      </c>
      <c r="E57" s="12">
        <v>302</v>
      </c>
      <c r="F57" s="12">
        <v>919</v>
      </c>
      <c r="G57" s="12">
        <v>-616</v>
      </c>
      <c r="H57" s="12">
        <v>1120</v>
      </c>
      <c r="I57" s="12">
        <v>1696</v>
      </c>
      <c r="J57" s="12">
        <v>-578</v>
      </c>
      <c r="K57" s="12">
        <v>13315</v>
      </c>
      <c r="L57" s="12">
        <v>6498</v>
      </c>
      <c r="M57" s="12">
        <v>19811</v>
      </c>
    </row>
    <row r="58" spans="1:14">
      <c r="A58" s="4" t="s">
        <v>86</v>
      </c>
      <c r="B58" s="13">
        <v>5019</v>
      </c>
      <c r="C58" s="13">
        <v>3512</v>
      </c>
      <c r="D58" s="13">
        <v>1508</v>
      </c>
      <c r="E58" s="13">
        <v>4156</v>
      </c>
      <c r="F58" s="13">
        <v>957</v>
      </c>
      <c r="G58" s="13">
        <v>3200</v>
      </c>
      <c r="H58" s="13">
        <v>9175</v>
      </c>
      <c r="I58" s="13">
        <v>4468</v>
      </c>
      <c r="J58" s="13">
        <v>4706</v>
      </c>
      <c r="K58" s="13">
        <v>51705</v>
      </c>
      <c r="L58" s="13">
        <v>14745</v>
      </c>
      <c r="M58" s="13">
        <v>66449</v>
      </c>
    </row>
    <row r="59" spans="1:14">
      <c r="A59" s="4" t="s">
        <v>87</v>
      </c>
      <c r="B59" s="13">
        <v>24849</v>
      </c>
      <c r="C59" s="13">
        <v>15066</v>
      </c>
      <c r="D59" s="13">
        <v>9783</v>
      </c>
      <c r="E59" s="13">
        <v>5458</v>
      </c>
      <c r="F59" s="13">
        <v>2932</v>
      </c>
      <c r="G59" s="13">
        <v>2527</v>
      </c>
      <c r="H59" s="13">
        <v>30307</v>
      </c>
      <c r="I59" s="13">
        <v>17997</v>
      </c>
      <c r="J59" s="13">
        <v>12309</v>
      </c>
      <c r="K59" s="13">
        <v>173065</v>
      </c>
      <c r="L59" s="13">
        <v>35046</v>
      </c>
      <c r="M59" s="13">
        <v>208110</v>
      </c>
    </row>
    <row r="60" spans="1:14">
      <c r="A60" s="4" t="s">
        <v>88</v>
      </c>
      <c r="B60" s="4" t="s">
        <v>25</v>
      </c>
      <c r="C60" s="11" t="s">
        <v>25</v>
      </c>
      <c r="D60" s="11" t="s">
        <v>25</v>
      </c>
      <c r="E60" s="11" t="s">
        <v>25</v>
      </c>
      <c r="F60" s="11" t="s">
        <v>25</v>
      </c>
      <c r="G60" s="4" t="s">
        <v>25</v>
      </c>
      <c r="H60" s="11" t="s">
        <v>25</v>
      </c>
      <c r="I60" s="11" t="s">
        <v>25</v>
      </c>
      <c r="J60" s="11" t="s">
        <v>25</v>
      </c>
      <c r="K60" s="11" t="s">
        <v>25</v>
      </c>
      <c r="L60" s="4" t="s">
        <v>25</v>
      </c>
      <c r="M60" s="4" t="s">
        <v>25</v>
      </c>
    </row>
    <row r="61" spans="1:14" ht="22.5">
      <c r="A61" s="4" t="s">
        <v>89</v>
      </c>
      <c r="B61" s="12">
        <v>5250</v>
      </c>
      <c r="C61" s="12">
        <v>4233</v>
      </c>
      <c r="D61" s="12">
        <v>1016</v>
      </c>
      <c r="E61" s="12">
        <v>9018</v>
      </c>
      <c r="F61" s="12">
        <v>1857</v>
      </c>
      <c r="G61" s="12">
        <v>7160</v>
      </c>
      <c r="H61" s="12">
        <v>14267</v>
      </c>
      <c r="I61" s="12">
        <v>6091</v>
      </c>
      <c r="J61" s="169">
        <v>8178</v>
      </c>
      <c r="K61" s="12">
        <v>43060</v>
      </c>
      <c r="L61" s="12">
        <v>24388</v>
      </c>
      <c r="M61" s="12">
        <v>67449</v>
      </c>
      <c r="N61" s="170" t="s">
        <v>90</v>
      </c>
    </row>
    <row r="62" spans="1:14">
      <c r="A62" s="4" t="s">
        <v>91</v>
      </c>
      <c r="B62" s="12">
        <v>0</v>
      </c>
      <c r="C62" s="12">
        <v>0</v>
      </c>
      <c r="D62" s="12">
        <v>0</v>
      </c>
      <c r="E62" s="12">
        <v>0</v>
      </c>
      <c r="F62" s="12">
        <v>0</v>
      </c>
      <c r="G62" s="12">
        <v>0</v>
      </c>
      <c r="H62" s="12">
        <v>0</v>
      </c>
      <c r="I62" s="12">
        <v>0</v>
      </c>
      <c r="J62" s="12">
        <v>0</v>
      </c>
      <c r="K62" s="12">
        <v>955</v>
      </c>
      <c r="L62" s="12">
        <v>0</v>
      </c>
      <c r="M62" s="12">
        <v>955</v>
      </c>
    </row>
    <row r="63" spans="1:14">
      <c r="A63" s="4" t="s">
        <v>92</v>
      </c>
      <c r="B63" s="13">
        <v>5250</v>
      </c>
      <c r="C63" s="13">
        <v>4233</v>
      </c>
      <c r="D63" s="13">
        <v>1016</v>
      </c>
      <c r="E63" s="13">
        <v>9018</v>
      </c>
      <c r="F63" s="13">
        <v>1857</v>
      </c>
      <c r="G63" s="13">
        <v>7160</v>
      </c>
      <c r="H63" s="13">
        <v>14267</v>
      </c>
      <c r="I63" s="13">
        <v>6091</v>
      </c>
      <c r="J63" s="13">
        <v>8178</v>
      </c>
      <c r="K63" s="13">
        <v>44015</v>
      </c>
      <c r="L63" s="13">
        <v>24388</v>
      </c>
      <c r="M63" s="13">
        <v>68404</v>
      </c>
    </row>
    <row r="64" spans="1:14">
      <c r="A64" s="4" t="s">
        <v>93</v>
      </c>
      <c r="B64" s="13">
        <v>255703</v>
      </c>
      <c r="C64" s="13">
        <v>244356</v>
      </c>
      <c r="D64" s="13">
        <v>11346</v>
      </c>
      <c r="E64" s="13">
        <v>31672</v>
      </c>
      <c r="F64" s="13">
        <v>36303</v>
      </c>
      <c r="G64" s="13">
        <v>-4631</v>
      </c>
      <c r="H64" s="13">
        <v>287374</v>
      </c>
      <c r="I64" s="13">
        <v>280659</v>
      </c>
      <c r="J64" s="13">
        <v>6716</v>
      </c>
      <c r="K64" s="13">
        <v>2068388</v>
      </c>
      <c r="L64" s="13">
        <v>351435</v>
      </c>
      <c r="M64" s="13">
        <v>2419823</v>
      </c>
    </row>
    <row r="65" spans="1:14">
      <c r="A65" s="4" t="s">
        <v>94</v>
      </c>
      <c r="B65" s="14">
        <v>37276</v>
      </c>
      <c r="C65" s="14">
        <v>112520</v>
      </c>
      <c r="D65" s="14">
        <v>-75244</v>
      </c>
      <c r="E65" s="14">
        <v>10308</v>
      </c>
      <c r="F65" s="14">
        <v>125294</v>
      </c>
      <c r="G65" s="14">
        <v>-114986</v>
      </c>
      <c r="H65" s="14">
        <v>47585</v>
      </c>
      <c r="I65" s="14">
        <v>237814</v>
      </c>
      <c r="J65" s="14">
        <v>-190230</v>
      </c>
      <c r="K65" s="14">
        <v>1010647</v>
      </c>
      <c r="L65" s="14">
        <v>326451</v>
      </c>
      <c r="M65" s="14">
        <v>1337098</v>
      </c>
    </row>
    <row r="66" spans="1:14">
      <c r="A66" s="4" t="s">
        <v>95</v>
      </c>
      <c r="B66" s="15" t="s">
        <v>21</v>
      </c>
      <c r="C66" s="16" t="s">
        <v>21</v>
      </c>
      <c r="D66" s="16" t="s">
        <v>21</v>
      </c>
      <c r="E66" s="16" t="s">
        <v>21</v>
      </c>
      <c r="F66" s="16" t="s">
        <v>21</v>
      </c>
      <c r="G66" s="15" t="s">
        <v>21</v>
      </c>
      <c r="H66" s="16" t="s">
        <v>21</v>
      </c>
      <c r="I66" s="16" t="s">
        <v>21</v>
      </c>
      <c r="J66" s="16" t="s">
        <v>21</v>
      </c>
      <c r="K66" s="16" t="s">
        <v>21</v>
      </c>
      <c r="L66" s="15" t="s">
        <v>21</v>
      </c>
      <c r="M66" s="15" t="s">
        <v>21</v>
      </c>
    </row>
    <row r="67" spans="1:14">
      <c r="A67" s="4" t="s">
        <v>96</v>
      </c>
      <c r="B67" s="4" t="s">
        <v>23</v>
      </c>
      <c r="C67" s="11" t="s">
        <v>23</v>
      </c>
      <c r="D67" s="11" t="s">
        <v>23</v>
      </c>
      <c r="E67" s="11" t="s">
        <v>23</v>
      </c>
      <c r="F67" s="11" t="s">
        <v>23</v>
      </c>
      <c r="G67" s="4" t="s">
        <v>23</v>
      </c>
      <c r="H67" s="11" t="s">
        <v>23</v>
      </c>
      <c r="I67" s="11" t="s">
        <v>23</v>
      </c>
      <c r="J67" s="11" t="s">
        <v>23</v>
      </c>
      <c r="K67" s="11" t="s">
        <v>23</v>
      </c>
      <c r="L67" s="4" t="s">
        <v>23</v>
      </c>
      <c r="M67" s="4" t="s">
        <v>23</v>
      </c>
    </row>
    <row r="68" spans="1:14">
      <c r="A68" s="4" t="s">
        <v>97</v>
      </c>
      <c r="B68" s="12">
        <v>15</v>
      </c>
      <c r="C68" s="12">
        <v>13</v>
      </c>
      <c r="D68" s="12">
        <v>2</v>
      </c>
      <c r="E68" s="12">
        <v>0</v>
      </c>
      <c r="F68" s="12">
        <v>0</v>
      </c>
      <c r="G68" s="12">
        <v>0</v>
      </c>
      <c r="H68" s="12">
        <v>14</v>
      </c>
      <c r="I68" s="12">
        <v>14</v>
      </c>
      <c r="J68" s="12">
        <v>2</v>
      </c>
      <c r="K68" s="12">
        <v>4273</v>
      </c>
      <c r="L68" s="12">
        <v>0</v>
      </c>
      <c r="M68" s="12">
        <v>4273</v>
      </c>
    </row>
    <row r="69" spans="1:14" ht="22.5">
      <c r="A69" s="4" t="s">
        <v>98</v>
      </c>
      <c r="B69" s="12">
        <v>11994</v>
      </c>
      <c r="C69" s="12">
        <v>6888</v>
      </c>
      <c r="D69" s="12">
        <v>5106</v>
      </c>
      <c r="E69" s="12">
        <v>0</v>
      </c>
      <c r="F69" s="12">
        <v>2881</v>
      </c>
      <c r="G69" s="12">
        <v>-2881</v>
      </c>
      <c r="H69" s="12">
        <v>11994</v>
      </c>
      <c r="I69" s="12">
        <v>9769</v>
      </c>
      <c r="J69" s="169">
        <v>2225</v>
      </c>
      <c r="K69" s="12">
        <v>37682</v>
      </c>
      <c r="L69" s="12">
        <v>18359</v>
      </c>
      <c r="M69" s="12">
        <v>56041</v>
      </c>
      <c r="N69" s="170" t="s">
        <v>99</v>
      </c>
    </row>
    <row r="70" spans="1:14">
      <c r="A70" s="4" t="s">
        <v>100</v>
      </c>
      <c r="B70" s="13">
        <v>12009</v>
      </c>
      <c r="C70" s="13">
        <v>6901</v>
      </c>
      <c r="D70" s="13">
        <v>5108</v>
      </c>
      <c r="E70" s="13">
        <v>0</v>
      </c>
      <c r="F70" s="13">
        <v>2881</v>
      </c>
      <c r="G70" s="13">
        <v>-2881</v>
      </c>
      <c r="H70" s="13">
        <v>12008</v>
      </c>
      <c r="I70" s="13">
        <v>9783</v>
      </c>
      <c r="J70" s="13">
        <v>2227</v>
      </c>
      <c r="K70" s="13">
        <v>41955</v>
      </c>
      <c r="L70" s="13">
        <v>18359</v>
      </c>
      <c r="M70" s="13">
        <v>60314</v>
      </c>
    </row>
    <row r="71" spans="1:14">
      <c r="A71" s="4" t="s">
        <v>101</v>
      </c>
      <c r="B71" s="4" t="s">
        <v>23</v>
      </c>
      <c r="C71" s="11" t="s">
        <v>23</v>
      </c>
      <c r="D71" s="11" t="s">
        <v>23</v>
      </c>
      <c r="E71" s="11" t="s">
        <v>23</v>
      </c>
      <c r="F71" s="11" t="s">
        <v>23</v>
      </c>
      <c r="G71" s="4" t="s">
        <v>23</v>
      </c>
      <c r="H71" s="11" t="s">
        <v>23</v>
      </c>
      <c r="I71" s="11" t="s">
        <v>23</v>
      </c>
      <c r="J71" s="11" t="s">
        <v>23</v>
      </c>
      <c r="K71" s="11" t="s">
        <v>23</v>
      </c>
      <c r="L71" s="4" t="s">
        <v>23</v>
      </c>
      <c r="M71" s="4" t="s">
        <v>23</v>
      </c>
    </row>
    <row r="72" spans="1:14">
      <c r="A72" s="4" t="s">
        <v>102</v>
      </c>
      <c r="B72" s="12">
        <v>-463</v>
      </c>
      <c r="C72" s="12">
        <v>-2165</v>
      </c>
      <c r="D72" s="12">
        <v>1702</v>
      </c>
      <c r="E72" s="12">
        <v>-5580</v>
      </c>
      <c r="F72" s="12">
        <v>-5732</v>
      </c>
      <c r="G72" s="12">
        <v>152</v>
      </c>
      <c r="H72" s="12">
        <v>-6043</v>
      </c>
      <c r="I72" s="12">
        <v>-7898</v>
      </c>
      <c r="J72" s="12">
        <v>1854</v>
      </c>
      <c r="K72" s="12">
        <v>-8246</v>
      </c>
      <c r="L72" s="12">
        <v>-55445</v>
      </c>
      <c r="M72" s="12">
        <v>-63692</v>
      </c>
    </row>
    <row r="73" spans="1:14">
      <c r="A73" s="4" t="s">
        <v>103</v>
      </c>
      <c r="B73" s="12">
        <v>-14209</v>
      </c>
      <c r="C73" s="12">
        <v>-25685</v>
      </c>
      <c r="D73" s="12">
        <v>11476</v>
      </c>
      <c r="E73" s="12">
        <v>0</v>
      </c>
      <c r="F73" s="12">
        <v>0</v>
      </c>
      <c r="G73" s="12">
        <v>0</v>
      </c>
      <c r="H73" s="12">
        <v>-14209</v>
      </c>
      <c r="I73" s="12">
        <v>-25685</v>
      </c>
      <c r="J73" s="19">
        <v>11476</v>
      </c>
      <c r="K73" s="12">
        <v>-240483</v>
      </c>
      <c r="L73" s="12">
        <v>0</v>
      </c>
      <c r="M73" s="12">
        <v>-240482</v>
      </c>
    </row>
    <row r="74" spans="1:14" ht="22.5">
      <c r="A74" s="4" t="s">
        <v>104</v>
      </c>
      <c r="B74" s="12">
        <v>-1158</v>
      </c>
      <c r="C74" s="12">
        <v>-27810</v>
      </c>
      <c r="D74" s="12">
        <v>26651</v>
      </c>
      <c r="E74" s="12">
        <v>0</v>
      </c>
      <c r="F74" s="12">
        <v>0</v>
      </c>
      <c r="G74" s="12">
        <v>0</v>
      </c>
      <c r="H74" s="12">
        <v>-1158</v>
      </c>
      <c r="I74" s="12">
        <v>-27810</v>
      </c>
      <c r="J74" s="169">
        <v>26652</v>
      </c>
      <c r="K74" s="12">
        <v>-28967</v>
      </c>
      <c r="L74" s="12">
        <v>0</v>
      </c>
      <c r="M74" s="12">
        <v>-28968</v>
      </c>
      <c r="N74" s="170" t="s">
        <v>105</v>
      </c>
    </row>
    <row r="75" spans="1:14">
      <c r="A75" s="4" t="s">
        <v>106</v>
      </c>
      <c r="B75" s="13">
        <v>-15830</v>
      </c>
      <c r="C75" s="13">
        <v>-55660</v>
      </c>
      <c r="D75" s="13">
        <v>39829</v>
      </c>
      <c r="E75" s="13">
        <v>-5580</v>
      </c>
      <c r="F75" s="13">
        <v>-5732</v>
      </c>
      <c r="G75" s="13">
        <v>152</v>
      </c>
      <c r="H75" s="13">
        <v>-21410</v>
      </c>
      <c r="I75" s="13">
        <v>-61393</v>
      </c>
      <c r="J75" s="13">
        <v>39982</v>
      </c>
      <c r="K75" s="13">
        <v>-277696</v>
      </c>
      <c r="L75" s="13">
        <v>-55445</v>
      </c>
      <c r="M75" s="13">
        <v>-333142</v>
      </c>
    </row>
    <row r="76" spans="1:14">
      <c r="A76" s="4" t="s">
        <v>107</v>
      </c>
      <c r="B76" s="14">
        <v>-3821</v>
      </c>
      <c r="C76" s="14">
        <v>-48759</v>
      </c>
      <c r="D76" s="14">
        <v>44937</v>
      </c>
      <c r="E76" s="14">
        <v>-5580</v>
      </c>
      <c r="F76" s="14">
        <v>-2851</v>
      </c>
      <c r="G76" s="14">
        <v>-2729</v>
      </c>
      <c r="H76" s="14">
        <v>-9402</v>
      </c>
      <c r="I76" s="14">
        <v>-51610</v>
      </c>
      <c r="J76" s="14">
        <v>42209</v>
      </c>
      <c r="K76" s="14">
        <v>-235741</v>
      </c>
      <c r="L76" s="14">
        <v>-37086</v>
      </c>
      <c r="M76" s="14">
        <v>-272828</v>
      </c>
    </row>
    <row r="77" spans="1:14">
      <c r="A77" s="4" t="s">
        <v>108</v>
      </c>
      <c r="B77" s="15" t="s">
        <v>21</v>
      </c>
      <c r="C77" s="16" t="s">
        <v>21</v>
      </c>
      <c r="D77" s="16" t="s">
        <v>21</v>
      </c>
      <c r="E77" s="16" t="s">
        <v>21</v>
      </c>
      <c r="F77" s="16" t="s">
        <v>21</v>
      </c>
      <c r="G77" s="15" t="s">
        <v>21</v>
      </c>
      <c r="H77" s="16" t="s">
        <v>21</v>
      </c>
      <c r="I77" s="16" t="s">
        <v>21</v>
      </c>
      <c r="J77" s="16" t="s">
        <v>21</v>
      </c>
      <c r="K77" s="16" t="s">
        <v>21</v>
      </c>
      <c r="L77" s="15" t="s">
        <v>21</v>
      </c>
      <c r="M77" s="15" t="s">
        <v>21</v>
      </c>
    </row>
    <row r="78" spans="1:14">
      <c r="A78" s="4" t="s">
        <v>109</v>
      </c>
      <c r="B78" s="12">
        <v>1528</v>
      </c>
      <c r="C78" s="12">
        <v>1470</v>
      </c>
      <c r="D78" s="12">
        <v>57</v>
      </c>
      <c r="E78" s="12">
        <v>3855</v>
      </c>
      <c r="F78" s="12">
        <v>0</v>
      </c>
      <c r="G78" s="12">
        <v>3855</v>
      </c>
      <c r="H78" s="12">
        <v>5383</v>
      </c>
      <c r="I78" s="12">
        <v>1470</v>
      </c>
      <c r="J78" s="12">
        <v>3911</v>
      </c>
      <c r="K78" s="12">
        <v>12199</v>
      </c>
      <c r="L78" s="12">
        <v>20427</v>
      </c>
      <c r="M78" s="12">
        <v>32626</v>
      </c>
    </row>
    <row r="79" spans="1:14">
      <c r="A79" s="4" t="s">
        <v>110</v>
      </c>
      <c r="B79" s="14">
        <v>1528</v>
      </c>
      <c r="C79" s="14">
        <v>1470</v>
      </c>
      <c r="D79" s="14">
        <v>57</v>
      </c>
      <c r="E79" s="14">
        <v>3855</v>
      </c>
      <c r="F79" s="14">
        <v>0</v>
      </c>
      <c r="G79" s="14">
        <v>3855</v>
      </c>
      <c r="H79" s="14">
        <v>5383</v>
      </c>
      <c r="I79" s="14">
        <v>1470</v>
      </c>
      <c r="J79" s="14">
        <v>3911</v>
      </c>
      <c r="K79" s="14">
        <v>12199</v>
      </c>
      <c r="L79" s="14">
        <v>20427</v>
      </c>
      <c r="M79" s="14">
        <v>32626</v>
      </c>
    </row>
    <row r="80" spans="1:14" ht="13.5" thickBot="1">
      <c r="A80" s="10" t="s">
        <v>111</v>
      </c>
      <c r="B80" s="17">
        <v>31927</v>
      </c>
      <c r="C80" s="17">
        <v>62291</v>
      </c>
      <c r="D80" s="17">
        <v>-30364</v>
      </c>
      <c r="E80" s="17">
        <v>873</v>
      </c>
      <c r="F80" s="17">
        <v>122443</v>
      </c>
      <c r="G80" s="17">
        <v>-121570</v>
      </c>
      <c r="H80" s="17">
        <v>32800</v>
      </c>
      <c r="I80" s="17">
        <v>184734</v>
      </c>
      <c r="J80" s="17">
        <v>-151933</v>
      </c>
      <c r="K80" s="17">
        <v>762707</v>
      </c>
      <c r="L80" s="17">
        <v>268938</v>
      </c>
      <c r="M80" s="17">
        <v>1031644</v>
      </c>
    </row>
    <row r="81" spans="1:1" ht="13.5" thickTop="1">
      <c r="A81" s="2" t="s">
        <v>8</v>
      </c>
    </row>
    <row r="82" spans="1:1">
      <c r="A82" s="2" t="s">
        <v>8</v>
      </c>
    </row>
    <row r="83" spans="1:1">
      <c r="A83" s="4" t="s">
        <v>112</v>
      </c>
    </row>
  </sheetData>
  <pageMargins left="0.75" right="0.75" top="1" bottom="1" header="0.5" footer="0.5"/>
  <pageSetup orientation="portrait" horizontalDpi="300" verticalDpi="300" r:id="rId1"/>
  <ignoredErrors>
    <ignoredError sqref="A1:IV14 A16 A15 O15:IV15 A19 A17 O17:IV17 A21:A23 A20 O20:IV20 A25 A24 O24:IV24 A27:A28 A26 O26:IV26 A32:A33 A29 O29:IV29 A30 O30:IV30 A31 O31:IV31 A35 A34 O34:IV34 A37:A39 A36 O36:IV36 A41:A42 A40 O40:IV40 A45:A47 A43 O43:IV43 A44 O44:IV44 A49:A51 A48 O48:IV48 A53:A60 A52 O52:IV52 A70:A73 A69 O69:IV69 A62:A68 A61 O61:IV61 A81:IV65536 A74 O74:IV74 A18 O18:IV18 O19:IV19 N16:IV16 N21:IV23 N25:IV25 N27:IV27 N32:IV33 N35:IV35 N37:IV39 N41:IV42 N45:IV47 N49:IV51 N53:IV60 N70:IV72 N62:IV68 A75:A80 N75:IV80 O28:IV28 O73:IV7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D5CFC-1A47-44AA-A0B6-471A61C31311}">
  <dimension ref="A1:N848"/>
  <sheetViews>
    <sheetView tabSelected="1" topLeftCell="B824" workbookViewId="0">
      <selection activeCell="I830" sqref="I830"/>
    </sheetView>
  </sheetViews>
  <sheetFormatPr defaultRowHeight="15" outlineLevelRow="3"/>
  <cols>
    <col min="1" max="1" width="9.140625" style="147"/>
    <col min="2" max="2" width="41.5703125" style="147" bestFit="1" customWidth="1"/>
    <col min="3" max="3" width="33.85546875" style="147" bestFit="1" customWidth="1"/>
    <col min="4" max="4" width="55.42578125" style="147" bestFit="1" customWidth="1"/>
    <col min="5" max="5" width="15.42578125" style="147" bestFit="1" customWidth="1"/>
    <col min="6" max="6" width="9.42578125" style="147" bestFit="1" customWidth="1"/>
    <col min="7" max="9" width="13.7109375" style="147" customWidth="1"/>
    <col min="10" max="10" width="13.7109375" style="150" customWidth="1"/>
    <col min="11" max="11" width="13.7109375" style="147" customWidth="1"/>
    <col min="12" max="12" width="9.140625" style="167"/>
    <col min="13" max="13" width="31.85546875" style="147" bestFit="1" customWidth="1"/>
    <col min="14" max="16384" width="9.140625" style="147"/>
  </cols>
  <sheetData>
    <row r="1" spans="1:13" ht="45">
      <c r="A1" s="142" t="s">
        <v>113</v>
      </c>
      <c r="B1" s="143" t="s">
        <v>114</v>
      </c>
      <c r="C1" s="143" t="s">
        <v>115</v>
      </c>
      <c r="D1" s="143" t="s">
        <v>116</v>
      </c>
      <c r="E1" s="143" t="s">
        <v>117</v>
      </c>
      <c r="F1" s="144" t="s">
        <v>118</v>
      </c>
      <c r="G1" s="145" t="s">
        <v>119</v>
      </c>
      <c r="H1" s="145" t="s">
        <v>120</v>
      </c>
      <c r="I1" s="145" t="s">
        <v>121</v>
      </c>
      <c r="J1" s="145" t="s">
        <v>122</v>
      </c>
      <c r="K1" s="145" t="s">
        <v>123</v>
      </c>
      <c r="L1" s="145" t="s">
        <v>124</v>
      </c>
      <c r="M1" s="146" t="s">
        <v>125</v>
      </c>
    </row>
    <row r="2" spans="1:13" outlineLevel="3">
      <c r="A2" s="148" t="s">
        <v>126</v>
      </c>
      <c r="B2" s="148" t="s">
        <v>127</v>
      </c>
      <c r="C2" s="148" t="s">
        <v>128</v>
      </c>
      <c r="D2" s="148" t="s">
        <v>129</v>
      </c>
      <c r="E2" s="148" t="s">
        <v>130</v>
      </c>
      <c r="F2" s="149">
        <v>45901</v>
      </c>
      <c r="G2" s="150">
        <v>989.62440000000004</v>
      </c>
      <c r="H2" s="150">
        <f>+G2</f>
        <v>989.62440000000004</v>
      </c>
      <c r="I2" s="150"/>
      <c r="J2" s="150">
        <v>980.09939999999995</v>
      </c>
      <c r="K2" s="150">
        <f>+H2-J2</f>
        <v>9.5250000000000909</v>
      </c>
      <c r="L2" s="151">
        <f>K2/J2</f>
        <v>9.7184020314675136E-3</v>
      </c>
      <c r="M2" s="148"/>
    </row>
    <row r="3" spans="1:13" outlineLevel="3">
      <c r="A3" s="148" t="s">
        <v>126</v>
      </c>
      <c r="B3" s="148" t="s">
        <v>127</v>
      </c>
      <c r="C3" s="148" t="s">
        <v>131</v>
      </c>
      <c r="D3" s="148" t="s">
        <v>131</v>
      </c>
      <c r="E3" s="148" t="s">
        <v>130</v>
      </c>
      <c r="F3" s="149">
        <v>45901</v>
      </c>
      <c r="G3" s="150">
        <v>11618</v>
      </c>
      <c r="H3" s="150">
        <f t="shared" ref="H3:H82" si="0">+G3</f>
        <v>11618</v>
      </c>
      <c r="I3" s="150"/>
      <c r="J3" s="150">
        <v>11454</v>
      </c>
      <c r="K3" s="150">
        <f t="shared" ref="K3:K82" si="1">+H3-J3</f>
        <v>164</v>
      </c>
      <c r="L3" s="151">
        <f t="shared" ref="L3:L82" si="2">K3/J3</f>
        <v>1.43181421337524E-2</v>
      </c>
      <c r="M3" s="148"/>
    </row>
    <row r="4" spans="1:13" outlineLevel="3">
      <c r="A4" s="148" t="s">
        <v>126</v>
      </c>
      <c r="B4" s="148" t="s">
        <v>127</v>
      </c>
      <c r="C4" s="148" t="s">
        <v>132</v>
      </c>
      <c r="D4" s="148" t="s">
        <v>132</v>
      </c>
      <c r="E4" s="148" t="s">
        <v>130</v>
      </c>
      <c r="F4" s="149">
        <v>45901</v>
      </c>
      <c r="G4" s="150">
        <v>28675</v>
      </c>
      <c r="H4" s="150">
        <f t="shared" si="0"/>
        <v>28675</v>
      </c>
      <c r="I4" s="150"/>
      <c r="J4" s="150">
        <v>28455.000599999999</v>
      </c>
      <c r="K4" s="150">
        <f t="shared" si="1"/>
        <v>219.99940000000061</v>
      </c>
      <c r="L4" s="151">
        <f t="shared" si="2"/>
        <v>7.7314846375368066E-3</v>
      </c>
      <c r="M4" s="148"/>
    </row>
    <row r="5" spans="1:13" outlineLevel="2">
      <c r="A5" s="148"/>
      <c r="B5" s="173" t="s">
        <v>133</v>
      </c>
      <c r="C5" s="148"/>
      <c r="D5" s="148"/>
      <c r="E5" s="148"/>
      <c r="F5" s="149"/>
      <c r="G5" s="150">
        <f>SUBTOTAL(9,G2:G4)</f>
        <v>41282.624400000001</v>
      </c>
      <c r="H5" s="150">
        <f>SUBTOTAL(9,H2:H4)</f>
        <v>41282.624400000001</v>
      </c>
      <c r="I5" s="150">
        <f>SUBTOTAL(9,I2:I4)</f>
        <v>0</v>
      </c>
      <c r="J5" s="150">
        <f>SUBTOTAL(9,J2:J4)</f>
        <v>40889.1</v>
      </c>
      <c r="K5" s="150"/>
      <c r="L5" s="151"/>
      <c r="M5" s="148"/>
    </row>
    <row r="6" spans="1:13" outlineLevel="3">
      <c r="A6" s="148" t="s">
        <v>126</v>
      </c>
      <c r="B6" s="148" t="s">
        <v>134</v>
      </c>
      <c r="C6" s="148" t="s">
        <v>135</v>
      </c>
      <c r="D6" s="148" t="s">
        <v>135</v>
      </c>
      <c r="E6" s="148" t="s">
        <v>136</v>
      </c>
      <c r="F6" s="149">
        <v>45915</v>
      </c>
      <c r="G6" s="150">
        <v>954.1</v>
      </c>
      <c r="H6" s="150">
        <f t="shared" si="0"/>
        <v>954.1</v>
      </c>
      <c r="I6" s="150"/>
      <c r="J6" s="150">
        <v>954.1</v>
      </c>
      <c r="K6" s="150">
        <f t="shared" si="1"/>
        <v>0</v>
      </c>
      <c r="L6" s="151">
        <f t="shared" si="2"/>
        <v>0</v>
      </c>
      <c r="M6" s="148"/>
    </row>
    <row r="7" spans="1:13" outlineLevel="3">
      <c r="A7" s="148" t="s">
        <v>126</v>
      </c>
      <c r="B7" s="148" t="s">
        <v>134</v>
      </c>
      <c r="C7" s="148" t="s">
        <v>128</v>
      </c>
      <c r="D7" s="148" t="s">
        <v>128</v>
      </c>
      <c r="E7" s="148" t="s">
        <v>136</v>
      </c>
      <c r="F7" s="149">
        <v>45915</v>
      </c>
      <c r="G7" s="150">
        <v>28.38</v>
      </c>
      <c r="H7" s="150">
        <f t="shared" si="0"/>
        <v>28.38</v>
      </c>
      <c r="I7" s="150"/>
      <c r="J7" s="150">
        <v>28.38</v>
      </c>
      <c r="K7" s="150">
        <f t="shared" si="1"/>
        <v>0</v>
      </c>
      <c r="L7" s="151">
        <f t="shared" si="2"/>
        <v>0</v>
      </c>
      <c r="M7" s="148"/>
    </row>
    <row r="8" spans="1:13" outlineLevel="3">
      <c r="A8" s="148" t="s">
        <v>126</v>
      </c>
      <c r="B8" s="148" t="s">
        <v>134</v>
      </c>
      <c r="C8" s="148" t="s">
        <v>131</v>
      </c>
      <c r="D8" s="148" t="s">
        <v>131</v>
      </c>
      <c r="E8" s="148" t="s">
        <v>136</v>
      </c>
      <c r="F8" s="149">
        <v>45915</v>
      </c>
      <c r="G8" s="150">
        <v>330.5</v>
      </c>
      <c r="H8" s="150">
        <f t="shared" si="0"/>
        <v>330.5</v>
      </c>
      <c r="I8" s="150"/>
      <c r="J8" s="150">
        <v>323.5</v>
      </c>
      <c r="K8" s="150">
        <f t="shared" si="1"/>
        <v>7</v>
      </c>
      <c r="L8" s="151">
        <f t="shared" si="2"/>
        <v>2.1638330757341576E-2</v>
      </c>
      <c r="M8" s="148"/>
    </row>
    <row r="9" spans="1:13" outlineLevel="3">
      <c r="A9" s="148" t="s">
        <v>126</v>
      </c>
      <c r="B9" s="148" t="s">
        <v>134</v>
      </c>
      <c r="C9" s="148" t="s">
        <v>132</v>
      </c>
      <c r="D9" s="148" t="s">
        <v>132</v>
      </c>
      <c r="E9" s="148" t="s">
        <v>136</v>
      </c>
      <c r="F9" s="149">
        <v>45915</v>
      </c>
      <c r="G9" s="150">
        <v>351.5</v>
      </c>
      <c r="H9" s="150">
        <f t="shared" si="0"/>
        <v>351.5</v>
      </c>
      <c r="I9" s="150"/>
      <c r="J9" s="150">
        <v>351.5</v>
      </c>
      <c r="K9" s="150">
        <f t="shared" si="1"/>
        <v>0</v>
      </c>
      <c r="L9" s="151">
        <f t="shared" si="2"/>
        <v>0</v>
      </c>
      <c r="M9" s="148"/>
    </row>
    <row r="10" spans="1:13" outlineLevel="2">
      <c r="A10" s="148"/>
      <c r="B10" s="173" t="s">
        <v>137</v>
      </c>
      <c r="C10" s="148"/>
      <c r="D10" s="148"/>
      <c r="E10" s="148"/>
      <c r="F10" s="149"/>
      <c r="G10" s="150">
        <f>SUBTOTAL(9,G6:G9)</f>
        <v>1664.48</v>
      </c>
      <c r="H10" s="150">
        <f>SUBTOTAL(9,H6:H9)</f>
        <v>1664.48</v>
      </c>
      <c r="I10" s="150">
        <f>SUBTOTAL(9,I6:I9)</f>
        <v>0</v>
      </c>
      <c r="J10" s="150">
        <f>SUBTOTAL(9,J6:J9)</f>
        <v>1657.48</v>
      </c>
      <c r="K10" s="150"/>
      <c r="L10" s="151"/>
      <c r="M10" s="148"/>
    </row>
    <row r="11" spans="1:13" outlineLevel="3">
      <c r="A11" s="148" t="s">
        <v>126</v>
      </c>
      <c r="B11" s="148" t="s">
        <v>138</v>
      </c>
      <c r="C11" s="148" t="s">
        <v>139</v>
      </c>
      <c r="D11" s="148" t="s">
        <v>139</v>
      </c>
      <c r="E11" s="148" t="s">
        <v>140</v>
      </c>
      <c r="F11" s="149">
        <v>45901</v>
      </c>
      <c r="G11" s="150">
        <v>484</v>
      </c>
      <c r="H11" s="150">
        <f t="shared" si="0"/>
        <v>484</v>
      </c>
      <c r="I11" s="150"/>
      <c r="J11" s="150">
        <v>484</v>
      </c>
      <c r="K11" s="150">
        <f t="shared" si="1"/>
        <v>0</v>
      </c>
      <c r="L11" s="151">
        <f t="shared" si="2"/>
        <v>0</v>
      </c>
      <c r="M11" s="148"/>
    </row>
    <row r="12" spans="1:13" outlineLevel="3">
      <c r="A12" s="148" t="s">
        <v>126</v>
      </c>
      <c r="B12" s="148" t="s">
        <v>138</v>
      </c>
      <c r="C12" s="148" t="s">
        <v>128</v>
      </c>
      <c r="D12" s="148" t="s">
        <v>141</v>
      </c>
      <c r="E12" s="148" t="s">
        <v>140</v>
      </c>
      <c r="F12" s="149">
        <v>45901</v>
      </c>
      <c r="G12" s="150">
        <v>158</v>
      </c>
      <c r="H12" s="150">
        <f t="shared" si="0"/>
        <v>158</v>
      </c>
      <c r="I12" s="150"/>
      <c r="J12" s="150">
        <v>158</v>
      </c>
      <c r="K12" s="150">
        <f t="shared" si="1"/>
        <v>0</v>
      </c>
      <c r="L12" s="151">
        <f t="shared" si="2"/>
        <v>0</v>
      </c>
      <c r="M12" s="148"/>
    </row>
    <row r="13" spans="1:13" outlineLevel="3">
      <c r="A13" s="148" t="s">
        <v>126</v>
      </c>
      <c r="B13" s="148" t="s">
        <v>138</v>
      </c>
      <c r="C13" s="148" t="s">
        <v>128</v>
      </c>
      <c r="D13" s="148" t="s">
        <v>142</v>
      </c>
      <c r="E13" s="148" t="s">
        <v>140</v>
      </c>
      <c r="F13" s="149">
        <v>45901</v>
      </c>
      <c r="G13" s="150">
        <v>292.7244</v>
      </c>
      <c r="H13" s="150">
        <f t="shared" si="0"/>
        <v>292.7244</v>
      </c>
      <c r="I13" s="150"/>
      <c r="J13" s="150">
        <v>295.33440000000002</v>
      </c>
      <c r="K13" s="150">
        <f t="shared" si="1"/>
        <v>-2.6100000000000136</v>
      </c>
      <c r="L13" s="151">
        <f t="shared" si="2"/>
        <v>-8.837439864777058E-3</v>
      </c>
      <c r="M13" s="148"/>
    </row>
    <row r="14" spans="1:13" outlineLevel="3">
      <c r="A14" s="148" t="s">
        <v>126</v>
      </c>
      <c r="B14" s="148" t="s">
        <v>138</v>
      </c>
      <c r="C14" s="148" t="s">
        <v>131</v>
      </c>
      <c r="D14" s="148" t="s">
        <v>143</v>
      </c>
      <c r="E14" s="148" t="s">
        <v>140</v>
      </c>
      <c r="F14" s="149">
        <v>45901</v>
      </c>
      <c r="G14" s="150">
        <v>133</v>
      </c>
      <c r="H14" s="150">
        <f t="shared" si="0"/>
        <v>133</v>
      </c>
      <c r="I14" s="150"/>
      <c r="J14" s="150">
        <v>431</v>
      </c>
      <c r="K14" s="150">
        <f t="shared" si="1"/>
        <v>-298</v>
      </c>
      <c r="L14" s="151">
        <f t="shared" si="2"/>
        <v>-0.691415313225058</v>
      </c>
      <c r="M14" s="148" t="s">
        <v>144</v>
      </c>
    </row>
    <row r="15" spans="1:13" outlineLevel="3">
      <c r="A15" s="148" t="s">
        <v>126</v>
      </c>
      <c r="B15" s="148" t="s">
        <v>138</v>
      </c>
      <c r="C15" s="148" t="s">
        <v>132</v>
      </c>
      <c r="D15" s="148" t="s">
        <v>145</v>
      </c>
      <c r="E15" s="148" t="s">
        <v>140</v>
      </c>
      <c r="F15" s="149">
        <v>45901</v>
      </c>
      <c r="G15" s="150">
        <v>560</v>
      </c>
      <c r="H15" s="150">
        <f t="shared" si="0"/>
        <v>560</v>
      </c>
      <c r="I15" s="150"/>
      <c r="J15" s="150">
        <v>1440</v>
      </c>
      <c r="K15" s="150">
        <f t="shared" si="1"/>
        <v>-880</v>
      </c>
      <c r="L15" s="151">
        <f t="shared" si="2"/>
        <v>-0.61111111111111116</v>
      </c>
      <c r="M15" s="148" t="s">
        <v>146</v>
      </c>
    </row>
    <row r="16" spans="1:13" outlineLevel="2">
      <c r="A16" s="148"/>
      <c r="B16" s="173" t="s">
        <v>147</v>
      </c>
      <c r="C16" s="148"/>
      <c r="D16" s="148"/>
      <c r="E16" s="148"/>
      <c r="F16" s="149"/>
      <c r="G16" s="150">
        <f>SUBTOTAL(9,G11:G15)</f>
        <v>1627.7244000000001</v>
      </c>
      <c r="H16" s="150">
        <f>SUBTOTAL(9,H11:H15)</f>
        <v>1627.7244000000001</v>
      </c>
      <c r="I16" s="150">
        <f>SUBTOTAL(9,I11:I15)</f>
        <v>0</v>
      </c>
      <c r="J16" s="150">
        <f>SUBTOTAL(9,J11:J15)</f>
        <v>2808.3343999999997</v>
      </c>
      <c r="K16" s="150"/>
      <c r="L16" s="151"/>
      <c r="M16" s="148"/>
    </row>
    <row r="17" spans="1:13" outlineLevel="3">
      <c r="A17" s="148" t="s">
        <v>126</v>
      </c>
      <c r="B17" s="148" t="s">
        <v>148</v>
      </c>
      <c r="C17" s="148" t="s">
        <v>139</v>
      </c>
      <c r="D17" s="148" t="s">
        <v>139</v>
      </c>
      <c r="E17" s="148" t="s">
        <v>149</v>
      </c>
      <c r="F17" s="149">
        <v>45901</v>
      </c>
      <c r="G17" s="150">
        <v>3358.53</v>
      </c>
      <c r="H17" s="150">
        <f t="shared" si="0"/>
        <v>3358.53</v>
      </c>
      <c r="I17" s="150"/>
      <c r="J17" s="150">
        <v>3358.53</v>
      </c>
      <c r="K17" s="150">
        <f t="shared" si="1"/>
        <v>0</v>
      </c>
      <c r="L17" s="151">
        <f t="shared" si="2"/>
        <v>0</v>
      </c>
      <c r="M17" s="148"/>
    </row>
    <row r="18" spans="1:13" outlineLevel="3">
      <c r="A18" s="148" t="s">
        <v>126</v>
      </c>
      <c r="B18" s="148" t="s">
        <v>148</v>
      </c>
      <c r="C18" s="148" t="s">
        <v>128</v>
      </c>
      <c r="D18" s="148" t="s">
        <v>150</v>
      </c>
      <c r="E18" s="148" t="s">
        <v>149</v>
      </c>
      <c r="F18" s="149">
        <v>45901</v>
      </c>
      <c r="G18" s="150">
        <v>10.5</v>
      </c>
      <c r="H18" s="150">
        <f t="shared" si="0"/>
        <v>10.5</v>
      </c>
      <c r="I18" s="150"/>
      <c r="J18" s="150">
        <v>10.5</v>
      </c>
      <c r="K18" s="150">
        <f t="shared" si="1"/>
        <v>0</v>
      </c>
      <c r="L18" s="151">
        <f t="shared" si="2"/>
        <v>0</v>
      </c>
      <c r="M18" s="148"/>
    </row>
    <row r="19" spans="1:13" outlineLevel="3">
      <c r="A19" s="148" t="s">
        <v>126</v>
      </c>
      <c r="B19" s="148" t="s">
        <v>148</v>
      </c>
      <c r="C19" s="148" t="s">
        <v>131</v>
      </c>
      <c r="D19" s="148" t="s">
        <v>131</v>
      </c>
      <c r="E19" s="148" t="s">
        <v>149</v>
      </c>
      <c r="F19" s="149">
        <v>45901</v>
      </c>
      <c r="G19" s="150">
        <v>5390</v>
      </c>
      <c r="H19" s="150">
        <f t="shared" si="0"/>
        <v>5390</v>
      </c>
      <c r="I19" s="150"/>
      <c r="J19" s="150">
        <v>5170</v>
      </c>
      <c r="K19" s="150">
        <f t="shared" si="1"/>
        <v>220</v>
      </c>
      <c r="L19" s="151">
        <f t="shared" si="2"/>
        <v>4.2553191489361701E-2</v>
      </c>
      <c r="M19" s="148"/>
    </row>
    <row r="20" spans="1:13" outlineLevel="3">
      <c r="A20" s="148" t="s">
        <v>126</v>
      </c>
      <c r="B20" s="148" t="s">
        <v>148</v>
      </c>
      <c r="C20" s="148" t="s">
        <v>132</v>
      </c>
      <c r="D20" s="148" t="s">
        <v>132</v>
      </c>
      <c r="E20" s="148" t="s">
        <v>149</v>
      </c>
      <c r="F20" s="149">
        <v>45901</v>
      </c>
      <c r="G20" s="150">
        <v>9286</v>
      </c>
      <c r="H20" s="150">
        <f t="shared" si="0"/>
        <v>9286</v>
      </c>
      <c r="I20" s="150"/>
      <c r="J20" s="150">
        <v>9794</v>
      </c>
      <c r="K20" s="150">
        <f t="shared" si="1"/>
        <v>-508</v>
      </c>
      <c r="L20" s="151">
        <f t="shared" si="2"/>
        <v>-5.1868490912803759E-2</v>
      </c>
      <c r="M20" s="148" t="s">
        <v>151</v>
      </c>
    </row>
    <row r="21" spans="1:13" outlineLevel="2">
      <c r="A21" s="148"/>
      <c r="B21" s="173" t="s">
        <v>152</v>
      </c>
      <c r="C21" s="148"/>
      <c r="D21" s="148"/>
      <c r="E21" s="148"/>
      <c r="F21" s="149"/>
      <c r="G21" s="150">
        <f>SUBTOTAL(9,G17:G20)</f>
        <v>18045.03</v>
      </c>
      <c r="H21" s="150">
        <f>SUBTOTAL(9,H17:H20)</f>
        <v>18045.03</v>
      </c>
      <c r="I21" s="150">
        <f>SUBTOTAL(9,I17:I20)</f>
        <v>0</v>
      </c>
      <c r="J21" s="150">
        <f>SUBTOTAL(9,J17:J20)</f>
        <v>18333.03</v>
      </c>
      <c r="K21" s="150"/>
      <c r="L21" s="151"/>
      <c r="M21" s="148"/>
    </row>
    <row r="22" spans="1:13" outlineLevel="3">
      <c r="A22" s="148" t="s">
        <v>126</v>
      </c>
      <c r="B22" s="148" t="s">
        <v>153</v>
      </c>
      <c r="C22" s="148" t="s">
        <v>139</v>
      </c>
      <c r="D22" s="148" t="s">
        <v>139</v>
      </c>
      <c r="E22" s="148" t="s">
        <v>154</v>
      </c>
      <c r="F22" s="149">
        <v>45901</v>
      </c>
      <c r="G22" s="150">
        <v>1598.4</v>
      </c>
      <c r="H22" s="150">
        <f t="shared" si="0"/>
        <v>1598.4</v>
      </c>
      <c r="I22" s="150"/>
      <c r="J22" s="150">
        <v>1598.4</v>
      </c>
      <c r="K22" s="150">
        <f t="shared" si="1"/>
        <v>0</v>
      </c>
      <c r="L22" s="151">
        <f t="shared" si="2"/>
        <v>0</v>
      </c>
      <c r="M22" s="148"/>
    </row>
    <row r="23" spans="1:13" outlineLevel="3">
      <c r="A23" s="148" t="s">
        <v>126</v>
      </c>
      <c r="B23" s="148" t="s">
        <v>153</v>
      </c>
      <c r="C23" s="148" t="s">
        <v>128</v>
      </c>
      <c r="D23" s="148" t="s">
        <v>129</v>
      </c>
      <c r="E23" s="148" t="s">
        <v>154</v>
      </c>
      <c r="F23" s="149">
        <v>45901</v>
      </c>
      <c r="G23" s="150">
        <v>370.05619999999999</v>
      </c>
      <c r="H23" s="150">
        <f t="shared" si="0"/>
        <v>370.05619999999999</v>
      </c>
      <c r="I23" s="150"/>
      <c r="J23" s="150">
        <v>367.08620000000002</v>
      </c>
      <c r="K23" s="150">
        <f t="shared" si="1"/>
        <v>2.9699999999999704</v>
      </c>
      <c r="L23" s="151">
        <f t="shared" si="2"/>
        <v>8.0907427192849265E-3</v>
      </c>
      <c r="M23" s="148"/>
    </row>
    <row r="24" spans="1:13" outlineLevel="3">
      <c r="A24" s="148" t="s">
        <v>126</v>
      </c>
      <c r="B24" s="148" t="s">
        <v>153</v>
      </c>
      <c r="C24" s="148" t="s">
        <v>131</v>
      </c>
      <c r="D24" s="148" t="s">
        <v>155</v>
      </c>
      <c r="E24" s="148" t="s">
        <v>154</v>
      </c>
      <c r="F24" s="149">
        <v>45901</v>
      </c>
      <c r="G24" s="150">
        <v>1020</v>
      </c>
      <c r="H24" s="150">
        <f t="shared" si="0"/>
        <v>1020</v>
      </c>
      <c r="I24" s="150"/>
      <c r="J24" s="150">
        <v>1136</v>
      </c>
      <c r="K24" s="150">
        <f t="shared" si="1"/>
        <v>-116</v>
      </c>
      <c r="L24" s="151">
        <f t="shared" si="2"/>
        <v>-0.10211267605633803</v>
      </c>
      <c r="M24" s="148" t="s">
        <v>156</v>
      </c>
    </row>
    <row r="25" spans="1:13" outlineLevel="3">
      <c r="A25" s="148" t="s">
        <v>126</v>
      </c>
      <c r="B25" s="148" t="s">
        <v>153</v>
      </c>
      <c r="C25" s="148" t="s">
        <v>132</v>
      </c>
      <c r="D25" s="148" t="s">
        <v>132</v>
      </c>
      <c r="E25" s="148" t="s">
        <v>154</v>
      </c>
      <c r="F25" s="149">
        <v>45901</v>
      </c>
      <c r="G25" s="150">
        <v>967.00379999999996</v>
      </c>
      <c r="H25" s="150">
        <f t="shared" si="0"/>
        <v>967.00379999999996</v>
      </c>
      <c r="I25" s="150"/>
      <c r="J25" s="150">
        <v>1044.0038</v>
      </c>
      <c r="K25" s="150">
        <f t="shared" si="1"/>
        <v>-77</v>
      </c>
      <c r="L25" s="151">
        <f t="shared" si="2"/>
        <v>-7.375452081687825E-2</v>
      </c>
      <c r="M25" s="148" t="s">
        <v>157</v>
      </c>
    </row>
    <row r="26" spans="1:13" outlineLevel="2">
      <c r="A26" s="148"/>
      <c r="B26" s="173" t="s">
        <v>158</v>
      </c>
      <c r="C26" s="148"/>
      <c r="D26" s="148"/>
      <c r="E26" s="148"/>
      <c r="F26" s="149"/>
      <c r="G26" s="150">
        <f>SUBTOTAL(9,G22:G25)</f>
        <v>3955.46</v>
      </c>
      <c r="H26" s="150">
        <f>SUBTOTAL(9,H22:H25)</f>
        <v>3955.46</v>
      </c>
      <c r="I26" s="150">
        <f>SUBTOTAL(9,I22:I25)</f>
        <v>0</v>
      </c>
      <c r="J26" s="150">
        <f>SUBTOTAL(9,J22:J25)</f>
        <v>4145.49</v>
      </c>
      <c r="K26" s="150"/>
      <c r="L26" s="151"/>
      <c r="M26" s="148"/>
    </row>
    <row r="27" spans="1:13" outlineLevel="3">
      <c r="A27" s="148" t="s">
        <v>126</v>
      </c>
      <c r="B27" s="148" t="s">
        <v>159</v>
      </c>
      <c r="C27" s="148" t="s">
        <v>139</v>
      </c>
      <c r="D27" s="148" t="s">
        <v>160</v>
      </c>
      <c r="E27" s="148" t="s">
        <v>161</v>
      </c>
      <c r="F27" s="149">
        <v>45901</v>
      </c>
      <c r="G27" s="150">
        <v>994</v>
      </c>
      <c r="H27" s="150">
        <f t="shared" si="0"/>
        <v>994</v>
      </c>
      <c r="I27" s="150"/>
      <c r="J27" s="150">
        <v>994</v>
      </c>
      <c r="K27" s="150">
        <f t="shared" si="1"/>
        <v>0</v>
      </c>
      <c r="L27" s="151">
        <f t="shared" si="2"/>
        <v>0</v>
      </c>
      <c r="M27" s="148"/>
    </row>
    <row r="28" spans="1:13" outlineLevel="3">
      <c r="A28" s="148" t="s">
        <v>126</v>
      </c>
      <c r="B28" s="148" t="s">
        <v>159</v>
      </c>
      <c r="C28" s="148" t="s">
        <v>128</v>
      </c>
      <c r="D28" s="148" t="s">
        <v>128</v>
      </c>
      <c r="E28" s="148" t="s">
        <v>161</v>
      </c>
      <c r="F28" s="149">
        <v>45901</v>
      </c>
      <c r="G28" s="150">
        <v>625.51</v>
      </c>
      <c r="H28" s="150">
        <f t="shared" si="0"/>
        <v>625.51</v>
      </c>
      <c r="I28" s="150"/>
      <c r="J28" s="150">
        <v>625.51</v>
      </c>
      <c r="K28" s="150">
        <f t="shared" si="1"/>
        <v>0</v>
      </c>
      <c r="L28" s="151">
        <f t="shared" si="2"/>
        <v>0</v>
      </c>
      <c r="M28" s="148"/>
    </row>
    <row r="29" spans="1:13" outlineLevel="3">
      <c r="A29" s="148" t="s">
        <v>126</v>
      </c>
      <c r="B29" s="148" t="s">
        <v>159</v>
      </c>
      <c r="C29" s="148" t="s">
        <v>128</v>
      </c>
      <c r="D29" s="148" t="s">
        <v>162</v>
      </c>
      <c r="E29" s="148" t="s">
        <v>163</v>
      </c>
      <c r="F29" s="149">
        <v>45901</v>
      </c>
      <c r="G29" s="150">
        <v>7.4</v>
      </c>
      <c r="H29" s="150">
        <f t="shared" si="0"/>
        <v>7.4</v>
      </c>
      <c r="I29" s="150"/>
      <c r="J29" s="150">
        <v>7.4</v>
      </c>
      <c r="K29" s="150">
        <f t="shared" si="1"/>
        <v>0</v>
      </c>
      <c r="L29" s="151">
        <f t="shared" si="2"/>
        <v>0</v>
      </c>
      <c r="M29" s="148"/>
    </row>
    <row r="30" spans="1:13" outlineLevel="3">
      <c r="A30" s="148" t="s">
        <v>126</v>
      </c>
      <c r="B30" s="148" t="s">
        <v>159</v>
      </c>
      <c r="C30" s="148" t="s">
        <v>131</v>
      </c>
      <c r="D30" s="148" t="s">
        <v>164</v>
      </c>
      <c r="E30" s="148" t="s">
        <v>161</v>
      </c>
      <c r="F30" s="149">
        <v>45901</v>
      </c>
      <c r="G30" s="150">
        <v>850</v>
      </c>
      <c r="H30" s="150">
        <f t="shared" si="0"/>
        <v>850</v>
      </c>
      <c r="I30" s="150"/>
      <c r="J30" s="150">
        <v>836</v>
      </c>
      <c r="K30" s="150">
        <f t="shared" si="1"/>
        <v>14</v>
      </c>
      <c r="L30" s="151">
        <f t="shared" si="2"/>
        <v>1.6746411483253589E-2</v>
      </c>
      <c r="M30" s="148"/>
    </row>
    <row r="31" spans="1:13" outlineLevel="3">
      <c r="A31" s="148" t="s">
        <v>126</v>
      </c>
      <c r="B31" s="148" t="s">
        <v>159</v>
      </c>
      <c r="C31" s="148" t="s">
        <v>132</v>
      </c>
      <c r="D31" s="148" t="s">
        <v>165</v>
      </c>
      <c r="E31" s="148" t="s">
        <v>161</v>
      </c>
      <c r="F31" s="149">
        <v>45901</v>
      </c>
      <c r="G31" s="150">
        <v>855.2</v>
      </c>
      <c r="H31" s="150">
        <f t="shared" si="0"/>
        <v>855.2</v>
      </c>
      <c r="I31" s="150"/>
      <c r="J31" s="150">
        <v>735.2</v>
      </c>
      <c r="K31" s="150">
        <f t="shared" si="1"/>
        <v>120</v>
      </c>
      <c r="L31" s="151">
        <f t="shared" si="2"/>
        <v>0.16322089227421108</v>
      </c>
      <c r="M31" s="148"/>
    </row>
    <row r="32" spans="1:13" outlineLevel="2">
      <c r="A32" s="148"/>
      <c r="B32" s="173" t="s">
        <v>166</v>
      </c>
      <c r="C32" s="148"/>
      <c r="D32" s="148"/>
      <c r="E32" s="148"/>
      <c r="F32" s="149"/>
      <c r="G32" s="150">
        <f>SUBTOTAL(9,G27:G31)</f>
        <v>3332.1099999999997</v>
      </c>
      <c r="H32" s="150">
        <f>SUBTOTAL(9,H27:H31)</f>
        <v>3332.1099999999997</v>
      </c>
      <c r="I32" s="150">
        <f>SUBTOTAL(9,I27:I31)</f>
        <v>0</v>
      </c>
      <c r="J32" s="150">
        <f>SUBTOTAL(9,J27:J31)</f>
        <v>3198.1099999999997</v>
      </c>
      <c r="K32" s="150"/>
      <c r="L32" s="151"/>
      <c r="M32" s="148"/>
    </row>
    <row r="33" spans="1:13" outlineLevel="3">
      <c r="A33" s="148" t="s">
        <v>126</v>
      </c>
      <c r="B33" s="148" t="s">
        <v>167</v>
      </c>
      <c r="C33" s="148" t="s">
        <v>131</v>
      </c>
      <c r="D33" s="148" t="s">
        <v>131</v>
      </c>
      <c r="E33" s="148" t="s">
        <v>168</v>
      </c>
      <c r="F33" s="149">
        <v>45901</v>
      </c>
      <c r="G33" s="150">
        <v>5312</v>
      </c>
      <c r="H33" s="150">
        <f t="shared" si="0"/>
        <v>5312</v>
      </c>
      <c r="I33" s="150"/>
      <c r="J33" s="150">
        <v>5389</v>
      </c>
      <c r="K33" s="150">
        <f t="shared" si="1"/>
        <v>-77</v>
      </c>
      <c r="L33" s="151">
        <f t="shared" si="2"/>
        <v>-1.4288365188346632E-2</v>
      </c>
      <c r="M33" s="148" t="s">
        <v>169</v>
      </c>
    </row>
    <row r="34" spans="1:13" outlineLevel="3">
      <c r="A34" s="148" t="s">
        <v>126</v>
      </c>
      <c r="B34" s="148" t="s">
        <v>167</v>
      </c>
      <c r="C34" s="148" t="s">
        <v>132</v>
      </c>
      <c r="D34" s="148" t="s">
        <v>132</v>
      </c>
      <c r="E34" s="148" t="s">
        <v>168</v>
      </c>
      <c r="F34" s="149">
        <v>45901</v>
      </c>
      <c r="G34" s="150">
        <v>6600</v>
      </c>
      <c r="H34" s="150">
        <f t="shared" si="0"/>
        <v>6600</v>
      </c>
      <c r="I34" s="150"/>
      <c r="J34" s="150">
        <v>7194</v>
      </c>
      <c r="K34" s="150">
        <f t="shared" si="1"/>
        <v>-594</v>
      </c>
      <c r="L34" s="151">
        <f t="shared" si="2"/>
        <v>-8.2568807339449546E-2</v>
      </c>
      <c r="M34" s="148" t="s">
        <v>157</v>
      </c>
    </row>
    <row r="35" spans="1:13" outlineLevel="2">
      <c r="A35" s="148"/>
      <c r="B35" s="173" t="s">
        <v>170</v>
      </c>
      <c r="C35" s="148"/>
      <c r="D35" s="148"/>
      <c r="E35" s="148"/>
      <c r="F35" s="149"/>
      <c r="G35" s="150">
        <f>SUBTOTAL(9,G33:G34)</f>
        <v>11912</v>
      </c>
      <c r="H35" s="150">
        <f>SUBTOTAL(9,H33:H34)</f>
        <v>11912</v>
      </c>
      <c r="I35" s="150">
        <f>SUBTOTAL(9,I33:I34)</f>
        <v>0</v>
      </c>
      <c r="J35" s="150">
        <f>SUBTOTAL(9,J33:J34)</f>
        <v>12583</v>
      </c>
      <c r="K35" s="150"/>
      <c r="L35" s="151"/>
      <c r="M35" s="148"/>
    </row>
    <row r="36" spans="1:13" outlineLevel="3">
      <c r="A36" s="148" t="s">
        <v>126</v>
      </c>
      <c r="B36" s="148" t="s">
        <v>171</v>
      </c>
      <c r="C36" s="148" t="s">
        <v>128</v>
      </c>
      <c r="D36" s="148" t="s">
        <v>128</v>
      </c>
      <c r="E36" s="148" t="s">
        <v>172</v>
      </c>
      <c r="F36" s="149">
        <v>45901</v>
      </c>
      <c r="G36" s="150">
        <v>250</v>
      </c>
      <c r="H36" s="150">
        <f t="shared" si="0"/>
        <v>250</v>
      </c>
      <c r="I36" s="150"/>
      <c r="J36" s="150">
        <v>250</v>
      </c>
      <c r="K36" s="150">
        <f t="shared" si="1"/>
        <v>0</v>
      </c>
      <c r="L36" s="151">
        <f t="shared" si="2"/>
        <v>0</v>
      </c>
      <c r="M36" s="148"/>
    </row>
    <row r="37" spans="1:13" outlineLevel="3">
      <c r="A37" s="148" t="s">
        <v>126</v>
      </c>
      <c r="B37" s="148" t="s">
        <v>171</v>
      </c>
      <c r="C37" s="148" t="s">
        <v>131</v>
      </c>
      <c r="D37" s="148" t="s">
        <v>131</v>
      </c>
      <c r="E37" s="148" t="s">
        <v>172</v>
      </c>
      <c r="F37" s="149">
        <v>45901</v>
      </c>
      <c r="G37" s="150">
        <v>1600</v>
      </c>
      <c r="H37" s="150">
        <f t="shared" si="0"/>
        <v>1600</v>
      </c>
      <c r="I37" s="150"/>
      <c r="J37" s="150">
        <v>1600</v>
      </c>
      <c r="K37" s="150">
        <f t="shared" si="1"/>
        <v>0</v>
      </c>
      <c r="L37" s="151">
        <f t="shared" si="2"/>
        <v>0</v>
      </c>
      <c r="M37" s="148"/>
    </row>
    <row r="38" spans="1:13" outlineLevel="3">
      <c r="A38" s="148" t="s">
        <v>126</v>
      </c>
      <c r="B38" s="148" t="s">
        <v>171</v>
      </c>
      <c r="C38" s="148" t="s">
        <v>132</v>
      </c>
      <c r="D38" s="148" t="s">
        <v>132</v>
      </c>
      <c r="E38" s="148" t="s">
        <v>172</v>
      </c>
      <c r="F38" s="149">
        <v>45901</v>
      </c>
      <c r="G38" s="150">
        <v>3288.79</v>
      </c>
      <c r="H38" s="150">
        <f t="shared" si="0"/>
        <v>3288.79</v>
      </c>
      <c r="I38" s="150"/>
      <c r="J38" s="150">
        <v>3288.79</v>
      </c>
      <c r="K38" s="150">
        <f t="shared" si="1"/>
        <v>0</v>
      </c>
      <c r="L38" s="151">
        <f t="shared" si="2"/>
        <v>0</v>
      </c>
      <c r="M38" s="148"/>
    </row>
    <row r="39" spans="1:13" outlineLevel="2">
      <c r="A39" s="148"/>
      <c r="B39" s="173" t="s">
        <v>173</v>
      </c>
      <c r="C39" s="148"/>
      <c r="D39" s="148"/>
      <c r="E39" s="148"/>
      <c r="F39" s="149"/>
      <c r="G39" s="150">
        <f>SUBTOTAL(9,G36:G38)</f>
        <v>5138.79</v>
      </c>
      <c r="H39" s="150">
        <f>SUBTOTAL(9,H36:H38)</f>
        <v>5138.79</v>
      </c>
      <c r="I39" s="150">
        <f>SUBTOTAL(9,I36:I38)</f>
        <v>0</v>
      </c>
      <c r="J39" s="150">
        <f>SUBTOTAL(9,J36:J38)</f>
        <v>5138.79</v>
      </c>
      <c r="K39" s="150"/>
      <c r="L39" s="151"/>
      <c r="M39" s="148"/>
    </row>
    <row r="40" spans="1:13" outlineLevel="3">
      <c r="A40" s="148" t="s">
        <v>126</v>
      </c>
      <c r="B40" s="148" t="s">
        <v>174</v>
      </c>
      <c r="C40" s="148" t="s">
        <v>135</v>
      </c>
      <c r="D40" s="148" t="s">
        <v>135</v>
      </c>
      <c r="E40" s="148" t="s">
        <v>175</v>
      </c>
      <c r="F40" s="149">
        <v>45901</v>
      </c>
      <c r="G40" s="150">
        <v>75</v>
      </c>
      <c r="H40" s="150">
        <f t="shared" si="0"/>
        <v>75</v>
      </c>
      <c r="I40" s="150"/>
      <c r="J40" s="150">
        <v>75</v>
      </c>
      <c r="K40" s="150">
        <f t="shared" si="1"/>
        <v>0</v>
      </c>
      <c r="L40" s="151">
        <f t="shared" si="2"/>
        <v>0</v>
      </c>
      <c r="M40" s="148"/>
    </row>
    <row r="41" spans="1:13" outlineLevel="3">
      <c r="A41" s="148" t="s">
        <v>126</v>
      </c>
      <c r="B41" s="148" t="s">
        <v>174</v>
      </c>
      <c r="C41" s="148" t="s">
        <v>139</v>
      </c>
      <c r="D41" s="148" t="s">
        <v>176</v>
      </c>
      <c r="E41" s="148" t="s">
        <v>175</v>
      </c>
      <c r="F41" s="149">
        <v>45901</v>
      </c>
      <c r="G41" s="150">
        <v>400</v>
      </c>
      <c r="H41" s="150">
        <f t="shared" si="0"/>
        <v>400</v>
      </c>
      <c r="I41" s="150"/>
      <c r="J41" s="150">
        <v>400</v>
      </c>
      <c r="K41" s="150">
        <f t="shared" si="1"/>
        <v>0</v>
      </c>
      <c r="L41" s="151">
        <f t="shared" si="2"/>
        <v>0</v>
      </c>
      <c r="M41" s="148"/>
    </row>
    <row r="42" spans="1:13" outlineLevel="3">
      <c r="A42" s="148" t="s">
        <v>126</v>
      </c>
      <c r="B42" s="148" t="s">
        <v>174</v>
      </c>
      <c r="C42" s="148" t="s">
        <v>128</v>
      </c>
      <c r="D42" s="148" t="s">
        <v>128</v>
      </c>
      <c r="E42" s="148" t="s">
        <v>175</v>
      </c>
      <c r="F42" s="149">
        <v>45901</v>
      </c>
      <c r="G42" s="150">
        <v>685.55420000000004</v>
      </c>
      <c r="H42" s="150">
        <f t="shared" si="0"/>
        <v>685.55420000000004</v>
      </c>
      <c r="I42" s="150"/>
      <c r="J42" s="150">
        <v>674.99419999999998</v>
      </c>
      <c r="K42" s="150">
        <f t="shared" si="1"/>
        <v>10.560000000000059</v>
      </c>
      <c r="L42" s="151">
        <f t="shared" si="2"/>
        <v>1.5644578871937063E-2</v>
      </c>
      <c r="M42" s="148"/>
    </row>
    <row r="43" spans="1:13" outlineLevel="3">
      <c r="A43" s="148" t="s">
        <v>126</v>
      </c>
      <c r="B43" s="148" t="s">
        <v>174</v>
      </c>
      <c r="C43" s="148" t="s">
        <v>131</v>
      </c>
      <c r="D43" s="148" t="s">
        <v>131</v>
      </c>
      <c r="E43" s="148" t="s">
        <v>175</v>
      </c>
      <c r="F43" s="149">
        <v>45901</v>
      </c>
      <c r="G43" s="150">
        <v>661.5</v>
      </c>
      <c r="H43" s="150">
        <f t="shared" si="0"/>
        <v>661.5</v>
      </c>
      <c r="I43" s="150"/>
      <c r="J43" s="150">
        <v>675.5</v>
      </c>
      <c r="K43" s="150">
        <f t="shared" si="1"/>
        <v>-14</v>
      </c>
      <c r="L43" s="151">
        <f t="shared" si="2"/>
        <v>-2.072538860103627E-2</v>
      </c>
      <c r="M43" s="148" t="s">
        <v>177</v>
      </c>
    </row>
    <row r="44" spans="1:13" outlineLevel="3">
      <c r="A44" s="148" t="s">
        <v>126</v>
      </c>
      <c r="B44" s="148" t="s">
        <v>174</v>
      </c>
      <c r="C44" s="148" t="s">
        <v>132</v>
      </c>
      <c r="D44" s="148" t="s">
        <v>132</v>
      </c>
      <c r="E44" s="148" t="s">
        <v>175</v>
      </c>
      <c r="F44" s="149">
        <v>45901</v>
      </c>
      <c r="G44" s="150">
        <v>1758.09</v>
      </c>
      <c r="H44" s="150">
        <f t="shared" si="0"/>
        <v>1758.09</v>
      </c>
      <c r="I44" s="150"/>
      <c r="J44" s="150">
        <v>1758.09</v>
      </c>
      <c r="K44" s="150">
        <f t="shared" si="1"/>
        <v>0</v>
      </c>
      <c r="L44" s="151">
        <f t="shared" si="2"/>
        <v>0</v>
      </c>
      <c r="M44" s="148"/>
    </row>
    <row r="45" spans="1:13" outlineLevel="2">
      <c r="A45" s="148"/>
      <c r="B45" s="173" t="s">
        <v>178</v>
      </c>
      <c r="C45" s="148"/>
      <c r="D45" s="148"/>
      <c r="E45" s="148"/>
      <c r="F45" s="149"/>
      <c r="G45" s="150">
        <f>SUBTOTAL(9,G40:G44)</f>
        <v>3580.1441999999997</v>
      </c>
      <c r="H45" s="150">
        <f>SUBTOTAL(9,H40:H44)</f>
        <v>3580.1441999999997</v>
      </c>
      <c r="I45" s="150">
        <f>SUBTOTAL(9,I40:I44)</f>
        <v>0</v>
      </c>
      <c r="J45" s="150">
        <f>SUBTOTAL(9,J40:J44)</f>
        <v>3583.5842000000002</v>
      </c>
      <c r="K45" s="150"/>
      <c r="L45" s="151"/>
      <c r="M45" s="148"/>
    </row>
    <row r="46" spans="1:13" outlineLevel="3">
      <c r="A46" s="148" t="s">
        <v>126</v>
      </c>
      <c r="B46" s="148" t="s">
        <v>179</v>
      </c>
      <c r="C46" s="148" t="s">
        <v>139</v>
      </c>
      <c r="D46" s="148" t="s">
        <v>139</v>
      </c>
      <c r="E46" s="148" t="s">
        <v>180</v>
      </c>
      <c r="F46" s="149">
        <v>45901</v>
      </c>
      <c r="G46" s="150">
        <v>640</v>
      </c>
      <c r="H46" s="150">
        <f t="shared" si="0"/>
        <v>640</v>
      </c>
      <c r="I46" s="150"/>
      <c r="J46" s="150">
        <v>636</v>
      </c>
      <c r="K46" s="150">
        <f t="shared" si="1"/>
        <v>4</v>
      </c>
      <c r="L46" s="151">
        <f t="shared" si="2"/>
        <v>6.2893081761006293E-3</v>
      </c>
      <c r="M46" s="148"/>
    </row>
    <row r="47" spans="1:13" outlineLevel="3">
      <c r="A47" s="148" t="s">
        <v>126</v>
      </c>
      <c r="B47" s="148" t="s">
        <v>179</v>
      </c>
      <c r="C47" s="148" t="s">
        <v>128</v>
      </c>
      <c r="D47" s="148" t="s">
        <v>128</v>
      </c>
      <c r="E47" s="148" t="s">
        <v>180</v>
      </c>
      <c r="F47" s="149">
        <v>45901</v>
      </c>
      <c r="G47" s="150">
        <v>150</v>
      </c>
      <c r="H47" s="150">
        <f t="shared" si="0"/>
        <v>150</v>
      </c>
      <c r="I47" s="150"/>
      <c r="J47" s="150">
        <v>142</v>
      </c>
      <c r="K47" s="150">
        <f t="shared" si="1"/>
        <v>8</v>
      </c>
      <c r="L47" s="151">
        <f t="shared" si="2"/>
        <v>5.6338028169014086E-2</v>
      </c>
      <c r="M47" s="148"/>
    </row>
    <row r="48" spans="1:13" outlineLevel="3">
      <c r="A48" s="148" t="s">
        <v>126</v>
      </c>
      <c r="B48" s="148" t="s">
        <v>179</v>
      </c>
      <c r="C48" s="148" t="s">
        <v>131</v>
      </c>
      <c r="D48" s="148" t="s">
        <v>131</v>
      </c>
      <c r="E48" s="148" t="s">
        <v>180</v>
      </c>
      <c r="F48" s="149">
        <v>45901</v>
      </c>
      <c r="G48" s="150">
        <v>1060</v>
      </c>
      <c r="H48" s="150">
        <f t="shared" si="0"/>
        <v>1060</v>
      </c>
      <c r="I48" s="150"/>
      <c r="J48" s="150">
        <v>1033</v>
      </c>
      <c r="K48" s="150">
        <f t="shared" si="1"/>
        <v>27</v>
      </c>
      <c r="L48" s="151">
        <f t="shared" si="2"/>
        <v>2.6137463697967087E-2</v>
      </c>
      <c r="M48" s="148"/>
    </row>
    <row r="49" spans="1:13" outlineLevel="3">
      <c r="A49" s="148" t="s">
        <v>126</v>
      </c>
      <c r="B49" s="148" t="s">
        <v>179</v>
      </c>
      <c r="C49" s="148" t="s">
        <v>132</v>
      </c>
      <c r="D49" s="148" t="s">
        <v>132</v>
      </c>
      <c r="E49" s="148" t="s">
        <v>180</v>
      </c>
      <c r="F49" s="149">
        <v>45901</v>
      </c>
      <c r="G49" s="150">
        <v>1927.65</v>
      </c>
      <c r="H49" s="150">
        <f t="shared" si="0"/>
        <v>1927.65</v>
      </c>
      <c r="I49" s="150"/>
      <c r="J49" s="150">
        <v>1819.35</v>
      </c>
      <c r="K49" s="150">
        <f t="shared" si="1"/>
        <v>108.30000000000018</v>
      </c>
      <c r="L49" s="151">
        <f t="shared" si="2"/>
        <v>5.9526754060516218E-2</v>
      </c>
      <c r="M49" s="148"/>
    </row>
    <row r="50" spans="1:13" outlineLevel="2">
      <c r="A50" s="148"/>
      <c r="B50" s="173" t="s">
        <v>181</v>
      </c>
      <c r="C50" s="148"/>
      <c r="D50" s="148"/>
      <c r="E50" s="148"/>
      <c r="F50" s="149"/>
      <c r="G50" s="150">
        <f>SUBTOTAL(9,G46:G49)</f>
        <v>3777.65</v>
      </c>
      <c r="H50" s="150">
        <f>SUBTOTAL(9,H46:H49)</f>
        <v>3777.65</v>
      </c>
      <c r="I50" s="150">
        <f>SUBTOTAL(9,I46:I49)</f>
        <v>0</v>
      </c>
      <c r="J50" s="150">
        <f>SUBTOTAL(9,J46:J49)</f>
        <v>3630.35</v>
      </c>
      <c r="K50" s="150"/>
      <c r="L50" s="151"/>
      <c r="M50" s="148"/>
    </row>
    <row r="51" spans="1:13" outlineLevel="3">
      <c r="A51" s="148" t="s">
        <v>126</v>
      </c>
      <c r="B51" s="148" t="s">
        <v>182</v>
      </c>
      <c r="C51" s="148" t="s">
        <v>135</v>
      </c>
      <c r="D51" s="148" t="s">
        <v>135</v>
      </c>
      <c r="E51" s="148" t="s">
        <v>183</v>
      </c>
      <c r="F51" s="149">
        <v>45901</v>
      </c>
      <c r="G51" s="150">
        <v>335</v>
      </c>
      <c r="H51" s="150">
        <f t="shared" si="0"/>
        <v>335</v>
      </c>
      <c r="I51" s="150"/>
      <c r="J51" s="150">
        <v>335</v>
      </c>
      <c r="K51" s="150">
        <f t="shared" si="1"/>
        <v>0</v>
      </c>
      <c r="L51" s="151">
        <f t="shared" si="2"/>
        <v>0</v>
      </c>
      <c r="M51" s="148"/>
    </row>
    <row r="52" spans="1:13" outlineLevel="3">
      <c r="A52" s="148" t="s">
        <v>126</v>
      </c>
      <c r="B52" s="148" t="s">
        <v>182</v>
      </c>
      <c r="C52" s="148" t="s">
        <v>128</v>
      </c>
      <c r="D52" s="148" t="s">
        <v>128</v>
      </c>
      <c r="E52" s="148" t="s">
        <v>183</v>
      </c>
      <c r="F52" s="149">
        <v>45901</v>
      </c>
      <c r="G52" s="150">
        <v>3740.4614000000001</v>
      </c>
      <c r="H52" s="150">
        <f t="shared" si="0"/>
        <v>3740.4614000000001</v>
      </c>
      <c r="I52" s="150"/>
      <c r="J52" s="150">
        <v>3731.087</v>
      </c>
      <c r="K52" s="150">
        <f t="shared" si="1"/>
        <v>9.3744000000001506</v>
      </c>
      <c r="L52" s="151">
        <f t="shared" si="2"/>
        <v>2.5125117693584071E-3</v>
      </c>
      <c r="M52" s="148"/>
    </row>
    <row r="53" spans="1:13" outlineLevel="3">
      <c r="A53" s="148" t="s">
        <v>126</v>
      </c>
      <c r="B53" s="148" t="s">
        <v>182</v>
      </c>
      <c r="C53" s="148" t="s">
        <v>131</v>
      </c>
      <c r="D53" s="148" t="s">
        <v>131</v>
      </c>
      <c r="E53" s="148" t="s">
        <v>183</v>
      </c>
      <c r="F53" s="149">
        <v>45901</v>
      </c>
      <c r="G53" s="150">
        <v>3868</v>
      </c>
      <c r="H53" s="150">
        <f t="shared" si="0"/>
        <v>3868</v>
      </c>
      <c r="I53" s="150"/>
      <c r="J53" s="150">
        <v>3839</v>
      </c>
      <c r="K53" s="150">
        <f t="shared" si="1"/>
        <v>29</v>
      </c>
      <c r="L53" s="151">
        <f t="shared" si="2"/>
        <v>7.5540505339932278E-3</v>
      </c>
      <c r="M53" s="148"/>
    </row>
    <row r="54" spans="1:13" outlineLevel="3">
      <c r="A54" s="148" t="s">
        <v>126</v>
      </c>
      <c r="B54" s="148" t="s">
        <v>182</v>
      </c>
      <c r="C54" s="148" t="s">
        <v>132</v>
      </c>
      <c r="D54" s="148" t="s">
        <v>132</v>
      </c>
      <c r="E54" s="148" t="s">
        <v>183</v>
      </c>
      <c r="F54" s="149">
        <v>45901</v>
      </c>
      <c r="G54" s="150">
        <v>9170</v>
      </c>
      <c r="H54" s="150">
        <f t="shared" si="0"/>
        <v>9170</v>
      </c>
      <c r="I54" s="150"/>
      <c r="J54" s="150">
        <v>9280.0030000000006</v>
      </c>
      <c r="K54" s="150">
        <f t="shared" si="1"/>
        <v>-110.00300000000061</v>
      </c>
      <c r="L54" s="151">
        <f t="shared" si="2"/>
        <v>-1.1853767719687224E-2</v>
      </c>
      <c r="M54" s="148" t="s">
        <v>184</v>
      </c>
    </row>
    <row r="55" spans="1:13" outlineLevel="2">
      <c r="A55" s="148"/>
      <c r="B55" s="173" t="s">
        <v>185</v>
      </c>
      <c r="C55" s="148"/>
      <c r="D55" s="148"/>
      <c r="E55" s="148"/>
      <c r="F55" s="149"/>
      <c r="G55" s="150">
        <f>SUBTOTAL(9,G51:G54)</f>
        <v>17113.4614</v>
      </c>
      <c r="H55" s="150">
        <f>SUBTOTAL(9,H51:H54)</f>
        <v>17113.4614</v>
      </c>
      <c r="I55" s="150">
        <f>SUBTOTAL(9,I51:I54)</f>
        <v>0</v>
      </c>
      <c r="J55" s="150">
        <f>SUBTOTAL(9,J51:J54)</f>
        <v>17185.09</v>
      </c>
      <c r="K55" s="150"/>
      <c r="L55" s="151"/>
      <c r="M55" s="148"/>
    </row>
    <row r="56" spans="1:13" outlineLevel="3">
      <c r="A56" s="148" t="s">
        <v>126</v>
      </c>
      <c r="B56" s="148" t="s">
        <v>186</v>
      </c>
      <c r="C56" s="148" t="s">
        <v>128</v>
      </c>
      <c r="D56" s="148" t="s">
        <v>128</v>
      </c>
      <c r="E56" s="148" t="s">
        <v>187</v>
      </c>
      <c r="F56" s="149">
        <v>45901</v>
      </c>
      <c r="G56" s="150">
        <v>395.2</v>
      </c>
      <c r="H56" s="150">
        <f t="shared" si="0"/>
        <v>395.2</v>
      </c>
      <c r="I56" s="150"/>
      <c r="J56" s="150">
        <v>391.2</v>
      </c>
      <c r="K56" s="150">
        <f t="shared" si="1"/>
        <v>4</v>
      </c>
      <c r="L56" s="151">
        <f t="shared" si="2"/>
        <v>1.0224948875255624E-2</v>
      </c>
      <c r="M56" s="148"/>
    </row>
    <row r="57" spans="1:13" outlineLevel="3">
      <c r="A57" s="148" t="s">
        <v>126</v>
      </c>
      <c r="B57" s="148" t="s">
        <v>186</v>
      </c>
      <c r="C57" s="148" t="s">
        <v>131</v>
      </c>
      <c r="D57" s="148" t="s">
        <v>131</v>
      </c>
      <c r="E57" s="148" t="s">
        <v>187</v>
      </c>
      <c r="F57" s="149">
        <v>45901</v>
      </c>
      <c r="G57" s="150">
        <v>400</v>
      </c>
      <c r="H57" s="150">
        <f t="shared" si="0"/>
        <v>400</v>
      </c>
      <c r="I57" s="150"/>
      <c r="J57" s="150">
        <v>431</v>
      </c>
      <c r="K57" s="150">
        <f t="shared" si="1"/>
        <v>-31</v>
      </c>
      <c r="L57" s="151">
        <f t="shared" si="2"/>
        <v>-7.1925754060324823E-2</v>
      </c>
      <c r="M57" s="148" t="s">
        <v>188</v>
      </c>
    </row>
    <row r="58" spans="1:13" outlineLevel="3">
      <c r="A58" s="148" t="s">
        <v>126</v>
      </c>
      <c r="B58" s="148" t="s">
        <v>186</v>
      </c>
      <c r="C58" s="148" t="s">
        <v>132</v>
      </c>
      <c r="D58" s="148" t="s">
        <v>189</v>
      </c>
      <c r="E58" s="148" t="s">
        <v>187</v>
      </c>
      <c r="F58" s="149">
        <v>45901</v>
      </c>
      <c r="G58" s="150">
        <v>982</v>
      </c>
      <c r="H58" s="150">
        <f t="shared" si="0"/>
        <v>982</v>
      </c>
      <c r="I58" s="150"/>
      <c r="J58" s="150">
        <v>920</v>
      </c>
      <c r="K58" s="150">
        <f t="shared" si="1"/>
        <v>62</v>
      </c>
      <c r="L58" s="151">
        <f t="shared" si="2"/>
        <v>6.7391304347826086E-2</v>
      </c>
      <c r="M58" s="148"/>
    </row>
    <row r="59" spans="1:13" outlineLevel="2">
      <c r="A59" s="148"/>
      <c r="B59" s="173" t="s">
        <v>190</v>
      </c>
      <c r="C59" s="148"/>
      <c r="D59" s="148"/>
      <c r="E59" s="148"/>
      <c r="F59" s="149"/>
      <c r="G59" s="150">
        <f>SUBTOTAL(9,G56:G58)</f>
        <v>1777.2</v>
      </c>
      <c r="H59" s="150">
        <f>SUBTOTAL(9,H56:H58)</f>
        <v>1777.2</v>
      </c>
      <c r="I59" s="150">
        <f>SUBTOTAL(9,I56:I58)</f>
        <v>0</v>
      </c>
      <c r="J59" s="150">
        <f>SUBTOTAL(9,J56:J58)</f>
        <v>1742.2</v>
      </c>
      <c r="K59" s="150"/>
      <c r="L59" s="151"/>
      <c r="M59" s="148"/>
    </row>
    <row r="60" spans="1:13" outlineLevel="3">
      <c r="A60" s="148" t="s">
        <v>126</v>
      </c>
      <c r="B60" s="148" t="s">
        <v>191</v>
      </c>
      <c r="C60" s="148" t="s">
        <v>135</v>
      </c>
      <c r="D60" s="148" t="s">
        <v>192</v>
      </c>
      <c r="E60" s="148" t="s">
        <v>193</v>
      </c>
      <c r="F60" s="149">
        <v>45915</v>
      </c>
      <c r="G60" s="150">
        <v>484.62</v>
      </c>
      <c r="H60" s="150">
        <f t="shared" si="0"/>
        <v>484.62</v>
      </c>
      <c r="I60" s="150"/>
      <c r="J60" s="150">
        <v>546.41999999999996</v>
      </c>
      <c r="K60" s="150">
        <f t="shared" si="1"/>
        <v>-61.799999999999955</v>
      </c>
      <c r="L60" s="151">
        <f t="shared" si="2"/>
        <v>-0.11309981333040511</v>
      </c>
      <c r="M60" s="148" t="s">
        <v>194</v>
      </c>
    </row>
    <row r="61" spans="1:13" outlineLevel="3">
      <c r="A61" s="148" t="s">
        <v>126</v>
      </c>
      <c r="B61" s="148" t="s">
        <v>191</v>
      </c>
      <c r="C61" s="148" t="s">
        <v>128</v>
      </c>
      <c r="D61" s="148" t="s">
        <v>128</v>
      </c>
      <c r="E61" s="148" t="s">
        <v>193</v>
      </c>
      <c r="F61" s="149">
        <v>45915</v>
      </c>
      <c r="G61" s="150">
        <v>1540</v>
      </c>
      <c r="H61" s="150">
        <f t="shared" si="0"/>
        <v>1540</v>
      </c>
      <c r="I61" s="150"/>
      <c r="J61" s="150">
        <v>1540</v>
      </c>
      <c r="K61" s="150">
        <f t="shared" si="1"/>
        <v>0</v>
      </c>
      <c r="L61" s="151">
        <f t="shared" si="2"/>
        <v>0</v>
      </c>
      <c r="M61" s="148"/>
    </row>
    <row r="62" spans="1:13" outlineLevel="3">
      <c r="A62" s="148" t="s">
        <v>126</v>
      </c>
      <c r="B62" s="148" t="s">
        <v>191</v>
      </c>
      <c r="C62" s="148" t="s">
        <v>131</v>
      </c>
      <c r="D62" s="148" t="s">
        <v>131</v>
      </c>
      <c r="E62" s="148" t="s">
        <v>193</v>
      </c>
      <c r="F62" s="149">
        <v>45915</v>
      </c>
      <c r="G62" s="150">
        <v>250</v>
      </c>
      <c r="H62" s="150">
        <f t="shared" si="0"/>
        <v>250</v>
      </c>
      <c r="I62" s="150"/>
      <c r="J62" s="150">
        <v>250</v>
      </c>
      <c r="K62" s="150">
        <f t="shared" si="1"/>
        <v>0</v>
      </c>
      <c r="L62" s="151">
        <f t="shared" si="2"/>
        <v>0</v>
      </c>
      <c r="M62" s="148"/>
    </row>
    <row r="63" spans="1:13" outlineLevel="3">
      <c r="A63" s="148" t="s">
        <v>126</v>
      </c>
      <c r="B63" s="148" t="s">
        <v>191</v>
      </c>
      <c r="C63" s="148" t="s">
        <v>132</v>
      </c>
      <c r="D63" s="148" t="s">
        <v>132</v>
      </c>
      <c r="E63" s="148" t="s">
        <v>193</v>
      </c>
      <c r="F63" s="149">
        <v>45915</v>
      </c>
      <c r="G63" s="150">
        <v>2595.6</v>
      </c>
      <c r="H63" s="150">
        <f t="shared" si="0"/>
        <v>2595.6</v>
      </c>
      <c r="I63" s="150"/>
      <c r="J63" s="150">
        <v>2595.6</v>
      </c>
      <c r="K63" s="150">
        <f t="shared" si="1"/>
        <v>0</v>
      </c>
      <c r="L63" s="151">
        <f t="shared" si="2"/>
        <v>0</v>
      </c>
      <c r="M63" s="148"/>
    </row>
    <row r="64" spans="1:13" outlineLevel="2">
      <c r="A64" s="148"/>
      <c r="B64" s="173" t="s">
        <v>195</v>
      </c>
      <c r="C64" s="148"/>
      <c r="D64" s="148"/>
      <c r="E64" s="148"/>
      <c r="F64" s="149"/>
      <c r="G64" s="150">
        <f>SUBTOTAL(9,G60:G63)</f>
        <v>4870.2199999999993</v>
      </c>
      <c r="H64" s="150">
        <f>SUBTOTAL(9,H60:H63)</f>
        <v>4870.2199999999993</v>
      </c>
      <c r="I64" s="150">
        <f>SUBTOTAL(9,I60:I63)</f>
        <v>0</v>
      </c>
      <c r="J64" s="150">
        <f>SUBTOTAL(9,J60:J63)</f>
        <v>4932.0200000000004</v>
      </c>
      <c r="K64" s="150"/>
      <c r="L64" s="151"/>
      <c r="M64" s="148"/>
    </row>
    <row r="65" spans="1:13" outlineLevel="3">
      <c r="A65" s="148" t="s">
        <v>126</v>
      </c>
      <c r="B65" s="148" t="s">
        <v>196</v>
      </c>
      <c r="C65" s="148" t="s">
        <v>135</v>
      </c>
      <c r="D65" s="148" t="s">
        <v>135</v>
      </c>
      <c r="E65" s="148" t="s">
        <v>197</v>
      </c>
      <c r="F65" s="149">
        <v>45901</v>
      </c>
      <c r="G65" s="150">
        <v>500</v>
      </c>
      <c r="H65" s="150">
        <f t="shared" si="0"/>
        <v>500</v>
      </c>
      <c r="I65" s="150"/>
      <c r="J65" s="150">
        <v>500</v>
      </c>
      <c r="K65" s="150">
        <f t="shared" si="1"/>
        <v>0</v>
      </c>
      <c r="L65" s="151">
        <f t="shared" si="2"/>
        <v>0</v>
      </c>
      <c r="M65" s="148"/>
    </row>
    <row r="66" spans="1:13" outlineLevel="3">
      <c r="A66" s="148" t="s">
        <v>126</v>
      </c>
      <c r="B66" s="148" t="s">
        <v>196</v>
      </c>
      <c r="C66" s="148" t="s">
        <v>139</v>
      </c>
      <c r="D66" s="148" t="s">
        <v>139</v>
      </c>
      <c r="E66" s="148" t="s">
        <v>197</v>
      </c>
      <c r="F66" s="149">
        <v>45901</v>
      </c>
      <c r="G66" s="150">
        <v>664.8</v>
      </c>
      <c r="H66" s="150">
        <f t="shared" si="0"/>
        <v>664.8</v>
      </c>
      <c r="I66" s="150"/>
      <c r="J66" s="150">
        <v>664.8</v>
      </c>
      <c r="K66" s="150">
        <f t="shared" si="1"/>
        <v>0</v>
      </c>
      <c r="L66" s="151">
        <f t="shared" si="2"/>
        <v>0</v>
      </c>
      <c r="M66" s="148"/>
    </row>
    <row r="67" spans="1:13" outlineLevel="3">
      <c r="A67" s="148" t="s">
        <v>126</v>
      </c>
      <c r="B67" s="148" t="s">
        <v>196</v>
      </c>
      <c r="C67" s="148" t="s">
        <v>128</v>
      </c>
      <c r="D67" s="148" t="s">
        <v>128</v>
      </c>
      <c r="E67" s="148" t="s">
        <v>197</v>
      </c>
      <c r="F67" s="149">
        <v>45901</v>
      </c>
      <c r="G67" s="150">
        <v>95.5</v>
      </c>
      <c r="H67" s="150">
        <f t="shared" si="0"/>
        <v>95.5</v>
      </c>
      <c r="I67" s="150"/>
      <c r="J67" s="150">
        <v>100.5</v>
      </c>
      <c r="K67" s="150">
        <f t="shared" si="1"/>
        <v>-5</v>
      </c>
      <c r="L67" s="151">
        <f t="shared" si="2"/>
        <v>-4.975124378109453E-2</v>
      </c>
      <c r="M67" s="148" t="s">
        <v>198</v>
      </c>
    </row>
    <row r="68" spans="1:13" outlineLevel="3">
      <c r="A68" s="148" t="s">
        <v>126</v>
      </c>
      <c r="B68" s="148" t="s">
        <v>196</v>
      </c>
      <c r="C68" s="148" t="s">
        <v>131</v>
      </c>
      <c r="D68" s="148" t="s">
        <v>131</v>
      </c>
      <c r="E68" s="148" t="s">
        <v>197</v>
      </c>
      <c r="F68" s="149">
        <v>45901</v>
      </c>
      <c r="G68" s="150">
        <v>1156</v>
      </c>
      <c r="H68" s="150">
        <f t="shared" si="0"/>
        <v>1156</v>
      </c>
      <c r="I68" s="150"/>
      <c r="J68" s="150">
        <v>1163</v>
      </c>
      <c r="K68" s="150">
        <f t="shared" si="1"/>
        <v>-7</v>
      </c>
      <c r="L68" s="151">
        <f t="shared" si="2"/>
        <v>-6.0189165950128975E-3</v>
      </c>
      <c r="M68" s="148" t="s">
        <v>177</v>
      </c>
    </row>
    <row r="69" spans="1:13" outlineLevel="3">
      <c r="A69" s="148" t="s">
        <v>126</v>
      </c>
      <c r="B69" s="148" t="s">
        <v>196</v>
      </c>
      <c r="C69" s="148" t="s">
        <v>132</v>
      </c>
      <c r="D69" s="148" t="s">
        <v>132</v>
      </c>
      <c r="E69" s="148" t="s">
        <v>197</v>
      </c>
      <c r="F69" s="149">
        <v>45901</v>
      </c>
      <c r="G69" s="150">
        <v>1672.37</v>
      </c>
      <c r="H69" s="150">
        <f t="shared" si="0"/>
        <v>1672.37</v>
      </c>
      <c r="I69" s="150"/>
      <c r="J69" s="150">
        <v>1672.37</v>
      </c>
      <c r="K69" s="150">
        <f t="shared" si="1"/>
        <v>0</v>
      </c>
      <c r="L69" s="151">
        <f t="shared" si="2"/>
        <v>0</v>
      </c>
      <c r="M69" s="148"/>
    </row>
    <row r="70" spans="1:13" outlineLevel="2">
      <c r="A70" s="148"/>
      <c r="B70" s="173" t="s">
        <v>199</v>
      </c>
      <c r="C70" s="148"/>
      <c r="D70" s="148"/>
      <c r="E70" s="148"/>
      <c r="F70" s="149"/>
      <c r="G70" s="150">
        <f>SUBTOTAL(9,G65:G69)</f>
        <v>4088.67</v>
      </c>
      <c r="H70" s="150">
        <f>SUBTOTAL(9,H65:H69)</f>
        <v>4088.67</v>
      </c>
      <c r="I70" s="150">
        <f>SUBTOTAL(9,I65:I69)</f>
        <v>0</v>
      </c>
      <c r="J70" s="150">
        <f>SUBTOTAL(9,J65:J69)</f>
        <v>4100.67</v>
      </c>
      <c r="K70" s="150"/>
      <c r="L70" s="151"/>
      <c r="M70" s="148"/>
    </row>
    <row r="71" spans="1:13" outlineLevel="3">
      <c r="A71" s="148" t="s">
        <v>126</v>
      </c>
      <c r="B71" s="148" t="s">
        <v>200</v>
      </c>
      <c r="C71" s="148" t="s">
        <v>131</v>
      </c>
      <c r="D71" s="148" t="s">
        <v>201</v>
      </c>
      <c r="E71" s="148" t="s">
        <v>202</v>
      </c>
      <c r="F71" s="149">
        <v>45901</v>
      </c>
      <c r="G71" s="150">
        <v>789</v>
      </c>
      <c r="H71" s="150">
        <f t="shared" si="0"/>
        <v>789</v>
      </c>
      <c r="I71" s="150"/>
      <c r="J71" s="150">
        <v>769</v>
      </c>
      <c r="K71" s="150">
        <f t="shared" si="1"/>
        <v>20</v>
      </c>
      <c r="L71" s="151">
        <f t="shared" si="2"/>
        <v>2.600780234070221E-2</v>
      </c>
      <c r="M71" s="148"/>
    </row>
    <row r="72" spans="1:13" outlineLevel="3">
      <c r="A72" s="148" t="s">
        <v>126</v>
      </c>
      <c r="B72" s="148" t="s">
        <v>200</v>
      </c>
      <c r="C72" s="148" t="s">
        <v>132</v>
      </c>
      <c r="D72" s="148" t="s">
        <v>189</v>
      </c>
      <c r="E72" s="148" t="s">
        <v>202</v>
      </c>
      <c r="F72" s="149">
        <v>45901</v>
      </c>
      <c r="G72" s="150">
        <v>2690</v>
      </c>
      <c r="H72" s="150">
        <f t="shared" si="0"/>
        <v>2690</v>
      </c>
      <c r="I72" s="150"/>
      <c r="J72" s="150">
        <v>2828</v>
      </c>
      <c r="K72" s="150">
        <f t="shared" si="1"/>
        <v>-138</v>
      </c>
      <c r="L72" s="151">
        <f t="shared" si="2"/>
        <v>-4.8797736916548796E-2</v>
      </c>
      <c r="M72" s="148" t="s">
        <v>203</v>
      </c>
    </row>
    <row r="73" spans="1:13" outlineLevel="2">
      <c r="A73" s="148"/>
      <c r="B73" s="173" t="s">
        <v>204</v>
      </c>
      <c r="C73" s="148"/>
      <c r="D73" s="148"/>
      <c r="E73" s="148"/>
      <c r="F73" s="149"/>
      <c r="G73" s="150">
        <f>SUBTOTAL(9,G71:G72)</f>
        <v>3479</v>
      </c>
      <c r="H73" s="150">
        <f>SUBTOTAL(9,H71:H72)</f>
        <v>3479</v>
      </c>
      <c r="I73" s="150">
        <f>SUBTOTAL(9,I71:I72)</f>
        <v>0</v>
      </c>
      <c r="J73" s="150">
        <f>SUBTOTAL(9,J71:J72)</f>
        <v>3597</v>
      </c>
      <c r="K73" s="150"/>
      <c r="L73" s="151"/>
      <c r="M73" s="148"/>
    </row>
    <row r="74" spans="1:13" outlineLevel="3">
      <c r="A74" s="148" t="s">
        <v>126</v>
      </c>
      <c r="B74" s="148" t="s">
        <v>205</v>
      </c>
      <c r="C74" s="148" t="s">
        <v>139</v>
      </c>
      <c r="D74" s="148" t="s">
        <v>139</v>
      </c>
      <c r="E74" s="148" t="s">
        <v>206</v>
      </c>
      <c r="F74" s="149">
        <v>45901</v>
      </c>
      <c r="G74" s="150">
        <v>1026</v>
      </c>
      <c r="H74" s="150">
        <f t="shared" si="0"/>
        <v>1026</v>
      </c>
      <c r="I74" s="150"/>
      <c r="J74" s="150">
        <v>1026</v>
      </c>
      <c r="K74" s="150">
        <f t="shared" si="1"/>
        <v>0</v>
      </c>
      <c r="L74" s="151">
        <f t="shared" si="2"/>
        <v>0</v>
      </c>
      <c r="M74" s="148"/>
    </row>
    <row r="75" spans="1:13" outlineLevel="3">
      <c r="A75" s="148" t="s">
        <v>126</v>
      </c>
      <c r="B75" s="148" t="s">
        <v>205</v>
      </c>
      <c r="C75" s="148" t="s">
        <v>128</v>
      </c>
      <c r="D75" s="148" t="s">
        <v>128</v>
      </c>
      <c r="E75" s="148" t="s">
        <v>206</v>
      </c>
      <c r="F75" s="149">
        <v>45901</v>
      </c>
      <c r="G75" s="150">
        <v>774.64459999999997</v>
      </c>
      <c r="H75" s="150">
        <f t="shared" si="0"/>
        <v>774.64459999999997</v>
      </c>
      <c r="I75" s="150"/>
      <c r="J75" s="150">
        <v>769.83079999999995</v>
      </c>
      <c r="K75" s="150">
        <f t="shared" si="1"/>
        <v>4.8138000000000147</v>
      </c>
      <c r="L75" s="151">
        <f t="shared" si="2"/>
        <v>6.2530623612357611E-3</v>
      </c>
      <c r="M75" s="148"/>
    </row>
    <row r="76" spans="1:13" outlineLevel="3">
      <c r="A76" s="148" t="s">
        <v>126</v>
      </c>
      <c r="B76" s="148" t="s">
        <v>205</v>
      </c>
      <c r="C76" s="148" t="s">
        <v>131</v>
      </c>
      <c r="D76" s="148" t="s">
        <v>131</v>
      </c>
      <c r="E76" s="148" t="s">
        <v>206</v>
      </c>
      <c r="F76" s="149">
        <v>45901</v>
      </c>
      <c r="G76" s="150">
        <v>733</v>
      </c>
      <c r="H76" s="150">
        <f t="shared" si="0"/>
        <v>733</v>
      </c>
      <c r="I76" s="150"/>
      <c r="J76" s="150">
        <v>726</v>
      </c>
      <c r="K76" s="150">
        <f t="shared" si="1"/>
        <v>7</v>
      </c>
      <c r="L76" s="151">
        <f t="shared" si="2"/>
        <v>9.6418732782369149E-3</v>
      </c>
      <c r="M76" s="148"/>
    </row>
    <row r="77" spans="1:13" outlineLevel="3">
      <c r="A77" s="148" t="s">
        <v>126</v>
      </c>
      <c r="B77" s="148" t="s">
        <v>205</v>
      </c>
      <c r="C77" s="148" t="s">
        <v>132</v>
      </c>
      <c r="D77" s="148" t="s">
        <v>132</v>
      </c>
      <c r="E77" s="148" t="s">
        <v>206</v>
      </c>
      <c r="F77" s="149">
        <v>45901</v>
      </c>
      <c r="G77" s="150">
        <v>2708.94</v>
      </c>
      <c r="H77" s="150">
        <f t="shared" si="0"/>
        <v>2708.94</v>
      </c>
      <c r="I77" s="150"/>
      <c r="J77" s="150">
        <v>2708.94</v>
      </c>
      <c r="K77" s="150">
        <f t="shared" si="1"/>
        <v>0</v>
      </c>
      <c r="L77" s="151">
        <f t="shared" si="2"/>
        <v>0</v>
      </c>
      <c r="M77" s="148"/>
    </row>
    <row r="78" spans="1:13" outlineLevel="3">
      <c r="A78" s="148" t="s">
        <v>126</v>
      </c>
      <c r="B78" s="148" t="s">
        <v>205</v>
      </c>
      <c r="C78" s="148" t="s">
        <v>207</v>
      </c>
      <c r="D78" s="148" t="s">
        <v>207</v>
      </c>
      <c r="E78" s="148" t="s">
        <v>206</v>
      </c>
      <c r="F78" s="149">
        <v>45901</v>
      </c>
      <c r="G78" s="150">
        <v>55</v>
      </c>
      <c r="H78" s="150">
        <f t="shared" si="0"/>
        <v>55</v>
      </c>
      <c r="I78" s="150"/>
      <c r="J78" s="150">
        <v>55</v>
      </c>
      <c r="K78" s="150">
        <f t="shared" si="1"/>
        <v>0</v>
      </c>
      <c r="L78" s="151">
        <f t="shared" si="2"/>
        <v>0</v>
      </c>
      <c r="M78" s="148"/>
    </row>
    <row r="79" spans="1:13" outlineLevel="2">
      <c r="A79" s="148"/>
      <c r="B79" s="173" t="s">
        <v>208</v>
      </c>
      <c r="C79" s="148"/>
      <c r="D79" s="148"/>
      <c r="E79" s="148"/>
      <c r="F79" s="149"/>
      <c r="G79" s="150">
        <f>SUBTOTAL(9,G74:G78)</f>
        <v>5297.5846000000001</v>
      </c>
      <c r="H79" s="150">
        <f>SUBTOTAL(9,H74:H78)</f>
        <v>5297.5846000000001</v>
      </c>
      <c r="I79" s="150">
        <f>SUBTOTAL(9,I74:I78)</f>
        <v>0</v>
      </c>
      <c r="J79" s="150">
        <f>SUBTOTAL(9,J74:J78)</f>
        <v>5285.7708000000002</v>
      </c>
      <c r="K79" s="150"/>
      <c r="L79" s="151"/>
      <c r="M79" s="148"/>
    </row>
    <row r="80" spans="1:13" outlineLevel="3">
      <c r="A80" s="148" t="s">
        <v>126</v>
      </c>
      <c r="B80" s="148" t="s">
        <v>209</v>
      </c>
      <c r="C80" s="148" t="s">
        <v>139</v>
      </c>
      <c r="D80" s="148" t="s">
        <v>139</v>
      </c>
      <c r="E80" s="148" t="s">
        <v>210</v>
      </c>
      <c r="F80" s="149">
        <v>45901</v>
      </c>
      <c r="G80" s="150">
        <v>27</v>
      </c>
      <c r="H80" s="150">
        <f t="shared" si="0"/>
        <v>27</v>
      </c>
      <c r="I80" s="150"/>
      <c r="J80" s="150">
        <v>27</v>
      </c>
      <c r="K80" s="150">
        <f t="shared" si="1"/>
        <v>0</v>
      </c>
      <c r="L80" s="151">
        <f t="shared" si="2"/>
        <v>0</v>
      </c>
      <c r="M80" s="148"/>
    </row>
    <row r="81" spans="1:13" outlineLevel="3">
      <c r="A81" s="148" t="s">
        <v>126</v>
      </c>
      <c r="B81" s="148" t="s">
        <v>209</v>
      </c>
      <c r="C81" s="148" t="s">
        <v>128</v>
      </c>
      <c r="D81" s="148" t="s">
        <v>128</v>
      </c>
      <c r="E81" s="148" t="s">
        <v>210</v>
      </c>
      <c r="F81" s="149">
        <v>45901</v>
      </c>
      <c r="G81" s="150">
        <v>560.81880000000001</v>
      </c>
      <c r="H81" s="150">
        <f t="shared" si="0"/>
        <v>560.81880000000001</v>
      </c>
      <c r="I81" s="150"/>
      <c r="J81" s="150">
        <v>575.84699999999998</v>
      </c>
      <c r="K81" s="150">
        <f t="shared" si="1"/>
        <v>-15.02819999999997</v>
      </c>
      <c r="L81" s="151">
        <f t="shared" si="2"/>
        <v>-2.6097557163621537E-2</v>
      </c>
      <c r="M81" s="148" t="s">
        <v>211</v>
      </c>
    </row>
    <row r="82" spans="1:13" outlineLevel="3">
      <c r="A82" s="148" t="s">
        <v>126</v>
      </c>
      <c r="B82" s="148" t="s">
        <v>209</v>
      </c>
      <c r="C82" s="148" t="s">
        <v>131</v>
      </c>
      <c r="D82" s="148" t="s">
        <v>131</v>
      </c>
      <c r="E82" s="148" t="s">
        <v>210</v>
      </c>
      <c r="F82" s="149">
        <v>45901</v>
      </c>
      <c r="G82" s="150">
        <v>925</v>
      </c>
      <c r="H82" s="150">
        <f t="shared" si="0"/>
        <v>925</v>
      </c>
      <c r="I82" s="150"/>
      <c r="J82" s="150">
        <v>880</v>
      </c>
      <c r="K82" s="150">
        <f t="shared" si="1"/>
        <v>45</v>
      </c>
      <c r="L82" s="151">
        <f t="shared" si="2"/>
        <v>5.113636363636364E-2</v>
      </c>
      <c r="M82" s="148"/>
    </row>
    <row r="83" spans="1:13" outlineLevel="3">
      <c r="A83" s="148" t="s">
        <v>126</v>
      </c>
      <c r="B83" s="148" t="s">
        <v>209</v>
      </c>
      <c r="C83" s="148" t="s">
        <v>132</v>
      </c>
      <c r="D83" s="148" t="s">
        <v>132</v>
      </c>
      <c r="E83" s="148" t="s">
        <v>210</v>
      </c>
      <c r="F83" s="149">
        <v>45901</v>
      </c>
      <c r="G83" s="150">
        <v>7435.5811999999996</v>
      </c>
      <c r="H83" s="150">
        <f t="shared" ref="H83:H161" si="3">+G83</f>
        <v>7435.5811999999996</v>
      </c>
      <c r="I83" s="150"/>
      <c r="J83" s="150">
        <v>7435.5829999999996</v>
      </c>
      <c r="K83" s="150">
        <f t="shared" ref="K83:K161" si="4">+H83-J83</f>
        <v>-1.8000000000029104E-3</v>
      </c>
      <c r="L83" s="151">
        <f t="shared" ref="L83:L161" si="5">K83/J83</f>
        <v>-2.4207920212885936E-7</v>
      </c>
      <c r="M83" s="148"/>
    </row>
    <row r="84" spans="1:13" outlineLevel="2">
      <c r="A84" s="148"/>
      <c r="B84" s="173" t="s">
        <v>212</v>
      </c>
      <c r="C84" s="148"/>
      <c r="D84" s="148"/>
      <c r="E84" s="148"/>
      <c r="F84" s="149"/>
      <c r="G84" s="150">
        <f>SUBTOTAL(9,G80:G83)</f>
        <v>8948.4</v>
      </c>
      <c r="H84" s="150">
        <f>SUBTOTAL(9,H80:H83)</f>
        <v>8948.4</v>
      </c>
      <c r="I84" s="150">
        <f>SUBTOTAL(9,I80:I83)</f>
        <v>0</v>
      </c>
      <c r="J84" s="150">
        <f>SUBTOTAL(9,J80:J83)</f>
        <v>8918.43</v>
      </c>
      <c r="K84" s="150"/>
      <c r="L84" s="151"/>
      <c r="M84" s="148"/>
    </row>
    <row r="85" spans="1:13" outlineLevel="3">
      <c r="A85" s="148" t="s">
        <v>126</v>
      </c>
      <c r="B85" s="148" t="s">
        <v>213</v>
      </c>
      <c r="C85" s="148" t="s">
        <v>139</v>
      </c>
      <c r="D85" s="148" t="s">
        <v>139</v>
      </c>
      <c r="E85" s="148" t="s">
        <v>214</v>
      </c>
      <c r="F85" s="149">
        <v>45901</v>
      </c>
      <c r="G85" s="150">
        <v>388</v>
      </c>
      <c r="H85" s="150">
        <f t="shared" si="3"/>
        <v>388</v>
      </c>
      <c r="I85" s="150"/>
      <c r="J85" s="150">
        <v>388</v>
      </c>
      <c r="K85" s="150">
        <f t="shared" si="4"/>
        <v>0</v>
      </c>
      <c r="L85" s="151">
        <f t="shared" si="5"/>
        <v>0</v>
      </c>
      <c r="M85" s="148"/>
    </row>
    <row r="86" spans="1:13" outlineLevel="3">
      <c r="A86" s="148" t="s">
        <v>126</v>
      </c>
      <c r="B86" s="148" t="s">
        <v>213</v>
      </c>
      <c r="C86" s="148" t="s">
        <v>128</v>
      </c>
      <c r="D86" s="148" t="s">
        <v>128</v>
      </c>
      <c r="E86" s="148" t="s">
        <v>214</v>
      </c>
      <c r="F86" s="149">
        <v>45901</v>
      </c>
      <c r="G86" s="150">
        <v>397.22340000000003</v>
      </c>
      <c r="H86" s="150">
        <f t="shared" si="3"/>
        <v>397.22340000000003</v>
      </c>
      <c r="I86" s="150"/>
      <c r="J86" s="150">
        <v>395.23320000000001</v>
      </c>
      <c r="K86" s="150">
        <f t="shared" si="4"/>
        <v>1.9902000000000157</v>
      </c>
      <c r="L86" s="151">
        <f t="shared" si="5"/>
        <v>5.0355081506311102E-3</v>
      </c>
      <c r="M86" s="148"/>
    </row>
    <row r="87" spans="1:13" outlineLevel="3">
      <c r="A87" s="148" t="s">
        <v>126</v>
      </c>
      <c r="B87" s="148" t="s">
        <v>213</v>
      </c>
      <c r="C87" s="148" t="s">
        <v>131</v>
      </c>
      <c r="D87" s="148" t="s">
        <v>131</v>
      </c>
      <c r="E87" s="148" t="s">
        <v>214</v>
      </c>
      <c r="F87" s="149">
        <v>45901</v>
      </c>
      <c r="G87" s="150">
        <v>119</v>
      </c>
      <c r="H87" s="150">
        <f t="shared" si="3"/>
        <v>119</v>
      </c>
      <c r="I87" s="150"/>
      <c r="J87" s="150">
        <v>119</v>
      </c>
      <c r="K87" s="150">
        <f t="shared" si="4"/>
        <v>0</v>
      </c>
      <c r="L87" s="151">
        <f t="shared" si="5"/>
        <v>0</v>
      </c>
      <c r="M87" s="148"/>
    </row>
    <row r="88" spans="1:13" outlineLevel="3">
      <c r="A88" s="148" t="s">
        <v>126</v>
      </c>
      <c r="B88" s="148" t="s">
        <v>213</v>
      </c>
      <c r="C88" s="148" t="s">
        <v>132</v>
      </c>
      <c r="D88" s="148" t="s">
        <v>132</v>
      </c>
      <c r="E88" s="148" t="s">
        <v>214</v>
      </c>
      <c r="F88" s="149">
        <v>45901</v>
      </c>
      <c r="G88" s="150">
        <v>1451.47</v>
      </c>
      <c r="H88" s="150">
        <f t="shared" si="3"/>
        <v>1451.47</v>
      </c>
      <c r="I88" s="150"/>
      <c r="J88" s="150">
        <v>1451.47</v>
      </c>
      <c r="K88" s="150">
        <f t="shared" si="4"/>
        <v>0</v>
      </c>
      <c r="L88" s="151">
        <f t="shared" si="5"/>
        <v>0</v>
      </c>
      <c r="M88" s="148"/>
    </row>
    <row r="89" spans="1:13" outlineLevel="2">
      <c r="A89" s="148"/>
      <c r="B89" s="173" t="s">
        <v>215</v>
      </c>
      <c r="C89" s="148"/>
      <c r="D89" s="148"/>
      <c r="E89" s="148"/>
      <c r="F89" s="149"/>
      <c r="G89" s="150">
        <f>SUBTOTAL(9,G85:G88)</f>
        <v>2355.6934000000001</v>
      </c>
      <c r="H89" s="150">
        <f>SUBTOTAL(9,H85:H88)</f>
        <v>2355.6934000000001</v>
      </c>
      <c r="I89" s="150">
        <f>SUBTOTAL(9,I85:I88)</f>
        <v>0</v>
      </c>
      <c r="J89" s="150">
        <f>SUBTOTAL(9,J85:J88)</f>
        <v>2353.7031999999999</v>
      </c>
      <c r="K89" s="150"/>
      <c r="L89" s="151"/>
      <c r="M89" s="148"/>
    </row>
    <row r="90" spans="1:13" outlineLevel="3">
      <c r="A90" s="148" t="s">
        <v>126</v>
      </c>
      <c r="B90" s="148" t="s">
        <v>216</v>
      </c>
      <c r="C90" s="148" t="s">
        <v>135</v>
      </c>
      <c r="D90" s="148" t="s">
        <v>135</v>
      </c>
      <c r="E90" s="148" t="s">
        <v>217</v>
      </c>
      <c r="F90" s="149">
        <v>45901</v>
      </c>
      <c r="G90" s="150">
        <v>501.79</v>
      </c>
      <c r="H90" s="150">
        <f t="shared" si="3"/>
        <v>501.79</v>
      </c>
      <c r="I90" s="150"/>
      <c r="J90" s="150">
        <v>493</v>
      </c>
      <c r="K90" s="150">
        <f t="shared" si="4"/>
        <v>8.7900000000000205</v>
      </c>
      <c r="L90" s="151">
        <f t="shared" si="5"/>
        <v>1.7829614604462515E-2</v>
      </c>
      <c r="M90" s="148"/>
    </row>
    <row r="91" spans="1:13" outlineLevel="3">
      <c r="A91" s="148" t="s">
        <v>126</v>
      </c>
      <c r="B91" s="148" t="s">
        <v>216</v>
      </c>
      <c r="C91" s="148" t="s">
        <v>139</v>
      </c>
      <c r="D91" s="148" t="s">
        <v>218</v>
      </c>
      <c r="E91" s="148" t="s">
        <v>217</v>
      </c>
      <c r="F91" s="149">
        <v>45901</v>
      </c>
      <c r="G91" s="150">
        <v>352</v>
      </c>
      <c r="H91" s="150">
        <f t="shared" si="3"/>
        <v>352</v>
      </c>
      <c r="I91" s="150"/>
      <c r="J91" s="150">
        <v>352</v>
      </c>
      <c r="K91" s="150">
        <f t="shared" si="4"/>
        <v>0</v>
      </c>
      <c r="L91" s="151">
        <f t="shared" si="5"/>
        <v>0</v>
      </c>
      <c r="M91" s="148"/>
    </row>
    <row r="92" spans="1:13" outlineLevel="3">
      <c r="A92" s="148" t="s">
        <v>126</v>
      </c>
      <c r="B92" s="148" t="s">
        <v>216</v>
      </c>
      <c r="C92" s="148" t="s">
        <v>128</v>
      </c>
      <c r="D92" s="148" t="s">
        <v>128</v>
      </c>
      <c r="E92" s="148" t="s">
        <v>217</v>
      </c>
      <c r="F92" s="149">
        <v>45901</v>
      </c>
      <c r="G92" s="150">
        <v>119.5</v>
      </c>
      <c r="H92" s="150">
        <f t="shared" si="3"/>
        <v>119.5</v>
      </c>
      <c r="I92" s="150"/>
      <c r="J92" s="150">
        <v>119.5</v>
      </c>
      <c r="K92" s="150">
        <f t="shared" si="4"/>
        <v>0</v>
      </c>
      <c r="L92" s="151">
        <f t="shared" si="5"/>
        <v>0</v>
      </c>
      <c r="M92" s="148"/>
    </row>
    <row r="93" spans="1:13" outlineLevel="3">
      <c r="A93" s="148" t="s">
        <v>126</v>
      </c>
      <c r="B93" s="148" t="s">
        <v>216</v>
      </c>
      <c r="C93" s="148" t="s">
        <v>131</v>
      </c>
      <c r="D93" s="148" t="s">
        <v>131</v>
      </c>
      <c r="E93" s="148" t="s">
        <v>217</v>
      </c>
      <c r="F93" s="149">
        <v>45901</v>
      </c>
      <c r="G93" s="150">
        <v>355</v>
      </c>
      <c r="H93" s="150">
        <f t="shared" si="3"/>
        <v>355</v>
      </c>
      <c r="I93" s="150"/>
      <c r="J93" s="150">
        <v>355</v>
      </c>
      <c r="K93" s="150">
        <f t="shared" si="4"/>
        <v>0</v>
      </c>
      <c r="L93" s="151">
        <f t="shared" si="5"/>
        <v>0</v>
      </c>
      <c r="M93" s="148"/>
    </row>
    <row r="94" spans="1:13" outlineLevel="3">
      <c r="A94" s="148" t="s">
        <v>126</v>
      </c>
      <c r="B94" s="148" t="s">
        <v>216</v>
      </c>
      <c r="C94" s="148" t="s">
        <v>132</v>
      </c>
      <c r="D94" s="148" t="s">
        <v>219</v>
      </c>
      <c r="E94" s="148" t="s">
        <v>217</v>
      </c>
      <c r="F94" s="149">
        <v>45901</v>
      </c>
      <c r="G94" s="150">
        <v>4522.21</v>
      </c>
      <c r="H94" s="150">
        <f t="shared" si="3"/>
        <v>4522.21</v>
      </c>
      <c r="I94" s="150"/>
      <c r="J94" s="150">
        <v>4522.21</v>
      </c>
      <c r="K94" s="150">
        <f t="shared" si="4"/>
        <v>0</v>
      </c>
      <c r="L94" s="151">
        <f t="shared" si="5"/>
        <v>0</v>
      </c>
      <c r="M94" s="148"/>
    </row>
    <row r="95" spans="1:13" outlineLevel="2">
      <c r="A95" s="148"/>
      <c r="B95" s="173" t="s">
        <v>220</v>
      </c>
      <c r="C95" s="148"/>
      <c r="D95" s="148"/>
      <c r="E95" s="148"/>
      <c r="F95" s="149"/>
      <c r="G95" s="150">
        <f>SUBTOTAL(9,G90:G94)</f>
        <v>5850.5</v>
      </c>
      <c r="H95" s="150">
        <f>SUBTOTAL(9,H90:H94)</f>
        <v>5850.5</v>
      </c>
      <c r="I95" s="150">
        <f>SUBTOTAL(9,I90:I94)</f>
        <v>0</v>
      </c>
      <c r="J95" s="150">
        <f>SUBTOTAL(9,J90:J94)</f>
        <v>5841.71</v>
      </c>
      <c r="K95" s="150"/>
      <c r="L95" s="151"/>
      <c r="M95" s="148"/>
    </row>
    <row r="96" spans="1:13" outlineLevel="3">
      <c r="A96" s="148" t="s">
        <v>126</v>
      </c>
      <c r="B96" s="148" t="s">
        <v>221</v>
      </c>
      <c r="C96" s="148" t="s">
        <v>135</v>
      </c>
      <c r="D96" s="148" t="s">
        <v>222</v>
      </c>
      <c r="E96" s="148" t="s">
        <v>223</v>
      </c>
      <c r="F96" s="149">
        <v>45915</v>
      </c>
      <c r="G96" s="150">
        <v>334.75</v>
      </c>
      <c r="H96" s="150">
        <f t="shared" si="3"/>
        <v>334.75</v>
      </c>
      <c r="I96" s="150"/>
      <c r="J96" s="150">
        <v>334.75</v>
      </c>
      <c r="K96" s="150">
        <f t="shared" si="4"/>
        <v>0</v>
      </c>
      <c r="L96" s="151">
        <f t="shared" si="5"/>
        <v>0</v>
      </c>
      <c r="M96" s="148"/>
    </row>
    <row r="97" spans="1:13" outlineLevel="3">
      <c r="A97" s="148" t="s">
        <v>126</v>
      </c>
      <c r="B97" s="148" t="s">
        <v>221</v>
      </c>
      <c r="C97" s="148" t="s">
        <v>128</v>
      </c>
      <c r="D97" s="148" t="s">
        <v>128</v>
      </c>
      <c r="E97" s="148" t="s">
        <v>223</v>
      </c>
      <c r="F97" s="149">
        <v>45915</v>
      </c>
      <c r="G97" s="150">
        <v>0</v>
      </c>
      <c r="H97" s="150">
        <f t="shared" si="3"/>
        <v>0</v>
      </c>
      <c r="I97" s="150"/>
      <c r="J97" s="150">
        <v>0</v>
      </c>
      <c r="K97" s="150">
        <f t="shared" si="4"/>
        <v>0</v>
      </c>
      <c r="L97" s="151"/>
      <c r="M97" s="148"/>
    </row>
    <row r="98" spans="1:13" outlineLevel="3">
      <c r="A98" s="148" t="s">
        <v>126</v>
      </c>
      <c r="B98" s="148" t="s">
        <v>221</v>
      </c>
      <c r="C98" s="148" t="s">
        <v>128</v>
      </c>
      <c r="D98" s="148" t="s">
        <v>162</v>
      </c>
      <c r="E98" s="148" t="s">
        <v>224</v>
      </c>
      <c r="F98" s="149">
        <v>45915</v>
      </c>
      <c r="G98" s="150">
        <v>4.165</v>
      </c>
      <c r="H98" s="150">
        <f t="shared" si="3"/>
        <v>4.165</v>
      </c>
      <c r="I98" s="150"/>
      <c r="J98" s="150">
        <v>8.33</v>
      </c>
      <c r="K98" s="150">
        <f t="shared" si="4"/>
        <v>-4.165</v>
      </c>
      <c r="L98" s="151">
        <f t="shared" si="5"/>
        <v>-0.5</v>
      </c>
      <c r="M98" s="148" t="s">
        <v>225</v>
      </c>
    </row>
    <row r="99" spans="1:13" outlineLevel="3">
      <c r="A99" s="148" t="s">
        <v>126</v>
      </c>
      <c r="B99" s="148" t="s">
        <v>221</v>
      </c>
      <c r="C99" s="148" t="s">
        <v>131</v>
      </c>
      <c r="D99" s="148" t="s">
        <v>131</v>
      </c>
      <c r="E99" s="148" t="s">
        <v>223</v>
      </c>
      <c r="F99" s="149">
        <v>45915</v>
      </c>
      <c r="G99" s="150">
        <v>299</v>
      </c>
      <c r="H99" s="150">
        <f t="shared" si="3"/>
        <v>299</v>
      </c>
      <c r="I99" s="150"/>
      <c r="J99" s="150">
        <v>299</v>
      </c>
      <c r="K99" s="150">
        <f t="shared" si="4"/>
        <v>0</v>
      </c>
      <c r="L99" s="151">
        <f t="shared" si="5"/>
        <v>0</v>
      </c>
      <c r="M99" s="148"/>
    </row>
    <row r="100" spans="1:13" outlineLevel="3">
      <c r="A100" s="148" t="s">
        <v>126</v>
      </c>
      <c r="B100" s="148" t="s">
        <v>221</v>
      </c>
      <c r="C100" s="148" t="s">
        <v>132</v>
      </c>
      <c r="D100" s="148" t="s">
        <v>132</v>
      </c>
      <c r="E100" s="148" t="s">
        <v>223</v>
      </c>
      <c r="F100" s="149">
        <v>45915</v>
      </c>
      <c r="G100" s="150">
        <v>919.3</v>
      </c>
      <c r="H100" s="150">
        <f t="shared" si="3"/>
        <v>919.3</v>
      </c>
      <c r="I100" s="150"/>
      <c r="J100" s="150">
        <v>919.3</v>
      </c>
      <c r="K100" s="150">
        <f t="shared" si="4"/>
        <v>0</v>
      </c>
      <c r="L100" s="151">
        <f t="shared" si="5"/>
        <v>0</v>
      </c>
      <c r="M100" s="148"/>
    </row>
    <row r="101" spans="1:13" outlineLevel="2">
      <c r="A101" s="148"/>
      <c r="B101" s="173" t="s">
        <v>226</v>
      </c>
      <c r="C101" s="148"/>
      <c r="D101" s="148"/>
      <c r="E101" s="148"/>
      <c r="F101" s="149"/>
      <c r="G101" s="150">
        <f>SUBTOTAL(9,G96:G100)</f>
        <v>1557.2149999999999</v>
      </c>
      <c r="H101" s="150">
        <f>SUBTOTAL(9,H96:H100)</f>
        <v>1557.2149999999999</v>
      </c>
      <c r="I101" s="150">
        <f>SUBTOTAL(9,I96:I100)</f>
        <v>0</v>
      </c>
      <c r="J101" s="150">
        <f>SUBTOTAL(9,J96:J100)</f>
        <v>1561.3799999999999</v>
      </c>
      <c r="K101" s="150"/>
      <c r="L101" s="151"/>
      <c r="M101" s="148"/>
    </row>
    <row r="102" spans="1:13" outlineLevel="3">
      <c r="A102" s="148" t="s">
        <v>126</v>
      </c>
      <c r="B102" s="148" t="s">
        <v>227</v>
      </c>
      <c r="C102" s="148" t="s">
        <v>128</v>
      </c>
      <c r="D102" s="148" t="s">
        <v>162</v>
      </c>
      <c r="E102" s="148" t="s">
        <v>228</v>
      </c>
      <c r="F102" s="149">
        <v>45901</v>
      </c>
      <c r="G102" s="150">
        <v>828.14760000000001</v>
      </c>
      <c r="H102" s="150">
        <f t="shared" si="3"/>
        <v>828.14760000000001</v>
      </c>
      <c r="I102" s="150"/>
      <c r="J102" s="150">
        <v>801.51120000000003</v>
      </c>
      <c r="K102" s="150">
        <f t="shared" si="4"/>
        <v>26.636399999999981</v>
      </c>
      <c r="L102" s="151">
        <f t="shared" si="5"/>
        <v>3.3232723385524715E-2</v>
      </c>
      <c r="M102" s="148"/>
    </row>
    <row r="103" spans="1:13" outlineLevel="3">
      <c r="A103" s="148" t="s">
        <v>126</v>
      </c>
      <c r="B103" s="148" t="s">
        <v>227</v>
      </c>
      <c r="C103" s="148" t="s">
        <v>132</v>
      </c>
      <c r="D103" s="148" t="s">
        <v>229</v>
      </c>
      <c r="E103" s="148" t="s">
        <v>228</v>
      </c>
      <c r="F103" s="149">
        <v>45901</v>
      </c>
      <c r="G103" s="150">
        <v>7845.0024000000003</v>
      </c>
      <c r="H103" s="150">
        <f t="shared" si="3"/>
        <v>7845.0024000000003</v>
      </c>
      <c r="I103" s="150"/>
      <c r="J103" s="150">
        <v>7845</v>
      </c>
      <c r="K103" s="150">
        <f t="shared" si="4"/>
        <v>2.4000000003070454E-3</v>
      </c>
      <c r="L103" s="151">
        <f t="shared" si="5"/>
        <v>3.0592734229535317E-7</v>
      </c>
      <c r="M103" s="148"/>
    </row>
    <row r="104" spans="1:13" outlineLevel="2">
      <c r="A104" s="148"/>
      <c r="B104" s="173" t="s">
        <v>230</v>
      </c>
      <c r="C104" s="148"/>
      <c r="D104" s="148"/>
      <c r="E104" s="148"/>
      <c r="F104" s="149"/>
      <c r="G104" s="150">
        <f>SUBTOTAL(9,G102:G103)</f>
        <v>8673.15</v>
      </c>
      <c r="H104" s="150">
        <f>SUBTOTAL(9,H102:H103)</f>
        <v>8673.15</v>
      </c>
      <c r="I104" s="150">
        <f>SUBTOTAL(9,I102:I103)</f>
        <v>0</v>
      </c>
      <c r="J104" s="150">
        <f>SUBTOTAL(9,J102:J103)</f>
        <v>8646.5112000000008</v>
      </c>
      <c r="K104" s="150"/>
      <c r="L104" s="151"/>
      <c r="M104" s="148"/>
    </row>
    <row r="105" spans="1:13" outlineLevel="3">
      <c r="A105" s="148" t="s">
        <v>126</v>
      </c>
      <c r="B105" s="148" t="s">
        <v>231</v>
      </c>
      <c r="C105" s="148" t="s">
        <v>128</v>
      </c>
      <c r="D105" s="148" t="s">
        <v>128</v>
      </c>
      <c r="E105" s="148" t="s">
        <v>232</v>
      </c>
      <c r="F105" s="149">
        <v>45901</v>
      </c>
      <c r="G105" s="150">
        <v>211.37039999999999</v>
      </c>
      <c r="H105" s="150">
        <f t="shared" si="3"/>
        <v>211.37039999999999</v>
      </c>
      <c r="I105" s="150"/>
      <c r="J105" s="150">
        <v>207.78720000000001</v>
      </c>
      <c r="K105" s="150">
        <f t="shared" si="4"/>
        <v>3.5831999999999766</v>
      </c>
      <c r="L105" s="151">
        <f t="shared" si="5"/>
        <v>1.7244565594030703E-2</v>
      </c>
      <c r="M105" s="148"/>
    </row>
    <row r="106" spans="1:13" outlineLevel="3">
      <c r="A106" s="148" t="s">
        <v>126</v>
      </c>
      <c r="B106" s="148" t="s">
        <v>231</v>
      </c>
      <c r="C106" s="148" t="s">
        <v>131</v>
      </c>
      <c r="D106" s="148" t="s">
        <v>131</v>
      </c>
      <c r="E106" s="148" t="s">
        <v>232</v>
      </c>
      <c r="F106" s="149">
        <v>45901</v>
      </c>
      <c r="G106" s="150">
        <v>509</v>
      </c>
      <c r="H106" s="150">
        <f t="shared" si="3"/>
        <v>509</v>
      </c>
      <c r="I106" s="150"/>
      <c r="J106" s="150">
        <v>509</v>
      </c>
      <c r="K106" s="150">
        <f t="shared" si="4"/>
        <v>0</v>
      </c>
      <c r="L106" s="151">
        <f t="shared" si="5"/>
        <v>0</v>
      </c>
      <c r="M106" s="148"/>
    </row>
    <row r="107" spans="1:13" outlineLevel="3">
      <c r="A107" s="148" t="s">
        <v>126</v>
      </c>
      <c r="B107" s="148" t="s">
        <v>231</v>
      </c>
      <c r="C107" s="148" t="s">
        <v>132</v>
      </c>
      <c r="D107" s="148" t="s">
        <v>233</v>
      </c>
      <c r="E107" s="148" t="s">
        <v>232</v>
      </c>
      <c r="F107" s="149">
        <v>45901</v>
      </c>
      <c r="G107" s="150">
        <v>2832.85</v>
      </c>
      <c r="H107" s="150">
        <f t="shared" si="3"/>
        <v>2832.85</v>
      </c>
      <c r="I107" s="150"/>
      <c r="J107" s="150">
        <v>2832.8528000000001</v>
      </c>
      <c r="K107" s="150">
        <f t="shared" si="4"/>
        <v>-2.8000000002066372E-3</v>
      </c>
      <c r="L107" s="151">
        <f t="shared" si="5"/>
        <v>-9.884029273270524E-7</v>
      </c>
      <c r="M107" s="148"/>
    </row>
    <row r="108" spans="1:13" outlineLevel="3">
      <c r="A108" s="148" t="s">
        <v>126</v>
      </c>
      <c r="B108" s="148" t="s">
        <v>231</v>
      </c>
      <c r="C108" s="148" t="s">
        <v>207</v>
      </c>
      <c r="D108" s="148" t="s">
        <v>207</v>
      </c>
      <c r="E108" s="148" t="s">
        <v>232</v>
      </c>
      <c r="F108" s="149">
        <v>45901</v>
      </c>
      <c r="G108" s="150">
        <v>236.25</v>
      </c>
      <c r="H108" s="150">
        <f t="shared" si="3"/>
        <v>236.25</v>
      </c>
      <c r="I108" s="150"/>
      <c r="J108" s="150">
        <v>236.25</v>
      </c>
      <c r="K108" s="150">
        <f t="shared" si="4"/>
        <v>0</v>
      </c>
      <c r="L108" s="151">
        <f t="shared" si="5"/>
        <v>0</v>
      </c>
      <c r="M108" s="148"/>
    </row>
    <row r="109" spans="1:13" outlineLevel="2">
      <c r="A109" s="148"/>
      <c r="B109" s="173" t="s">
        <v>234</v>
      </c>
      <c r="C109" s="148"/>
      <c r="D109" s="148"/>
      <c r="E109" s="148"/>
      <c r="F109" s="149"/>
      <c r="G109" s="150">
        <f>SUBTOTAL(9,G105:G108)</f>
        <v>3789.4704000000002</v>
      </c>
      <c r="H109" s="150">
        <f>SUBTOTAL(9,H105:H108)</f>
        <v>3789.4704000000002</v>
      </c>
      <c r="I109" s="150">
        <f>SUBTOTAL(9,I105:I108)</f>
        <v>0</v>
      </c>
      <c r="J109" s="150">
        <f>SUBTOTAL(9,J105:J108)</f>
        <v>3785.8900000000003</v>
      </c>
      <c r="K109" s="150"/>
      <c r="L109" s="151"/>
      <c r="M109" s="148"/>
    </row>
    <row r="110" spans="1:13" outlineLevel="3">
      <c r="A110" s="148" t="s">
        <v>126</v>
      </c>
      <c r="B110" s="148" t="s">
        <v>235</v>
      </c>
      <c r="C110" s="148" t="s">
        <v>128</v>
      </c>
      <c r="D110" s="148" t="s">
        <v>162</v>
      </c>
      <c r="E110" s="148" t="s">
        <v>236</v>
      </c>
      <c r="F110" s="149">
        <v>45901</v>
      </c>
      <c r="G110" s="150">
        <v>312.5514</v>
      </c>
      <c r="H110" s="150">
        <f t="shared" si="3"/>
        <v>312.5514</v>
      </c>
      <c r="I110" s="150"/>
      <c r="J110" s="150">
        <v>311.45519999999999</v>
      </c>
      <c r="K110" s="150">
        <f t="shared" si="4"/>
        <v>1.0962000000000103</v>
      </c>
      <c r="L110" s="151">
        <f t="shared" si="5"/>
        <v>3.5196073143104059E-3</v>
      </c>
      <c r="M110" s="148"/>
    </row>
    <row r="111" spans="1:13" outlineLevel="3">
      <c r="A111" s="148" t="s">
        <v>126</v>
      </c>
      <c r="B111" s="148" t="s">
        <v>235</v>
      </c>
      <c r="C111" s="148" t="s">
        <v>131</v>
      </c>
      <c r="D111" s="148" t="s">
        <v>237</v>
      </c>
      <c r="E111" s="148" t="s">
        <v>236</v>
      </c>
      <c r="F111" s="149">
        <v>45901</v>
      </c>
      <c r="G111" s="150">
        <v>461.5</v>
      </c>
      <c r="H111" s="150">
        <f t="shared" si="3"/>
        <v>461.5</v>
      </c>
      <c r="I111" s="150"/>
      <c r="J111" s="150">
        <v>403</v>
      </c>
      <c r="K111" s="150">
        <f t="shared" si="4"/>
        <v>58.5</v>
      </c>
      <c r="L111" s="151">
        <f t="shared" si="5"/>
        <v>0.14516129032258066</v>
      </c>
      <c r="M111" s="148"/>
    </row>
    <row r="112" spans="1:13" outlineLevel="3">
      <c r="A112" s="148" t="s">
        <v>126</v>
      </c>
      <c r="B112" s="148" t="s">
        <v>235</v>
      </c>
      <c r="C112" s="148" t="s">
        <v>132</v>
      </c>
      <c r="D112" s="148" t="s">
        <v>229</v>
      </c>
      <c r="E112" s="148" t="s">
        <v>236</v>
      </c>
      <c r="F112" s="149">
        <v>45901</v>
      </c>
      <c r="G112" s="150">
        <v>3385</v>
      </c>
      <c r="H112" s="150">
        <f t="shared" si="3"/>
        <v>3385</v>
      </c>
      <c r="I112" s="150"/>
      <c r="J112" s="150">
        <v>3700.0048000000002</v>
      </c>
      <c r="K112" s="150">
        <f t="shared" si="4"/>
        <v>-315.00480000000016</v>
      </c>
      <c r="L112" s="151">
        <f t="shared" si="5"/>
        <v>-8.5136321985312055E-2</v>
      </c>
      <c r="M112" s="148" t="s">
        <v>238</v>
      </c>
    </row>
    <row r="113" spans="1:13" outlineLevel="2">
      <c r="A113" s="148"/>
      <c r="B113" s="173" t="s">
        <v>239</v>
      </c>
      <c r="C113" s="148"/>
      <c r="D113" s="148"/>
      <c r="E113" s="148"/>
      <c r="F113" s="149"/>
      <c r="G113" s="150">
        <f>SUBTOTAL(9,G110:G112)</f>
        <v>4159.0514000000003</v>
      </c>
      <c r="H113" s="150">
        <f>SUBTOTAL(9,H110:H112)</f>
        <v>4159.0514000000003</v>
      </c>
      <c r="I113" s="150">
        <f>SUBTOTAL(9,I110:I112)</f>
        <v>0</v>
      </c>
      <c r="J113" s="150">
        <f>SUBTOTAL(9,J110:J112)</f>
        <v>4414.46</v>
      </c>
      <c r="K113" s="150"/>
      <c r="L113" s="151"/>
      <c r="M113" s="148"/>
    </row>
    <row r="114" spans="1:13" outlineLevel="3">
      <c r="A114" s="148" t="s">
        <v>126</v>
      </c>
      <c r="B114" s="148" t="s">
        <v>240</v>
      </c>
      <c r="C114" s="148" t="s">
        <v>139</v>
      </c>
      <c r="D114" s="148" t="s">
        <v>139</v>
      </c>
      <c r="E114" s="148" t="s">
        <v>241</v>
      </c>
      <c r="F114" s="149">
        <v>45901</v>
      </c>
      <c r="G114" s="150">
        <v>361.2</v>
      </c>
      <c r="H114" s="150">
        <f t="shared" si="3"/>
        <v>361.2</v>
      </c>
      <c r="I114" s="150"/>
      <c r="J114" s="150">
        <v>361.2</v>
      </c>
      <c r="K114" s="150">
        <f t="shared" si="4"/>
        <v>0</v>
      </c>
      <c r="L114" s="151">
        <f t="shared" si="5"/>
        <v>0</v>
      </c>
      <c r="M114" s="148"/>
    </row>
    <row r="115" spans="1:13" outlineLevel="3">
      <c r="A115" s="148" t="s">
        <v>126</v>
      </c>
      <c r="B115" s="148" t="s">
        <v>240</v>
      </c>
      <c r="C115" s="148" t="s">
        <v>128</v>
      </c>
      <c r="D115" s="148" t="s">
        <v>128</v>
      </c>
      <c r="E115" s="148" t="s">
        <v>241</v>
      </c>
      <c r="F115" s="149">
        <v>45901</v>
      </c>
      <c r="G115" s="150">
        <v>221.30799999999999</v>
      </c>
      <c r="H115" s="150">
        <f t="shared" si="3"/>
        <v>221.30799999999999</v>
      </c>
      <c r="I115" s="150"/>
      <c r="J115" s="150">
        <v>224.17779999999999</v>
      </c>
      <c r="K115" s="150">
        <f t="shared" si="4"/>
        <v>-2.8697999999999979</v>
      </c>
      <c r="L115" s="151">
        <f t="shared" si="5"/>
        <v>-1.2801445995098524E-2</v>
      </c>
      <c r="M115" s="148" t="s">
        <v>242</v>
      </c>
    </row>
    <row r="116" spans="1:13" outlineLevel="3">
      <c r="A116" s="148" t="s">
        <v>126</v>
      </c>
      <c r="B116" s="148" t="s">
        <v>240</v>
      </c>
      <c r="C116" s="148" t="s">
        <v>131</v>
      </c>
      <c r="D116" s="148" t="s">
        <v>155</v>
      </c>
      <c r="E116" s="148" t="s">
        <v>241</v>
      </c>
      <c r="F116" s="149">
        <v>45901</v>
      </c>
      <c r="G116" s="150">
        <v>412</v>
      </c>
      <c r="H116" s="150">
        <f t="shared" si="3"/>
        <v>412</v>
      </c>
      <c r="I116" s="150"/>
      <c r="J116" s="150">
        <v>412</v>
      </c>
      <c r="K116" s="150">
        <f t="shared" si="4"/>
        <v>0</v>
      </c>
      <c r="L116" s="151">
        <f t="shared" si="5"/>
        <v>0</v>
      </c>
      <c r="M116" s="148"/>
    </row>
    <row r="117" spans="1:13" outlineLevel="3">
      <c r="A117" s="148" t="s">
        <v>126</v>
      </c>
      <c r="B117" s="148" t="s">
        <v>240</v>
      </c>
      <c r="C117" s="148" t="s">
        <v>132</v>
      </c>
      <c r="D117" s="148" t="s">
        <v>145</v>
      </c>
      <c r="E117" s="148" t="s">
        <v>241</v>
      </c>
      <c r="F117" s="149">
        <v>45901</v>
      </c>
      <c r="G117" s="150">
        <v>915.50199999999995</v>
      </c>
      <c r="H117" s="150">
        <f t="shared" si="3"/>
        <v>915.50199999999995</v>
      </c>
      <c r="I117" s="150"/>
      <c r="J117" s="150">
        <v>915.50220000000002</v>
      </c>
      <c r="K117" s="150">
        <f t="shared" si="4"/>
        <v>-2.0000000006348273E-4</v>
      </c>
      <c r="L117" s="151">
        <f t="shared" si="5"/>
        <v>-2.1845933309989068E-7</v>
      </c>
      <c r="M117" s="148"/>
    </row>
    <row r="118" spans="1:13" outlineLevel="2">
      <c r="A118" s="148"/>
      <c r="B118" s="173" t="s">
        <v>243</v>
      </c>
      <c r="C118" s="148"/>
      <c r="D118" s="148"/>
      <c r="E118" s="148"/>
      <c r="F118" s="149"/>
      <c r="G118" s="150">
        <f>SUBTOTAL(9,G114:G117)</f>
        <v>1910.01</v>
      </c>
      <c r="H118" s="150">
        <f>SUBTOTAL(9,H114:H117)</f>
        <v>1910.01</v>
      </c>
      <c r="I118" s="150">
        <f>SUBTOTAL(9,I114:I117)</f>
        <v>0</v>
      </c>
      <c r="J118" s="150">
        <f>SUBTOTAL(9,J114:J117)</f>
        <v>1912.88</v>
      </c>
      <c r="K118" s="150"/>
      <c r="L118" s="151"/>
      <c r="M118" s="148"/>
    </row>
    <row r="119" spans="1:13" outlineLevel="3">
      <c r="A119" s="148" t="s">
        <v>126</v>
      </c>
      <c r="B119" s="148" t="s">
        <v>244</v>
      </c>
      <c r="C119" s="148" t="s">
        <v>139</v>
      </c>
      <c r="D119" s="148" t="s">
        <v>139</v>
      </c>
      <c r="E119" s="148" t="s">
        <v>245</v>
      </c>
      <c r="F119" s="149">
        <v>45901</v>
      </c>
      <c r="G119" s="150">
        <v>4630.3</v>
      </c>
      <c r="H119" s="150">
        <f t="shared" si="3"/>
        <v>4630.3</v>
      </c>
      <c r="I119" s="150"/>
      <c r="J119" s="150">
        <v>4546.7</v>
      </c>
      <c r="K119" s="150">
        <f t="shared" si="4"/>
        <v>83.600000000000364</v>
      </c>
      <c r="L119" s="151">
        <f t="shared" si="5"/>
        <v>1.8386961972419638E-2</v>
      </c>
      <c r="M119" s="148"/>
    </row>
    <row r="120" spans="1:13" outlineLevel="3">
      <c r="A120" s="148" t="s">
        <v>126</v>
      </c>
      <c r="B120" s="148" t="s">
        <v>244</v>
      </c>
      <c r="C120" s="148" t="s">
        <v>128</v>
      </c>
      <c r="D120" s="148" t="s">
        <v>128</v>
      </c>
      <c r="E120" s="148" t="s">
        <v>245</v>
      </c>
      <c r="F120" s="149">
        <v>45901</v>
      </c>
      <c r="G120" s="150">
        <v>930</v>
      </c>
      <c r="H120" s="150">
        <f t="shared" si="3"/>
        <v>930</v>
      </c>
      <c r="I120" s="150"/>
      <c r="J120" s="150">
        <v>918</v>
      </c>
      <c r="K120" s="150">
        <f t="shared" si="4"/>
        <v>12</v>
      </c>
      <c r="L120" s="151">
        <f t="shared" si="5"/>
        <v>1.3071895424836602E-2</v>
      </c>
      <c r="M120" s="148"/>
    </row>
    <row r="121" spans="1:13" outlineLevel="3">
      <c r="A121" s="148" t="s">
        <v>126</v>
      </c>
      <c r="B121" s="148" t="s">
        <v>244</v>
      </c>
      <c r="C121" s="148" t="s">
        <v>131</v>
      </c>
      <c r="D121" s="148" t="s">
        <v>131</v>
      </c>
      <c r="E121" s="148" t="s">
        <v>245</v>
      </c>
      <c r="F121" s="149">
        <v>45901</v>
      </c>
      <c r="G121" s="150">
        <v>3855</v>
      </c>
      <c r="H121" s="150">
        <f t="shared" si="3"/>
        <v>3855</v>
      </c>
      <c r="I121" s="150"/>
      <c r="J121" s="150">
        <v>3676</v>
      </c>
      <c r="K121" s="150">
        <f t="shared" si="4"/>
        <v>179</v>
      </c>
      <c r="L121" s="151">
        <f t="shared" si="5"/>
        <v>4.8694232861806311E-2</v>
      </c>
      <c r="M121" s="148"/>
    </row>
    <row r="122" spans="1:13" outlineLevel="3">
      <c r="A122" s="148" t="s">
        <v>126</v>
      </c>
      <c r="B122" s="148" t="s">
        <v>244</v>
      </c>
      <c r="C122" s="148" t="s">
        <v>132</v>
      </c>
      <c r="D122" s="148" t="s">
        <v>246</v>
      </c>
      <c r="E122" s="148" t="s">
        <v>245</v>
      </c>
      <c r="F122" s="149">
        <v>45901</v>
      </c>
      <c r="G122" s="150">
        <v>14669.55</v>
      </c>
      <c r="H122" s="150">
        <f t="shared" si="3"/>
        <v>14669.55</v>
      </c>
      <c r="I122" s="150"/>
      <c r="J122" s="150">
        <v>14504.6</v>
      </c>
      <c r="K122" s="150">
        <f t="shared" si="4"/>
        <v>164.94999999999891</v>
      </c>
      <c r="L122" s="151">
        <f t="shared" si="5"/>
        <v>1.1372254319319312E-2</v>
      </c>
      <c r="M122" s="148"/>
    </row>
    <row r="123" spans="1:13" outlineLevel="2">
      <c r="A123" s="148"/>
      <c r="B123" s="173" t="s">
        <v>247</v>
      </c>
      <c r="C123" s="148"/>
      <c r="D123" s="148"/>
      <c r="E123" s="148"/>
      <c r="F123" s="149"/>
      <c r="G123" s="150">
        <f>SUBTOTAL(9,G119:G122)</f>
        <v>24084.85</v>
      </c>
      <c r="H123" s="150">
        <f>SUBTOTAL(9,H119:H122)</f>
        <v>24084.85</v>
      </c>
      <c r="I123" s="150">
        <f>SUBTOTAL(9,I119:I122)</f>
        <v>0</v>
      </c>
      <c r="J123" s="150">
        <f>SUBTOTAL(9,J119:J122)</f>
        <v>23645.300000000003</v>
      </c>
      <c r="K123" s="150"/>
      <c r="L123" s="151"/>
      <c r="M123" s="148"/>
    </row>
    <row r="124" spans="1:13" outlineLevel="3">
      <c r="A124" s="148" t="s">
        <v>126</v>
      </c>
      <c r="B124" s="148" t="s">
        <v>248</v>
      </c>
      <c r="C124" s="148" t="s">
        <v>139</v>
      </c>
      <c r="D124" s="148" t="s">
        <v>249</v>
      </c>
      <c r="E124" s="148" t="s">
        <v>250</v>
      </c>
      <c r="F124" s="149">
        <v>45901</v>
      </c>
      <c r="G124" s="150">
        <v>2806</v>
      </c>
      <c r="H124" s="150">
        <f t="shared" si="3"/>
        <v>2806</v>
      </c>
      <c r="I124" s="150"/>
      <c r="J124" s="150">
        <v>2806</v>
      </c>
      <c r="K124" s="150">
        <f t="shared" si="4"/>
        <v>0</v>
      </c>
      <c r="L124" s="151">
        <f t="shared" si="5"/>
        <v>0</v>
      </c>
      <c r="M124" s="148"/>
    </row>
    <row r="125" spans="1:13" outlineLevel="3">
      <c r="A125" s="148" t="s">
        <v>126</v>
      </c>
      <c r="B125" s="148" t="s">
        <v>248</v>
      </c>
      <c r="C125" s="148" t="s">
        <v>128</v>
      </c>
      <c r="D125" s="148" t="s">
        <v>251</v>
      </c>
      <c r="E125" s="148" t="s">
        <v>252</v>
      </c>
      <c r="F125" s="149">
        <v>45901</v>
      </c>
      <c r="G125" s="150">
        <v>760</v>
      </c>
      <c r="H125" s="150">
        <f t="shared" si="3"/>
        <v>760</v>
      </c>
      <c r="I125" s="150"/>
      <c r="J125" s="150">
        <v>760</v>
      </c>
      <c r="K125" s="150">
        <f t="shared" si="4"/>
        <v>0</v>
      </c>
      <c r="L125" s="151">
        <f t="shared" si="5"/>
        <v>0</v>
      </c>
      <c r="M125" s="148"/>
    </row>
    <row r="126" spans="1:13" outlineLevel="3">
      <c r="A126" s="148" t="s">
        <v>126</v>
      </c>
      <c r="B126" s="148" t="s">
        <v>248</v>
      </c>
      <c r="C126" s="148" t="s">
        <v>128</v>
      </c>
      <c r="D126" s="148" t="s">
        <v>128</v>
      </c>
      <c r="E126" s="148" t="s">
        <v>253</v>
      </c>
      <c r="F126" s="149">
        <v>45901</v>
      </c>
      <c r="G126" s="150">
        <v>830</v>
      </c>
      <c r="H126" s="150">
        <f t="shared" si="3"/>
        <v>830</v>
      </c>
      <c r="I126" s="150"/>
      <c r="J126" s="150">
        <v>830</v>
      </c>
      <c r="K126" s="150">
        <f t="shared" si="4"/>
        <v>0</v>
      </c>
      <c r="L126" s="151">
        <f t="shared" si="5"/>
        <v>0</v>
      </c>
      <c r="M126" s="148"/>
    </row>
    <row r="127" spans="1:13" outlineLevel="3">
      <c r="A127" s="148" t="s">
        <v>126</v>
      </c>
      <c r="B127" s="148" t="s">
        <v>248</v>
      </c>
      <c r="C127" s="148" t="s">
        <v>128</v>
      </c>
      <c r="D127" s="148" t="s">
        <v>254</v>
      </c>
      <c r="E127" s="148" t="s">
        <v>255</v>
      </c>
      <c r="F127" s="149">
        <v>45901</v>
      </c>
      <c r="G127" s="150">
        <v>1089</v>
      </c>
      <c r="H127" s="150">
        <f t="shared" si="3"/>
        <v>1089</v>
      </c>
      <c r="I127" s="150"/>
      <c r="J127" s="150">
        <v>1089</v>
      </c>
      <c r="K127" s="150">
        <f t="shared" si="4"/>
        <v>0</v>
      </c>
      <c r="L127" s="151">
        <f t="shared" si="5"/>
        <v>0</v>
      </c>
      <c r="M127" s="148"/>
    </row>
    <row r="128" spans="1:13" outlineLevel="3">
      <c r="A128" s="148" t="s">
        <v>126</v>
      </c>
      <c r="B128" s="148" t="s">
        <v>248</v>
      </c>
      <c r="C128" s="148" t="s">
        <v>131</v>
      </c>
      <c r="D128" s="148" t="s">
        <v>131</v>
      </c>
      <c r="E128" s="148" t="s">
        <v>256</v>
      </c>
      <c r="F128" s="149">
        <v>45901</v>
      </c>
      <c r="G128" s="150">
        <v>2004</v>
      </c>
      <c r="H128" s="150">
        <f t="shared" si="3"/>
        <v>2004</v>
      </c>
      <c r="I128" s="150"/>
      <c r="J128" s="150">
        <v>2011</v>
      </c>
      <c r="K128" s="150">
        <f t="shared" si="4"/>
        <v>-7</v>
      </c>
      <c r="L128" s="151">
        <f t="shared" si="5"/>
        <v>-3.4808552958727002E-3</v>
      </c>
      <c r="M128" s="148"/>
    </row>
    <row r="129" spans="1:13" outlineLevel="3">
      <c r="A129" s="148" t="s">
        <v>126</v>
      </c>
      <c r="B129" s="148" t="s">
        <v>248</v>
      </c>
      <c r="C129" s="148" t="s">
        <v>132</v>
      </c>
      <c r="D129" s="148" t="s">
        <v>257</v>
      </c>
      <c r="E129" s="148" t="s">
        <v>253</v>
      </c>
      <c r="F129" s="149">
        <v>45901</v>
      </c>
      <c r="G129" s="150">
        <v>2601</v>
      </c>
      <c r="H129" s="150">
        <f t="shared" si="3"/>
        <v>2601</v>
      </c>
      <c r="I129" s="150"/>
      <c r="J129" s="150">
        <v>2601</v>
      </c>
      <c r="K129" s="150">
        <f t="shared" si="4"/>
        <v>0</v>
      </c>
      <c r="L129" s="151">
        <f t="shared" si="5"/>
        <v>0</v>
      </c>
      <c r="M129" s="148"/>
    </row>
    <row r="130" spans="1:13" outlineLevel="3">
      <c r="A130" s="148" t="s">
        <v>126</v>
      </c>
      <c r="B130" s="148" t="s">
        <v>248</v>
      </c>
      <c r="C130" s="148" t="s">
        <v>132</v>
      </c>
      <c r="D130" s="148" t="s">
        <v>258</v>
      </c>
      <c r="E130" s="148" t="s">
        <v>259</v>
      </c>
      <c r="F130" s="149">
        <v>45901</v>
      </c>
      <c r="G130" s="150">
        <v>8321</v>
      </c>
      <c r="H130" s="150">
        <f t="shared" si="3"/>
        <v>8321</v>
      </c>
      <c r="I130" s="150"/>
      <c r="J130" s="150">
        <v>8321</v>
      </c>
      <c r="K130" s="150">
        <f t="shared" si="4"/>
        <v>0</v>
      </c>
      <c r="L130" s="151">
        <f t="shared" si="5"/>
        <v>0</v>
      </c>
      <c r="M130" s="148"/>
    </row>
    <row r="131" spans="1:13" outlineLevel="3">
      <c r="A131" s="148" t="s">
        <v>126</v>
      </c>
      <c r="B131" s="148" t="s">
        <v>248</v>
      </c>
      <c r="C131" s="148" t="s">
        <v>207</v>
      </c>
      <c r="D131" s="148" t="s">
        <v>207</v>
      </c>
      <c r="E131" s="148" t="s">
        <v>256</v>
      </c>
      <c r="F131" s="149">
        <v>45901</v>
      </c>
      <c r="G131" s="150">
        <v>750</v>
      </c>
      <c r="H131" s="150">
        <f t="shared" si="3"/>
        <v>750</v>
      </c>
      <c r="I131" s="150"/>
      <c r="J131" s="150">
        <v>750</v>
      </c>
      <c r="K131" s="150">
        <f t="shared" si="4"/>
        <v>0</v>
      </c>
      <c r="L131" s="151">
        <f t="shared" si="5"/>
        <v>0</v>
      </c>
      <c r="M131" s="148"/>
    </row>
    <row r="132" spans="1:13" outlineLevel="2">
      <c r="A132" s="148"/>
      <c r="B132" s="173" t="s">
        <v>260</v>
      </c>
      <c r="C132" s="148"/>
      <c r="D132" s="148"/>
      <c r="E132" s="148"/>
      <c r="F132" s="149"/>
      <c r="G132" s="150">
        <f>SUBTOTAL(9,G124:G131)</f>
        <v>19161</v>
      </c>
      <c r="H132" s="150">
        <f>SUBTOTAL(9,H124:H131)</f>
        <v>19161</v>
      </c>
      <c r="I132" s="150">
        <f>SUBTOTAL(9,I124:I131)</f>
        <v>0</v>
      </c>
      <c r="J132" s="150">
        <f>SUBTOTAL(9,J124:J131)</f>
        <v>19168</v>
      </c>
      <c r="K132" s="150"/>
      <c r="L132" s="151"/>
      <c r="M132" s="148"/>
    </row>
    <row r="133" spans="1:13" outlineLevel="3">
      <c r="A133" s="148" t="s">
        <v>126</v>
      </c>
      <c r="B133" s="148" t="s">
        <v>261</v>
      </c>
      <c r="C133" s="148" t="s">
        <v>135</v>
      </c>
      <c r="D133" s="148" t="s">
        <v>262</v>
      </c>
      <c r="E133" s="148" t="s">
        <v>263</v>
      </c>
      <c r="F133" s="149">
        <v>45901</v>
      </c>
      <c r="G133" s="150">
        <v>2185.71</v>
      </c>
      <c r="H133" s="150">
        <f t="shared" si="3"/>
        <v>2185.71</v>
      </c>
      <c r="I133" s="150"/>
      <c r="J133" s="150">
        <v>2185.71</v>
      </c>
      <c r="K133" s="150">
        <f t="shared" si="4"/>
        <v>0</v>
      </c>
      <c r="L133" s="151">
        <f t="shared" si="5"/>
        <v>0</v>
      </c>
      <c r="M133" s="148"/>
    </row>
    <row r="134" spans="1:13" outlineLevel="3">
      <c r="A134" s="148" t="s">
        <v>126</v>
      </c>
      <c r="B134" s="148" t="s">
        <v>261</v>
      </c>
      <c r="C134" s="148" t="s">
        <v>128</v>
      </c>
      <c r="D134" s="148" t="s">
        <v>264</v>
      </c>
      <c r="E134" s="148" t="s">
        <v>263</v>
      </c>
      <c r="F134" s="149">
        <v>45901</v>
      </c>
      <c r="G134" s="150">
        <v>1182.75</v>
      </c>
      <c r="H134" s="150">
        <f t="shared" si="3"/>
        <v>1182.75</v>
      </c>
      <c r="I134" s="150"/>
      <c r="J134" s="150">
        <v>1182.75</v>
      </c>
      <c r="K134" s="150">
        <f t="shared" si="4"/>
        <v>0</v>
      </c>
      <c r="L134" s="151">
        <f t="shared" si="5"/>
        <v>0</v>
      </c>
      <c r="M134" s="148"/>
    </row>
    <row r="135" spans="1:13" outlineLevel="3">
      <c r="A135" s="148" t="s">
        <v>126</v>
      </c>
      <c r="B135" s="148" t="s">
        <v>261</v>
      </c>
      <c r="C135" s="148" t="s">
        <v>131</v>
      </c>
      <c r="D135" s="148" t="s">
        <v>265</v>
      </c>
      <c r="E135" s="148" t="s">
        <v>263</v>
      </c>
      <c r="F135" s="149">
        <v>45901</v>
      </c>
      <c r="G135" s="150">
        <v>279</v>
      </c>
      <c r="H135" s="150">
        <f t="shared" si="3"/>
        <v>279</v>
      </c>
      <c r="I135" s="150"/>
      <c r="J135" s="150">
        <v>272</v>
      </c>
      <c r="K135" s="150">
        <f t="shared" si="4"/>
        <v>7</v>
      </c>
      <c r="L135" s="151">
        <f t="shared" si="5"/>
        <v>2.5735294117647058E-2</v>
      </c>
      <c r="M135" s="148"/>
    </row>
    <row r="136" spans="1:13" outlineLevel="3">
      <c r="A136" s="148" t="s">
        <v>126</v>
      </c>
      <c r="B136" s="148" t="s">
        <v>261</v>
      </c>
      <c r="C136" s="148" t="s">
        <v>132</v>
      </c>
      <c r="D136" s="148" t="s">
        <v>266</v>
      </c>
      <c r="E136" s="148" t="s">
        <v>263</v>
      </c>
      <c r="F136" s="149">
        <v>45901</v>
      </c>
      <c r="G136" s="150">
        <v>2713.17</v>
      </c>
      <c r="H136" s="150">
        <f t="shared" si="3"/>
        <v>2713.17</v>
      </c>
      <c r="I136" s="150"/>
      <c r="J136" s="150">
        <v>2642.04</v>
      </c>
      <c r="K136" s="150">
        <f t="shared" si="4"/>
        <v>71.130000000000109</v>
      </c>
      <c r="L136" s="151">
        <f t="shared" si="5"/>
        <v>2.692237816232915E-2</v>
      </c>
      <c r="M136" s="148"/>
    </row>
    <row r="137" spans="1:13" outlineLevel="2">
      <c r="A137" s="148"/>
      <c r="B137" s="173" t="s">
        <v>267</v>
      </c>
      <c r="C137" s="148"/>
      <c r="D137" s="148"/>
      <c r="E137" s="148"/>
      <c r="F137" s="149"/>
      <c r="G137" s="150">
        <f>SUBTOTAL(9,G133:G136)</f>
        <v>6360.63</v>
      </c>
      <c r="H137" s="150">
        <f>SUBTOTAL(9,H133:H136)</f>
        <v>6360.63</v>
      </c>
      <c r="I137" s="150">
        <f>SUBTOTAL(9,I133:I136)</f>
        <v>0</v>
      </c>
      <c r="J137" s="150">
        <f>SUBTOTAL(9,J133:J136)</f>
        <v>6282.5</v>
      </c>
      <c r="K137" s="150"/>
      <c r="L137" s="151"/>
      <c r="M137" s="148"/>
    </row>
    <row r="138" spans="1:13" outlineLevel="3">
      <c r="A138" s="148" t="s">
        <v>126</v>
      </c>
      <c r="B138" s="148" t="s">
        <v>268</v>
      </c>
      <c r="C138" s="148" t="s">
        <v>128</v>
      </c>
      <c r="D138" s="148" t="s">
        <v>128</v>
      </c>
      <c r="E138" s="148" t="s">
        <v>269</v>
      </c>
      <c r="F138" s="149">
        <v>45901</v>
      </c>
      <c r="G138" s="150">
        <v>910.13340000000005</v>
      </c>
      <c r="H138" s="150">
        <f t="shared" si="3"/>
        <v>910.13340000000005</v>
      </c>
      <c r="I138" s="150"/>
      <c r="J138" s="150">
        <v>895.5684</v>
      </c>
      <c r="K138" s="150">
        <f t="shared" si="4"/>
        <v>14.565000000000055</v>
      </c>
      <c r="L138" s="151">
        <f t="shared" si="5"/>
        <v>1.6263414385768921E-2</v>
      </c>
      <c r="M138" s="148"/>
    </row>
    <row r="139" spans="1:13" outlineLevel="3">
      <c r="A139" s="148" t="s">
        <v>126</v>
      </c>
      <c r="B139" s="148" t="s">
        <v>268</v>
      </c>
      <c r="C139" s="148" t="s">
        <v>131</v>
      </c>
      <c r="D139" s="148" t="s">
        <v>131</v>
      </c>
      <c r="E139" s="148" t="s">
        <v>269</v>
      </c>
      <c r="F139" s="149">
        <v>45901</v>
      </c>
      <c r="G139" s="150">
        <v>607</v>
      </c>
      <c r="H139" s="150">
        <f t="shared" si="3"/>
        <v>607</v>
      </c>
      <c r="I139" s="150"/>
      <c r="J139" s="150">
        <v>552</v>
      </c>
      <c r="K139" s="150">
        <f t="shared" si="4"/>
        <v>55</v>
      </c>
      <c r="L139" s="151">
        <f t="shared" si="5"/>
        <v>9.9637681159420288E-2</v>
      </c>
      <c r="M139" s="148"/>
    </row>
    <row r="140" spans="1:13" outlineLevel="3">
      <c r="A140" s="148" t="s">
        <v>126</v>
      </c>
      <c r="B140" s="148" t="s">
        <v>268</v>
      </c>
      <c r="C140" s="148" t="s">
        <v>132</v>
      </c>
      <c r="D140" s="148" t="s">
        <v>270</v>
      </c>
      <c r="E140" s="148" t="s">
        <v>269</v>
      </c>
      <c r="F140" s="149">
        <v>45901</v>
      </c>
      <c r="G140" s="150">
        <v>2969</v>
      </c>
      <c r="H140" s="150">
        <f t="shared" si="3"/>
        <v>2969</v>
      </c>
      <c r="I140" s="150"/>
      <c r="J140" s="150">
        <v>2979.0016000000001</v>
      </c>
      <c r="K140" s="150">
        <f t="shared" si="4"/>
        <v>-10.001600000000053</v>
      </c>
      <c r="L140" s="151">
        <f t="shared" si="5"/>
        <v>-3.3573664411593648E-3</v>
      </c>
      <c r="M140" s="148"/>
    </row>
    <row r="141" spans="1:13" outlineLevel="2">
      <c r="A141" s="148"/>
      <c r="B141" s="173" t="s">
        <v>271</v>
      </c>
      <c r="C141" s="148"/>
      <c r="D141" s="148"/>
      <c r="E141" s="148"/>
      <c r="F141" s="149"/>
      <c r="G141" s="150">
        <f>SUBTOTAL(9,G138:G140)</f>
        <v>4486.1334000000006</v>
      </c>
      <c r="H141" s="150">
        <f>SUBTOTAL(9,H138:H140)</f>
        <v>4486.1334000000006</v>
      </c>
      <c r="I141" s="150">
        <f>SUBTOTAL(9,I138:I140)</f>
        <v>0</v>
      </c>
      <c r="J141" s="150">
        <f>SUBTOTAL(9,J138:J140)</f>
        <v>4426.57</v>
      </c>
      <c r="K141" s="150"/>
      <c r="L141" s="151"/>
      <c r="M141" s="148"/>
    </row>
    <row r="142" spans="1:13" outlineLevel="3">
      <c r="A142" s="148" t="s">
        <v>126</v>
      </c>
      <c r="B142" s="148" t="s">
        <v>272</v>
      </c>
      <c r="C142" s="148" t="s">
        <v>139</v>
      </c>
      <c r="D142" s="148" t="s">
        <v>273</v>
      </c>
      <c r="E142" s="148" t="s">
        <v>274</v>
      </c>
      <c r="F142" s="149">
        <v>45901</v>
      </c>
      <c r="G142" s="150">
        <v>4224</v>
      </c>
      <c r="H142" s="150">
        <f t="shared" si="3"/>
        <v>4224</v>
      </c>
      <c r="I142" s="150"/>
      <c r="J142" s="150">
        <v>4224</v>
      </c>
      <c r="K142" s="150">
        <f t="shared" si="4"/>
        <v>0</v>
      </c>
      <c r="L142" s="151">
        <f t="shared" si="5"/>
        <v>0</v>
      </c>
      <c r="M142" s="148"/>
    </row>
    <row r="143" spans="1:13" outlineLevel="3">
      <c r="A143" s="148" t="s">
        <v>126</v>
      </c>
      <c r="B143" s="148" t="s">
        <v>272</v>
      </c>
      <c r="C143" s="148" t="s">
        <v>128</v>
      </c>
      <c r="D143" s="148" t="s">
        <v>275</v>
      </c>
      <c r="E143" s="148" t="s">
        <v>276</v>
      </c>
      <c r="F143" s="149">
        <v>45901</v>
      </c>
      <c r="G143" s="150">
        <v>1726</v>
      </c>
      <c r="H143" s="150">
        <f t="shared" si="3"/>
        <v>1726</v>
      </c>
      <c r="I143" s="150"/>
      <c r="J143" s="150">
        <v>1726</v>
      </c>
      <c r="K143" s="150">
        <f t="shared" si="4"/>
        <v>0</v>
      </c>
      <c r="L143" s="151">
        <f t="shared" si="5"/>
        <v>0</v>
      </c>
      <c r="M143" s="148"/>
    </row>
    <row r="144" spans="1:13" outlineLevel="3">
      <c r="A144" s="148" t="s">
        <v>126</v>
      </c>
      <c r="B144" s="148" t="s">
        <v>272</v>
      </c>
      <c r="C144" s="148" t="s">
        <v>131</v>
      </c>
      <c r="D144" s="148" t="s">
        <v>277</v>
      </c>
      <c r="E144" s="148" t="s">
        <v>276</v>
      </c>
      <c r="F144" s="149">
        <v>45901</v>
      </c>
      <c r="G144" s="150">
        <v>2769.5</v>
      </c>
      <c r="H144" s="150">
        <f t="shared" si="3"/>
        <v>2769.5</v>
      </c>
      <c r="I144" s="150"/>
      <c r="J144" s="150">
        <v>2779.5</v>
      </c>
      <c r="K144" s="150">
        <f t="shared" si="4"/>
        <v>-10</v>
      </c>
      <c r="L144" s="151">
        <f t="shared" si="5"/>
        <v>-3.5977693829825508E-3</v>
      </c>
      <c r="M144" s="148"/>
    </row>
    <row r="145" spans="1:13" outlineLevel="3">
      <c r="A145" s="148" t="s">
        <v>126</v>
      </c>
      <c r="B145" s="148" t="s">
        <v>272</v>
      </c>
      <c r="C145" s="148" t="s">
        <v>132</v>
      </c>
      <c r="D145" s="148" t="s">
        <v>278</v>
      </c>
      <c r="E145" s="148" t="s">
        <v>276</v>
      </c>
      <c r="F145" s="149">
        <v>45901</v>
      </c>
      <c r="G145" s="150">
        <v>5740</v>
      </c>
      <c r="H145" s="150">
        <f t="shared" si="3"/>
        <v>5740</v>
      </c>
      <c r="I145" s="150"/>
      <c r="J145" s="150">
        <v>5740</v>
      </c>
      <c r="K145" s="150">
        <f t="shared" si="4"/>
        <v>0</v>
      </c>
      <c r="L145" s="151">
        <f t="shared" si="5"/>
        <v>0</v>
      </c>
      <c r="M145" s="148"/>
    </row>
    <row r="146" spans="1:13" outlineLevel="2">
      <c r="A146" s="148"/>
      <c r="B146" s="173" t="s">
        <v>279</v>
      </c>
      <c r="C146" s="148"/>
      <c r="D146" s="148"/>
      <c r="E146" s="148"/>
      <c r="F146" s="149"/>
      <c r="G146" s="150">
        <f>SUBTOTAL(9,G142:G145)</f>
        <v>14459.5</v>
      </c>
      <c r="H146" s="150">
        <f>SUBTOTAL(9,H142:H145)</f>
        <v>14459.5</v>
      </c>
      <c r="I146" s="150">
        <f>SUBTOTAL(9,I142:I145)</f>
        <v>0</v>
      </c>
      <c r="J146" s="150">
        <f>SUBTOTAL(9,J142:J145)</f>
        <v>14469.5</v>
      </c>
      <c r="K146" s="150"/>
      <c r="L146" s="151"/>
      <c r="M146" s="148"/>
    </row>
    <row r="147" spans="1:13" outlineLevel="3">
      <c r="A147" s="148" t="s">
        <v>126</v>
      </c>
      <c r="B147" s="148" t="s">
        <v>280</v>
      </c>
      <c r="C147" s="148" t="s">
        <v>135</v>
      </c>
      <c r="D147" s="148" t="s">
        <v>281</v>
      </c>
      <c r="E147" s="148" t="s">
        <v>282</v>
      </c>
      <c r="F147" s="149">
        <v>45901</v>
      </c>
      <c r="G147" s="150">
        <v>1400</v>
      </c>
      <c r="H147" s="150">
        <f t="shared" si="3"/>
        <v>1400</v>
      </c>
      <c r="I147" s="150"/>
      <c r="J147" s="150">
        <v>1400</v>
      </c>
      <c r="K147" s="150">
        <f t="shared" si="4"/>
        <v>0</v>
      </c>
      <c r="L147" s="151">
        <f t="shared" si="5"/>
        <v>0</v>
      </c>
      <c r="M147" s="148"/>
    </row>
    <row r="148" spans="1:13" outlineLevel="3">
      <c r="A148" s="148" t="s">
        <v>126</v>
      </c>
      <c r="B148" s="148" t="s">
        <v>280</v>
      </c>
      <c r="C148" s="148" t="s">
        <v>139</v>
      </c>
      <c r="D148" s="148" t="s">
        <v>283</v>
      </c>
      <c r="E148" s="148" t="s">
        <v>282</v>
      </c>
      <c r="F148" s="149">
        <v>45901</v>
      </c>
      <c r="G148" s="150">
        <v>446</v>
      </c>
      <c r="H148" s="150">
        <f t="shared" si="3"/>
        <v>446</v>
      </c>
      <c r="I148" s="150"/>
      <c r="J148" s="150">
        <v>446</v>
      </c>
      <c r="K148" s="150">
        <f t="shared" si="4"/>
        <v>0</v>
      </c>
      <c r="L148" s="151">
        <f t="shared" si="5"/>
        <v>0</v>
      </c>
      <c r="M148" s="148"/>
    </row>
    <row r="149" spans="1:13" outlineLevel="3">
      <c r="A149" s="148" t="s">
        <v>126</v>
      </c>
      <c r="B149" s="148" t="s">
        <v>280</v>
      </c>
      <c r="C149" s="148" t="s">
        <v>128</v>
      </c>
      <c r="D149" s="148" t="s">
        <v>128</v>
      </c>
      <c r="E149" s="148" t="s">
        <v>282</v>
      </c>
      <c r="F149" s="149">
        <v>45901</v>
      </c>
      <c r="G149" s="150">
        <v>641.75</v>
      </c>
      <c r="H149" s="150">
        <f t="shared" si="3"/>
        <v>641.75</v>
      </c>
      <c r="I149" s="150"/>
      <c r="J149" s="150">
        <v>641.75</v>
      </c>
      <c r="K149" s="150">
        <f t="shared" si="4"/>
        <v>0</v>
      </c>
      <c r="L149" s="151">
        <f t="shared" si="5"/>
        <v>0</v>
      </c>
      <c r="M149" s="148"/>
    </row>
    <row r="150" spans="1:13" outlineLevel="3">
      <c r="A150" s="148" t="s">
        <v>126</v>
      </c>
      <c r="B150" s="148" t="s">
        <v>280</v>
      </c>
      <c r="C150" s="148" t="s">
        <v>131</v>
      </c>
      <c r="D150" s="148" t="s">
        <v>131</v>
      </c>
      <c r="E150" s="148" t="s">
        <v>282</v>
      </c>
      <c r="F150" s="149">
        <v>45901</v>
      </c>
      <c r="G150" s="150">
        <v>465</v>
      </c>
      <c r="H150" s="150">
        <f t="shared" si="3"/>
        <v>465</v>
      </c>
      <c r="I150" s="150"/>
      <c r="J150" s="150">
        <v>472</v>
      </c>
      <c r="K150" s="150">
        <f t="shared" si="4"/>
        <v>-7</v>
      </c>
      <c r="L150" s="151">
        <f t="shared" si="5"/>
        <v>-1.4830508474576272E-2</v>
      </c>
      <c r="M150" s="148" t="s">
        <v>177</v>
      </c>
    </row>
    <row r="151" spans="1:13" outlineLevel="3">
      <c r="A151" s="148" t="s">
        <v>126</v>
      </c>
      <c r="B151" s="148" t="s">
        <v>280</v>
      </c>
      <c r="C151" s="148" t="s">
        <v>132</v>
      </c>
      <c r="D151" s="148" t="s">
        <v>284</v>
      </c>
      <c r="E151" s="148" t="s">
        <v>282</v>
      </c>
      <c r="F151" s="149">
        <v>45901</v>
      </c>
      <c r="G151" s="150">
        <v>1560.42</v>
      </c>
      <c r="H151" s="150">
        <f t="shared" si="3"/>
        <v>1560.42</v>
      </c>
      <c r="I151" s="150"/>
      <c r="J151" s="150">
        <v>1560.42</v>
      </c>
      <c r="K151" s="150">
        <f t="shared" si="4"/>
        <v>0</v>
      </c>
      <c r="L151" s="151">
        <f t="shared" si="5"/>
        <v>0</v>
      </c>
      <c r="M151" s="148"/>
    </row>
    <row r="152" spans="1:13" outlineLevel="2">
      <c r="A152" s="148"/>
      <c r="B152" s="173" t="s">
        <v>285</v>
      </c>
      <c r="C152" s="148"/>
      <c r="D152" s="148"/>
      <c r="E152" s="148"/>
      <c r="F152" s="149"/>
      <c r="G152" s="150">
        <f>SUBTOTAL(9,G147:G151)</f>
        <v>4513.17</v>
      </c>
      <c r="H152" s="150">
        <f>SUBTOTAL(9,H147:H151)</f>
        <v>4513.17</v>
      </c>
      <c r="I152" s="150">
        <f>SUBTOTAL(9,I147:I151)</f>
        <v>0</v>
      </c>
      <c r="J152" s="150">
        <f>SUBTOTAL(9,J147:J151)</f>
        <v>4520.17</v>
      </c>
      <c r="K152" s="150"/>
      <c r="L152" s="151"/>
      <c r="M152" s="148"/>
    </row>
    <row r="153" spans="1:13" outlineLevel="3">
      <c r="A153" s="148" t="s">
        <v>126</v>
      </c>
      <c r="B153" s="148" t="s">
        <v>286</v>
      </c>
      <c r="C153" s="148" t="s">
        <v>139</v>
      </c>
      <c r="D153" s="148" t="s">
        <v>139</v>
      </c>
      <c r="E153" s="148" t="s">
        <v>287</v>
      </c>
      <c r="F153" s="149">
        <v>45901</v>
      </c>
      <c r="G153" s="150">
        <v>3108</v>
      </c>
      <c r="H153" s="150">
        <f t="shared" si="3"/>
        <v>3108</v>
      </c>
      <c r="I153" s="150"/>
      <c r="J153" s="150">
        <v>3108</v>
      </c>
      <c r="K153" s="150">
        <f t="shared" si="4"/>
        <v>0</v>
      </c>
      <c r="L153" s="151">
        <f t="shared" si="5"/>
        <v>0</v>
      </c>
      <c r="M153" s="148"/>
    </row>
    <row r="154" spans="1:13" outlineLevel="3">
      <c r="A154" s="148" t="s">
        <v>126</v>
      </c>
      <c r="B154" s="148" t="s">
        <v>286</v>
      </c>
      <c r="C154" s="148" t="s">
        <v>128</v>
      </c>
      <c r="D154" s="148" t="s">
        <v>128</v>
      </c>
      <c r="E154" s="148" t="s">
        <v>288</v>
      </c>
      <c r="F154" s="149">
        <v>45901</v>
      </c>
      <c r="G154" s="150">
        <v>1860</v>
      </c>
      <c r="H154" s="150">
        <f t="shared" si="3"/>
        <v>1860</v>
      </c>
      <c r="I154" s="150"/>
      <c r="J154" s="150">
        <v>1820</v>
      </c>
      <c r="K154" s="150">
        <f t="shared" si="4"/>
        <v>40</v>
      </c>
      <c r="L154" s="151">
        <f t="shared" si="5"/>
        <v>2.197802197802198E-2</v>
      </c>
      <c r="M154" s="148"/>
    </row>
    <row r="155" spans="1:13" outlineLevel="3">
      <c r="A155" s="148" t="s">
        <v>126</v>
      </c>
      <c r="B155" s="148" t="s">
        <v>286</v>
      </c>
      <c r="C155" s="148" t="s">
        <v>131</v>
      </c>
      <c r="D155" s="148" t="s">
        <v>131</v>
      </c>
      <c r="E155" s="148" t="s">
        <v>289</v>
      </c>
      <c r="F155" s="149">
        <v>45901</v>
      </c>
      <c r="G155" s="150">
        <v>1212</v>
      </c>
      <c r="H155" s="150">
        <f t="shared" si="3"/>
        <v>1212</v>
      </c>
      <c r="I155" s="150"/>
      <c r="J155" s="150">
        <v>1182</v>
      </c>
      <c r="K155" s="150">
        <f t="shared" si="4"/>
        <v>30</v>
      </c>
      <c r="L155" s="151">
        <f t="shared" si="5"/>
        <v>2.5380710659898477E-2</v>
      </c>
      <c r="M155" s="148"/>
    </row>
    <row r="156" spans="1:13" outlineLevel="3">
      <c r="A156" s="148" t="s">
        <v>126</v>
      </c>
      <c r="B156" s="148" t="s">
        <v>286</v>
      </c>
      <c r="C156" s="148" t="s">
        <v>132</v>
      </c>
      <c r="D156" s="148" t="s">
        <v>132</v>
      </c>
      <c r="E156" s="148" t="s">
        <v>290</v>
      </c>
      <c r="F156" s="149">
        <v>45901</v>
      </c>
      <c r="G156" s="150">
        <v>4700</v>
      </c>
      <c r="H156" s="150">
        <f t="shared" si="3"/>
        <v>4700</v>
      </c>
      <c r="I156" s="150"/>
      <c r="J156" s="150">
        <v>4700</v>
      </c>
      <c r="K156" s="150">
        <f t="shared" si="4"/>
        <v>0</v>
      </c>
      <c r="L156" s="151">
        <f t="shared" si="5"/>
        <v>0</v>
      </c>
      <c r="M156" s="148"/>
    </row>
    <row r="157" spans="1:13" outlineLevel="2">
      <c r="A157" s="148"/>
      <c r="B157" s="173" t="s">
        <v>291</v>
      </c>
      <c r="C157" s="148"/>
      <c r="D157" s="148"/>
      <c r="E157" s="148"/>
      <c r="F157" s="149"/>
      <c r="G157" s="150">
        <f>SUBTOTAL(9,G153:G156)</f>
        <v>10880</v>
      </c>
      <c r="H157" s="150">
        <f>SUBTOTAL(9,H153:H156)</f>
        <v>10880</v>
      </c>
      <c r="I157" s="150">
        <f>SUBTOTAL(9,I153:I156)</f>
        <v>0</v>
      </c>
      <c r="J157" s="150">
        <f>SUBTOTAL(9,J153:J156)</f>
        <v>10810</v>
      </c>
      <c r="K157" s="150"/>
      <c r="L157" s="151"/>
      <c r="M157" s="148"/>
    </row>
    <row r="158" spans="1:13" outlineLevel="3">
      <c r="A158" s="148" t="s">
        <v>126</v>
      </c>
      <c r="B158" s="148" t="s">
        <v>292</v>
      </c>
      <c r="C158" s="148" t="s">
        <v>128</v>
      </c>
      <c r="D158" s="148" t="s">
        <v>128</v>
      </c>
      <c r="E158" s="148" t="s">
        <v>293</v>
      </c>
      <c r="F158" s="149">
        <v>45901</v>
      </c>
      <c r="G158" s="150">
        <v>577.91520000000003</v>
      </c>
      <c r="H158" s="150">
        <f t="shared" si="3"/>
        <v>577.91520000000003</v>
      </c>
      <c r="I158" s="150"/>
      <c r="J158" s="150">
        <v>554.63580000000002</v>
      </c>
      <c r="K158" s="150">
        <f t="shared" si="4"/>
        <v>23.27940000000001</v>
      </c>
      <c r="L158" s="151">
        <f t="shared" si="5"/>
        <v>4.1972407839522816E-2</v>
      </c>
      <c r="M158" s="148"/>
    </row>
    <row r="159" spans="1:13" outlineLevel="3">
      <c r="A159" s="148" t="s">
        <v>126</v>
      </c>
      <c r="B159" s="148" t="s">
        <v>292</v>
      </c>
      <c r="C159" s="148" t="s">
        <v>131</v>
      </c>
      <c r="D159" s="148" t="s">
        <v>131</v>
      </c>
      <c r="E159" s="148" t="s">
        <v>293</v>
      </c>
      <c r="F159" s="149">
        <v>45901</v>
      </c>
      <c r="G159" s="150">
        <v>1426</v>
      </c>
      <c r="H159" s="150">
        <f t="shared" si="3"/>
        <v>1426</v>
      </c>
      <c r="I159" s="150"/>
      <c r="J159" s="150">
        <v>1426</v>
      </c>
      <c r="K159" s="150">
        <f t="shared" si="4"/>
        <v>0</v>
      </c>
      <c r="L159" s="151">
        <f t="shared" si="5"/>
        <v>0</v>
      </c>
      <c r="M159" s="148"/>
    </row>
    <row r="160" spans="1:13" outlineLevel="3">
      <c r="A160" s="148" t="s">
        <v>126</v>
      </c>
      <c r="B160" s="152" t="s">
        <v>292</v>
      </c>
      <c r="C160" s="152" t="s">
        <v>132</v>
      </c>
      <c r="D160" s="152" t="s">
        <v>246</v>
      </c>
      <c r="E160" s="152" t="s">
        <v>294</v>
      </c>
      <c r="F160" s="153">
        <v>45901</v>
      </c>
      <c r="G160" s="154">
        <v>5909.08</v>
      </c>
      <c r="H160" s="154">
        <f t="shared" si="3"/>
        <v>5909.08</v>
      </c>
      <c r="I160" s="154"/>
      <c r="J160" s="154">
        <v>3653.0041999999999</v>
      </c>
      <c r="K160" s="154">
        <f t="shared" si="4"/>
        <v>2256.0758000000001</v>
      </c>
      <c r="L160" s="151">
        <f t="shared" si="5"/>
        <v>0.6175946362175001</v>
      </c>
      <c r="M160" s="148"/>
    </row>
    <row r="161" spans="1:13" outlineLevel="3">
      <c r="A161" s="148" t="s">
        <v>126</v>
      </c>
      <c r="B161" s="148" t="s">
        <v>292</v>
      </c>
      <c r="C161" s="148" t="s">
        <v>132</v>
      </c>
      <c r="D161" s="148" t="s">
        <v>246</v>
      </c>
      <c r="E161" s="148" t="s">
        <v>293</v>
      </c>
      <c r="F161" s="149">
        <v>45901</v>
      </c>
      <c r="G161" s="155">
        <v>3653.0048000000002</v>
      </c>
      <c r="H161" s="155">
        <f t="shared" si="3"/>
        <v>3653.0048000000002</v>
      </c>
      <c r="I161" s="155"/>
      <c r="J161" s="150">
        <v>3653.0041999999999</v>
      </c>
      <c r="K161" s="150">
        <f t="shared" si="4"/>
        <v>6.0000000030413503E-4</v>
      </c>
      <c r="L161" s="151">
        <f t="shared" si="5"/>
        <v>1.6424837406541581E-7</v>
      </c>
      <c r="M161" s="148"/>
    </row>
    <row r="162" spans="1:13" outlineLevel="2">
      <c r="A162" s="148"/>
      <c r="B162" s="173" t="s">
        <v>295</v>
      </c>
      <c r="C162" s="148"/>
      <c r="D162" s="148"/>
      <c r="E162" s="148"/>
      <c r="F162" s="149"/>
      <c r="G162" s="155">
        <f>SUBTOTAL(9,G158:G161)</f>
        <v>11566</v>
      </c>
      <c r="H162" s="155">
        <f>SUBTOTAL(9,H158:H161)</f>
        <v>11566</v>
      </c>
      <c r="I162" s="155">
        <f>SUBTOTAL(9,I158:I161)</f>
        <v>0</v>
      </c>
      <c r="J162" s="150">
        <f>SUBTOTAL(9,J158:J161)</f>
        <v>9286.6441999999988</v>
      </c>
      <c r="K162" s="150"/>
      <c r="L162" s="151"/>
      <c r="M162" s="148"/>
    </row>
    <row r="163" spans="1:13" outlineLevel="3">
      <c r="A163" s="148" t="s">
        <v>126</v>
      </c>
      <c r="B163" s="148" t="s">
        <v>296</v>
      </c>
      <c r="C163" s="148" t="s">
        <v>139</v>
      </c>
      <c r="D163" s="148" t="s">
        <v>297</v>
      </c>
      <c r="E163" s="148" t="s">
        <v>298</v>
      </c>
      <c r="F163" s="149">
        <v>45901</v>
      </c>
      <c r="G163" s="150">
        <v>92</v>
      </c>
      <c r="H163" s="150">
        <f t="shared" ref="H163:H248" si="6">+G163</f>
        <v>92</v>
      </c>
      <c r="I163" s="150"/>
      <c r="J163" s="150">
        <v>0</v>
      </c>
      <c r="K163" s="150">
        <f t="shared" ref="K163:K240" si="7">+H163-J163</f>
        <v>92</v>
      </c>
      <c r="L163" s="151" t="e">
        <f t="shared" ref="L163:L239" si="8">K163/J163</f>
        <v>#DIV/0!</v>
      </c>
      <c r="M163" s="148"/>
    </row>
    <row r="164" spans="1:13" outlineLevel="3">
      <c r="A164" s="148" t="s">
        <v>126</v>
      </c>
      <c r="B164" s="148" t="s">
        <v>296</v>
      </c>
      <c r="C164" s="148" t="s">
        <v>128</v>
      </c>
      <c r="D164" s="148" t="s">
        <v>299</v>
      </c>
      <c r="E164" s="148" t="s">
        <v>300</v>
      </c>
      <c r="F164" s="149">
        <v>45901</v>
      </c>
      <c r="G164" s="150">
        <v>240.23779999999999</v>
      </c>
      <c r="H164" s="150">
        <f t="shared" si="6"/>
        <v>240.23779999999999</v>
      </c>
      <c r="I164" s="150"/>
      <c r="J164" s="150">
        <v>0</v>
      </c>
      <c r="K164" s="150">
        <f t="shared" si="7"/>
        <v>240.23779999999999</v>
      </c>
      <c r="L164" s="151" t="e">
        <f t="shared" si="8"/>
        <v>#DIV/0!</v>
      </c>
      <c r="M164" s="148"/>
    </row>
    <row r="165" spans="1:13" outlineLevel="3">
      <c r="A165" s="148" t="s">
        <v>126</v>
      </c>
      <c r="B165" s="148" t="s">
        <v>296</v>
      </c>
      <c r="C165" s="148" t="s">
        <v>131</v>
      </c>
      <c r="D165" s="148" t="s">
        <v>301</v>
      </c>
      <c r="E165" s="148" t="s">
        <v>300</v>
      </c>
      <c r="F165" s="149">
        <v>45901</v>
      </c>
      <c r="G165" s="150">
        <v>68.25</v>
      </c>
      <c r="H165" s="150">
        <f t="shared" si="6"/>
        <v>68.25</v>
      </c>
      <c r="I165" s="150"/>
      <c r="J165" s="150">
        <v>0</v>
      </c>
      <c r="K165" s="150">
        <f t="shared" si="7"/>
        <v>68.25</v>
      </c>
      <c r="L165" s="151" t="e">
        <f t="shared" si="8"/>
        <v>#DIV/0!</v>
      </c>
      <c r="M165" s="148"/>
    </row>
    <row r="166" spans="1:13" outlineLevel="3">
      <c r="A166" s="148" t="s">
        <v>126</v>
      </c>
      <c r="B166" s="156" t="s">
        <v>296</v>
      </c>
      <c r="C166" s="156" t="s">
        <v>131</v>
      </c>
      <c r="D166" s="156" t="s">
        <v>131</v>
      </c>
      <c r="E166" s="157"/>
      <c r="F166" s="158"/>
      <c r="G166" s="159"/>
      <c r="H166" s="159"/>
      <c r="I166" s="159"/>
      <c r="J166" s="159">
        <v>91</v>
      </c>
      <c r="K166" s="150">
        <f t="shared" si="7"/>
        <v>-91</v>
      </c>
      <c r="L166" s="151">
        <f t="shared" si="8"/>
        <v>-1</v>
      </c>
      <c r="M166" s="157" t="s">
        <v>302</v>
      </c>
    </row>
    <row r="167" spans="1:13" outlineLevel="3">
      <c r="A167" s="148" t="s">
        <v>126</v>
      </c>
      <c r="B167" s="148" t="s">
        <v>296</v>
      </c>
      <c r="C167" s="148" t="s">
        <v>132</v>
      </c>
      <c r="D167" s="148" t="s">
        <v>303</v>
      </c>
      <c r="E167" s="148" t="s">
        <v>300</v>
      </c>
      <c r="F167" s="149">
        <v>45901</v>
      </c>
      <c r="G167" s="150">
        <v>771.00220000000002</v>
      </c>
      <c r="H167" s="150">
        <f t="shared" si="6"/>
        <v>771.00220000000002</v>
      </c>
      <c r="I167" s="150"/>
      <c r="J167" s="150">
        <v>0</v>
      </c>
      <c r="K167" s="150">
        <f t="shared" si="7"/>
        <v>771.00220000000002</v>
      </c>
      <c r="L167" s="151" t="e">
        <f t="shared" si="8"/>
        <v>#DIV/0!</v>
      </c>
      <c r="M167" s="148"/>
    </row>
    <row r="168" spans="1:13" outlineLevel="3">
      <c r="A168" s="148" t="s">
        <v>126</v>
      </c>
      <c r="B168" s="156" t="s">
        <v>296</v>
      </c>
      <c r="C168" s="156" t="s">
        <v>132</v>
      </c>
      <c r="D168" s="156" t="s">
        <v>132</v>
      </c>
      <c r="E168" s="157"/>
      <c r="F168" s="158"/>
      <c r="G168" s="159"/>
      <c r="H168" s="159"/>
      <c r="I168" s="159"/>
      <c r="J168" s="159">
        <v>885.59</v>
      </c>
      <c r="K168" s="150">
        <f t="shared" si="7"/>
        <v>-885.59</v>
      </c>
      <c r="L168" s="151">
        <f t="shared" si="8"/>
        <v>-1</v>
      </c>
      <c r="M168" s="157" t="s">
        <v>304</v>
      </c>
    </row>
    <row r="169" spans="1:13" outlineLevel="2">
      <c r="A169" s="148"/>
      <c r="B169" s="160" t="s">
        <v>305</v>
      </c>
      <c r="C169" s="156"/>
      <c r="D169" s="156"/>
      <c r="E169" s="157"/>
      <c r="F169" s="158"/>
      <c r="G169" s="159">
        <f>SUBTOTAL(9,G163:G168)</f>
        <v>1171.49</v>
      </c>
      <c r="H169" s="159">
        <f>SUBTOTAL(9,H163:H168)</f>
        <v>1171.49</v>
      </c>
      <c r="I169" s="159">
        <f>SUBTOTAL(9,I163:I168)</f>
        <v>0</v>
      </c>
      <c r="J169" s="159">
        <f>SUBTOTAL(9,J163:J168)</f>
        <v>976.59</v>
      </c>
      <c r="K169" s="150"/>
      <c r="L169" s="151"/>
      <c r="M169" s="157"/>
    </row>
    <row r="170" spans="1:13" outlineLevel="3">
      <c r="A170" s="148" t="s">
        <v>126</v>
      </c>
      <c r="B170" s="148" t="s">
        <v>306</v>
      </c>
      <c r="C170" s="148" t="s">
        <v>139</v>
      </c>
      <c r="D170" s="148" t="s">
        <v>307</v>
      </c>
      <c r="E170" s="148" t="s">
        <v>308</v>
      </c>
      <c r="F170" s="149">
        <v>45901</v>
      </c>
      <c r="G170" s="150">
        <v>2288.5700000000002</v>
      </c>
      <c r="H170" s="150">
        <f t="shared" si="6"/>
        <v>2288.5700000000002</v>
      </c>
      <c r="I170" s="150"/>
      <c r="J170" s="150">
        <v>2258.5700000000002</v>
      </c>
      <c r="K170" s="150">
        <f t="shared" si="7"/>
        <v>30</v>
      </c>
      <c r="L170" s="151">
        <f t="shared" si="8"/>
        <v>1.3282740849298449E-2</v>
      </c>
      <c r="M170" s="148"/>
    </row>
    <row r="171" spans="1:13" outlineLevel="3">
      <c r="A171" s="148" t="s">
        <v>126</v>
      </c>
      <c r="B171" s="148" t="s">
        <v>306</v>
      </c>
      <c r="C171" s="148" t="s">
        <v>128</v>
      </c>
      <c r="D171" s="148" t="s">
        <v>264</v>
      </c>
      <c r="E171" s="148" t="s">
        <v>309</v>
      </c>
      <c r="F171" s="149">
        <v>45901</v>
      </c>
      <c r="G171" s="150">
        <v>510</v>
      </c>
      <c r="H171" s="150">
        <f t="shared" si="6"/>
        <v>510</v>
      </c>
      <c r="I171" s="150"/>
      <c r="J171" s="150">
        <v>510</v>
      </c>
      <c r="K171" s="150">
        <f t="shared" si="7"/>
        <v>0</v>
      </c>
      <c r="L171" s="151">
        <f t="shared" si="8"/>
        <v>0</v>
      </c>
      <c r="M171" s="148"/>
    </row>
    <row r="172" spans="1:13" outlineLevel="3">
      <c r="A172" s="148" t="s">
        <v>126</v>
      </c>
      <c r="B172" s="148" t="s">
        <v>306</v>
      </c>
      <c r="C172" s="148" t="s">
        <v>131</v>
      </c>
      <c r="D172" s="148" t="s">
        <v>265</v>
      </c>
      <c r="E172" s="148" t="s">
        <v>309</v>
      </c>
      <c r="F172" s="149">
        <v>45901</v>
      </c>
      <c r="G172" s="150">
        <v>1848</v>
      </c>
      <c r="H172" s="150">
        <f t="shared" si="6"/>
        <v>1848</v>
      </c>
      <c r="I172" s="150"/>
      <c r="J172" s="150">
        <v>1858</v>
      </c>
      <c r="K172" s="150">
        <f t="shared" si="7"/>
        <v>-10</v>
      </c>
      <c r="L172" s="151">
        <f t="shared" si="8"/>
        <v>-5.3821313240043061E-3</v>
      </c>
      <c r="M172" s="148" t="s">
        <v>310</v>
      </c>
    </row>
    <row r="173" spans="1:13" outlineLevel="3">
      <c r="A173" s="148" t="s">
        <v>126</v>
      </c>
      <c r="B173" s="148" t="s">
        <v>306</v>
      </c>
      <c r="C173" s="148" t="s">
        <v>132</v>
      </c>
      <c r="D173" s="148" t="s">
        <v>266</v>
      </c>
      <c r="E173" s="148" t="s">
        <v>309</v>
      </c>
      <c r="F173" s="149">
        <v>45901</v>
      </c>
      <c r="G173" s="150">
        <v>2585</v>
      </c>
      <c r="H173" s="150">
        <f t="shared" si="6"/>
        <v>2585</v>
      </c>
      <c r="I173" s="150"/>
      <c r="J173" s="150">
        <v>2585</v>
      </c>
      <c r="K173" s="150">
        <f t="shared" si="7"/>
        <v>0</v>
      </c>
      <c r="L173" s="151">
        <f t="shared" si="8"/>
        <v>0</v>
      </c>
      <c r="M173" s="148"/>
    </row>
    <row r="174" spans="1:13" outlineLevel="2">
      <c r="A174" s="148"/>
      <c r="B174" s="173" t="s">
        <v>311</v>
      </c>
      <c r="C174" s="148"/>
      <c r="D174" s="148"/>
      <c r="E174" s="148"/>
      <c r="F174" s="149"/>
      <c r="G174" s="150">
        <f>SUBTOTAL(9,G170:G173)</f>
        <v>7231.57</v>
      </c>
      <c r="H174" s="150">
        <f>SUBTOTAL(9,H170:H173)</f>
        <v>7231.57</v>
      </c>
      <c r="I174" s="150">
        <f>SUBTOTAL(9,I170:I173)</f>
        <v>0</v>
      </c>
      <c r="J174" s="150">
        <f>SUBTOTAL(9,J170:J173)</f>
        <v>7211.57</v>
      </c>
      <c r="K174" s="150"/>
      <c r="L174" s="151"/>
      <c r="M174" s="148"/>
    </row>
    <row r="175" spans="1:13" outlineLevel="3">
      <c r="A175" s="148" t="s">
        <v>126</v>
      </c>
      <c r="B175" s="148" t="s">
        <v>312</v>
      </c>
      <c r="C175" s="148" t="s">
        <v>139</v>
      </c>
      <c r="D175" s="148" t="s">
        <v>313</v>
      </c>
      <c r="E175" s="148" t="s">
        <v>314</v>
      </c>
      <c r="F175" s="149">
        <v>45901</v>
      </c>
      <c r="G175" s="150">
        <v>972</v>
      </c>
      <c r="H175" s="150">
        <f t="shared" si="6"/>
        <v>972</v>
      </c>
      <c r="I175" s="150"/>
      <c r="J175" s="150">
        <v>972</v>
      </c>
      <c r="K175" s="150">
        <f t="shared" si="7"/>
        <v>0</v>
      </c>
      <c r="L175" s="151">
        <f t="shared" si="8"/>
        <v>0</v>
      </c>
      <c r="M175" s="148"/>
    </row>
    <row r="176" spans="1:13" outlineLevel="3">
      <c r="A176" s="148" t="s">
        <v>126</v>
      </c>
      <c r="B176" s="148" t="s">
        <v>312</v>
      </c>
      <c r="C176" s="148" t="s">
        <v>128</v>
      </c>
      <c r="D176" s="148" t="s">
        <v>128</v>
      </c>
      <c r="E176" s="148" t="s">
        <v>314</v>
      </c>
      <c r="F176" s="149">
        <v>45901</v>
      </c>
      <c r="G176" s="150">
        <v>393.5</v>
      </c>
      <c r="H176" s="150">
        <f t="shared" si="6"/>
        <v>393.5</v>
      </c>
      <c r="I176" s="150"/>
      <c r="J176" s="150">
        <v>393.5</v>
      </c>
      <c r="K176" s="150">
        <f t="shared" si="7"/>
        <v>0</v>
      </c>
      <c r="L176" s="151">
        <f t="shared" si="8"/>
        <v>0</v>
      </c>
      <c r="M176" s="148"/>
    </row>
    <row r="177" spans="1:13" outlineLevel="3">
      <c r="A177" s="148" t="s">
        <v>126</v>
      </c>
      <c r="B177" s="148" t="s">
        <v>312</v>
      </c>
      <c r="C177" s="148" t="s">
        <v>131</v>
      </c>
      <c r="D177" s="148" t="s">
        <v>131</v>
      </c>
      <c r="E177" s="148" t="s">
        <v>314</v>
      </c>
      <c r="F177" s="149">
        <v>45901</v>
      </c>
      <c r="G177" s="150">
        <v>633.5</v>
      </c>
      <c r="H177" s="150">
        <f t="shared" si="6"/>
        <v>633.5</v>
      </c>
      <c r="I177" s="150"/>
      <c r="J177" s="150">
        <v>123</v>
      </c>
      <c r="K177" s="150">
        <f t="shared" si="7"/>
        <v>510.5</v>
      </c>
      <c r="L177" s="151">
        <f t="shared" si="8"/>
        <v>4.1504065040650406</v>
      </c>
      <c r="M177" s="148"/>
    </row>
    <row r="178" spans="1:13" outlineLevel="3">
      <c r="A178" s="148" t="s">
        <v>126</v>
      </c>
      <c r="B178" s="148" t="s">
        <v>312</v>
      </c>
      <c r="C178" s="148" t="s">
        <v>132</v>
      </c>
      <c r="D178" s="148" t="s">
        <v>315</v>
      </c>
      <c r="E178" s="148" t="s">
        <v>314</v>
      </c>
      <c r="F178" s="149">
        <v>45901</v>
      </c>
      <c r="G178" s="150">
        <v>4754.25</v>
      </c>
      <c r="H178" s="150">
        <f t="shared" si="6"/>
        <v>4754.25</v>
      </c>
      <c r="I178" s="150"/>
      <c r="J178" s="150">
        <v>4754.25</v>
      </c>
      <c r="K178" s="150">
        <f t="shared" si="7"/>
        <v>0</v>
      </c>
      <c r="L178" s="151">
        <f t="shared" si="8"/>
        <v>0</v>
      </c>
      <c r="M178" s="148"/>
    </row>
    <row r="179" spans="1:13" outlineLevel="3">
      <c r="A179" s="148" t="s">
        <v>126</v>
      </c>
      <c r="B179" s="148" t="s">
        <v>312</v>
      </c>
      <c r="C179" s="148" t="s">
        <v>207</v>
      </c>
      <c r="D179" s="148" t="s">
        <v>316</v>
      </c>
      <c r="E179" s="148" t="s">
        <v>314</v>
      </c>
      <c r="F179" s="149">
        <v>45901</v>
      </c>
      <c r="G179" s="150">
        <v>3.19</v>
      </c>
      <c r="H179" s="150">
        <f t="shared" si="6"/>
        <v>3.19</v>
      </c>
      <c r="I179" s="150"/>
      <c r="J179" s="150">
        <v>3.19</v>
      </c>
      <c r="K179" s="150">
        <f t="shared" si="7"/>
        <v>0</v>
      </c>
      <c r="L179" s="151">
        <f t="shared" si="8"/>
        <v>0</v>
      </c>
      <c r="M179" s="148"/>
    </row>
    <row r="180" spans="1:13" outlineLevel="2">
      <c r="A180" s="148"/>
      <c r="B180" s="173" t="s">
        <v>317</v>
      </c>
      <c r="C180" s="148"/>
      <c r="D180" s="148"/>
      <c r="E180" s="148"/>
      <c r="F180" s="149"/>
      <c r="G180" s="150">
        <f>SUBTOTAL(9,G175:G179)</f>
        <v>6756.44</v>
      </c>
      <c r="H180" s="150">
        <f>SUBTOTAL(9,H175:H179)</f>
        <v>6756.44</v>
      </c>
      <c r="I180" s="150">
        <f>SUBTOTAL(9,I175:I179)</f>
        <v>0</v>
      </c>
      <c r="J180" s="150">
        <f>SUBTOTAL(9,J175:J179)</f>
        <v>6245.94</v>
      </c>
      <c r="K180" s="150"/>
      <c r="L180" s="151"/>
      <c r="M180" s="148"/>
    </row>
    <row r="181" spans="1:13" outlineLevel="3">
      <c r="A181" s="148" t="s">
        <v>126</v>
      </c>
      <c r="B181" s="148" t="s">
        <v>318</v>
      </c>
      <c r="C181" s="148" t="s">
        <v>135</v>
      </c>
      <c r="D181" s="148" t="s">
        <v>135</v>
      </c>
      <c r="E181" s="148" t="s">
        <v>319</v>
      </c>
      <c r="F181" s="149">
        <v>45901</v>
      </c>
      <c r="G181" s="150">
        <v>600</v>
      </c>
      <c r="H181" s="150">
        <f t="shared" si="6"/>
        <v>600</v>
      </c>
      <c r="I181" s="150"/>
      <c r="J181" s="150">
        <v>600</v>
      </c>
      <c r="K181" s="150">
        <f t="shared" si="7"/>
        <v>0</v>
      </c>
      <c r="L181" s="151">
        <f t="shared" si="8"/>
        <v>0</v>
      </c>
      <c r="M181" s="148"/>
    </row>
    <row r="182" spans="1:13" outlineLevel="3">
      <c r="A182" s="148" t="s">
        <v>126</v>
      </c>
      <c r="B182" s="148" t="s">
        <v>318</v>
      </c>
      <c r="C182" s="148" t="s">
        <v>139</v>
      </c>
      <c r="D182" s="148" t="s">
        <v>139</v>
      </c>
      <c r="E182" s="148" t="s">
        <v>319</v>
      </c>
      <c r="F182" s="149">
        <v>45901</v>
      </c>
      <c r="G182" s="150">
        <v>1383.6</v>
      </c>
      <c r="H182" s="150">
        <f t="shared" si="6"/>
        <v>1383.6</v>
      </c>
      <c r="I182" s="150"/>
      <c r="J182" s="150">
        <v>1383.6</v>
      </c>
      <c r="K182" s="150">
        <f t="shared" si="7"/>
        <v>0</v>
      </c>
      <c r="L182" s="151">
        <f t="shared" si="8"/>
        <v>0</v>
      </c>
      <c r="M182" s="148"/>
    </row>
    <row r="183" spans="1:13" outlineLevel="3">
      <c r="A183" s="148" t="s">
        <v>126</v>
      </c>
      <c r="B183" s="148" t="s">
        <v>318</v>
      </c>
      <c r="C183" s="148" t="s">
        <v>128</v>
      </c>
      <c r="D183" s="148" t="s">
        <v>128</v>
      </c>
      <c r="E183" s="148" t="s">
        <v>319</v>
      </c>
      <c r="F183" s="149">
        <v>45901</v>
      </c>
      <c r="G183" s="150">
        <v>236.2242</v>
      </c>
      <c r="H183" s="150">
        <f t="shared" si="6"/>
        <v>236.2242</v>
      </c>
      <c r="I183" s="150"/>
      <c r="J183" s="150">
        <v>244.2242</v>
      </c>
      <c r="K183" s="150">
        <f t="shared" si="7"/>
        <v>-8</v>
      </c>
      <c r="L183" s="151">
        <f t="shared" si="8"/>
        <v>-3.2756786591992111E-2</v>
      </c>
      <c r="M183" s="148" t="s">
        <v>320</v>
      </c>
    </row>
    <row r="184" spans="1:13" outlineLevel="3">
      <c r="A184" s="148" t="s">
        <v>126</v>
      </c>
      <c r="B184" s="148" t="s">
        <v>318</v>
      </c>
      <c r="C184" s="148" t="s">
        <v>131</v>
      </c>
      <c r="D184" s="148" t="s">
        <v>131</v>
      </c>
      <c r="E184" s="148" t="s">
        <v>319</v>
      </c>
      <c r="F184" s="149">
        <v>45901</v>
      </c>
      <c r="G184" s="150">
        <v>1979</v>
      </c>
      <c r="H184" s="150">
        <f t="shared" si="6"/>
        <v>1979</v>
      </c>
      <c r="I184" s="150"/>
      <c r="J184" s="150">
        <v>2000</v>
      </c>
      <c r="K184" s="150">
        <f t="shared" si="7"/>
        <v>-21</v>
      </c>
      <c r="L184" s="151">
        <f t="shared" si="8"/>
        <v>-1.0500000000000001E-2</v>
      </c>
      <c r="M184" s="148" t="s">
        <v>321</v>
      </c>
    </row>
    <row r="185" spans="1:13" outlineLevel="3">
      <c r="A185" s="148" t="s">
        <v>126</v>
      </c>
      <c r="B185" s="148" t="s">
        <v>318</v>
      </c>
      <c r="C185" s="148" t="s">
        <v>132</v>
      </c>
      <c r="D185" s="148" t="s">
        <v>132</v>
      </c>
      <c r="E185" s="148" t="s">
        <v>319</v>
      </c>
      <c r="F185" s="149">
        <v>45901</v>
      </c>
      <c r="G185" s="150">
        <v>3462</v>
      </c>
      <c r="H185" s="150">
        <f t="shared" si="6"/>
        <v>3462</v>
      </c>
      <c r="I185" s="150"/>
      <c r="J185" s="150">
        <v>3558</v>
      </c>
      <c r="K185" s="150">
        <f t="shared" si="7"/>
        <v>-96</v>
      </c>
      <c r="L185" s="151">
        <f t="shared" si="8"/>
        <v>-2.6981450252951095E-2</v>
      </c>
      <c r="M185" s="148" t="s">
        <v>322</v>
      </c>
    </row>
    <row r="186" spans="1:13" outlineLevel="2">
      <c r="A186" s="148"/>
      <c r="B186" s="173" t="s">
        <v>323</v>
      </c>
      <c r="C186" s="148"/>
      <c r="D186" s="148"/>
      <c r="E186" s="148"/>
      <c r="F186" s="149"/>
      <c r="G186" s="150">
        <f>SUBTOTAL(9,G181:G185)</f>
        <v>7660.8242</v>
      </c>
      <c r="H186" s="150">
        <f>SUBTOTAL(9,H181:H185)</f>
        <v>7660.8242</v>
      </c>
      <c r="I186" s="150">
        <f>SUBTOTAL(9,I181:I185)</f>
        <v>0</v>
      </c>
      <c r="J186" s="150">
        <f>SUBTOTAL(9,J181:J185)</f>
        <v>7785.8242</v>
      </c>
      <c r="K186" s="150"/>
      <c r="L186" s="151"/>
      <c r="M186" s="148"/>
    </row>
    <row r="187" spans="1:13" outlineLevel="3">
      <c r="A187" s="148" t="s">
        <v>126</v>
      </c>
      <c r="B187" s="148" t="s">
        <v>324</v>
      </c>
      <c r="C187" s="148" t="s">
        <v>139</v>
      </c>
      <c r="D187" s="148" t="s">
        <v>139</v>
      </c>
      <c r="E187" s="148" t="s">
        <v>325</v>
      </c>
      <c r="F187" s="149">
        <v>45901</v>
      </c>
      <c r="G187" s="150">
        <v>1747.2</v>
      </c>
      <c r="H187" s="150">
        <f t="shared" si="6"/>
        <v>1747.2</v>
      </c>
      <c r="I187" s="150"/>
      <c r="J187" s="150">
        <v>0</v>
      </c>
      <c r="K187" s="150">
        <f t="shared" si="7"/>
        <v>1747.2</v>
      </c>
      <c r="L187" s="151" t="e">
        <f t="shared" si="8"/>
        <v>#DIV/0!</v>
      </c>
      <c r="M187" s="148"/>
    </row>
    <row r="188" spans="1:13" outlineLevel="3">
      <c r="A188" s="148" t="s">
        <v>126</v>
      </c>
      <c r="B188" s="148" t="s">
        <v>324</v>
      </c>
      <c r="C188" s="148" t="s">
        <v>128</v>
      </c>
      <c r="D188" s="148" t="s">
        <v>128</v>
      </c>
      <c r="E188" s="148" t="s">
        <v>325</v>
      </c>
      <c r="F188" s="149">
        <v>45901</v>
      </c>
      <c r="G188" s="150">
        <v>316</v>
      </c>
      <c r="H188" s="150">
        <f t="shared" si="6"/>
        <v>316</v>
      </c>
      <c r="I188" s="150"/>
      <c r="J188" s="150">
        <v>312</v>
      </c>
      <c r="K188" s="150">
        <f t="shared" si="7"/>
        <v>4</v>
      </c>
      <c r="L188" s="151">
        <f t="shared" si="8"/>
        <v>1.282051282051282E-2</v>
      </c>
      <c r="M188" s="148"/>
    </row>
    <row r="189" spans="1:13" outlineLevel="3">
      <c r="A189" s="148" t="s">
        <v>126</v>
      </c>
      <c r="B189" s="148" t="s">
        <v>324</v>
      </c>
      <c r="C189" s="148" t="s">
        <v>131</v>
      </c>
      <c r="D189" s="148" t="s">
        <v>131</v>
      </c>
      <c r="E189" s="148" t="s">
        <v>325</v>
      </c>
      <c r="F189" s="149">
        <v>45901</v>
      </c>
      <c r="G189" s="150">
        <v>1712</v>
      </c>
      <c r="H189" s="150">
        <f t="shared" si="6"/>
        <v>1712</v>
      </c>
      <c r="I189" s="150"/>
      <c r="J189" s="150">
        <v>1697</v>
      </c>
      <c r="K189" s="150">
        <f t="shared" si="7"/>
        <v>15</v>
      </c>
      <c r="L189" s="151">
        <f t="shared" si="8"/>
        <v>8.8391278727165592E-3</v>
      </c>
      <c r="M189" s="148"/>
    </row>
    <row r="190" spans="1:13" outlineLevel="3">
      <c r="A190" s="148" t="s">
        <v>126</v>
      </c>
      <c r="B190" s="148" t="s">
        <v>324</v>
      </c>
      <c r="C190" s="148" t="s">
        <v>132</v>
      </c>
      <c r="D190" s="148" t="s">
        <v>132</v>
      </c>
      <c r="E190" s="148" t="s">
        <v>325</v>
      </c>
      <c r="F190" s="149">
        <v>45901</v>
      </c>
      <c r="G190" s="150">
        <v>5575.2</v>
      </c>
      <c r="H190" s="150">
        <f t="shared" si="6"/>
        <v>5575.2</v>
      </c>
      <c r="I190" s="150"/>
      <c r="J190" s="150">
        <v>5479.6</v>
      </c>
      <c r="K190" s="150">
        <f t="shared" si="7"/>
        <v>95.599999999999454</v>
      </c>
      <c r="L190" s="151">
        <f t="shared" si="8"/>
        <v>1.7446528943718419E-2</v>
      </c>
      <c r="M190" s="148"/>
    </row>
    <row r="191" spans="1:13" outlineLevel="2">
      <c r="A191" s="148"/>
      <c r="B191" s="173" t="s">
        <v>326</v>
      </c>
      <c r="C191" s="148"/>
      <c r="D191" s="148"/>
      <c r="E191" s="148"/>
      <c r="F191" s="149"/>
      <c r="G191" s="150">
        <f>SUBTOTAL(9,G187:G190)</f>
        <v>9350.4</v>
      </c>
      <c r="H191" s="150">
        <f>SUBTOTAL(9,H187:H190)</f>
        <v>9350.4</v>
      </c>
      <c r="I191" s="150">
        <f>SUBTOTAL(9,I187:I190)</f>
        <v>0</v>
      </c>
      <c r="J191" s="150">
        <f>SUBTOTAL(9,J187:J190)</f>
        <v>7488.6</v>
      </c>
      <c r="K191" s="150"/>
      <c r="L191" s="151"/>
      <c r="M191" s="148"/>
    </row>
    <row r="192" spans="1:13" outlineLevel="3">
      <c r="A192" s="148" t="s">
        <v>126</v>
      </c>
      <c r="B192" s="148" t="s">
        <v>327</v>
      </c>
      <c r="C192" s="148" t="s">
        <v>135</v>
      </c>
      <c r="D192" s="148" t="s">
        <v>328</v>
      </c>
      <c r="E192" s="148" t="s">
        <v>329</v>
      </c>
      <c r="F192" s="149">
        <v>45901</v>
      </c>
      <c r="G192" s="150">
        <v>2960</v>
      </c>
      <c r="H192" s="150">
        <f t="shared" si="6"/>
        <v>2960</v>
      </c>
      <c r="I192" s="150"/>
      <c r="J192" s="150">
        <v>2960</v>
      </c>
      <c r="K192" s="150">
        <f t="shared" si="7"/>
        <v>0</v>
      </c>
      <c r="L192" s="151">
        <f t="shared" si="8"/>
        <v>0</v>
      </c>
      <c r="M192" s="148"/>
    </row>
    <row r="193" spans="1:13" outlineLevel="3">
      <c r="A193" s="148" t="s">
        <v>126</v>
      </c>
      <c r="B193" s="148" t="s">
        <v>327</v>
      </c>
      <c r="C193" s="148" t="s">
        <v>128</v>
      </c>
      <c r="D193" s="148" t="s">
        <v>330</v>
      </c>
      <c r="E193" s="148" t="s">
        <v>329</v>
      </c>
      <c r="F193" s="149">
        <v>45901</v>
      </c>
      <c r="G193" s="150">
        <v>1871.1905999999999</v>
      </c>
      <c r="H193" s="150">
        <f t="shared" si="6"/>
        <v>1871.1905999999999</v>
      </c>
      <c r="I193" s="150"/>
      <c r="J193" s="150">
        <v>1547.9906000000001</v>
      </c>
      <c r="K193" s="150">
        <f t="shared" si="7"/>
        <v>323.19999999999982</v>
      </c>
      <c r="L193" s="151">
        <f t="shared" si="8"/>
        <v>0.20878679754256893</v>
      </c>
      <c r="M193" s="148"/>
    </row>
    <row r="194" spans="1:13" outlineLevel="3">
      <c r="A194" s="148" t="s">
        <v>126</v>
      </c>
      <c r="B194" s="148" t="s">
        <v>327</v>
      </c>
      <c r="C194" s="148" t="s">
        <v>131</v>
      </c>
      <c r="D194" s="148" t="s">
        <v>331</v>
      </c>
      <c r="E194" s="148" t="s">
        <v>329</v>
      </c>
      <c r="F194" s="149">
        <v>45901</v>
      </c>
      <c r="G194" s="150">
        <v>1207</v>
      </c>
      <c r="H194" s="150">
        <f t="shared" si="6"/>
        <v>1207</v>
      </c>
      <c r="I194" s="150"/>
      <c r="J194" s="150">
        <v>1158</v>
      </c>
      <c r="K194" s="150">
        <f t="shared" si="7"/>
        <v>49</v>
      </c>
      <c r="L194" s="151">
        <f t="shared" si="8"/>
        <v>4.231433506044905E-2</v>
      </c>
      <c r="M194" s="148"/>
    </row>
    <row r="195" spans="1:13" outlineLevel="3">
      <c r="A195" s="148" t="s">
        <v>126</v>
      </c>
      <c r="B195" s="148" t="s">
        <v>327</v>
      </c>
      <c r="C195" s="148" t="s">
        <v>132</v>
      </c>
      <c r="D195" s="148" t="s">
        <v>270</v>
      </c>
      <c r="E195" s="148" t="s">
        <v>329</v>
      </c>
      <c r="F195" s="149">
        <v>45901</v>
      </c>
      <c r="G195" s="150">
        <v>4931</v>
      </c>
      <c r="H195" s="150">
        <f t="shared" si="6"/>
        <v>4931</v>
      </c>
      <c r="I195" s="150"/>
      <c r="J195" s="150">
        <v>4842</v>
      </c>
      <c r="K195" s="150">
        <f t="shared" si="7"/>
        <v>89</v>
      </c>
      <c r="L195" s="151">
        <f t="shared" si="8"/>
        <v>1.8380834365964476E-2</v>
      </c>
      <c r="M195" s="148"/>
    </row>
    <row r="196" spans="1:13" outlineLevel="2">
      <c r="A196" s="148"/>
      <c r="B196" s="173" t="s">
        <v>332</v>
      </c>
      <c r="C196" s="148"/>
      <c r="D196" s="148"/>
      <c r="E196" s="148"/>
      <c r="F196" s="149"/>
      <c r="G196" s="150">
        <f>SUBTOTAL(9,G192:G195)</f>
        <v>10969.1906</v>
      </c>
      <c r="H196" s="150">
        <f>SUBTOTAL(9,H192:H195)</f>
        <v>10969.1906</v>
      </c>
      <c r="I196" s="150">
        <f>SUBTOTAL(9,I192:I195)</f>
        <v>0</v>
      </c>
      <c r="J196" s="150">
        <f>SUBTOTAL(9,J192:J195)</f>
        <v>10507.990600000001</v>
      </c>
      <c r="K196" s="150"/>
      <c r="L196" s="151"/>
      <c r="M196" s="148"/>
    </row>
    <row r="197" spans="1:13" outlineLevel="3">
      <c r="A197" s="148" t="s">
        <v>126</v>
      </c>
      <c r="B197" s="148" t="s">
        <v>333</v>
      </c>
      <c r="C197" s="148" t="s">
        <v>139</v>
      </c>
      <c r="D197" s="148" t="s">
        <v>139</v>
      </c>
      <c r="E197" s="148" t="s">
        <v>334</v>
      </c>
      <c r="F197" s="149">
        <v>45901</v>
      </c>
      <c r="G197" s="150">
        <v>591.6</v>
      </c>
      <c r="H197" s="150">
        <f t="shared" si="6"/>
        <v>591.6</v>
      </c>
      <c r="I197" s="150"/>
      <c r="J197" s="150">
        <v>591.6</v>
      </c>
      <c r="K197" s="150">
        <f t="shared" si="7"/>
        <v>0</v>
      </c>
      <c r="L197" s="151">
        <f t="shared" si="8"/>
        <v>0</v>
      </c>
      <c r="M197" s="148"/>
    </row>
    <row r="198" spans="1:13" outlineLevel="3">
      <c r="A198" s="148" t="s">
        <v>126</v>
      </c>
      <c r="B198" s="148" t="s">
        <v>333</v>
      </c>
      <c r="C198" s="148" t="s">
        <v>128</v>
      </c>
      <c r="D198" s="148" t="s">
        <v>128</v>
      </c>
      <c r="E198" s="148" t="s">
        <v>334</v>
      </c>
      <c r="F198" s="149">
        <v>45901</v>
      </c>
      <c r="G198" s="150">
        <v>88</v>
      </c>
      <c r="H198" s="150">
        <f t="shared" si="6"/>
        <v>88</v>
      </c>
      <c r="I198" s="150"/>
      <c r="J198" s="150">
        <v>88</v>
      </c>
      <c r="K198" s="150">
        <f t="shared" si="7"/>
        <v>0</v>
      </c>
      <c r="L198" s="151">
        <f t="shared" si="8"/>
        <v>0</v>
      </c>
      <c r="M198" s="148"/>
    </row>
    <row r="199" spans="1:13" outlineLevel="3">
      <c r="A199" s="148" t="s">
        <v>126</v>
      </c>
      <c r="B199" s="148" t="s">
        <v>333</v>
      </c>
      <c r="C199" s="148" t="s">
        <v>131</v>
      </c>
      <c r="D199" s="148" t="s">
        <v>131</v>
      </c>
      <c r="E199" s="148" t="s">
        <v>334</v>
      </c>
      <c r="F199" s="149">
        <v>45901</v>
      </c>
      <c r="G199" s="150">
        <v>569</v>
      </c>
      <c r="H199" s="150">
        <f t="shared" si="6"/>
        <v>569</v>
      </c>
      <c r="I199" s="150"/>
      <c r="J199" s="150">
        <v>560</v>
      </c>
      <c r="K199" s="150">
        <f t="shared" si="7"/>
        <v>9</v>
      </c>
      <c r="L199" s="151">
        <f t="shared" si="8"/>
        <v>1.607142857142857E-2</v>
      </c>
      <c r="M199" s="148"/>
    </row>
    <row r="200" spans="1:13" outlineLevel="3">
      <c r="A200" s="148" t="s">
        <v>126</v>
      </c>
      <c r="B200" s="148" t="s">
        <v>333</v>
      </c>
      <c r="C200" s="148" t="s">
        <v>132</v>
      </c>
      <c r="D200" s="148" t="s">
        <v>132</v>
      </c>
      <c r="E200" s="148" t="s">
        <v>334</v>
      </c>
      <c r="F200" s="149">
        <v>45901</v>
      </c>
      <c r="G200" s="150">
        <v>2142</v>
      </c>
      <c r="H200" s="150">
        <f t="shared" si="6"/>
        <v>2142</v>
      </c>
      <c r="I200" s="150"/>
      <c r="J200" s="150">
        <v>2142</v>
      </c>
      <c r="K200" s="150">
        <f t="shared" si="7"/>
        <v>0</v>
      </c>
      <c r="L200" s="151">
        <f t="shared" si="8"/>
        <v>0</v>
      </c>
      <c r="M200" s="148"/>
    </row>
    <row r="201" spans="1:13" outlineLevel="2">
      <c r="A201" s="148"/>
      <c r="B201" s="173" t="s">
        <v>335</v>
      </c>
      <c r="C201" s="148"/>
      <c r="D201" s="148"/>
      <c r="E201" s="148"/>
      <c r="F201" s="149"/>
      <c r="G201" s="150">
        <f>SUBTOTAL(9,G197:G200)</f>
        <v>3390.6</v>
      </c>
      <c r="H201" s="150">
        <f>SUBTOTAL(9,H197:H200)</f>
        <v>3390.6</v>
      </c>
      <c r="I201" s="150">
        <f>SUBTOTAL(9,I197:I200)</f>
        <v>0</v>
      </c>
      <c r="J201" s="150">
        <f>SUBTOTAL(9,J197:J200)</f>
        <v>3381.6</v>
      </c>
      <c r="K201" s="150"/>
      <c r="L201" s="151"/>
      <c r="M201" s="148"/>
    </row>
    <row r="202" spans="1:13" outlineLevel="3">
      <c r="A202" s="148" t="s">
        <v>126</v>
      </c>
      <c r="B202" s="148" t="s">
        <v>336</v>
      </c>
      <c r="C202" s="148" t="s">
        <v>139</v>
      </c>
      <c r="D202" s="148" t="s">
        <v>337</v>
      </c>
      <c r="E202" s="148" t="s">
        <v>338</v>
      </c>
      <c r="F202" s="149">
        <v>45901</v>
      </c>
      <c r="G202" s="150">
        <v>1544</v>
      </c>
      <c r="H202" s="150">
        <f t="shared" si="6"/>
        <v>1544</v>
      </c>
      <c r="I202" s="150"/>
      <c r="J202" s="150">
        <v>1544</v>
      </c>
      <c r="K202" s="150">
        <f t="shared" si="7"/>
        <v>0</v>
      </c>
      <c r="L202" s="151">
        <f t="shared" si="8"/>
        <v>0</v>
      </c>
      <c r="M202" s="148"/>
    </row>
    <row r="203" spans="1:13" outlineLevel="3">
      <c r="A203" s="148" t="s">
        <v>126</v>
      </c>
      <c r="B203" s="148" t="s">
        <v>336</v>
      </c>
      <c r="C203" s="148" t="s">
        <v>128</v>
      </c>
      <c r="D203" s="148" t="s">
        <v>128</v>
      </c>
      <c r="E203" s="148" t="s">
        <v>338</v>
      </c>
      <c r="F203" s="149">
        <v>45901</v>
      </c>
      <c r="G203" s="150">
        <v>1084.93</v>
      </c>
      <c r="H203" s="150">
        <f t="shared" si="6"/>
        <v>1084.93</v>
      </c>
      <c r="I203" s="150"/>
      <c r="J203" s="150">
        <v>1084.93</v>
      </c>
      <c r="K203" s="150">
        <f t="shared" si="7"/>
        <v>0</v>
      </c>
      <c r="L203" s="151">
        <f t="shared" si="8"/>
        <v>0</v>
      </c>
      <c r="M203" s="148"/>
    </row>
    <row r="204" spans="1:13" outlineLevel="3">
      <c r="A204" s="148" t="s">
        <v>126</v>
      </c>
      <c r="B204" s="148" t="s">
        <v>336</v>
      </c>
      <c r="C204" s="148" t="s">
        <v>131</v>
      </c>
      <c r="D204" s="148" t="s">
        <v>131</v>
      </c>
      <c r="E204" s="148" t="s">
        <v>338</v>
      </c>
      <c r="F204" s="149">
        <v>45901</v>
      </c>
      <c r="G204" s="150">
        <v>620.5</v>
      </c>
      <c r="H204" s="150">
        <f t="shared" si="6"/>
        <v>620.5</v>
      </c>
      <c r="I204" s="150"/>
      <c r="J204" s="150">
        <v>620.5</v>
      </c>
      <c r="K204" s="150">
        <f t="shared" si="7"/>
        <v>0</v>
      </c>
      <c r="L204" s="151">
        <f t="shared" si="8"/>
        <v>0</v>
      </c>
      <c r="M204" s="148"/>
    </row>
    <row r="205" spans="1:13" outlineLevel="3">
      <c r="A205" s="148" t="s">
        <v>126</v>
      </c>
      <c r="B205" s="148" t="s">
        <v>336</v>
      </c>
      <c r="C205" s="148" t="s">
        <v>132</v>
      </c>
      <c r="D205" s="148" t="s">
        <v>336</v>
      </c>
      <c r="E205" s="148" t="s">
        <v>338</v>
      </c>
      <c r="F205" s="149">
        <v>45901</v>
      </c>
      <c r="G205" s="150">
        <v>2983.15</v>
      </c>
      <c r="H205" s="150">
        <f t="shared" si="6"/>
        <v>2983.15</v>
      </c>
      <c r="I205" s="150"/>
      <c r="J205" s="150">
        <v>2983.15</v>
      </c>
      <c r="K205" s="150">
        <f t="shared" si="7"/>
        <v>0</v>
      </c>
      <c r="L205" s="151">
        <f t="shared" si="8"/>
        <v>0</v>
      </c>
      <c r="M205" s="148"/>
    </row>
    <row r="206" spans="1:13" outlineLevel="2">
      <c r="A206" s="148"/>
      <c r="B206" s="173" t="s">
        <v>339</v>
      </c>
      <c r="C206" s="148"/>
      <c r="D206" s="148"/>
      <c r="E206" s="148"/>
      <c r="F206" s="149"/>
      <c r="G206" s="150">
        <f>SUBTOTAL(9,G202:G205)</f>
        <v>6232.58</v>
      </c>
      <c r="H206" s="150">
        <f>SUBTOTAL(9,H202:H205)</f>
        <v>6232.58</v>
      </c>
      <c r="I206" s="150">
        <f>SUBTOTAL(9,I202:I205)</f>
        <v>0</v>
      </c>
      <c r="J206" s="150">
        <f>SUBTOTAL(9,J202:J205)</f>
        <v>6232.58</v>
      </c>
      <c r="K206" s="150"/>
      <c r="L206" s="151"/>
      <c r="M206" s="148"/>
    </row>
    <row r="207" spans="1:13" outlineLevel="3">
      <c r="A207" s="148" t="s">
        <v>126</v>
      </c>
      <c r="B207" s="148" t="s">
        <v>340</v>
      </c>
      <c r="C207" s="148" t="s">
        <v>139</v>
      </c>
      <c r="D207" s="148" t="s">
        <v>341</v>
      </c>
      <c r="E207" s="148" t="s">
        <v>342</v>
      </c>
      <c r="F207" s="149">
        <v>45901</v>
      </c>
      <c r="G207" s="150">
        <v>980</v>
      </c>
      <c r="H207" s="150">
        <f t="shared" si="6"/>
        <v>980</v>
      </c>
      <c r="I207" s="150"/>
      <c r="J207" s="150">
        <v>980</v>
      </c>
      <c r="K207" s="150">
        <f t="shared" si="7"/>
        <v>0</v>
      </c>
      <c r="L207" s="151">
        <f t="shared" si="8"/>
        <v>0</v>
      </c>
      <c r="M207" s="148"/>
    </row>
    <row r="208" spans="1:13" outlineLevel="3">
      <c r="A208" s="148" t="s">
        <v>126</v>
      </c>
      <c r="B208" s="148" t="s">
        <v>340</v>
      </c>
      <c r="C208" s="148" t="s">
        <v>128</v>
      </c>
      <c r="D208" s="148" t="s">
        <v>128</v>
      </c>
      <c r="E208" s="148" t="s">
        <v>342</v>
      </c>
      <c r="F208" s="149">
        <v>45901</v>
      </c>
      <c r="G208" s="150">
        <v>250</v>
      </c>
      <c r="H208" s="150">
        <f t="shared" si="6"/>
        <v>250</v>
      </c>
      <c r="I208" s="150"/>
      <c r="J208" s="150">
        <v>245</v>
      </c>
      <c r="K208" s="150">
        <f t="shared" si="7"/>
        <v>5</v>
      </c>
      <c r="L208" s="151">
        <f t="shared" si="8"/>
        <v>2.0408163265306121E-2</v>
      </c>
      <c r="M208" s="148"/>
    </row>
    <row r="209" spans="1:13" outlineLevel="3">
      <c r="A209" s="148" t="s">
        <v>126</v>
      </c>
      <c r="B209" s="148" t="s">
        <v>340</v>
      </c>
      <c r="C209" s="148" t="s">
        <v>131</v>
      </c>
      <c r="D209" s="148" t="s">
        <v>131</v>
      </c>
      <c r="E209" s="148" t="s">
        <v>342</v>
      </c>
      <c r="F209" s="149">
        <v>45901</v>
      </c>
      <c r="G209" s="150">
        <v>460</v>
      </c>
      <c r="H209" s="150">
        <f t="shared" si="6"/>
        <v>460</v>
      </c>
      <c r="I209" s="150"/>
      <c r="J209" s="150">
        <v>460</v>
      </c>
      <c r="K209" s="150">
        <f t="shared" si="7"/>
        <v>0</v>
      </c>
      <c r="L209" s="151">
        <f t="shared" si="8"/>
        <v>0</v>
      </c>
      <c r="M209" s="148"/>
    </row>
    <row r="210" spans="1:13" outlineLevel="3">
      <c r="A210" s="148" t="s">
        <v>126</v>
      </c>
      <c r="B210" s="148" t="s">
        <v>340</v>
      </c>
      <c r="C210" s="148" t="s">
        <v>132</v>
      </c>
      <c r="D210" s="148" t="s">
        <v>340</v>
      </c>
      <c r="E210" s="148" t="s">
        <v>342</v>
      </c>
      <c r="F210" s="149">
        <v>45901</v>
      </c>
      <c r="G210" s="150">
        <v>1670.92</v>
      </c>
      <c r="H210" s="150">
        <f t="shared" si="6"/>
        <v>1670.92</v>
      </c>
      <c r="I210" s="150"/>
      <c r="J210" s="150">
        <v>1670.92</v>
      </c>
      <c r="K210" s="150">
        <f t="shared" si="7"/>
        <v>0</v>
      </c>
      <c r="L210" s="151">
        <f t="shared" si="8"/>
        <v>0</v>
      </c>
      <c r="M210" s="148"/>
    </row>
    <row r="211" spans="1:13" outlineLevel="2">
      <c r="A211" s="148"/>
      <c r="B211" s="173" t="s">
        <v>343</v>
      </c>
      <c r="C211" s="148"/>
      <c r="D211" s="148"/>
      <c r="E211" s="148"/>
      <c r="F211" s="149"/>
      <c r="G211" s="150">
        <f>SUBTOTAL(9,G207:G210)</f>
        <v>3360.92</v>
      </c>
      <c r="H211" s="150">
        <f>SUBTOTAL(9,H207:H210)</f>
        <v>3360.92</v>
      </c>
      <c r="I211" s="150">
        <f>SUBTOTAL(9,I207:I210)</f>
        <v>0</v>
      </c>
      <c r="J211" s="150">
        <f>SUBTOTAL(9,J207:J210)</f>
        <v>3355.92</v>
      </c>
      <c r="K211" s="150"/>
      <c r="L211" s="151"/>
      <c r="M211" s="148"/>
    </row>
    <row r="212" spans="1:13" outlineLevel="3">
      <c r="A212" s="148" t="s">
        <v>126</v>
      </c>
      <c r="B212" s="148" t="s">
        <v>344</v>
      </c>
      <c r="C212" s="148" t="s">
        <v>139</v>
      </c>
      <c r="D212" s="148" t="s">
        <v>139</v>
      </c>
      <c r="E212" s="148" t="s">
        <v>345</v>
      </c>
      <c r="F212" s="149">
        <v>45901</v>
      </c>
      <c r="G212" s="150">
        <v>363</v>
      </c>
      <c r="H212" s="150">
        <f t="shared" si="6"/>
        <v>363</v>
      </c>
      <c r="I212" s="150"/>
      <c r="J212" s="150">
        <v>363</v>
      </c>
      <c r="K212" s="150">
        <f t="shared" si="7"/>
        <v>0</v>
      </c>
      <c r="L212" s="151">
        <f t="shared" si="8"/>
        <v>0</v>
      </c>
      <c r="M212" s="148"/>
    </row>
    <row r="213" spans="1:13" outlineLevel="3">
      <c r="A213" s="148" t="s">
        <v>126</v>
      </c>
      <c r="B213" s="148" t="s">
        <v>344</v>
      </c>
      <c r="C213" s="148" t="s">
        <v>128</v>
      </c>
      <c r="D213" s="148" t="s">
        <v>128</v>
      </c>
      <c r="E213" s="148" t="s">
        <v>345</v>
      </c>
      <c r="F213" s="149">
        <v>45901</v>
      </c>
      <c r="G213" s="150">
        <v>332.75</v>
      </c>
      <c r="H213" s="150">
        <f t="shared" si="6"/>
        <v>332.75</v>
      </c>
      <c r="I213" s="150"/>
      <c r="J213" s="150">
        <v>332.75</v>
      </c>
      <c r="K213" s="150">
        <f t="shared" si="7"/>
        <v>0</v>
      </c>
      <c r="L213" s="151">
        <f t="shared" si="8"/>
        <v>0</v>
      </c>
      <c r="M213" s="148"/>
    </row>
    <row r="214" spans="1:13" outlineLevel="3">
      <c r="A214" s="148" t="s">
        <v>126</v>
      </c>
      <c r="B214" s="148" t="s">
        <v>344</v>
      </c>
      <c r="C214" s="148" t="s">
        <v>131</v>
      </c>
      <c r="D214" s="148" t="s">
        <v>131</v>
      </c>
      <c r="E214" s="148" t="s">
        <v>345</v>
      </c>
      <c r="F214" s="149">
        <v>45901</v>
      </c>
      <c r="G214" s="150">
        <v>315</v>
      </c>
      <c r="H214" s="150">
        <f t="shared" si="6"/>
        <v>315</v>
      </c>
      <c r="I214" s="150"/>
      <c r="J214" s="150">
        <v>315</v>
      </c>
      <c r="K214" s="150">
        <f t="shared" si="7"/>
        <v>0</v>
      </c>
      <c r="L214" s="151">
        <f t="shared" si="8"/>
        <v>0</v>
      </c>
      <c r="M214" s="148"/>
    </row>
    <row r="215" spans="1:13" outlineLevel="3">
      <c r="A215" s="148" t="s">
        <v>126</v>
      </c>
      <c r="B215" s="148" t="s">
        <v>344</v>
      </c>
      <c r="C215" s="148" t="s">
        <v>132</v>
      </c>
      <c r="D215" s="148" t="s">
        <v>132</v>
      </c>
      <c r="E215" s="148" t="s">
        <v>345</v>
      </c>
      <c r="F215" s="149">
        <v>45901</v>
      </c>
      <c r="G215" s="150">
        <v>2266</v>
      </c>
      <c r="H215" s="150">
        <f t="shared" si="6"/>
        <v>2266</v>
      </c>
      <c r="I215" s="150"/>
      <c r="J215" s="150">
        <v>2266</v>
      </c>
      <c r="K215" s="150">
        <f t="shared" si="7"/>
        <v>0</v>
      </c>
      <c r="L215" s="151">
        <f t="shared" si="8"/>
        <v>0</v>
      </c>
      <c r="M215" s="148"/>
    </row>
    <row r="216" spans="1:13" outlineLevel="2">
      <c r="A216" s="148"/>
      <c r="B216" s="173" t="s">
        <v>346</v>
      </c>
      <c r="C216" s="148"/>
      <c r="D216" s="148"/>
      <c r="E216" s="148"/>
      <c r="F216" s="149"/>
      <c r="G216" s="150">
        <f>SUBTOTAL(9,G212:G215)</f>
        <v>3276.75</v>
      </c>
      <c r="H216" s="150">
        <f>SUBTOTAL(9,H212:H215)</f>
        <v>3276.75</v>
      </c>
      <c r="I216" s="150">
        <f>SUBTOTAL(9,I212:I215)</f>
        <v>0</v>
      </c>
      <c r="J216" s="150">
        <f>SUBTOTAL(9,J212:J215)</f>
        <v>3276.75</v>
      </c>
      <c r="K216" s="150"/>
      <c r="L216" s="151"/>
      <c r="M216" s="148"/>
    </row>
    <row r="217" spans="1:13" outlineLevel="3">
      <c r="A217" s="148" t="s">
        <v>126</v>
      </c>
      <c r="B217" s="148" t="s">
        <v>347</v>
      </c>
      <c r="C217" s="148" t="s">
        <v>128</v>
      </c>
      <c r="D217" s="148" t="s">
        <v>162</v>
      </c>
      <c r="E217" s="148" t="s">
        <v>348</v>
      </c>
      <c r="F217" s="149">
        <v>45901</v>
      </c>
      <c r="G217" s="150">
        <v>1021</v>
      </c>
      <c r="H217" s="150">
        <f t="shared" si="6"/>
        <v>1021</v>
      </c>
      <c r="I217" s="150"/>
      <c r="J217" s="150">
        <v>1021</v>
      </c>
      <c r="K217" s="150">
        <f t="shared" si="7"/>
        <v>0</v>
      </c>
      <c r="L217" s="151">
        <f t="shared" si="8"/>
        <v>0</v>
      </c>
      <c r="M217" s="148"/>
    </row>
    <row r="218" spans="1:13" outlineLevel="3">
      <c r="A218" s="148" t="s">
        <v>126</v>
      </c>
      <c r="B218" s="148" t="s">
        <v>347</v>
      </c>
      <c r="C218" s="148" t="s">
        <v>128</v>
      </c>
      <c r="D218" s="148" t="s">
        <v>349</v>
      </c>
      <c r="E218" s="148" t="s">
        <v>350</v>
      </c>
      <c r="F218" s="149">
        <v>45901</v>
      </c>
      <c r="G218" s="150">
        <v>250</v>
      </c>
      <c r="H218" s="150">
        <f t="shared" si="6"/>
        <v>250</v>
      </c>
      <c r="I218" s="150"/>
      <c r="J218" s="150">
        <v>250</v>
      </c>
      <c r="K218" s="150">
        <f t="shared" si="7"/>
        <v>0</v>
      </c>
      <c r="L218" s="151">
        <f t="shared" si="8"/>
        <v>0</v>
      </c>
      <c r="M218" s="148"/>
    </row>
    <row r="219" spans="1:13" outlineLevel="3">
      <c r="A219" s="148" t="s">
        <v>126</v>
      </c>
      <c r="B219" s="148" t="s">
        <v>347</v>
      </c>
      <c r="C219" s="148" t="s">
        <v>131</v>
      </c>
      <c r="D219" s="148" t="s">
        <v>237</v>
      </c>
      <c r="E219" s="148" t="s">
        <v>351</v>
      </c>
      <c r="F219" s="149">
        <v>45901</v>
      </c>
      <c r="G219" s="150">
        <v>2919.75</v>
      </c>
      <c r="H219" s="150">
        <f t="shared" si="6"/>
        <v>2919.75</v>
      </c>
      <c r="I219" s="150"/>
      <c r="J219" s="150">
        <v>2868.75</v>
      </c>
      <c r="K219" s="150">
        <f t="shared" si="7"/>
        <v>51</v>
      </c>
      <c r="L219" s="151">
        <f t="shared" si="8"/>
        <v>1.7777777777777778E-2</v>
      </c>
      <c r="M219" s="148"/>
    </row>
    <row r="220" spans="1:13" outlineLevel="3">
      <c r="A220" s="148" t="s">
        <v>126</v>
      </c>
      <c r="B220" s="148" t="s">
        <v>347</v>
      </c>
      <c r="C220" s="148" t="s">
        <v>132</v>
      </c>
      <c r="D220" s="148" t="s">
        <v>229</v>
      </c>
      <c r="E220" s="148" t="s">
        <v>348</v>
      </c>
      <c r="F220" s="149">
        <v>45901</v>
      </c>
      <c r="G220" s="150">
        <v>6295</v>
      </c>
      <c r="H220" s="150">
        <f t="shared" si="6"/>
        <v>6295</v>
      </c>
      <c r="I220" s="150"/>
      <c r="J220" s="150">
        <v>5785</v>
      </c>
      <c r="K220" s="150">
        <f t="shared" si="7"/>
        <v>510</v>
      </c>
      <c r="L220" s="151">
        <f t="shared" si="8"/>
        <v>8.8159031979256702E-2</v>
      </c>
      <c r="M220" s="148"/>
    </row>
    <row r="221" spans="1:13" outlineLevel="2">
      <c r="A221" s="148"/>
      <c r="B221" s="173" t="s">
        <v>352</v>
      </c>
      <c r="C221" s="148"/>
      <c r="D221" s="148"/>
      <c r="E221" s="148"/>
      <c r="F221" s="149"/>
      <c r="G221" s="150">
        <f>SUBTOTAL(9,G217:G220)</f>
        <v>10485.75</v>
      </c>
      <c r="H221" s="150">
        <f>SUBTOTAL(9,H217:H220)</f>
        <v>10485.75</v>
      </c>
      <c r="I221" s="150">
        <f>SUBTOTAL(9,I217:I220)</f>
        <v>0</v>
      </c>
      <c r="J221" s="150">
        <f>SUBTOTAL(9,J217:J220)</f>
        <v>9924.75</v>
      </c>
      <c r="K221" s="150"/>
      <c r="L221" s="151"/>
      <c r="M221" s="148"/>
    </row>
    <row r="222" spans="1:13" outlineLevel="3">
      <c r="A222" s="148" t="s">
        <v>126</v>
      </c>
      <c r="B222" s="148" t="s">
        <v>353</v>
      </c>
      <c r="C222" s="148" t="s">
        <v>135</v>
      </c>
      <c r="D222" s="148" t="s">
        <v>354</v>
      </c>
      <c r="E222" s="148" t="s">
        <v>355</v>
      </c>
      <c r="F222" s="149">
        <v>45901</v>
      </c>
      <c r="G222" s="150">
        <v>2558.2199999999998</v>
      </c>
      <c r="H222" s="150">
        <f t="shared" si="6"/>
        <v>2558.2199999999998</v>
      </c>
      <c r="I222" s="150"/>
      <c r="J222" s="150">
        <v>2558.2199999999998</v>
      </c>
      <c r="K222" s="150">
        <f t="shared" si="7"/>
        <v>0</v>
      </c>
      <c r="L222" s="151">
        <f t="shared" si="8"/>
        <v>0</v>
      </c>
      <c r="M222" s="148"/>
    </row>
    <row r="223" spans="1:13" outlineLevel="3">
      <c r="A223" s="148" t="s">
        <v>126</v>
      </c>
      <c r="B223" s="148" t="s">
        <v>353</v>
      </c>
      <c r="C223" s="148" t="s">
        <v>139</v>
      </c>
      <c r="D223" s="148" t="s">
        <v>273</v>
      </c>
      <c r="E223" s="148" t="s">
        <v>356</v>
      </c>
      <c r="F223" s="149">
        <v>45901</v>
      </c>
      <c r="G223" s="150">
        <v>1496</v>
      </c>
      <c r="H223" s="150">
        <f t="shared" si="6"/>
        <v>1496</v>
      </c>
      <c r="I223" s="150"/>
      <c r="J223" s="150">
        <v>1496</v>
      </c>
      <c r="K223" s="150">
        <f t="shared" si="7"/>
        <v>0</v>
      </c>
      <c r="L223" s="151">
        <f t="shared" si="8"/>
        <v>0</v>
      </c>
      <c r="M223" s="148"/>
    </row>
    <row r="224" spans="1:13" outlineLevel="3">
      <c r="A224" s="148" t="s">
        <v>126</v>
      </c>
      <c r="B224" s="148" t="s">
        <v>353</v>
      </c>
      <c r="C224" s="148" t="s">
        <v>128</v>
      </c>
      <c r="D224" s="148" t="s">
        <v>357</v>
      </c>
      <c r="E224" s="148" t="s">
        <v>355</v>
      </c>
      <c r="F224" s="149">
        <v>45901</v>
      </c>
      <c r="G224" s="150">
        <v>534.28</v>
      </c>
      <c r="H224" s="150">
        <f t="shared" si="6"/>
        <v>534.28</v>
      </c>
      <c r="I224" s="150"/>
      <c r="J224" s="150">
        <v>534.28</v>
      </c>
      <c r="K224" s="150">
        <f t="shared" si="7"/>
        <v>0</v>
      </c>
      <c r="L224" s="151">
        <f t="shared" si="8"/>
        <v>0</v>
      </c>
      <c r="M224" s="148"/>
    </row>
    <row r="225" spans="1:13" outlineLevel="3">
      <c r="A225" s="148" t="s">
        <v>126</v>
      </c>
      <c r="B225" s="148" t="s">
        <v>353</v>
      </c>
      <c r="C225" s="148" t="s">
        <v>131</v>
      </c>
      <c r="D225" s="148" t="s">
        <v>358</v>
      </c>
      <c r="E225" s="148" t="s">
        <v>355</v>
      </c>
      <c r="F225" s="149">
        <v>45901</v>
      </c>
      <c r="G225" s="150">
        <v>2991.92</v>
      </c>
      <c r="H225" s="150">
        <f t="shared" si="6"/>
        <v>2991.92</v>
      </c>
      <c r="I225" s="150"/>
      <c r="J225" s="150">
        <v>2991.92</v>
      </c>
      <c r="K225" s="150">
        <f t="shared" si="7"/>
        <v>0</v>
      </c>
      <c r="L225" s="151">
        <f t="shared" si="8"/>
        <v>0</v>
      </c>
      <c r="M225" s="148"/>
    </row>
    <row r="226" spans="1:13" outlineLevel="3">
      <c r="A226" s="148" t="s">
        <v>126</v>
      </c>
      <c r="B226" s="148" t="s">
        <v>353</v>
      </c>
      <c r="C226" s="148" t="s">
        <v>132</v>
      </c>
      <c r="D226" s="148" t="s">
        <v>359</v>
      </c>
      <c r="E226" s="148" t="s">
        <v>355</v>
      </c>
      <c r="F226" s="149">
        <v>45901</v>
      </c>
      <c r="G226" s="150">
        <v>2546.4499999999998</v>
      </c>
      <c r="H226" s="150">
        <f t="shared" si="6"/>
        <v>2546.4499999999998</v>
      </c>
      <c r="I226" s="150"/>
      <c r="J226" s="150">
        <v>2561.33</v>
      </c>
      <c r="K226" s="150">
        <f t="shared" si="7"/>
        <v>-14.880000000000109</v>
      </c>
      <c r="L226" s="151">
        <f t="shared" si="8"/>
        <v>-5.8094817926624487E-3</v>
      </c>
      <c r="M226" s="148" t="s">
        <v>360</v>
      </c>
    </row>
    <row r="227" spans="1:13" outlineLevel="2">
      <c r="A227" s="148"/>
      <c r="B227" s="173" t="s">
        <v>361</v>
      </c>
      <c r="C227" s="148"/>
      <c r="D227" s="148"/>
      <c r="E227" s="148"/>
      <c r="F227" s="149"/>
      <c r="G227" s="150">
        <f>SUBTOTAL(9,G222:G226)</f>
        <v>10126.869999999999</v>
      </c>
      <c r="H227" s="150">
        <f>SUBTOTAL(9,H222:H226)</f>
        <v>10126.869999999999</v>
      </c>
      <c r="I227" s="150">
        <f>SUBTOTAL(9,I222:I226)</f>
        <v>0</v>
      </c>
      <c r="J227" s="150">
        <f>SUBTOTAL(9,J222:J226)</f>
        <v>10141.75</v>
      </c>
      <c r="K227" s="150"/>
      <c r="L227" s="151"/>
      <c r="M227" s="148"/>
    </row>
    <row r="228" spans="1:13" outlineLevel="3">
      <c r="A228" s="148" t="s">
        <v>126</v>
      </c>
      <c r="B228" s="148" t="s">
        <v>362</v>
      </c>
      <c r="C228" s="148" t="s">
        <v>128</v>
      </c>
      <c r="D228" s="148" t="s">
        <v>128</v>
      </c>
      <c r="E228" s="148" t="s">
        <v>363</v>
      </c>
      <c r="F228" s="149">
        <v>45901</v>
      </c>
      <c r="G228" s="150">
        <v>0</v>
      </c>
      <c r="H228" s="150">
        <f t="shared" si="6"/>
        <v>0</v>
      </c>
      <c r="I228" s="150"/>
      <c r="J228" s="150">
        <v>0</v>
      </c>
      <c r="K228" s="150">
        <f t="shared" si="7"/>
        <v>0</v>
      </c>
      <c r="L228" s="151" t="e">
        <f t="shared" si="8"/>
        <v>#DIV/0!</v>
      </c>
      <c r="M228" s="148"/>
    </row>
    <row r="229" spans="1:13" outlineLevel="3">
      <c r="A229" s="148" t="s">
        <v>126</v>
      </c>
      <c r="B229" s="148" t="s">
        <v>362</v>
      </c>
      <c r="C229" s="148" t="s">
        <v>131</v>
      </c>
      <c r="D229" s="148" t="s">
        <v>131</v>
      </c>
      <c r="E229" s="148" t="s">
        <v>363</v>
      </c>
      <c r="F229" s="149">
        <v>45901</v>
      </c>
      <c r="G229" s="150">
        <v>161</v>
      </c>
      <c r="H229" s="150">
        <f t="shared" si="6"/>
        <v>161</v>
      </c>
      <c r="I229" s="150"/>
      <c r="J229" s="150">
        <v>161</v>
      </c>
      <c r="K229" s="150">
        <f t="shared" si="7"/>
        <v>0</v>
      </c>
      <c r="L229" s="151">
        <f t="shared" si="8"/>
        <v>0</v>
      </c>
      <c r="M229" s="148"/>
    </row>
    <row r="230" spans="1:13" outlineLevel="3">
      <c r="A230" s="148" t="s">
        <v>126</v>
      </c>
      <c r="B230" s="148" t="s">
        <v>362</v>
      </c>
      <c r="C230" s="148" t="s">
        <v>132</v>
      </c>
      <c r="D230" s="148" t="s">
        <v>132</v>
      </c>
      <c r="E230" s="148" t="s">
        <v>363</v>
      </c>
      <c r="F230" s="149">
        <v>45901</v>
      </c>
      <c r="G230" s="150">
        <v>1061.32</v>
      </c>
      <c r="H230" s="150">
        <f t="shared" si="6"/>
        <v>1061.32</v>
      </c>
      <c r="I230" s="150"/>
      <c r="J230" s="150">
        <v>1061.32</v>
      </c>
      <c r="K230" s="150">
        <f t="shared" si="7"/>
        <v>0</v>
      </c>
      <c r="L230" s="151">
        <f t="shared" si="8"/>
        <v>0</v>
      </c>
      <c r="M230" s="148"/>
    </row>
    <row r="231" spans="1:13" outlineLevel="2">
      <c r="A231" s="148"/>
      <c r="B231" s="173" t="s">
        <v>364</v>
      </c>
      <c r="C231" s="148"/>
      <c r="D231" s="148"/>
      <c r="E231" s="148"/>
      <c r="F231" s="149"/>
      <c r="G231" s="150">
        <f>SUBTOTAL(9,G228:G230)</f>
        <v>1222.32</v>
      </c>
      <c r="H231" s="150">
        <f>SUBTOTAL(9,H228:H230)</f>
        <v>1222.32</v>
      </c>
      <c r="I231" s="150">
        <f>SUBTOTAL(9,I228:I230)</f>
        <v>0</v>
      </c>
      <c r="J231" s="150">
        <f>SUBTOTAL(9,J228:J230)</f>
        <v>1222.32</v>
      </c>
      <c r="K231" s="150"/>
      <c r="L231" s="151"/>
      <c r="M231" s="148"/>
    </row>
    <row r="232" spans="1:13" outlineLevel="3">
      <c r="A232" s="148" t="s">
        <v>126</v>
      </c>
      <c r="B232" s="148" t="s">
        <v>365</v>
      </c>
      <c r="C232" s="148" t="s">
        <v>139</v>
      </c>
      <c r="D232" s="148" t="s">
        <v>139</v>
      </c>
      <c r="E232" s="148" t="s">
        <v>366</v>
      </c>
      <c r="F232" s="149">
        <v>45901</v>
      </c>
      <c r="G232" s="150">
        <v>338.4</v>
      </c>
      <c r="H232" s="150">
        <f t="shared" si="6"/>
        <v>338.4</v>
      </c>
      <c r="I232" s="150"/>
      <c r="J232" s="150">
        <v>338.4</v>
      </c>
      <c r="K232" s="150">
        <f t="shared" si="7"/>
        <v>0</v>
      </c>
      <c r="L232" s="151">
        <f t="shared" si="8"/>
        <v>0</v>
      </c>
      <c r="M232" s="148"/>
    </row>
    <row r="233" spans="1:13" outlineLevel="3">
      <c r="A233" s="148" t="s">
        <v>126</v>
      </c>
      <c r="B233" s="148" t="s">
        <v>365</v>
      </c>
      <c r="C233" s="148" t="s">
        <v>128</v>
      </c>
      <c r="D233" s="148" t="s">
        <v>128</v>
      </c>
      <c r="E233" s="148" t="s">
        <v>366</v>
      </c>
      <c r="F233" s="149">
        <v>45901</v>
      </c>
      <c r="G233" s="150">
        <v>105</v>
      </c>
      <c r="H233" s="150">
        <f t="shared" si="6"/>
        <v>105</v>
      </c>
      <c r="I233" s="150"/>
      <c r="J233" s="150">
        <v>100</v>
      </c>
      <c r="K233" s="150">
        <f t="shared" si="7"/>
        <v>5</v>
      </c>
      <c r="L233" s="151">
        <f t="shared" si="8"/>
        <v>0.05</v>
      </c>
      <c r="M233" s="148"/>
    </row>
    <row r="234" spans="1:13" outlineLevel="3">
      <c r="A234" s="148" t="s">
        <v>126</v>
      </c>
      <c r="B234" s="148" t="s">
        <v>365</v>
      </c>
      <c r="C234" s="148" t="s">
        <v>131</v>
      </c>
      <c r="D234" s="148" t="s">
        <v>131</v>
      </c>
      <c r="E234" s="148" t="s">
        <v>366</v>
      </c>
      <c r="F234" s="149">
        <v>45901</v>
      </c>
      <c r="G234" s="150">
        <v>643</v>
      </c>
      <c r="H234" s="150">
        <f t="shared" si="6"/>
        <v>643</v>
      </c>
      <c r="I234" s="150"/>
      <c r="J234" s="150">
        <v>643</v>
      </c>
      <c r="K234" s="150">
        <f t="shared" si="7"/>
        <v>0</v>
      </c>
      <c r="L234" s="151">
        <f t="shared" si="8"/>
        <v>0</v>
      </c>
      <c r="M234" s="148"/>
    </row>
    <row r="235" spans="1:13" outlineLevel="3">
      <c r="A235" s="148" t="s">
        <v>126</v>
      </c>
      <c r="B235" s="148" t="s">
        <v>365</v>
      </c>
      <c r="C235" s="148" t="s">
        <v>132</v>
      </c>
      <c r="D235" s="148" t="s">
        <v>246</v>
      </c>
      <c r="E235" s="148" t="s">
        <v>366</v>
      </c>
      <c r="F235" s="149">
        <v>45901</v>
      </c>
      <c r="G235" s="150">
        <v>1565.6</v>
      </c>
      <c r="H235" s="150">
        <f t="shared" si="6"/>
        <v>1565.6</v>
      </c>
      <c r="I235" s="150"/>
      <c r="J235" s="150">
        <v>1565.6</v>
      </c>
      <c r="K235" s="150">
        <f t="shared" si="7"/>
        <v>0</v>
      </c>
      <c r="L235" s="151">
        <f t="shared" si="8"/>
        <v>0</v>
      </c>
      <c r="M235" s="148"/>
    </row>
    <row r="236" spans="1:13" outlineLevel="2">
      <c r="A236" s="148"/>
      <c r="B236" s="173" t="s">
        <v>367</v>
      </c>
      <c r="C236" s="148"/>
      <c r="D236" s="148"/>
      <c r="E236" s="148"/>
      <c r="F236" s="149"/>
      <c r="G236" s="150">
        <f>SUBTOTAL(9,G232:G235)</f>
        <v>2652</v>
      </c>
      <c r="H236" s="150">
        <f>SUBTOTAL(9,H232:H235)</f>
        <v>2652</v>
      </c>
      <c r="I236" s="150">
        <f>SUBTOTAL(9,I232:I235)</f>
        <v>0</v>
      </c>
      <c r="J236" s="150">
        <f>SUBTOTAL(9,J232:J235)</f>
        <v>2647</v>
      </c>
      <c r="K236" s="150"/>
      <c r="L236" s="151"/>
      <c r="M236" s="148"/>
    </row>
    <row r="237" spans="1:13" outlineLevel="3">
      <c r="A237" s="148" t="s">
        <v>126</v>
      </c>
      <c r="B237" s="156" t="s">
        <v>368</v>
      </c>
      <c r="C237" s="156" t="s">
        <v>139</v>
      </c>
      <c r="D237" s="156" t="s">
        <v>369</v>
      </c>
      <c r="E237" s="157"/>
      <c r="F237" s="158"/>
      <c r="G237" s="159"/>
      <c r="H237" s="159"/>
      <c r="I237" s="159"/>
      <c r="J237" s="159">
        <v>387.5</v>
      </c>
      <c r="K237" s="150">
        <f t="shared" si="7"/>
        <v>-387.5</v>
      </c>
      <c r="L237" s="151">
        <f t="shared" si="8"/>
        <v>-1</v>
      </c>
      <c r="M237" s="157" t="s">
        <v>370</v>
      </c>
    </row>
    <row r="238" spans="1:13" outlineLevel="3">
      <c r="A238" s="148" t="s">
        <v>126</v>
      </c>
      <c r="B238" s="148" t="s">
        <v>368</v>
      </c>
      <c r="C238" s="148" t="s">
        <v>128</v>
      </c>
      <c r="D238" s="148" t="s">
        <v>162</v>
      </c>
      <c r="E238" s="148" t="s">
        <v>371</v>
      </c>
      <c r="F238" s="149">
        <v>45901</v>
      </c>
      <c r="G238" s="150">
        <v>1146.6487999999999</v>
      </c>
      <c r="H238" s="150">
        <f t="shared" si="6"/>
        <v>1146.6487999999999</v>
      </c>
      <c r="I238" s="150"/>
      <c r="J238" s="150">
        <v>0</v>
      </c>
      <c r="K238" s="150">
        <f t="shared" si="7"/>
        <v>1146.6487999999999</v>
      </c>
      <c r="L238" s="151"/>
      <c r="M238" s="148"/>
    </row>
    <row r="239" spans="1:13" outlineLevel="3">
      <c r="A239" s="148" t="s">
        <v>126</v>
      </c>
      <c r="B239" s="156" t="s">
        <v>368</v>
      </c>
      <c r="C239" s="156" t="s">
        <v>128</v>
      </c>
      <c r="D239" s="156" t="s">
        <v>128</v>
      </c>
      <c r="E239" s="157"/>
      <c r="F239" s="158"/>
      <c r="G239" s="159"/>
      <c r="H239" s="159"/>
      <c r="I239" s="159"/>
      <c r="J239" s="159">
        <v>180</v>
      </c>
      <c r="K239" s="150">
        <f t="shared" si="7"/>
        <v>-180</v>
      </c>
      <c r="L239" s="151">
        <f t="shared" si="8"/>
        <v>-1</v>
      </c>
      <c r="M239" s="157" t="s">
        <v>372</v>
      </c>
    </row>
    <row r="240" spans="1:13" outlineLevel="3">
      <c r="A240" s="148" t="s">
        <v>126</v>
      </c>
      <c r="B240" s="148" t="s">
        <v>368</v>
      </c>
      <c r="C240" s="148" t="s">
        <v>131</v>
      </c>
      <c r="D240" s="148" t="s">
        <v>237</v>
      </c>
      <c r="E240" s="148" t="s">
        <v>371</v>
      </c>
      <c r="F240" s="149">
        <v>45901</v>
      </c>
      <c r="G240" s="150">
        <v>937</v>
      </c>
      <c r="H240" s="150">
        <f t="shared" si="6"/>
        <v>937</v>
      </c>
      <c r="I240" s="150"/>
      <c r="J240" s="150">
        <v>0</v>
      </c>
      <c r="K240" s="150">
        <f t="shared" si="7"/>
        <v>937</v>
      </c>
      <c r="L240" s="151"/>
      <c r="M240" s="148"/>
    </row>
    <row r="241" spans="1:13" outlineLevel="3">
      <c r="A241" s="148" t="s">
        <v>126</v>
      </c>
      <c r="B241" s="156" t="s">
        <v>368</v>
      </c>
      <c r="C241" s="156" t="s">
        <v>131</v>
      </c>
      <c r="D241" s="156" t="s">
        <v>131</v>
      </c>
      <c r="E241" s="157"/>
      <c r="F241" s="158"/>
      <c r="G241" s="159"/>
      <c r="H241" s="159"/>
      <c r="I241" s="159"/>
      <c r="J241" s="159">
        <v>885.5</v>
      </c>
      <c r="K241" s="150">
        <f t="shared" ref="K241:K311" si="9">+H241-J241</f>
        <v>-885.5</v>
      </c>
      <c r="L241" s="151">
        <f t="shared" ref="L241:L311" si="10">K241/J241</f>
        <v>-1</v>
      </c>
      <c r="M241" s="157" t="s">
        <v>372</v>
      </c>
    </row>
    <row r="242" spans="1:13" outlineLevel="3">
      <c r="A242" s="148" t="s">
        <v>126</v>
      </c>
      <c r="B242" s="148" t="s">
        <v>368</v>
      </c>
      <c r="C242" s="148" t="s">
        <v>132</v>
      </c>
      <c r="D242" s="148" t="s">
        <v>132</v>
      </c>
      <c r="E242" s="148" t="s">
        <v>371</v>
      </c>
      <c r="F242" s="149">
        <v>45901</v>
      </c>
      <c r="G242" s="150">
        <v>2506.0012000000002</v>
      </c>
      <c r="H242" s="150">
        <f t="shared" si="6"/>
        <v>2506.0012000000002</v>
      </c>
      <c r="I242" s="150"/>
      <c r="J242" s="150">
        <v>0</v>
      </c>
      <c r="K242" s="150">
        <f t="shared" si="9"/>
        <v>2506.0012000000002</v>
      </c>
      <c r="L242" s="151"/>
      <c r="M242" s="148"/>
    </row>
    <row r="243" spans="1:13" outlineLevel="3">
      <c r="A243" s="148" t="s">
        <v>126</v>
      </c>
      <c r="B243" s="157" t="s">
        <v>368</v>
      </c>
      <c r="C243" s="157" t="s">
        <v>132</v>
      </c>
      <c r="D243" s="157" t="s">
        <v>373</v>
      </c>
      <c r="E243" s="157"/>
      <c r="F243" s="158"/>
      <c r="G243" s="159"/>
      <c r="H243" s="159"/>
      <c r="I243" s="159"/>
      <c r="J243" s="159">
        <v>3150</v>
      </c>
      <c r="K243" s="150">
        <f t="shared" si="9"/>
        <v>-3150</v>
      </c>
      <c r="L243" s="151">
        <f t="shared" si="10"/>
        <v>-1</v>
      </c>
      <c r="M243" s="157" t="s">
        <v>372</v>
      </c>
    </row>
    <row r="244" spans="1:13" outlineLevel="3">
      <c r="A244" s="148" t="s">
        <v>126</v>
      </c>
      <c r="B244" s="157" t="s">
        <v>368</v>
      </c>
      <c r="C244" s="157" t="s">
        <v>207</v>
      </c>
      <c r="D244" s="157" t="s">
        <v>207</v>
      </c>
      <c r="E244" s="157"/>
      <c r="F244" s="158"/>
      <c r="G244" s="159"/>
      <c r="H244" s="159"/>
      <c r="I244" s="159"/>
      <c r="J244" s="159">
        <v>106.5</v>
      </c>
      <c r="K244" s="150">
        <f t="shared" si="9"/>
        <v>-106.5</v>
      </c>
      <c r="L244" s="151">
        <f t="shared" si="10"/>
        <v>-1</v>
      </c>
      <c r="M244" s="157" t="s">
        <v>372</v>
      </c>
    </row>
    <row r="245" spans="1:13" outlineLevel="2">
      <c r="A245" s="148"/>
      <c r="B245" s="160" t="s">
        <v>374</v>
      </c>
      <c r="C245" s="157"/>
      <c r="D245" s="157"/>
      <c r="E245" s="157"/>
      <c r="F245" s="158"/>
      <c r="G245" s="159">
        <f>SUBTOTAL(9,G237:G244)</f>
        <v>4589.6499999999996</v>
      </c>
      <c r="H245" s="159">
        <f>SUBTOTAL(9,H237:H244)</f>
        <v>4589.6499999999996</v>
      </c>
      <c r="I245" s="159">
        <f>SUBTOTAL(9,I237:I244)</f>
        <v>0</v>
      </c>
      <c r="J245" s="159">
        <f>SUBTOTAL(9,J237:J244)</f>
        <v>4709.5</v>
      </c>
      <c r="K245" s="150"/>
      <c r="L245" s="151"/>
      <c r="M245" s="157"/>
    </row>
    <row r="246" spans="1:13" outlineLevel="3">
      <c r="A246" s="148" t="s">
        <v>126</v>
      </c>
      <c r="B246" s="148" t="s">
        <v>375</v>
      </c>
      <c r="C246" s="148" t="s">
        <v>135</v>
      </c>
      <c r="D246" s="148" t="s">
        <v>135</v>
      </c>
      <c r="E246" s="148" t="s">
        <v>376</v>
      </c>
      <c r="F246" s="149">
        <v>45901</v>
      </c>
      <c r="G246" s="150">
        <v>154.5</v>
      </c>
      <c r="H246" s="150">
        <f t="shared" si="6"/>
        <v>154.5</v>
      </c>
      <c r="I246" s="150"/>
      <c r="J246" s="150">
        <v>154.5</v>
      </c>
      <c r="K246" s="150">
        <f t="shared" si="9"/>
        <v>0</v>
      </c>
      <c r="L246" s="151">
        <f t="shared" si="10"/>
        <v>0</v>
      </c>
      <c r="M246" s="148"/>
    </row>
    <row r="247" spans="1:13" outlineLevel="3">
      <c r="A247" s="148" t="s">
        <v>126</v>
      </c>
      <c r="B247" s="148" t="s">
        <v>375</v>
      </c>
      <c r="C247" s="148" t="s">
        <v>139</v>
      </c>
      <c r="D247" s="148" t="s">
        <v>139</v>
      </c>
      <c r="E247" s="148" t="s">
        <v>376</v>
      </c>
      <c r="F247" s="149">
        <v>45901</v>
      </c>
      <c r="G247" s="150">
        <v>297.5</v>
      </c>
      <c r="H247" s="150">
        <f t="shared" si="6"/>
        <v>297.5</v>
      </c>
      <c r="I247" s="150"/>
      <c r="J247" s="150">
        <v>297.5</v>
      </c>
      <c r="K247" s="150">
        <f t="shared" si="9"/>
        <v>0</v>
      </c>
      <c r="L247" s="151">
        <f t="shared" si="10"/>
        <v>0</v>
      </c>
      <c r="M247" s="148"/>
    </row>
    <row r="248" spans="1:13" outlineLevel="3">
      <c r="A248" s="148" t="s">
        <v>126</v>
      </c>
      <c r="B248" s="148" t="s">
        <v>375</v>
      </c>
      <c r="C248" s="148" t="s">
        <v>128</v>
      </c>
      <c r="D248" s="148" t="s">
        <v>128</v>
      </c>
      <c r="E248" s="148" t="s">
        <v>376</v>
      </c>
      <c r="F248" s="149">
        <v>45901</v>
      </c>
      <c r="G248" s="150">
        <v>0</v>
      </c>
      <c r="H248" s="150">
        <f t="shared" si="6"/>
        <v>0</v>
      </c>
      <c r="I248" s="150"/>
      <c r="J248" s="150">
        <v>0</v>
      </c>
      <c r="K248" s="150">
        <f t="shared" si="9"/>
        <v>0</v>
      </c>
      <c r="L248" s="151"/>
      <c r="M248" s="148"/>
    </row>
    <row r="249" spans="1:13" outlineLevel="3">
      <c r="A249" s="148" t="s">
        <v>126</v>
      </c>
      <c r="B249" s="148" t="s">
        <v>375</v>
      </c>
      <c r="C249" s="148" t="s">
        <v>131</v>
      </c>
      <c r="D249" s="148" t="s">
        <v>131</v>
      </c>
      <c r="E249" s="148" t="s">
        <v>376</v>
      </c>
      <c r="F249" s="149">
        <v>45901</v>
      </c>
      <c r="G249" s="150">
        <v>437.5</v>
      </c>
      <c r="H249" s="150">
        <f t="shared" ref="H249:H319" si="11">+G249</f>
        <v>437.5</v>
      </c>
      <c r="I249" s="150"/>
      <c r="J249" s="150">
        <v>442.5</v>
      </c>
      <c r="K249" s="150">
        <f t="shared" si="9"/>
        <v>-5</v>
      </c>
      <c r="L249" s="151">
        <f t="shared" si="10"/>
        <v>-1.1299435028248588E-2</v>
      </c>
      <c r="M249" s="148" t="s">
        <v>310</v>
      </c>
    </row>
    <row r="250" spans="1:13" outlineLevel="3">
      <c r="A250" s="148" t="s">
        <v>126</v>
      </c>
      <c r="B250" s="148" t="s">
        <v>375</v>
      </c>
      <c r="C250" s="148" t="s">
        <v>132</v>
      </c>
      <c r="D250" s="148" t="s">
        <v>132</v>
      </c>
      <c r="E250" s="148" t="s">
        <v>376</v>
      </c>
      <c r="F250" s="149">
        <v>45901</v>
      </c>
      <c r="G250" s="150">
        <v>1563.3</v>
      </c>
      <c r="H250" s="150">
        <f t="shared" si="11"/>
        <v>1563.3</v>
      </c>
      <c r="I250" s="150"/>
      <c r="J250" s="150">
        <v>1563.3</v>
      </c>
      <c r="K250" s="150">
        <f t="shared" si="9"/>
        <v>0</v>
      </c>
      <c r="L250" s="151">
        <f t="shared" si="10"/>
        <v>0</v>
      </c>
      <c r="M250" s="148"/>
    </row>
    <row r="251" spans="1:13" outlineLevel="2">
      <c r="A251" s="148"/>
      <c r="B251" s="173" t="s">
        <v>377</v>
      </c>
      <c r="C251" s="148"/>
      <c r="D251" s="148"/>
      <c r="E251" s="148"/>
      <c r="F251" s="149"/>
      <c r="G251" s="150">
        <f>SUBTOTAL(9,G246:G250)</f>
        <v>2452.8000000000002</v>
      </c>
      <c r="H251" s="150">
        <f>SUBTOTAL(9,H246:H250)</f>
        <v>2452.8000000000002</v>
      </c>
      <c r="I251" s="150">
        <f>SUBTOTAL(9,I246:I250)</f>
        <v>0</v>
      </c>
      <c r="J251" s="150">
        <f>SUBTOTAL(9,J246:J250)</f>
        <v>2457.8000000000002</v>
      </c>
      <c r="K251" s="150"/>
      <c r="L251" s="151"/>
      <c r="M251" s="148"/>
    </row>
    <row r="252" spans="1:13" outlineLevel="3">
      <c r="A252" s="148" t="s">
        <v>126</v>
      </c>
      <c r="B252" s="148" t="s">
        <v>378</v>
      </c>
      <c r="C252" s="148" t="s">
        <v>135</v>
      </c>
      <c r="D252" s="148" t="s">
        <v>135</v>
      </c>
      <c r="E252" s="148" t="s">
        <v>379</v>
      </c>
      <c r="F252" s="149">
        <v>45915</v>
      </c>
      <c r="G252" s="150">
        <v>200</v>
      </c>
      <c r="H252" s="150">
        <f t="shared" si="11"/>
        <v>200</v>
      </c>
      <c r="I252" s="150"/>
      <c r="J252" s="150">
        <v>200</v>
      </c>
      <c r="K252" s="150">
        <f t="shared" si="9"/>
        <v>0</v>
      </c>
      <c r="L252" s="151">
        <f t="shared" si="10"/>
        <v>0</v>
      </c>
      <c r="M252" s="148"/>
    </row>
    <row r="253" spans="1:13" outlineLevel="3">
      <c r="A253" s="148" t="s">
        <v>126</v>
      </c>
      <c r="B253" s="148" t="s">
        <v>378</v>
      </c>
      <c r="C253" s="148" t="s">
        <v>139</v>
      </c>
      <c r="D253" s="148" t="s">
        <v>273</v>
      </c>
      <c r="E253" s="148" t="s">
        <v>379</v>
      </c>
      <c r="F253" s="149">
        <v>45915</v>
      </c>
      <c r="G253" s="150">
        <v>1878.56</v>
      </c>
      <c r="H253" s="150">
        <f t="shared" si="11"/>
        <v>1878.56</v>
      </c>
      <c r="I253" s="150"/>
      <c r="J253" s="150">
        <v>1878.56</v>
      </c>
      <c r="K253" s="150">
        <f t="shared" si="9"/>
        <v>0</v>
      </c>
      <c r="L253" s="151">
        <f t="shared" si="10"/>
        <v>0</v>
      </c>
      <c r="M253" s="148"/>
    </row>
    <row r="254" spans="1:13" outlineLevel="3">
      <c r="A254" s="148" t="s">
        <v>126</v>
      </c>
      <c r="B254" s="148" t="s">
        <v>378</v>
      </c>
      <c r="C254" s="148" t="s">
        <v>128</v>
      </c>
      <c r="D254" s="148" t="s">
        <v>128</v>
      </c>
      <c r="E254" s="148" t="s">
        <v>379</v>
      </c>
      <c r="F254" s="149">
        <v>45915</v>
      </c>
      <c r="G254" s="150">
        <v>550.5</v>
      </c>
      <c r="H254" s="150">
        <f t="shared" si="11"/>
        <v>550.5</v>
      </c>
      <c r="I254" s="150"/>
      <c r="J254" s="150">
        <v>550.5</v>
      </c>
      <c r="K254" s="150">
        <f t="shared" si="9"/>
        <v>0</v>
      </c>
      <c r="L254" s="151">
        <f t="shared" si="10"/>
        <v>0</v>
      </c>
      <c r="M254" s="148"/>
    </row>
    <row r="255" spans="1:13" outlineLevel="3">
      <c r="A255" s="148" t="s">
        <v>126</v>
      </c>
      <c r="B255" s="148" t="s">
        <v>378</v>
      </c>
      <c r="C255" s="148" t="s">
        <v>131</v>
      </c>
      <c r="D255" s="148" t="s">
        <v>131</v>
      </c>
      <c r="E255" s="148" t="s">
        <v>379</v>
      </c>
      <c r="F255" s="149">
        <v>45915</v>
      </c>
      <c r="G255" s="150">
        <v>773.65</v>
      </c>
      <c r="H255" s="150">
        <f t="shared" si="11"/>
        <v>773.65</v>
      </c>
      <c r="I255" s="150"/>
      <c r="J255" s="150">
        <v>750.15</v>
      </c>
      <c r="K255" s="150">
        <f t="shared" si="9"/>
        <v>23.5</v>
      </c>
      <c r="L255" s="151">
        <f t="shared" si="10"/>
        <v>3.1327067919749388E-2</v>
      </c>
      <c r="M255" s="148"/>
    </row>
    <row r="256" spans="1:13" outlineLevel="3">
      <c r="A256" s="148" t="s">
        <v>126</v>
      </c>
      <c r="B256" s="148" t="s">
        <v>378</v>
      </c>
      <c r="C256" s="148" t="s">
        <v>132</v>
      </c>
      <c r="D256" s="148" t="s">
        <v>132</v>
      </c>
      <c r="E256" s="148" t="s">
        <v>379</v>
      </c>
      <c r="F256" s="149">
        <v>45915</v>
      </c>
      <c r="G256" s="150">
        <v>2850.6</v>
      </c>
      <c r="H256" s="150">
        <f t="shared" si="11"/>
        <v>2850.6</v>
      </c>
      <c r="I256" s="150"/>
      <c r="J256" s="150">
        <v>2850.6</v>
      </c>
      <c r="K256" s="150">
        <f t="shared" si="9"/>
        <v>0</v>
      </c>
      <c r="L256" s="151">
        <f t="shared" si="10"/>
        <v>0</v>
      </c>
      <c r="M256" s="148"/>
    </row>
    <row r="257" spans="1:13" outlineLevel="2">
      <c r="A257" s="148"/>
      <c r="B257" s="173" t="s">
        <v>380</v>
      </c>
      <c r="C257" s="148"/>
      <c r="D257" s="148"/>
      <c r="E257" s="148"/>
      <c r="F257" s="149"/>
      <c r="G257" s="150">
        <f>SUBTOTAL(9,G252:G256)</f>
        <v>6253.3099999999995</v>
      </c>
      <c r="H257" s="150">
        <f>SUBTOTAL(9,H252:H256)</f>
        <v>6253.3099999999995</v>
      </c>
      <c r="I257" s="150">
        <f>SUBTOTAL(9,I252:I256)</f>
        <v>0</v>
      </c>
      <c r="J257" s="150">
        <f>SUBTOTAL(9,J252:J256)</f>
        <v>6229.8099999999995</v>
      </c>
      <c r="K257" s="150"/>
      <c r="L257" s="151"/>
      <c r="M257" s="148"/>
    </row>
    <row r="258" spans="1:13" outlineLevel="3">
      <c r="A258" s="148" t="s">
        <v>126</v>
      </c>
      <c r="B258" s="148" t="s">
        <v>381</v>
      </c>
      <c r="C258" s="148" t="s">
        <v>128</v>
      </c>
      <c r="D258" s="148" t="s">
        <v>128</v>
      </c>
      <c r="E258" s="148" t="s">
        <v>382</v>
      </c>
      <c r="F258" s="149">
        <v>45901</v>
      </c>
      <c r="G258" s="150">
        <v>262.5</v>
      </c>
      <c r="H258" s="150">
        <f t="shared" si="11"/>
        <v>262.5</v>
      </c>
      <c r="I258" s="150"/>
      <c r="J258" s="150">
        <v>262.5</v>
      </c>
      <c r="K258" s="150">
        <f t="shared" si="9"/>
        <v>0</v>
      </c>
      <c r="L258" s="151">
        <f t="shared" si="10"/>
        <v>0</v>
      </c>
      <c r="M258" s="148"/>
    </row>
    <row r="259" spans="1:13" outlineLevel="3">
      <c r="A259" s="148" t="s">
        <v>126</v>
      </c>
      <c r="B259" s="148" t="s">
        <v>381</v>
      </c>
      <c r="C259" s="148" t="s">
        <v>131</v>
      </c>
      <c r="D259" s="148" t="s">
        <v>131</v>
      </c>
      <c r="E259" s="148" t="s">
        <v>382</v>
      </c>
      <c r="F259" s="149">
        <v>45901</v>
      </c>
      <c r="G259" s="150">
        <v>541</v>
      </c>
      <c r="H259" s="150">
        <f t="shared" si="11"/>
        <v>541</v>
      </c>
      <c r="I259" s="150"/>
      <c r="J259" s="150">
        <v>541</v>
      </c>
      <c r="K259" s="150">
        <f t="shared" si="9"/>
        <v>0</v>
      </c>
      <c r="L259" s="151">
        <f t="shared" si="10"/>
        <v>0</v>
      </c>
      <c r="M259" s="148"/>
    </row>
    <row r="260" spans="1:13" outlineLevel="3">
      <c r="A260" s="148" t="s">
        <v>126</v>
      </c>
      <c r="B260" s="148" t="s">
        <v>381</v>
      </c>
      <c r="C260" s="148" t="s">
        <v>132</v>
      </c>
      <c r="D260" s="148" t="s">
        <v>132</v>
      </c>
      <c r="E260" s="148" t="s">
        <v>382</v>
      </c>
      <c r="F260" s="149">
        <v>45901</v>
      </c>
      <c r="G260" s="150">
        <v>971.78120000000001</v>
      </c>
      <c r="H260" s="150">
        <f t="shared" si="11"/>
        <v>971.78120000000001</v>
      </c>
      <c r="I260" s="150"/>
      <c r="J260" s="150">
        <v>970.99220000000003</v>
      </c>
      <c r="K260" s="150">
        <f t="shared" si="9"/>
        <v>0.78899999999998727</v>
      </c>
      <c r="L260" s="151">
        <f t="shared" si="10"/>
        <v>8.1257089397833188E-4</v>
      </c>
      <c r="M260" s="148"/>
    </row>
    <row r="261" spans="1:13" outlineLevel="2">
      <c r="A261" s="148"/>
      <c r="B261" s="173" t="s">
        <v>383</v>
      </c>
      <c r="C261" s="148"/>
      <c r="D261" s="148"/>
      <c r="E261" s="148"/>
      <c r="F261" s="149"/>
      <c r="G261" s="150">
        <f>SUBTOTAL(9,G258:G260)</f>
        <v>1775.2811999999999</v>
      </c>
      <c r="H261" s="150">
        <f>SUBTOTAL(9,H258:H260)</f>
        <v>1775.2811999999999</v>
      </c>
      <c r="I261" s="150">
        <f>SUBTOTAL(9,I258:I260)</f>
        <v>0</v>
      </c>
      <c r="J261" s="150">
        <f>SUBTOTAL(9,J258:J260)</f>
        <v>1774.4922000000001</v>
      </c>
      <c r="K261" s="150"/>
      <c r="L261" s="151"/>
      <c r="M261" s="148"/>
    </row>
    <row r="262" spans="1:13" outlineLevel="3">
      <c r="A262" s="148" t="s">
        <v>126</v>
      </c>
      <c r="B262" s="148" t="s">
        <v>384</v>
      </c>
      <c r="C262" s="148" t="s">
        <v>139</v>
      </c>
      <c r="D262" s="148" t="s">
        <v>385</v>
      </c>
      <c r="E262" s="148" t="s">
        <v>386</v>
      </c>
      <c r="F262" s="149">
        <v>45901</v>
      </c>
      <c r="G262" s="150">
        <v>1440</v>
      </c>
      <c r="H262" s="150">
        <f t="shared" si="11"/>
        <v>1440</v>
      </c>
      <c r="I262" s="150"/>
      <c r="J262" s="150">
        <v>0</v>
      </c>
      <c r="K262" s="150">
        <f t="shared" si="9"/>
        <v>1440</v>
      </c>
      <c r="L262" s="151"/>
      <c r="M262" s="148"/>
    </row>
    <row r="263" spans="1:13" outlineLevel="3">
      <c r="A263" s="148" t="s">
        <v>126</v>
      </c>
      <c r="B263" s="148" t="s">
        <v>384</v>
      </c>
      <c r="C263" s="148" t="s">
        <v>139</v>
      </c>
      <c r="D263" s="148" t="s">
        <v>387</v>
      </c>
      <c r="E263" s="148" t="s">
        <v>388</v>
      </c>
      <c r="F263" s="149">
        <v>45901</v>
      </c>
      <c r="G263" s="150">
        <v>4.8</v>
      </c>
      <c r="H263" s="150">
        <f t="shared" si="11"/>
        <v>4.8</v>
      </c>
      <c r="I263" s="150"/>
      <c r="J263" s="150">
        <v>4.8</v>
      </c>
      <c r="K263" s="150">
        <f t="shared" si="9"/>
        <v>0</v>
      </c>
      <c r="L263" s="151">
        <f t="shared" si="10"/>
        <v>0</v>
      </c>
      <c r="M263" s="148"/>
    </row>
    <row r="264" spans="1:13" outlineLevel="3">
      <c r="A264" s="148" t="s">
        <v>126</v>
      </c>
      <c r="B264" s="148" t="s">
        <v>384</v>
      </c>
      <c r="C264" s="148" t="s">
        <v>139</v>
      </c>
      <c r="D264" s="148" t="s">
        <v>389</v>
      </c>
      <c r="E264" s="148" t="s">
        <v>390</v>
      </c>
      <c r="F264" s="149">
        <v>45901</v>
      </c>
      <c r="G264" s="150">
        <v>62.4</v>
      </c>
      <c r="H264" s="150">
        <f t="shared" si="11"/>
        <v>62.4</v>
      </c>
      <c r="I264" s="150"/>
      <c r="J264" s="150">
        <v>62.4</v>
      </c>
      <c r="K264" s="150">
        <f t="shared" si="9"/>
        <v>0</v>
      </c>
      <c r="L264" s="151">
        <f t="shared" si="10"/>
        <v>0</v>
      </c>
      <c r="M264" s="148"/>
    </row>
    <row r="265" spans="1:13" outlineLevel="3">
      <c r="A265" s="148" t="s">
        <v>126</v>
      </c>
      <c r="B265" s="148" t="s">
        <v>384</v>
      </c>
      <c r="C265" s="148" t="s">
        <v>139</v>
      </c>
      <c r="D265" s="148" t="s">
        <v>391</v>
      </c>
      <c r="E265" s="148" t="s">
        <v>392</v>
      </c>
      <c r="F265" s="149">
        <v>45901</v>
      </c>
      <c r="G265" s="150">
        <v>4.8</v>
      </c>
      <c r="H265" s="150">
        <f t="shared" si="11"/>
        <v>4.8</v>
      </c>
      <c r="I265" s="150"/>
      <c r="J265" s="150">
        <v>4.8</v>
      </c>
      <c r="K265" s="150">
        <f t="shared" si="9"/>
        <v>0</v>
      </c>
      <c r="L265" s="151">
        <f t="shared" si="10"/>
        <v>0</v>
      </c>
      <c r="M265" s="148"/>
    </row>
    <row r="266" spans="1:13" outlineLevel="3">
      <c r="A266" s="148" t="s">
        <v>126</v>
      </c>
      <c r="B266" s="148" t="s">
        <v>384</v>
      </c>
      <c r="C266" s="148" t="s">
        <v>139</v>
      </c>
      <c r="D266" s="148" t="s">
        <v>393</v>
      </c>
      <c r="E266" s="148" t="s">
        <v>394</v>
      </c>
      <c r="F266" s="149">
        <v>45901</v>
      </c>
      <c r="G266" s="150">
        <v>9.6</v>
      </c>
      <c r="H266" s="150">
        <f t="shared" si="11"/>
        <v>9.6</v>
      </c>
      <c r="I266" s="150"/>
      <c r="J266" s="150">
        <v>9.6</v>
      </c>
      <c r="K266" s="150">
        <f t="shared" si="9"/>
        <v>0</v>
      </c>
      <c r="L266" s="151">
        <f t="shared" si="10"/>
        <v>0</v>
      </c>
      <c r="M266" s="148"/>
    </row>
    <row r="267" spans="1:13" outlineLevel="3">
      <c r="A267" s="148" t="s">
        <v>126</v>
      </c>
      <c r="B267" s="148" t="s">
        <v>384</v>
      </c>
      <c r="C267" s="148" t="s">
        <v>139</v>
      </c>
      <c r="D267" s="148" t="s">
        <v>395</v>
      </c>
      <c r="E267" s="148" t="s">
        <v>396</v>
      </c>
      <c r="F267" s="149">
        <v>45901</v>
      </c>
      <c r="G267" s="150">
        <v>4.8</v>
      </c>
      <c r="H267" s="150">
        <f t="shared" si="11"/>
        <v>4.8</v>
      </c>
      <c r="I267" s="150"/>
      <c r="J267" s="150">
        <v>4.8</v>
      </c>
      <c r="K267" s="150">
        <f t="shared" si="9"/>
        <v>0</v>
      </c>
      <c r="L267" s="151">
        <f t="shared" si="10"/>
        <v>0</v>
      </c>
      <c r="M267" s="148"/>
    </row>
    <row r="268" spans="1:13" outlineLevel="3">
      <c r="A268" s="148" t="s">
        <v>126</v>
      </c>
      <c r="B268" s="148" t="s">
        <v>384</v>
      </c>
      <c r="C268" s="148" t="s">
        <v>139</v>
      </c>
      <c r="D268" s="148" t="s">
        <v>397</v>
      </c>
      <c r="E268" s="148" t="s">
        <v>398</v>
      </c>
      <c r="F268" s="149">
        <v>45901</v>
      </c>
      <c r="G268" s="150">
        <v>1332</v>
      </c>
      <c r="H268" s="150">
        <f t="shared" si="11"/>
        <v>1332</v>
      </c>
      <c r="I268" s="150"/>
      <c r="J268" s="150">
        <v>1442.4</v>
      </c>
      <c r="K268" s="150">
        <f t="shared" si="9"/>
        <v>-110.40000000000009</v>
      </c>
      <c r="L268" s="151">
        <f t="shared" si="10"/>
        <v>-7.6539101497504217E-2</v>
      </c>
      <c r="M268" s="148" t="s">
        <v>399</v>
      </c>
    </row>
    <row r="269" spans="1:13" outlineLevel="3">
      <c r="A269" s="148" t="s">
        <v>126</v>
      </c>
      <c r="B269" s="148" t="s">
        <v>384</v>
      </c>
      <c r="C269" s="148" t="s">
        <v>139</v>
      </c>
      <c r="D269" s="148" t="s">
        <v>400</v>
      </c>
      <c r="E269" s="148" t="s">
        <v>401</v>
      </c>
      <c r="F269" s="149">
        <v>45901</v>
      </c>
      <c r="G269" s="150">
        <v>62.4</v>
      </c>
      <c r="H269" s="150">
        <f t="shared" si="11"/>
        <v>62.4</v>
      </c>
      <c r="I269" s="150"/>
      <c r="J269" s="150">
        <v>62.4</v>
      </c>
      <c r="K269" s="150">
        <f t="shared" si="9"/>
        <v>0</v>
      </c>
      <c r="L269" s="151">
        <f t="shared" si="10"/>
        <v>0</v>
      </c>
      <c r="M269" s="148"/>
    </row>
    <row r="270" spans="1:13" outlineLevel="3">
      <c r="A270" s="148" t="s">
        <v>126</v>
      </c>
      <c r="B270" s="148" t="s">
        <v>384</v>
      </c>
      <c r="C270" s="148" t="s">
        <v>139</v>
      </c>
      <c r="D270" s="148" t="s">
        <v>402</v>
      </c>
      <c r="E270" s="148" t="s">
        <v>403</v>
      </c>
      <c r="F270" s="149">
        <v>45901</v>
      </c>
      <c r="G270" s="150">
        <v>4.8</v>
      </c>
      <c r="H270" s="150">
        <f t="shared" si="11"/>
        <v>4.8</v>
      </c>
      <c r="I270" s="150"/>
      <c r="J270" s="150">
        <v>4.8</v>
      </c>
      <c r="K270" s="150">
        <f t="shared" si="9"/>
        <v>0</v>
      </c>
      <c r="L270" s="151">
        <f t="shared" si="10"/>
        <v>0</v>
      </c>
      <c r="M270" s="148"/>
    </row>
    <row r="271" spans="1:13" outlineLevel="3">
      <c r="A271" s="148" t="s">
        <v>126</v>
      </c>
      <c r="B271" s="148" t="s">
        <v>384</v>
      </c>
      <c r="C271" s="148" t="s">
        <v>139</v>
      </c>
      <c r="D271" s="148" t="s">
        <v>404</v>
      </c>
      <c r="E271" s="148" t="s">
        <v>405</v>
      </c>
      <c r="F271" s="149">
        <v>45901</v>
      </c>
      <c r="G271" s="150">
        <v>84</v>
      </c>
      <c r="H271" s="150">
        <f t="shared" si="11"/>
        <v>84</v>
      </c>
      <c r="I271" s="150"/>
      <c r="J271" s="150">
        <v>84</v>
      </c>
      <c r="K271" s="150">
        <f t="shared" si="9"/>
        <v>0</v>
      </c>
      <c r="L271" s="151">
        <f t="shared" si="10"/>
        <v>0</v>
      </c>
      <c r="M271" s="148"/>
    </row>
    <row r="272" spans="1:13" outlineLevel="3">
      <c r="A272" s="148" t="s">
        <v>126</v>
      </c>
      <c r="B272" s="148" t="s">
        <v>384</v>
      </c>
      <c r="C272" s="148" t="s">
        <v>139</v>
      </c>
      <c r="D272" s="148" t="s">
        <v>406</v>
      </c>
      <c r="E272" s="148" t="s">
        <v>407</v>
      </c>
      <c r="F272" s="149">
        <v>45901</v>
      </c>
      <c r="G272" s="150">
        <v>57.6</v>
      </c>
      <c r="H272" s="150">
        <f t="shared" si="11"/>
        <v>57.6</v>
      </c>
      <c r="I272" s="150"/>
      <c r="J272" s="150">
        <v>31.2</v>
      </c>
      <c r="K272" s="150">
        <f t="shared" si="9"/>
        <v>26.400000000000002</v>
      </c>
      <c r="L272" s="151">
        <f t="shared" si="10"/>
        <v>0.84615384615384626</v>
      </c>
      <c r="M272" s="148"/>
    </row>
    <row r="273" spans="1:13" outlineLevel="3">
      <c r="A273" s="148" t="s">
        <v>126</v>
      </c>
      <c r="B273" s="148" t="s">
        <v>384</v>
      </c>
      <c r="C273" s="148" t="s">
        <v>139</v>
      </c>
      <c r="D273" s="148" t="s">
        <v>408</v>
      </c>
      <c r="E273" s="148" t="s">
        <v>409</v>
      </c>
      <c r="F273" s="149">
        <v>45901</v>
      </c>
      <c r="G273" s="150">
        <v>57.6</v>
      </c>
      <c r="H273" s="150">
        <f t="shared" si="11"/>
        <v>57.6</v>
      </c>
      <c r="I273" s="150"/>
      <c r="J273" s="150">
        <v>52.8</v>
      </c>
      <c r="K273" s="150">
        <f t="shared" si="9"/>
        <v>4.8000000000000043</v>
      </c>
      <c r="L273" s="151">
        <f t="shared" si="10"/>
        <v>9.0909090909090995E-2</v>
      </c>
      <c r="M273" s="148"/>
    </row>
    <row r="274" spans="1:13" outlineLevel="3">
      <c r="A274" s="148" t="s">
        <v>126</v>
      </c>
      <c r="B274" s="148" t="s">
        <v>384</v>
      </c>
      <c r="C274" s="148" t="s">
        <v>139</v>
      </c>
      <c r="D274" s="148" t="s">
        <v>410</v>
      </c>
      <c r="E274" s="148" t="s">
        <v>411</v>
      </c>
      <c r="F274" s="149">
        <v>45901</v>
      </c>
      <c r="G274" s="150">
        <v>31.2</v>
      </c>
      <c r="H274" s="150">
        <f t="shared" si="11"/>
        <v>31.2</v>
      </c>
      <c r="I274" s="150"/>
      <c r="J274" s="150">
        <v>31.2</v>
      </c>
      <c r="K274" s="150">
        <f t="shared" si="9"/>
        <v>0</v>
      </c>
      <c r="L274" s="151">
        <f t="shared" si="10"/>
        <v>0</v>
      </c>
      <c r="M274" s="148"/>
    </row>
    <row r="275" spans="1:13" outlineLevel="3">
      <c r="A275" s="148" t="s">
        <v>126</v>
      </c>
      <c r="B275" s="148" t="s">
        <v>384</v>
      </c>
      <c r="C275" s="148" t="s">
        <v>139</v>
      </c>
      <c r="D275" s="148" t="s">
        <v>412</v>
      </c>
      <c r="E275" s="148" t="s">
        <v>413</v>
      </c>
      <c r="F275" s="149">
        <v>45901</v>
      </c>
      <c r="G275" s="150">
        <v>4.8</v>
      </c>
      <c r="H275" s="150">
        <f t="shared" si="11"/>
        <v>4.8</v>
      </c>
      <c r="I275" s="150"/>
      <c r="J275" s="150">
        <v>4.8</v>
      </c>
      <c r="K275" s="150">
        <f t="shared" si="9"/>
        <v>0</v>
      </c>
      <c r="L275" s="151">
        <f t="shared" si="10"/>
        <v>0</v>
      </c>
      <c r="M275" s="148"/>
    </row>
    <row r="276" spans="1:13" outlineLevel="3">
      <c r="A276" s="148" t="s">
        <v>126</v>
      </c>
      <c r="B276" s="148" t="s">
        <v>384</v>
      </c>
      <c r="C276" s="148" t="s">
        <v>139</v>
      </c>
      <c r="D276" s="148" t="s">
        <v>414</v>
      </c>
      <c r="E276" s="148" t="s">
        <v>415</v>
      </c>
      <c r="F276" s="149">
        <v>45901</v>
      </c>
      <c r="G276" s="150">
        <v>4.8</v>
      </c>
      <c r="H276" s="150">
        <f t="shared" si="11"/>
        <v>4.8</v>
      </c>
      <c r="I276" s="150"/>
      <c r="J276" s="150">
        <v>4.8</v>
      </c>
      <c r="K276" s="150">
        <f t="shared" si="9"/>
        <v>0</v>
      </c>
      <c r="L276" s="151">
        <f t="shared" si="10"/>
        <v>0</v>
      </c>
      <c r="M276" s="148"/>
    </row>
    <row r="277" spans="1:13" outlineLevel="3">
      <c r="A277" s="148" t="s">
        <v>126</v>
      </c>
      <c r="B277" s="148" t="s">
        <v>384</v>
      </c>
      <c r="C277" s="148" t="s">
        <v>128</v>
      </c>
      <c r="D277" s="148" t="s">
        <v>416</v>
      </c>
      <c r="E277" s="148" t="s">
        <v>390</v>
      </c>
      <c r="F277" s="149">
        <v>45901</v>
      </c>
      <c r="G277" s="150">
        <v>54</v>
      </c>
      <c r="H277" s="150">
        <f t="shared" si="11"/>
        <v>54</v>
      </c>
      <c r="I277" s="150"/>
      <c r="J277" s="150">
        <v>54</v>
      </c>
      <c r="K277" s="150">
        <f t="shared" si="9"/>
        <v>0</v>
      </c>
      <c r="L277" s="151">
        <f t="shared" si="10"/>
        <v>0</v>
      </c>
      <c r="M277" s="148"/>
    </row>
    <row r="278" spans="1:13" outlineLevel="3">
      <c r="A278" s="148" t="s">
        <v>126</v>
      </c>
      <c r="B278" s="148" t="s">
        <v>384</v>
      </c>
      <c r="C278" s="148" t="s">
        <v>128</v>
      </c>
      <c r="D278" s="148" t="s">
        <v>417</v>
      </c>
      <c r="E278" s="148" t="s">
        <v>392</v>
      </c>
      <c r="F278" s="149">
        <v>45901</v>
      </c>
      <c r="G278" s="150">
        <v>4</v>
      </c>
      <c r="H278" s="150">
        <f t="shared" si="11"/>
        <v>4</v>
      </c>
      <c r="I278" s="150"/>
      <c r="J278" s="150">
        <v>4</v>
      </c>
      <c r="K278" s="150">
        <f t="shared" si="9"/>
        <v>0</v>
      </c>
      <c r="L278" s="151">
        <f t="shared" si="10"/>
        <v>0</v>
      </c>
      <c r="M278" s="148"/>
    </row>
    <row r="279" spans="1:13" outlineLevel="3">
      <c r="A279" s="148" t="s">
        <v>126</v>
      </c>
      <c r="B279" s="148" t="s">
        <v>384</v>
      </c>
      <c r="C279" s="148" t="s">
        <v>128</v>
      </c>
      <c r="D279" s="148" t="s">
        <v>418</v>
      </c>
      <c r="E279" s="148" t="s">
        <v>398</v>
      </c>
      <c r="F279" s="149">
        <v>45901</v>
      </c>
      <c r="G279" s="150">
        <v>370</v>
      </c>
      <c r="H279" s="150">
        <f t="shared" si="11"/>
        <v>370</v>
      </c>
      <c r="I279" s="150"/>
      <c r="J279" s="150">
        <v>366</v>
      </c>
      <c r="K279" s="150">
        <f t="shared" si="9"/>
        <v>4</v>
      </c>
      <c r="L279" s="151">
        <f t="shared" si="10"/>
        <v>1.092896174863388E-2</v>
      </c>
      <c r="M279" s="148"/>
    </row>
    <row r="280" spans="1:13" outlineLevel="3">
      <c r="A280" s="148" t="s">
        <v>126</v>
      </c>
      <c r="B280" s="148" t="s">
        <v>384</v>
      </c>
      <c r="C280" s="148" t="s">
        <v>128</v>
      </c>
      <c r="D280" s="148" t="s">
        <v>419</v>
      </c>
      <c r="E280" s="148" t="s">
        <v>411</v>
      </c>
      <c r="F280" s="149">
        <v>45901</v>
      </c>
      <c r="G280" s="150">
        <v>49</v>
      </c>
      <c r="H280" s="150">
        <f t="shared" si="11"/>
        <v>49</v>
      </c>
      <c r="I280" s="150"/>
      <c r="J280" s="150">
        <v>49</v>
      </c>
      <c r="K280" s="150">
        <f t="shared" si="9"/>
        <v>0</v>
      </c>
      <c r="L280" s="151">
        <f t="shared" si="10"/>
        <v>0</v>
      </c>
      <c r="M280" s="148"/>
    </row>
    <row r="281" spans="1:13" outlineLevel="3">
      <c r="A281" s="148" t="s">
        <v>126</v>
      </c>
      <c r="B281" s="148" t="s">
        <v>384</v>
      </c>
      <c r="C281" s="148" t="s">
        <v>128</v>
      </c>
      <c r="D281" s="148" t="s">
        <v>420</v>
      </c>
      <c r="E281" s="148" t="s">
        <v>407</v>
      </c>
      <c r="F281" s="149">
        <v>45901</v>
      </c>
      <c r="G281" s="150">
        <v>50</v>
      </c>
      <c r="H281" s="150">
        <f t="shared" si="11"/>
        <v>50</v>
      </c>
      <c r="I281" s="150"/>
      <c r="J281" s="150">
        <v>50</v>
      </c>
      <c r="K281" s="150">
        <f t="shared" si="9"/>
        <v>0</v>
      </c>
      <c r="L281" s="151">
        <f t="shared" si="10"/>
        <v>0</v>
      </c>
      <c r="M281" s="148"/>
    </row>
    <row r="282" spans="1:13" outlineLevel="3">
      <c r="A282" s="148" t="s">
        <v>126</v>
      </c>
      <c r="B282" s="148" t="s">
        <v>384</v>
      </c>
      <c r="C282" s="148" t="s">
        <v>128</v>
      </c>
      <c r="D282" s="148" t="s">
        <v>421</v>
      </c>
      <c r="E282" s="148" t="s">
        <v>401</v>
      </c>
      <c r="F282" s="149">
        <v>45901</v>
      </c>
      <c r="G282" s="150">
        <v>62</v>
      </c>
      <c r="H282" s="150">
        <f t="shared" si="11"/>
        <v>62</v>
      </c>
      <c r="I282" s="150"/>
      <c r="J282" s="150">
        <v>62</v>
      </c>
      <c r="K282" s="150">
        <f t="shared" si="9"/>
        <v>0</v>
      </c>
      <c r="L282" s="151">
        <f t="shared" si="10"/>
        <v>0</v>
      </c>
      <c r="M282" s="148"/>
    </row>
    <row r="283" spans="1:13" outlineLevel="3">
      <c r="A283" s="148" t="s">
        <v>126</v>
      </c>
      <c r="B283" s="148" t="s">
        <v>384</v>
      </c>
      <c r="C283" s="148" t="s">
        <v>128</v>
      </c>
      <c r="D283" s="148" t="s">
        <v>422</v>
      </c>
      <c r="E283" s="148" t="s">
        <v>405</v>
      </c>
      <c r="F283" s="149">
        <v>45901</v>
      </c>
      <c r="G283" s="150">
        <v>8</v>
      </c>
      <c r="H283" s="150">
        <f t="shared" si="11"/>
        <v>8</v>
      </c>
      <c r="I283" s="150"/>
      <c r="J283" s="150">
        <v>8</v>
      </c>
      <c r="K283" s="150">
        <f t="shared" si="9"/>
        <v>0</v>
      </c>
      <c r="L283" s="151">
        <f t="shared" si="10"/>
        <v>0</v>
      </c>
      <c r="M283" s="148"/>
    </row>
    <row r="284" spans="1:13" outlineLevel="3">
      <c r="A284" s="148" t="s">
        <v>126</v>
      </c>
      <c r="B284" s="148" t="s">
        <v>384</v>
      </c>
      <c r="C284" s="148" t="s">
        <v>128</v>
      </c>
      <c r="D284" s="148" t="s">
        <v>423</v>
      </c>
      <c r="E284" s="148" t="s">
        <v>409</v>
      </c>
      <c r="F284" s="149">
        <v>45901</v>
      </c>
      <c r="G284" s="150">
        <v>8</v>
      </c>
      <c r="H284" s="150">
        <f t="shared" si="11"/>
        <v>8</v>
      </c>
      <c r="I284" s="150"/>
      <c r="J284" s="150">
        <v>8</v>
      </c>
      <c r="K284" s="150">
        <f t="shared" si="9"/>
        <v>0</v>
      </c>
      <c r="L284" s="151">
        <f t="shared" si="10"/>
        <v>0</v>
      </c>
      <c r="M284" s="148"/>
    </row>
    <row r="285" spans="1:13" outlineLevel="3">
      <c r="A285" s="148" t="s">
        <v>126</v>
      </c>
      <c r="B285" s="148" t="s">
        <v>384</v>
      </c>
      <c r="C285" s="148" t="s">
        <v>131</v>
      </c>
      <c r="D285" s="148" t="s">
        <v>424</v>
      </c>
      <c r="E285" s="148" t="s">
        <v>390</v>
      </c>
      <c r="F285" s="149">
        <v>45901</v>
      </c>
      <c r="G285" s="150">
        <v>324.5</v>
      </c>
      <c r="H285" s="150">
        <f t="shared" si="11"/>
        <v>324.5</v>
      </c>
      <c r="I285" s="150"/>
      <c r="J285" s="150">
        <v>324.5</v>
      </c>
      <c r="K285" s="150">
        <f t="shared" si="9"/>
        <v>0</v>
      </c>
      <c r="L285" s="151">
        <f t="shared" si="10"/>
        <v>0</v>
      </c>
      <c r="M285" s="148"/>
    </row>
    <row r="286" spans="1:13" outlineLevel="3">
      <c r="A286" s="148" t="s">
        <v>126</v>
      </c>
      <c r="B286" s="148" t="s">
        <v>384</v>
      </c>
      <c r="C286" s="148" t="s">
        <v>131</v>
      </c>
      <c r="D286" s="148" t="s">
        <v>425</v>
      </c>
      <c r="E286" s="148" t="s">
        <v>398</v>
      </c>
      <c r="F286" s="149">
        <v>45901</v>
      </c>
      <c r="G286" s="150">
        <v>1400</v>
      </c>
      <c r="H286" s="150">
        <f t="shared" si="11"/>
        <v>1400</v>
      </c>
      <c r="I286" s="150"/>
      <c r="J286" s="150">
        <v>1425.5</v>
      </c>
      <c r="K286" s="150">
        <f t="shared" si="9"/>
        <v>-25.5</v>
      </c>
      <c r="L286" s="151">
        <f t="shared" si="10"/>
        <v>-1.7888460189407224E-2</v>
      </c>
      <c r="M286" s="148"/>
    </row>
    <row r="287" spans="1:13" outlineLevel="3">
      <c r="A287" s="148" t="s">
        <v>126</v>
      </c>
      <c r="B287" s="148" t="s">
        <v>384</v>
      </c>
      <c r="C287" s="148" t="s">
        <v>131</v>
      </c>
      <c r="D287" s="148" t="s">
        <v>426</v>
      </c>
      <c r="E287" s="148" t="s">
        <v>405</v>
      </c>
      <c r="F287" s="149">
        <v>45901</v>
      </c>
      <c r="G287" s="150">
        <v>388</v>
      </c>
      <c r="H287" s="150">
        <f t="shared" si="11"/>
        <v>388</v>
      </c>
      <c r="I287" s="150"/>
      <c r="J287" s="150">
        <v>398</v>
      </c>
      <c r="K287" s="150">
        <f t="shared" si="9"/>
        <v>-10</v>
      </c>
      <c r="L287" s="151">
        <f t="shared" si="10"/>
        <v>-2.5125628140703519E-2</v>
      </c>
      <c r="M287" s="148"/>
    </row>
    <row r="288" spans="1:13" outlineLevel="3">
      <c r="A288" s="148" t="s">
        <v>126</v>
      </c>
      <c r="B288" s="148" t="s">
        <v>384</v>
      </c>
      <c r="C288" s="148" t="s">
        <v>131</v>
      </c>
      <c r="D288" s="148" t="s">
        <v>427</v>
      </c>
      <c r="E288" s="148" t="s">
        <v>407</v>
      </c>
      <c r="F288" s="149">
        <v>45901</v>
      </c>
      <c r="G288" s="150">
        <v>333</v>
      </c>
      <c r="H288" s="150">
        <f t="shared" si="11"/>
        <v>333</v>
      </c>
      <c r="I288" s="150"/>
      <c r="J288" s="150">
        <v>333</v>
      </c>
      <c r="K288" s="150">
        <f t="shared" si="9"/>
        <v>0</v>
      </c>
      <c r="L288" s="151">
        <f t="shared" si="10"/>
        <v>0</v>
      </c>
      <c r="M288" s="148"/>
    </row>
    <row r="289" spans="1:13" outlineLevel="3">
      <c r="A289" s="148" t="s">
        <v>126</v>
      </c>
      <c r="B289" s="148" t="s">
        <v>384</v>
      </c>
      <c r="C289" s="148" t="s">
        <v>131</v>
      </c>
      <c r="D289" s="148" t="s">
        <v>428</v>
      </c>
      <c r="E289" s="148" t="s">
        <v>409</v>
      </c>
      <c r="F289" s="149">
        <v>45901</v>
      </c>
      <c r="G289" s="150">
        <v>49</v>
      </c>
      <c r="H289" s="150">
        <f t="shared" si="11"/>
        <v>49</v>
      </c>
      <c r="I289" s="150"/>
      <c r="J289" s="150">
        <v>49</v>
      </c>
      <c r="K289" s="150">
        <f t="shared" si="9"/>
        <v>0</v>
      </c>
      <c r="L289" s="151">
        <f t="shared" si="10"/>
        <v>0</v>
      </c>
      <c r="M289" s="148"/>
    </row>
    <row r="290" spans="1:13" outlineLevel="3">
      <c r="A290" s="148" t="s">
        <v>126</v>
      </c>
      <c r="B290" s="148" t="s">
        <v>384</v>
      </c>
      <c r="C290" s="148" t="s">
        <v>131</v>
      </c>
      <c r="D290" s="148" t="s">
        <v>429</v>
      </c>
      <c r="E290" s="148" t="s">
        <v>392</v>
      </c>
      <c r="F290" s="149">
        <v>45901</v>
      </c>
      <c r="G290" s="150">
        <v>24.5</v>
      </c>
      <c r="H290" s="150">
        <f t="shared" si="11"/>
        <v>24.5</v>
      </c>
      <c r="I290" s="150"/>
      <c r="J290" s="150">
        <v>24.5</v>
      </c>
      <c r="K290" s="150">
        <f t="shared" si="9"/>
        <v>0</v>
      </c>
      <c r="L290" s="151">
        <f t="shared" si="10"/>
        <v>0</v>
      </c>
      <c r="M290" s="148"/>
    </row>
    <row r="291" spans="1:13" outlineLevel="3">
      <c r="A291" s="148" t="s">
        <v>126</v>
      </c>
      <c r="B291" s="148" t="s">
        <v>384</v>
      </c>
      <c r="C291" s="148" t="s">
        <v>131</v>
      </c>
      <c r="D291" s="148" t="s">
        <v>430</v>
      </c>
      <c r="E291" s="148" t="s">
        <v>401</v>
      </c>
      <c r="F291" s="149">
        <v>45901</v>
      </c>
      <c r="G291" s="150">
        <v>373.5</v>
      </c>
      <c r="H291" s="150">
        <f t="shared" si="11"/>
        <v>373.5</v>
      </c>
      <c r="I291" s="150"/>
      <c r="J291" s="150">
        <v>373.5</v>
      </c>
      <c r="K291" s="150">
        <f t="shared" si="9"/>
        <v>0</v>
      </c>
      <c r="L291" s="151">
        <f t="shared" si="10"/>
        <v>0</v>
      </c>
      <c r="M291" s="148"/>
    </row>
    <row r="292" spans="1:13" outlineLevel="3">
      <c r="A292" s="148" t="s">
        <v>126</v>
      </c>
      <c r="B292" s="148" t="s">
        <v>384</v>
      </c>
      <c r="C292" s="148" t="s">
        <v>131</v>
      </c>
      <c r="D292" s="148" t="s">
        <v>431</v>
      </c>
      <c r="E292" s="148" t="s">
        <v>411</v>
      </c>
      <c r="F292" s="149">
        <v>45901</v>
      </c>
      <c r="G292" s="150">
        <v>24.5</v>
      </c>
      <c r="H292" s="150">
        <f t="shared" si="11"/>
        <v>24.5</v>
      </c>
      <c r="I292" s="150"/>
      <c r="J292" s="150">
        <v>24.5</v>
      </c>
      <c r="K292" s="150">
        <f t="shared" si="9"/>
        <v>0</v>
      </c>
      <c r="L292" s="151">
        <f t="shared" si="10"/>
        <v>0</v>
      </c>
      <c r="M292" s="148"/>
    </row>
    <row r="293" spans="1:13" outlineLevel="3">
      <c r="A293" s="148" t="s">
        <v>126</v>
      </c>
      <c r="B293" s="148" t="s">
        <v>384</v>
      </c>
      <c r="C293" s="148" t="s">
        <v>132</v>
      </c>
      <c r="D293" s="148" t="s">
        <v>432</v>
      </c>
      <c r="E293" s="148" t="s">
        <v>390</v>
      </c>
      <c r="F293" s="149">
        <v>45901</v>
      </c>
      <c r="G293" s="150">
        <v>573.78</v>
      </c>
      <c r="H293" s="150">
        <f t="shared" si="11"/>
        <v>573.78</v>
      </c>
      <c r="I293" s="150"/>
      <c r="J293" s="150">
        <v>573.78</v>
      </c>
      <c r="K293" s="150">
        <f t="shared" si="9"/>
        <v>0</v>
      </c>
      <c r="L293" s="151">
        <f t="shared" si="10"/>
        <v>0</v>
      </c>
      <c r="M293" s="148"/>
    </row>
    <row r="294" spans="1:13" outlineLevel="3">
      <c r="A294" s="148" t="s">
        <v>126</v>
      </c>
      <c r="B294" s="148" t="s">
        <v>384</v>
      </c>
      <c r="C294" s="148" t="s">
        <v>132</v>
      </c>
      <c r="D294" s="148" t="s">
        <v>433</v>
      </c>
      <c r="E294" s="148" t="s">
        <v>392</v>
      </c>
      <c r="F294" s="149">
        <v>45901</v>
      </c>
      <c r="G294" s="150">
        <v>350.15</v>
      </c>
      <c r="H294" s="150">
        <f t="shared" si="11"/>
        <v>350.15</v>
      </c>
      <c r="I294" s="150"/>
      <c r="J294" s="150">
        <v>350.15</v>
      </c>
      <c r="K294" s="150">
        <f t="shared" si="9"/>
        <v>0</v>
      </c>
      <c r="L294" s="151">
        <f t="shared" si="10"/>
        <v>0</v>
      </c>
      <c r="M294" s="148"/>
    </row>
    <row r="295" spans="1:13" outlineLevel="3">
      <c r="A295" s="148" t="s">
        <v>126</v>
      </c>
      <c r="B295" s="148" t="s">
        <v>384</v>
      </c>
      <c r="C295" s="148" t="s">
        <v>132</v>
      </c>
      <c r="D295" s="148" t="s">
        <v>434</v>
      </c>
      <c r="E295" s="148" t="s">
        <v>398</v>
      </c>
      <c r="F295" s="149">
        <v>45901</v>
      </c>
      <c r="G295" s="150">
        <v>4332.8999999999996</v>
      </c>
      <c r="H295" s="150">
        <f t="shared" si="11"/>
        <v>4332.8999999999996</v>
      </c>
      <c r="I295" s="150"/>
      <c r="J295" s="150">
        <v>4717.3500000000004</v>
      </c>
      <c r="K295" s="150">
        <f t="shared" si="9"/>
        <v>-384.45000000000073</v>
      </c>
      <c r="L295" s="151">
        <f t="shared" si="10"/>
        <v>-8.1497026932494027E-2</v>
      </c>
      <c r="M295" s="148"/>
    </row>
    <row r="296" spans="1:13" outlineLevel="3">
      <c r="A296" s="148" t="s">
        <v>126</v>
      </c>
      <c r="B296" s="148" t="s">
        <v>384</v>
      </c>
      <c r="C296" s="148" t="s">
        <v>132</v>
      </c>
      <c r="D296" s="148" t="s">
        <v>435</v>
      </c>
      <c r="E296" s="148" t="s">
        <v>401</v>
      </c>
      <c r="F296" s="149">
        <v>45901</v>
      </c>
      <c r="G296" s="150">
        <v>584.45000000000005</v>
      </c>
      <c r="H296" s="150">
        <f t="shared" si="11"/>
        <v>584.45000000000005</v>
      </c>
      <c r="I296" s="150"/>
      <c r="J296" s="150">
        <v>584.45000000000005</v>
      </c>
      <c r="K296" s="150">
        <f t="shared" si="9"/>
        <v>0</v>
      </c>
      <c r="L296" s="151">
        <f t="shared" si="10"/>
        <v>0</v>
      </c>
      <c r="M296" s="148"/>
    </row>
    <row r="297" spans="1:13" outlineLevel="3">
      <c r="A297" s="148" t="s">
        <v>126</v>
      </c>
      <c r="B297" s="148" t="s">
        <v>384</v>
      </c>
      <c r="C297" s="148" t="s">
        <v>132</v>
      </c>
      <c r="D297" s="148" t="s">
        <v>436</v>
      </c>
      <c r="E297" s="148" t="s">
        <v>411</v>
      </c>
      <c r="F297" s="149">
        <v>45901</v>
      </c>
      <c r="G297" s="150">
        <v>328.15</v>
      </c>
      <c r="H297" s="150">
        <f t="shared" si="11"/>
        <v>328.15</v>
      </c>
      <c r="I297" s="150"/>
      <c r="J297" s="150">
        <v>328.15</v>
      </c>
      <c r="K297" s="150">
        <f t="shared" si="9"/>
        <v>0</v>
      </c>
      <c r="L297" s="151">
        <f t="shared" si="10"/>
        <v>0</v>
      </c>
      <c r="M297" s="148"/>
    </row>
    <row r="298" spans="1:13" outlineLevel="3">
      <c r="A298" s="148" t="s">
        <v>126</v>
      </c>
      <c r="B298" s="148" t="s">
        <v>384</v>
      </c>
      <c r="C298" s="148" t="s">
        <v>132</v>
      </c>
      <c r="D298" s="148" t="s">
        <v>437</v>
      </c>
      <c r="E298" s="148" t="s">
        <v>407</v>
      </c>
      <c r="F298" s="149">
        <v>45901</v>
      </c>
      <c r="G298" s="150">
        <v>958.23</v>
      </c>
      <c r="H298" s="150">
        <f t="shared" si="11"/>
        <v>958.23</v>
      </c>
      <c r="I298" s="150"/>
      <c r="J298" s="150">
        <v>701.93</v>
      </c>
      <c r="K298" s="150">
        <f t="shared" si="9"/>
        <v>256.30000000000007</v>
      </c>
      <c r="L298" s="151">
        <f t="shared" si="10"/>
        <v>0.36513612468479772</v>
      </c>
      <c r="M298" s="148"/>
    </row>
    <row r="299" spans="1:13" outlineLevel="3">
      <c r="A299" s="148" t="s">
        <v>126</v>
      </c>
      <c r="B299" s="148" t="s">
        <v>384</v>
      </c>
      <c r="C299" s="148" t="s">
        <v>132</v>
      </c>
      <c r="D299" s="148" t="s">
        <v>438</v>
      </c>
      <c r="E299" s="148" t="s">
        <v>409</v>
      </c>
      <c r="F299" s="149">
        <v>45901</v>
      </c>
      <c r="G299" s="150">
        <v>456.3</v>
      </c>
      <c r="H299" s="150">
        <f t="shared" si="11"/>
        <v>456.3</v>
      </c>
      <c r="I299" s="150"/>
      <c r="J299" s="150">
        <v>456.3</v>
      </c>
      <c r="K299" s="150">
        <f t="shared" si="9"/>
        <v>0</v>
      </c>
      <c r="L299" s="151">
        <f t="shared" si="10"/>
        <v>0</v>
      </c>
      <c r="M299" s="148"/>
    </row>
    <row r="300" spans="1:13" outlineLevel="3">
      <c r="A300" s="148" t="s">
        <v>126</v>
      </c>
      <c r="B300" s="148" t="s">
        <v>384</v>
      </c>
      <c r="C300" s="148" t="s">
        <v>132</v>
      </c>
      <c r="D300" s="148" t="s">
        <v>439</v>
      </c>
      <c r="E300" s="148" t="s">
        <v>405</v>
      </c>
      <c r="F300" s="149">
        <v>45901</v>
      </c>
      <c r="G300" s="150">
        <v>741.93</v>
      </c>
      <c r="H300" s="150">
        <f t="shared" si="11"/>
        <v>741.93</v>
      </c>
      <c r="I300" s="150"/>
      <c r="J300" s="150">
        <v>958.23</v>
      </c>
      <c r="K300" s="150">
        <f t="shared" si="9"/>
        <v>-216.30000000000007</v>
      </c>
      <c r="L300" s="151">
        <f t="shared" si="10"/>
        <v>-0.22572868726714887</v>
      </c>
      <c r="M300" s="148" t="s">
        <v>399</v>
      </c>
    </row>
    <row r="301" spans="1:13" outlineLevel="2">
      <c r="A301" s="148"/>
      <c r="B301" s="173" t="s">
        <v>440</v>
      </c>
      <c r="C301" s="148"/>
      <c r="D301" s="148"/>
      <c r="E301" s="148"/>
      <c r="F301" s="149"/>
      <c r="G301" s="150">
        <f>SUBTOTAL(9,G262:G300)</f>
        <v>15013.49</v>
      </c>
      <c r="H301" s="150">
        <f>SUBTOTAL(9,H262:H300)</f>
        <v>15013.49</v>
      </c>
      <c r="I301" s="150">
        <f>SUBTOTAL(9,I262:I300)</f>
        <v>0</v>
      </c>
      <c r="J301" s="150">
        <f>SUBTOTAL(9,J262:J300)</f>
        <v>14028.64</v>
      </c>
      <c r="K301" s="150"/>
      <c r="L301" s="151"/>
      <c r="M301" s="148"/>
    </row>
    <row r="302" spans="1:13" outlineLevel="3">
      <c r="A302" s="148" t="s">
        <v>126</v>
      </c>
      <c r="B302" s="148" t="s">
        <v>441</v>
      </c>
      <c r="C302" s="148" t="s">
        <v>128</v>
      </c>
      <c r="D302" s="148" t="s">
        <v>330</v>
      </c>
      <c r="E302" s="148" t="s">
        <v>442</v>
      </c>
      <c r="F302" s="149">
        <v>45901</v>
      </c>
      <c r="G302" s="150">
        <v>60</v>
      </c>
      <c r="H302" s="150">
        <f t="shared" si="11"/>
        <v>60</v>
      </c>
      <c r="I302" s="150"/>
      <c r="J302" s="150">
        <v>60</v>
      </c>
      <c r="K302" s="150">
        <f t="shared" si="9"/>
        <v>0</v>
      </c>
      <c r="L302" s="151">
        <f t="shared" si="10"/>
        <v>0</v>
      </c>
      <c r="M302" s="148"/>
    </row>
    <row r="303" spans="1:13" outlineLevel="3">
      <c r="A303" s="148" t="s">
        <v>126</v>
      </c>
      <c r="B303" s="148" t="s">
        <v>441</v>
      </c>
      <c r="C303" s="148" t="s">
        <v>131</v>
      </c>
      <c r="D303" s="148" t="s">
        <v>331</v>
      </c>
      <c r="E303" s="148" t="s">
        <v>442</v>
      </c>
      <c r="F303" s="149">
        <v>45901</v>
      </c>
      <c r="G303" s="150">
        <v>431</v>
      </c>
      <c r="H303" s="150">
        <f t="shared" si="11"/>
        <v>431</v>
      </c>
      <c r="I303" s="150"/>
      <c r="J303" s="150">
        <v>431</v>
      </c>
      <c r="K303" s="150">
        <f t="shared" si="9"/>
        <v>0</v>
      </c>
      <c r="L303" s="151">
        <f t="shared" si="10"/>
        <v>0</v>
      </c>
      <c r="M303" s="148"/>
    </row>
    <row r="304" spans="1:13" outlineLevel="3">
      <c r="A304" s="148" t="s">
        <v>126</v>
      </c>
      <c r="B304" s="148" t="s">
        <v>441</v>
      </c>
      <c r="C304" s="148" t="s">
        <v>132</v>
      </c>
      <c r="D304" s="148" t="s">
        <v>443</v>
      </c>
      <c r="E304" s="148" t="s">
        <v>442</v>
      </c>
      <c r="F304" s="149">
        <v>45901</v>
      </c>
      <c r="G304" s="150">
        <v>1327</v>
      </c>
      <c r="H304" s="150">
        <f t="shared" si="11"/>
        <v>1327</v>
      </c>
      <c r="I304" s="150"/>
      <c r="J304" s="150">
        <v>1327</v>
      </c>
      <c r="K304" s="150">
        <f t="shared" si="9"/>
        <v>0</v>
      </c>
      <c r="L304" s="151">
        <f t="shared" si="10"/>
        <v>0</v>
      </c>
      <c r="M304" s="148"/>
    </row>
    <row r="305" spans="1:13" outlineLevel="2">
      <c r="A305" s="148"/>
      <c r="B305" s="173" t="s">
        <v>444</v>
      </c>
      <c r="C305" s="148"/>
      <c r="D305" s="148"/>
      <c r="E305" s="148"/>
      <c r="F305" s="149"/>
      <c r="G305" s="150">
        <f>SUBTOTAL(9,G302:G304)</f>
        <v>1818</v>
      </c>
      <c r="H305" s="150">
        <f>SUBTOTAL(9,H302:H304)</f>
        <v>1818</v>
      </c>
      <c r="I305" s="150">
        <f>SUBTOTAL(9,I302:I304)</f>
        <v>0</v>
      </c>
      <c r="J305" s="150">
        <f>SUBTOTAL(9,J302:J304)</f>
        <v>1818</v>
      </c>
      <c r="K305" s="150"/>
      <c r="L305" s="151"/>
      <c r="M305" s="148"/>
    </row>
    <row r="306" spans="1:13" outlineLevel="3">
      <c r="A306" s="148" t="s">
        <v>126</v>
      </c>
      <c r="B306" s="148" t="s">
        <v>445</v>
      </c>
      <c r="C306" s="148" t="s">
        <v>135</v>
      </c>
      <c r="D306" s="148" t="s">
        <v>446</v>
      </c>
      <c r="E306" s="148" t="s">
        <v>447</v>
      </c>
      <c r="F306" s="149">
        <v>45901</v>
      </c>
      <c r="G306" s="150">
        <v>2872.5</v>
      </c>
      <c r="H306" s="150">
        <f t="shared" si="11"/>
        <v>2872.5</v>
      </c>
      <c r="I306" s="150"/>
      <c r="J306" s="150">
        <v>2872.5</v>
      </c>
      <c r="K306" s="150">
        <f t="shared" si="9"/>
        <v>0</v>
      </c>
      <c r="L306" s="151">
        <f t="shared" si="10"/>
        <v>0</v>
      </c>
      <c r="M306" s="148"/>
    </row>
    <row r="307" spans="1:13" outlineLevel="3">
      <c r="A307" s="148" t="s">
        <v>126</v>
      </c>
      <c r="B307" s="148" t="s">
        <v>445</v>
      </c>
      <c r="C307" s="148" t="s">
        <v>128</v>
      </c>
      <c r="D307" s="148" t="s">
        <v>448</v>
      </c>
      <c r="E307" s="148" t="s">
        <v>447</v>
      </c>
      <c r="F307" s="149">
        <v>45901</v>
      </c>
      <c r="G307" s="150">
        <v>773.23159999999996</v>
      </c>
      <c r="H307" s="150">
        <f t="shared" si="11"/>
        <v>773.23159999999996</v>
      </c>
      <c r="I307" s="150"/>
      <c r="J307" s="150">
        <v>745.02099999999996</v>
      </c>
      <c r="K307" s="150">
        <f t="shared" si="9"/>
        <v>28.210599999999999</v>
      </c>
      <c r="L307" s="151">
        <f t="shared" si="10"/>
        <v>3.7865509831266506E-2</v>
      </c>
      <c r="M307" s="148"/>
    </row>
    <row r="308" spans="1:13" outlineLevel="3">
      <c r="A308" s="148" t="s">
        <v>126</v>
      </c>
      <c r="B308" s="148" t="s">
        <v>445</v>
      </c>
      <c r="C308" s="148" t="s">
        <v>131</v>
      </c>
      <c r="D308" s="148" t="s">
        <v>449</v>
      </c>
      <c r="E308" s="148" t="s">
        <v>447</v>
      </c>
      <c r="F308" s="149">
        <v>45901</v>
      </c>
      <c r="G308" s="150">
        <v>2340.6999999999998</v>
      </c>
      <c r="H308" s="150">
        <f t="shared" si="11"/>
        <v>2340.6999999999998</v>
      </c>
      <c r="I308" s="150"/>
      <c r="J308" s="150">
        <v>2353.6999999999998</v>
      </c>
      <c r="K308" s="150">
        <f t="shared" si="9"/>
        <v>-13</v>
      </c>
      <c r="L308" s="151">
        <f t="shared" si="10"/>
        <v>-5.5232187619492718E-3</v>
      </c>
      <c r="M308" s="148" t="s">
        <v>310</v>
      </c>
    </row>
    <row r="309" spans="1:13" outlineLevel="3">
      <c r="A309" s="148" t="s">
        <v>126</v>
      </c>
      <c r="B309" s="148" t="s">
        <v>445</v>
      </c>
      <c r="C309" s="148" t="s">
        <v>132</v>
      </c>
      <c r="D309" s="148" t="s">
        <v>450</v>
      </c>
      <c r="E309" s="148" t="s">
        <v>447</v>
      </c>
      <c r="F309" s="149">
        <v>45901</v>
      </c>
      <c r="G309" s="150">
        <v>1240</v>
      </c>
      <c r="H309" s="150">
        <f t="shared" si="11"/>
        <v>1240</v>
      </c>
      <c r="I309" s="150"/>
      <c r="J309" s="150">
        <v>1210</v>
      </c>
      <c r="K309" s="150">
        <f t="shared" si="9"/>
        <v>30</v>
      </c>
      <c r="L309" s="151">
        <f t="shared" si="10"/>
        <v>2.4793388429752067E-2</v>
      </c>
      <c r="M309" s="148"/>
    </row>
    <row r="310" spans="1:13" outlineLevel="2">
      <c r="A310" s="148"/>
      <c r="B310" s="173" t="s">
        <v>451</v>
      </c>
      <c r="C310" s="148"/>
      <c r="D310" s="148"/>
      <c r="E310" s="148"/>
      <c r="F310" s="149"/>
      <c r="G310" s="150">
        <f>SUBTOTAL(9,G306:G309)</f>
        <v>7226.4315999999999</v>
      </c>
      <c r="H310" s="150">
        <f>SUBTOTAL(9,H306:H309)</f>
        <v>7226.4315999999999</v>
      </c>
      <c r="I310" s="150">
        <f>SUBTOTAL(9,I306:I309)</f>
        <v>0</v>
      </c>
      <c r="J310" s="150">
        <f>SUBTOTAL(9,J306:J309)</f>
        <v>7181.2209999999995</v>
      </c>
      <c r="K310" s="150"/>
      <c r="L310" s="151"/>
      <c r="M310" s="148"/>
    </row>
    <row r="311" spans="1:13" outlineLevel="3">
      <c r="A311" s="148" t="s">
        <v>126</v>
      </c>
      <c r="B311" s="148" t="s">
        <v>452</v>
      </c>
      <c r="C311" s="148" t="s">
        <v>135</v>
      </c>
      <c r="D311" s="148" t="s">
        <v>453</v>
      </c>
      <c r="E311" s="148" t="s">
        <v>454</v>
      </c>
      <c r="F311" s="149">
        <v>45915</v>
      </c>
      <c r="G311" s="150">
        <v>1966.5</v>
      </c>
      <c r="H311" s="150">
        <f t="shared" si="11"/>
        <v>1966.5</v>
      </c>
      <c r="I311" s="150"/>
      <c r="J311" s="150">
        <v>1966.5</v>
      </c>
      <c r="K311" s="150">
        <f t="shared" si="9"/>
        <v>0</v>
      </c>
      <c r="L311" s="151">
        <f t="shared" si="10"/>
        <v>0</v>
      </c>
      <c r="M311" s="148"/>
    </row>
    <row r="312" spans="1:13" outlineLevel="3">
      <c r="A312" s="148" t="s">
        <v>126</v>
      </c>
      <c r="B312" s="148" t="s">
        <v>452</v>
      </c>
      <c r="C312" s="148" t="s">
        <v>139</v>
      </c>
      <c r="D312" s="148" t="s">
        <v>455</v>
      </c>
      <c r="E312" s="148" t="s">
        <v>454</v>
      </c>
      <c r="F312" s="149">
        <v>45915</v>
      </c>
      <c r="G312" s="150">
        <v>4957</v>
      </c>
      <c r="H312" s="150">
        <f t="shared" si="11"/>
        <v>4957</v>
      </c>
      <c r="I312" s="150"/>
      <c r="J312" s="150">
        <v>4957</v>
      </c>
      <c r="K312" s="150">
        <f t="shared" ref="K312:K395" si="12">+H312-J312</f>
        <v>0</v>
      </c>
      <c r="L312" s="151">
        <f t="shared" ref="L312:L395" si="13">K312/J312</f>
        <v>0</v>
      </c>
      <c r="M312" s="148"/>
    </row>
    <row r="313" spans="1:13" outlineLevel="3">
      <c r="A313" s="148" t="s">
        <v>126</v>
      </c>
      <c r="B313" s="148" t="s">
        <v>452</v>
      </c>
      <c r="C313" s="148" t="s">
        <v>128</v>
      </c>
      <c r="D313" s="148" t="s">
        <v>456</v>
      </c>
      <c r="E313" s="148" t="s">
        <v>454</v>
      </c>
      <c r="F313" s="149">
        <v>45915</v>
      </c>
      <c r="G313" s="150">
        <v>50</v>
      </c>
      <c r="H313" s="150">
        <f t="shared" si="11"/>
        <v>50</v>
      </c>
      <c r="I313" s="150"/>
      <c r="J313" s="150">
        <v>50</v>
      </c>
      <c r="K313" s="150">
        <f t="shared" si="12"/>
        <v>0</v>
      </c>
      <c r="L313" s="151">
        <f t="shared" si="13"/>
        <v>0</v>
      </c>
      <c r="M313" s="148"/>
    </row>
    <row r="314" spans="1:13" outlineLevel="3">
      <c r="A314" s="148" t="s">
        <v>126</v>
      </c>
      <c r="B314" s="148" t="s">
        <v>452</v>
      </c>
      <c r="C314" s="148" t="s">
        <v>128</v>
      </c>
      <c r="D314" s="148" t="s">
        <v>128</v>
      </c>
      <c r="E314" s="148" t="s">
        <v>454</v>
      </c>
      <c r="F314" s="149">
        <v>45915</v>
      </c>
      <c r="G314" s="150">
        <v>2180.67</v>
      </c>
      <c r="H314" s="150">
        <f t="shared" si="11"/>
        <v>2180.67</v>
      </c>
      <c r="I314" s="150"/>
      <c r="J314" s="150">
        <v>2184.66</v>
      </c>
      <c r="K314" s="150">
        <f t="shared" si="12"/>
        <v>-3.9899999999997817</v>
      </c>
      <c r="L314" s="151">
        <f t="shared" si="13"/>
        <v>-1.8263711515749737E-3</v>
      </c>
      <c r="M314" s="148"/>
    </row>
    <row r="315" spans="1:13" outlineLevel="3">
      <c r="A315" s="148" t="s">
        <v>126</v>
      </c>
      <c r="B315" s="148" t="s">
        <v>452</v>
      </c>
      <c r="C315" s="148" t="s">
        <v>131</v>
      </c>
      <c r="D315" s="148" t="s">
        <v>131</v>
      </c>
      <c r="E315" s="148" t="s">
        <v>454</v>
      </c>
      <c r="F315" s="149">
        <v>45915</v>
      </c>
      <c r="G315" s="150">
        <v>960</v>
      </c>
      <c r="H315" s="150">
        <f t="shared" si="11"/>
        <v>960</v>
      </c>
      <c r="I315" s="150"/>
      <c r="J315" s="150">
        <v>978</v>
      </c>
      <c r="K315" s="150">
        <f t="shared" si="12"/>
        <v>-18</v>
      </c>
      <c r="L315" s="151">
        <f t="shared" si="13"/>
        <v>-1.8404907975460124E-2</v>
      </c>
      <c r="M315" s="148" t="s">
        <v>177</v>
      </c>
    </row>
    <row r="316" spans="1:13" outlineLevel="3">
      <c r="A316" s="148" t="s">
        <v>126</v>
      </c>
      <c r="B316" s="148" t="s">
        <v>452</v>
      </c>
      <c r="C316" s="148" t="s">
        <v>132</v>
      </c>
      <c r="D316" s="148" t="s">
        <v>457</v>
      </c>
      <c r="E316" s="148" t="s">
        <v>454</v>
      </c>
      <c r="F316" s="149">
        <v>45915</v>
      </c>
      <c r="G316" s="150">
        <v>12473.75</v>
      </c>
      <c r="H316" s="150">
        <f t="shared" si="11"/>
        <v>12473.75</v>
      </c>
      <c r="I316" s="150"/>
      <c r="J316" s="150">
        <v>12149.4</v>
      </c>
      <c r="K316" s="150">
        <f t="shared" si="12"/>
        <v>324.35000000000036</v>
      </c>
      <c r="L316" s="151">
        <f t="shared" si="13"/>
        <v>2.6696791611108397E-2</v>
      </c>
      <c r="M316" s="148"/>
    </row>
    <row r="317" spans="1:13" outlineLevel="2">
      <c r="A317" s="148"/>
      <c r="B317" s="173" t="s">
        <v>458</v>
      </c>
      <c r="C317" s="148"/>
      <c r="D317" s="148"/>
      <c r="E317" s="148"/>
      <c r="F317" s="149"/>
      <c r="G317" s="150">
        <f>SUBTOTAL(9,G311:G316)</f>
        <v>22587.919999999998</v>
      </c>
      <c r="H317" s="150">
        <f>SUBTOTAL(9,H311:H316)</f>
        <v>22587.919999999998</v>
      </c>
      <c r="I317" s="150">
        <f>SUBTOTAL(9,I311:I316)</f>
        <v>0</v>
      </c>
      <c r="J317" s="150">
        <f>SUBTOTAL(9,J311:J316)</f>
        <v>22285.559999999998</v>
      </c>
      <c r="K317" s="150"/>
      <c r="L317" s="151"/>
      <c r="M317" s="148"/>
    </row>
    <row r="318" spans="1:13" outlineLevel="3">
      <c r="A318" s="148" t="s">
        <v>126</v>
      </c>
      <c r="B318" s="148" t="s">
        <v>459</v>
      </c>
      <c r="C318" s="148" t="s">
        <v>139</v>
      </c>
      <c r="D318" s="148" t="s">
        <v>139</v>
      </c>
      <c r="E318" s="148" t="s">
        <v>460</v>
      </c>
      <c r="F318" s="149">
        <v>45901</v>
      </c>
      <c r="G318" s="150">
        <v>1526</v>
      </c>
      <c r="H318" s="150">
        <f t="shared" si="11"/>
        <v>1526</v>
      </c>
      <c r="I318" s="150"/>
      <c r="J318" s="150">
        <v>1526</v>
      </c>
      <c r="K318" s="150">
        <f t="shared" si="12"/>
        <v>0</v>
      </c>
      <c r="L318" s="151">
        <f t="shared" si="13"/>
        <v>0</v>
      </c>
      <c r="M318" s="148"/>
    </row>
    <row r="319" spans="1:13" outlineLevel="3">
      <c r="A319" s="148" t="s">
        <v>126</v>
      </c>
      <c r="B319" s="148" t="s">
        <v>459</v>
      </c>
      <c r="C319" s="148" t="s">
        <v>128</v>
      </c>
      <c r="D319" s="148" t="s">
        <v>461</v>
      </c>
      <c r="E319" s="148" t="s">
        <v>460</v>
      </c>
      <c r="F319" s="149">
        <v>45901</v>
      </c>
      <c r="G319" s="150">
        <v>8273.8209000000006</v>
      </c>
      <c r="H319" s="150">
        <f t="shared" si="11"/>
        <v>8273.8209000000006</v>
      </c>
      <c r="I319" s="150"/>
      <c r="J319" s="150">
        <v>8115.0050000000001</v>
      </c>
      <c r="K319" s="150">
        <f t="shared" si="12"/>
        <v>158.81590000000051</v>
      </c>
      <c r="L319" s="151">
        <f t="shared" si="13"/>
        <v>1.9570647214635174E-2</v>
      </c>
      <c r="M319" s="148"/>
    </row>
    <row r="320" spans="1:13" outlineLevel="3">
      <c r="A320" s="148" t="s">
        <v>126</v>
      </c>
      <c r="B320" s="148" t="s">
        <v>459</v>
      </c>
      <c r="C320" s="148" t="s">
        <v>131</v>
      </c>
      <c r="D320" s="148" t="s">
        <v>131</v>
      </c>
      <c r="E320" s="148" t="s">
        <v>460</v>
      </c>
      <c r="F320" s="149">
        <v>45901</v>
      </c>
      <c r="G320" s="150">
        <v>2117</v>
      </c>
      <c r="H320" s="150">
        <f t="shared" ref="H320:H403" si="14">+G320</f>
        <v>2117</v>
      </c>
      <c r="I320" s="150"/>
      <c r="J320" s="150">
        <v>2112</v>
      </c>
      <c r="K320" s="150">
        <f t="shared" si="12"/>
        <v>5</v>
      </c>
      <c r="L320" s="151">
        <f t="shared" si="13"/>
        <v>2.3674242424242425E-3</v>
      </c>
      <c r="M320" s="148"/>
    </row>
    <row r="321" spans="1:13" outlineLevel="3">
      <c r="A321" s="148" t="s">
        <v>126</v>
      </c>
      <c r="B321" s="148" t="s">
        <v>459</v>
      </c>
      <c r="C321" s="148" t="s">
        <v>132</v>
      </c>
      <c r="D321" s="148" t="s">
        <v>132</v>
      </c>
      <c r="E321" s="148" t="s">
        <v>460</v>
      </c>
      <c r="F321" s="149">
        <v>45901</v>
      </c>
      <c r="G321" s="150">
        <v>4695</v>
      </c>
      <c r="H321" s="150">
        <f t="shared" si="14"/>
        <v>4695</v>
      </c>
      <c r="I321" s="150"/>
      <c r="J321" s="150">
        <v>4544.0050000000001</v>
      </c>
      <c r="K321" s="150">
        <f t="shared" si="12"/>
        <v>150.99499999999989</v>
      </c>
      <c r="L321" s="151">
        <f t="shared" si="13"/>
        <v>3.3229496886557096E-2</v>
      </c>
      <c r="M321" s="148"/>
    </row>
    <row r="322" spans="1:13" outlineLevel="2">
      <c r="A322" s="148"/>
      <c r="B322" s="173" t="s">
        <v>462</v>
      </c>
      <c r="C322" s="148"/>
      <c r="D322" s="148"/>
      <c r="E322" s="148"/>
      <c r="F322" s="149"/>
      <c r="G322" s="150">
        <f>SUBTOTAL(9,G318:G321)</f>
        <v>16611.820899999999</v>
      </c>
      <c r="H322" s="150">
        <f>SUBTOTAL(9,H318:H321)</f>
        <v>16611.820899999999</v>
      </c>
      <c r="I322" s="150">
        <f>SUBTOTAL(9,I318:I321)</f>
        <v>0</v>
      </c>
      <c r="J322" s="150">
        <f>SUBTOTAL(9,J318:J321)</f>
        <v>16297.010000000002</v>
      </c>
      <c r="K322" s="150"/>
      <c r="L322" s="151"/>
      <c r="M322" s="148"/>
    </row>
    <row r="323" spans="1:13" outlineLevel="3">
      <c r="A323" s="148" t="s">
        <v>126</v>
      </c>
      <c r="B323" s="148" t="s">
        <v>463</v>
      </c>
      <c r="C323" s="148" t="s">
        <v>139</v>
      </c>
      <c r="D323" s="148" t="s">
        <v>464</v>
      </c>
      <c r="E323" s="148" t="s">
        <v>465</v>
      </c>
      <c r="F323" s="149">
        <v>45901</v>
      </c>
      <c r="G323" s="150">
        <v>70.599999999999994</v>
      </c>
      <c r="H323" s="150">
        <f t="shared" si="14"/>
        <v>70.599999999999994</v>
      </c>
      <c r="I323" s="150"/>
      <c r="J323" s="150">
        <v>70.599999999999994</v>
      </c>
      <c r="K323" s="150">
        <f t="shared" si="12"/>
        <v>0</v>
      </c>
      <c r="L323" s="151">
        <f t="shared" si="13"/>
        <v>0</v>
      </c>
      <c r="M323" s="148"/>
    </row>
    <row r="324" spans="1:13" outlineLevel="3">
      <c r="A324" s="148" t="s">
        <v>126</v>
      </c>
      <c r="B324" s="148" t="s">
        <v>463</v>
      </c>
      <c r="C324" s="148" t="s">
        <v>128</v>
      </c>
      <c r="D324" s="148" t="s">
        <v>128</v>
      </c>
      <c r="E324" s="148" t="s">
        <v>465</v>
      </c>
      <c r="F324" s="149">
        <v>45901</v>
      </c>
      <c r="G324" s="150">
        <v>1750</v>
      </c>
      <c r="H324" s="150">
        <f t="shared" si="14"/>
        <v>1750</v>
      </c>
      <c r="I324" s="150"/>
      <c r="J324" s="150">
        <v>1800</v>
      </c>
      <c r="K324" s="150">
        <f t="shared" si="12"/>
        <v>-50</v>
      </c>
      <c r="L324" s="151">
        <f t="shared" si="13"/>
        <v>-2.7777777777777776E-2</v>
      </c>
      <c r="M324" s="148" t="s">
        <v>211</v>
      </c>
    </row>
    <row r="325" spans="1:13" outlineLevel="3">
      <c r="A325" s="148" t="s">
        <v>126</v>
      </c>
      <c r="B325" s="148" t="s">
        <v>463</v>
      </c>
      <c r="C325" s="148" t="s">
        <v>131</v>
      </c>
      <c r="D325" s="148" t="s">
        <v>131</v>
      </c>
      <c r="E325" s="148" t="s">
        <v>465</v>
      </c>
      <c r="F325" s="149">
        <v>45901</v>
      </c>
      <c r="G325" s="150">
        <v>2590</v>
      </c>
      <c r="H325" s="150">
        <f t="shared" si="14"/>
        <v>2590</v>
      </c>
      <c r="I325" s="150"/>
      <c r="J325" s="150">
        <v>2585</v>
      </c>
      <c r="K325" s="150">
        <f t="shared" si="12"/>
        <v>5</v>
      </c>
      <c r="L325" s="151">
        <f t="shared" si="13"/>
        <v>1.9342359767891683E-3</v>
      </c>
      <c r="M325" s="148"/>
    </row>
    <row r="326" spans="1:13" outlineLevel="3">
      <c r="A326" s="148" t="s">
        <v>126</v>
      </c>
      <c r="B326" s="148" t="s">
        <v>463</v>
      </c>
      <c r="C326" s="148" t="s">
        <v>132</v>
      </c>
      <c r="D326" s="148" t="s">
        <v>466</v>
      </c>
      <c r="E326" s="148" t="s">
        <v>465</v>
      </c>
      <c r="F326" s="149">
        <v>45901</v>
      </c>
      <c r="G326" s="150">
        <v>4274.5</v>
      </c>
      <c r="H326" s="150">
        <f t="shared" si="14"/>
        <v>4274.5</v>
      </c>
      <c r="I326" s="150"/>
      <c r="J326" s="150">
        <v>4274.5</v>
      </c>
      <c r="K326" s="150">
        <f t="shared" si="12"/>
        <v>0</v>
      </c>
      <c r="L326" s="151">
        <f t="shared" si="13"/>
        <v>0</v>
      </c>
      <c r="M326" s="148"/>
    </row>
    <row r="327" spans="1:13" outlineLevel="2">
      <c r="A327" s="148"/>
      <c r="B327" s="173" t="s">
        <v>467</v>
      </c>
      <c r="C327" s="148"/>
      <c r="D327" s="148"/>
      <c r="E327" s="148"/>
      <c r="F327" s="149"/>
      <c r="G327" s="150">
        <f>SUBTOTAL(9,G323:G326)</f>
        <v>8685.1</v>
      </c>
      <c r="H327" s="150">
        <f>SUBTOTAL(9,H323:H326)</f>
        <v>8685.1</v>
      </c>
      <c r="I327" s="150">
        <f>SUBTOTAL(9,I323:I326)</f>
        <v>0</v>
      </c>
      <c r="J327" s="150">
        <f>SUBTOTAL(9,J323:J326)</f>
        <v>8730.1</v>
      </c>
      <c r="K327" s="150"/>
      <c r="L327" s="151"/>
      <c r="M327" s="148"/>
    </row>
    <row r="328" spans="1:13" outlineLevel="3">
      <c r="A328" s="148" t="s">
        <v>126</v>
      </c>
      <c r="B328" s="148" t="s">
        <v>468</v>
      </c>
      <c r="C328" s="148" t="s">
        <v>139</v>
      </c>
      <c r="D328" s="148" t="s">
        <v>139</v>
      </c>
      <c r="E328" s="148" t="s">
        <v>469</v>
      </c>
      <c r="F328" s="149">
        <v>45901</v>
      </c>
      <c r="G328" s="150">
        <v>773.3</v>
      </c>
      <c r="H328" s="150">
        <f t="shared" si="14"/>
        <v>773.3</v>
      </c>
      <c r="I328" s="150"/>
      <c r="J328" s="150">
        <v>773.3</v>
      </c>
      <c r="K328" s="150">
        <f t="shared" si="12"/>
        <v>0</v>
      </c>
      <c r="L328" s="151">
        <f t="shared" si="13"/>
        <v>0</v>
      </c>
      <c r="M328" s="148"/>
    </row>
    <row r="329" spans="1:13" outlineLevel="3">
      <c r="A329" s="148" t="s">
        <v>126</v>
      </c>
      <c r="B329" s="148" t="s">
        <v>468</v>
      </c>
      <c r="C329" s="148" t="s">
        <v>131</v>
      </c>
      <c r="D329" s="148" t="s">
        <v>131</v>
      </c>
      <c r="E329" s="148" t="s">
        <v>469</v>
      </c>
      <c r="F329" s="149">
        <v>45901</v>
      </c>
      <c r="G329" s="150">
        <v>1129</v>
      </c>
      <c r="H329" s="150">
        <f t="shared" si="14"/>
        <v>1129</v>
      </c>
      <c r="I329" s="150"/>
      <c r="J329" s="150">
        <v>1110</v>
      </c>
      <c r="K329" s="150">
        <f t="shared" si="12"/>
        <v>19</v>
      </c>
      <c r="L329" s="151">
        <f t="shared" si="13"/>
        <v>1.7117117117117116E-2</v>
      </c>
      <c r="M329" s="148"/>
    </row>
    <row r="330" spans="1:13" outlineLevel="3">
      <c r="A330" s="148" t="s">
        <v>126</v>
      </c>
      <c r="B330" s="148" t="s">
        <v>468</v>
      </c>
      <c r="C330" s="148" t="s">
        <v>132</v>
      </c>
      <c r="D330" s="148" t="s">
        <v>132</v>
      </c>
      <c r="E330" s="148" t="s">
        <v>469</v>
      </c>
      <c r="F330" s="149">
        <v>45901</v>
      </c>
      <c r="G330" s="150">
        <v>2257</v>
      </c>
      <c r="H330" s="150">
        <f t="shared" si="14"/>
        <v>2257</v>
      </c>
      <c r="I330" s="150"/>
      <c r="J330" s="150">
        <v>2243</v>
      </c>
      <c r="K330" s="150">
        <f t="shared" si="12"/>
        <v>14</v>
      </c>
      <c r="L330" s="151">
        <f t="shared" si="13"/>
        <v>6.241640659830584E-3</v>
      </c>
      <c r="M330" s="148"/>
    </row>
    <row r="331" spans="1:13" outlineLevel="2">
      <c r="A331" s="148"/>
      <c r="B331" s="173" t="s">
        <v>470</v>
      </c>
      <c r="C331" s="148"/>
      <c r="D331" s="148"/>
      <c r="E331" s="148"/>
      <c r="F331" s="149"/>
      <c r="G331" s="150">
        <f>SUBTOTAL(9,G328:G330)</f>
        <v>4159.3</v>
      </c>
      <c r="H331" s="150">
        <f>SUBTOTAL(9,H328:H330)</f>
        <v>4159.3</v>
      </c>
      <c r="I331" s="150">
        <f>SUBTOTAL(9,I328:I330)</f>
        <v>0</v>
      </c>
      <c r="J331" s="150">
        <f>SUBTOTAL(9,J328:J330)</f>
        <v>4126.3</v>
      </c>
      <c r="K331" s="150"/>
      <c r="L331" s="151"/>
      <c r="M331" s="148"/>
    </row>
    <row r="332" spans="1:13" outlineLevel="3">
      <c r="A332" s="148" t="s">
        <v>126</v>
      </c>
      <c r="B332" s="148" t="s">
        <v>471</v>
      </c>
      <c r="C332" s="148" t="s">
        <v>132</v>
      </c>
      <c r="D332" s="148" t="s">
        <v>472</v>
      </c>
      <c r="E332" s="148" t="s">
        <v>473</v>
      </c>
      <c r="F332" s="149">
        <v>45901</v>
      </c>
      <c r="G332" s="150">
        <v>1380.6</v>
      </c>
      <c r="H332" s="150">
        <f t="shared" si="14"/>
        <v>1380.6</v>
      </c>
      <c r="I332" s="150"/>
      <c r="J332" s="150">
        <v>1380.6</v>
      </c>
      <c r="K332" s="150">
        <f t="shared" si="12"/>
        <v>0</v>
      </c>
      <c r="L332" s="151">
        <f t="shared" si="13"/>
        <v>0</v>
      </c>
      <c r="M332" s="148"/>
    </row>
    <row r="333" spans="1:13" outlineLevel="2">
      <c r="A333" s="148"/>
      <c r="B333" s="173" t="s">
        <v>474</v>
      </c>
      <c r="C333" s="148"/>
      <c r="D333" s="148"/>
      <c r="E333" s="148"/>
      <c r="F333" s="149"/>
      <c r="G333" s="150">
        <f>SUBTOTAL(9,G332:G332)</f>
        <v>1380.6</v>
      </c>
      <c r="H333" s="150">
        <f>SUBTOTAL(9,H332:H332)</f>
        <v>1380.6</v>
      </c>
      <c r="I333" s="150">
        <f>SUBTOTAL(9,I332:I332)</f>
        <v>0</v>
      </c>
      <c r="J333" s="150">
        <f>SUBTOTAL(9,J332:J332)</f>
        <v>1380.6</v>
      </c>
      <c r="K333" s="150"/>
      <c r="L333" s="151"/>
      <c r="M333" s="148"/>
    </row>
    <row r="334" spans="1:13" outlineLevel="3">
      <c r="A334" s="148" t="s">
        <v>126</v>
      </c>
      <c r="B334" s="148" t="s">
        <v>475</v>
      </c>
      <c r="C334" s="148" t="s">
        <v>132</v>
      </c>
      <c r="D334" s="148" t="s">
        <v>476</v>
      </c>
      <c r="E334" s="148" t="s">
        <v>477</v>
      </c>
      <c r="F334" s="149">
        <v>45901</v>
      </c>
      <c r="G334" s="150">
        <v>1542.83</v>
      </c>
      <c r="H334" s="150">
        <f t="shared" si="14"/>
        <v>1542.83</v>
      </c>
      <c r="I334" s="150"/>
      <c r="J334" s="150">
        <v>1542.83</v>
      </c>
      <c r="K334" s="150">
        <f t="shared" si="12"/>
        <v>0</v>
      </c>
      <c r="L334" s="151">
        <f t="shared" si="13"/>
        <v>0</v>
      </c>
      <c r="M334" s="148"/>
    </row>
    <row r="335" spans="1:13" outlineLevel="2">
      <c r="A335" s="148"/>
      <c r="B335" s="173" t="s">
        <v>478</v>
      </c>
      <c r="C335" s="148"/>
      <c r="D335" s="148"/>
      <c r="E335" s="148"/>
      <c r="F335" s="149"/>
      <c r="G335" s="150">
        <f>SUBTOTAL(9,G334:G334)</f>
        <v>1542.83</v>
      </c>
      <c r="H335" s="150">
        <f>SUBTOTAL(9,H334:H334)</f>
        <v>1542.83</v>
      </c>
      <c r="I335" s="150">
        <f>SUBTOTAL(9,I334:I334)</f>
        <v>0</v>
      </c>
      <c r="J335" s="150">
        <f>SUBTOTAL(9,J334:J334)</f>
        <v>1542.83</v>
      </c>
      <c r="K335" s="150"/>
      <c r="L335" s="151"/>
      <c r="M335" s="148"/>
    </row>
    <row r="336" spans="1:13" outlineLevel="3">
      <c r="A336" s="148" t="s">
        <v>126</v>
      </c>
      <c r="B336" s="148" t="s">
        <v>479</v>
      </c>
      <c r="C336" s="148" t="s">
        <v>139</v>
      </c>
      <c r="D336" s="148" t="s">
        <v>273</v>
      </c>
      <c r="E336" s="148" t="s">
        <v>480</v>
      </c>
      <c r="F336" s="149">
        <v>45901</v>
      </c>
      <c r="G336" s="150">
        <v>330.72</v>
      </c>
      <c r="H336" s="150">
        <f t="shared" si="14"/>
        <v>330.72</v>
      </c>
      <c r="I336" s="150"/>
      <c r="J336" s="150">
        <v>330.72</v>
      </c>
      <c r="K336" s="150">
        <f t="shared" si="12"/>
        <v>0</v>
      </c>
      <c r="L336" s="151">
        <f t="shared" si="13"/>
        <v>0</v>
      </c>
      <c r="M336" s="148"/>
    </row>
    <row r="337" spans="1:13" outlineLevel="3">
      <c r="A337" s="148" t="s">
        <v>126</v>
      </c>
      <c r="B337" s="148" t="s">
        <v>479</v>
      </c>
      <c r="C337" s="148" t="s">
        <v>128</v>
      </c>
      <c r="D337" s="148" t="s">
        <v>128</v>
      </c>
      <c r="E337" s="148" t="s">
        <v>480</v>
      </c>
      <c r="F337" s="149">
        <v>45901</v>
      </c>
      <c r="G337" s="150">
        <v>507.13</v>
      </c>
      <c r="H337" s="150">
        <f t="shared" si="14"/>
        <v>507.13</v>
      </c>
      <c r="I337" s="150"/>
      <c r="J337" s="150">
        <v>502.3372</v>
      </c>
      <c r="K337" s="150">
        <f t="shared" si="12"/>
        <v>4.7927999999999997</v>
      </c>
      <c r="L337" s="151">
        <f t="shared" si="13"/>
        <v>9.5410015423902511E-3</v>
      </c>
      <c r="M337" s="148"/>
    </row>
    <row r="338" spans="1:13" outlineLevel="3">
      <c r="A338" s="148" t="s">
        <v>126</v>
      </c>
      <c r="B338" s="148" t="s">
        <v>479</v>
      </c>
      <c r="C338" s="148" t="s">
        <v>131</v>
      </c>
      <c r="D338" s="148" t="s">
        <v>131</v>
      </c>
      <c r="E338" s="148" t="s">
        <v>480</v>
      </c>
      <c r="F338" s="149">
        <v>45901</v>
      </c>
      <c r="G338" s="150">
        <v>1267.8599999999999</v>
      </c>
      <c r="H338" s="150">
        <f t="shared" si="14"/>
        <v>1267.8599999999999</v>
      </c>
      <c r="I338" s="150"/>
      <c r="J338" s="150">
        <v>1271.54</v>
      </c>
      <c r="K338" s="150">
        <f t="shared" si="12"/>
        <v>-3.6800000000000637</v>
      </c>
      <c r="L338" s="151">
        <f t="shared" si="13"/>
        <v>-2.8941283797600261E-3</v>
      </c>
      <c r="M338" s="148"/>
    </row>
    <row r="339" spans="1:13" outlineLevel="3">
      <c r="A339" s="148" t="s">
        <v>126</v>
      </c>
      <c r="B339" s="148" t="s">
        <v>479</v>
      </c>
      <c r="C339" s="148" t="s">
        <v>132</v>
      </c>
      <c r="D339" s="148" t="s">
        <v>481</v>
      </c>
      <c r="E339" s="148" t="s">
        <v>480</v>
      </c>
      <c r="F339" s="149">
        <v>45901</v>
      </c>
      <c r="G339" s="150">
        <v>1380.6</v>
      </c>
      <c r="H339" s="150">
        <f t="shared" si="14"/>
        <v>1380.6</v>
      </c>
      <c r="I339" s="150"/>
      <c r="J339" s="150">
        <v>1380.6027999999999</v>
      </c>
      <c r="K339" s="150">
        <f t="shared" si="12"/>
        <v>-2.7999999999792635E-3</v>
      </c>
      <c r="L339" s="151">
        <f t="shared" si="13"/>
        <v>-2.0280996098075882E-6</v>
      </c>
      <c r="M339" s="148"/>
    </row>
    <row r="340" spans="1:13" outlineLevel="2">
      <c r="A340" s="148"/>
      <c r="B340" s="173" t="s">
        <v>482</v>
      </c>
      <c r="C340" s="148"/>
      <c r="D340" s="148"/>
      <c r="E340" s="148"/>
      <c r="F340" s="149"/>
      <c r="G340" s="150">
        <f>SUBTOTAL(9,G336:G339)</f>
        <v>3486.31</v>
      </c>
      <c r="H340" s="150">
        <f>SUBTOTAL(9,H336:H339)</f>
        <v>3486.31</v>
      </c>
      <c r="I340" s="150">
        <f>SUBTOTAL(9,I336:I339)</f>
        <v>0</v>
      </c>
      <c r="J340" s="150">
        <f>SUBTOTAL(9,J336:J339)</f>
        <v>3485.2</v>
      </c>
      <c r="K340" s="150"/>
      <c r="L340" s="151"/>
      <c r="M340" s="148"/>
    </row>
    <row r="341" spans="1:13" outlineLevel="3">
      <c r="A341" s="148" t="s">
        <v>126</v>
      </c>
      <c r="B341" s="148" t="s">
        <v>483</v>
      </c>
      <c r="C341" s="148" t="s">
        <v>132</v>
      </c>
      <c r="D341" s="148" t="s">
        <v>484</v>
      </c>
      <c r="E341" s="148" t="s">
        <v>485</v>
      </c>
      <c r="F341" s="149">
        <v>45901</v>
      </c>
      <c r="G341" s="150">
        <v>1380.6</v>
      </c>
      <c r="H341" s="150">
        <f t="shared" si="14"/>
        <v>1380.6</v>
      </c>
      <c r="I341" s="150"/>
      <c r="J341" s="150">
        <v>1380.6</v>
      </c>
      <c r="K341" s="150">
        <f t="shared" si="12"/>
        <v>0</v>
      </c>
      <c r="L341" s="151">
        <f t="shared" si="13"/>
        <v>0</v>
      </c>
      <c r="M341" s="148"/>
    </row>
    <row r="342" spans="1:13" outlineLevel="2">
      <c r="A342" s="148"/>
      <c r="B342" s="173" t="s">
        <v>486</v>
      </c>
      <c r="C342" s="148"/>
      <c r="D342" s="148"/>
      <c r="E342" s="148"/>
      <c r="F342" s="149"/>
      <c r="G342" s="150">
        <f>SUBTOTAL(9,G341:G341)</f>
        <v>1380.6</v>
      </c>
      <c r="H342" s="150">
        <f>SUBTOTAL(9,H341:H341)</f>
        <v>1380.6</v>
      </c>
      <c r="I342" s="150">
        <f>SUBTOTAL(9,I341:I341)</f>
        <v>0</v>
      </c>
      <c r="J342" s="150">
        <f>SUBTOTAL(9,J341:J341)</f>
        <v>1380.6</v>
      </c>
      <c r="K342" s="150"/>
      <c r="L342" s="151"/>
      <c r="M342" s="148"/>
    </row>
    <row r="343" spans="1:13" outlineLevel="3">
      <c r="A343" s="148" t="s">
        <v>126</v>
      </c>
      <c r="B343" s="148" t="s">
        <v>487</v>
      </c>
      <c r="C343" s="148" t="s">
        <v>128</v>
      </c>
      <c r="D343" s="148" t="s">
        <v>128</v>
      </c>
      <c r="E343" s="148" t="s">
        <v>488</v>
      </c>
      <c r="F343" s="149">
        <v>45901</v>
      </c>
      <c r="G343" s="150">
        <v>450.31319999999999</v>
      </c>
      <c r="H343" s="150">
        <f t="shared" si="14"/>
        <v>450.31319999999999</v>
      </c>
      <c r="I343" s="150"/>
      <c r="J343" s="150">
        <v>447.88260000000002</v>
      </c>
      <c r="K343" s="150">
        <f t="shared" si="12"/>
        <v>2.4305999999999699</v>
      </c>
      <c r="L343" s="151">
        <f t="shared" si="13"/>
        <v>5.4268685588588833E-3</v>
      </c>
      <c r="M343" s="148"/>
    </row>
    <row r="344" spans="1:13" outlineLevel="3">
      <c r="A344" s="148" t="s">
        <v>126</v>
      </c>
      <c r="B344" s="148" t="s">
        <v>487</v>
      </c>
      <c r="C344" s="148" t="s">
        <v>131</v>
      </c>
      <c r="D344" s="148" t="s">
        <v>131</v>
      </c>
      <c r="E344" s="148" t="s">
        <v>488</v>
      </c>
      <c r="F344" s="149">
        <v>45901</v>
      </c>
      <c r="G344" s="150">
        <v>2468</v>
      </c>
      <c r="H344" s="150">
        <f t="shared" si="14"/>
        <v>2468</v>
      </c>
      <c r="I344" s="150"/>
      <c r="J344" s="150">
        <v>2454</v>
      </c>
      <c r="K344" s="150">
        <f t="shared" si="12"/>
        <v>14</v>
      </c>
      <c r="L344" s="151">
        <f t="shared" si="13"/>
        <v>5.7049714751426246E-3</v>
      </c>
      <c r="M344" s="148"/>
    </row>
    <row r="345" spans="1:13" outlineLevel="3">
      <c r="A345" s="148" t="s">
        <v>126</v>
      </c>
      <c r="B345" s="148" t="s">
        <v>487</v>
      </c>
      <c r="C345" s="148" t="s">
        <v>132</v>
      </c>
      <c r="D345" s="148" t="s">
        <v>132</v>
      </c>
      <c r="E345" s="148" t="s">
        <v>488</v>
      </c>
      <c r="F345" s="149">
        <v>45901</v>
      </c>
      <c r="G345" s="150">
        <v>5200</v>
      </c>
      <c r="H345" s="150">
        <f t="shared" si="14"/>
        <v>5200</v>
      </c>
      <c r="I345" s="150"/>
      <c r="J345" s="150">
        <v>5214</v>
      </c>
      <c r="K345" s="150">
        <f t="shared" si="12"/>
        <v>-14</v>
      </c>
      <c r="L345" s="151">
        <f t="shared" si="13"/>
        <v>-2.685078634445723E-3</v>
      </c>
      <c r="M345" s="148"/>
    </row>
    <row r="346" spans="1:13" outlineLevel="2">
      <c r="A346" s="148"/>
      <c r="B346" s="173" t="s">
        <v>489</v>
      </c>
      <c r="C346" s="148"/>
      <c r="D346" s="148"/>
      <c r="E346" s="148"/>
      <c r="F346" s="149"/>
      <c r="G346" s="150">
        <f>SUBTOTAL(9,G343:G345)</f>
        <v>8118.3132000000005</v>
      </c>
      <c r="H346" s="150">
        <f>SUBTOTAL(9,H343:H345)</f>
        <v>8118.3132000000005</v>
      </c>
      <c r="I346" s="150">
        <f>SUBTOTAL(9,I343:I345)</f>
        <v>0</v>
      </c>
      <c r="J346" s="150">
        <f>SUBTOTAL(9,J343:J345)</f>
        <v>8115.8825999999999</v>
      </c>
      <c r="K346" s="150"/>
      <c r="L346" s="151"/>
      <c r="M346" s="148"/>
    </row>
    <row r="347" spans="1:13" outlineLevel="3">
      <c r="A347" s="148" t="s">
        <v>126</v>
      </c>
      <c r="B347" s="148" t="s">
        <v>490</v>
      </c>
      <c r="C347" s="148" t="s">
        <v>135</v>
      </c>
      <c r="D347" s="148" t="s">
        <v>328</v>
      </c>
      <c r="E347" s="148" t="s">
        <v>491</v>
      </c>
      <c r="F347" s="149">
        <v>45901</v>
      </c>
      <c r="G347" s="150">
        <v>540</v>
      </c>
      <c r="H347" s="150">
        <f t="shared" si="14"/>
        <v>540</v>
      </c>
      <c r="I347" s="150"/>
      <c r="J347" s="150">
        <v>0</v>
      </c>
      <c r="K347" s="150">
        <f t="shared" si="12"/>
        <v>540</v>
      </c>
      <c r="L347" s="151"/>
      <c r="M347" s="148"/>
    </row>
    <row r="348" spans="1:13" outlineLevel="3">
      <c r="A348" s="148" t="s">
        <v>126</v>
      </c>
      <c r="B348" s="148" t="s">
        <v>490</v>
      </c>
      <c r="C348" s="148" t="s">
        <v>128</v>
      </c>
      <c r="D348" s="148" t="s">
        <v>128</v>
      </c>
      <c r="E348" s="148" t="s">
        <v>491</v>
      </c>
      <c r="F348" s="149">
        <v>45901</v>
      </c>
      <c r="G348" s="150">
        <v>384.06</v>
      </c>
      <c r="H348" s="150">
        <f t="shared" si="14"/>
        <v>384.06</v>
      </c>
      <c r="I348" s="150"/>
      <c r="J348" s="150">
        <v>0</v>
      </c>
      <c r="K348" s="150">
        <f t="shared" si="12"/>
        <v>384.06</v>
      </c>
      <c r="L348" s="151"/>
      <c r="M348" s="148"/>
    </row>
    <row r="349" spans="1:13" outlineLevel="3">
      <c r="A349" s="148" t="s">
        <v>126</v>
      </c>
      <c r="B349" s="148" t="s">
        <v>490</v>
      </c>
      <c r="C349" s="148" t="s">
        <v>131</v>
      </c>
      <c r="D349" s="148" t="s">
        <v>331</v>
      </c>
      <c r="E349" s="148" t="s">
        <v>491</v>
      </c>
      <c r="F349" s="149">
        <v>45901</v>
      </c>
      <c r="G349" s="150">
        <v>682</v>
      </c>
      <c r="H349" s="150">
        <f t="shared" si="14"/>
        <v>682</v>
      </c>
      <c r="I349" s="150"/>
      <c r="J349" s="150">
        <v>0</v>
      </c>
      <c r="K349" s="150">
        <f t="shared" si="12"/>
        <v>682</v>
      </c>
      <c r="L349" s="151"/>
      <c r="M349" s="148"/>
    </row>
    <row r="350" spans="1:13" outlineLevel="3">
      <c r="A350" s="148" t="s">
        <v>126</v>
      </c>
      <c r="B350" s="148" t="s">
        <v>490</v>
      </c>
      <c r="C350" s="148" t="s">
        <v>132</v>
      </c>
      <c r="D350" s="148" t="s">
        <v>270</v>
      </c>
      <c r="E350" s="148" t="s">
        <v>491</v>
      </c>
      <c r="F350" s="149">
        <v>45901</v>
      </c>
      <c r="G350" s="150">
        <v>1062</v>
      </c>
      <c r="H350" s="150">
        <f t="shared" si="14"/>
        <v>1062</v>
      </c>
      <c r="I350" s="150"/>
      <c r="J350" s="150">
        <v>0</v>
      </c>
      <c r="K350" s="150">
        <f t="shared" si="12"/>
        <v>1062</v>
      </c>
      <c r="L350" s="151"/>
      <c r="M350" s="148"/>
    </row>
    <row r="351" spans="1:13" outlineLevel="2">
      <c r="A351" s="148"/>
      <c r="B351" s="173" t="s">
        <v>492</v>
      </c>
      <c r="C351" s="148"/>
      <c r="D351" s="148"/>
      <c r="E351" s="148"/>
      <c r="F351" s="149"/>
      <c r="G351" s="150">
        <f>SUBTOTAL(9,G347:G350)</f>
        <v>2668.06</v>
      </c>
      <c r="H351" s="150">
        <f>SUBTOTAL(9,H347:H350)</f>
        <v>2668.06</v>
      </c>
      <c r="I351" s="150">
        <f>SUBTOTAL(9,I347:I350)</f>
        <v>0</v>
      </c>
      <c r="J351" s="150">
        <f>SUBTOTAL(9,J347:J350)</f>
        <v>0</v>
      </c>
      <c r="K351" s="150"/>
      <c r="L351" s="151"/>
      <c r="M351" s="148"/>
    </row>
    <row r="352" spans="1:13" outlineLevel="3">
      <c r="A352" s="148" t="s">
        <v>126</v>
      </c>
      <c r="B352" s="148" t="s">
        <v>493</v>
      </c>
      <c r="C352" s="148" t="s">
        <v>139</v>
      </c>
      <c r="D352" s="148" t="s">
        <v>494</v>
      </c>
      <c r="E352" s="148" t="s">
        <v>495</v>
      </c>
      <c r="F352" s="149">
        <v>45901</v>
      </c>
      <c r="G352" s="150">
        <v>3191.2</v>
      </c>
      <c r="H352" s="150">
        <f t="shared" si="14"/>
        <v>3191.2</v>
      </c>
      <c r="I352" s="150"/>
      <c r="J352" s="150">
        <v>3191.2</v>
      </c>
      <c r="K352" s="150">
        <f t="shared" si="12"/>
        <v>0</v>
      </c>
      <c r="L352" s="151">
        <f t="shared" si="13"/>
        <v>0</v>
      </c>
      <c r="M352" s="148"/>
    </row>
    <row r="353" spans="1:13" outlineLevel="3">
      <c r="A353" s="148" t="s">
        <v>126</v>
      </c>
      <c r="B353" s="148" t="s">
        <v>493</v>
      </c>
      <c r="C353" s="148" t="s">
        <v>128</v>
      </c>
      <c r="D353" s="148" t="s">
        <v>128</v>
      </c>
      <c r="E353" s="148" t="s">
        <v>495</v>
      </c>
      <c r="F353" s="149">
        <v>45901</v>
      </c>
      <c r="G353" s="150">
        <v>950.69299999999998</v>
      </c>
      <c r="H353" s="150">
        <f t="shared" si="14"/>
        <v>950.69299999999998</v>
      </c>
      <c r="I353" s="150"/>
      <c r="J353" s="150">
        <v>953.13520000000005</v>
      </c>
      <c r="K353" s="150">
        <f t="shared" si="12"/>
        <v>-2.4422000000000708</v>
      </c>
      <c r="L353" s="151">
        <f t="shared" si="13"/>
        <v>-2.5622807761166207E-3</v>
      </c>
      <c r="M353" s="148"/>
    </row>
    <row r="354" spans="1:13" outlineLevel="3">
      <c r="A354" s="148" t="s">
        <v>126</v>
      </c>
      <c r="B354" s="148" t="s">
        <v>493</v>
      </c>
      <c r="C354" s="148" t="s">
        <v>131</v>
      </c>
      <c r="D354" s="148" t="s">
        <v>131</v>
      </c>
      <c r="E354" s="148" t="s">
        <v>495</v>
      </c>
      <c r="F354" s="149">
        <v>45901</v>
      </c>
      <c r="G354" s="150">
        <v>709.25</v>
      </c>
      <c r="H354" s="150">
        <f t="shared" si="14"/>
        <v>709.25</v>
      </c>
      <c r="I354" s="150"/>
      <c r="J354" s="150">
        <v>717.22</v>
      </c>
      <c r="K354" s="150">
        <f t="shared" si="12"/>
        <v>-7.9700000000000273</v>
      </c>
      <c r="L354" s="151">
        <f t="shared" si="13"/>
        <v>-1.1112350464292724E-2</v>
      </c>
      <c r="M354" s="148" t="s">
        <v>310</v>
      </c>
    </row>
    <row r="355" spans="1:13" outlineLevel="3">
      <c r="A355" s="148" t="s">
        <v>126</v>
      </c>
      <c r="B355" s="148" t="s">
        <v>493</v>
      </c>
      <c r="C355" s="148" t="s">
        <v>132</v>
      </c>
      <c r="D355" s="148" t="s">
        <v>496</v>
      </c>
      <c r="E355" s="148" t="s">
        <v>495</v>
      </c>
      <c r="F355" s="149">
        <v>45901</v>
      </c>
      <c r="G355" s="150">
        <v>2792.09</v>
      </c>
      <c r="H355" s="150">
        <f t="shared" si="14"/>
        <v>2792.09</v>
      </c>
      <c r="I355" s="150"/>
      <c r="J355" s="150">
        <v>2792.0947999999999</v>
      </c>
      <c r="K355" s="150">
        <f t="shared" si="12"/>
        <v>-4.7999999997045961E-3</v>
      </c>
      <c r="L355" s="151">
        <f t="shared" si="13"/>
        <v>-1.7191393357075828E-6</v>
      </c>
      <c r="M355" s="148"/>
    </row>
    <row r="356" spans="1:13" outlineLevel="2">
      <c r="A356" s="148"/>
      <c r="B356" s="173" t="s">
        <v>497</v>
      </c>
      <c r="C356" s="148"/>
      <c r="D356" s="148"/>
      <c r="E356" s="148"/>
      <c r="F356" s="149"/>
      <c r="G356" s="150">
        <f>SUBTOTAL(9,G352:G355)</f>
        <v>7643.2330000000002</v>
      </c>
      <c r="H356" s="150">
        <f>SUBTOTAL(9,H352:H355)</f>
        <v>7643.2330000000002</v>
      </c>
      <c r="I356" s="150">
        <f>SUBTOTAL(9,I352:I355)</f>
        <v>0</v>
      </c>
      <c r="J356" s="150">
        <f>SUBTOTAL(9,J352:J355)</f>
        <v>7653.65</v>
      </c>
      <c r="K356" s="150"/>
      <c r="L356" s="151"/>
      <c r="M356" s="148"/>
    </row>
    <row r="357" spans="1:13" outlineLevel="3">
      <c r="A357" s="148" t="s">
        <v>126</v>
      </c>
      <c r="B357" s="148" t="s">
        <v>498</v>
      </c>
      <c r="C357" s="148" t="s">
        <v>135</v>
      </c>
      <c r="D357" s="148" t="s">
        <v>135</v>
      </c>
      <c r="E357" s="148" t="s">
        <v>499</v>
      </c>
      <c r="F357" s="149">
        <v>45901</v>
      </c>
      <c r="G357" s="150">
        <v>700</v>
      </c>
      <c r="H357" s="150">
        <f t="shared" si="14"/>
        <v>700</v>
      </c>
      <c r="I357" s="150"/>
      <c r="J357" s="150">
        <v>700</v>
      </c>
      <c r="K357" s="150">
        <f t="shared" si="12"/>
        <v>0</v>
      </c>
      <c r="L357" s="151">
        <f t="shared" si="13"/>
        <v>0</v>
      </c>
      <c r="M357" s="148"/>
    </row>
    <row r="358" spans="1:13" outlineLevel="3">
      <c r="A358" s="148" t="s">
        <v>126</v>
      </c>
      <c r="B358" s="148" t="s">
        <v>498</v>
      </c>
      <c r="C358" s="148" t="s">
        <v>139</v>
      </c>
      <c r="D358" s="148" t="s">
        <v>500</v>
      </c>
      <c r="E358" s="148" t="s">
        <v>499</v>
      </c>
      <c r="F358" s="149">
        <v>45901</v>
      </c>
      <c r="G358" s="150">
        <v>203.5</v>
      </c>
      <c r="H358" s="150">
        <f t="shared" si="14"/>
        <v>203.5</v>
      </c>
      <c r="I358" s="150"/>
      <c r="J358" s="150">
        <v>203.5</v>
      </c>
      <c r="K358" s="150">
        <f t="shared" si="12"/>
        <v>0</v>
      </c>
      <c r="L358" s="151">
        <f t="shared" si="13"/>
        <v>0</v>
      </c>
      <c r="M358" s="148"/>
    </row>
    <row r="359" spans="1:13" outlineLevel="3">
      <c r="A359" s="148" t="s">
        <v>126</v>
      </c>
      <c r="B359" s="148" t="s">
        <v>498</v>
      </c>
      <c r="C359" s="148" t="s">
        <v>128</v>
      </c>
      <c r="D359" s="148" t="s">
        <v>128</v>
      </c>
      <c r="E359" s="148" t="s">
        <v>499</v>
      </c>
      <c r="F359" s="149">
        <v>45901</v>
      </c>
      <c r="G359" s="150">
        <v>10</v>
      </c>
      <c r="H359" s="150">
        <f t="shared" si="14"/>
        <v>10</v>
      </c>
      <c r="I359" s="150"/>
      <c r="J359" s="150">
        <v>10</v>
      </c>
      <c r="K359" s="150">
        <f t="shared" si="12"/>
        <v>0</v>
      </c>
      <c r="L359" s="151">
        <f t="shared" si="13"/>
        <v>0</v>
      </c>
      <c r="M359" s="148"/>
    </row>
    <row r="360" spans="1:13" outlineLevel="3">
      <c r="A360" s="148" t="s">
        <v>126</v>
      </c>
      <c r="B360" s="148" t="s">
        <v>498</v>
      </c>
      <c r="C360" s="148" t="s">
        <v>131</v>
      </c>
      <c r="D360" s="148" t="s">
        <v>131</v>
      </c>
      <c r="E360" s="148" t="s">
        <v>499</v>
      </c>
      <c r="F360" s="149">
        <v>45901</v>
      </c>
      <c r="G360" s="150">
        <v>292</v>
      </c>
      <c r="H360" s="150">
        <f t="shared" si="14"/>
        <v>292</v>
      </c>
      <c r="I360" s="150"/>
      <c r="J360" s="150">
        <v>292</v>
      </c>
      <c r="K360" s="150">
        <f t="shared" si="12"/>
        <v>0</v>
      </c>
      <c r="L360" s="151">
        <f t="shared" si="13"/>
        <v>0</v>
      </c>
      <c r="M360" s="148"/>
    </row>
    <row r="361" spans="1:13" outlineLevel="3">
      <c r="A361" s="148" t="s">
        <v>126</v>
      </c>
      <c r="B361" s="148" t="s">
        <v>498</v>
      </c>
      <c r="C361" s="148" t="s">
        <v>132</v>
      </c>
      <c r="D361" s="148" t="s">
        <v>132</v>
      </c>
      <c r="E361" s="148" t="s">
        <v>499</v>
      </c>
      <c r="F361" s="149">
        <v>45901</v>
      </c>
      <c r="G361" s="150">
        <v>2007.86</v>
      </c>
      <c r="H361" s="150">
        <f t="shared" si="14"/>
        <v>2007.86</v>
      </c>
      <c r="I361" s="150"/>
      <c r="J361" s="150">
        <v>1949.38</v>
      </c>
      <c r="K361" s="150">
        <f t="shared" si="12"/>
        <v>58.479999999999791</v>
      </c>
      <c r="L361" s="151">
        <f t="shared" si="13"/>
        <v>2.9999281822938467E-2</v>
      </c>
      <c r="M361" s="148"/>
    </row>
    <row r="362" spans="1:13" outlineLevel="2">
      <c r="A362" s="148"/>
      <c r="B362" s="173" t="s">
        <v>501</v>
      </c>
      <c r="C362" s="148"/>
      <c r="D362" s="148"/>
      <c r="E362" s="148"/>
      <c r="F362" s="149"/>
      <c r="G362" s="150">
        <f>SUBTOTAL(9,G357:G361)</f>
        <v>3213.3599999999997</v>
      </c>
      <c r="H362" s="150">
        <f>SUBTOTAL(9,H357:H361)</f>
        <v>3213.3599999999997</v>
      </c>
      <c r="I362" s="150">
        <f>SUBTOTAL(9,I357:I361)</f>
        <v>0</v>
      </c>
      <c r="J362" s="150">
        <f>SUBTOTAL(9,J357:J361)</f>
        <v>3154.88</v>
      </c>
      <c r="K362" s="150"/>
      <c r="L362" s="151"/>
      <c r="M362" s="148"/>
    </row>
    <row r="363" spans="1:13" outlineLevel="3">
      <c r="A363" s="148" t="s">
        <v>126</v>
      </c>
      <c r="B363" s="148" t="s">
        <v>502</v>
      </c>
      <c r="C363" s="148" t="s">
        <v>135</v>
      </c>
      <c r="D363" s="148" t="s">
        <v>135</v>
      </c>
      <c r="E363" s="148" t="s">
        <v>503</v>
      </c>
      <c r="F363" s="149">
        <v>45915</v>
      </c>
      <c r="G363" s="150">
        <v>360.5</v>
      </c>
      <c r="H363" s="150">
        <f t="shared" si="14"/>
        <v>360.5</v>
      </c>
      <c r="I363" s="150"/>
      <c r="J363" s="150">
        <v>350</v>
      </c>
      <c r="K363" s="150">
        <f t="shared" si="12"/>
        <v>10.5</v>
      </c>
      <c r="L363" s="151">
        <f t="shared" si="13"/>
        <v>0.03</v>
      </c>
      <c r="M363" s="148"/>
    </row>
    <row r="364" spans="1:13" outlineLevel="3">
      <c r="A364" s="148" t="s">
        <v>126</v>
      </c>
      <c r="B364" s="148" t="s">
        <v>502</v>
      </c>
      <c r="C364" s="148" t="s">
        <v>128</v>
      </c>
      <c r="D364" s="148" t="s">
        <v>128</v>
      </c>
      <c r="E364" s="148" t="s">
        <v>503</v>
      </c>
      <c r="F364" s="149">
        <v>45915</v>
      </c>
      <c r="G364" s="150">
        <v>738.25</v>
      </c>
      <c r="H364" s="150">
        <f t="shared" si="14"/>
        <v>738.25</v>
      </c>
      <c r="I364" s="150"/>
      <c r="J364" s="150">
        <v>738.25</v>
      </c>
      <c r="K364" s="150">
        <f t="shared" si="12"/>
        <v>0</v>
      </c>
      <c r="L364" s="151">
        <f t="shared" si="13"/>
        <v>0</v>
      </c>
      <c r="M364" s="148"/>
    </row>
    <row r="365" spans="1:13" outlineLevel="3">
      <c r="A365" s="148" t="s">
        <v>126</v>
      </c>
      <c r="B365" s="148" t="s">
        <v>502</v>
      </c>
      <c r="C365" s="148" t="s">
        <v>131</v>
      </c>
      <c r="D365" s="148" t="s">
        <v>131</v>
      </c>
      <c r="E365" s="148" t="s">
        <v>503</v>
      </c>
      <c r="F365" s="149">
        <v>45915</v>
      </c>
      <c r="G365" s="150">
        <v>359.1</v>
      </c>
      <c r="H365" s="150">
        <f t="shared" si="14"/>
        <v>359.1</v>
      </c>
      <c r="I365" s="150"/>
      <c r="J365" s="150">
        <v>359.1</v>
      </c>
      <c r="K365" s="150">
        <f t="shared" si="12"/>
        <v>0</v>
      </c>
      <c r="L365" s="151">
        <f t="shared" si="13"/>
        <v>0</v>
      </c>
      <c r="M365" s="148"/>
    </row>
    <row r="366" spans="1:13" outlineLevel="2">
      <c r="A366" s="148"/>
      <c r="B366" s="173" t="s">
        <v>504</v>
      </c>
      <c r="C366" s="148"/>
      <c r="D366" s="148"/>
      <c r="E366" s="148"/>
      <c r="F366" s="149"/>
      <c r="G366" s="150">
        <f>SUBTOTAL(9,G363:G365)</f>
        <v>1457.85</v>
      </c>
      <c r="H366" s="150">
        <f>SUBTOTAL(9,H363:H365)</f>
        <v>1457.85</v>
      </c>
      <c r="I366" s="150">
        <f>SUBTOTAL(9,I363:I365)</f>
        <v>0</v>
      </c>
      <c r="J366" s="150">
        <f>SUBTOTAL(9,J363:J365)</f>
        <v>1447.35</v>
      </c>
      <c r="K366" s="150"/>
      <c r="L366" s="151"/>
      <c r="M366" s="148"/>
    </row>
    <row r="367" spans="1:13" outlineLevel="3">
      <c r="A367" s="148" t="s">
        <v>126</v>
      </c>
      <c r="B367" s="148" t="s">
        <v>505</v>
      </c>
      <c r="C367" s="148" t="s">
        <v>139</v>
      </c>
      <c r="D367" s="148" t="s">
        <v>506</v>
      </c>
      <c r="E367" s="148" t="s">
        <v>507</v>
      </c>
      <c r="F367" s="149">
        <v>45901</v>
      </c>
      <c r="G367" s="150">
        <v>1286.4000000000001</v>
      </c>
      <c r="H367" s="150">
        <f t="shared" si="14"/>
        <v>1286.4000000000001</v>
      </c>
      <c r="I367" s="150"/>
      <c r="J367" s="150">
        <v>981.6</v>
      </c>
      <c r="K367" s="150">
        <f t="shared" si="12"/>
        <v>304.80000000000007</v>
      </c>
      <c r="L367" s="151">
        <f t="shared" si="13"/>
        <v>0.31051344743276288</v>
      </c>
      <c r="M367" s="148"/>
    </row>
    <row r="368" spans="1:13" outlineLevel="3">
      <c r="A368" s="148" t="s">
        <v>126</v>
      </c>
      <c r="B368" s="148" t="s">
        <v>505</v>
      </c>
      <c r="C368" s="148" t="s">
        <v>128</v>
      </c>
      <c r="D368" s="148" t="s">
        <v>128</v>
      </c>
      <c r="E368" s="148" t="s">
        <v>507</v>
      </c>
      <c r="F368" s="149">
        <v>45901</v>
      </c>
      <c r="G368" s="150">
        <v>379.83800000000002</v>
      </c>
      <c r="H368" s="150">
        <f t="shared" si="14"/>
        <v>379.83800000000002</v>
      </c>
      <c r="I368" s="150"/>
      <c r="J368" s="150">
        <v>378.63740000000001</v>
      </c>
      <c r="K368" s="150">
        <f t="shared" si="12"/>
        <v>1.2006000000000085</v>
      </c>
      <c r="L368" s="151">
        <f t="shared" si="13"/>
        <v>3.1708436620365779E-3</v>
      </c>
      <c r="M368" s="148"/>
    </row>
    <row r="369" spans="1:13" outlineLevel="3">
      <c r="A369" s="148" t="s">
        <v>126</v>
      </c>
      <c r="B369" s="148" t="s">
        <v>505</v>
      </c>
      <c r="C369" s="148" t="s">
        <v>131</v>
      </c>
      <c r="D369" s="148" t="s">
        <v>131</v>
      </c>
      <c r="E369" s="148" t="s">
        <v>507</v>
      </c>
      <c r="F369" s="149">
        <v>45901</v>
      </c>
      <c r="G369" s="150">
        <v>1215</v>
      </c>
      <c r="H369" s="150">
        <f t="shared" si="14"/>
        <v>1215</v>
      </c>
      <c r="I369" s="150"/>
      <c r="J369" s="150">
        <v>1241</v>
      </c>
      <c r="K369" s="150">
        <f t="shared" si="12"/>
        <v>-26</v>
      </c>
      <c r="L369" s="151">
        <f t="shared" si="13"/>
        <v>-2.0950846091861403E-2</v>
      </c>
      <c r="M369" s="148" t="s">
        <v>508</v>
      </c>
    </row>
    <row r="370" spans="1:13" outlineLevel="3">
      <c r="A370" s="148" t="s">
        <v>126</v>
      </c>
      <c r="B370" s="148" t="s">
        <v>505</v>
      </c>
      <c r="C370" s="148" t="s">
        <v>132</v>
      </c>
      <c r="D370" s="148" t="s">
        <v>132</v>
      </c>
      <c r="E370" s="148" t="s">
        <v>507</v>
      </c>
      <c r="F370" s="149">
        <v>45901</v>
      </c>
      <c r="G370" s="150">
        <v>3106.002</v>
      </c>
      <c r="H370" s="150">
        <f t="shared" si="14"/>
        <v>3106.002</v>
      </c>
      <c r="I370" s="150"/>
      <c r="J370" s="150">
        <v>3333.0025999999998</v>
      </c>
      <c r="K370" s="150">
        <f t="shared" si="12"/>
        <v>-227.00059999999985</v>
      </c>
      <c r="L370" s="151">
        <f t="shared" si="13"/>
        <v>-6.8106937570345694E-2</v>
      </c>
      <c r="M370" s="148" t="s">
        <v>509</v>
      </c>
    </row>
    <row r="371" spans="1:13" outlineLevel="2">
      <c r="A371" s="148"/>
      <c r="B371" s="173" t="s">
        <v>510</v>
      </c>
      <c r="C371" s="148"/>
      <c r="D371" s="148"/>
      <c r="E371" s="148"/>
      <c r="F371" s="149"/>
      <c r="G371" s="150">
        <f>SUBTOTAL(9,G367:G370)</f>
        <v>5987.24</v>
      </c>
      <c r="H371" s="150">
        <f>SUBTOTAL(9,H367:H370)</f>
        <v>5987.24</v>
      </c>
      <c r="I371" s="150">
        <f>SUBTOTAL(9,I367:I370)</f>
        <v>0</v>
      </c>
      <c r="J371" s="150">
        <f>SUBTOTAL(9,J367:J370)</f>
        <v>5934.24</v>
      </c>
      <c r="K371" s="150"/>
      <c r="L371" s="151"/>
      <c r="M371" s="148"/>
    </row>
    <row r="372" spans="1:13" outlineLevel="3">
      <c r="A372" s="148" t="s">
        <v>126</v>
      </c>
      <c r="B372" s="148" t="s">
        <v>511</v>
      </c>
      <c r="C372" s="148" t="s">
        <v>128</v>
      </c>
      <c r="D372" s="148" t="s">
        <v>128</v>
      </c>
      <c r="E372" s="148" t="s">
        <v>512</v>
      </c>
      <c r="F372" s="149">
        <v>45901</v>
      </c>
      <c r="G372" s="150">
        <v>1185</v>
      </c>
      <c r="H372" s="150">
        <f t="shared" si="14"/>
        <v>1185</v>
      </c>
      <c r="I372" s="150"/>
      <c r="J372" s="150">
        <v>1185</v>
      </c>
      <c r="K372" s="150">
        <f t="shared" si="12"/>
        <v>0</v>
      </c>
      <c r="L372" s="151">
        <f t="shared" si="13"/>
        <v>0</v>
      </c>
      <c r="M372" s="148"/>
    </row>
    <row r="373" spans="1:13" outlineLevel="3">
      <c r="A373" s="148" t="s">
        <v>126</v>
      </c>
      <c r="B373" s="148" t="s">
        <v>511</v>
      </c>
      <c r="C373" s="148" t="s">
        <v>132</v>
      </c>
      <c r="D373" s="148" t="s">
        <v>513</v>
      </c>
      <c r="E373" s="148" t="s">
        <v>514</v>
      </c>
      <c r="F373" s="149">
        <v>45901</v>
      </c>
      <c r="G373" s="150">
        <v>13068</v>
      </c>
      <c r="H373" s="150">
        <f t="shared" si="14"/>
        <v>13068</v>
      </c>
      <c r="I373" s="150"/>
      <c r="J373" s="150">
        <v>13068</v>
      </c>
      <c r="K373" s="150">
        <f t="shared" si="12"/>
        <v>0</v>
      </c>
      <c r="L373" s="151">
        <f t="shared" si="13"/>
        <v>0</v>
      </c>
      <c r="M373" s="148"/>
    </row>
    <row r="374" spans="1:13" outlineLevel="2">
      <c r="A374" s="148"/>
      <c r="B374" s="173" t="s">
        <v>515</v>
      </c>
      <c r="C374" s="148"/>
      <c r="D374" s="148"/>
      <c r="E374" s="148"/>
      <c r="F374" s="149"/>
      <c r="G374" s="150">
        <f>SUBTOTAL(9,G372:G373)</f>
        <v>14253</v>
      </c>
      <c r="H374" s="150">
        <f>SUBTOTAL(9,H372:H373)</f>
        <v>14253</v>
      </c>
      <c r="I374" s="150">
        <f>SUBTOTAL(9,I372:I373)</f>
        <v>0</v>
      </c>
      <c r="J374" s="150">
        <f>SUBTOTAL(9,J372:J373)</f>
        <v>14253</v>
      </c>
      <c r="K374" s="150"/>
      <c r="L374" s="151"/>
      <c r="M374" s="148"/>
    </row>
    <row r="375" spans="1:13" outlineLevel="3">
      <c r="A375" s="148" t="s">
        <v>126</v>
      </c>
      <c r="B375" s="148" t="s">
        <v>516</v>
      </c>
      <c r="C375" s="148" t="s">
        <v>135</v>
      </c>
      <c r="D375" s="148" t="s">
        <v>517</v>
      </c>
      <c r="E375" s="148" t="s">
        <v>518</v>
      </c>
      <c r="F375" s="149">
        <v>45915</v>
      </c>
      <c r="G375" s="150">
        <v>177.125</v>
      </c>
      <c r="H375" s="150">
        <f t="shared" si="14"/>
        <v>177.125</v>
      </c>
      <c r="I375" s="150"/>
      <c r="J375" s="150">
        <v>177.125</v>
      </c>
      <c r="K375" s="150">
        <f t="shared" si="12"/>
        <v>0</v>
      </c>
      <c r="L375" s="151">
        <f t="shared" si="13"/>
        <v>0</v>
      </c>
      <c r="M375" s="148"/>
    </row>
    <row r="376" spans="1:13" outlineLevel="3">
      <c r="A376" s="148" t="s">
        <v>126</v>
      </c>
      <c r="B376" s="148" t="s">
        <v>516</v>
      </c>
      <c r="C376" s="148" t="s">
        <v>139</v>
      </c>
      <c r="D376" s="148" t="s">
        <v>519</v>
      </c>
      <c r="E376" s="148" t="s">
        <v>518</v>
      </c>
      <c r="F376" s="149">
        <v>45915</v>
      </c>
      <c r="G376" s="150">
        <v>3432</v>
      </c>
      <c r="H376" s="150">
        <f t="shared" si="14"/>
        <v>3432</v>
      </c>
      <c r="I376" s="150"/>
      <c r="J376" s="150">
        <v>3388</v>
      </c>
      <c r="K376" s="150">
        <f t="shared" si="12"/>
        <v>44</v>
      </c>
      <c r="L376" s="151">
        <f t="shared" si="13"/>
        <v>1.2987012987012988E-2</v>
      </c>
      <c r="M376" s="148"/>
    </row>
    <row r="377" spans="1:13" outlineLevel="3">
      <c r="A377" s="148" t="s">
        <v>126</v>
      </c>
      <c r="B377" s="148" t="s">
        <v>516</v>
      </c>
      <c r="C377" s="148" t="s">
        <v>128</v>
      </c>
      <c r="D377" s="148" t="s">
        <v>128</v>
      </c>
      <c r="E377" s="148" t="s">
        <v>518</v>
      </c>
      <c r="F377" s="149">
        <v>45915</v>
      </c>
      <c r="G377" s="150">
        <v>623</v>
      </c>
      <c r="H377" s="150">
        <f t="shared" si="14"/>
        <v>623</v>
      </c>
      <c r="I377" s="150"/>
      <c r="J377" s="150">
        <v>619</v>
      </c>
      <c r="K377" s="150">
        <f t="shared" si="12"/>
        <v>4</v>
      </c>
      <c r="L377" s="151">
        <f t="shared" si="13"/>
        <v>6.462035541195477E-3</v>
      </c>
      <c r="M377" s="148"/>
    </row>
    <row r="378" spans="1:13" outlineLevel="3">
      <c r="A378" s="148" t="s">
        <v>126</v>
      </c>
      <c r="B378" s="148" t="s">
        <v>516</v>
      </c>
      <c r="C378" s="148" t="s">
        <v>131</v>
      </c>
      <c r="D378" s="148" t="s">
        <v>131</v>
      </c>
      <c r="E378" s="148" t="s">
        <v>518</v>
      </c>
      <c r="F378" s="149">
        <v>45915</v>
      </c>
      <c r="G378" s="150">
        <v>744</v>
      </c>
      <c r="H378" s="150">
        <f t="shared" si="14"/>
        <v>744</v>
      </c>
      <c r="I378" s="150"/>
      <c r="J378" s="150">
        <v>654</v>
      </c>
      <c r="K378" s="150">
        <f t="shared" si="12"/>
        <v>90</v>
      </c>
      <c r="L378" s="151">
        <f t="shared" si="13"/>
        <v>0.13761467889908258</v>
      </c>
      <c r="M378" s="148"/>
    </row>
    <row r="379" spans="1:13" outlineLevel="3">
      <c r="A379" s="148" t="s">
        <v>126</v>
      </c>
      <c r="B379" s="148" t="s">
        <v>516</v>
      </c>
      <c r="C379" s="148" t="s">
        <v>132</v>
      </c>
      <c r="D379" s="148" t="s">
        <v>132</v>
      </c>
      <c r="E379" s="148" t="s">
        <v>518</v>
      </c>
      <c r="F379" s="149">
        <v>45915</v>
      </c>
      <c r="G379" s="150">
        <v>7951.5050000000001</v>
      </c>
      <c r="H379" s="150">
        <f t="shared" si="14"/>
        <v>7951.5050000000001</v>
      </c>
      <c r="I379" s="150"/>
      <c r="J379" s="150">
        <v>7951.5050000000001</v>
      </c>
      <c r="K379" s="150">
        <f t="shared" si="12"/>
        <v>0</v>
      </c>
      <c r="L379" s="151">
        <f t="shared" si="13"/>
        <v>0</v>
      </c>
      <c r="M379" s="148"/>
    </row>
    <row r="380" spans="1:13" outlineLevel="2">
      <c r="A380" s="148"/>
      <c r="B380" s="173" t="s">
        <v>520</v>
      </c>
      <c r="C380" s="148"/>
      <c r="D380" s="148"/>
      <c r="E380" s="148"/>
      <c r="F380" s="149"/>
      <c r="G380" s="150">
        <f>SUBTOTAL(9,G375:G379)</f>
        <v>12927.630000000001</v>
      </c>
      <c r="H380" s="150">
        <f>SUBTOTAL(9,H375:H379)</f>
        <v>12927.630000000001</v>
      </c>
      <c r="I380" s="150">
        <f>SUBTOTAL(9,I375:I379)</f>
        <v>0</v>
      </c>
      <c r="J380" s="150">
        <f>SUBTOTAL(9,J375:J379)</f>
        <v>12789.630000000001</v>
      </c>
      <c r="K380" s="150"/>
      <c r="L380" s="151"/>
      <c r="M380" s="148"/>
    </row>
    <row r="381" spans="1:13" outlineLevel="3">
      <c r="A381" s="148" t="s">
        <v>126</v>
      </c>
      <c r="B381" s="148" t="s">
        <v>521</v>
      </c>
      <c r="C381" s="148" t="s">
        <v>139</v>
      </c>
      <c r="D381" s="148" t="s">
        <v>522</v>
      </c>
      <c r="E381" s="148" t="s">
        <v>523</v>
      </c>
      <c r="F381" s="149">
        <v>45901</v>
      </c>
      <c r="G381" s="150">
        <v>1768.8</v>
      </c>
      <c r="H381" s="150">
        <f t="shared" si="14"/>
        <v>1768.8</v>
      </c>
      <c r="I381" s="150"/>
      <c r="J381" s="150">
        <v>1478.4</v>
      </c>
      <c r="K381" s="150">
        <f t="shared" si="12"/>
        <v>290.39999999999986</v>
      </c>
      <c r="L381" s="151">
        <f t="shared" si="13"/>
        <v>0.19642857142857131</v>
      </c>
      <c r="M381" s="148"/>
    </row>
    <row r="382" spans="1:13" outlineLevel="3">
      <c r="A382" s="148" t="s">
        <v>126</v>
      </c>
      <c r="B382" s="148" t="s">
        <v>521</v>
      </c>
      <c r="C382" s="148" t="s">
        <v>128</v>
      </c>
      <c r="D382" s="148" t="s">
        <v>129</v>
      </c>
      <c r="E382" s="148" t="s">
        <v>524</v>
      </c>
      <c r="F382" s="149">
        <v>45901</v>
      </c>
      <c r="G382" s="150">
        <v>248</v>
      </c>
      <c r="H382" s="150">
        <f t="shared" si="14"/>
        <v>248</v>
      </c>
      <c r="I382" s="150"/>
      <c r="J382" s="150">
        <v>276</v>
      </c>
      <c r="K382" s="150">
        <f t="shared" si="12"/>
        <v>-28</v>
      </c>
      <c r="L382" s="151">
        <f t="shared" si="13"/>
        <v>-0.10144927536231885</v>
      </c>
      <c r="M382" s="148" t="s">
        <v>320</v>
      </c>
    </row>
    <row r="383" spans="1:13" outlineLevel="3">
      <c r="A383" s="148" t="s">
        <v>126</v>
      </c>
      <c r="B383" s="148" t="s">
        <v>521</v>
      </c>
      <c r="C383" s="148" t="s">
        <v>131</v>
      </c>
      <c r="D383" s="148" t="s">
        <v>155</v>
      </c>
      <c r="E383" s="148" t="s">
        <v>524</v>
      </c>
      <c r="F383" s="149">
        <v>45901</v>
      </c>
      <c r="G383" s="150">
        <v>1839</v>
      </c>
      <c r="H383" s="150">
        <f t="shared" si="14"/>
        <v>1839</v>
      </c>
      <c r="I383" s="150"/>
      <c r="J383" s="150">
        <v>1861</v>
      </c>
      <c r="K383" s="150">
        <f t="shared" si="12"/>
        <v>-22</v>
      </c>
      <c r="L383" s="151">
        <f t="shared" si="13"/>
        <v>-1.1821601289629231E-2</v>
      </c>
      <c r="M383" s="148" t="s">
        <v>508</v>
      </c>
    </row>
    <row r="384" spans="1:13" outlineLevel="3">
      <c r="A384" s="148" t="s">
        <v>126</v>
      </c>
      <c r="B384" s="148" t="s">
        <v>521</v>
      </c>
      <c r="C384" s="148" t="s">
        <v>132</v>
      </c>
      <c r="D384" s="148" t="s">
        <v>145</v>
      </c>
      <c r="E384" s="148" t="s">
        <v>524</v>
      </c>
      <c r="F384" s="149">
        <v>45901</v>
      </c>
      <c r="G384" s="150">
        <v>4196</v>
      </c>
      <c r="H384" s="150">
        <f t="shared" si="14"/>
        <v>4196</v>
      </c>
      <c r="I384" s="150"/>
      <c r="J384" s="150">
        <v>4616</v>
      </c>
      <c r="K384" s="150">
        <f t="shared" si="12"/>
        <v>-420</v>
      </c>
      <c r="L384" s="151">
        <f t="shared" si="13"/>
        <v>-9.0987868284228765E-2</v>
      </c>
      <c r="M384" s="148" t="s">
        <v>525</v>
      </c>
    </row>
    <row r="385" spans="1:13" outlineLevel="2">
      <c r="A385" s="148"/>
      <c r="B385" s="173" t="s">
        <v>526</v>
      </c>
      <c r="C385" s="148"/>
      <c r="D385" s="148"/>
      <c r="E385" s="148"/>
      <c r="F385" s="149"/>
      <c r="G385" s="150">
        <f>SUBTOTAL(9,G381:G384)</f>
        <v>8051.8</v>
      </c>
      <c r="H385" s="150">
        <f>SUBTOTAL(9,H381:H384)</f>
        <v>8051.8</v>
      </c>
      <c r="I385" s="150">
        <f>SUBTOTAL(9,I381:I384)</f>
        <v>0</v>
      </c>
      <c r="J385" s="150">
        <f>SUBTOTAL(9,J381:J384)</f>
        <v>8231.4</v>
      </c>
      <c r="K385" s="150"/>
      <c r="L385" s="151"/>
      <c r="M385" s="148"/>
    </row>
    <row r="386" spans="1:13" outlineLevel="3">
      <c r="A386" s="148" t="s">
        <v>126</v>
      </c>
      <c r="B386" s="148" t="s">
        <v>527</v>
      </c>
      <c r="C386" s="148" t="s">
        <v>139</v>
      </c>
      <c r="D386" s="148" t="s">
        <v>506</v>
      </c>
      <c r="E386" s="148" t="s">
        <v>528</v>
      </c>
      <c r="F386" s="149">
        <v>45901</v>
      </c>
      <c r="G386" s="150">
        <v>316.8</v>
      </c>
      <c r="H386" s="150">
        <f t="shared" si="14"/>
        <v>316.8</v>
      </c>
      <c r="I386" s="150"/>
      <c r="J386" s="150">
        <v>316.8</v>
      </c>
      <c r="K386" s="150">
        <f t="shared" si="12"/>
        <v>0</v>
      </c>
      <c r="L386" s="151">
        <f t="shared" si="13"/>
        <v>0</v>
      </c>
      <c r="M386" s="148"/>
    </row>
    <row r="387" spans="1:13" outlineLevel="2">
      <c r="A387" s="148"/>
      <c r="B387" s="173" t="s">
        <v>529</v>
      </c>
      <c r="C387" s="148"/>
      <c r="D387" s="148"/>
      <c r="E387" s="148"/>
      <c r="F387" s="149"/>
      <c r="G387" s="150">
        <f>SUBTOTAL(9,G386:G386)</f>
        <v>316.8</v>
      </c>
      <c r="H387" s="150">
        <f>SUBTOTAL(9,H386:H386)</f>
        <v>316.8</v>
      </c>
      <c r="I387" s="150">
        <f>SUBTOTAL(9,I386:I386)</f>
        <v>0</v>
      </c>
      <c r="J387" s="150">
        <f>SUBTOTAL(9,J386:J386)</f>
        <v>316.8</v>
      </c>
      <c r="K387" s="150"/>
      <c r="L387" s="151"/>
      <c r="M387" s="148"/>
    </row>
    <row r="388" spans="1:13" outlineLevel="3">
      <c r="A388" s="148" t="s">
        <v>126</v>
      </c>
      <c r="B388" s="148" t="s">
        <v>530</v>
      </c>
      <c r="C388" s="148" t="s">
        <v>128</v>
      </c>
      <c r="D388" s="148" t="s">
        <v>128</v>
      </c>
      <c r="E388" s="148" t="s">
        <v>531</v>
      </c>
      <c r="F388" s="149">
        <v>45915</v>
      </c>
      <c r="G388" s="150">
        <v>0</v>
      </c>
      <c r="H388" s="150">
        <f t="shared" si="14"/>
        <v>0</v>
      </c>
      <c r="I388" s="150"/>
      <c r="J388" s="150">
        <v>0</v>
      </c>
      <c r="K388" s="150">
        <f t="shared" si="12"/>
        <v>0</v>
      </c>
      <c r="L388" s="151"/>
      <c r="M388" s="148"/>
    </row>
    <row r="389" spans="1:13" outlineLevel="3">
      <c r="A389" s="148" t="s">
        <v>126</v>
      </c>
      <c r="B389" s="148" t="s">
        <v>530</v>
      </c>
      <c r="C389" s="148" t="s">
        <v>131</v>
      </c>
      <c r="D389" s="148" t="s">
        <v>131</v>
      </c>
      <c r="E389" s="148" t="s">
        <v>531</v>
      </c>
      <c r="F389" s="149">
        <v>45915</v>
      </c>
      <c r="G389" s="150">
        <v>77</v>
      </c>
      <c r="H389" s="150">
        <f t="shared" si="14"/>
        <v>77</v>
      </c>
      <c r="I389" s="150"/>
      <c r="J389" s="150">
        <v>77</v>
      </c>
      <c r="K389" s="150">
        <f t="shared" si="12"/>
        <v>0</v>
      </c>
      <c r="L389" s="151">
        <f t="shared" si="13"/>
        <v>0</v>
      </c>
      <c r="M389" s="148"/>
    </row>
    <row r="390" spans="1:13" outlineLevel="3">
      <c r="A390" s="148" t="s">
        <v>126</v>
      </c>
      <c r="B390" s="148" t="s">
        <v>530</v>
      </c>
      <c r="C390" s="148" t="s">
        <v>132</v>
      </c>
      <c r="D390" s="148" t="s">
        <v>132</v>
      </c>
      <c r="E390" s="148" t="s">
        <v>531</v>
      </c>
      <c r="F390" s="149">
        <v>45915</v>
      </c>
      <c r="G390" s="150">
        <v>1338.75</v>
      </c>
      <c r="H390" s="150">
        <f t="shared" si="14"/>
        <v>1338.75</v>
      </c>
      <c r="I390" s="150"/>
      <c r="J390" s="150">
        <v>1338.75</v>
      </c>
      <c r="K390" s="150">
        <f t="shared" si="12"/>
        <v>0</v>
      </c>
      <c r="L390" s="151">
        <f t="shared" si="13"/>
        <v>0</v>
      </c>
      <c r="M390" s="148"/>
    </row>
    <row r="391" spans="1:13" outlineLevel="2">
      <c r="A391" s="148"/>
      <c r="B391" s="173" t="s">
        <v>532</v>
      </c>
      <c r="C391" s="148"/>
      <c r="D391" s="148"/>
      <c r="E391" s="148"/>
      <c r="F391" s="149"/>
      <c r="G391" s="150">
        <f>SUBTOTAL(9,G388:G390)</f>
        <v>1415.75</v>
      </c>
      <c r="H391" s="150">
        <f>SUBTOTAL(9,H388:H390)</f>
        <v>1415.75</v>
      </c>
      <c r="I391" s="150">
        <f>SUBTOTAL(9,I388:I390)</f>
        <v>0</v>
      </c>
      <c r="J391" s="150">
        <f>SUBTOTAL(9,J388:J390)</f>
        <v>1415.75</v>
      </c>
      <c r="K391" s="150"/>
      <c r="L391" s="151"/>
      <c r="M391" s="148"/>
    </row>
    <row r="392" spans="1:13" outlineLevel="3">
      <c r="A392" s="148" t="s">
        <v>126</v>
      </c>
      <c r="B392" s="148" t="s">
        <v>533</v>
      </c>
      <c r="C392" s="148" t="s">
        <v>131</v>
      </c>
      <c r="D392" s="148" t="s">
        <v>131</v>
      </c>
      <c r="E392" s="148" t="s">
        <v>534</v>
      </c>
      <c r="F392" s="149">
        <v>45901</v>
      </c>
      <c r="G392" s="150">
        <v>5381.56</v>
      </c>
      <c r="H392" s="150">
        <f t="shared" si="14"/>
        <v>5381.56</v>
      </c>
      <c r="I392" s="150"/>
      <c r="J392" s="150">
        <v>5369.92</v>
      </c>
      <c r="K392" s="150">
        <f t="shared" si="12"/>
        <v>11.640000000000327</v>
      </c>
      <c r="L392" s="151">
        <f t="shared" si="13"/>
        <v>2.1676300578035291E-3</v>
      </c>
      <c r="M392" s="148"/>
    </row>
    <row r="393" spans="1:13" outlineLevel="3">
      <c r="A393" s="148" t="s">
        <v>126</v>
      </c>
      <c r="B393" s="148" t="s">
        <v>533</v>
      </c>
      <c r="C393" s="148" t="s">
        <v>132</v>
      </c>
      <c r="D393" s="148" t="s">
        <v>535</v>
      </c>
      <c r="E393" s="148" t="s">
        <v>536</v>
      </c>
      <c r="F393" s="149">
        <v>45901</v>
      </c>
      <c r="G393" s="150">
        <v>3125.14</v>
      </c>
      <c r="H393" s="150">
        <f t="shared" si="14"/>
        <v>3125.14</v>
      </c>
      <c r="I393" s="150"/>
      <c r="J393" s="150">
        <v>3125.14</v>
      </c>
      <c r="K393" s="150">
        <f t="shared" si="12"/>
        <v>0</v>
      </c>
      <c r="L393" s="151">
        <f t="shared" si="13"/>
        <v>0</v>
      </c>
      <c r="M393" s="148"/>
    </row>
    <row r="394" spans="1:13" outlineLevel="2">
      <c r="A394" s="148"/>
      <c r="B394" s="173" t="s">
        <v>537</v>
      </c>
      <c r="C394" s="148"/>
      <c r="D394" s="148"/>
      <c r="E394" s="148"/>
      <c r="F394" s="149"/>
      <c r="G394" s="150">
        <f>SUBTOTAL(9,G392:G393)</f>
        <v>8506.7000000000007</v>
      </c>
      <c r="H394" s="150">
        <f>SUBTOTAL(9,H392:H393)</f>
        <v>8506.7000000000007</v>
      </c>
      <c r="I394" s="150">
        <f>SUBTOTAL(9,I392:I393)</f>
        <v>0</v>
      </c>
      <c r="J394" s="150">
        <f>SUBTOTAL(9,J392:J393)</f>
        <v>8495.06</v>
      </c>
      <c r="K394" s="150"/>
      <c r="L394" s="151"/>
      <c r="M394" s="148"/>
    </row>
    <row r="395" spans="1:13" outlineLevel="3">
      <c r="A395" s="148" t="s">
        <v>126</v>
      </c>
      <c r="B395" s="148" t="s">
        <v>538</v>
      </c>
      <c r="C395" s="148" t="s">
        <v>135</v>
      </c>
      <c r="D395" s="148" t="s">
        <v>135</v>
      </c>
      <c r="E395" s="148" t="s">
        <v>539</v>
      </c>
      <c r="F395" s="149">
        <v>45901</v>
      </c>
      <c r="G395" s="150">
        <v>586</v>
      </c>
      <c r="H395" s="150">
        <f t="shared" si="14"/>
        <v>586</v>
      </c>
      <c r="I395" s="150"/>
      <c r="J395" s="150">
        <v>586</v>
      </c>
      <c r="K395" s="150">
        <f t="shared" si="12"/>
        <v>0</v>
      </c>
      <c r="L395" s="151">
        <f t="shared" si="13"/>
        <v>0</v>
      </c>
      <c r="M395" s="148"/>
    </row>
    <row r="396" spans="1:13" outlineLevel="3">
      <c r="A396" s="148" t="s">
        <v>126</v>
      </c>
      <c r="B396" s="148" t="s">
        <v>538</v>
      </c>
      <c r="C396" s="148" t="s">
        <v>139</v>
      </c>
      <c r="D396" s="148" t="s">
        <v>540</v>
      </c>
      <c r="E396" s="148" t="s">
        <v>539</v>
      </c>
      <c r="F396" s="149">
        <v>45901</v>
      </c>
      <c r="G396" s="150">
        <v>130.5</v>
      </c>
      <c r="H396" s="150">
        <f t="shared" si="14"/>
        <v>130.5</v>
      </c>
      <c r="I396" s="150"/>
      <c r="J396" s="150">
        <v>130.5</v>
      </c>
      <c r="K396" s="150">
        <f t="shared" ref="K396:K476" si="15">+H396-J396</f>
        <v>0</v>
      </c>
      <c r="L396" s="151">
        <f t="shared" ref="L396:L476" si="16">K396/J396</f>
        <v>0</v>
      </c>
      <c r="M396" s="148"/>
    </row>
    <row r="397" spans="1:13" outlineLevel="3">
      <c r="A397" s="148" t="s">
        <v>126</v>
      </c>
      <c r="B397" s="148" t="s">
        <v>538</v>
      </c>
      <c r="C397" s="148" t="s">
        <v>128</v>
      </c>
      <c r="D397" s="148" t="s">
        <v>128</v>
      </c>
      <c r="E397" s="148" t="s">
        <v>539</v>
      </c>
      <c r="F397" s="149">
        <v>45901</v>
      </c>
      <c r="G397" s="150">
        <v>22.5</v>
      </c>
      <c r="H397" s="150">
        <f t="shared" si="14"/>
        <v>22.5</v>
      </c>
      <c r="I397" s="150"/>
      <c r="J397" s="150">
        <v>22.5</v>
      </c>
      <c r="K397" s="150">
        <f t="shared" si="15"/>
        <v>0</v>
      </c>
      <c r="L397" s="151">
        <f t="shared" si="16"/>
        <v>0</v>
      </c>
      <c r="M397" s="148"/>
    </row>
    <row r="398" spans="1:13" outlineLevel="3">
      <c r="A398" s="148" t="s">
        <v>126</v>
      </c>
      <c r="B398" s="148" t="s">
        <v>538</v>
      </c>
      <c r="C398" s="148" t="s">
        <v>131</v>
      </c>
      <c r="D398" s="148" t="s">
        <v>131</v>
      </c>
      <c r="E398" s="148" t="s">
        <v>539</v>
      </c>
      <c r="F398" s="149">
        <v>45901</v>
      </c>
      <c r="G398" s="150">
        <v>513.53</v>
      </c>
      <c r="H398" s="150">
        <f t="shared" si="14"/>
        <v>513.53</v>
      </c>
      <c r="I398" s="150"/>
      <c r="J398" s="150">
        <v>513.53</v>
      </c>
      <c r="K398" s="150">
        <f t="shared" si="15"/>
        <v>0</v>
      </c>
      <c r="L398" s="151">
        <f t="shared" si="16"/>
        <v>0</v>
      </c>
      <c r="M398" s="148"/>
    </row>
    <row r="399" spans="1:13" outlineLevel="3">
      <c r="A399" s="148" t="s">
        <v>126</v>
      </c>
      <c r="B399" s="148" t="s">
        <v>538</v>
      </c>
      <c r="C399" s="148" t="s">
        <v>132</v>
      </c>
      <c r="D399" s="148" t="s">
        <v>541</v>
      </c>
      <c r="E399" s="148" t="s">
        <v>539</v>
      </c>
      <c r="F399" s="149">
        <v>45901</v>
      </c>
      <c r="G399" s="150">
        <v>1579.52</v>
      </c>
      <c r="H399" s="150">
        <f t="shared" si="14"/>
        <v>1579.52</v>
      </c>
      <c r="I399" s="150"/>
      <c r="J399" s="150">
        <v>1579.52</v>
      </c>
      <c r="K399" s="150">
        <f t="shared" si="15"/>
        <v>0</v>
      </c>
      <c r="L399" s="151">
        <f t="shared" si="16"/>
        <v>0</v>
      </c>
      <c r="M399" s="148"/>
    </row>
    <row r="400" spans="1:13" outlineLevel="2">
      <c r="A400" s="148"/>
      <c r="B400" s="173" t="s">
        <v>542</v>
      </c>
      <c r="C400" s="148"/>
      <c r="D400" s="148"/>
      <c r="E400" s="148"/>
      <c r="F400" s="149"/>
      <c r="G400" s="150">
        <f>SUBTOTAL(9,G395:G399)</f>
        <v>2832.05</v>
      </c>
      <c r="H400" s="150">
        <f>SUBTOTAL(9,H395:H399)</f>
        <v>2832.05</v>
      </c>
      <c r="I400" s="150">
        <f>SUBTOTAL(9,I395:I399)</f>
        <v>0</v>
      </c>
      <c r="J400" s="150">
        <f>SUBTOTAL(9,J395:J399)</f>
        <v>2832.05</v>
      </c>
      <c r="K400" s="150"/>
      <c r="L400" s="151"/>
      <c r="M400" s="148"/>
    </row>
    <row r="401" spans="1:13" outlineLevel="3">
      <c r="A401" s="148" t="s">
        <v>126</v>
      </c>
      <c r="B401" s="148" t="s">
        <v>543</v>
      </c>
      <c r="C401" s="148" t="s">
        <v>139</v>
      </c>
      <c r="D401" s="148" t="s">
        <v>544</v>
      </c>
      <c r="E401" s="148" t="s">
        <v>545</v>
      </c>
      <c r="F401" s="149">
        <v>45901</v>
      </c>
      <c r="G401" s="150">
        <v>792</v>
      </c>
      <c r="H401" s="150">
        <f t="shared" si="14"/>
        <v>792</v>
      </c>
      <c r="I401" s="150"/>
      <c r="J401" s="150">
        <v>792</v>
      </c>
      <c r="K401" s="150">
        <f t="shared" si="15"/>
        <v>0</v>
      </c>
      <c r="L401" s="151">
        <f t="shared" si="16"/>
        <v>0</v>
      </c>
      <c r="M401" s="148"/>
    </row>
    <row r="402" spans="1:13" outlineLevel="3">
      <c r="A402" s="148" t="s">
        <v>126</v>
      </c>
      <c r="B402" s="148" t="s">
        <v>543</v>
      </c>
      <c r="C402" s="148" t="s">
        <v>128</v>
      </c>
      <c r="D402" s="148" t="s">
        <v>128</v>
      </c>
      <c r="E402" s="148" t="s">
        <v>546</v>
      </c>
      <c r="F402" s="149">
        <v>45901</v>
      </c>
      <c r="G402" s="150">
        <v>365.30419999999998</v>
      </c>
      <c r="H402" s="150">
        <f t="shared" si="14"/>
        <v>365.30419999999998</v>
      </c>
      <c r="I402" s="150"/>
      <c r="J402" s="150">
        <v>361.62279999999998</v>
      </c>
      <c r="K402" s="150">
        <f t="shared" si="15"/>
        <v>3.6813999999999965</v>
      </c>
      <c r="L402" s="151">
        <f t="shared" si="16"/>
        <v>1.0180220937396636E-2</v>
      </c>
      <c r="M402" s="148"/>
    </row>
    <row r="403" spans="1:13" outlineLevel="3">
      <c r="A403" s="148" t="s">
        <v>126</v>
      </c>
      <c r="B403" s="148" t="s">
        <v>543</v>
      </c>
      <c r="C403" s="148" t="s">
        <v>131</v>
      </c>
      <c r="D403" s="148" t="s">
        <v>131</v>
      </c>
      <c r="E403" s="148" t="s">
        <v>546</v>
      </c>
      <c r="F403" s="149">
        <v>45901</v>
      </c>
      <c r="G403" s="150">
        <v>1019.5</v>
      </c>
      <c r="H403" s="150">
        <f t="shared" si="14"/>
        <v>1019.5</v>
      </c>
      <c r="I403" s="150"/>
      <c r="J403" s="150">
        <v>1012.5</v>
      </c>
      <c r="K403" s="150">
        <f t="shared" si="15"/>
        <v>7</v>
      </c>
      <c r="L403" s="151">
        <f t="shared" si="16"/>
        <v>6.9135802469135806E-3</v>
      </c>
      <c r="M403" s="148"/>
    </row>
    <row r="404" spans="1:13" outlineLevel="3">
      <c r="A404" s="148" t="s">
        <v>126</v>
      </c>
      <c r="B404" s="148" t="s">
        <v>543</v>
      </c>
      <c r="C404" s="148" t="s">
        <v>132</v>
      </c>
      <c r="D404" s="148" t="s">
        <v>132</v>
      </c>
      <c r="E404" s="148" t="s">
        <v>546</v>
      </c>
      <c r="F404" s="149">
        <v>45901</v>
      </c>
      <c r="G404" s="150">
        <v>1790</v>
      </c>
      <c r="H404" s="150">
        <f t="shared" ref="H404:H485" si="17">+G404</f>
        <v>1790</v>
      </c>
      <c r="I404" s="150"/>
      <c r="J404" s="150">
        <v>1700</v>
      </c>
      <c r="K404" s="150">
        <f t="shared" si="15"/>
        <v>90</v>
      </c>
      <c r="L404" s="151">
        <f t="shared" si="16"/>
        <v>5.2941176470588235E-2</v>
      </c>
      <c r="M404" s="148"/>
    </row>
    <row r="405" spans="1:13" outlineLevel="2">
      <c r="A405" s="148"/>
      <c r="B405" s="173" t="s">
        <v>547</v>
      </c>
      <c r="C405" s="148"/>
      <c r="D405" s="148"/>
      <c r="E405" s="148"/>
      <c r="F405" s="149"/>
      <c r="G405" s="150">
        <f>SUBTOTAL(9,G401:G404)</f>
        <v>3966.8042</v>
      </c>
      <c r="H405" s="150">
        <f>SUBTOTAL(9,H401:H404)</f>
        <v>3966.8042</v>
      </c>
      <c r="I405" s="150">
        <f>SUBTOTAL(9,I401:I404)</f>
        <v>0</v>
      </c>
      <c r="J405" s="150">
        <f>SUBTOTAL(9,J401:J404)</f>
        <v>3866.1228000000001</v>
      </c>
      <c r="K405" s="150"/>
      <c r="L405" s="151"/>
      <c r="M405" s="148"/>
    </row>
    <row r="406" spans="1:13" outlineLevel="3">
      <c r="A406" s="148" t="s">
        <v>126</v>
      </c>
      <c r="B406" s="148" t="s">
        <v>548</v>
      </c>
      <c r="C406" s="148" t="s">
        <v>139</v>
      </c>
      <c r="D406" s="148" t="s">
        <v>273</v>
      </c>
      <c r="E406" s="148" t="s">
        <v>549</v>
      </c>
      <c r="F406" s="149">
        <v>45915</v>
      </c>
      <c r="G406" s="150">
        <v>415.2</v>
      </c>
      <c r="H406" s="150">
        <f t="shared" si="17"/>
        <v>415.2</v>
      </c>
      <c r="I406" s="150"/>
      <c r="J406" s="150">
        <v>415.2</v>
      </c>
      <c r="K406" s="150">
        <f t="shared" si="15"/>
        <v>0</v>
      </c>
      <c r="L406" s="151">
        <f t="shared" si="16"/>
        <v>0</v>
      </c>
      <c r="M406" s="148"/>
    </row>
    <row r="407" spans="1:13" outlineLevel="3">
      <c r="A407" s="148" t="s">
        <v>126</v>
      </c>
      <c r="B407" s="148" t="s">
        <v>548</v>
      </c>
      <c r="C407" s="148" t="s">
        <v>128</v>
      </c>
      <c r="D407" s="148" t="s">
        <v>128</v>
      </c>
      <c r="E407" s="148" t="s">
        <v>549</v>
      </c>
      <c r="F407" s="149">
        <v>45915</v>
      </c>
      <c r="G407" s="150">
        <v>45</v>
      </c>
      <c r="H407" s="150">
        <f t="shared" si="17"/>
        <v>45</v>
      </c>
      <c r="I407" s="150"/>
      <c r="J407" s="150">
        <v>45</v>
      </c>
      <c r="K407" s="150">
        <f t="shared" si="15"/>
        <v>0</v>
      </c>
      <c r="L407" s="151">
        <f t="shared" si="16"/>
        <v>0</v>
      </c>
      <c r="M407" s="148"/>
    </row>
    <row r="408" spans="1:13" outlineLevel="3">
      <c r="A408" s="148" t="s">
        <v>126</v>
      </c>
      <c r="B408" s="148" t="s">
        <v>548</v>
      </c>
      <c r="C408" s="148" t="s">
        <v>131</v>
      </c>
      <c r="D408" s="148" t="s">
        <v>131</v>
      </c>
      <c r="E408" s="148" t="s">
        <v>549</v>
      </c>
      <c r="F408" s="149">
        <v>45915</v>
      </c>
      <c r="G408" s="150">
        <v>153.25</v>
      </c>
      <c r="H408" s="150">
        <f t="shared" si="17"/>
        <v>153.25</v>
      </c>
      <c r="I408" s="150"/>
      <c r="J408" s="150">
        <v>174.25</v>
      </c>
      <c r="K408" s="150">
        <f t="shared" si="15"/>
        <v>-21</v>
      </c>
      <c r="L408" s="151">
        <f t="shared" si="16"/>
        <v>-0.12051649928263988</v>
      </c>
      <c r="M408" s="148" t="s">
        <v>177</v>
      </c>
    </row>
    <row r="409" spans="1:13" outlineLevel="3">
      <c r="A409" s="148" t="s">
        <v>126</v>
      </c>
      <c r="B409" s="148" t="s">
        <v>548</v>
      </c>
      <c r="C409" s="148" t="s">
        <v>132</v>
      </c>
      <c r="D409" s="148" t="s">
        <v>550</v>
      </c>
      <c r="E409" s="148" t="s">
        <v>549</v>
      </c>
      <c r="F409" s="149">
        <v>45915</v>
      </c>
      <c r="G409" s="150">
        <v>843.6</v>
      </c>
      <c r="H409" s="150">
        <f t="shared" si="17"/>
        <v>843.6</v>
      </c>
      <c r="I409" s="150"/>
      <c r="J409" s="150">
        <v>819</v>
      </c>
      <c r="K409" s="150">
        <f t="shared" si="15"/>
        <v>24.600000000000023</v>
      </c>
      <c r="L409" s="151">
        <f t="shared" si="16"/>
        <v>3.0036630036630065E-2</v>
      </c>
      <c r="M409" s="148"/>
    </row>
    <row r="410" spans="1:13" outlineLevel="2">
      <c r="A410" s="148"/>
      <c r="B410" s="173" t="s">
        <v>551</v>
      </c>
      <c r="C410" s="148"/>
      <c r="D410" s="148"/>
      <c r="E410" s="148"/>
      <c r="F410" s="149"/>
      <c r="G410" s="150">
        <f>SUBTOTAL(9,G406:G409)</f>
        <v>1457.0500000000002</v>
      </c>
      <c r="H410" s="150">
        <f>SUBTOTAL(9,H406:H409)</f>
        <v>1457.0500000000002</v>
      </c>
      <c r="I410" s="150">
        <f>SUBTOTAL(9,I406:I409)</f>
        <v>0</v>
      </c>
      <c r="J410" s="150">
        <f>SUBTOTAL(9,J406:J409)</f>
        <v>1453.45</v>
      </c>
      <c r="K410" s="150"/>
      <c r="L410" s="151"/>
      <c r="M410" s="148"/>
    </row>
    <row r="411" spans="1:13" outlineLevel="3">
      <c r="A411" s="148" t="s">
        <v>126</v>
      </c>
      <c r="B411" s="148" t="s">
        <v>552</v>
      </c>
      <c r="C411" s="148" t="s">
        <v>135</v>
      </c>
      <c r="D411" s="148" t="s">
        <v>354</v>
      </c>
      <c r="E411" s="148" t="s">
        <v>553</v>
      </c>
      <c r="F411" s="149">
        <v>45901</v>
      </c>
      <c r="G411" s="150">
        <v>600</v>
      </c>
      <c r="H411" s="150">
        <f t="shared" si="17"/>
        <v>600</v>
      </c>
      <c r="I411" s="150"/>
      <c r="J411" s="150">
        <v>600</v>
      </c>
      <c r="K411" s="150">
        <f t="shared" si="15"/>
        <v>0</v>
      </c>
      <c r="L411" s="151">
        <f t="shared" si="16"/>
        <v>0</v>
      </c>
      <c r="M411" s="148"/>
    </row>
    <row r="412" spans="1:13" outlineLevel="3">
      <c r="A412" s="148" t="s">
        <v>126</v>
      </c>
      <c r="B412" s="148" t="s">
        <v>552</v>
      </c>
      <c r="C412" s="148" t="s">
        <v>139</v>
      </c>
      <c r="D412" s="148" t="s">
        <v>273</v>
      </c>
      <c r="E412" s="148" t="s">
        <v>553</v>
      </c>
      <c r="F412" s="149">
        <v>45901</v>
      </c>
      <c r="G412" s="150">
        <v>24.9</v>
      </c>
      <c r="H412" s="150">
        <f t="shared" si="17"/>
        <v>24.9</v>
      </c>
      <c r="I412" s="150"/>
      <c r="J412" s="150">
        <v>24.9</v>
      </c>
      <c r="K412" s="150">
        <f t="shared" si="15"/>
        <v>0</v>
      </c>
      <c r="L412" s="151">
        <f t="shared" si="16"/>
        <v>0</v>
      </c>
      <c r="M412" s="148"/>
    </row>
    <row r="413" spans="1:13" outlineLevel="3">
      <c r="A413" s="148" t="s">
        <v>126</v>
      </c>
      <c r="B413" s="148" t="s">
        <v>552</v>
      </c>
      <c r="C413" s="148" t="s">
        <v>128</v>
      </c>
      <c r="D413" s="148" t="s">
        <v>128</v>
      </c>
      <c r="E413" s="148" t="s">
        <v>553</v>
      </c>
      <c r="F413" s="149">
        <v>45901</v>
      </c>
      <c r="G413" s="150">
        <v>50</v>
      </c>
      <c r="H413" s="150">
        <f t="shared" si="17"/>
        <v>50</v>
      </c>
      <c r="I413" s="150"/>
      <c r="J413" s="150">
        <v>50</v>
      </c>
      <c r="K413" s="150">
        <f t="shared" si="15"/>
        <v>0</v>
      </c>
      <c r="L413" s="151">
        <f t="shared" si="16"/>
        <v>0</v>
      </c>
      <c r="M413" s="148"/>
    </row>
    <row r="414" spans="1:13" outlineLevel="3">
      <c r="A414" s="148" t="s">
        <v>126</v>
      </c>
      <c r="B414" s="148" t="s">
        <v>552</v>
      </c>
      <c r="C414" s="148" t="s">
        <v>131</v>
      </c>
      <c r="D414" s="148" t="s">
        <v>131</v>
      </c>
      <c r="E414" s="148" t="s">
        <v>553</v>
      </c>
      <c r="F414" s="149">
        <v>45901</v>
      </c>
      <c r="G414" s="150">
        <v>1398.09</v>
      </c>
      <c r="H414" s="150">
        <f t="shared" si="17"/>
        <v>1398.09</v>
      </c>
      <c r="I414" s="150"/>
      <c r="J414" s="150">
        <v>1392.84</v>
      </c>
      <c r="K414" s="150">
        <f t="shared" si="15"/>
        <v>5.25</v>
      </c>
      <c r="L414" s="151">
        <f t="shared" si="16"/>
        <v>3.7692771603342811E-3</v>
      </c>
      <c r="M414" s="148"/>
    </row>
    <row r="415" spans="1:13" outlineLevel="3">
      <c r="A415" s="148" t="s">
        <v>126</v>
      </c>
      <c r="B415" s="148" t="s">
        <v>552</v>
      </c>
      <c r="C415" s="148" t="s">
        <v>132</v>
      </c>
      <c r="D415" s="148" t="s">
        <v>132</v>
      </c>
      <c r="E415" s="148" t="s">
        <v>553</v>
      </c>
      <c r="F415" s="149">
        <v>45901</v>
      </c>
      <c r="G415" s="150">
        <v>6981.87</v>
      </c>
      <c r="H415" s="150">
        <f t="shared" si="17"/>
        <v>6981.87</v>
      </c>
      <c r="I415" s="150"/>
      <c r="J415" s="150">
        <v>6981.87</v>
      </c>
      <c r="K415" s="150">
        <f t="shared" si="15"/>
        <v>0</v>
      </c>
      <c r="L415" s="151">
        <f t="shared" si="16"/>
        <v>0</v>
      </c>
      <c r="M415" s="148"/>
    </row>
    <row r="416" spans="1:13" outlineLevel="2">
      <c r="A416" s="148"/>
      <c r="B416" s="173" t="s">
        <v>554</v>
      </c>
      <c r="C416" s="148"/>
      <c r="D416" s="148"/>
      <c r="E416" s="148"/>
      <c r="F416" s="149"/>
      <c r="G416" s="150">
        <f>SUBTOTAL(9,G411:G415)</f>
        <v>9054.86</v>
      </c>
      <c r="H416" s="150">
        <f>SUBTOTAL(9,H411:H415)</f>
        <v>9054.86</v>
      </c>
      <c r="I416" s="150">
        <f>SUBTOTAL(9,I411:I415)</f>
        <v>0</v>
      </c>
      <c r="J416" s="150">
        <f>SUBTOTAL(9,J411:J415)</f>
        <v>9049.61</v>
      </c>
      <c r="K416" s="150"/>
      <c r="L416" s="151"/>
      <c r="M416" s="148"/>
    </row>
    <row r="417" spans="1:13" outlineLevel="3">
      <c r="A417" s="148" t="s">
        <v>126</v>
      </c>
      <c r="B417" s="148" t="s">
        <v>555</v>
      </c>
      <c r="C417" s="148" t="s">
        <v>131</v>
      </c>
      <c r="D417" s="148" t="s">
        <v>237</v>
      </c>
      <c r="E417" s="148" t="s">
        <v>556</v>
      </c>
      <c r="F417" s="149">
        <v>45901</v>
      </c>
      <c r="G417" s="150">
        <v>1725.75</v>
      </c>
      <c r="H417" s="150">
        <f t="shared" si="17"/>
        <v>1725.75</v>
      </c>
      <c r="I417" s="150"/>
      <c r="J417" s="150">
        <v>1868.75</v>
      </c>
      <c r="K417" s="150">
        <f t="shared" si="15"/>
        <v>-143</v>
      </c>
      <c r="L417" s="151">
        <f t="shared" si="16"/>
        <v>-7.6521739130434779E-2</v>
      </c>
      <c r="M417" s="148" t="s">
        <v>177</v>
      </c>
    </row>
    <row r="418" spans="1:13" outlineLevel="3">
      <c r="A418" s="148" t="s">
        <v>126</v>
      </c>
      <c r="B418" s="148" t="s">
        <v>555</v>
      </c>
      <c r="C418" s="148" t="s">
        <v>132</v>
      </c>
      <c r="D418" s="148" t="s">
        <v>132</v>
      </c>
      <c r="E418" s="148" t="s">
        <v>557</v>
      </c>
      <c r="F418" s="149">
        <v>45901</v>
      </c>
      <c r="G418" s="150">
        <v>10860.92</v>
      </c>
      <c r="H418" s="150">
        <f t="shared" si="17"/>
        <v>10860.92</v>
      </c>
      <c r="I418" s="150"/>
      <c r="J418" s="150">
        <v>10860.92</v>
      </c>
      <c r="K418" s="150">
        <f t="shared" si="15"/>
        <v>0</v>
      </c>
      <c r="L418" s="151">
        <f t="shared" si="16"/>
        <v>0</v>
      </c>
      <c r="M418" s="148"/>
    </row>
    <row r="419" spans="1:13" outlineLevel="2">
      <c r="A419" s="148"/>
      <c r="B419" s="173" t="s">
        <v>558</v>
      </c>
      <c r="C419" s="148"/>
      <c r="D419" s="148"/>
      <c r="E419" s="148"/>
      <c r="F419" s="149"/>
      <c r="G419" s="150">
        <f>SUBTOTAL(9,G417:G418)</f>
        <v>12586.67</v>
      </c>
      <c r="H419" s="150">
        <f>SUBTOTAL(9,H417:H418)</f>
        <v>12586.67</v>
      </c>
      <c r="I419" s="150">
        <f>SUBTOTAL(9,I417:I418)</f>
        <v>0</v>
      </c>
      <c r="J419" s="150">
        <f>SUBTOTAL(9,J417:J418)</f>
        <v>12729.67</v>
      </c>
      <c r="K419" s="150"/>
      <c r="L419" s="151"/>
      <c r="M419" s="148"/>
    </row>
    <row r="420" spans="1:13" outlineLevel="3">
      <c r="A420" s="148" t="s">
        <v>126</v>
      </c>
      <c r="B420" s="148" t="s">
        <v>559</v>
      </c>
      <c r="C420" s="148" t="s">
        <v>128</v>
      </c>
      <c r="D420" s="148" t="s">
        <v>128</v>
      </c>
      <c r="E420" s="148" t="s">
        <v>560</v>
      </c>
      <c r="F420" s="149">
        <v>45915</v>
      </c>
      <c r="G420" s="150">
        <v>309.24</v>
      </c>
      <c r="H420" s="150">
        <f t="shared" si="17"/>
        <v>309.24</v>
      </c>
      <c r="I420" s="150"/>
      <c r="J420" s="150">
        <v>309.24</v>
      </c>
      <c r="K420" s="150">
        <f t="shared" si="15"/>
        <v>0</v>
      </c>
      <c r="L420" s="151">
        <f t="shared" si="16"/>
        <v>0</v>
      </c>
      <c r="M420" s="148"/>
    </row>
    <row r="421" spans="1:13" outlineLevel="2">
      <c r="A421" s="148"/>
      <c r="B421" s="173" t="s">
        <v>561</v>
      </c>
      <c r="C421" s="148"/>
      <c r="D421" s="148"/>
      <c r="E421" s="148"/>
      <c r="F421" s="149"/>
      <c r="G421" s="150">
        <f>SUBTOTAL(9,G420:G420)</f>
        <v>309.24</v>
      </c>
      <c r="H421" s="150">
        <f>SUBTOTAL(9,H420:H420)</f>
        <v>309.24</v>
      </c>
      <c r="I421" s="150">
        <f>SUBTOTAL(9,I420:I420)</f>
        <v>0</v>
      </c>
      <c r="J421" s="150">
        <f>SUBTOTAL(9,J420:J420)</f>
        <v>309.24</v>
      </c>
      <c r="K421" s="150"/>
      <c r="L421" s="151"/>
      <c r="M421" s="148"/>
    </row>
    <row r="422" spans="1:13" outlineLevel="3">
      <c r="A422" s="148" t="s">
        <v>126</v>
      </c>
      <c r="B422" s="148" t="s">
        <v>562</v>
      </c>
      <c r="C422" s="148" t="s">
        <v>131</v>
      </c>
      <c r="D422" s="148" t="s">
        <v>131</v>
      </c>
      <c r="E422" s="148" t="s">
        <v>563</v>
      </c>
      <c r="F422" s="149">
        <v>45901</v>
      </c>
      <c r="G422" s="150">
        <v>97.05</v>
      </c>
      <c r="H422" s="150">
        <f t="shared" si="17"/>
        <v>97.05</v>
      </c>
      <c r="I422" s="150"/>
      <c r="J422" s="150">
        <v>97.05</v>
      </c>
      <c r="K422" s="150">
        <f t="shared" si="15"/>
        <v>0</v>
      </c>
      <c r="L422" s="151">
        <f t="shared" si="16"/>
        <v>0</v>
      </c>
      <c r="M422" s="148"/>
    </row>
    <row r="423" spans="1:13" outlineLevel="2">
      <c r="A423" s="148"/>
      <c r="B423" s="173" t="s">
        <v>564</v>
      </c>
      <c r="C423" s="148"/>
      <c r="D423" s="148"/>
      <c r="E423" s="148"/>
      <c r="F423" s="149"/>
      <c r="G423" s="150">
        <f>SUBTOTAL(9,G422:G422)</f>
        <v>97.05</v>
      </c>
      <c r="H423" s="150">
        <f>SUBTOTAL(9,H422:H422)</f>
        <v>97.05</v>
      </c>
      <c r="I423" s="150">
        <f>SUBTOTAL(9,I422:I422)</f>
        <v>0</v>
      </c>
      <c r="J423" s="150">
        <f>SUBTOTAL(9,J422:J422)</f>
        <v>97.05</v>
      </c>
      <c r="K423" s="150"/>
      <c r="L423" s="151"/>
      <c r="M423" s="148"/>
    </row>
    <row r="424" spans="1:13" outlineLevel="3">
      <c r="A424" s="148" t="s">
        <v>126</v>
      </c>
      <c r="B424" s="148" t="s">
        <v>565</v>
      </c>
      <c r="C424" s="148" t="s">
        <v>139</v>
      </c>
      <c r="D424" s="148" t="s">
        <v>273</v>
      </c>
      <c r="E424" s="148" t="s">
        <v>566</v>
      </c>
      <c r="F424" s="149">
        <v>45915</v>
      </c>
      <c r="G424" s="150">
        <v>165</v>
      </c>
      <c r="H424" s="150">
        <f t="shared" si="17"/>
        <v>165</v>
      </c>
      <c r="I424" s="150"/>
      <c r="J424" s="150">
        <v>165</v>
      </c>
      <c r="K424" s="150">
        <f t="shared" si="15"/>
        <v>0</v>
      </c>
      <c r="L424" s="151">
        <f t="shared" si="16"/>
        <v>0</v>
      </c>
      <c r="M424" s="148"/>
    </row>
    <row r="425" spans="1:13" outlineLevel="3">
      <c r="A425" s="148" t="s">
        <v>126</v>
      </c>
      <c r="B425" s="148" t="s">
        <v>565</v>
      </c>
      <c r="C425" s="148" t="s">
        <v>128</v>
      </c>
      <c r="D425" s="148" t="s">
        <v>128</v>
      </c>
      <c r="E425" s="148" t="s">
        <v>566</v>
      </c>
      <c r="F425" s="149">
        <v>45915</v>
      </c>
      <c r="G425" s="150">
        <v>229.5</v>
      </c>
      <c r="H425" s="150">
        <f t="shared" si="17"/>
        <v>229.5</v>
      </c>
      <c r="I425" s="150"/>
      <c r="J425" s="150">
        <v>229.5</v>
      </c>
      <c r="K425" s="150">
        <f t="shared" si="15"/>
        <v>0</v>
      </c>
      <c r="L425" s="151">
        <f t="shared" si="16"/>
        <v>0</v>
      </c>
      <c r="M425" s="148"/>
    </row>
    <row r="426" spans="1:13" outlineLevel="3">
      <c r="A426" s="148" t="s">
        <v>126</v>
      </c>
      <c r="B426" s="148" t="s">
        <v>565</v>
      </c>
      <c r="C426" s="148" t="s">
        <v>131</v>
      </c>
      <c r="D426" s="148" t="s">
        <v>131</v>
      </c>
      <c r="E426" s="148" t="s">
        <v>566</v>
      </c>
      <c r="F426" s="149">
        <v>45915</v>
      </c>
      <c r="G426" s="150">
        <v>406</v>
      </c>
      <c r="H426" s="150">
        <f t="shared" si="17"/>
        <v>406</v>
      </c>
      <c r="I426" s="150"/>
      <c r="J426" s="150">
        <v>437</v>
      </c>
      <c r="K426" s="150">
        <f t="shared" si="15"/>
        <v>-31</v>
      </c>
      <c r="L426" s="151">
        <f t="shared" si="16"/>
        <v>-7.0938215102974822E-2</v>
      </c>
      <c r="M426" s="148" t="s">
        <v>567</v>
      </c>
    </row>
    <row r="427" spans="1:13" outlineLevel="3">
      <c r="A427" s="148" t="s">
        <v>126</v>
      </c>
      <c r="B427" s="148" t="s">
        <v>565</v>
      </c>
      <c r="C427" s="148" t="s">
        <v>132</v>
      </c>
      <c r="D427" s="148" t="s">
        <v>132</v>
      </c>
      <c r="E427" s="148" t="s">
        <v>566</v>
      </c>
      <c r="F427" s="149">
        <v>45915</v>
      </c>
      <c r="G427" s="150">
        <v>2581</v>
      </c>
      <c r="H427" s="150">
        <f t="shared" si="17"/>
        <v>2581</v>
      </c>
      <c r="I427" s="150"/>
      <c r="J427" s="150">
        <v>2849</v>
      </c>
      <c r="K427" s="150">
        <f t="shared" si="15"/>
        <v>-268</v>
      </c>
      <c r="L427" s="151">
        <f t="shared" si="16"/>
        <v>-9.4068094068094063E-2</v>
      </c>
      <c r="M427" s="148" t="s">
        <v>568</v>
      </c>
    </row>
    <row r="428" spans="1:13" outlineLevel="2">
      <c r="A428" s="148"/>
      <c r="B428" s="173" t="s">
        <v>569</v>
      </c>
      <c r="C428" s="148"/>
      <c r="D428" s="148"/>
      <c r="E428" s="148"/>
      <c r="F428" s="149"/>
      <c r="G428" s="150">
        <f>SUBTOTAL(9,G424:G427)</f>
        <v>3381.5</v>
      </c>
      <c r="H428" s="150">
        <f>SUBTOTAL(9,H424:H427)</f>
        <v>3381.5</v>
      </c>
      <c r="I428" s="150">
        <f>SUBTOTAL(9,I424:I427)</f>
        <v>0</v>
      </c>
      <c r="J428" s="150">
        <f>SUBTOTAL(9,J424:J427)</f>
        <v>3680.5</v>
      </c>
      <c r="K428" s="150"/>
      <c r="L428" s="151"/>
      <c r="M428" s="148"/>
    </row>
    <row r="429" spans="1:13" outlineLevel="3">
      <c r="A429" s="148" t="s">
        <v>126</v>
      </c>
      <c r="B429" s="148" t="s">
        <v>570</v>
      </c>
      <c r="C429" s="148" t="s">
        <v>139</v>
      </c>
      <c r="D429" s="148" t="s">
        <v>139</v>
      </c>
      <c r="E429" s="148" t="s">
        <v>571</v>
      </c>
      <c r="F429" s="149">
        <v>45901</v>
      </c>
      <c r="G429" s="150">
        <v>20</v>
      </c>
      <c r="H429" s="150">
        <f t="shared" si="17"/>
        <v>20</v>
      </c>
      <c r="I429" s="150"/>
      <c r="J429" s="150">
        <v>20</v>
      </c>
      <c r="K429" s="150">
        <f t="shared" si="15"/>
        <v>0</v>
      </c>
      <c r="L429" s="151">
        <f t="shared" si="16"/>
        <v>0</v>
      </c>
      <c r="M429" s="148"/>
    </row>
    <row r="430" spans="1:13" outlineLevel="3">
      <c r="A430" s="148" t="s">
        <v>126</v>
      </c>
      <c r="B430" s="148" t="s">
        <v>570</v>
      </c>
      <c r="C430" s="148" t="s">
        <v>128</v>
      </c>
      <c r="D430" s="148" t="s">
        <v>128</v>
      </c>
      <c r="E430" s="148" t="s">
        <v>571</v>
      </c>
      <c r="F430" s="149">
        <v>45901</v>
      </c>
      <c r="G430" s="150">
        <v>110.5</v>
      </c>
      <c r="H430" s="150">
        <f t="shared" si="17"/>
        <v>110.5</v>
      </c>
      <c r="I430" s="150"/>
      <c r="J430" s="150">
        <v>110.5</v>
      </c>
      <c r="K430" s="150">
        <f t="shared" si="15"/>
        <v>0</v>
      </c>
      <c r="L430" s="151">
        <f t="shared" si="16"/>
        <v>0</v>
      </c>
      <c r="M430" s="148"/>
    </row>
    <row r="431" spans="1:13" outlineLevel="3">
      <c r="A431" s="148" t="s">
        <v>126</v>
      </c>
      <c r="B431" s="148" t="s">
        <v>570</v>
      </c>
      <c r="C431" s="148" t="s">
        <v>131</v>
      </c>
      <c r="D431" s="148" t="s">
        <v>131</v>
      </c>
      <c r="E431" s="148" t="s">
        <v>571</v>
      </c>
      <c r="F431" s="149">
        <v>45901</v>
      </c>
      <c r="G431" s="150">
        <v>854</v>
      </c>
      <c r="H431" s="150">
        <f t="shared" si="17"/>
        <v>854</v>
      </c>
      <c r="I431" s="150"/>
      <c r="J431" s="150">
        <v>854</v>
      </c>
      <c r="K431" s="150">
        <f t="shared" si="15"/>
        <v>0</v>
      </c>
      <c r="L431" s="151">
        <f t="shared" si="16"/>
        <v>0</v>
      </c>
      <c r="M431" s="148"/>
    </row>
    <row r="432" spans="1:13" outlineLevel="3">
      <c r="A432" s="148" t="s">
        <v>126</v>
      </c>
      <c r="B432" s="148" t="s">
        <v>570</v>
      </c>
      <c r="C432" s="148" t="s">
        <v>132</v>
      </c>
      <c r="D432" s="148" t="s">
        <v>132</v>
      </c>
      <c r="E432" s="148" t="s">
        <v>571</v>
      </c>
      <c r="F432" s="149">
        <v>45901</v>
      </c>
      <c r="G432" s="150">
        <v>2868.42</v>
      </c>
      <c r="H432" s="150">
        <f t="shared" si="17"/>
        <v>2868.42</v>
      </c>
      <c r="I432" s="150"/>
      <c r="J432" s="150">
        <v>2868.42</v>
      </c>
      <c r="K432" s="150">
        <f t="shared" si="15"/>
        <v>0</v>
      </c>
      <c r="L432" s="151">
        <f t="shared" si="16"/>
        <v>0</v>
      </c>
      <c r="M432" s="148"/>
    </row>
    <row r="433" spans="1:13" outlineLevel="2">
      <c r="A433" s="148"/>
      <c r="B433" s="173" t="s">
        <v>572</v>
      </c>
      <c r="C433" s="148"/>
      <c r="D433" s="148"/>
      <c r="E433" s="148"/>
      <c r="F433" s="149"/>
      <c r="G433" s="150">
        <f>SUBTOTAL(9,G429:G432)</f>
        <v>3852.92</v>
      </c>
      <c r="H433" s="150">
        <f>SUBTOTAL(9,H429:H432)</f>
        <v>3852.92</v>
      </c>
      <c r="I433" s="150">
        <f>SUBTOTAL(9,I429:I432)</f>
        <v>0</v>
      </c>
      <c r="J433" s="150">
        <f>SUBTOTAL(9,J429:J432)</f>
        <v>3852.92</v>
      </c>
      <c r="K433" s="150"/>
      <c r="L433" s="151"/>
      <c r="M433" s="148"/>
    </row>
    <row r="434" spans="1:13" outlineLevel="3">
      <c r="A434" s="148" t="s">
        <v>126</v>
      </c>
      <c r="B434" s="148" t="s">
        <v>573</v>
      </c>
      <c r="C434" s="148" t="s">
        <v>139</v>
      </c>
      <c r="D434" s="148" t="s">
        <v>139</v>
      </c>
      <c r="E434" s="148" t="s">
        <v>574</v>
      </c>
      <c r="F434" s="149">
        <v>45901</v>
      </c>
      <c r="G434" s="150">
        <v>577.02</v>
      </c>
      <c r="H434" s="150">
        <f t="shared" si="17"/>
        <v>577.02</v>
      </c>
      <c r="I434" s="150"/>
      <c r="J434" s="150">
        <v>577.02</v>
      </c>
      <c r="K434" s="150">
        <f t="shared" si="15"/>
        <v>0</v>
      </c>
      <c r="L434" s="151">
        <f t="shared" si="16"/>
        <v>0</v>
      </c>
      <c r="M434" s="148"/>
    </row>
    <row r="435" spans="1:13" outlineLevel="3">
      <c r="A435" s="148" t="s">
        <v>126</v>
      </c>
      <c r="B435" s="148" t="s">
        <v>573</v>
      </c>
      <c r="C435" s="148" t="s">
        <v>128</v>
      </c>
      <c r="D435" s="148" t="s">
        <v>128</v>
      </c>
      <c r="E435" s="148" t="s">
        <v>575</v>
      </c>
      <c r="F435" s="149">
        <v>45901</v>
      </c>
      <c r="G435" s="150">
        <v>759.35299999999995</v>
      </c>
      <c r="H435" s="150">
        <f t="shared" si="17"/>
        <v>759.35299999999995</v>
      </c>
      <c r="I435" s="150"/>
      <c r="J435" s="150">
        <v>684.60260000000005</v>
      </c>
      <c r="K435" s="150">
        <f t="shared" si="15"/>
        <v>74.7503999999999</v>
      </c>
      <c r="L435" s="151">
        <f t="shared" si="16"/>
        <v>0.10918801652228591</v>
      </c>
      <c r="M435" s="148"/>
    </row>
    <row r="436" spans="1:13" outlineLevel="3">
      <c r="A436" s="148" t="s">
        <v>126</v>
      </c>
      <c r="B436" s="148" t="s">
        <v>573</v>
      </c>
      <c r="C436" s="148" t="s">
        <v>131</v>
      </c>
      <c r="D436" s="148" t="s">
        <v>131</v>
      </c>
      <c r="E436" s="148" t="s">
        <v>575</v>
      </c>
      <c r="F436" s="149">
        <v>45901</v>
      </c>
      <c r="G436" s="150">
        <v>8579</v>
      </c>
      <c r="H436" s="150">
        <f t="shared" si="17"/>
        <v>8579</v>
      </c>
      <c r="I436" s="150"/>
      <c r="J436" s="150">
        <v>8555</v>
      </c>
      <c r="K436" s="150">
        <f t="shared" si="15"/>
        <v>24</v>
      </c>
      <c r="L436" s="151">
        <f t="shared" si="16"/>
        <v>2.8053769725306836E-3</v>
      </c>
      <c r="M436" s="148"/>
    </row>
    <row r="437" spans="1:13" outlineLevel="3">
      <c r="A437" s="148" t="s">
        <v>126</v>
      </c>
      <c r="B437" s="148" t="s">
        <v>573</v>
      </c>
      <c r="C437" s="148" t="s">
        <v>132</v>
      </c>
      <c r="D437" s="148" t="s">
        <v>132</v>
      </c>
      <c r="E437" s="148" t="s">
        <v>575</v>
      </c>
      <c r="F437" s="149">
        <v>45901</v>
      </c>
      <c r="G437" s="150">
        <v>16035</v>
      </c>
      <c r="H437" s="150">
        <f t="shared" si="17"/>
        <v>16035</v>
      </c>
      <c r="I437" s="150"/>
      <c r="J437" s="150">
        <v>16580</v>
      </c>
      <c r="K437" s="150">
        <f t="shared" si="15"/>
        <v>-545</v>
      </c>
      <c r="L437" s="151">
        <f t="shared" si="16"/>
        <v>-3.2870928829915561E-2</v>
      </c>
      <c r="M437" s="148" t="s">
        <v>576</v>
      </c>
    </row>
    <row r="438" spans="1:13" outlineLevel="2">
      <c r="A438" s="148"/>
      <c r="B438" s="173" t="s">
        <v>577</v>
      </c>
      <c r="C438" s="148"/>
      <c r="D438" s="148"/>
      <c r="E438" s="148"/>
      <c r="F438" s="149"/>
      <c r="G438" s="150">
        <f>SUBTOTAL(9,G434:G437)</f>
        <v>25950.373</v>
      </c>
      <c r="H438" s="150">
        <f>SUBTOTAL(9,H434:H437)</f>
        <v>25950.373</v>
      </c>
      <c r="I438" s="150">
        <f>SUBTOTAL(9,I434:I437)</f>
        <v>0</v>
      </c>
      <c r="J438" s="150">
        <f>SUBTOTAL(9,J434:J437)</f>
        <v>26396.622600000002</v>
      </c>
      <c r="K438" s="150"/>
      <c r="L438" s="151"/>
      <c r="M438" s="148"/>
    </row>
    <row r="439" spans="1:13" outlineLevel="3">
      <c r="A439" s="148" t="s">
        <v>126</v>
      </c>
      <c r="B439" s="148" t="s">
        <v>578</v>
      </c>
      <c r="C439" s="148" t="s">
        <v>135</v>
      </c>
      <c r="D439" s="148" t="s">
        <v>135</v>
      </c>
      <c r="E439" s="148" t="s">
        <v>579</v>
      </c>
      <c r="F439" s="149">
        <v>45915</v>
      </c>
      <c r="G439" s="150">
        <v>1746.16</v>
      </c>
      <c r="H439" s="150">
        <f t="shared" si="17"/>
        <v>1746.16</v>
      </c>
      <c r="I439" s="150"/>
      <c r="J439" s="150">
        <v>1746.16</v>
      </c>
      <c r="K439" s="150">
        <f t="shared" si="15"/>
        <v>0</v>
      </c>
      <c r="L439" s="151">
        <f t="shared" si="16"/>
        <v>0</v>
      </c>
      <c r="M439" s="148"/>
    </row>
    <row r="440" spans="1:13" outlineLevel="3">
      <c r="A440" s="148" t="s">
        <v>126</v>
      </c>
      <c r="B440" s="148" t="s">
        <v>578</v>
      </c>
      <c r="C440" s="148" t="s">
        <v>139</v>
      </c>
      <c r="D440" s="148" t="s">
        <v>139</v>
      </c>
      <c r="E440" s="148" t="s">
        <v>579</v>
      </c>
      <c r="F440" s="149">
        <v>45915</v>
      </c>
      <c r="G440" s="150">
        <v>176</v>
      </c>
      <c r="H440" s="150">
        <f t="shared" si="17"/>
        <v>176</v>
      </c>
      <c r="I440" s="150"/>
      <c r="J440" s="150">
        <v>176</v>
      </c>
      <c r="K440" s="150">
        <f t="shared" si="15"/>
        <v>0</v>
      </c>
      <c r="L440" s="151">
        <f t="shared" si="16"/>
        <v>0</v>
      </c>
      <c r="M440" s="148"/>
    </row>
    <row r="441" spans="1:13" outlineLevel="3">
      <c r="A441" s="148" t="s">
        <v>126</v>
      </c>
      <c r="B441" s="148" t="s">
        <v>578</v>
      </c>
      <c r="C441" s="148" t="s">
        <v>128</v>
      </c>
      <c r="D441" s="148" t="s">
        <v>128</v>
      </c>
      <c r="E441" s="148" t="s">
        <v>579</v>
      </c>
      <c r="F441" s="149">
        <v>45915</v>
      </c>
      <c r="G441" s="150">
        <v>368.58</v>
      </c>
      <c r="H441" s="150">
        <f t="shared" si="17"/>
        <v>368.58</v>
      </c>
      <c r="I441" s="150"/>
      <c r="J441" s="150">
        <v>368.58</v>
      </c>
      <c r="K441" s="150">
        <f t="shared" si="15"/>
        <v>0</v>
      </c>
      <c r="L441" s="151">
        <f t="shared" si="16"/>
        <v>0</v>
      </c>
      <c r="M441" s="148"/>
    </row>
    <row r="442" spans="1:13" outlineLevel="3">
      <c r="A442" s="148" t="s">
        <v>126</v>
      </c>
      <c r="B442" s="148" t="s">
        <v>578</v>
      </c>
      <c r="C442" s="148" t="s">
        <v>131</v>
      </c>
      <c r="D442" s="148" t="s">
        <v>131</v>
      </c>
      <c r="E442" s="148" t="s">
        <v>579</v>
      </c>
      <c r="F442" s="149">
        <v>45915</v>
      </c>
      <c r="G442" s="150">
        <v>70</v>
      </c>
      <c r="H442" s="150">
        <f t="shared" si="17"/>
        <v>70</v>
      </c>
      <c r="I442" s="150"/>
      <c r="J442" s="150">
        <v>70</v>
      </c>
      <c r="K442" s="150">
        <f t="shared" si="15"/>
        <v>0</v>
      </c>
      <c r="L442" s="151">
        <f t="shared" si="16"/>
        <v>0</v>
      </c>
      <c r="M442" s="148"/>
    </row>
    <row r="443" spans="1:13" outlineLevel="3">
      <c r="A443" s="148" t="s">
        <v>126</v>
      </c>
      <c r="B443" s="148" t="s">
        <v>578</v>
      </c>
      <c r="C443" s="148" t="s">
        <v>207</v>
      </c>
      <c r="D443" s="148" t="s">
        <v>207</v>
      </c>
      <c r="E443" s="148" t="s">
        <v>579</v>
      </c>
      <c r="F443" s="149">
        <v>45915</v>
      </c>
      <c r="G443" s="150">
        <v>250</v>
      </c>
      <c r="H443" s="150">
        <f t="shared" si="17"/>
        <v>250</v>
      </c>
      <c r="I443" s="150"/>
      <c r="J443" s="150">
        <v>250</v>
      </c>
      <c r="K443" s="150">
        <f t="shared" si="15"/>
        <v>0</v>
      </c>
      <c r="L443" s="151">
        <f t="shared" si="16"/>
        <v>0</v>
      </c>
      <c r="M443" s="148"/>
    </row>
    <row r="444" spans="1:13" outlineLevel="2">
      <c r="A444" s="148"/>
      <c r="B444" s="173" t="s">
        <v>580</v>
      </c>
      <c r="C444" s="148"/>
      <c r="D444" s="148"/>
      <c r="E444" s="148"/>
      <c r="F444" s="149"/>
      <c r="G444" s="150">
        <f>SUBTOTAL(9,G439:G443)</f>
        <v>2610.7400000000002</v>
      </c>
      <c r="H444" s="150">
        <f>SUBTOTAL(9,H439:H443)</f>
        <v>2610.7400000000002</v>
      </c>
      <c r="I444" s="150">
        <f>SUBTOTAL(9,I439:I443)</f>
        <v>0</v>
      </c>
      <c r="J444" s="150">
        <f>SUBTOTAL(9,J439:J443)</f>
        <v>2610.7400000000002</v>
      </c>
      <c r="K444" s="150"/>
      <c r="L444" s="151"/>
      <c r="M444" s="148"/>
    </row>
    <row r="445" spans="1:13" outlineLevel="3">
      <c r="A445" s="148" t="s">
        <v>126</v>
      </c>
      <c r="B445" s="148" t="s">
        <v>581</v>
      </c>
      <c r="C445" s="148" t="s">
        <v>139</v>
      </c>
      <c r="D445" s="148" t="s">
        <v>273</v>
      </c>
      <c r="E445" s="148" t="s">
        <v>582</v>
      </c>
      <c r="F445" s="149">
        <v>45901</v>
      </c>
      <c r="G445" s="150">
        <v>153.62</v>
      </c>
      <c r="H445" s="150">
        <f t="shared" si="17"/>
        <v>153.62</v>
      </c>
      <c r="I445" s="150"/>
      <c r="J445" s="150">
        <v>129.62</v>
      </c>
      <c r="K445" s="150">
        <f t="shared" si="15"/>
        <v>24</v>
      </c>
      <c r="L445" s="151">
        <f t="shared" si="16"/>
        <v>0.1851566116340071</v>
      </c>
      <c r="M445" s="148"/>
    </row>
    <row r="446" spans="1:13" outlineLevel="3">
      <c r="A446" s="148" t="s">
        <v>126</v>
      </c>
      <c r="B446" s="148" t="s">
        <v>581</v>
      </c>
      <c r="C446" s="148" t="s">
        <v>128</v>
      </c>
      <c r="D446" s="148" t="s">
        <v>129</v>
      </c>
      <c r="E446" s="148" t="s">
        <v>582</v>
      </c>
      <c r="F446" s="149">
        <v>45901</v>
      </c>
      <c r="G446" s="150">
        <v>112</v>
      </c>
      <c r="H446" s="150">
        <f t="shared" si="17"/>
        <v>112</v>
      </c>
      <c r="I446" s="150"/>
      <c r="J446" s="150">
        <v>108</v>
      </c>
      <c r="K446" s="150">
        <f t="shared" si="15"/>
        <v>4</v>
      </c>
      <c r="L446" s="151">
        <f t="shared" si="16"/>
        <v>3.7037037037037035E-2</v>
      </c>
      <c r="M446" s="148"/>
    </row>
    <row r="447" spans="1:13" outlineLevel="3">
      <c r="A447" s="148" t="s">
        <v>126</v>
      </c>
      <c r="B447" s="148" t="s">
        <v>581</v>
      </c>
      <c r="C447" s="148" t="s">
        <v>131</v>
      </c>
      <c r="D447" s="148" t="s">
        <v>131</v>
      </c>
      <c r="E447" s="148" t="s">
        <v>582</v>
      </c>
      <c r="F447" s="149">
        <v>45901</v>
      </c>
      <c r="G447" s="150">
        <v>692</v>
      </c>
      <c r="H447" s="150">
        <f t="shared" si="17"/>
        <v>692</v>
      </c>
      <c r="I447" s="150"/>
      <c r="J447" s="150">
        <v>685</v>
      </c>
      <c r="K447" s="150">
        <f t="shared" si="15"/>
        <v>7</v>
      </c>
      <c r="L447" s="151">
        <f t="shared" si="16"/>
        <v>1.0218978102189781E-2</v>
      </c>
      <c r="M447" s="148"/>
    </row>
    <row r="448" spans="1:13" outlineLevel="3">
      <c r="A448" s="148" t="s">
        <v>126</v>
      </c>
      <c r="B448" s="148" t="s">
        <v>581</v>
      </c>
      <c r="C448" s="148" t="s">
        <v>132</v>
      </c>
      <c r="D448" s="148" t="s">
        <v>132</v>
      </c>
      <c r="E448" s="148" t="s">
        <v>582</v>
      </c>
      <c r="F448" s="149">
        <v>45901</v>
      </c>
      <c r="G448" s="150">
        <v>2317.5</v>
      </c>
      <c r="H448" s="150">
        <f t="shared" si="17"/>
        <v>2317.5</v>
      </c>
      <c r="I448" s="150"/>
      <c r="J448" s="150">
        <v>2255.6999999999998</v>
      </c>
      <c r="K448" s="150">
        <f t="shared" si="15"/>
        <v>61.800000000000182</v>
      </c>
      <c r="L448" s="151">
        <f t="shared" si="16"/>
        <v>2.7397260273972684E-2</v>
      </c>
      <c r="M448" s="148"/>
    </row>
    <row r="449" spans="1:13" outlineLevel="2">
      <c r="A449" s="148"/>
      <c r="B449" s="173" t="s">
        <v>583</v>
      </c>
      <c r="C449" s="148"/>
      <c r="D449" s="148"/>
      <c r="E449" s="148"/>
      <c r="F449" s="149"/>
      <c r="G449" s="150">
        <f>SUBTOTAL(9,G445:G448)</f>
        <v>3275.12</v>
      </c>
      <c r="H449" s="150">
        <f>SUBTOTAL(9,H445:H448)</f>
        <v>3275.12</v>
      </c>
      <c r="I449" s="150">
        <f>SUBTOTAL(9,I445:I448)</f>
        <v>0</v>
      </c>
      <c r="J449" s="150">
        <f>SUBTOTAL(9,J445:J448)</f>
        <v>3178.3199999999997</v>
      </c>
      <c r="K449" s="150"/>
      <c r="L449" s="151"/>
      <c r="M449" s="148"/>
    </row>
    <row r="450" spans="1:13" outlineLevel="3">
      <c r="A450" s="148" t="s">
        <v>126</v>
      </c>
      <c r="B450" s="148" t="s">
        <v>584</v>
      </c>
      <c r="C450" s="148" t="s">
        <v>139</v>
      </c>
      <c r="D450" s="148" t="s">
        <v>139</v>
      </c>
      <c r="E450" s="148" t="s">
        <v>585</v>
      </c>
      <c r="F450" s="149">
        <v>45901</v>
      </c>
      <c r="G450" s="150">
        <v>1221.5999999999999</v>
      </c>
      <c r="H450" s="150">
        <f t="shared" si="17"/>
        <v>1221.5999999999999</v>
      </c>
      <c r="I450" s="150"/>
      <c r="J450" s="150">
        <v>1142.4000000000001</v>
      </c>
      <c r="K450" s="150">
        <f t="shared" si="15"/>
        <v>79.199999999999818</v>
      </c>
      <c r="L450" s="151">
        <f t="shared" si="16"/>
        <v>6.9327731092436812E-2</v>
      </c>
      <c r="M450" s="148"/>
    </row>
    <row r="451" spans="1:13" outlineLevel="3">
      <c r="A451" s="148" t="s">
        <v>126</v>
      </c>
      <c r="B451" s="148" t="s">
        <v>584</v>
      </c>
      <c r="C451" s="148" t="s">
        <v>128</v>
      </c>
      <c r="D451" s="148" t="s">
        <v>129</v>
      </c>
      <c r="E451" s="148" t="s">
        <v>585</v>
      </c>
      <c r="F451" s="149">
        <v>45901</v>
      </c>
      <c r="G451" s="150">
        <v>204</v>
      </c>
      <c r="H451" s="150">
        <f t="shared" si="17"/>
        <v>204</v>
      </c>
      <c r="I451" s="150"/>
      <c r="J451" s="150">
        <v>196</v>
      </c>
      <c r="K451" s="150">
        <f t="shared" si="15"/>
        <v>8</v>
      </c>
      <c r="L451" s="151">
        <f t="shared" si="16"/>
        <v>4.0816326530612242E-2</v>
      </c>
      <c r="M451" s="148"/>
    </row>
    <row r="452" spans="1:13" outlineLevel="3">
      <c r="A452" s="148" t="s">
        <v>126</v>
      </c>
      <c r="B452" s="148" t="s">
        <v>584</v>
      </c>
      <c r="C452" s="148" t="s">
        <v>131</v>
      </c>
      <c r="D452" s="148" t="s">
        <v>155</v>
      </c>
      <c r="E452" s="148" t="s">
        <v>585</v>
      </c>
      <c r="F452" s="149">
        <v>45901</v>
      </c>
      <c r="G452" s="150">
        <v>1432</v>
      </c>
      <c r="H452" s="150">
        <f t="shared" si="17"/>
        <v>1432</v>
      </c>
      <c r="I452" s="150"/>
      <c r="J452" s="150">
        <v>1448</v>
      </c>
      <c r="K452" s="150">
        <f t="shared" si="15"/>
        <v>-16</v>
      </c>
      <c r="L452" s="151">
        <f t="shared" si="16"/>
        <v>-1.1049723756906077E-2</v>
      </c>
      <c r="M452" s="148" t="s">
        <v>177</v>
      </c>
    </row>
    <row r="453" spans="1:13" outlineLevel="3">
      <c r="A453" s="148" t="s">
        <v>126</v>
      </c>
      <c r="B453" s="148" t="s">
        <v>584</v>
      </c>
      <c r="C453" s="148" t="s">
        <v>132</v>
      </c>
      <c r="D453" s="148" t="s">
        <v>145</v>
      </c>
      <c r="E453" s="148" t="s">
        <v>585</v>
      </c>
      <c r="F453" s="149">
        <v>45901</v>
      </c>
      <c r="G453" s="150">
        <v>3549</v>
      </c>
      <c r="H453" s="150">
        <f t="shared" si="17"/>
        <v>3549</v>
      </c>
      <c r="I453" s="150"/>
      <c r="J453" s="150">
        <v>3523</v>
      </c>
      <c r="K453" s="150">
        <f t="shared" si="15"/>
        <v>26</v>
      </c>
      <c r="L453" s="151">
        <f t="shared" si="16"/>
        <v>7.3800738007380072E-3</v>
      </c>
      <c r="M453" s="148" t="s">
        <v>399</v>
      </c>
    </row>
    <row r="454" spans="1:13" outlineLevel="2">
      <c r="A454" s="148"/>
      <c r="B454" s="173" t="s">
        <v>586</v>
      </c>
      <c r="C454" s="148"/>
      <c r="D454" s="148"/>
      <c r="E454" s="148"/>
      <c r="F454" s="149"/>
      <c r="G454" s="150">
        <f>SUBTOTAL(9,G450:G453)</f>
        <v>6406.6</v>
      </c>
      <c r="H454" s="150">
        <f>SUBTOTAL(9,H450:H453)</f>
        <v>6406.6</v>
      </c>
      <c r="I454" s="150">
        <f>SUBTOTAL(9,I450:I453)</f>
        <v>0</v>
      </c>
      <c r="J454" s="150">
        <f>SUBTOTAL(9,J450:J453)</f>
        <v>6309.4</v>
      </c>
      <c r="K454" s="150"/>
      <c r="L454" s="151"/>
      <c r="M454" s="148"/>
    </row>
    <row r="455" spans="1:13" outlineLevel="3">
      <c r="A455" s="148" t="s">
        <v>126</v>
      </c>
      <c r="B455" s="148" t="s">
        <v>587</v>
      </c>
      <c r="C455" s="148" t="s">
        <v>135</v>
      </c>
      <c r="D455" s="148" t="s">
        <v>135</v>
      </c>
      <c r="E455" s="148" t="s">
        <v>588</v>
      </c>
      <c r="F455" s="149">
        <v>45915</v>
      </c>
      <c r="G455" s="150">
        <v>450.8</v>
      </c>
      <c r="H455" s="150">
        <f t="shared" si="17"/>
        <v>450.8</v>
      </c>
      <c r="I455" s="150"/>
      <c r="J455" s="150">
        <v>450.8</v>
      </c>
      <c r="K455" s="150">
        <f t="shared" si="15"/>
        <v>0</v>
      </c>
      <c r="L455" s="151">
        <f t="shared" si="16"/>
        <v>0</v>
      </c>
      <c r="M455" s="148"/>
    </row>
    <row r="456" spans="1:13" outlineLevel="3">
      <c r="A456" s="148" t="s">
        <v>126</v>
      </c>
      <c r="B456" s="148" t="s">
        <v>587</v>
      </c>
      <c r="C456" s="148" t="s">
        <v>128</v>
      </c>
      <c r="D456" s="148" t="s">
        <v>128</v>
      </c>
      <c r="E456" s="148" t="s">
        <v>588</v>
      </c>
      <c r="F456" s="149">
        <v>45915</v>
      </c>
      <c r="G456" s="150">
        <v>1277.06</v>
      </c>
      <c r="H456" s="150">
        <f t="shared" si="17"/>
        <v>1277.06</v>
      </c>
      <c r="I456" s="150"/>
      <c r="J456" s="150">
        <v>1277.06</v>
      </c>
      <c r="K456" s="150">
        <f t="shared" si="15"/>
        <v>0</v>
      </c>
      <c r="L456" s="151">
        <f t="shared" si="16"/>
        <v>0</v>
      </c>
      <c r="M456" s="148"/>
    </row>
    <row r="457" spans="1:13" outlineLevel="3">
      <c r="A457" s="148" t="s">
        <v>126</v>
      </c>
      <c r="B457" s="148" t="s">
        <v>587</v>
      </c>
      <c r="C457" s="148" t="s">
        <v>131</v>
      </c>
      <c r="D457" s="148" t="s">
        <v>131</v>
      </c>
      <c r="E457" s="148" t="s">
        <v>588</v>
      </c>
      <c r="F457" s="149">
        <v>45915</v>
      </c>
      <c r="G457" s="150">
        <v>84</v>
      </c>
      <c r="H457" s="150">
        <f t="shared" si="17"/>
        <v>84</v>
      </c>
      <c r="I457" s="150"/>
      <c r="J457" s="150">
        <v>84</v>
      </c>
      <c r="K457" s="150">
        <f t="shared" si="15"/>
        <v>0</v>
      </c>
      <c r="L457" s="151">
        <f t="shared" si="16"/>
        <v>0</v>
      </c>
      <c r="M457" s="148"/>
    </row>
    <row r="458" spans="1:13" outlineLevel="2">
      <c r="A458" s="148"/>
      <c r="B458" s="173" t="s">
        <v>589</v>
      </c>
      <c r="C458" s="148"/>
      <c r="D458" s="148"/>
      <c r="E458" s="148"/>
      <c r="F458" s="149"/>
      <c r="G458" s="150">
        <f>SUBTOTAL(9,G455:G457)</f>
        <v>1811.86</v>
      </c>
      <c r="H458" s="150">
        <f>SUBTOTAL(9,H455:H457)</f>
        <v>1811.86</v>
      </c>
      <c r="I458" s="150">
        <f>SUBTOTAL(9,I455:I457)</f>
        <v>0</v>
      </c>
      <c r="J458" s="150">
        <f>SUBTOTAL(9,J455:J457)</f>
        <v>1811.86</v>
      </c>
      <c r="K458" s="150"/>
      <c r="L458" s="151"/>
      <c r="M458" s="148"/>
    </row>
    <row r="459" spans="1:13" outlineLevel="3">
      <c r="A459" s="148" t="s">
        <v>126</v>
      </c>
      <c r="B459" s="148" t="s">
        <v>590</v>
      </c>
      <c r="C459" s="148" t="s">
        <v>139</v>
      </c>
      <c r="D459" s="148" t="s">
        <v>273</v>
      </c>
      <c r="E459" s="148" t="s">
        <v>591</v>
      </c>
      <c r="F459" s="149">
        <v>45915</v>
      </c>
      <c r="G459" s="150">
        <v>245.5</v>
      </c>
      <c r="H459" s="150">
        <f t="shared" si="17"/>
        <v>245.5</v>
      </c>
      <c r="I459" s="150"/>
      <c r="J459" s="150">
        <v>190.5</v>
      </c>
      <c r="K459" s="150">
        <f t="shared" si="15"/>
        <v>55</v>
      </c>
      <c r="L459" s="151">
        <f t="shared" si="16"/>
        <v>0.28871391076115488</v>
      </c>
      <c r="M459" s="148"/>
    </row>
    <row r="460" spans="1:13" outlineLevel="3">
      <c r="A460" s="148" t="s">
        <v>126</v>
      </c>
      <c r="B460" s="148" t="s">
        <v>590</v>
      </c>
      <c r="C460" s="148" t="s">
        <v>128</v>
      </c>
      <c r="D460" s="148" t="s">
        <v>128</v>
      </c>
      <c r="E460" s="148" t="s">
        <v>592</v>
      </c>
      <c r="F460" s="149">
        <v>45915</v>
      </c>
      <c r="G460" s="150">
        <v>152</v>
      </c>
      <c r="H460" s="150">
        <f t="shared" si="17"/>
        <v>152</v>
      </c>
      <c r="I460" s="150"/>
      <c r="J460" s="150">
        <v>152</v>
      </c>
      <c r="K460" s="150">
        <f t="shared" si="15"/>
        <v>0</v>
      </c>
      <c r="L460" s="151">
        <f t="shared" si="16"/>
        <v>0</v>
      </c>
      <c r="M460" s="148"/>
    </row>
    <row r="461" spans="1:13" outlineLevel="3">
      <c r="A461" s="148" t="s">
        <v>126</v>
      </c>
      <c r="B461" s="148" t="s">
        <v>590</v>
      </c>
      <c r="C461" s="148" t="s">
        <v>131</v>
      </c>
      <c r="D461" s="148" t="s">
        <v>131</v>
      </c>
      <c r="E461" s="148" t="s">
        <v>592</v>
      </c>
      <c r="F461" s="149">
        <v>45915</v>
      </c>
      <c r="G461" s="150">
        <v>862</v>
      </c>
      <c r="H461" s="150">
        <f t="shared" si="17"/>
        <v>862</v>
      </c>
      <c r="I461" s="150"/>
      <c r="J461" s="150">
        <v>862</v>
      </c>
      <c r="K461" s="150">
        <f t="shared" si="15"/>
        <v>0</v>
      </c>
      <c r="L461" s="151">
        <f t="shared" si="16"/>
        <v>0</v>
      </c>
      <c r="M461" s="148"/>
    </row>
    <row r="462" spans="1:13" outlineLevel="3">
      <c r="A462" s="148" t="s">
        <v>126</v>
      </c>
      <c r="B462" s="148" t="s">
        <v>590</v>
      </c>
      <c r="C462" s="148" t="s">
        <v>132</v>
      </c>
      <c r="D462" s="148" t="s">
        <v>132</v>
      </c>
      <c r="E462" s="148" t="s">
        <v>592</v>
      </c>
      <c r="F462" s="149">
        <v>45915</v>
      </c>
      <c r="G462" s="150">
        <v>1517.52</v>
      </c>
      <c r="H462" s="150">
        <f t="shared" si="17"/>
        <v>1517.52</v>
      </c>
      <c r="I462" s="150"/>
      <c r="J462" s="150">
        <v>1517.52</v>
      </c>
      <c r="K462" s="150">
        <f t="shared" si="15"/>
        <v>0</v>
      </c>
      <c r="L462" s="151">
        <f t="shared" si="16"/>
        <v>0</v>
      </c>
      <c r="M462" s="148"/>
    </row>
    <row r="463" spans="1:13" outlineLevel="2">
      <c r="A463" s="148"/>
      <c r="B463" s="173" t="s">
        <v>593</v>
      </c>
      <c r="C463" s="148"/>
      <c r="D463" s="148"/>
      <c r="E463" s="148"/>
      <c r="F463" s="149"/>
      <c r="G463" s="150">
        <f>SUBTOTAL(9,G459:G462)</f>
        <v>2777.02</v>
      </c>
      <c r="H463" s="150">
        <f>SUBTOTAL(9,H459:H462)</f>
        <v>2777.02</v>
      </c>
      <c r="I463" s="150">
        <f>SUBTOTAL(9,I459:I462)</f>
        <v>0</v>
      </c>
      <c r="J463" s="150">
        <f>SUBTOTAL(9,J459:J462)</f>
        <v>2722.02</v>
      </c>
      <c r="K463" s="150"/>
      <c r="L463" s="151"/>
      <c r="M463" s="148"/>
    </row>
    <row r="464" spans="1:13" outlineLevel="3">
      <c r="A464" s="148" t="s">
        <v>126</v>
      </c>
      <c r="B464" s="148" t="s">
        <v>594</v>
      </c>
      <c r="C464" s="148" t="s">
        <v>139</v>
      </c>
      <c r="D464" s="148" t="s">
        <v>273</v>
      </c>
      <c r="E464" s="148" t="s">
        <v>595</v>
      </c>
      <c r="F464" s="149">
        <v>45901</v>
      </c>
      <c r="G464" s="150">
        <v>1724.4</v>
      </c>
      <c r="H464" s="150">
        <f t="shared" si="17"/>
        <v>1724.4</v>
      </c>
      <c r="I464" s="150"/>
      <c r="J464" s="150">
        <v>1724.4</v>
      </c>
      <c r="K464" s="150">
        <f t="shared" si="15"/>
        <v>0</v>
      </c>
      <c r="L464" s="151">
        <f t="shared" si="16"/>
        <v>0</v>
      </c>
      <c r="M464" s="148"/>
    </row>
    <row r="465" spans="1:13" outlineLevel="3">
      <c r="A465" s="148" t="s">
        <v>126</v>
      </c>
      <c r="B465" s="148" t="s">
        <v>594</v>
      </c>
      <c r="C465" s="148" t="s">
        <v>128</v>
      </c>
      <c r="D465" s="148" t="s">
        <v>128</v>
      </c>
      <c r="E465" s="148" t="s">
        <v>595</v>
      </c>
      <c r="F465" s="149">
        <v>45901</v>
      </c>
      <c r="G465" s="150">
        <v>918</v>
      </c>
      <c r="H465" s="150">
        <f t="shared" si="17"/>
        <v>918</v>
      </c>
      <c r="I465" s="150"/>
      <c r="J465" s="150">
        <v>923</v>
      </c>
      <c r="K465" s="150">
        <f t="shared" si="15"/>
        <v>-5</v>
      </c>
      <c r="L465" s="151">
        <f t="shared" si="16"/>
        <v>-5.4171180931744311E-3</v>
      </c>
      <c r="M465" s="148" t="s">
        <v>198</v>
      </c>
    </row>
    <row r="466" spans="1:13" outlineLevel="3">
      <c r="A466" s="148" t="s">
        <v>126</v>
      </c>
      <c r="B466" s="148" t="s">
        <v>594</v>
      </c>
      <c r="C466" s="148" t="s">
        <v>131</v>
      </c>
      <c r="D466" s="148" t="s">
        <v>131</v>
      </c>
      <c r="E466" s="148" t="s">
        <v>595</v>
      </c>
      <c r="F466" s="149">
        <v>45901</v>
      </c>
      <c r="G466" s="150">
        <v>1904</v>
      </c>
      <c r="H466" s="150">
        <f t="shared" si="17"/>
        <v>1904</v>
      </c>
      <c r="I466" s="150"/>
      <c r="J466" s="150">
        <v>1920.5</v>
      </c>
      <c r="K466" s="150">
        <f t="shared" si="15"/>
        <v>-16.5</v>
      </c>
      <c r="L466" s="151">
        <f t="shared" si="16"/>
        <v>-8.5915126269200722E-3</v>
      </c>
      <c r="M466" s="148" t="s">
        <v>567</v>
      </c>
    </row>
    <row r="467" spans="1:13" outlineLevel="3">
      <c r="A467" s="148" t="s">
        <v>126</v>
      </c>
      <c r="B467" s="148" t="s">
        <v>594</v>
      </c>
      <c r="C467" s="148" t="s">
        <v>132</v>
      </c>
      <c r="D467" s="148" t="s">
        <v>132</v>
      </c>
      <c r="E467" s="148" t="s">
        <v>595</v>
      </c>
      <c r="F467" s="149">
        <v>45901</v>
      </c>
      <c r="G467" s="150">
        <v>5421.3</v>
      </c>
      <c r="H467" s="150">
        <f t="shared" si="17"/>
        <v>5421.3</v>
      </c>
      <c r="I467" s="150"/>
      <c r="J467" s="150">
        <v>5421.3</v>
      </c>
      <c r="K467" s="150">
        <f t="shared" si="15"/>
        <v>0</v>
      </c>
      <c r="L467" s="151">
        <f t="shared" si="16"/>
        <v>0</v>
      </c>
      <c r="M467" s="148"/>
    </row>
    <row r="468" spans="1:13" outlineLevel="2">
      <c r="A468" s="148"/>
      <c r="B468" s="173" t="s">
        <v>596</v>
      </c>
      <c r="C468" s="148"/>
      <c r="D468" s="148"/>
      <c r="E468" s="148"/>
      <c r="F468" s="149"/>
      <c r="G468" s="150">
        <f>SUBTOTAL(9,G464:G467)</f>
        <v>9967.7000000000007</v>
      </c>
      <c r="H468" s="150">
        <f>SUBTOTAL(9,H464:H467)</f>
        <v>9967.7000000000007</v>
      </c>
      <c r="I468" s="150">
        <f>SUBTOTAL(9,I464:I467)</f>
        <v>0</v>
      </c>
      <c r="J468" s="150">
        <f>SUBTOTAL(9,J464:J467)</f>
        <v>9989.2000000000007</v>
      </c>
      <c r="K468" s="150"/>
      <c r="L468" s="151"/>
      <c r="M468" s="148"/>
    </row>
    <row r="469" spans="1:13" outlineLevel="3">
      <c r="A469" s="148" t="s">
        <v>126</v>
      </c>
      <c r="B469" s="148" t="s">
        <v>597</v>
      </c>
      <c r="C469" s="148" t="s">
        <v>139</v>
      </c>
      <c r="D469" s="148" t="s">
        <v>598</v>
      </c>
      <c r="E469" s="148" t="s">
        <v>599</v>
      </c>
      <c r="F469" s="149">
        <v>45901</v>
      </c>
      <c r="G469" s="150">
        <v>1228.0999999999999</v>
      </c>
      <c r="H469" s="150">
        <f t="shared" si="17"/>
        <v>1228.0999999999999</v>
      </c>
      <c r="I469" s="150"/>
      <c r="J469" s="150">
        <v>1228.0999999999999</v>
      </c>
      <c r="K469" s="150">
        <f t="shared" si="15"/>
        <v>0</v>
      </c>
      <c r="L469" s="151">
        <f t="shared" si="16"/>
        <v>0</v>
      </c>
      <c r="M469" s="148"/>
    </row>
    <row r="470" spans="1:13" outlineLevel="3">
      <c r="A470" s="148" t="s">
        <v>126</v>
      </c>
      <c r="B470" s="148" t="s">
        <v>597</v>
      </c>
      <c r="C470" s="148" t="s">
        <v>128</v>
      </c>
      <c r="D470" s="148" t="s">
        <v>128</v>
      </c>
      <c r="E470" s="148" t="s">
        <v>599</v>
      </c>
      <c r="F470" s="149">
        <v>45901</v>
      </c>
      <c r="G470" s="150">
        <v>0</v>
      </c>
      <c r="H470" s="150">
        <f t="shared" si="17"/>
        <v>0</v>
      </c>
      <c r="I470" s="150"/>
      <c r="J470" s="150">
        <v>0</v>
      </c>
      <c r="K470" s="150">
        <f t="shared" si="15"/>
        <v>0</v>
      </c>
      <c r="L470" s="151"/>
      <c r="M470" s="148"/>
    </row>
    <row r="471" spans="1:13" outlineLevel="3">
      <c r="A471" s="148" t="s">
        <v>126</v>
      </c>
      <c r="B471" s="148" t="s">
        <v>597</v>
      </c>
      <c r="C471" s="148" t="s">
        <v>131</v>
      </c>
      <c r="D471" s="148" t="s">
        <v>131</v>
      </c>
      <c r="E471" s="148" t="s">
        <v>599</v>
      </c>
      <c r="F471" s="149">
        <v>45901</v>
      </c>
      <c r="G471" s="150">
        <v>250</v>
      </c>
      <c r="H471" s="150">
        <f t="shared" si="17"/>
        <v>250</v>
      </c>
      <c r="I471" s="150"/>
      <c r="J471" s="150">
        <v>250</v>
      </c>
      <c r="K471" s="150">
        <f t="shared" si="15"/>
        <v>0</v>
      </c>
      <c r="L471" s="151">
        <f t="shared" si="16"/>
        <v>0</v>
      </c>
      <c r="M471" s="148"/>
    </row>
    <row r="472" spans="1:13" outlineLevel="3">
      <c r="A472" s="148" t="s">
        <v>126</v>
      </c>
      <c r="B472" s="148" t="s">
        <v>597</v>
      </c>
      <c r="C472" s="148" t="s">
        <v>132</v>
      </c>
      <c r="D472" s="148" t="s">
        <v>600</v>
      </c>
      <c r="E472" s="148" t="s">
        <v>599</v>
      </c>
      <c r="F472" s="149">
        <v>45901</v>
      </c>
      <c r="G472" s="150">
        <v>5512.5</v>
      </c>
      <c r="H472" s="150">
        <f t="shared" si="17"/>
        <v>5512.5</v>
      </c>
      <c r="I472" s="150"/>
      <c r="J472" s="150">
        <v>5512.5</v>
      </c>
      <c r="K472" s="150">
        <f t="shared" si="15"/>
        <v>0</v>
      </c>
      <c r="L472" s="151">
        <f t="shared" si="16"/>
        <v>0</v>
      </c>
      <c r="M472" s="148"/>
    </row>
    <row r="473" spans="1:13" outlineLevel="2">
      <c r="A473" s="148"/>
      <c r="B473" s="173" t="s">
        <v>601</v>
      </c>
      <c r="C473" s="148"/>
      <c r="D473" s="148"/>
      <c r="E473" s="148"/>
      <c r="F473" s="149"/>
      <c r="G473" s="150">
        <f>SUBTOTAL(9,G469:G472)</f>
        <v>6990.6</v>
      </c>
      <c r="H473" s="150">
        <f>SUBTOTAL(9,H469:H472)</f>
        <v>6990.6</v>
      </c>
      <c r="I473" s="150">
        <f>SUBTOTAL(9,I469:I472)</f>
        <v>0</v>
      </c>
      <c r="J473" s="150">
        <f>SUBTOTAL(9,J469:J472)</f>
        <v>6990.6</v>
      </c>
      <c r="K473" s="150"/>
      <c r="L473" s="151"/>
      <c r="M473" s="148"/>
    </row>
    <row r="474" spans="1:13" outlineLevel="3">
      <c r="A474" s="148" t="s">
        <v>126</v>
      </c>
      <c r="B474" s="148" t="s">
        <v>602</v>
      </c>
      <c r="C474" s="148" t="s">
        <v>139</v>
      </c>
      <c r="D474" s="148" t="s">
        <v>139</v>
      </c>
      <c r="E474" s="148" t="s">
        <v>603</v>
      </c>
      <c r="F474" s="149">
        <v>45901</v>
      </c>
      <c r="G474" s="150">
        <v>2751.2</v>
      </c>
      <c r="H474" s="150">
        <f t="shared" si="17"/>
        <v>2751.2</v>
      </c>
      <c r="I474" s="150"/>
      <c r="J474" s="150">
        <v>2751.2</v>
      </c>
      <c r="K474" s="150">
        <f t="shared" si="15"/>
        <v>0</v>
      </c>
      <c r="L474" s="151">
        <f t="shared" si="16"/>
        <v>0</v>
      </c>
      <c r="M474" s="148"/>
    </row>
    <row r="475" spans="1:13" outlineLevel="3">
      <c r="A475" s="148" t="s">
        <v>126</v>
      </c>
      <c r="B475" s="148" t="s">
        <v>602</v>
      </c>
      <c r="C475" s="148" t="s">
        <v>128</v>
      </c>
      <c r="D475" s="148" t="s">
        <v>128</v>
      </c>
      <c r="E475" s="148" t="s">
        <v>603</v>
      </c>
      <c r="F475" s="149">
        <v>45901</v>
      </c>
      <c r="G475" s="150">
        <v>471</v>
      </c>
      <c r="H475" s="150">
        <f t="shared" si="17"/>
        <v>471</v>
      </c>
      <c r="I475" s="150"/>
      <c r="J475" s="150">
        <v>471</v>
      </c>
      <c r="K475" s="150">
        <f t="shared" si="15"/>
        <v>0</v>
      </c>
      <c r="L475" s="151">
        <f t="shared" si="16"/>
        <v>0</v>
      </c>
      <c r="M475" s="148"/>
    </row>
    <row r="476" spans="1:13" outlineLevel="3">
      <c r="A476" s="148" t="s">
        <v>126</v>
      </c>
      <c r="B476" s="148" t="s">
        <v>602</v>
      </c>
      <c r="C476" s="148" t="s">
        <v>131</v>
      </c>
      <c r="D476" s="148" t="s">
        <v>131</v>
      </c>
      <c r="E476" s="148" t="s">
        <v>604</v>
      </c>
      <c r="F476" s="149">
        <v>45901</v>
      </c>
      <c r="G476" s="150">
        <v>1182.25</v>
      </c>
      <c r="H476" s="150">
        <f t="shared" si="17"/>
        <v>1182.25</v>
      </c>
      <c r="I476" s="150"/>
      <c r="J476" s="150">
        <v>1136.75</v>
      </c>
      <c r="K476" s="150">
        <f t="shared" si="15"/>
        <v>45.5</v>
      </c>
      <c r="L476" s="151">
        <f t="shared" si="16"/>
        <v>4.0026391027050801E-2</v>
      </c>
      <c r="M476" s="148"/>
    </row>
    <row r="477" spans="1:13" outlineLevel="3">
      <c r="A477" s="148" t="s">
        <v>126</v>
      </c>
      <c r="B477" s="148" t="s">
        <v>602</v>
      </c>
      <c r="C477" s="148" t="s">
        <v>132</v>
      </c>
      <c r="D477" s="148" t="s">
        <v>605</v>
      </c>
      <c r="E477" s="148" t="s">
        <v>603</v>
      </c>
      <c r="F477" s="149">
        <v>45901</v>
      </c>
      <c r="G477" s="150">
        <v>11080.51</v>
      </c>
      <c r="H477" s="150">
        <f t="shared" si="17"/>
        <v>11080.51</v>
      </c>
      <c r="I477" s="150"/>
      <c r="J477" s="150">
        <v>11080.51</v>
      </c>
      <c r="K477" s="150">
        <f t="shared" ref="K477:K557" si="18">+H477-J477</f>
        <v>0</v>
      </c>
      <c r="L477" s="151">
        <f t="shared" ref="L477:L557" si="19">K477/J477</f>
        <v>0</v>
      </c>
      <c r="M477" s="148"/>
    </row>
    <row r="478" spans="1:13" outlineLevel="2">
      <c r="A478" s="148"/>
      <c r="B478" s="173" t="s">
        <v>606</v>
      </c>
      <c r="C478" s="148"/>
      <c r="D478" s="148"/>
      <c r="E478" s="148"/>
      <c r="F478" s="149"/>
      <c r="G478" s="150">
        <f>SUBTOTAL(9,G474:G477)</f>
        <v>15484.96</v>
      </c>
      <c r="H478" s="150">
        <f>SUBTOTAL(9,H474:H477)</f>
        <v>15484.96</v>
      </c>
      <c r="I478" s="150">
        <f>SUBTOTAL(9,I474:I477)</f>
        <v>0</v>
      </c>
      <c r="J478" s="150">
        <f>SUBTOTAL(9,J474:J477)</f>
        <v>15439.46</v>
      </c>
      <c r="K478" s="150"/>
      <c r="L478" s="151"/>
      <c r="M478" s="148"/>
    </row>
    <row r="479" spans="1:13" outlineLevel="3">
      <c r="A479" s="148" t="s">
        <v>126</v>
      </c>
      <c r="B479" s="148" t="s">
        <v>607</v>
      </c>
      <c r="C479" s="148" t="s">
        <v>128</v>
      </c>
      <c r="D479" s="148" t="s">
        <v>330</v>
      </c>
      <c r="E479" s="148" t="s">
        <v>608</v>
      </c>
      <c r="F479" s="149">
        <v>45901</v>
      </c>
      <c r="G479" s="150">
        <v>1085.0922</v>
      </c>
      <c r="H479" s="150">
        <f t="shared" si="17"/>
        <v>1085.0922</v>
      </c>
      <c r="I479" s="150"/>
      <c r="J479" s="150">
        <v>1085.0922</v>
      </c>
      <c r="K479" s="150">
        <f t="shared" si="18"/>
        <v>0</v>
      </c>
      <c r="L479" s="151">
        <f t="shared" si="19"/>
        <v>0</v>
      </c>
      <c r="M479" s="148"/>
    </row>
    <row r="480" spans="1:13" outlineLevel="3">
      <c r="A480" s="148" t="s">
        <v>126</v>
      </c>
      <c r="B480" s="148" t="s">
        <v>607</v>
      </c>
      <c r="C480" s="148" t="s">
        <v>131</v>
      </c>
      <c r="D480" s="148" t="s">
        <v>331</v>
      </c>
      <c r="E480" s="148" t="s">
        <v>608</v>
      </c>
      <c r="F480" s="149">
        <v>45901</v>
      </c>
      <c r="G480" s="150">
        <v>757</v>
      </c>
      <c r="H480" s="150">
        <f t="shared" si="17"/>
        <v>757</v>
      </c>
      <c r="I480" s="150"/>
      <c r="J480" s="150">
        <v>588</v>
      </c>
      <c r="K480" s="150">
        <f t="shared" si="18"/>
        <v>169</v>
      </c>
      <c r="L480" s="151">
        <f t="shared" si="19"/>
        <v>0.28741496598639454</v>
      </c>
      <c r="M480" s="148"/>
    </row>
    <row r="481" spans="1:13" outlineLevel="3">
      <c r="A481" s="148" t="s">
        <v>126</v>
      </c>
      <c r="B481" s="148" t="s">
        <v>607</v>
      </c>
      <c r="C481" s="148" t="s">
        <v>132</v>
      </c>
      <c r="D481" s="148" t="s">
        <v>270</v>
      </c>
      <c r="E481" s="148" t="s">
        <v>608</v>
      </c>
      <c r="F481" s="149">
        <v>45901</v>
      </c>
      <c r="G481" s="150">
        <v>3840</v>
      </c>
      <c r="H481" s="150">
        <f t="shared" si="17"/>
        <v>3840</v>
      </c>
      <c r="I481" s="150"/>
      <c r="J481" s="150">
        <v>3476</v>
      </c>
      <c r="K481" s="150">
        <f t="shared" si="18"/>
        <v>364</v>
      </c>
      <c r="L481" s="151">
        <f t="shared" si="19"/>
        <v>0.1047180667433832</v>
      </c>
      <c r="M481" s="148"/>
    </row>
    <row r="482" spans="1:13" outlineLevel="2">
      <c r="A482" s="148"/>
      <c r="B482" s="173" t="s">
        <v>609</v>
      </c>
      <c r="C482" s="148"/>
      <c r="D482" s="148"/>
      <c r="E482" s="148"/>
      <c r="F482" s="149"/>
      <c r="G482" s="150">
        <f>SUBTOTAL(9,G479:G481)</f>
        <v>5682.0922</v>
      </c>
      <c r="H482" s="150">
        <f>SUBTOTAL(9,H479:H481)</f>
        <v>5682.0922</v>
      </c>
      <c r="I482" s="150">
        <f>SUBTOTAL(9,I479:I481)</f>
        <v>0</v>
      </c>
      <c r="J482" s="150">
        <f>SUBTOTAL(9,J479:J481)</f>
        <v>5149.0922</v>
      </c>
      <c r="K482" s="150"/>
      <c r="L482" s="151"/>
      <c r="M482" s="148"/>
    </row>
    <row r="483" spans="1:13" outlineLevel="3">
      <c r="A483" s="148" t="s">
        <v>126</v>
      </c>
      <c r="B483" s="148" t="s">
        <v>610</v>
      </c>
      <c r="C483" s="148" t="s">
        <v>139</v>
      </c>
      <c r="D483" s="148" t="s">
        <v>139</v>
      </c>
      <c r="E483" s="148" t="s">
        <v>611</v>
      </c>
      <c r="F483" s="149">
        <v>45901</v>
      </c>
      <c r="G483" s="150">
        <v>1638.5</v>
      </c>
      <c r="H483" s="150">
        <f t="shared" si="17"/>
        <v>1638.5</v>
      </c>
      <c r="I483" s="150"/>
      <c r="J483" s="150">
        <v>1638.5</v>
      </c>
      <c r="K483" s="150">
        <f t="shared" si="18"/>
        <v>0</v>
      </c>
      <c r="L483" s="151">
        <f t="shared" si="19"/>
        <v>0</v>
      </c>
      <c r="M483" s="148"/>
    </row>
    <row r="484" spans="1:13" outlineLevel="3">
      <c r="A484" s="148" t="s">
        <v>126</v>
      </c>
      <c r="B484" s="148" t="s">
        <v>610</v>
      </c>
      <c r="C484" s="148" t="s">
        <v>128</v>
      </c>
      <c r="D484" s="148" t="s">
        <v>128</v>
      </c>
      <c r="E484" s="148" t="s">
        <v>611</v>
      </c>
      <c r="F484" s="149">
        <v>45901</v>
      </c>
      <c r="G484" s="150">
        <v>26.2</v>
      </c>
      <c r="H484" s="150">
        <f t="shared" si="17"/>
        <v>26.2</v>
      </c>
      <c r="I484" s="150"/>
      <c r="J484" s="150">
        <v>26.2</v>
      </c>
      <c r="K484" s="150">
        <f t="shared" si="18"/>
        <v>0</v>
      </c>
      <c r="L484" s="151">
        <f t="shared" si="19"/>
        <v>0</v>
      </c>
      <c r="M484" s="148"/>
    </row>
    <row r="485" spans="1:13" outlineLevel="3">
      <c r="A485" s="148" t="s">
        <v>126</v>
      </c>
      <c r="B485" s="148" t="s">
        <v>610</v>
      </c>
      <c r="C485" s="148" t="s">
        <v>131</v>
      </c>
      <c r="D485" s="148" t="s">
        <v>131</v>
      </c>
      <c r="E485" s="148" t="s">
        <v>611</v>
      </c>
      <c r="F485" s="149">
        <v>45901</v>
      </c>
      <c r="G485" s="150">
        <v>1140</v>
      </c>
      <c r="H485" s="150">
        <f t="shared" si="17"/>
        <v>1140</v>
      </c>
      <c r="I485" s="150"/>
      <c r="J485" s="150">
        <v>1140</v>
      </c>
      <c r="K485" s="150">
        <f t="shared" si="18"/>
        <v>0</v>
      </c>
      <c r="L485" s="151">
        <f t="shared" si="19"/>
        <v>0</v>
      </c>
      <c r="M485" s="148"/>
    </row>
    <row r="486" spans="1:13" outlineLevel="3">
      <c r="A486" s="148" t="s">
        <v>126</v>
      </c>
      <c r="B486" s="148" t="s">
        <v>610</v>
      </c>
      <c r="C486" s="148" t="s">
        <v>132</v>
      </c>
      <c r="D486" s="148" t="s">
        <v>132</v>
      </c>
      <c r="E486" s="148" t="s">
        <v>611</v>
      </c>
      <c r="F486" s="149">
        <v>45901</v>
      </c>
      <c r="G486" s="150">
        <v>4991</v>
      </c>
      <c r="H486" s="150">
        <f t="shared" ref="H486:H566" si="20">+G486</f>
        <v>4991</v>
      </c>
      <c r="I486" s="150"/>
      <c r="J486" s="150">
        <v>4991</v>
      </c>
      <c r="K486" s="150">
        <f t="shared" si="18"/>
        <v>0</v>
      </c>
      <c r="L486" s="151">
        <f t="shared" si="19"/>
        <v>0</v>
      </c>
      <c r="M486" s="148"/>
    </row>
    <row r="487" spans="1:13" outlineLevel="3">
      <c r="A487" s="148" t="s">
        <v>126</v>
      </c>
      <c r="B487" s="148" t="s">
        <v>610</v>
      </c>
      <c r="C487" s="148" t="s">
        <v>207</v>
      </c>
      <c r="D487" s="148" t="s">
        <v>207</v>
      </c>
      <c r="E487" s="148" t="s">
        <v>611</v>
      </c>
      <c r="F487" s="149">
        <v>45901</v>
      </c>
      <c r="G487" s="150">
        <v>750</v>
      </c>
      <c r="H487" s="150">
        <f t="shared" si="20"/>
        <v>750</v>
      </c>
      <c r="I487" s="150"/>
      <c r="J487" s="150">
        <v>750</v>
      </c>
      <c r="K487" s="150">
        <f t="shared" si="18"/>
        <v>0</v>
      </c>
      <c r="L487" s="151">
        <f t="shared" si="19"/>
        <v>0</v>
      </c>
      <c r="M487" s="148"/>
    </row>
    <row r="488" spans="1:13" outlineLevel="2">
      <c r="A488" s="148"/>
      <c r="B488" s="173" t="s">
        <v>612</v>
      </c>
      <c r="C488" s="148"/>
      <c r="D488" s="148"/>
      <c r="E488" s="148"/>
      <c r="F488" s="149"/>
      <c r="G488" s="150">
        <f>SUBTOTAL(9,G483:G487)</f>
        <v>8545.7000000000007</v>
      </c>
      <c r="H488" s="150">
        <f>SUBTOTAL(9,H483:H487)</f>
        <v>8545.7000000000007</v>
      </c>
      <c r="I488" s="150">
        <f>SUBTOTAL(9,I483:I487)</f>
        <v>0</v>
      </c>
      <c r="J488" s="150">
        <f>SUBTOTAL(9,J483:J487)</f>
        <v>8545.7000000000007</v>
      </c>
      <c r="K488" s="150"/>
      <c r="L488" s="151"/>
      <c r="M488" s="148"/>
    </row>
    <row r="489" spans="1:13" outlineLevel="3">
      <c r="A489" s="148" t="s">
        <v>126</v>
      </c>
      <c r="B489" s="148" t="s">
        <v>613</v>
      </c>
      <c r="C489" s="148" t="s">
        <v>131</v>
      </c>
      <c r="D489" s="148" t="s">
        <v>131</v>
      </c>
      <c r="E489" s="148" t="s">
        <v>614</v>
      </c>
      <c r="F489" s="149">
        <v>45901</v>
      </c>
      <c r="G489" s="150">
        <v>140</v>
      </c>
      <c r="H489" s="150">
        <f t="shared" si="20"/>
        <v>140</v>
      </c>
      <c r="I489" s="150"/>
      <c r="J489" s="150">
        <v>0</v>
      </c>
      <c r="K489" s="150">
        <f t="shared" si="18"/>
        <v>140</v>
      </c>
      <c r="L489" s="151"/>
      <c r="M489" s="148"/>
    </row>
    <row r="490" spans="1:13" outlineLevel="2">
      <c r="A490" s="148"/>
      <c r="B490" s="173" t="s">
        <v>615</v>
      </c>
      <c r="C490" s="148"/>
      <c r="D490" s="148"/>
      <c r="E490" s="148"/>
      <c r="F490" s="149"/>
      <c r="G490" s="150">
        <f>SUBTOTAL(9,G489:G489)</f>
        <v>140</v>
      </c>
      <c r="H490" s="150">
        <f>SUBTOTAL(9,H489:H489)</f>
        <v>140</v>
      </c>
      <c r="I490" s="150">
        <f>SUBTOTAL(9,I489:I489)</f>
        <v>0</v>
      </c>
      <c r="J490" s="150">
        <f>SUBTOTAL(9,J489:J489)</f>
        <v>0</v>
      </c>
      <c r="K490" s="150"/>
      <c r="L490" s="151"/>
      <c r="M490" s="148"/>
    </row>
    <row r="491" spans="1:13" outlineLevel="3">
      <c r="A491" s="148" t="s">
        <v>126</v>
      </c>
      <c r="B491" s="148" t="s">
        <v>616</v>
      </c>
      <c r="C491" s="148" t="s">
        <v>128</v>
      </c>
      <c r="D491" s="148" t="s">
        <v>128</v>
      </c>
      <c r="E491" s="148" t="s">
        <v>617</v>
      </c>
      <c r="F491" s="149">
        <v>45901</v>
      </c>
      <c r="G491" s="150">
        <v>0</v>
      </c>
      <c r="H491" s="150">
        <f t="shared" si="20"/>
        <v>0</v>
      </c>
      <c r="I491" s="150"/>
      <c r="J491" s="150">
        <v>0</v>
      </c>
      <c r="K491" s="150">
        <f t="shared" si="18"/>
        <v>0</v>
      </c>
      <c r="L491" s="151"/>
      <c r="M491" s="148"/>
    </row>
    <row r="492" spans="1:13" outlineLevel="3">
      <c r="A492" s="148" t="s">
        <v>126</v>
      </c>
      <c r="B492" s="148" t="s">
        <v>616</v>
      </c>
      <c r="C492" s="148" t="s">
        <v>131</v>
      </c>
      <c r="D492" s="148" t="s">
        <v>265</v>
      </c>
      <c r="E492" s="148" t="s">
        <v>617</v>
      </c>
      <c r="F492" s="149">
        <v>45901</v>
      </c>
      <c r="G492" s="150">
        <v>2341</v>
      </c>
      <c r="H492" s="150">
        <f t="shared" si="20"/>
        <v>2341</v>
      </c>
      <c r="I492" s="150"/>
      <c r="J492" s="150">
        <v>2316</v>
      </c>
      <c r="K492" s="150">
        <f t="shared" si="18"/>
        <v>25</v>
      </c>
      <c r="L492" s="151">
        <f t="shared" si="19"/>
        <v>1.079447322970639E-2</v>
      </c>
      <c r="M492" s="148"/>
    </row>
    <row r="493" spans="1:13" outlineLevel="3">
      <c r="A493" s="148" t="s">
        <v>126</v>
      </c>
      <c r="B493" s="148" t="s">
        <v>616</v>
      </c>
      <c r="C493" s="148" t="s">
        <v>132</v>
      </c>
      <c r="D493" s="148" t="s">
        <v>618</v>
      </c>
      <c r="E493" s="148" t="s">
        <v>617</v>
      </c>
      <c r="F493" s="149">
        <v>45901</v>
      </c>
      <c r="G493" s="150">
        <v>3675</v>
      </c>
      <c r="H493" s="150">
        <f t="shared" si="20"/>
        <v>3675</v>
      </c>
      <c r="I493" s="150"/>
      <c r="J493" s="150">
        <v>3675</v>
      </c>
      <c r="K493" s="150">
        <f t="shared" si="18"/>
        <v>0</v>
      </c>
      <c r="L493" s="151">
        <f t="shared" si="19"/>
        <v>0</v>
      </c>
      <c r="M493" s="148"/>
    </row>
    <row r="494" spans="1:13" outlineLevel="2">
      <c r="A494" s="148"/>
      <c r="B494" s="173" t="s">
        <v>619</v>
      </c>
      <c r="C494" s="148"/>
      <c r="D494" s="148"/>
      <c r="E494" s="148"/>
      <c r="F494" s="149"/>
      <c r="G494" s="150">
        <f>SUBTOTAL(9,G491:G493)</f>
        <v>6016</v>
      </c>
      <c r="H494" s="150">
        <f>SUBTOTAL(9,H491:H493)</f>
        <v>6016</v>
      </c>
      <c r="I494" s="150">
        <f>SUBTOTAL(9,I491:I493)</f>
        <v>0</v>
      </c>
      <c r="J494" s="150">
        <f>SUBTOTAL(9,J491:J493)</f>
        <v>5991</v>
      </c>
      <c r="K494" s="150"/>
      <c r="L494" s="151"/>
      <c r="M494" s="148"/>
    </row>
    <row r="495" spans="1:13" outlineLevel="3">
      <c r="A495" s="148" t="s">
        <v>126</v>
      </c>
      <c r="B495" s="148" t="s">
        <v>620</v>
      </c>
      <c r="C495" s="148" t="s">
        <v>139</v>
      </c>
      <c r="D495" s="148" t="s">
        <v>139</v>
      </c>
      <c r="E495" s="148" t="s">
        <v>621</v>
      </c>
      <c r="F495" s="149">
        <v>45901</v>
      </c>
      <c r="G495" s="150">
        <v>125</v>
      </c>
      <c r="H495" s="150">
        <f t="shared" si="20"/>
        <v>125</v>
      </c>
      <c r="I495" s="150"/>
      <c r="J495" s="150">
        <v>125</v>
      </c>
      <c r="K495" s="150">
        <f t="shared" si="18"/>
        <v>0</v>
      </c>
      <c r="L495" s="151">
        <f t="shared" si="19"/>
        <v>0</v>
      </c>
      <c r="M495" s="148"/>
    </row>
    <row r="496" spans="1:13" outlineLevel="3">
      <c r="A496" s="148" t="s">
        <v>126</v>
      </c>
      <c r="B496" s="148" t="s">
        <v>620</v>
      </c>
      <c r="C496" s="148" t="s">
        <v>128</v>
      </c>
      <c r="D496" s="148" t="s">
        <v>128</v>
      </c>
      <c r="E496" s="148" t="s">
        <v>621</v>
      </c>
      <c r="F496" s="149">
        <v>45901</v>
      </c>
      <c r="G496" s="150">
        <v>254.75</v>
      </c>
      <c r="H496" s="150">
        <f t="shared" si="20"/>
        <v>254.75</v>
      </c>
      <c r="I496" s="150"/>
      <c r="J496" s="150">
        <v>254.75</v>
      </c>
      <c r="K496" s="150">
        <f t="shared" si="18"/>
        <v>0</v>
      </c>
      <c r="L496" s="151">
        <f t="shared" si="19"/>
        <v>0</v>
      </c>
      <c r="M496" s="148"/>
    </row>
    <row r="497" spans="1:13" outlineLevel="3">
      <c r="A497" s="148" t="s">
        <v>126</v>
      </c>
      <c r="B497" s="148" t="s">
        <v>620</v>
      </c>
      <c r="C497" s="148" t="s">
        <v>131</v>
      </c>
      <c r="D497" s="148" t="s">
        <v>131</v>
      </c>
      <c r="E497" s="148" t="s">
        <v>621</v>
      </c>
      <c r="F497" s="149">
        <v>45901</v>
      </c>
      <c r="G497" s="150">
        <v>91</v>
      </c>
      <c r="H497" s="150">
        <f t="shared" si="20"/>
        <v>91</v>
      </c>
      <c r="I497" s="150"/>
      <c r="J497" s="150">
        <v>91</v>
      </c>
      <c r="K497" s="150">
        <f t="shared" si="18"/>
        <v>0</v>
      </c>
      <c r="L497" s="151">
        <f t="shared" si="19"/>
        <v>0</v>
      </c>
      <c r="M497" s="148"/>
    </row>
    <row r="498" spans="1:13" outlineLevel="3">
      <c r="A498" s="148" t="s">
        <v>126</v>
      </c>
      <c r="B498" s="148" t="s">
        <v>620</v>
      </c>
      <c r="C498" s="148" t="s">
        <v>132</v>
      </c>
      <c r="D498" s="148" t="s">
        <v>622</v>
      </c>
      <c r="E498" s="148" t="s">
        <v>621</v>
      </c>
      <c r="F498" s="149">
        <v>45901</v>
      </c>
      <c r="G498" s="150">
        <v>2060.8000000000002</v>
      </c>
      <c r="H498" s="150">
        <f t="shared" si="20"/>
        <v>2060.8000000000002</v>
      </c>
      <c r="I498" s="150"/>
      <c r="J498" s="150">
        <v>2060.8000000000002</v>
      </c>
      <c r="K498" s="150">
        <f t="shared" si="18"/>
        <v>0</v>
      </c>
      <c r="L498" s="151">
        <f t="shared" si="19"/>
        <v>0</v>
      </c>
      <c r="M498" s="148"/>
    </row>
    <row r="499" spans="1:13" outlineLevel="2">
      <c r="A499" s="148"/>
      <c r="B499" s="173" t="s">
        <v>623</v>
      </c>
      <c r="C499" s="148"/>
      <c r="D499" s="148"/>
      <c r="E499" s="148"/>
      <c r="F499" s="149"/>
      <c r="G499" s="150">
        <f>SUBTOTAL(9,G495:G498)</f>
        <v>2531.5500000000002</v>
      </c>
      <c r="H499" s="150">
        <f>SUBTOTAL(9,H495:H498)</f>
        <v>2531.5500000000002</v>
      </c>
      <c r="I499" s="150">
        <f>SUBTOTAL(9,I495:I498)</f>
        <v>0</v>
      </c>
      <c r="J499" s="150">
        <f>SUBTOTAL(9,J495:J498)</f>
        <v>2531.5500000000002</v>
      </c>
      <c r="K499" s="150"/>
      <c r="L499" s="151"/>
      <c r="M499" s="148"/>
    </row>
    <row r="500" spans="1:13" outlineLevel="3">
      <c r="A500" s="148" t="s">
        <v>126</v>
      </c>
      <c r="B500" s="148" t="s">
        <v>624</v>
      </c>
      <c r="C500" s="148" t="s">
        <v>135</v>
      </c>
      <c r="D500" s="148" t="s">
        <v>328</v>
      </c>
      <c r="E500" s="148" t="s">
        <v>625</v>
      </c>
      <c r="F500" s="149">
        <v>45901</v>
      </c>
      <c r="G500" s="150">
        <v>600</v>
      </c>
      <c r="H500" s="150">
        <f t="shared" si="20"/>
        <v>600</v>
      </c>
      <c r="I500" s="150"/>
      <c r="J500" s="150">
        <v>600</v>
      </c>
      <c r="K500" s="150">
        <f t="shared" si="18"/>
        <v>0</v>
      </c>
      <c r="L500" s="151">
        <f t="shared" si="19"/>
        <v>0</v>
      </c>
      <c r="M500" s="148"/>
    </row>
    <row r="501" spans="1:13" outlineLevel="3">
      <c r="A501" s="148" t="s">
        <v>126</v>
      </c>
      <c r="B501" s="148" t="s">
        <v>624</v>
      </c>
      <c r="C501" s="148" t="s">
        <v>128</v>
      </c>
      <c r="D501" s="148" t="s">
        <v>330</v>
      </c>
      <c r="E501" s="148" t="s">
        <v>625</v>
      </c>
      <c r="F501" s="149">
        <v>45901</v>
      </c>
      <c r="G501" s="150">
        <v>254.89680000000001</v>
      </c>
      <c r="H501" s="150">
        <f t="shared" si="20"/>
        <v>254.89680000000001</v>
      </c>
      <c r="I501" s="150"/>
      <c r="J501" s="150">
        <v>254.31120000000001</v>
      </c>
      <c r="K501" s="150">
        <f t="shared" si="18"/>
        <v>0.58559999999999945</v>
      </c>
      <c r="L501" s="151">
        <f t="shared" si="19"/>
        <v>2.3026905617998714E-3</v>
      </c>
      <c r="M501" s="148"/>
    </row>
    <row r="502" spans="1:13" outlineLevel="3">
      <c r="A502" s="148" t="s">
        <v>126</v>
      </c>
      <c r="B502" s="148" t="s">
        <v>624</v>
      </c>
      <c r="C502" s="148" t="s">
        <v>131</v>
      </c>
      <c r="D502" s="148" t="s">
        <v>331</v>
      </c>
      <c r="E502" s="148" t="s">
        <v>625</v>
      </c>
      <c r="F502" s="149">
        <v>45901</v>
      </c>
      <c r="G502" s="150">
        <v>868</v>
      </c>
      <c r="H502" s="150">
        <f t="shared" si="20"/>
        <v>868</v>
      </c>
      <c r="I502" s="150"/>
      <c r="J502" s="150">
        <v>840</v>
      </c>
      <c r="K502" s="150">
        <f t="shared" si="18"/>
        <v>28</v>
      </c>
      <c r="L502" s="151">
        <f t="shared" si="19"/>
        <v>3.3333333333333333E-2</v>
      </c>
      <c r="M502" s="148"/>
    </row>
    <row r="503" spans="1:13" outlineLevel="3">
      <c r="A503" s="148" t="s">
        <v>126</v>
      </c>
      <c r="B503" s="148" t="s">
        <v>624</v>
      </c>
      <c r="C503" s="148" t="s">
        <v>132</v>
      </c>
      <c r="D503" s="148" t="s">
        <v>270</v>
      </c>
      <c r="E503" s="148" t="s">
        <v>625</v>
      </c>
      <c r="F503" s="149">
        <v>45901</v>
      </c>
      <c r="G503" s="150">
        <v>1480.0032000000001</v>
      </c>
      <c r="H503" s="150">
        <f t="shared" si="20"/>
        <v>1480.0032000000001</v>
      </c>
      <c r="I503" s="150"/>
      <c r="J503" s="150">
        <v>1480</v>
      </c>
      <c r="K503" s="150">
        <f t="shared" si="18"/>
        <v>3.200000000106229E-3</v>
      </c>
      <c r="L503" s="151">
        <f t="shared" si="19"/>
        <v>2.1621621622339386E-6</v>
      </c>
      <c r="M503" s="148"/>
    </row>
    <row r="504" spans="1:13" outlineLevel="2">
      <c r="A504" s="148"/>
      <c r="B504" s="173" t="s">
        <v>626</v>
      </c>
      <c r="C504" s="148"/>
      <c r="D504" s="148"/>
      <c r="E504" s="148"/>
      <c r="F504" s="149"/>
      <c r="G504" s="150">
        <f>SUBTOTAL(9,G500:G503)</f>
        <v>3202.9</v>
      </c>
      <c r="H504" s="150">
        <f>SUBTOTAL(9,H500:H503)</f>
        <v>3202.9</v>
      </c>
      <c r="I504" s="150">
        <f>SUBTOTAL(9,I500:I503)</f>
        <v>0</v>
      </c>
      <c r="J504" s="150">
        <f>SUBTOTAL(9,J500:J503)</f>
        <v>3174.3112000000001</v>
      </c>
      <c r="K504" s="150"/>
      <c r="L504" s="151"/>
      <c r="M504" s="148"/>
    </row>
    <row r="505" spans="1:13" outlineLevel="3">
      <c r="A505" s="148" t="s">
        <v>126</v>
      </c>
      <c r="B505" s="148" t="s">
        <v>627</v>
      </c>
      <c r="C505" s="148" t="s">
        <v>128</v>
      </c>
      <c r="D505" s="148" t="s">
        <v>128</v>
      </c>
      <c r="E505" s="148" t="s">
        <v>628</v>
      </c>
      <c r="F505" s="149">
        <v>45901</v>
      </c>
      <c r="G505" s="150">
        <v>309</v>
      </c>
      <c r="H505" s="150">
        <f t="shared" si="20"/>
        <v>309</v>
      </c>
      <c r="I505" s="150"/>
      <c r="J505" s="150">
        <v>309</v>
      </c>
      <c r="K505" s="150">
        <f t="shared" si="18"/>
        <v>0</v>
      </c>
      <c r="L505" s="151">
        <f t="shared" si="19"/>
        <v>0</v>
      </c>
      <c r="M505" s="148"/>
    </row>
    <row r="506" spans="1:13" outlineLevel="3">
      <c r="A506" s="148" t="s">
        <v>126</v>
      </c>
      <c r="B506" s="148" t="s">
        <v>627</v>
      </c>
      <c r="C506" s="148" t="s">
        <v>131</v>
      </c>
      <c r="D506" s="148" t="s">
        <v>131</v>
      </c>
      <c r="E506" s="148" t="s">
        <v>628</v>
      </c>
      <c r="F506" s="149">
        <v>45901</v>
      </c>
      <c r="G506" s="150">
        <v>1080</v>
      </c>
      <c r="H506" s="150">
        <f t="shared" si="20"/>
        <v>1080</v>
      </c>
      <c r="I506" s="150"/>
      <c r="J506" s="150">
        <v>1086</v>
      </c>
      <c r="K506" s="150">
        <f t="shared" si="18"/>
        <v>-6</v>
      </c>
      <c r="L506" s="151">
        <f t="shared" si="19"/>
        <v>-5.5248618784530384E-3</v>
      </c>
      <c r="M506" s="148" t="s">
        <v>177</v>
      </c>
    </row>
    <row r="507" spans="1:13" outlineLevel="3">
      <c r="A507" s="148" t="s">
        <v>126</v>
      </c>
      <c r="B507" s="148" t="s">
        <v>627</v>
      </c>
      <c r="C507" s="148" t="s">
        <v>132</v>
      </c>
      <c r="D507" s="148" t="s">
        <v>629</v>
      </c>
      <c r="E507" s="148" t="s">
        <v>628</v>
      </c>
      <c r="F507" s="149">
        <v>45901</v>
      </c>
      <c r="G507" s="150">
        <v>5549.57</v>
      </c>
      <c r="H507" s="150">
        <f t="shared" si="20"/>
        <v>5549.57</v>
      </c>
      <c r="I507" s="150"/>
      <c r="J507" s="150">
        <v>5549.57</v>
      </c>
      <c r="K507" s="150">
        <f t="shared" si="18"/>
        <v>0</v>
      </c>
      <c r="L507" s="151">
        <f t="shared" si="19"/>
        <v>0</v>
      </c>
      <c r="M507" s="148"/>
    </row>
    <row r="508" spans="1:13" outlineLevel="3">
      <c r="A508" s="148" t="s">
        <v>126</v>
      </c>
      <c r="B508" s="148" t="s">
        <v>627</v>
      </c>
      <c r="C508" s="148" t="s">
        <v>207</v>
      </c>
      <c r="D508" s="148" t="s">
        <v>207</v>
      </c>
      <c r="E508" s="148" t="s">
        <v>628</v>
      </c>
      <c r="F508" s="149">
        <v>45901</v>
      </c>
      <c r="G508" s="150">
        <v>101.51</v>
      </c>
      <c r="H508" s="150">
        <f t="shared" si="20"/>
        <v>101.51</v>
      </c>
      <c r="I508" s="150"/>
      <c r="J508" s="150">
        <v>101.51</v>
      </c>
      <c r="K508" s="150">
        <f t="shared" si="18"/>
        <v>0</v>
      </c>
      <c r="L508" s="151">
        <f t="shared" si="19"/>
        <v>0</v>
      </c>
      <c r="M508" s="148"/>
    </row>
    <row r="509" spans="1:13" outlineLevel="2">
      <c r="A509" s="148"/>
      <c r="B509" s="173" t="s">
        <v>630</v>
      </c>
      <c r="C509" s="148"/>
      <c r="D509" s="148"/>
      <c r="E509" s="148"/>
      <c r="F509" s="149"/>
      <c r="G509" s="150">
        <f>SUBTOTAL(9,G505:G508)</f>
        <v>7040.08</v>
      </c>
      <c r="H509" s="150">
        <f>SUBTOTAL(9,H505:H508)</f>
        <v>7040.08</v>
      </c>
      <c r="I509" s="150">
        <f>SUBTOTAL(9,I505:I508)</f>
        <v>0</v>
      </c>
      <c r="J509" s="150">
        <f>SUBTOTAL(9,J505:J508)</f>
        <v>7046.08</v>
      </c>
      <c r="K509" s="150"/>
      <c r="L509" s="151"/>
      <c r="M509" s="148"/>
    </row>
    <row r="510" spans="1:13" outlineLevel="3">
      <c r="A510" s="148" t="s">
        <v>126</v>
      </c>
      <c r="B510" s="148" t="s">
        <v>631</v>
      </c>
      <c r="C510" s="148" t="s">
        <v>128</v>
      </c>
      <c r="D510" s="148" t="s">
        <v>128</v>
      </c>
      <c r="E510" s="148" t="s">
        <v>632</v>
      </c>
      <c r="F510" s="149">
        <v>45901</v>
      </c>
      <c r="G510" s="150">
        <v>130</v>
      </c>
      <c r="H510" s="150">
        <f t="shared" si="20"/>
        <v>130</v>
      </c>
      <c r="I510" s="150"/>
      <c r="J510" s="150">
        <v>130</v>
      </c>
      <c r="K510" s="150">
        <f t="shared" si="18"/>
        <v>0</v>
      </c>
      <c r="L510" s="151">
        <f t="shared" si="19"/>
        <v>0</v>
      </c>
      <c r="M510" s="148"/>
    </row>
    <row r="511" spans="1:13" outlineLevel="3">
      <c r="A511" s="148" t="s">
        <v>126</v>
      </c>
      <c r="B511" s="148" t="s">
        <v>631</v>
      </c>
      <c r="C511" s="148" t="s">
        <v>131</v>
      </c>
      <c r="D511" s="148" t="s">
        <v>131</v>
      </c>
      <c r="E511" s="148" t="s">
        <v>632</v>
      </c>
      <c r="F511" s="149">
        <v>45901</v>
      </c>
      <c r="G511" s="150">
        <v>350</v>
      </c>
      <c r="H511" s="150">
        <f t="shared" si="20"/>
        <v>350</v>
      </c>
      <c r="I511" s="150"/>
      <c r="J511" s="150">
        <v>350</v>
      </c>
      <c r="K511" s="150">
        <f t="shared" si="18"/>
        <v>0</v>
      </c>
      <c r="L511" s="151">
        <f t="shared" si="19"/>
        <v>0</v>
      </c>
      <c r="M511" s="148"/>
    </row>
    <row r="512" spans="1:13" outlineLevel="3">
      <c r="A512" s="148" t="s">
        <v>126</v>
      </c>
      <c r="B512" s="148" t="s">
        <v>631</v>
      </c>
      <c r="C512" s="148" t="s">
        <v>132</v>
      </c>
      <c r="D512" s="148" t="s">
        <v>633</v>
      </c>
      <c r="E512" s="148" t="s">
        <v>632</v>
      </c>
      <c r="F512" s="149">
        <v>45901</v>
      </c>
      <c r="G512" s="150">
        <v>1639.09</v>
      </c>
      <c r="H512" s="150">
        <f t="shared" si="20"/>
        <v>1639.09</v>
      </c>
      <c r="I512" s="150"/>
      <c r="J512" s="150">
        <v>1639.09</v>
      </c>
      <c r="K512" s="150">
        <f t="shared" si="18"/>
        <v>0</v>
      </c>
      <c r="L512" s="151">
        <f t="shared" si="19"/>
        <v>0</v>
      </c>
      <c r="M512" s="148"/>
    </row>
    <row r="513" spans="1:13" outlineLevel="2">
      <c r="A513" s="148"/>
      <c r="B513" s="173" t="s">
        <v>634</v>
      </c>
      <c r="C513" s="148"/>
      <c r="D513" s="148"/>
      <c r="E513" s="148"/>
      <c r="F513" s="149"/>
      <c r="G513" s="150">
        <f>SUBTOTAL(9,G510:G512)</f>
        <v>2119.09</v>
      </c>
      <c r="H513" s="150">
        <f>SUBTOTAL(9,H510:H512)</f>
        <v>2119.09</v>
      </c>
      <c r="I513" s="150">
        <f>SUBTOTAL(9,I510:I512)</f>
        <v>0</v>
      </c>
      <c r="J513" s="150">
        <f>SUBTOTAL(9,J510:J512)</f>
        <v>2119.09</v>
      </c>
      <c r="K513" s="150"/>
      <c r="L513" s="151"/>
      <c r="M513" s="148"/>
    </row>
    <row r="514" spans="1:13" outlineLevel="3">
      <c r="A514" s="148" t="s">
        <v>126</v>
      </c>
      <c r="B514" s="148" t="s">
        <v>635</v>
      </c>
      <c r="C514" s="148" t="s">
        <v>139</v>
      </c>
      <c r="D514" s="148" t="s">
        <v>636</v>
      </c>
      <c r="E514" s="148" t="s">
        <v>637</v>
      </c>
      <c r="F514" s="149">
        <v>45901</v>
      </c>
      <c r="G514" s="150">
        <v>352.8</v>
      </c>
      <c r="H514" s="150">
        <f t="shared" si="20"/>
        <v>352.8</v>
      </c>
      <c r="I514" s="150"/>
      <c r="J514" s="150">
        <v>352.8</v>
      </c>
      <c r="K514" s="150">
        <f t="shared" si="18"/>
        <v>0</v>
      </c>
      <c r="L514" s="151">
        <f t="shared" si="19"/>
        <v>0</v>
      </c>
      <c r="M514" s="148"/>
    </row>
    <row r="515" spans="1:13" outlineLevel="3">
      <c r="A515" s="148" t="s">
        <v>126</v>
      </c>
      <c r="B515" s="148" t="s">
        <v>635</v>
      </c>
      <c r="C515" s="148" t="s">
        <v>128</v>
      </c>
      <c r="D515" s="148" t="s">
        <v>128</v>
      </c>
      <c r="E515" s="148" t="s">
        <v>637</v>
      </c>
      <c r="F515" s="149">
        <v>45901</v>
      </c>
      <c r="G515" s="150">
        <v>684.75</v>
      </c>
      <c r="H515" s="150">
        <f t="shared" si="20"/>
        <v>684.75</v>
      </c>
      <c r="I515" s="150"/>
      <c r="J515" s="150">
        <v>684.75</v>
      </c>
      <c r="K515" s="150">
        <f t="shared" si="18"/>
        <v>0</v>
      </c>
      <c r="L515" s="151">
        <f t="shared" si="19"/>
        <v>0</v>
      </c>
      <c r="M515" s="148"/>
    </row>
    <row r="516" spans="1:13" outlineLevel="3">
      <c r="A516" s="148" t="s">
        <v>126</v>
      </c>
      <c r="B516" s="148" t="s">
        <v>635</v>
      </c>
      <c r="C516" s="148" t="s">
        <v>131</v>
      </c>
      <c r="D516" s="148" t="s">
        <v>131</v>
      </c>
      <c r="E516" s="148" t="s">
        <v>637</v>
      </c>
      <c r="F516" s="149">
        <v>45901</v>
      </c>
      <c r="G516" s="150">
        <v>182</v>
      </c>
      <c r="H516" s="150">
        <f t="shared" si="20"/>
        <v>182</v>
      </c>
      <c r="I516" s="150"/>
      <c r="J516" s="150">
        <v>189</v>
      </c>
      <c r="K516" s="150">
        <f t="shared" si="18"/>
        <v>-7</v>
      </c>
      <c r="L516" s="151">
        <f t="shared" si="19"/>
        <v>-3.7037037037037035E-2</v>
      </c>
      <c r="M516" s="148" t="s">
        <v>638</v>
      </c>
    </row>
    <row r="517" spans="1:13" outlineLevel="3">
      <c r="A517" s="148" t="s">
        <v>126</v>
      </c>
      <c r="B517" s="148" t="s">
        <v>635</v>
      </c>
      <c r="C517" s="148" t="s">
        <v>132</v>
      </c>
      <c r="D517" s="148" t="s">
        <v>639</v>
      </c>
      <c r="E517" s="148" t="s">
        <v>637</v>
      </c>
      <c r="F517" s="149">
        <v>45901</v>
      </c>
      <c r="G517" s="150">
        <v>1670.92</v>
      </c>
      <c r="H517" s="150">
        <f t="shared" si="20"/>
        <v>1670.92</v>
      </c>
      <c r="I517" s="150"/>
      <c r="J517" s="150">
        <v>1670.92</v>
      </c>
      <c r="K517" s="150">
        <f t="shared" si="18"/>
        <v>0</v>
      </c>
      <c r="L517" s="151">
        <f t="shared" si="19"/>
        <v>0</v>
      </c>
      <c r="M517" s="148"/>
    </row>
    <row r="518" spans="1:13" outlineLevel="2">
      <c r="A518" s="148"/>
      <c r="B518" s="173" t="s">
        <v>640</v>
      </c>
      <c r="C518" s="148"/>
      <c r="D518" s="148"/>
      <c r="E518" s="148"/>
      <c r="F518" s="149"/>
      <c r="G518" s="150">
        <f>SUBTOTAL(9,G514:G517)</f>
        <v>2890.4700000000003</v>
      </c>
      <c r="H518" s="150">
        <f>SUBTOTAL(9,H514:H517)</f>
        <v>2890.4700000000003</v>
      </c>
      <c r="I518" s="150">
        <f>SUBTOTAL(9,I514:I517)</f>
        <v>0</v>
      </c>
      <c r="J518" s="150">
        <f>SUBTOTAL(9,J514:J517)</f>
        <v>2897.4700000000003</v>
      </c>
      <c r="K518" s="150"/>
      <c r="L518" s="151"/>
      <c r="M518" s="148"/>
    </row>
    <row r="519" spans="1:13" outlineLevel="3">
      <c r="A519" s="148" t="s">
        <v>126</v>
      </c>
      <c r="B519" s="148" t="s">
        <v>641</v>
      </c>
      <c r="C519" s="148" t="s">
        <v>139</v>
      </c>
      <c r="D519" s="148" t="s">
        <v>642</v>
      </c>
      <c r="E519" s="148" t="s">
        <v>643</v>
      </c>
      <c r="F519" s="149">
        <v>45901</v>
      </c>
      <c r="G519" s="150">
        <v>140</v>
      </c>
      <c r="H519" s="150">
        <f t="shared" si="20"/>
        <v>140</v>
      </c>
      <c r="I519" s="150"/>
      <c r="J519" s="150">
        <v>140</v>
      </c>
      <c r="K519" s="150">
        <f t="shared" si="18"/>
        <v>0</v>
      </c>
      <c r="L519" s="151">
        <f t="shared" si="19"/>
        <v>0</v>
      </c>
      <c r="M519" s="148"/>
    </row>
    <row r="520" spans="1:13" outlineLevel="3">
      <c r="A520" s="148" t="s">
        <v>126</v>
      </c>
      <c r="B520" s="148" t="s">
        <v>641</v>
      </c>
      <c r="C520" s="148" t="s">
        <v>128</v>
      </c>
      <c r="D520" s="148" t="s">
        <v>128</v>
      </c>
      <c r="E520" s="148" t="s">
        <v>643</v>
      </c>
      <c r="F520" s="149">
        <v>45901</v>
      </c>
      <c r="G520" s="150">
        <v>183.78</v>
      </c>
      <c r="H520" s="150">
        <f t="shared" si="20"/>
        <v>183.78</v>
      </c>
      <c r="I520" s="150"/>
      <c r="J520" s="150">
        <v>183.78</v>
      </c>
      <c r="K520" s="150">
        <f t="shared" si="18"/>
        <v>0</v>
      </c>
      <c r="L520" s="151">
        <f t="shared" si="19"/>
        <v>0</v>
      </c>
      <c r="M520" s="148"/>
    </row>
    <row r="521" spans="1:13" outlineLevel="3">
      <c r="A521" s="148" t="s">
        <v>126</v>
      </c>
      <c r="B521" s="148" t="s">
        <v>641</v>
      </c>
      <c r="C521" s="148" t="s">
        <v>131</v>
      </c>
      <c r="D521" s="148" t="s">
        <v>131</v>
      </c>
      <c r="E521" s="148" t="s">
        <v>643</v>
      </c>
      <c r="F521" s="149">
        <v>45901</v>
      </c>
      <c r="G521" s="150">
        <v>131.25</v>
      </c>
      <c r="H521" s="150">
        <f t="shared" si="20"/>
        <v>131.25</v>
      </c>
      <c r="I521" s="150"/>
      <c r="J521" s="150">
        <v>131.25</v>
      </c>
      <c r="K521" s="150">
        <f t="shared" si="18"/>
        <v>0</v>
      </c>
      <c r="L521" s="151">
        <f t="shared" si="19"/>
        <v>0</v>
      </c>
      <c r="M521" s="148"/>
    </row>
    <row r="522" spans="1:13" outlineLevel="3">
      <c r="A522" s="148" t="s">
        <v>126</v>
      </c>
      <c r="B522" s="148" t="s">
        <v>641</v>
      </c>
      <c r="C522" s="148" t="s">
        <v>132</v>
      </c>
      <c r="D522" s="148" t="s">
        <v>644</v>
      </c>
      <c r="E522" s="148" t="s">
        <v>643</v>
      </c>
      <c r="F522" s="149">
        <v>45901</v>
      </c>
      <c r="G522" s="150">
        <v>2639.29</v>
      </c>
      <c r="H522" s="150">
        <f t="shared" si="20"/>
        <v>2639.29</v>
      </c>
      <c r="I522" s="150"/>
      <c r="J522" s="150">
        <v>2639.29</v>
      </c>
      <c r="K522" s="150">
        <f t="shared" si="18"/>
        <v>0</v>
      </c>
      <c r="L522" s="151">
        <f t="shared" si="19"/>
        <v>0</v>
      </c>
      <c r="M522" s="148"/>
    </row>
    <row r="523" spans="1:13" outlineLevel="3">
      <c r="A523" s="148" t="s">
        <v>126</v>
      </c>
      <c r="B523" s="148" t="s">
        <v>641</v>
      </c>
      <c r="C523" s="148" t="s">
        <v>207</v>
      </c>
      <c r="D523" s="148" t="s">
        <v>645</v>
      </c>
      <c r="E523" s="148" t="s">
        <v>643</v>
      </c>
      <c r="F523" s="149">
        <v>45901</v>
      </c>
      <c r="G523" s="150">
        <v>919.28</v>
      </c>
      <c r="H523" s="150">
        <f t="shared" si="20"/>
        <v>919.28</v>
      </c>
      <c r="I523" s="150"/>
      <c r="J523" s="150">
        <v>919.28</v>
      </c>
      <c r="K523" s="150">
        <f t="shared" si="18"/>
        <v>0</v>
      </c>
      <c r="L523" s="151">
        <f t="shared" si="19"/>
        <v>0</v>
      </c>
      <c r="M523" s="148"/>
    </row>
    <row r="524" spans="1:13" outlineLevel="2">
      <c r="A524" s="148"/>
      <c r="B524" s="173" t="s">
        <v>646</v>
      </c>
      <c r="C524" s="148"/>
      <c r="D524" s="148"/>
      <c r="E524" s="148"/>
      <c r="F524" s="149"/>
      <c r="G524" s="150">
        <f>SUBTOTAL(9,G519:G523)</f>
        <v>4013.5999999999995</v>
      </c>
      <c r="H524" s="150">
        <f>SUBTOTAL(9,H519:H523)</f>
        <v>4013.5999999999995</v>
      </c>
      <c r="I524" s="150">
        <f>SUBTOTAL(9,I519:I523)</f>
        <v>0</v>
      </c>
      <c r="J524" s="150">
        <f>SUBTOTAL(9,J519:J523)</f>
        <v>4013.5999999999995</v>
      </c>
      <c r="K524" s="150"/>
      <c r="L524" s="151"/>
      <c r="M524" s="148"/>
    </row>
    <row r="525" spans="1:13" outlineLevel="3">
      <c r="A525" s="148" t="s">
        <v>126</v>
      </c>
      <c r="B525" s="148" t="s">
        <v>647</v>
      </c>
      <c r="C525" s="148" t="s">
        <v>128</v>
      </c>
      <c r="D525" s="148" t="s">
        <v>648</v>
      </c>
      <c r="E525" s="148" t="s">
        <v>649</v>
      </c>
      <c r="F525" s="149">
        <v>45901</v>
      </c>
      <c r="G525" s="150">
        <v>232.5</v>
      </c>
      <c r="H525" s="150">
        <f t="shared" si="20"/>
        <v>232.5</v>
      </c>
      <c r="I525" s="150"/>
      <c r="J525" s="150">
        <v>232.5</v>
      </c>
      <c r="K525" s="150">
        <f t="shared" si="18"/>
        <v>0</v>
      </c>
      <c r="L525" s="151">
        <f t="shared" si="19"/>
        <v>0</v>
      </c>
      <c r="M525" s="148"/>
    </row>
    <row r="526" spans="1:13" outlineLevel="3">
      <c r="A526" s="148" t="s">
        <v>126</v>
      </c>
      <c r="B526" s="148" t="s">
        <v>647</v>
      </c>
      <c r="C526" s="148" t="s">
        <v>128</v>
      </c>
      <c r="D526" s="148" t="s">
        <v>650</v>
      </c>
      <c r="E526" s="148" t="s">
        <v>651</v>
      </c>
      <c r="F526" s="149">
        <v>45901</v>
      </c>
      <c r="G526" s="150">
        <v>352</v>
      </c>
      <c r="H526" s="150">
        <f t="shared" si="20"/>
        <v>352</v>
      </c>
      <c r="I526" s="150"/>
      <c r="J526" s="150">
        <v>352</v>
      </c>
      <c r="K526" s="150">
        <f t="shared" si="18"/>
        <v>0</v>
      </c>
      <c r="L526" s="151">
        <f t="shared" si="19"/>
        <v>0</v>
      </c>
      <c r="M526" s="148"/>
    </row>
    <row r="527" spans="1:13" outlineLevel="3">
      <c r="A527" s="148" t="s">
        <v>126</v>
      </c>
      <c r="B527" s="148" t="s">
        <v>647</v>
      </c>
      <c r="C527" s="148" t="s">
        <v>131</v>
      </c>
      <c r="D527" s="148" t="s">
        <v>131</v>
      </c>
      <c r="E527" s="148" t="s">
        <v>652</v>
      </c>
      <c r="F527" s="149">
        <v>45901</v>
      </c>
      <c r="G527" s="150">
        <v>2206.75</v>
      </c>
      <c r="H527" s="150">
        <f t="shared" si="20"/>
        <v>2206.75</v>
      </c>
      <c r="I527" s="150"/>
      <c r="J527" s="150">
        <v>2083.25</v>
      </c>
      <c r="K527" s="150">
        <f t="shared" si="18"/>
        <v>123.5</v>
      </c>
      <c r="L527" s="151">
        <f t="shared" si="19"/>
        <v>5.9282371294851796E-2</v>
      </c>
      <c r="M527" s="148"/>
    </row>
    <row r="528" spans="1:13" outlineLevel="3">
      <c r="A528" s="148" t="s">
        <v>126</v>
      </c>
      <c r="B528" s="148" t="s">
        <v>647</v>
      </c>
      <c r="C528" s="148" t="s">
        <v>132</v>
      </c>
      <c r="D528" s="148" t="s">
        <v>653</v>
      </c>
      <c r="E528" s="148" t="s">
        <v>654</v>
      </c>
      <c r="F528" s="149">
        <v>45901</v>
      </c>
      <c r="G528" s="150">
        <v>11139.45</v>
      </c>
      <c r="H528" s="150">
        <f t="shared" si="20"/>
        <v>11139.45</v>
      </c>
      <c r="I528" s="150"/>
      <c r="J528" s="150">
        <v>11139.45</v>
      </c>
      <c r="K528" s="150">
        <f t="shared" si="18"/>
        <v>0</v>
      </c>
      <c r="L528" s="151">
        <f t="shared" si="19"/>
        <v>0</v>
      </c>
      <c r="M528" s="148"/>
    </row>
    <row r="529" spans="1:13" outlineLevel="2">
      <c r="A529" s="148"/>
      <c r="B529" s="173" t="s">
        <v>655</v>
      </c>
      <c r="C529" s="148"/>
      <c r="D529" s="148"/>
      <c r="E529" s="148"/>
      <c r="F529" s="149"/>
      <c r="G529" s="150">
        <f>SUBTOTAL(9,G525:G528)</f>
        <v>13930.7</v>
      </c>
      <c r="H529" s="150">
        <f>SUBTOTAL(9,H525:H528)</f>
        <v>13930.7</v>
      </c>
      <c r="I529" s="150">
        <f>SUBTOTAL(9,I525:I528)</f>
        <v>0</v>
      </c>
      <c r="J529" s="150">
        <f>SUBTOTAL(9,J525:J528)</f>
        <v>13807.2</v>
      </c>
      <c r="K529" s="150"/>
      <c r="L529" s="151"/>
      <c r="M529" s="148"/>
    </row>
    <row r="530" spans="1:13" outlineLevel="3">
      <c r="A530" s="148" t="s">
        <v>126</v>
      </c>
      <c r="B530" s="148" t="s">
        <v>656</v>
      </c>
      <c r="C530" s="148" t="s">
        <v>139</v>
      </c>
      <c r="D530" s="148" t="s">
        <v>657</v>
      </c>
      <c r="E530" s="148" t="s">
        <v>658</v>
      </c>
      <c r="F530" s="149">
        <v>45901</v>
      </c>
      <c r="G530" s="150">
        <v>154</v>
      </c>
      <c r="H530" s="150">
        <f t="shared" si="20"/>
        <v>154</v>
      </c>
      <c r="I530" s="150"/>
      <c r="J530" s="150">
        <v>154</v>
      </c>
      <c r="K530" s="150">
        <f t="shared" si="18"/>
        <v>0</v>
      </c>
      <c r="L530" s="151">
        <f t="shared" si="19"/>
        <v>0</v>
      </c>
      <c r="M530" s="148"/>
    </row>
    <row r="531" spans="1:13" outlineLevel="3">
      <c r="A531" s="148" t="s">
        <v>126</v>
      </c>
      <c r="B531" s="148" t="s">
        <v>656</v>
      </c>
      <c r="C531" s="148" t="s">
        <v>139</v>
      </c>
      <c r="D531" s="148" t="s">
        <v>659</v>
      </c>
      <c r="E531" s="148" t="s">
        <v>658</v>
      </c>
      <c r="F531" s="149">
        <v>45901</v>
      </c>
      <c r="G531" s="150">
        <v>1188</v>
      </c>
      <c r="H531" s="150">
        <f t="shared" si="20"/>
        <v>1188</v>
      </c>
      <c r="I531" s="150"/>
      <c r="J531" s="150">
        <v>1188</v>
      </c>
      <c r="K531" s="150">
        <f t="shared" si="18"/>
        <v>0</v>
      </c>
      <c r="L531" s="151">
        <f t="shared" si="19"/>
        <v>0</v>
      </c>
      <c r="M531" s="148"/>
    </row>
    <row r="532" spans="1:13" outlineLevel="3">
      <c r="A532" s="148" t="s">
        <v>126</v>
      </c>
      <c r="B532" s="148" t="s">
        <v>656</v>
      </c>
      <c r="C532" s="148" t="s">
        <v>128</v>
      </c>
      <c r="D532" s="148" t="s">
        <v>128</v>
      </c>
      <c r="E532" s="148" t="s">
        <v>658</v>
      </c>
      <c r="F532" s="149">
        <v>45901</v>
      </c>
      <c r="G532" s="150">
        <v>804.25</v>
      </c>
      <c r="H532" s="150">
        <f t="shared" si="20"/>
        <v>804.25</v>
      </c>
      <c r="I532" s="150"/>
      <c r="J532" s="150">
        <v>804.25</v>
      </c>
      <c r="K532" s="150">
        <f t="shared" si="18"/>
        <v>0</v>
      </c>
      <c r="L532" s="151">
        <f t="shared" si="19"/>
        <v>0</v>
      </c>
      <c r="M532" s="148"/>
    </row>
    <row r="533" spans="1:13" outlineLevel="3">
      <c r="A533" s="148" t="s">
        <v>126</v>
      </c>
      <c r="B533" s="148" t="s">
        <v>656</v>
      </c>
      <c r="C533" s="148" t="s">
        <v>131</v>
      </c>
      <c r="D533" s="148" t="s">
        <v>131</v>
      </c>
      <c r="E533" s="148" t="s">
        <v>658</v>
      </c>
      <c r="F533" s="149">
        <v>45901</v>
      </c>
      <c r="G533" s="150">
        <v>1740.8</v>
      </c>
      <c r="H533" s="150">
        <f t="shared" si="20"/>
        <v>1740.8</v>
      </c>
      <c r="I533" s="150"/>
      <c r="J533" s="150">
        <v>1750.4</v>
      </c>
      <c r="K533" s="150">
        <f t="shared" si="18"/>
        <v>-9.6000000000001364</v>
      </c>
      <c r="L533" s="151">
        <f t="shared" si="19"/>
        <v>-5.4844606946984325E-3</v>
      </c>
      <c r="M533" s="148" t="s">
        <v>567</v>
      </c>
    </row>
    <row r="534" spans="1:13" outlineLevel="3">
      <c r="A534" s="148" t="s">
        <v>126</v>
      </c>
      <c r="B534" s="148" t="s">
        <v>656</v>
      </c>
      <c r="C534" s="148" t="s">
        <v>132</v>
      </c>
      <c r="D534" s="148" t="s">
        <v>132</v>
      </c>
      <c r="E534" s="148" t="s">
        <v>658</v>
      </c>
      <c r="F534" s="149">
        <v>45901</v>
      </c>
      <c r="G534" s="150">
        <v>4372.3900000000003</v>
      </c>
      <c r="H534" s="150">
        <f t="shared" si="20"/>
        <v>4372.3900000000003</v>
      </c>
      <c r="I534" s="150"/>
      <c r="J534" s="150">
        <v>4372.3900000000003</v>
      </c>
      <c r="K534" s="150">
        <f t="shared" si="18"/>
        <v>0</v>
      </c>
      <c r="L534" s="151">
        <f t="shared" si="19"/>
        <v>0</v>
      </c>
      <c r="M534" s="148"/>
    </row>
    <row r="535" spans="1:13" outlineLevel="2">
      <c r="A535" s="148"/>
      <c r="B535" s="173" t="s">
        <v>660</v>
      </c>
      <c r="C535" s="148"/>
      <c r="D535" s="148"/>
      <c r="E535" s="148"/>
      <c r="F535" s="149"/>
      <c r="G535" s="150">
        <f>SUBTOTAL(9,G530:G534)</f>
        <v>8259.44</v>
      </c>
      <c r="H535" s="150">
        <f>SUBTOTAL(9,H530:H534)</f>
        <v>8259.44</v>
      </c>
      <c r="I535" s="150">
        <f>SUBTOTAL(9,I530:I534)</f>
        <v>0</v>
      </c>
      <c r="J535" s="150">
        <f>SUBTOTAL(9,J530:J534)</f>
        <v>8269.0400000000009</v>
      </c>
      <c r="K535" s="150"/>
      <c r="L535" s="151"/>
      <c r="M535" s="148"/>
    </row>
    <row r="536" spans="1:13" outlineLevel="3">
      <c r="A536" s="148" t="s">
        <v>126</v>
      </c>
      <c r="B536" s="148" t="s">
        <v>661</v>
      </c>
      <c r="C536" s="148" t="s">
        <v>139</v>
      </c>
      <c r="D536" s="148" t="s">
        <v>139</v>
      </c>
      <c r="E536" s="148" t="s">
        <v>662</v>
      </c>
      <c r="F536" s="149">
        <v>45901</v>
      </c>
      <c r="G536" s="150">
        <v>290</v>
      </c>
      <c r="H536" s="150">
        <f t="shared" si="20"/>
        <v>290</v>
      </c>
      <c r="I536" s="150"/>
      <c r="J536" s="150">
        <v>282</v>
      </c>
      <c r="K536" s="150">
        <f t="shared" si="18"/>
        <v>8</v>
      </c>
      <c r="L536" s="151">
        <f t="shared" si="19"/>
        <v>2.8368794326241134E-2</v>
      </c>
      <c r="M536" s="148"/>
    </row>
    <row r="537" spans="1:13" outlineLevel="3">
      <c r="A537" s="148" t="s">
        <v>126</v>
      </c>
      <c r="B537" s="148" t="s">
        <v>661</v>
      </c>
      <c r="C537" s="148" t="s">
        <v>128</v>
      </c>
      <c r="D537" s="148" t="s">
        <v>128</v>
      </c>
      <c r="E537" s="148" t="s">
        <v>662</v>
      </c>
      <c r="F537" s="149">
        <v>45901</v>
      </c>
      <c r="G537" s="150">
        <v>853.00800000000004</v>
      </c>
      <c r="H537" s="150">
        <f t="shared" si="20"/>
        <v>853.00800000000004</v>
      </c>
      <c r="I537" s="150"/>
      <c r="J537" s="150">
        <v>852.24440000000004</v>
      </c>
      <c r="K537" s="150">
        <f t="shared" si="18"/>
        <v>0.76359999999999673</v>
      </c>
      <c r="L537" s="151">
        <f t="shared" si="19"/>
        <v>8.9598711355568504E-4</v>
      </c>
      <c r="M537" s="148"/>
    </row>
    <row r="538" spans="1:13" outlineLevel="3">
      <c r="A538" s="148" t="s">
        <v>126</v>
      </c>
      <c r="B538" s="148" t="s">
        <v>661</v>
      </c>
      <c r="C538" s="148" t="s">
        <v>131</v>
      </c>
      <c r="D538" s="148" t="s">
        <v>131</v>
      </c>
      <c r="E538" s="148" t="s">
        <v>662</v>
      </c>
      <c r="F538" s="149">
        <v>45901</v>
      </c>
      <c r="G538" s="150">
        <v>203</v>
      </c>
      <c r="H538" s="150">
        <f t="shared" si="20"/>
        <v>203</v>
      </c>
      <c r="I538" s="150"/>
      <c r="J538" s="150">
        <v>189</v>
      </c>
      <c r="K538" s="150">
        <f t="shared" si="18"/>
        <v>14</v>
      </c>
      <c r="L538" s="151">
        <f t="shared" si="19"/>
        <v>7.407407407407407E-2</v>
      </c>
      <c r="M538" s="148"/>
    </row>
    <row r="539" spans="1:13" outlineLevel="3">
      <c r="A539" s="148" t="s">
        <v>126</v>
      </c>
      <c r="B539" s="148" t="s">
        <v>661</v>
      </c>
      <c r="C539" s="148" t="s">
        <v>132</v>
      </c>
      <c r="D539" s="148" t="s">
        <v>132</v>
      </c>
      <c r="E539" s="148" t="s">
        <v>662</v>
      </c>
      <c r="F539" s="149">
        <v>45901</v>
      </c>
      <c r="G539" s="150">
        <v>1680.002</v>
      </c>
      <c r="H539" s="150">
        <f t="shared" si="20"/>
        <v>1680.002</v>
      </c>
      <c r="I539" s="150"/>
      <c r="J539" s="150">
        <v>1680</v>
      </c>
      <c r="K539" s="150">
        <f t="shared" si="18"/>
        <v>1.9999999999527063E-3</v>
      </c>
      <c r="L539" s="151">
        <f t="shared" si="19"/>
        <v>1.1904761904480395E-6</v>
      </c>
      <c r="M539" s="148"/>
    </row>
    <row r="540" spans="1:13" outlineLevel="2">
      <c r="A540" s="148"/>
      <c r="B540" s="173" t="s">
        <v>663</v>
      </c>
      <c r="C540" s="148"/>
      <c r="D540" s="148"/>
      <c r="E540" s="148"/>
      <c r="F540" s="149"/>
      <c r="G540" s="150">
        <f>SUBTOTAL(9,G536:G539)</f>
        <v>3026.01</v>
      </c>
      <c r="H540" s="150">
        <f>SUBTOTAL(9,H536:H539)</f>
        <v>3026.01</v>
      </c>
      <c r="I540" s="150">
        <f>SUBTOTAL(9,I536:I539)</f>
        <v>0</v>
      </c>
      <c r="J540" s="150">
        <f>SUBTOTAL(9,J536:J539)</f>
        <v>3003.2444</v>
      </c>
      <c r="K540" s="150"/>
      <c r="L540" s="151"/>
      <c r="M540" s="148"/>
    </row>
    <row r="541" spans="1:13" outlineLevel="3">
      <c r="A541" s="148" t="s">
        <v>126</v>
      </c>
      <c r="B541" s="148" t="s">
        <v>664</v>
      </c>
      <c r="C541" s="148" t="s">
        <v>128</v>
      </c>
      <c r="D541" s="148" t="s">
        <v>162</v>
      </c>
      <c r="E541" s="148" t="s">
        <v>665</v>
      </c>
      <c r="F541" s="149">
        <v>45901</v>
      </c>
      <c r="G541" s="150">
        <v>781</v>
      </c>
      <c r="H541" s="150">
        <f t="shared" si="20"/>
        <v>781</v>
      </c>
      <c r="I541" s="150"/>
      <c r="J541" s="150">
        <v>781</v>
      </c>
      <c r="K541" s="150">
        <f t="shared" si="18"/>
        <v>0</v>
      </c>
      <c r="L541" s="151">
        <f t="shared" si="19"/>
        <v>0</v>
      </c>
      <c r="M541" s="148"/>
    </row>
    <row r="542" spans="1:13" outlineLevel="3">
      <c r="A542" s="148" t="s">
        <v>126</v>
      </c>
      <c r="B542" s="148" t="s">
        <v>664</v>
      </c>
      <c r="C542" s="148" t="s">
        <v>131</v>
      </c>
      <c r="D542" s="148" t="s">
        <v>131</v>
      </c>
      <c r="E542" s="148" t="s">
        <v>666</v>
      </c>
      <c r="F542" s="149">
        <v>45901</v>
      </c>
      <c r="G542" s="150">
        <v>4226.25</v>
      </c>
      <c r="H542" s="150">
        <f t="shared" si="20"/>
        <v>4226.25</v>
      </c>
      <c r="I542" s="150"/>
      <c r="J542" s="150">
        <v>4099.5</v>
      </c>
      <c r="K542" s="150">
        <f t="shared" si="18"/>
        <v>126.75</v>
      </c>
      <c r="L542" s="151">
        <f t="shared" si="19"/>
        <v>3.0918404683497987E-2</v>
      </c>
      <c r="M542" s="148"/>
    </row>
    <row r="543" spans="1:13" outlineLevel="3">
      <c r="A543" s="148" t="s">
        <v>126</v>
      </c>
      <c r="B543" s="148" t="s">
        <v>664</v>
      </c>
      <c r="C543" s="148" t="s">
        <v>131</v>
      </c>
      <c r="D543" s="148" t="s">
        <v>237</v>
      </c>
      <c r="E543" s="148" t="s">
        <v>667</v>
      </c>
      <c r="F543" s="149">
        <v>45901</v>
      </c>
      <c r="G543" s="150">
        <v>5071.5</v>
      </c>
      <c r="H543" s="150">
        <f t="shared" si="20"/>
        <v>5071.5</v>
      </c>
      <c r="I543" s="150"/>
      <c r="J543" s="150">
        <v>0</v>
      </c>
      <c r="K543" s="150">
        <f t="shared" si="18"/>
        <v>5071.5</v>
      </c>
      <c r="L543" s="151" t="e">
        <f t="shared" si="19"/>
        <v>#DIV/0!</v>
      </c>
      <c r="M543" s="148"/>
    </row>
    <row r="544" spans="1:13" outlineLevel="3">
      <c r="A544" s="148" t="s">
        <v>126</v>
      </c>
      <c r="B544" s="148" t="s">
        <v>664</v>
      </c>
      <c r="C544" s="148" t="s">
        <v>132</v>
      </c>
      <c r="D544" s="148" t="s">
        <v>668</v>
      </c>
      <c r="E544" s="148" t="s">
        <v>669</v>
      </c>
      <c r="F544" s="149">
        <v>45901</v>
      </c>
      <c r="G544" s="150">
        <v>636.5</v>
      </c>
      <c r="H544" s="150">
        <f t="shared" si="20"/>
        <v>636.5</v>
      </c>
      <c r="I544" s="150"/>
      <c r="J544" s="150">
        <v>636.5</v>
      </c>
      <c r="K544" s="150">
        <f t="shared" si="18"/>
        <v>0</v>
      </c>
      <c r="L544" s="151">
        <f t="shared" si="19"/>
        <v>0</v>
      </c>
      <c r="M544" s="148"/>
    </row>
    <row r="545" spans="1:13" outlineLevel="3">
      <c r="A545" s="148" t="s">
        <v>126</v>
      </c>
      <c r="B545" s="148" t="s">
        <v>664</v>
      </c>
      <c r="C545" s="148" t="s">
        <v>132</v>
      </c>
      <c r="D545" s="148" t="s">
        <v>145</v>
      </c>
      <c r="E545" s="148" t="s">
        <v>666</v>
      </c>
      <c r="F545" s="149">
        <v>45901</v>
      </c>
      <c r="G545" s="150">
        <v>11509.08</v>
      </c>
      <c r="H545" s="150">
        <f t="shared" si="20"/>
        <v>11509.08</v>
      </c>
      <c r="I545" s="150"/>
      <c r="J545" s="150">
        <v>11509.08</v>
      </c>
      <c r="K545" s="150">
        <f t="shared" si="18"/>
        <v>0</v>
      </c>
      <c r="L545" s="151">
        <f t="shared" si="19"/>
        <v>0</v>
      </c>
      <c r="M545" s="148"/>
    </row>
    <row r="546" spans="1:13" outlineLevel="3">
      <c r="A546" s="148" t="s">
        <v>126</v>
      </c>
      <c r="B546" s="148" t="s">
        <v>664</v>
      </c>
      <c r="C546" s="148" t="s">
        <v>207</v>
      </c>
      <c r="D546" s="148" t="s">
        <v>670</v>
      </c>
      <c r="E546" s="148" t="s">
        <v>666</v>
      </c>
      <c r="F546" s="149">
        <v>45901</v>
      </c>
      <c r="G546" s="150">
        <v>3650</v>
      </c>
      <c r="H546" s="150">
        <f t="shared" si="20"/>
        <v>3650</v>
      </c>
      <c r="I546" s="150"/>
      <c r="J546" s="150">
        <v>3650</v>
      </c>
      <c r="K546" s="150">
        <f t="shared" si="18"/>
        <v>0</v>
      </c>
      <c r="L546" s="151">
        <f t="shared" si="19"/>
        <v>0</v>
      </c>
      <c r="M546" s="148"/>
    </row>
    <row r="547" spans="1:13" outlineLevel="2">
      <c r="A547" s="148"/>
      <c r="B547" s="173" t="s">
        <v>671</v>
      </c>
      <c r="C547" s="148"/>
      <c r="D547" s="148"/>
      <c r="E547" s="148"/>
      <c r="F547" s="149"/>
      <c r="G547" s="150">
        <f>SUBTOTAL(9,G541:G546)</f>
        <v>25874.33</v>
      </c>
      <c r="H547" s="150">
        <f>SUBTOTAL(9,H541:H546)</f>
        <v>25874.33</v>
      </c>
      <c r="I547" s="150">
        <f>SUBTOTAL(9,I541:I546)</f>
        <v>0</v>
      </c>
      <c r="J547" s="150">
        <f>SUBTOTAL(9,J541:J546)</f>
        <v>20676.080000000002</v>
      </c>
      <c r="K547" s="150"/>
      <c r="L547" s="151"/>
      <c r="M547" s="148"/>
    </row>
    <row r="548" spans="1:13" outlineLevel="3">
      <c r="A548" s="148" t="s">
        <v>126</v>
      </c>
      <c r="B548" s="148" t="s">
        <v>672</v>
      </c>
      <c r="C548" s="148" t="s">
        <v>139</v>
      </c>
      <c r="D548" s="148" t="s">
        <v>139</v>
      </c>
      <c r="E548" s="148" t="s">
        <v>673</v>
      </c>
      <c r="F548" s="149">
        <v>45901</v>
      </c>
      <c r="G548" s="150">
        <v>1962.6</v>
      </c>
      <c r="H548" s="150">
        <f t="shared" si="20"/>
        <v>1962.6</v>
      </c>
      <c r="I548" s="150"/>
      <c r="J548" s="150">
        <v>1962.6</v>
      </c>
      <c r="K548" s="150">
        <f t="shared" si="18"/>
        <v>0</v>
      </c>
      <c r="L548" s="151">
        <f t="shared" si="19"/>
        <v>0</v>
      </c>
      <c r="M548" s="148"/>
    </row>
    <row r="549" spans="1:13" outlineLevel="3">
      <c r="A549" s="148" t="s">
        <v>126</v>
      </c>
      <c r="B549" s="148" t="s">
        <v>672</v>
      </c>
      <c r="C549" s="148" t="s">
        <v>128</v>
      </c>
      <c r="D549" s="148" t="s">
        <v>128</v>
      </c>
      <c r="E549" s="148" t="s">
        <v>674</v>
      </c>
      <c r="F549" s="149">
        <v>45901</v>
      </c>
      <c r="G549" s="150">
        <v>210</v>
      </c>
      <c r="H549" s="150">
        <f t="shared" si="20"/>
        <v>210</v>
      </c>
      <c r="I549" s="150"/>
      <c r="J549" s="150">
        <v>210</v>
      </c>
      <c r="K549" s="150">
        <f t="shared" si="18"/>
        <v>0</v>
      </c>
      <c r="L549" s="151">
        <f t="shared" si="19"/>
        <v>0</v>
      </c>
      <c r="M549" s="148"/>
    </row>
    <row r="550" spans="1:13" outlineLevel="3">
      <c r="A550" s="148" t="s">
        <v>126</v>
      </c>
      <c r="B550" s="148" t="s">
        <v>672</v>
      </c>
      <c r="C550" s="148" t="s">
        <v>131</v>
      </c>
      <c r="D550" s="148" t="s">
        <v>131</v>
      </c>
      <c r="E550" s="148" t="s">
        <v>674</v>
      </c>
      <c r="F550" s="149">
        <v>45901</v>
      </c>
      <c r="G550" s="150">
        <v>1218</v>
      </c>
      <c r="H550" s="150">
        <f t="shared" si="20"/>
        <v>1218</v>
      </c>
      <c r="I550" s="150"/>
      <c r="J550" s="150">
        <v>1237.5</v>
      </c>
      <c r="K550" s="150">
        <f t="shared" si="18"/>
        <v>-19.5</v>
      </c>
      <c r="L550" s="151">
        <f t="shared" si="19"/>
        <v>-1.5757575757575758E-2</v>
      </c>
      <c r="M550" s="148" t="s">
        <v>567</v>
      </c>
    </row>
    <row r="551" spans="1:13" outlineLevel="3">
      <c r="A551" s="148" t="s">
        <v>126</v>
      </c>
      <c r="B551" s="148" t="s">
        <v>672</v>
      </c>
      <c r="C551" s="148" t="s">
        <v>132</v>
      </c>
      <c r="D551" s="148" t="s">
        <v>132</v>
      </c>
      <c r="E551" s="148" t="s">
        <v>674</v>
      </c>
      <c r="F551" s="149">
        <v>45901</v>
      </c>
      <c r="G551" s="150">
        <v>4450</v>
      </c>
      <c r="H551" s="150">
        <f t="shared" si="20"/>
        <v>4450</v>
      </c>
      <c r="I551" s="150"/>
      <c r="J551" s="150">
        <v>4450</v>
      </c>
      <c r="K551" s="150">
        <f t="shared" si="18"/>
        <v>0</v>
      </c>
      <c r="L551" s="151">
        <f t="shared" si="19"/>
        <v>0</v>
      </c>
      <c r="M551" s="148"/>
    </row>
    <row r="552" spans="1:13" outlineLevel="2">
      <c r="A552" s="148"/>
      <c r="B552" s="173" t="s">
        <v>675</v>
      </c>
      <c r="C552" s="148"/>
      <c r="D552" s="148"/>
      <c r="E552" s="148"/>
      <c r="F552" s="149"/>
      <c r="G552" s="150">
        <f>SUBTOTAL(9,G548:G551)</f>
        <v>7840.6</v>
      </c>
      <c r="H552" s="150">
        <f>SUBTOTAL(9,H548:H551)</f>
        <v>7840.6</v>
      </c>
      <c r="I552" s="150">
        <f>SUBTOTAL(9,I548:I551)</f>
        <v>0</v>
      </c>
      <c r="J552" s="150">
        <f>SUBTOTAL(9,J548:J551)</f>
        <v>7860.1</v>
      </c>
      <c r="K552" s="150"/>
      <c r="L552" s="151"/>
      <c r="M552" s="148"/>
    </row>
    <row r="553" spans="1:13" outlineLevel="3">
      <c r="A553" s="148" t="s">
        <v>126</v>
      </c>
      <c r="B553" s="148" t="s">
        <v>676</v>
      </c>
      <c r="C553" s="148" t="s">
        <v>132</v>
      </c>
      <c r="D553" s="148" t="s">
        <v>132</v>
      </c>
      <c r="E553" s="148" t="s">
        <v>677</v>
      </c>
      <c r="F553" s="149">
        <v>45901</v>
      </c>
      <c r="G553" s="150">
        <v>6489</v>
      </c>
      <c r="H553" s="150">
        <f t="shared" si="20"/>
        <v>6489</v>
      </c>
      <c r="I553" s="150"/>
      <c r="J553" s="150">
        <v>6519</v>
      </c>
      <c r="K553" s="150">
        <f t="shared" si="18"/>
        <v>-30</v>
      </c>
      <c r="L553" s="151">
        <f t="shared" si="19"/>
        <v>-4.6019328117809476E-3</v>
      </c>
      <c r="M553" s="148"/>
    </row>
    <row r="554" spans="1:13" outlineLevel="2">
      <c r="A554" s="148"/>
      <c r="B554" s="173" t="s">
        <v>678</v>
      </c>
      <c r="C554" s="148"/>
      <c r="D554" s="148"/>
      <c r="E554" s="148"/>
      <c r="F554" s="149"/>
      <c r="G554" s="150">
        <f>SUBTOTAL(9,G553:G553)</f>
        <v>6489</v>
      </c>
      <c r="H554" s="150">
        <f>SUBTOTAL(9,H553:H553)</f>
        <v>6489</v>
      </c>
      <c r="I554" s="150">
        <f>SUBTOTAL(9,I553:I553)</f>
        <v>0</v>
      </c>
      <c r="J554" s="150">
        <f>SUBTOTAL(9,J553:J553)</f>
        <v>6519</v>
      </c>
      <c r="K554" s="150"/>
      <c r="L554" s="151"/>
      <c r="M554" s="148"/>
    </row>
    <row r="555" spans="1:13" outlineLevel="3">
      <c r="A555" s="148" t="s">
        <v>126</v>
      </c>
      <c r="B555" s="148" t="s">
        <v>679</v>
      </c>
      <c r="C555" s="148" t="s">
        <v>139</v>
      </c>
      <c r="D555" s="148" t="s">
        <v>139</v>
      </c>
      <c r="E555" s="148" t="s">
        <v>680</v>
      </c>
      <c r="F555" s="149">
        <v>45901</v>
      </c>
      <c r="G555" s="150">
        <v>506</v>
      </c>
      <c r="H555" s="150">
        <f t="shared" si="20"/>
        <v>506</v>
      </c>
      <c r="I555" s="150"/>
      <c r="J555" s="150">
        <v>506</v>
      </c>
      <c r="K555" s="150">
        <f t="shared" si="18"/>
        <v>0</v>
      </c>
      <c r="L555" s="151">
        <f t="shared" si="19"/>
        <v>0</v>
      </c>
      <c r="M555" s="148"/>
    </row>
    <row r="556" spans="1:13" outlineLevel="3">
      <c r="A556" s="148" t="s">
        <v>126</v>
      </c>
      <c r="B556" s="148" t="s">
        <v>679</v>
      </c>
      <c r="C556" s="148" t="s">
        <v>128</v>
      </c>
      <c r="D556" s="148" t="s">
        <v>128</v>
      </c>
      <c r="E556" s="148" t="s">
        <v>680</v>
      </c>
      <c r="F556" s="149">
        <v>45901</v>
      </c>
      <c r="G556" s="150">
        <v>147.34</v>
      </c>
      <c r="H556" s="150">
        <f t="shared" si="20"/>
        <v>147.34</v>
      </c>
      <c r="I556" s="150"/>
      <c r="J556" s="150">
        <v>147.34</v>
      </c>
      <c r="K556" s="150">
        <f t="shared" si="18"/>
        <v>0</v>
      </c>
      <c r="L556" s="151">
        <f t="shared" si="19"/>
        <v>0</v>
      </c>
      <c r="M556" s="148"/>
    </row>
    <row r="557" spans="1:13" outlineLevel="3">
      <c r="A557" s="148" t="s">
        <v>126</v>
      </c>
      <c r="B557" s="148" t="s">
        <v>679</v>
      </c>
      <c r="C557" s="148" t="s">
        <v>131</v>
      </c>
      <c r="D557" s="148" t="s">
        <v>131</v>
      </c>
      <c r="E557" s="148" t="s">
        <v>680</v>
      </c>
      <c r="F557" s="149">
        <v>45901</v>
      </c>
      <c r="G557" s="150">
        <v>1108.2</v>
      </c>
      <c r="H557" s="150">
        <f t="shared" si="20"/>
        <v>1108.2</v>
      </c>
      <c r="I557" s="150"/>
      <c r="J557" s="150">
        <v>1101.2</v>
      </c>
      <c r="K557" s="150">
        <f t="shared" si="18"/>
        <v>7</v>
      </c>
      <c r="L557" s="151">
        <f t="shared" si="19"/>
        <v>6.3567017798764978E-3</v>
      </c>
      <c r="M557" s="148"/>
    </row>
    <row r="558" spans="1:13" outlineLevel="3">
      <c r="A558" s="148" t="s">
        <v>126</v>
      </c>
      <c r="B558" s="148" t="s">
        <v>679</v>
      </c>
      <c r="C558" s="148" t="s">
        <v>132</v>
      </c>
      <c r="D558" s="148" t="s">
        <v>132</v>
      </c>
      <c r="E558" s="148" t="s">
        <v>680</v>
      </c>
      <c r="F558" s="149">
        <v>45901</v>
      </c>
      <c r="G558" s="150">
        <v>1801</v>
      </c>
      <c r="H558" s="150">
        <f t="shared" si="20"/>
        <v>1801</v>
      </c>
      <c r="I558" s="150"/>
      <c r="J558" s="150">
        <v>1801</v>
      </c>
      <c r="K558" s="150">
        <f t="shared" ref="K558:K618" si="21">+H558-J558</f>
        <v>0</v>
      </c>
      <c r="L558" s="151">
        <f t="shared" ref="L558:L618" si="22">K558/J558</f>
        <v>0</v>
      </c>
      <c r="M558" s="148"/>
    </row>
    <row r="559" spans="1:13" outlineLevel="3">
      <c r="A559" s="148" t="s">
        <v>126</v>
      </c>
      <c r="B559" s="148" t="s">
        <v>679</v>
      </c>
      <c r="C559" s="148" t="s">
        <v>207</v>
      </c>
      <c r="D559" s="148" t="s">
        <v>207</v>
      </c>
      <c r="E559" s="148" t="s">
        <v>680</v>
      </c>
      <c r="F559" s="149">
        <v>45901</v>
      </c>
      <c r="G559" s="150">
        <v>92</v>
      </c>
      <c r="H559" s="150">
        <f t="shared" si="20"/>
        <v>92</v>
      </c>
      <c r="I559" s="150"/>
      <c r="J559" s="150">
        <v>92</v>
      </c>
      <c r="K559" s="150">
        <f t="shared" si="21"/>
        <v>0</v>
      </c>
      <c r="L559" s="151">
        <f t="shared" si="22"/>
        <v>0</v>
      </c>
      <c r="M559" s="148"/>
    </row>
    <row r="560" spans="1:13" outlineLevel="2">
      <c r="A560" s="148"/>
      <c r="B560" s="173" t="s">
        <v>681</v>
      </c>
      <c r="C560" s="148"/>
      <c r="D560" s="148"/>
      <c r="E560" s="148"/>
      <c r="F560" s="149"/>
      <c r="G560" s="150">
        <f>SUBTOTAL(9,G555:G559)</f>
        <v>3654.54</v>
      </c>
      <c r="H560" s="150">
        <f>SUBTOTAL(9,H555:H559)</f>
        <v>3654.54</v>
      </c>
      <c r="I560" s="150">
        <f>SUBTOTAL(9,I555:I559)</f>
        <v>0</v>
      </c>
      <c r="J560" s="150">
        <f>SUBTOTAL(9,J555:J559)</f>
        <v>3647.54</v>
      </c>
      <c r="K560" s="150"/>
      <c r="L560" s="151"/>
      <c r="M560" s="148"/>
    </row>
    <row r="561" spans="1:13" outlineLevel="3">
      <c r="A561" s="148" t="s">
        <v>126</v>
      </c>
      <c r="B561" s="148" t="s">
        <v>682</v>
      </c>
      <c r="C561" s="148" t="s">
        <v>139</v>
      </c>
      <c r="D561" s="148" t="s">
        <v>139</v>
      </c>
      <c r="E561" s="148" t="s">
        <v>683</v>
      </c>
      <c r="F561" s="149">
        <v>45901</v>
      </c>
      <c r="G561" s="150">
        <v>28.06</v>
      </c>
      <c r="H561" s="150">
        <f t="shared" si="20"/>
        <v>28.06</v>
      </c>
      <c r="I561" s="150"/>
      <c r="J561" s="150">
        <v>16.5</v>
      </c>
      <c r="K561" s="150">
        <f t="shared" si="21"/>
        <v>11.559999999999999</v>
      </c>
      <c r="L561" s="151">
        <f t="shared" si="22"/>
        <v>0.70060606060606057</v>
      </c>
      <c r="M561" s="148"/>
    </row>
    <row r="562" spans="1:13" outlineLevel="3">
      <c r="A562" s="148" t="s">
        <v>126</v>
      </c>
      <c r="B562" s="148" t="s">
        <v>682</v>
      </c>
      <c r="C562" s="148" t="s">
        <v>128</v>
      </c>
      <c r="D562" s="148" t="s">
        <v>128</v>
      </c>
      <c r="E562" s="148" t="s">
        <v>683</v>
      </c>
      <c r="F562" s="149">
        <v>45901</v>
      </c>
      <c r="G562" s="150">
        <v>114.97</v>
      </c>
      <c r="H562" s="150">
        <f t="shared" si="20"/>
        <v>114.97</v>
      </c>
      <c r="I562" s="150"/>
      <c r="J562" s="150">
        <v>114.97</v>
      </c>
      <c r="K562" s="150">
        <f t="shared" si="21"/>
        <v>0</v>
      </c>
      <c r="L562" s="151">
        <f t="shared" si="22"/>
        <v>0</v>
      </c>
      <c r="M562" s="148"/>
    </row>
    <row r="563" spans="1:13" outlineLevel="3">
      <c r="A563" s="148" t="s">
        <v>126</v>
      </c>
      <c r="B563" s="148" t="s">
        <v>682</v>
      </c>
      <c r="C563" s="148" t="s">
        <v>131</v>
      </c>
      <c r="D563" s="148" t="s">
        <v>131</v>
      </c>
      <c r="E563" s="148" t="s">
        <v>683</v>
      </c>
      <c r="F563" s="149">
        <v>45901</v>
      </c>
      <c r="G563" s="150">
        <v>455.77</v>
      </c>
      <c r="H563" s="150">
        <f t="shared" si="20"/>
        <v>455.77</v>
      </c>
      <c r="I563" s="150"/>
      <c r="J563" s="150">
        <v>435.8</v>
      </c>
      <c r="K563" s="150">
        <f t="shared" si="21"/>
        <v>19.96999999999997</v>
      </c>
      <c r="L563" s="151">
        <f t="shared" si="22"/>
        <v>4.5823772372647932E-2</v>
      </c>
      <c r="M563" s="148"/>
    </row>
    <row r="564" spans="1:13" outlineLevel="3">
      <c r="A564" s="148" t="s">
        <v>126</v>
      </c>
      <c r="B564" s="148" t="s">
        <v>682</v>
      </c>
      <c r="C564" s="148" t="s">
        <v>132</v>
      </c>
      <c r="D564" s="148" t="s">
        <v>132</v>
      </c>
      <c r="E564" s="148" t="s">
        <v>683</v>
      </c>
      <c r="F564" s="149">
        <v>45901</v>
      </c>
      <c r="G564" s="150">
        <v>1207.5</v>
      </c>
      <c r="H564" s="150">
        <f t="shared" si="20"/>
        <v>1207.5</v>
      </c>
      <c r="I564" s="150"/>
      <c r="J564" s="150">
        <v>1207.5</v>
      </c>
      <c r="K564" s="150">
        <f t="shared" si="21"/>
        <v>0</v>
      </c>
      <c r="L564" s="151">
        <f t="shared" si="22"/>
        <v>0</v>
      </c>
      <c r="M564" s="148"/>
    </row>
    <row r="565" spans="1:13" outlineLevel="2">
      <c r="A565" s="148"/>
      <c r="B565" s="173" t="s">
        <v>684</v>
      </c>
      <c r="C565" s="148"/>
      <c r="D565" s="148"/>
      <c r="E565" s="148"/>
      <c r="F565" s="149"/>
      <c r="G565" s="150">
        <f>SUBTOTAL(9,G561:G564)</f>
        <v>1806.3</v>
      </c>
      <c r="H565" s="150">
        <f>SUBTOTAL(9,H561:H564)</f>
        <v>1806.3</v>
      </c>
      <c r="I565" s="150">
        <f>SUBTOTAL(9,I561:I564)</f>
        <v>0</v>
      </c>
      <c r="J565" s="150">
        <f>SUBTOTAL(9,J561:J564)</f>
        <v>1774.77</v>
      </c>
      <c r="K565" s="150"/>
      <c r="L565" s="151"/>
      <c r="M565" s="148"/>
    </row>
    <row r="566" spans="1:13" outlineLevel="3">
      <c r="A566" s="148" t="s">
        <v>126</v>
      </c>
      <c r="B566" s="148" t="s">
        <v>685</v>
      </c>
      <c r="C566" s="148" t="s">
        <v>139</v>
      </c>
      <c r="D566" s="148" t="s">
        <v>686</v>
      </c>
      <c r="E566" s="148" t="s">
        <v>687</v>
      </c>
      <c r="F566" s="149">
        <v>45901</v>
      </c>
      <c r="G566" s="150">
        <v>1780</v>
      </c>
      <c r="H566" s="150">
        <f t="shared" si="20"/>
        <v>1780</v>
      </c>
      <c r="I566" s="150"/>
      <c r="J566" s="150">
        <v>1780</v>
      </c>
      <c r="K566" s="150">
        <f t="shared" si="21"/>
        <v>0</v>
      </c>
      <c r="L566" s="151">
        <f t="shared" si="22"/>
        <v>0</v>
      </c>
      <c r="M566" s="148"/>
    </row>
    <row r="567" spans="1:13" outlineLevel="3">
      <c r="A567" s="148" t="s">
        <v>126</v>
      </c>
      <c r="B567" s="148" t="s">
        <v>685</v>
      </c>
      <c r="C567" s="148" t="s">
        <v>128</v>
      </c>
      <c r="D567" s="148" t="s">
        <v>162</v>
      </c>
      <c r="E567" s="148" t="s">
        <v>687</v>
      </c>
      <c r="F567" s="149">
        <v>45901</v>
      </c>
      <c r="G567" s="150">
        <v>1603.2619999999999</v>
      </c>
      <c r="H567" s="150">
        <f t="shared" ref="H567:H618" si="23">+G567</f>
        <v>1603.2619999999999</v>
      </c>
      <c r="I567" s="150"/>
      <c r="J567" s="150">
        <v>1555.402</v>
      </c>
      <c r="K567" s="150">
        <f t="shared" si="21"/>
        <v>47.8599999999999</v>
      </c>
      <c r="L567" s="151">
        <f t="shared" si="22"/>
        <v>3.077018031351374E-2</v>
      </c>
      <c r="M567" s="148"/>
    </row>
    <row r="568" spans="1:13" outlineLevel="3">
      <c r="A568" s="148" t="s">
        <v>126</v>
      </c>
      <c r="B568" s="148" t="s">
        <v>685</v>
      </c>
      <c r="C568" s="148" t="s">
        <v>131</v>
      </c>
      <c r="D568" s="148" t="s">
        <v>237</v>
      </c>
      <c r="E568" s="148" t="s">
        <v>687</v>
      </c>
      <c r="F568" s="149">
        <v>45901</v>
      </c>
      <c r="G568" s="150">
        <v>2369</v>
      </c>
      <c r="H568" s="150">
        <f t="shared" si="23"/>
        <v>2369</v>
      </c>
      <c r="I568" s="150"/>
      <c r="J568" s="150">
        <v>2373</v>
      </c>
      <c r="K568" s="150">
        <f t="shared" si="21"/>
        <v>-4</v>
      </c>
      <c r="L568" s="151">
        <f t="shared" si="22"/>
        <v>-1.6856300042140751E-3</v>
      </c>
      <c r="M568" s="148"/>
    </row>
    <row r="569" spans="1:13" outlineLevel="3">
      <c r="A569" s="148" t="s">
        <v>126</v>
      </c>
      <c r="B569" s="148" t="s">
        <v>685</v>
      </c>
      <c r="C569" s="148" t="s">
        <v>132</v>
      </c>
      <c r="D569" s="148" t="s">
        <v>229</v>
      </c>
      <c r="E569" s="148" t="s">
        <v>687</v>
      </c>
      <c r="F569" s="149">
        <v>45901</v>
      </c>
      <c r="G569" s="150">
        <v>5088.42</v>
      </c>
      <c r="H569" s="150">
        <f t="shared" si="23"/>
        <v>5088.42</v>
      </c>
      <c r="I569" s="150"/>
      <c r="J569" s="150">
        <v>5146.1400000000003</v>
      </c>
      <c r="K569" s="150">
        <f t="shared" si="21"/>
        <v>-57.720000000000255</v>
      </c>
      <c r="L569" s="151">
        <f t="shared" si="22"/>
        <v>-1.1216173675803661E-2</v>
      </c>
      <c r="M569" s="148" t="s">
        <v>360</v>
      </c>
    </row>
    <row r="570" spans="1:13" outlineLevel="2">
      <c r="A570" s="148"/>
      <c r="B570" s="173" t="s">
        <v>688</v>
      </c>
      <c r="C570" s="148"/>
      <c r="D570" s="148"/>
      <c r="E570" s="148"/>
      <c r="F570" s="149"/>
      <c r="G570" s="150">
        <f>SUBTOTAL(9,G566:G569)</f>
        <v>10840.682000000001</v>
      </c>
      <c r="H570" s="150">
        <f>SUBTOTAL(9,H566:H569)</f>
        <v>10840.682000000001</v>
      </c>
      <c r="I570" s="150">
        <f>SUBTOTAL(9,I566:I569)</f>
        <v>0</v>
      </c>
      <c r="J570" s="150">
        <f>SUBTOTAL(9,J566:J569)</f>
        <v>10854.542000000001</v>
      </c>
      <c r="K570" s="150"/>
      <c r="L570" s="151"/>
      <c r="M570" s="148"/>
    </row>
    <row r="571" spans="1:13" outlineLevel="3">
      <c r="A571" s="148" t="s">
        <v>126</v>
      </c>
      <c r="B571" s="148" t="s">
        <v>689</v>
      </c>
      <c r="C571" s="148" t="s">
        <v>128</v>
      </c>
      <c r="D571" s="148" t="s">
        <v>128</v>
      </c>
      <c r="E571" s="148" t="s">
        <v>690</v>
      </c>
      <c r="F571" s="149">
        <v>45901</v>
      </c>
      <c r="G571" s="150">
        <v>357.25819999999999</v>
      </c>
      <c r="H571" s="150">
        <f t="shared" si="23"/>
        <v>357.25819999999999</v>
      </c>
      <c r="I571" s="150"/>
      <c r="J571" s="150">
        <v>353.13799999999998</v>
      </c>
      <c r="K571" s="150">
        <f t="shared" si="21"/>
        <v>4.1202000000000112</v>
      </c>
      <c r="L571" s="151">
        <f t="shared" si="22"/>
        <v>1.1667393483567363E-2</v>
      </c>
      <c r="M571" s="148"/>
    </row>
    <row r="572" spans="1:13" outlineLevel="3">
      <c r="A572" s="148" t="s">
        <v>126</v>
      </c>
      <c r="B572" s="148" t="s">
        <v>689</v>
      </c>
      <c r="C572" s="148" t="s">
        <v>131</v>
      </c>
      <c r="D572" s="148" t="s">
        <v>131</v>
      </c>
      <c r="E572" s="148" t="s">
        <v>690</v>
      </c>
      <c r="F572" s="149">
        <v>45901</v>
      </c>
      <c r="G572" s="150">
        <v>467</v>
      </c>
      <c r="H572" s="150">
        <f t="shared" si="23"/>
        <v>467</v>
      </c>
      <c r="I572" s="150"/>
      <c r="J572" s="150">
        <v>460</v>
      </c>
      <c r="K572" s="150">
        <f t="shared" si="21"/>
        <v>7</v>
      </c>
      <c r="L572" s="151">
        <f t="shared" si="22"/>
        <v>1.5217391304347827E-2</v>
      </c>
      <c r="M572" s="148"/>
    </row>
    <row r="573" spans="1:13" outlineLevel="3">
      <c r="A573" s="148" t="s">
        <v>126</v>
      </c>
      <c r="B573" s="148" t="s">
        <v>689</v>
      </c>
      <c r="C573" s="148" t="s">
        <v>132</v>
      </c>
      <c r="D573" s="148" t="s">
        <v>691</v>
      </c>
      <c r="E573" s="148" t="s">
        <v>690</v>
      </c>
      <c r="F573" s="149">
        <v>45901</v>
      </c>
      <c r="G573" s="150">
        <v>2118.9418000000001</v>
      </c>
      <c r="H573" s="150">
        <f t="shared" si="23"/>
        <v>2118.9418000000001</v>
      </c>
      <c r="I573" s="150"/>
      <c r="J573" s="150">
        <v>2118.942</v>
      </c>
      <c r="K573" s="150">
        <f t="shared" si="21"/>
        <v>-1.9999999994979589E-4</v>
      </c>
      <c r="L573" s="151">
        <f t="shared" si="22"/>
        <v>-9.4386726937214847E-8</v>
      </c>
      <c r="M573" s="148"/>
    </row>
    <row r="574" spans="1:13" outlineLevel="2">
      <c r="A574" s="148"/>
      <c r="B574" s="173" t="s">
        <v>692</v>
      </c>
      <c r="C574" s="148"/>
      <c r="D574" s="148"/>
      <c r="E574" s="148"/>
      <c r="F574" s="149"/>
      <c r="G574" s="150">
        <f>SUBTOTAL(9,G571:G573)</f>
        <v>2943.2</v>
      </c>
      <c r="H574" s="150">
        <f>SUBTOTAL(9,H571:H573)</f>
        <v>2943.2</v>
      </c>
      <c r="I574" s="150">
        <f>SUBTOTAL(9,I571:I573)</f>
        <v>0</v>
      </c>
      <c r="J574" s="150">
        <f>SUBTOTAL(9,J571:J573)</f>
        <v>2932.08</v>
      </c>
      <c r="K574" s="150"/>
      <c r="L574" s="151"/>
      <c r="M574" s="148"/>
    </row>
    <row r="575" spans="1:13" outlineLevel="3">
      <c r="A575" s="148" t="s">
        <v>126</v>
      </c>
      <c r="B575" s="148" t="s">
        <v>693</v>
      </c>
      <c r="C575" s="148" t="s">
        <v>139</v>
      </c>
      <c r="D575" s="148" t="s">
        <v>139</v>
      </c>
      <c r="E575" s="148" t="s">
        <v>694</v>
      </c>
      <c r="F575" s="149">
        <v>45901</v>
      </c>
      <c r="G575" s="150">
        <v>976</v>
      </c>
      <c r="H575" s="150">
        <f t="shared" si="23"/>
        <v>976</v>
      </c>
      <c r="I575" s="150"/>
      <c r="J575" s="150">
        <v>976</v>
      </c>
      <c r="K575" s="150">
        <f t="shared" si="21"/>
        <v>0</v>
      </c>
      <c r="L575" s="151">
        <f t="shared" si="22"/>
        <v>0</v>
      </c>
      <c r="M575" s="148"/>
    </row>
    <row r="576" spans="1:13" outlineLevel="3">
      <c r="A576" s="148" t="s">
        <v>126</v>
      </c>
      <c r="B576" s="148" t="s">
        <v>693</v>
      </c>
      <c r="C576" s="148" t="s">
        <v>128</v>
      </c>
      <c r="D576" s="148" t="s">
        <v>128</v>
      </c>
      <c r="E576" s="148" t="s">
        <v>694</v>
      </c>
      <c r="F576" s="149">
        <v>45901</v>
      </c>
      <c r="G576" s="150">
        <v>538.28179999999998</v>
      </c>
      <c r="H576" s="150">
        <f t="shared" si="23"/>
        <v>538.28179999999998</v>
      </c>
      <c r="I576" s="150"/>
      <c r="J576" s="150">
        <v>535.92380000000003</v>
      </c>
      <c r="K576" s="150">
        <f t="shared" si="21"/>
        <v>2.3579999999999472</v>
      </c>
      <c r="L576" s="151">
        <f t="shared" si="22"/>
        <v>4.3998792365630094E-3</v>
      </c>
      <c r="M576" s="148"/>
    </row>
    <row r="577" spans="1:13" outlineLevel="3">
      <c r="A577" s="148" t="s">
        <v>126</v>
      </c>
      <c r="B577" s="148" t="s">
        <v>693</v>
      </c>
      <c r="C577" s="148" t="s">
        <v>131</v>
      </c>
      <c r="D577" s="148" t="s">
        <v>131</v>
      </c>
      <c r="E577" s="148" t="s">
        <v>694</v>
      </c>
      <c r="F577" s="149">
        <v>45901</v>
      </c>
      <c r="G577" s="150">
        <v>1050</v>
      </c>
      <c r="H577" s="150">
        <f t="shared" si="23"/>
        <v>1050</v>
      </c>
      <c r="I577" s="150"/>
      <c r="J577" s="150">
        <v>1029</v>
      </c>
      <c r="K577" s="150">
        <f t="shared" si="21"/>
        <v>21</v>
      </c>
      <c r="L577" s="151">
        <f t="shared" si="22"/>
        <v>2.0408163265306121E-2</v>
      </c>
      <c r="M577" s="148"/>
    </row>
    <row r="578" spans="1:13" outlineLevel="3">
      <c r="A578" s="148" t="s">
        <v>126</v>
      </c>
      <c r="B578" s="148" t="s">
        <v>693</v>
      </c>
      <c r="C578" s="148" t="s">
        <v>132</v>
      </c>
      <c r="D578" s="148" t="s">
        <v>132</v>
      </c>
      <c r="E578" s="148" t="s">
        <v>694</v>
      </c>
      <c r="F578" s="149">
        <v>45901</v>
      </c>
      <c r="G578" s="150">
        <v>5315.63</v>
      </c>
      <c r="H578" s="150">
        <f t="shared" si="23"/>
        <v>5315.63</v>
      </c>
      <c r="I578" s="150"/>
      <c r="J578" s="150">
        <v>5315.63</v>
      </c>
      <c r="K578" s="150">
        <f t="shared" si="21"/>
        <v>0</v>
      </c>
      <c r="L578" s="151">
        <f t="shared" si="22"/>
        <v>0</v>
      </c>
      <c r="M578" s="148"/>
    </row>
    <row r="579" spans="1:13" outlineLevel="2">
      <c r="A579" s="148"/>
      <c r="B579" s="173" t="s">
        <v>695</v>
      </c>
      <c r="C579" s="148"/>
      <c r="D579" s="148"/>
      <c r="E579" s="148"/>
      <c r="F579" s="149"/>
      <c r="G579" s="150">
        <f>SUBTOTAL(9,G575:G578)</f>
        <v>7879.9117999999999</v>
      </c>
      <c r="H579" s="150">
        <f>SUBTOTAL(9,H575:H578)</f>
        <v>7879.9117999999999</v>
      </c>
      <c r="I579" s="150">
        <f>SUBTOTAL(9,I575:I578)</f>
        <v>0</v>
      </c>
      <c r="J579" s="150">
        <f>SUBTOTAL(9,J575:J578)</f>
        <v>7856.5537999999997</v>
      </c>
      <c r="K579" s="150"/>
      <c r="L579" s="151"/>
      <c r="M579" s="148"/>
    </row>
    <row r="580" spans="1:13" outlineLevel="3">
      <c r="A580" s="148" t="s">
        <v>126</v>
      </c>
      <c r="B580" s="148" t="s">
        <v>696</v>
      </c>
      <c r="C580" s="148" t="s">
        <v>128</v>
      </c>
      <c r="D580" s="148" t="s">
        <v>461</v>
      </c>
      <c r="E580" s="148" t="s">
        <v>697</v>
      </c>
      <c r="F580" s="149">
        <v>45901</v>
      </c>
      <c r="G580" s="150">
        <v>2002.95</v>
      </c>
      <c r="H580" s="150">
        <f t="shared" si="23"/>
        <v>2002.95</v>
      </c>
      <c r="I580" s="150"/>
      <c r="J580" s="150">
        <v>1998.95</v>
      </c>
      <c r="K580" s="150">
        <f t="shared" si="21"/>
        <v>4</v>
      </c>
      <c r="L580" s="151">
        <f t="shared" si="22"/>
        <v>2.0010505515395583E-3</v>
      </c>
      <c r="M580" s="148"/>
    </row>
    <row r="581" spans="1:13" outlineLevel="3">
      <c r="A581" s="148" t="s">
        <v>126</v>
      </c>
      <c r="B581" s="148" t="s">
        <v>696</v>
      </c>
      <c r="C581" s="148" t="s">
        <v>131</v>
      </c>
      <c r="D581" s="148" t="s">
        <v>201</v>
      </c>
      <c r="E581" s="148" t="s">
        <v>697</v>
      </c>
      <c r="F581" s="149">
        <v>45901</v>
      </c>
      <c r="G581" s="150">
        <v>1694</v>
      </c>
      <c r="H581" s="150">
        <f t="shared" si="23"/>
        <v>1694</v>
      </c>
      <c r="I581" s="150"/>
      <c r="J581" s="150">
        <v>1670</v>
      </c>
      <c r="K581" s="150">
        <f t="shared" si="21"/>
        <v>24</v>
      </c>
      <c r="L581" s="151">
        <f t="shared" si="22"/>
        <v>1.437125748502994E-2</v>
      </c>
      <c r="M581" s="148"/>
    </row>
    <row r="582" spans="1:13" outlineLevel="3">
      <c r="A582" s="148" t="s">
        <v>126</v>
      </c>
      <c r="B582" s="148" t="s">
        <v>696</v>
      </c>
      <c r="C582" s="148" t="s">
        <v>132</v>
      </c>
      <c r="D582" s="148" t="s">
        <v>189</v>
      </c>
      <c r="E582" s="148" t="s">
        <v>697</v>
      </c>
      <c r="F582" s="149">
        <v>45901</v>
      </c>
      <c r="G582" s="150">
        <v>5026</v>
      </c>
      <c r="H582" s="150">
        <f t="shared" si="23"/>
        <v>5026</v>
      </c>
      <c r="I582" s="150"/>
      <c r="J582" s="150">
        <v>4999</v>
      </c>
      <c r="K582" s="150">
        <f t="shared" si="21"/>
        <v>27</v>
      </c>
      <c r="L582" s="151">
        <f t="shared" si="22"/>
        <v>5.4010802160432084E-3</v>
      </c>
      <c r="M582" s="148"/>
    </row>
    <row r="583" spans="1:13" outlineLevel="2">
      <c r="A583" s="148"/>
      <c r="B583" s="173" t="s">
        <v>698</v>
      </c>
      <c r="C583" s="148"/>
      <c r="D583" s="148"/>
      <c r="E583" s="148"/>
      <c r="F583" s="149"/>
      <c r="G583" s="150">
        <f>SUBTOTAL(9,G580:G582)</f>
        <v>8722.9500000000007</v>
      </c>
      <c r="H583" s="150">
        <f>SUBTOTAL(9,H580:H582)</f>
        <v>8722.9500000000007</v>
      </c>
      <c r="I583" s="150">
        <f>SUBTOTAL(9,I580:I582)</f>
        <v>0</v>
      </c>
      <c r="J583" s="150">
        <f>SUBTOTAL(9,J580:J582)</f>
        <v>8667.9500000000007</v>
      </c>
      <c r="K583" s="150"/>
      <c r="L583" s="151"/>
      <c r="M583" s="148"/>
    </row>
    <row r="584" spans="1:13" outlineLevel="3">
      <c r="A584" s="148" t="s">
        <v>126</v>
      </c>
      <c r="B584" s="148" t="s">
        <v>699</v>
      </c>
      <c r="C584" s="148" t="s">
        <v>139</v>
      </c>
      <c r="D584" s="148" t="s">
        <v>139</v>
      </c>
      <c r="E584" s="148" t="s">
        <v>700</v>
      </c>
      <c r="F584" s="149">
        <v>45901</v>
      </c>
      <c r="G584" s="150">
        <v>532.04999999999995</v>
      </c>
      <c r="H584" s="150">
        <f t="shared" si="23"/>
        <v>532.04999999999995</v>
      </c>
      <c r="I584" s="150"/>
      <c r="J584" s="150">
        <v>528</v>
      </c>
      <c r="K584" s="150">
        <f t="shared" si="21"/>
        <v>4.0499999999999545</v>
      </c>
      <c r="L584" s="151">
        <f t="shared" si="22"/>
        <v>7.6704545454544595E-3</v>
      </c>
      <c r="M584" s="148"/>
    </row>
    <row r="585" spans="1:13" outlineLevel="3">
      <c r="A585" s="148" t="s">
        <v>126</v>
      </c>
      <c r="B585" s="148" t="s">
        <v>699</v>
      </c>
      <c r="C585" s="148" t="s">
        <v>128</v>
      </c>
      <c r="D585" s="148" t="s">
        <v>128</v>
      </c>
      <c r="E585" s="148" t="s">
        <v>700</v>
      </c>
      <c r="F585" s="149">
        <v>45901</v>
      </c>
      <c r="G585" s="150">
        <v>335.5</v>
      </c>
      <c r="H585" s="150">
        <f t="shared" si="23"/>
        <v>335.5</v>
      </c>
      <c r="I585" s="150"/>
      <c r="J585" s="150">
        <v>335.5</v>
      </c>
      <c r="K585" s="150">
        <f t="shared" si="21"/>
        <v>0</v>
      </c>
      <c r="L585" s="151">
        <f t="shared" si="22"/>
        <v>0</v>
      </c>
      <c r="M585" s="148"/>
    </row>
    <row r="586" spans="1:13" outlineLevel="3">
      <c r="A586" s="148" t="s">
        <v>126</v>
      </c>
      <c r="B586" s="148" t="s">
        <v>699</v>
      </c>
      <c r="C586" s="148" t="s">
        <v>131</v>
      </c>
      <c r="D586" s="148" t="s">
        <v>131</v>
      </c>
      <c r="E586" s="148" t="s">
        <v>700</v>
      </c>
      <c r="F586" s="149">
        <v>45901</v>
      </c>
      <c r="G586" s="150">
        <v>1058</v>
      </c>
      <c r="H586" s="150">
        <f t="shared" si="23"/>
        <v>1058</v>
      </c>
      <c r="I586" s="150"/>
      <c r="J586" s="150">
        <v>1037</v>
      </c>
      <c r="K586" s="150">
        <f t="shared" si="21"/>
        <v>21</v>
      </c>
      <c r="L586" s="151">
        <f t="shared" si="22"/>
        <v>2.0250723240115717E-2</v>
      </c>
      <c r="M586" s="148"/>
    </row>
    <row r="587" spans="1:13" outlineLevel="3">
      <c r="A587" s="148" t="s">
        <v>126</v>
      </c>
      <c r="B587" s="148" t="s">
        <v>699</v>
      </c>
      <c r="C587" s="148" t="s">
        <v>132</v>
      </c>
      <c r="D587" s="148" t="s">
        <v>132</v>
      </c>
      <c r="E587" s="148" t="s">
        <v>700</v>
      </c>
      <c r="F587" s="149">
        <v>45901</v>
      </c>
      <c r="G587" s="150">
        <v>1975</v>
      </c>
      <c r="H587" s="150">
        <f t="shared" si="23"/>
        <v>1975</v>
      </c>
      <c r="I587" s="150"/>
      <c r="J587" s="150">
        <v>1975</v>
      </c>
      <c r="K587" s="150">
        <f t="shared" si="21"/>
        <v>0</v>
      </c>
      <c r="L587" s="151">
        <f t="shared" si="22"/>
        <v>0</v>
      </c>
      <c r="M587" s="148"/>
    </row>
    <row r="588" spans="1:13" outlineLevel="2">
      <c r="A588" s="148"/>
      <c r="B588" s="173" t="s">
        <v>701</v>
      </c>
      <c r="C588" s="148"/>
      <c r="D588" s="148"/>
      <c r="E588" s="148"/>
      <c r="F588" s="149"/>
      <c r="G588" s="150">
        <f>SUBTOTAL(9,G584:G587)</f>
        <v>3900.55</v>
      </c>
      <c r="H588" s="150">
        <f>SUBTOTAL(9,H584:H587)</f>
        <v>3900.55</v>
      </c>
      <c r="I588" s="150">
        <f>SUBTOTAL(9,I584:I587)</f>
        <v>0</v>
      </c>
      <c r="J588" s="150">
        <f>SUBTOTAL(9,J584:J587)</f>
        <v>3875.5</v>
      </c>
      <c r="K588" s="150"/>
      <c r="L588" s="151"/>
      <c r="M588" s="148"/>
    </row>
    <row r="589" spans="1:13" outlineLevel="3">
      <c r="A589" s="148" t="s">
        <v>126</v>
      </c>
      <c r="B589" s="148" t="s">
        <v>702</v>
      </c>
      <c r="C589" s="148" t="s">
        <v>139</v>
      </c>
      <c r="D589" s="148" t="s">
        <v>703</v>
      </c>
      <c r="E589" s="148" t="s">
        <v>704</v>
      </c>
      <c r="F589" s="149">
        <v>45901</v>
      </c>
      <c r="G589" s="150">
        <v>420</v>
      </c>
      <c r="H589" s="150">
        <f t="shared" si="23"/>
        <v>420</v>
      </c>
      <c r="I589" s="150"/>
      <c r="J589" s="150">
        <v>420</v>
      </c>
      <c r="K589" s="150">
        <f t="shared" si="21"/>
        <v>0</v>
      </c>
      <c r="L589" s="151">
        <f t="shared" si="22"/>
        <v>0</v>
      </c>
      <c r="M589" s="148"/>
    </row>
    <row r="590" spans="1:13" outlineLevel="3">
      <c r="A590" s="148" t="s">
        <v>126</v>
      </c>
      <c r="B590" s="148" t="s">
        <v>702</v>
      </c>
      <c r="C590" s="148" t="s">
        <v>128</v>
      </c>
      <c r="D590" s="148" t="s">
        <v>128</v>
      </c>
      <c r="E590" s="148" t="s">
        <v>704</v>
      </c>
      <c r="F590" s="149">
        <v>45901</v>
      </c>
      <c r="G590" s="150">
        <v>80</v>
      </c>
      <c r="H590" s="150">
        <f t="shared" si="23"/>
        <v>80</v>
      </c>
      <c r="I590" s="150"/>
      <c r="J590" s="150">
        <v>80</v>
      </c>
      <c r="K590" s="150">
        <f t="shared" si="21"/>
        <v>0</v>
      </c>
      <c r="L590" s="151">
        <f t="shared" si="22"/>
        <v>0</v>
      </c>
      <c r="M590" s="148"/>
    </row>
    <row r="591" spans="1:13" outlineLevel="3">
      <c r="A591" s="148" t="s">
        <v>126</v>
      </c>
      <c r="B591" s="148" t="s">
        <v>702</v>
      </c>
      <c r="C591" s="148" t="s">
        <v>131</v>
      </c>
      <c r="D591" s="148" t="s">
        <v>131</v>
      </c>
      <c r="E591" s="148" t="s">
        <v>704</v>
      </c>
      <c r="F591" s="149">
        <v>45901</v>
      </c>
      <c r="G591" s="150">
        <v>147</v>
      </c>
      <c r="H591" s="150">
        <f t="shared" si="23"/>
        <v>147</v>
      </c>
      <c r="I591" s="150"/>
      <c r="J591" s="150">
        <v>147</v>
      </c>
      <c r="K591" s="150">
        <f t="shared" si="21"/>
        <v>0</v>
      </c>
      <c r="L591" s="151">
        <f t="shared" si="22"/>
        <v>0</v>
      </c>
      <c r="M591" s="148"/>
    </row>
    <row r="592" spans="1:13" outlineLevel="3">
      <c r="A592" s="148" t="s">
        <v>126</v>
      </c>
      <c r="B592" s="148" t="s">
        <v>702</v>
      </c>
      <c r="C592" s="148" t="s">
        <v>132</v>
      </c>
      <c r="D592" s="148" t="s">
        <v>705</v>
      </c>
      <c r="E592" s="148" t="s">
        <v>704</v>
      </c>
      <c r="F592" s="149">
        <v>45901</v>
      </c>
      <c r="G592" s="150">
        <v>1473.22</v>
      </c>
      <c r="H592" s="150">
        <f t="shared" si="23"/>
        <v>1473.22</v>
      </c>
      <c r="I592" s="150"/>
      <c r="J592" s="150">
        <v>1473.22</v>
      </c>
      <c r="K592" s="150">
        <f t="shared" si="21"/>
        <v>0</v>
      </c>
      <c r="L592" s="151">
        <f t="shared" si="22"/>
        <v>0</v>
      </c>
      <c r="M592" s="148"/>
    </row>
    <row r="593" spans="1:13" outlineLevel="2">
      <c r="A593" s="148"/>
      <c r="B593" s="173" t="s">
        <v>706</v>
      </c>
      <c r="C593" s="148"/>
      <c r="D593" s="148"/>
      <c r="E593" s="148"/>
      <c r="F593" s="149"/>
      <c r="G593" s="150">
        <f>SUBTOTAL(9,G589:G592)</f>
        <v>2120.2200000000003</v>
      </c>
      <c r="H593" s="150">
        <f>SUBTOTAL(9,H589:H592)</f>
        <v>2120.2200000000003</v>
      </c>
      <c r="I593" s="150">
        <f>SUBTOTAL(9,I589:I592)</f>
        <v>0</v>
      </c>
      <c r="J593" s="150">
        <f>SUBTOTAL(9,J589:J592)</f>
        <v>2120.2200000000003</v>
      </c>
      <c r="K593" s="150"/>
      <c r="L593" s="151"/>
      <c r="M593" s="148"/>
    </row>
    <row r="594" spans="1:13" outlineLevel="3">
      <c r="A594" s="148" t="s">
        <v>126</v>
      </c>
      <c r="B594" s="148" t="s">
        <v>707</v>
      </c>
      <c r="C594" s="148" t="s">
        <v>139</v>
      </c>
      <c r="D594" s="148" t="s">
        <v>708</v>
      </c>
      <c r="E594" s="148" t="s">
        <v>709</v>
      </c>
      <c r="F594" s="149">
        <v>45901</v>
      </c>
      <c r="G594" s="150">
        <v>107.9</v>
      </c>
      <c r="H594" s="150">
        <f t="shared" si="23"/>
        <v>107.9</v>
      </c>
      <c r="I594" s="150"/>
      <c r="J594" s="150">
        <v>107.9</v>
      </c>
      <c r="K594" s="150">
        <f t="shared" si="21"/>
        <v>0</v>
      </c>
      <c r="L594" s="151">
        <f t="shared" si="22"/>
        <v>0</v>
      </c>
      <c r="M594" s="148"/>
    </row>
    <row r="595" spans="1:13" outlineLevel="3">
      <c r="A595" s="148" t="s">
        <v>126</v>
      </c>
      <c r="B595" s="148" t="s">
        <v>707</v>
      </c>
      <c r="C595" s="148" t="s">
        <v>128</v>
      </c>
      <c r="D595" s="148" t="s">
        <v>128</v>
      </c>
      <c r="E595" s="148" t="s">
        <v>709</v>
      </c>
      <c r="F595" s="149">
        <v>45901</v>
      </c>
      <c r="G595" s="150">
        <v>775.75</v>
      </c>
      <c r="H595" s="150">
        <f t="shared" si="23"/>
        <v>775.75</v>
      </c>
      <c r="I595" s="150"/>
      <c r="J595" s="150">
        <v>775.75</v>
      </c>
      <c r="K595" s="150">
        <f t="shared" si="21"/>
        <v>0</v>
      </c>
      <c r="L595" s="151">
        <f t="shared" si="22"/>
        <v>0</v>
      </c>
      <c r="M595" s="148"/>
    </row>
    <row r="596" spans="1:13" outlineLevel="3">
      <c r="A596" s="148" t="s">
        <v>126</v>
      </c>
      <c r="B596" s="148" t="s">
        <v>707</v>
      </c>
      <c r="C596" s="148" t="s">
        <v>131</v>
      </c>
      <c r="D596" s="148" t="s">
        <v>710</v>
      </c>
      <c r="E596" s="148" t="s">
        <v>709</v>
      </c>
      <c r="F596" s="149">
        <v>45901</v>
      </c>
      <c r="G596" s="150">
        <v>338.1</v>
      </c>
      <c r="H596" s="150">
        <f t="shared" si="23"/>
        <v>338.1</v>
      </c>
      <c r="I596" s="150"/>
      <c r="J596" s="150">
        <v>338.1</v>
      </c>
      <c r="K596" s="150">
        <f t="shared" si="21"/>
        <v>0</v>
      </c>
      <c r="L596" s="151">
        <f t="shared" si="22"/>
        <v>0</v>
      </c>
      <c r="M596" s="148"/>
    </row>
    <row r="597" spans="1:13" outlineLevel="3">
      <c r="A597" s="148" t="s">
        <v>126</v>
      </c>
      <c r="B597" s="148" t="s">
        <v>707</v>
      </c>
      <c r="C597" s="148" t="s">
        <v>132</v>
      </c>
      <c r="D597" s="148" t="s">
        <v>711</v>
      </c>
      <c r="E597" s="148" t="s">
        <v>709</v>
      </c>
      <c r="F597" s="149">
        <v>45901</v>
      </c>
      <c r="G597" s="150">
        <v>1752.61</v>
      </c>
      <c r="H597" s="150">
        <f t="shared" si="23"/>
        <v>1752.61</v>
      </c>
      <c r="I597" s="150"/>
      <c r="J597" s="150">
        <v>1752.61</v>
      </c>
      <c r="K597" s="150">
        <f t="shared" si="21"/>
        <v>0</v>
      </c>
      <c r="L597" s="151">
        <f t="shared" si="22"/>
        <v>0</v>
      </c>
      <c r="M597" s="148"/>
    </row>
    <row r="598" spans="1:13" outlineLevel="2">
      <c r="A598" s="148"/>
      <c r="B598" s="173" t="s">
        <v>712</v>
      </c>
      <c r="C598" s="148"/>
      <c r="D598" s="148"/>
      <c r="E598" s="148"/>
      <c r="F598" s="149"/>
      <c r="G598" s="150">
        <f>SUBTOTAL(9,G594:G597)</f>
        <v>2974.3599999999997</v>
      </c>
      <c r="H598" s="150">
        <f>SUBTOTAL(9,H594:H597)</f>
        <v>2974.3599999999997</v>
      </c>
      <c r="I598" s="150">
        <f>SUBTOTAL(9,I594:I597)</f>
        <v>0</v>
      </c>
      <c r="J598" s="150">
        <f>SUBTOTAL(9,J594:J597)</f>
        <v>2974.3599999999997</v>
      </c>
      <c r="K598" s="150"/>
      <c r="L598" s="151"/>
      <c r="M598" s="148"/>
    </row>
    <row r="599" spans="1:13" outlineLevel="3">
      <c r="A599" s="148" t="s">
        <v>126</v>
      </c>
      <c r="B599" s="148" t="s">
        <v>713</v>
      </c>
      <c r="C599" s="148" t="s">
        <v>135</v>
      </c>
      <c r="D599" s="148" t="s">
        <v>135</v>
      </c>
      <c r="E599" s="148" t="s">
        <v>714</v>
      </c>
      <c r="F599" s="149">
        <v>45901</v>
      </c>
      <c r="G599" s="150">
        <v>478.95</v>
      </c>
      <c r="H599" s="150">
        <f t="shared" si="23"/>
        <v>478.95</v>
      </c>
      <c r="I599" s="150"/>
      <c r="J599" s="150">
        <v>465</v>
      </c>
      <c r="K599" s="150">
        <f t="shared" si="21"/>
        <v>13.949999999999989</v>
      </c>
      <c r="L599" s="151">
        <f t="shared" si="22"/>
        <v>2.9999999999999975E-2</v>
      </c>
      <c r="M599" s="148"/>
    </row>
    <row r="600" spans="1:13" outlineLevel="3">
      <c r="A600" s="148" t="s">
        <v>126</v>
      </c>
      <c r="B600" s="148" t="s">
        <v>713</v>
      </c>
      <c r="C600" s="148" t="s">
        <v>128</v>
      </c>
      <c r="D600" s="148" t="s">
        <v>128</v>
      </c>
      <c r="E600" s="148" t="s">
        <v>714</v>
      </c>
      <c r="F600" s="149">
        <v>45901</v>
      </c>
      <c r="G600" s="150">
        <v>128</v>
      </c>
      <c r="H600" s="150">
        <f t="shared" si="23"/>
        <v>128</v>
      </c>
      <c r="I600" s="150"/>
      <c r="J600" s="150">
        <v>128</v>
      </c>
      <c r="K600" s="150">
        <f t="shared" si="21"/>
        <v>0</v>
      </c>
      <c r="L600" s="151">
        <f t="shared" si="22"/>
        <v>0</v>
      </c>
      <c r="M600" s="148"/>
    </row>
    <row r="601" spans="1:13" outlineLevel="3">
      <c r="A601" s="148" t="s">
        <v>126</v>
      </c>
      <c r="B601" s="148" t="s">
        <v>713</v>
      </c>
      <c r="C601" s="148" t="s">
        <v>131</v>
      </c>
      <c r="D601" s="148" t="s">
        <v>131</v>
      </c>
      <c r="E601" s="148" t="s">
        <v>714</v>
      </c>
      <c r="F601" s="149">
        <v>45901</v>
      </c>
      <c r="G601" s="150">
        <v>2014</v>
      </c>
      <c r="H601" s="150">
        <f t="shared" si="23"/>
        <v>2014</v>
      </c>
      <c r="I601" s="150"/>
      <c r="J601" s="150">
        <v>1985</v>
      </c>
      <c r="K601" s="150">
        <f t="shared" si="21"/>
        <v>29</v>
      </c>
      <c r="L601" s="151">
        <f t="shared" si="22"/>
        <v>1.4609571788413099E-2</v>
      </c>
      <c r="M601" s="148"/>
    </row>
    <row r="602" spans="1:13" outlineLevel="3">
      <c r="A602" s="148" t="s">
        <v>126</v>
      </c>
      <c r="B602" s="148" t="s">
        <v>713</v>
      </c>
      <c r="C602" s="148" t="s">
        <v>132</v>
      </c>
      <c r="D602" s="148" t="s">
        <v>132</v>
      </c>
      <c r="E602" s="148" t="s">
        <v>714</v>
      </c>
      <c r="F602" s="149">
        <v>45901</v>
      </c>
      <c r="G602" s="150">
        <v>4164</v>
      </c>
      <c r="H602" s="150">
        <f t="shared" si="23"/>
        <v>4164</v>
      </c>
      <c r="I602" s="150"/>
      <c r="J602" s="150">
        <v>4164</v>
      </c>
      <c r="K602" s="150">
        <f t="shared" si="21"/>
        <v>0</v>
      </c>
      <c r="L602" s="151">
        <f t="shared" si="22"/>
        <v>0</v>
      </c>
      <c r="M602" s="148"/>
    </row>
    <row r="603" spans="1:13" outlineLevel="2">
      <c r="A603" s="148"/>
      <c r="B603" s="173" t="s">
        <v>715</v>
      </c>
      <c r="C603" s="148"/>
      <c r="D603" s="148"/>
      <c r="E603" s="148"/>
      <c r="F603" s="149"/>
      <c r="G603" s="150">
        <f>SUBTOTAL(9,G599:G602)</f>
        <v>6784.95</v>
      </c>
      <c r="H603" s="150">
        <f>SUBTOTAL(9,H599:H602)</f>
        <v>6784.95</v>
      </c>
      <c r="I603" s="150">
        <f>SUBTOTAL(9,I599:I602)</f>
        <v>0</v>
      </c>
      <c r="J603" s="150">
        <f>SUBTOTAL(9,J599:J602)</f>
        <v>6742</v>
      </c>
      <c r="K603" s="150"/>
      <c r="L603" s="151"/>
      <c r="M603" s="148"/>
    </row>
    <row r="604" spans="1:13" outlineLevel="3">
      <c r="A604" s="148" t="s">
        <v>126</v>
      </c>
      <c r="B604" s="148" t="s">
        <v>716</v>
      </c>
      <c r="C604" s="148" t="s">
        <v>135</v>
      </c>
      <c r="D604" s="148" t="s">
        <v>717</v>
      </c>
      <c r="E604" s="148" t="s">
        <v>718</v>
      </c>
      <c r="F604" s="149">
        <v>45901</v>
      </c>
      <c r="G604" s="150">
        <v>2008.5</v>
      </c>
      <c r="H604" s="150">
        <f t="shared" si="23"/>
        <v>2008.5</v>
      </c>
      <c r="I604" s="150"/>
      <c r="J604" s="150">
        <v>2008.5</v>
      </c>
      <c r="K604" s="150">
        <f t="shared" si="21"/>
        <v>0</v>
      </c>
      <c r="L604" s="151">
        <f t="shared" si="22"/>
        <v>0</v>
      </c>
      <c r="M604" s="148"/>
    </row>
    <row r="605" spans="1:13" outlineLevel="3">
      <c r="A605" s="148" t="s">
        <v>126</v>
      </c>
      <c r="B605" s="148" t="s">
        <v>716</v>
      </c>
      <c r="C605" s="148" t="s">
        <v>128</v>
      </c>
      <c r="D605" s="148" t="s">
        <v>128</v>
      </c>
      <c r="E605" s="148" t="s">
        <v>718</v>
      </c>
      <c r="F605" s="149">
        <v>45901</v>
      </c>
      <c r="G605" s="150">
        <v>490.5</v>
      </c>
      <c r="H605" s="150">
        <f t="shared" si="23"/>
        <v>490.5</v>
      </c>
      <c r="I605" s="150"/>
      <c r="J605" s="150">
        <v>490.5</v>
      </c>
      <c r="K605" s="150">
        <f t="shared" si="21"/>
        <v>0</v>
      </c>
      <c r="L605" s="151">
        <f t="shared" si="22"/>
        <v>0</v>
      </c>
      <c r="M605" s="148"/>
    </row>
    <row r="606" spans="1:13" outlineLevel="3">
      <c r="A606" s="148" t="s">
        <v>126</v>
      </c>
      <c r="B606" s="148" t="s">
        <v>716</v>
      </c>
      <c r="C606" s="148" t="s">
        <v>131</v>
      </c>
      <c r="D606" s="148" t="s">
        <v>131</v>
      </c>
      <c r="E606" s="148" t="s">
        <v>718</v>
      </c>
      <c r="F606" s="149">
        <v>45901</v>
      </c>
      <c r="G606" s="150">
        <v>2636</v>
      </c>
      <c r="H606" s="150">
        <f t="shared" si="23"/>
        <v>2636</v>
      </c>
      <c r="I606" s="150"/>
      <c r="J606" s="150">
        <v>2618</v>
      </c>
      <c r="K606" s="150">
        <f t="shared" si="21"/>
        <v>18</v>
      </c>
      <c r="L606" s="151">
        <f t="shared" si="22"/>
        <v>6.8754774637127579E-3</v>
      </c>
      <c r="M606" s="148"/>
    </row>
    <row r="607" spans="1:13" outlineLevel="3">
      <c r="A607" s="148" t="s">
        <v>126</v>
      </c>
      <c r="B607" s="148" t="s">
        <v>716</v>
      </c>
      <c r="C607" s="148" t="s">
        <v>132</v>
      </c>
      <c r="D607" s="148" t="s">
        <v>719</v>
      </c>
      <c r="E607" s="148" t="s">
        <v>718</v>
      </c>
      <c r="F607" s="149">
        <v>45901</v>
      </c>
      <c r="G607" s="150">
        <v>5055</v>
      </c>
      <c r="H607" s="150">
        <f t="shared" si="23"/>
        <v>5055</v>
      </c>
      <c r="I607" s="150"/>
      <c r="J607" s="150">
        <v>5055</v>
      </c>
      <c r="K607" s="150">
        <f t="shared" si="21"/>
        <v>0</v>
      </c>
      <c r="L607" s="151">
        <f t="shared" si="22"/>
        <v>0</v>
      </c>
      <c r="M607" s="148"/>
    </row>
    <row r="608" spans="1:13" outlineLevel="2">
      <c r="A608" s="148"/>
      <c r="B608" s="173" t="s">
        <v>720</v>
      </c>
      <c r="C608" s="148"/>
      <c r="D608" s="148"/>
      <c r="E608" s="148"/>
      <c r="F608" s="149"/>
      <c r="G608" s="150">
        <f>SUBTOTAL(9,G604:G607)</f>
        <v>10190</v>
      </c>
      <c r="H608" s="150">
        <f>SUBTOTAL(9,H604:H607)</f>
        <v>10190</v>
      </c>
      <c r="I608" s="150">
        <f>SUBTOTAL(9,I604:I607)</f>
        <v>0</v>
      </c>
      <c r="J608" s="150">
        <f>SUBTOTAL(9,J604:J607)</f>
        <v>10172</v>
      </c>
      <c r="K608" s="150"/>
      <c r="L608" s="151"/>
      <c r="M608" s="148"/>
    </row>
    <row r="609" spans="1:13" outlineLevel="3">
      <c r="A609" s="148" t="s">
        <v>126</v>
      </c>
      <c r="B609" s="148" t="s">
        <v>721</v>
      </c>
      <c r="C609" s="148" t="s">
        <v>139</v>
      </c>
      <c r="D609" s="148" t="s">
        <v>139</v>
      </c>
      <c r="E609" s="148" t="s">
        <v>722</v>
      </c>
      <c r="F609" s="149">
        <v>45901</v>
      </c>
      <c r="G609" s="150">
        <v>2560</v>
      </c>
      <c r="H609" s="150">
        <f t="shared" si="23"/>
        <v>2560</v>
      </c>
      <c r="I609" s="150"/>
      <c r="J609" s="150">
        <v>2560</v>
      </c>
      <c r="K609" s="150">
        <f t="shared" si="21"/>
        <v>0</v>
      </c>
      <c r="L609" s="151">
        <f t="shared" si="22"/>
        <v>0</v>
      </c>
      <c r="M609" s="148"/>
    </row>
    <row r="610" spans="1:13" outlineLevel="3">
      <c r="A610" s="148" t="s">
        <v>126</v>
      </c>
      <c r="B610" s="148" t="s">
        <v>721</v>
      </c>
      <c r="C610" s="148" t="s">
        <v>131</v>
      </c>
      <c r="D610" s="148" t="s">
        <v>131</v>
      </c>
      <c r="E610" s="148" t="s">
        <v>722</v>
      </c>
      <c r="F610" s="149">
        <v>45901</v>
      </c>
      <c r="G610" s="150">
        <v>1994</v>
      </c>
      <c r="H610" s="150">
        <f t="shared" si="23"/>
        <v>1994</v>
      </c>
      <c r="I610" s="150"/>
      <c r="J610" s="150">
        <v>1964</v>
      </c>
      <c r="K610" s="150">
        <f t="shared" si="21"/>
        <v>30</v>
      </c>
      <c r="L610" s="151">
        <f t="shared" si="22"/>
        <v>1.5274949083503055E-2</v>
      </c>
      <c r="M610" s="148"/>
    </row>
    <row r="611" spans="1:13" outlineLevel="3">
      <c r="A611" s="148" t="s">
        <v>126</v>
      </c>
      <c r="B611" s="148" t="s">
        <v>721</v>
      </c>
      <c r="C611" s="148" t="s">
        <v>132</v>
      </c>
      <c r="D611" s="148" t="s">
        <v>132</v>
      </c>
      <c r="E611" s="148" t="s">
        <v>722</v>
      </c>
      <c r="F611" s="149">
        <v>45901</v>
      </c>
      <c r="G611" s="150">
        <v>5992</v>
      </c>
      <c r="H611" s="150">
        <f t="shared" si="23"/>
        <v>5992</v>
      </c>
      <c r="I611" s="150"/>
      <c r="J611" s="150">
        <v>5992</v>
      </c>
      <c r="K611" s="150">
        <f t="shared" si="21"/>
        <v>0</v>
      </c>
      <c r="L611" s="151">
        <f t="shared" si="22"/>
        <v>0</v>
      </c>
      <c r="M611" s="148"/>
    </row>
    <row r="612" spans="1:13" outlineLevel="2">
      <c r="A612" s="148"/>
      <c r="B612" s="173" t="s">
        <v>723</v>
      </c>
      <c r="C612" s="148"/>
      <c r="D612" s="148"/>
      <c r="E612" s="148"/>
      <c r="F612" s="149"/>
      <c r="G612" s="150">
        <f>SUBTOTAL(9,G609:G611)</f>
        <v>10546</v>
      </c>
      <c r="H612" s="150">
        <f>SUBTOTAL(9,H609:H611)</f>
        <v>10546</v>
      </c>
      <c r="I612" s="150">
        <f>SUBTOTAL(9,I609:I611)</f>
        <v>0</v>
      </c>
      <c r="J612" s="150">
        <f>SUBTOTAL(9,J609:J611)</f>
        <v>10516</v>
      </c>
      <c r="K612" s="150"/>
      <c r="L612" s="151"/>
      <c r="M612" s="148"/>
    </row>
    <row r="613" spans="1:13" outlineLevel="3">
      <c r="A613" s="148" t="s">
        <v>126</v>
      </c>
      <c r="B613" s="148" t="s">
        <v>724</v>
      </c>
      <c r="C613" s="148" t="s">
        <v>132</v>
      </c>
      <c r="D613" s="148" t="s">
        <v>229</v>
      </c>
      <c r="E613" s="148" t="s">
        <v>725</v>
      </c>
      <c r="F613" s="149">
        <v>45901</v>
      </c>
      <c r="G613" s="150">
        <v>1000</v>
      </c>
      <c r="H613" s="150">
        <f t="shared" si="23"/>
        <v>1000</v>
      </c>
      <c r="I613" s="150"/>
      <c r="J613" s="150">
        <v>1000</v>
      </c>
      <c r="K613" s="150">
        <f t="shared" si="21"/>
        <v>0</v>
      </c>
      <c r="L613" s="151">
        <f t="shared" si="22"/>
        <v>0</v>
      </c>
      <c r="M613" s="148"/>
    </row>
    <row r="614" spans="1:13" outlineLevel="2">
      <c r="A614" s="148"/>
      <c r="B614" s="173" t="s">
        <v>726</v>
      </c>
      <c r="C614" s="148"/>
      <c r="D614" s="148"/>
      <c r="E614" s="148"/>
      <c r="F614" s="149"/>
      <c r="G614" s="150">
        <f>SUBTOTAL(9,G613:G613)</f>
        <v>1000</v>
      </c>
      <c r="H614" s="150">
        <f>SUBTOTAL(9,H613:H613)</f>
        <v>1000</v>
      </c>
      <c r="I614" s="150">
        <f>SUBTOTAL(9,I613:I613)</f>
        <v>0</v>
      </c>
      <c r="J614" s="150">
        <f>SUBTOTAL(9,J613:J613)</f>
        <v>1000</v>
      </c>
      <c r="K614" s="150"/>
      <c r="L614" s="151"/>
      <c r="M614" s="148"/>
    </row>
    <row r="615" spans="1:13" outlineLevel="3">
      <c r="A615" s="148" t="s">
        <v>126</v>
      </c>
      <c r="B615" s="148" t="s">
        <v>727</v>
      </c>
      <c r="C615" s="148" t="s">
        <v>135</v>
      </c>
      <c r="D615" s="148" t="s">
        <v>135</v>
      </c>
      <c r="E615" s="148" t="s">
        <v>728</v>
      </c>
      <c r="F615" s="149">
        <v>45915</v>
      </c>
      <c r="G615" s="150">
        <v>34.61</v>
      </c>
      <c r="H615" s="150">
        <f t="shared" si="23"/>
        <v>34.61</v>
      </c>
      <c r="I615" s="150"/>
      <c r="J615" s="150">
        <v>34.61</v>
      </c>
      <c r="K615" s="150">
        <f t="shared" si="21"/>
        <v>0</v>
      </c>
      <c r="L615" s="151">
        <f t="shared" si="22"/>
        <v>0</v>
      </c>
      <c r="M615" s="148"/>
    </row>
    <row r="616" spans="1:13" outlineLevel="3">
      <c r="A616" s="148" t="s">
        <v>126</v>
      </c>
      <c r="B616" s="148" t="s">
        <v>727</v>
      </c>
      <c r="C616" s="148" t="s">
        <v>128</v>
      </c>
      <c r="D616" s="148" t="s">
        <v>128</v>
      </c>
      <c r="E616" s="148" t="s">
        <v>728</v>
      </c>
      <c r="F616" s="149">
        <v>45915</v>
      </c>
      <c r="G616" s="150">
        <v>178.96</v>
      </c>
      <c r="H616" s="150">
        <f t="shared" si="23"/>
        <v>178.96</v>
      </c>
      <c r="I616" s="150"/>
      <c r="J616" s="150">
        <v>178.96</v>
      </c>
      <c r="K616" s="150">
        <f t="shared" si="21"/>
        <v>0</v>
      </c>
      <c r="L616" s="151">
        <f t="shared" si="22"/>
        <v>0</v>
      </c>
      <c r="M616" s="148"/>
    </row>
    <row r="617" spans="1:13" outlineLevel="3">
      <c r="A617" s="148" t="s">
        <v>126</v>
      </c>
      <c r="B617" s="148" t="s">
        <v>727</v>
      </c>
      <c r="C617" s="148" t="s">
        <v>131</v>
      </c>
      <c r="D617" s="148" t="s">
        <v>131</v>
      </c>
      <c r="E617" s="148" t="s">
        <v>728</v>
      </c>
      <c r="F617" s="149">
        <v>45915</v>
      </c>
      <c r="G617" s="150">
        <v>35</v>
      </c>
      <c r="H617" s="150">
        <f t="shared" si="23"/>
        <v>35</v>
      </c>
      <c r="I617" s="150"/>
      <c r="J617" s="150">
        <v>28</v>
      </c>
      <c r="K617" s="150">
        <f t="shared" si="21"/>
        <v>7</v>
      </c>
      <c r="L617" s="151">
        <f t="shared" si="22"/>
        <v>0.25</v>
      </c>
      <c r="M617" s="148"/>
    </row>
    <row r="618" spans="1:13" outlineLevel="3">
      <c r="A618" s="148" t="s">
        <v>126</v>
      </c>
      <c r="B618" s="148" t="s">
        <v>727</v>
      </c>
      <c r="C618" s="148" t="s">
        <v>132</v>
      </c>
      <c r="D618" s="148" t="s">
        <v>132</v>
      </c>
      <c r="E618" s="148" t="s">
        <v>728</v>
      </c>
      <c r="F618" s="149">
        <v>45915</v>
      </c>
      <c r="G618" s="150">
        <v>449.4</v>
      </c>
      <c r="H618" s="150">
        <f t="shared" si="23"/>
        <v>449.4</v>
      </c>
      <c r="I618" s="150"/>
      <c r="J618" s="150">
        <v>449.4</v>
      </c>
      <c r="K618" s="150">
        <f t="shared" si="21"/>
        <v>0</v>
      </c>
      <c r="L618" s="151">
        <f t="shared" si="22"/>
        <v>0</v>
      </c>
      <c r="M618" s="148"/>
    </row>
    <row r="619" spans="1:13" outlineLevel="2">
      <c r="A619" s="148"/>
      <c r="B619" s="173" t="s">
        <v>729</v>
      </c>
      <c r="C619" s="148"/>
      <c r="D619" s="148"/>
      <c r="E619" s="148"/>
      <c r="F619" s="149"/>
      <c r="G619" s="150">
        <f>SUBTOTAL(9,G615:G618)</f>
        <v>697.97</v>
      </c>
      <c r="H619" s="150">
        <f>SUBTOTAL(9,H615:H618)</f>
        <v>697.97</v>
      </c>
      <c r="I619" s="150">
        <f>SUBTOTAL(9,I615:I618)</f>
        <v>0</v>
      </c>
      <c r="J619" s="150">
        <f>SUBTOTAL(9,J615:J618)</f>
        <v>690.97</v>
      </c>
      <c r="K619" s="150"/>
      <c r="L619" s="151"/>
      <c r="M619" s="148"/>
    </row>
    <row r="620" spans="1:13" outlineLevel="1">
      <c r="A620" s="173" t="s">
        <v>730</v>
      </c>
      <c r="B620" s="148"/>
      <c r="C620" s="148"/>
      <c r="D620" s="148"/>
      <c r="E620" s="148"/>
      <c r="F620" s="149"/>
      <c r="G620" s="150">
        <f>SUBTOTAL(9,G2:G618)</f>
        <v>815584.12049999996</v>
      </c>
      <c r="H620" s="150">
        <f>SUBTOTAL(9,H2:H618)</f>
        <v>815584.12049999996</v>
      </c>
      <c r="I620" s="150">
        <f>SUBTOTAL(9,I2:I618)</f>
        <v>0</v>
      </c>
      <c r="J620" s="150">
        <f>SUBTOTAL(9,J2:J618)</f>
        <v>801234.03760000004</v>
      </c>
      <c r="K620" s="150"/>
      <c r="L620" s="151"/>
      <c r="M620" s="148"/>
    </row>
    <row r="621" spans="1:13" outlineLevel="3">
      <c r="A621" s="148" t="s">
        <v>731</v>
      </c>
      <c r="B621" s="148" t="s">
        <v>732</v>
      </c>
      <c r="C621" s="148" t="s">
        <v>128</v>
      </c>
      <c r="D621" s="148" t="s">
        <v>162</v>
      </c>
      <c r="E621" s="148" t="s">
        <v>733</v>
      </c>
      <c r="F621" s="149">
        <v>45901</v>
      </c>
      <c r="G621" s="150">
        <v>112.5</v>
      </c>
      <c r="H621" s="150">
        <f>+G621</f>
        <v>112.5</v>
      </c>
      <c r="I621" s="150"/>
      <c r="J621" s="150">
        <v>0</v>
      </c>
      <c r="K621" s="150">
        <f>+G621-J621</f>
        <v>112.5</v>
      </c>
      <c r="L621" s="151" t="e">
        <f>+K621/J621</f>
        <v>#DIV/0!</v>
      </c>
      <c r="M621" s="148" t="s">
        <v>734</v>
      </c>
    </row>
    <row r="622" spans="1:13" outlineLevel="3">
      <c r="A622" s="148" t="s">
        <v>731</v>
      </c>
      <c r="B622" s="148" t="s">
        <v>732</v>
      </c>
      <c r="C622" s="148" t="s">
        <v>132</v>
      </c>
      <c r="D622" s="148" t="s">
        <v>132</v>
      </c>
      <c r="E622" s="148" t="s">
        <v>733</v>
      </c>
      <c r="F622" s="149">
        <v>45901</v>
      </c>
      <c r="G622" s="150">
        <v>2842.2</v>
      </c>
      <c r="H622" s="150">
        <f t="shared" ref="H622:H707" si="24">+G622</f>
        <v>2842.2</v>
      </c>
      <c r="I622" s="150"/>
      <c r="J622" s="150">
        <v>2842.2</v>
      </c>
      <c r="K622" s="150">
        <f t="shared" ref="K622:K707" si="25">+G622-J622</f>
        <v>0</v>
      </c>
      <c r="L622" s="151">
        <f t="shared" ref="L622:L707" si="26">+K622/J622</f>
        <v>0</v>
      </c>
      <c r="M622" s="148"/>
    </row>
    <row r="623" spans="1:13" outlineLevel="2">
      <c r="A623" s="148"/>
      <c r="B623" s="173" t="s">
        <v>735</v>
      </c>
      <c r="C623" s="148"/>
      <c r="D623" s="148"/>
      <c r="E623" s="148"/>
      <c r="F623" s="149"/>
      <c r="G623" s="150">
        <f>SUBTOTAL(9,G621:G622)</f>
        <v>2954.7</v>
      </c>
      <c r="H623" s="150">
        <f>SUBTOTAL(9,H621:H622)</f>
        <v>2954.7</v>
      </c>
      <c r="I623" s="150">
        <f>SUBTOTAL(9,I621:I622)</f>
        <v>0</v>
      </c>
      <c r="J623" s="150">
        <f>SUBTOTAL(9,J621:J622)</f>
        <v>2842.2</v>
      </c>
      <c r="K623" s="150"/>
      <c r="L623" s="151"/>
      <c r="M623" s="148"/>
    </row>
    <row r="624" spans="1:13" outlineLevel="3">
      <c r="A624" s="148" t="s">
        <v>731</v>
      </c>
      <c r="B624" s="148" t="s">
        <v>736</v>
      </c>
      <c r="C624" s="148" t="s">
        <v>132</v>
      </c>
      <c r="D624" s="148" t="s">
        <v>132</v>
      </c>
      <c r="E624" s="148" t="s">
        <v>737</v>
      </c>
      <c r="F624" s="149">
        <v>45901</v>
      </c>
      <c r="G624" s="150">
        <v>1161</v>
      </c>
      <c r="H624" s="150">
        <f t="shared" si="24"/>
        <v>1161</v>
      </c>
      <c r="I624" s="150"/>
      <c r="J624" s="150">
        <v>1161</v>
      </c>
      <c r="K624" s="150">
        <f t="shared" si="25"/>
        <v>0</v>
      </c>
      <c r="L624" s="151">
        <f t="shared" si="26"/>
        <v>0</v>
      </c>
      <c r="M624" s="148"/>
    </row>
    <row r="625" spans="1:13" outlineLevel="2">
      <c r="A625" s="148"/>
      <c r="B625" s="173" t="s">
        <v>738</v>
      </c>
      <c r="C625" s="148"/>
      <c r="D625" s="148"/>
      <c r="E625" s="148"/>
      <c r="F625" s="149"/>
      <c r="G625" s="150">
        <f>SUBTOTAL(9,G624:G624)</f>
        <v>1161</v>
      </c>
      <c r="H625" s="150">
        <f>SUBTOTAL(9,H624:H624)</f>
        <v>1161</v>
      </c>
      <c r="I625" s="150">
        <f>SUBTOTAL(9,I624:I624)</f>
        <v>0</v>
      </c>
      <c r="J625" s="150">
        <f>SUBTOTAL(9,J624:J624)</f>
        <v>1161</v>
      </c>
      <c r="K625" s="150"/>
      <c r="L625" s="151"/>
      <c r="M625" s="148"/>
    </row>
    <row r="626" spans="1:13" outlineLevel="3">
      <c r="A626" s="148" t="s">
        <v>731</v>
      </c>
      <c r="B626" s="148" t="s">
        <v>739</v>
      </c>
      <c r="C626" s="148" t="s">
        <v>740</v>
      </c>
      <c r="D626" s="148" t="s">
        <v>741</v>
      </c>
      <c r="E626" s="148" t="s">
        <v>742</v>
      </c>
      <c r="F626" s="149">
        <v>45901</v>
      </c>
      <c r="G626" s="150">
        <v>111.5</v>
      </c>
      <c r="H626" s="150">
        <f t="shared" si="24"/>
        <v>111.5</v>
      </c>
      <c r="I626" s="150"/>
      <c r="J626" s="150">
        <v>111.5</v>
      </c>
      <c r="K626" s="150">
        <f t="shared" si="25"/>
        <v>0</v>
      </c>
      <c r="L626" s="151">
        <f t="shared" si="26"/>
        <v>0</v>
      </c>
      <c r="M626" s="148"/>
    </row>
    <row r="627" spans="1:13" outlineLevel="3">
      <c r="A627" s="148" t="s">
        <v>731</v>
      </c>
      <c r="B627" s="148" t="s">
        <v>739</v>
      </c>
      <c r="C627" s="148" t="s">
        <v>128</v>
      </c>
      <c r="D627" s="148" t="s">
        <v>264</v>
      </c>
      <c r="E627" s="148" t="s">
        <v>743</v>
      </c>
      <c r="F627" s="149">
        <v>45901</v>
      </c>
      <c r="G627" s="150">
        <v>280</v>
      </c>
      <c r="H627" s="150">
        <f t="shared" si="24"/>
        <v>280</v>
      </c>
      <c r="I627" s="150"/>
      <c r="J627" s="150">
        <v>205</v>
      </c>
      <c r="K627" s="150">
        <f t="shared" si="25"/>
        <v>75</v>
      </c>
      <c r="L627" s="151">
        <f t="shared" si="26"/>
        <v>0.36585365853658536</v>
      </c>
      <c r="M627" s="148"/>
    </row>
    <row r="628" spans="1:13" outlineLevel="3">
      <c r="A628" s="148" t="s">
        <v>731</v>
      </c>
      <c r="B628" s="148" t="s">
        <v>739</v>
      </c>
      <c r="C628" s="148" t="s">
        <v>131</v>
      </c>
      <c r="D628" s="148" t="s">
        <v>265</v>
      </c>
      <c r="E628" s="148" t="s">
        <v>743</v>
      </c>
      <c r="F628" s="149">
        <v>45901</v>
      </c>
      <c r="G628" s="150">
        <v>35</v>
      </c>
      <c r="H628" s="150">
        <f t="shared" si="24"/>
        <v>35</v>
      </c>
      <c r="I628" s="150"/>
      <c r="J628" s="150">
        <v>643.5</v>
      </c>
      <c r="K628" s="150">
        <f t="shared" si="25"/>
        <v>-608.5</v>
      </c>
      <c r="L628" s="151">
        <f t="shared" si="26"/>
        <v>-0.9456099456099456</v>
      </c>
      <c r="M628" s="148" t="s">
        <v>177</v>
      </c>
    </row>
    <row r="629" spans="1:13" outlineLevel="3">
      <c r="A629" s="148" t="s">
        <v>731</v>
      </c>
      <c r="B629" s="148" t="s">
        <v>739</v>
      </c>
      <c r="C629" s="148" t="s">
        <v>744</v>
      </c>
      <c r="D629" s="148" t="s">
        <v>745</v>
      </c>
      <c r="E629" s="148" t="s">
        <v>746</v>
      </c>
      <c r="F629" s="149">
        <v>45902</v>
      </c>
      <c r="G629" s="150">
        <v>446</v>
      </c>
      <c r="H629" s="150">
        <f t="shared" si="24"/>
        <v>446</v>
      </c>
      <c r="I629" s="150"/>
      <c r="J629" s="150">
        <v>446</v>
      </c>
      <c r="K629" s="150">
        <f t="shared" si="25"/>
        <v>0</v>
      </c>
      <c r="L629" s="151">
        <f t="shared" si="26"/>
        <v>0</v>
      </c>
      <c r="M629" s="148" t="s">
        <v>747</v>
      </c>
    </row>
    <row r="630" spans="1:13" outlineLevel="3">
      <c r="A630" s="148" t="s">
        <v>731</v>
      </c>
      <c r="B630" s="148" t="s">
        <v>739</v>
      </c>
      <c r="C630" s="148" t="s">
        <v>132</v>
      </c>
      <c r="D630" s="148" t="s">
        <v>748</v>
      </c>
      <c r="E630" s="148" t="s">
        <v>743</v>
      </c>
      <c r="F630" s="149">
        <v>45901</v>
      </c>
      <c r="G630" s="150">
        <v>2658</v>
      </c>
      <c r="H630" s="150">
        <f t="shared" si="24"/>
        <v>2658</v>
      </c>
      <c r="I630" s="150"/>
      <c r="J630" s="150">
        <v>2658</v>
      </c>
      <c r="K630" s="150">
        <f t="shared" si="25"/>
        <v>0</v>
      </c>
      <c r="L630" s="151">
        <f t="shared" si="26"/>
        <v>0</v>
      </c>
      <c r="M630" s="148"/>
    </row>
    <row r="631" spans="1:13" outlineLevel="2">
      <c r="A631" s="148"/>
      <c r="B631" s="173" t="s">
        <v>749</v>
      </c>
      <c r="C631" s="148"/>
      <c r="D631" s="148"/>
      <c r="E631" s="148"/>
      <c r="F631" s="149"/>
      <c r="G631" s="150">
        <f>SUBTOTAL(9,G626:G630)</f>
        <v>3530.5</v>
      </c>
      <c r="H631" s="150">
        <f>SUBTOTAL(9,H626:H630)</f>
        <v>3530.5</v>
      </c>
      <c r="I631" s="150">
        <f>SUBTOTAL(9,I626:I630)</f>
        <v>0</v>
      </c>
      <c r="J631" s="150">
        <f>SUBTOTAL(9,J626:J630)</f>
        <v>4064</v>
      </c>
      <c r="K631" s="150"/>
      <c r="L631" s="151"/>
      <c r="M631" s="148"/>
    </row>
    <row r="632" spans="1:13" outlineLevel="3">
      <c r="A632" s="148" t="s">
        <v>731</v>
      </c>
      <c r="B632" s="148" t="s">
        <v>750</v>
      </c>
      <c r="C632" s="148" t="s">
        <v>740</v>
      </c>
      <c r="D632" s="148" t="s">
        <v>740</v>
      </c>
      <c r="E632" s="148" t="s">
        <v>751</v>
      </c>
      <c r="F632" s="149">
        <v>45901</v>
      </c>
      <c r="G632" s="150">
        <v>288.60000000000002</v>
      </c>
      <c r="H632" s="150">
        <f t="shared" si="24"/>
        <v>288.60000000000002</v>
      </c>
      <c r="I632" s="150"/>
      <c r="J632" s="150">
        <v>577.20000000000005</v>
      </c>
      <c r="K632" s="150">
        <f t="shared" si="25"/>
        <v>-288.60000000000002</v>
      </c>
      <c r="L632" s="151">
        <f t="shared" si="26"/>
        <v>-0.5</v>
      </c>
      <c r="M632" s="148" t="s">
        <v>752</v>
      </c>
    </row>
    <row r="633" spans="1:13" outlineLevel="3">
      <c r="A633" s="148" t="s">
        <v>731</v>
      </c>
      <c r="B633" s="148" t="s">
        <v>750</v>
      </c>
      <c r="C633" s="148" t="s">
        <v>744</v>
      </c>
      <c r="D633" s="148" t="s">
        <v>745</v>
      </c>
      <c r="E633" s="148" t="s">
        <v>753</v>
      </c>
      <c r="F633" s="149">
        <v>45902</v>
      </c>
      <c r="G633" s="150">
        <v>673.4</v>
      </c>
      <c r="H633" s="150">
        <f t="shared" si="24"/>
        <v>673.4</v>
      </c>
      <c r="I633" s="150"/>
      <c r="J633" s="150">
        <v>673.4</v>
      </c>
      <c r="K633" s="150">
        <f t="shared" si="25"/>
        <v>0</v>
      </c>
      <c r="L633" s="151">
        <f t="shared" si="26"/>
        <v>0</v>
      </c>
      <c r="M633" s="148" t="s">
        <v>747</v>
      </c>
    </row>
    <row r="634" spans="1:13" outlineLevel="3">
      <c r="A634" s="148" t="s">
        <v>731</v>
      </c>
      <c r="B634" s="148" t="s">
        <v>750</v>
      </c>
      <c r="C634" s="148" t="s">
        <v>132</v>
      </c>
      <c r="D634" s="148" t="s">
        <v>754</v>
      </c>
      <c r="E634" s="148" t="s">
        <v>755</v>
      </c>
      <c r="F634" s="149">
        <v>45901</v>
      </c>
      <c r="G634" s="150">
        <v>1058</v>
      </c>
      <c r="H634" s="150">
        <f t="shared" si="24"/>
        <v>1058</v>
      </c>
      <c r="I634" s="150"/>
      <c r="J634" s="150">
        <v>1058</v>
      </c>
      <c r="K634" s="150">
        <f t="shared" si="25"/>
        <v>0</v>
      </c>
      <c r="L634" s="151">
        <f t="shared" si="26"/>
        <v>0</v>
      </c>
      <c r="M634" s="148"/>
    </row>
    <row r="635" spans="1:13" outlineLevel="3">
      <c r="A635" s="148" t="s">
        <v>731</v>
      </c>
      <c r="B635" s="148" t="s">
        <v>750</v>
      </c>
      <c r="C635" s="148" t="s">
        <v>132</v>
      </c>
      <c r="D635" s="148" t="s">
        <v>756</v>
      </c>
      <c r="E635" s="148" t="s">
        <v>757</v>
      </c>
      <c r="F635" s="149">
        <v>45901</v>
      </c>
      <c r="G635" s="150">
        <v>530</v>
      </c>
      <c r="H635" s="150">
        <f t="shared" si="24"/>
        <v>530</v>
      </c>
      <c r="I635" s="150"/>
      <c r="J635" s="150">
        <v>530</v>
      </c>
      <c r="K635" s="150">
        <f t="shared" si="25"/>
        <v>0</v>
      </c>
      <c r="L635" s="151">
        <f t="shared" si="26"/>
        <v>0</v>
      </c>
      <c r="M635" s="148"/>
    </row>
    <row r="636" spans="1:13" outlineLevel="2">
      <c r="A636" s="148"/>
      <c r="B636" s="173" t="s">
        <v>758</v>
      </c>
      <c r="C636" s="148"/>
      <c r="D636" s="148"/>
      <c r="E636" s="148"/>
      <c r="F636" s="149"/>
      <c r="G636" s="150">
        <f>SUBTOTAL(9,G632:G635)</f>
        <v>2550</v>
      </c>
      <c r="H636" s="150">
        <f>SUBTOTAL(9,H632:H635)</f>
        <v>2550</v>
      </c>
      <c r="I636" s="150">
        <f>SUBTOTAL(9,I632:I635)</f>
        <v>0</v>
      </c>
      <c r="J636" s="150">
        <f>SUBTOTAL(9,J632:J635)</f>
        <v>2838.6</v>
      </c>
      <c r="K636" s="150"/>
      <c r="L636" s="151"/>
      <c r="M636" s="148"/>
    </row>
    <row r="637" spans="1:13" outlineLevel="3">
      <c r="A637" s="148" t="s">
        <v>731</v>
      </c>
      <c r="B637" s="148" t="s">
        <v>759</v>
      </c>
      <c r="C637" s="148" t="s">
        <v>740</v>
      </c>
      <c r="D637" s="148" t="s">
        <v>741</v>
      </c>
      <c r="E637" s="148" t="s">
        <v>760</v>
      </c>
      <c r="F637" s="149">
        <v>45901</v>
      </c>
      <c r="G637" s="150">
        <v>40.1</v>
      </c>
      <c r="H637" s="150">
        <f t="shared" si="24"/>
        <v>40.1</v>
      </c>
      <c r="I637" s="150"/>
      <c r="J637" s="150">
        <v>80.2</v>
      </c>
      <c r="K637" s="150">
        <f t="shared" si="25"/>
        <v>-40.1</v>
      </c>
      <c r="L637" s="151">
        <f t="shared" si="26"/>
        <v>-0.5</v>
      </c>
      <c r="M637" s="148" t="s">
        <v>752</v>
      </c>
    </row>
    <row r="638" spans="1:13" outlineLevel="3">
      <c r="A638" s="148" t="s">
        <v>731</v>
      </c>
      <c r="B638" s="148" t="s">
        <v>759</v>
      </c>
      <c r="C638" s="148" t="s">
        <v>128</v>
      </c>
      <c r="D638" s="148" t="s">
        <v>129</v>
      </c>
      <c r="E638" s="148" t="s">
        <v>761</v>
      </c>
      <c r="F638" s="149">
        <v>45901</v>
      </c>
      <c r="G638" s="150">
        <v>272.44</v>
      </c>
      <c r="H638" s="150">
        <f t="shared" si="24"/>
        <v>272.44</v>
      </c>
      <c r="I638" s="150"/>
      <c r="J638" s="150">
        <v>272.44</v>
      </c>
      <c r="K638" s="150">
        <f t="shared" si="25"/>
        <v>0</v>
      </c>
      <c r="L638" s="151">
        <f t="shared" si="26"/>
        <v>0</v>
      </c>
      <c r="M638" s="148"/>
    </row>
    <row r="639" spans="1:13" outlineLevel="3">
      <c r="A639" s="148" t="s">
        <v>731</v>
      </c>
      <c r="B639" s="148" t="s">
        <v>759</v>
      </c>
      <c r="C639" s="148" t="s">
        <v>131</v>
      </c>
      <c r="D639" s="148" t="s">
        <v>155</v>
      </c>
      <c r="E639" s="148" t="s">
        <v>761</v>
      </c>
      <c r="F639" s="149">
        <v>45901</v>
      </c>
      <c r="G639" s="150">
        <v>217</v>
      </c>
      <c r="H639" s="150">
        <f t="shared" si="24"/>
        <v>217</v>
      </c>
      <c r="I639" s="150"/>
      <c r="J639" s="150">
        <v>224</v>
      </c>
      <c r="K639" s="150">
        <f t="shared" si="25"/>
        <v>-7</v>
      </c>
      <c r="L639" s="151">
        <f t="shared" si="26"/>
        <v>-3.125E-2</v>
      </c>
      <c r="M639" s="148" t="s">
        <v>177</v>
      </c>
    </row>
    <row r="640" spans="1:13" outlineLevel="3">
      <c r="A640" s="148" t="s">
        <v>731</v>
      </c>
      <c r="B640" s="148" t="s">
        <v>759</v>
      </c>
      <c r="C640" s="148" t="s">
        <v>744</v>
      </c>
      <c r="D640" s="148" t="s">
        <v>745</v>
      </c>
      <c r="E640" s="148" t="s">
        <v>762</v>
      </c>
      <c r="F640" s="149">
        <v>45902</v>
      </c>
      <c r="G640" s="150">
        <v>227.23</v>
      </c>
      <c r="H640" s="150">
        <f t="shared" si="24"/>
        <v>227.23</v>
      </c>
      <c r="I640" s="150"/>
      <c r="J640" s="150">
        <v>454.46</v>
      </c>
      <c r="K640" s="150">
        <f t="shared" si="25"/>
        <v>-227.23</v>
      </c>
      <c r="L640" s="151">
        <f t="shared" si="26"/>
        <v>-0.5</v>
      </c>
      <c r="M640" s="148" t="s">
        <v>747</v>
      </c>
    </row>
    <row r="641" spans="1:13" outlineLevel="3">
      <c r="A641" s="148" t="s">
        <v>731</v>
      </c>
      <c r="B641" s="148" t="s">
        <v>759</v>
      </c>
      <c r="C641" s="148" t="s">
        <v>132</v>
      </c>
      <c r="D641" s="148" t="s">
        <v>763</v>
      </c>
      <c r="E641" s="148" t="s">
        <v>761</v>
      </c>
      <c r="F641" s="149">
        <v>45901</v>
      </c>
      <c r="G641" s="150">
        <v>2240.5300000000002</v>
      </c>
      <c r="H641" s="150">
        <f t="shared" si="24"/>
        <v>2240.5300000000002</v>
      </c>
      <c r="I641" s="150"/>
      <c r="J641" s="150">
        <v>2240.5300000000002</v>
      </c>
      <c r="K641" s="150">
        <f t="shared" si="25"/>
        <v>0</v>
      </c>
      <c r="L641" s="151">
        <f t="shared" si="26"/>
        <v>0</v>
      </c>
      <c r="M641" s="148"/>
    </row>
    <row r="642" spans="1:13" outlineLevel="2">
      <c r="A642" s="148"/>
      <c r="B642" s="173" t="s">
        <v>764</v>
      </c>
      <c r="C642" s="148"/>
      <c r="D642" s="148"/>
      <c r="E642" s="148"/>
      <c r="F642" s="149"/>
      <c r="G642" s="150">
        <f>SUBTOTAL(9,G637:G641)</f>
        <v>2997.3</v>
      </c>
      <c r="H642" s="150">
        <f>SUBTOTAL(9,H637:H641)</f>
        <v>2997.3</v>
      </c>
      <c r="I642" s="150">
        <f>SUBTOTAL(9,I637:I641)</f>
        <v>0</v>
      </c>
      <c r="J642" s="150">
        <f>SUBTOTAL(9,J637:J641)</f>
        <v>3271.63</v>
      </c>
      <c r="K642" s="150"/>
      <c r="L642" s="151"/>
      <c r="M642" s="148"/>
    </row>
    <row r="643" spans="1:13" outlineLevel="3">
      <c r="A643" s="148" t="s">
        <v>731</v>
      </c>
      <c r="B643" s="148" t="s">
        <v>765</v>
      </c>
      <c r="C643" s="148" t="s">
        <v>139</v>
      </c>
      <c r="D643" s="148" t="s">
        <v>273</v>
      </c>
      <c r="E643" s="148" t="s">
        <v>766</v>
      </c>
      <c r="F643" s="149">
        <v>45901</v>
      </c>
      <c r="G643" s="150">
        <v>67.099999999999994</v>
      </c>
      <c r="H643" s="150">
        <f t="shared" si="24"/>
        <v>67.099999999999994</v>
      </c>
      <c r="I643" s="150"/>
      <c r="J643" s="150">
        <v>67.099999999999994</v>
      </c>
      <c r="K643" s="150">
        <f t="shared" si="25"/>
        <v>0</v>
      </c>
      <c r="L643" s="151">
        <f t="shared" si="26"/>
        <v>0</v>
      </c>
      <c r="M643" s="148"/>
    </row>
    <row r="644" spans="1:13" outlineLevel="2">
      <c r="A644" s="148"/>
      <c r="B644" s="173" t="s">
        <v>767</v>
      </c>
      <c r="C644" s="148"/>
      <c r="D644" s="148"/>
      <c r="E644" s="148"/>
      <c r="F644" s="149"/>
      <c r="G644" s="150">
        <f>SUBTOTAL(9,G643:G643)</f>
        <v>67.099999999999994</v>
      </c>
      <c r="H644" s="150">
        <f>SUBTOTAL(9,H643:H643)</f>
        <v>67.099999999999994</v>
      </c>
      <c r="I644" s="150">
        <f>SUBTOTAL(9,I643:I643)</f>
        <v>0</v>
      </c>
      <c r="J644" s="150">
        <f>SUBTOTAL(9,J643:J643)</f>
        <v>67.099999999999994</v>
      </c>
      <c r="K644" s="150"/>
      <c r="L644" s="151"/>
      <c r="M644" s="148"/>
    </row>
    <row r="645" spans="1:13" outlineLevel="3">
      <c r="A645" s="148" t="s">
        <v>731</v>
      </c>
      <c r="B645" s="148" t="s">
        <v>768</v>
      </c>
      <c r="C645" s="148" t="s">
        <v>740</v>
      </c>
      <c r="D645" s="148" t="s">
        <v>741</v>
      </c>
      <c r="E645" s="148" t="s">
        <v>769</v>
      </c>
      <c r="F645" s="149">
        <v>45901</v>
      </c>
      <c r="G645" s="150">
        <v>39.79</v>
      </c>
      <c r="H645" s="150">
        <f t="shared" si="24"/>
        <v>39.79</v>
      </c>
      <c r="I645" s="150"/>
      <c r="J645" s="150">
        <v>39.79</v>
      </c>
      <c r="K645" s="150">
        <f t="shared" si="25"/>
        <v>0</v>
      </c>
      <c r="L645" s="151">
        <f t="shared" si="26"/>
        <v>0</v>
      </c>
      <c r="M645" s="148"/>
    </row>
    <row r="646" spans="1:13" outlineLevel="3">
      <c r="A646" s="148" t="s">
        <v>731</v>
      </c>
      <c r="B646" s="148" t="s">
        <v>768</v>
      </c>
      <c r="C646" s="148" t="s">
        <v>128</v>
      </c>
      <c r="D646" s="148" t="s">
        <v>162</v>
      </c>
      <c r="E646" s="148" t="s">
        <v>770</v>
      </c>
      <c r="F646" s="149">
        <v>45901</v>
      </c>
      <c r="G646" s="150">
        <v>116.14</v>
      </c>
      <c r="H646" s="150">
        <f t="shared" si="24"/>
        <v>116.14</v>
      </c>
      <c r="I646" s="150"/>
      <c r="J646" s="150">
        <v>116.14</v>
      </c>
      <c r="K646" s="150">
        <f t="shared" si="25"/>
        <v>0</v>
      </c>
      <c r="L646" s="151">
        <f t="shared" si="26"/>
        <v>0</v>
      </c>
      <c r="M646" s="148"/>
    </row>
    <row r="647" spans="1:13" outlineLevel="3">
      <c r="A647" s="148" t="s">
        <v>731</v>
      </c>
      <c r="B647" s="148" t="s">
        <v>768</v>
      </c>
      <c r="C647" s="148" t="s">
        <v>131</v>
      </c>
      <c r="D647" s="148" t="s">
        <v>237</v>
      </c>
      <c r="E647" s="148" t="s">
        <v>770</v>
      </c>
      <c r="F647" s="149">
        <v>45901</v>
      </c>
      <c r="G647" s="150">
        <v>2968</v>
      </c>
      <c r="H647" s="150">
        <f t="shared" si="24"/>
        <v>2968</v>
      </c>
      <c r="I647" s="150"/>
      <c r="J647" s="150">
        <v>1020.5</v>
      </c>
      <c r="K647" s="150">
        <f t="shared" si="25"/>
        <v>1947.5</v>
      </c>
      <c r="L647" s="151">
        <f t="shared" si="26"/>
        <v>1.9083782459578638</v>
      </c>
      <c r="M647" s="148"/>
    </row>
    <row r="648" spans="1:13" outlineLevel="3">
      <c r="A648" s="148" t="s">
        <v>731</v>
      </c>
      <c r="B648" s="148" t="s">
        <v>768</v>
      </c>
      <c r="C648" s="148" t="s">
        <v>744</v>
      </c>
      <c r="D648" s="148" t="s">
        <v>745</v>
      </c>
      <c r="E648" s="148" t="s">
        <v>771</v>
      </c>
      <c r="F648" s="149">
        <v>45902</v>
      </c>
      <c r="G648" s="150">
        <v>225.41</v>
      </c>
      <c r="H648" s="150">
        <f t="shared" si="24"/>
        <v>225.41</v>
      </c>
      <c r="I648" s="150"/>
      <c r="J648" s="150">
        <v>225.41</v>
      </c>
      <c r="K648" s="150">
        <f t="shared" si="25"/>
        <v>0</v>
      </c>
      <c r="L648" s="151">
        <f t="shared" si="26"/>
        <v>0</v>
      </c>
      <c r="M648" s="148" t="s">
        <v>747</v>
      </c>
    </row>
    <row r="649" spans="1:13" outlineLevel="3">
      <c r="A649" s="148" t="s">
        <v>731</v>
      </c>
      <c r="B649" s="148" t="s">
        <v>768</v>
      </c>
      <c r="C649" s="148" t="s">
        <v>132</v>
      </c>
      <c r="D649" s="148" t="s">
        <v>772</v>
      </c>
      <c r="E649" s="148" t="s">
        <v>773</v>
      </c>
      <c r="F649" s="149">
        <v>45901</v>
      </c>
      <c r="G649" s="150">
        <v>379.5</v>
      </c>
      <c r="H649" s="150">
        <f t="shared" si="24"/>
        <v>379.5</v>
      </c>
      <c r="I649" s="150"/>
      <c r="J649" s="150">
        <v>379.5</v>
      </c>
      <c r="K649" s="150">
        <f t="shared" si="25"/>
        <v>0</v>
      </c>
      <c r="L649" s="151">
        <f t="shared" si="26"/>
        <v>0</v>
      </c>
      <c r="M649" s="148"/>
    </row>
    <row r="650" spans="1:13" outlineLevel="3">
      <c r="A650" s="148" t="s">
        <v>731</v>
      </c>
      <c r="B650" s="148" t="s">
        <v>768</v>
      </c>
      <c r="C650" s="148" t="s">
        <v>132</v>
      </c>
      <c r="D650" s="148" t="s">
        <v>774</v>
      </c>
      <c r="E650" s="148" t="s">
        <v>775</v>
      </c>
      <c r="F650" s="149">
        <v>45901</v>
      </c>
      <c r="G650" s="150">
        <v>4416.67</v>
      </c>
      <c r="H650" s="150">
        <f t="shared" si="24"/>
        <v>4416.67</v>
      </c>
      <c r="I650" s="150"/>
      <c r="J650" s="150">
        <v>4416.67</v>
      </c>
      <c r="K650" s="150">
        <f t="shared" si="25"/>
        <v>0</v>
      </c>
      <c r="L650" s="151">
        <f t="shared" si="26"/>
        <v>0</v>
      </c>
      <c r="M650" s="148"/>
    </row>
    <row r="651" spans="1:13" outlineLevel="3">
      <c r="A651" s="148" t="s">
        <v>731</v>
      </c>
      <c r="B651" s="148" t="s">
        <v>768</v>
      </c>
      <c r="C651" s="148" t="s">
        <v>132</v>
      </c>
      <c r="D651" s="148" t="s">
        <v>229</v>
      </c>
      <c r="E651" s="148" t="s">
        <v>770</v>
      </c>
      <c r="F651" s="149">
        <v>45901</v>
      </c>
      <c r="G651" s="150">
        <v>4533.7</v>
      </c>
      <c r="H651" s="150">
        <f t="shared" si="24"/>
        <v>4533.7</v>
      </c>
      <c r="I651" s="150"/>
      <c r="J651" s="150">
        <v>4533.7</v>
      </c>
      <c r="K651" s="150">
        <f t="shared" si="25"/>
        <v>0</v>
      </c>
      <c r="L651" s="151">
        <f t="shared" si="26"/>
        <v>0</v>
      </c>
      <c r="M651" s="148"/>
    </row>
    <row r="652" spans="1:13" outlineLevel="2">
      <c r="A652" s="148"/>
      <c r="B652" s="173" t="s">
        <v>776</v>
      </c>
      <c r="C652" s="148"/>
      <c r="D652" s="148"/>
      <c r="E652" s="148"/>
      <c r="F652" s="149"/>
      <c r="G652" s="150">
        <f>SUBTOTAL(9,G645:G651)</f>
        <v>12679.21</v>
      </c>
      <c r="H652" s="150">
        <f>SUBTOTAL(9,H645:H651)</f>
        <v>12679.21</v>
      </c>
      <c r="I652" s="150">
        <f>SUBTOTAL(9,I645:I651)</f>
        <v>0</v>
      </c>
      <c r="J652" s="150">
        <f>SUBTOTAL(9,J645:J651)</f>
        <v>10731.71</v>
      </c>
      <c r="K652" s="150"/>
      <c r="L652" s="151"/>
      <c r="M652" s="148"/>
    </row>
    <row r="653" spans="1:13" outlineLevel="3">
      <c r="A653" s="148" t="s">
        <v>731</v>
      </c>
      <c r="B653" s="148" t="s">
        <v>777</v>
      </c>
      <c r="C653" s="148" t="s">
        <v>131</v>
      </c>
      <c r="D653" s="148" t="s">
        <v>237</v>
      </c>
      <c r="E653" s="148" t="s">
        <v>778</v>
      </c>
      <c r="F653" s="149">
        <v>45901</v>
      </c>
      <c r="G653" s="150">
        <v>91</v>
      </c>
      <c r="H653" s="150">
        <f t="shared" si="24"/>
        <v>91</v>
      </c>
      <c r="I653" s="150"/>
      <c r="J653" s="150">
        <v>77</v>
      </c>
      <c r="K653" s="150">
        <f t="shared" si="25"/>
        <v>14</v>
      </c>
      <c r="L653" s="151">
        <f t="shared" si="26"/>
        <v>0.18181818181818182</v>
      </c>
      <c r="M653" s="148"/>
    </row>
    <row r="654" spans="1:13" outlineLevel="3">
      <c r="A654" s="148" t="s">
        <v>731</v>
      </c>
      <c r="B654" s="148" t="s">
        <v>777</v>
      </c>
      <c r="C654" s="148" t="s">
        <v>132</v>
      </c>
      <c r="D654" s="148" t="s">
        <v>229</v>
      </c>
      <c r="E654" s="148" t="s">
        <v>778</v>
      </c>
      <c r="F654" s="149">
        <v>45901</v>
      </c>
      <c r="G654" s="150">
        <v>1608</v>
      </c>
      <c r="H654" s="150">
        <f t="shared" si="24"/>
        <v>1608</v>
      </c>
      <c r="I654" s="150"/>
      <c r="J654" s="150">
        <v>1608</v>
      </c>
      <c r="K654" s="150">
        <f t="shared" si="25"/>
        <v>0</v>
      </c>
      <c r="L654" s="151">
        <f t="shared" si="26"/>
        <v>0</v>
      </c>
      <c r="M654" s="148"/>
    </row>
    <row r="655" spans="1:13" outlineLevel="2">
      <c r="A655" s="148"/>
      <c r="B655" s="173" t="s">
        <v>779</v>
      </c>
      <c r="C655" s="148"/>
      <c r="D655" s="148"/>
      <c r="E655" s="148"/>
      <c r="F655" s="149"/>
      <c r="G655" s="150">
        <f>SUBTOTAL(9,G653:G654)</f>
        <v>1699</v>
      </c>
      <c r="H655" s="150">
        <f>SUBTOTAL(9,H653:H654)</f>
        <v>1699</v>
      </c>
      <c r="I655" s="150">
        <f>SUBTOTAL(9,I653:I654)</f>
        <v>0</v>
      </c>
      <c r="J655" s="150">
        <f>SUBTOTAL(9,J653:J654)</f>
        <v>1685</v>
      </c>
      <c r="K655" s="150"/>
      <c r="L655" s="151"/>
      <c r="M655" s="148"/>
    </row>
    <row r="656" spans="1:13" outlineLevel="3">
      <c r="A656" s="148" t="s">
        <v>731</v>
      </c>
      <c r="B656" s="148" t="s">
        <v>780</v>
      </c>
      <c r="C656" s="148" t="s">
        <v>128</v>
      </c>
      <c r="D656" s="148" t="s">
        <v>150</v>
      </c>
      <c r="E656" s="148" t="s">
        <v>781</v>
      </c>
      <c r="F656" s="149">
        <v>45901</v>
      </c>
      <c r="G656" s="150">
        <v>178.5</v>
      </c>
      <c r="H656" s="150">
        <f t="shared" si="24"/>
        <v>178.5</v>
      </c>
      <c r="I656" s="150"/>
      <c r="J656" s="150">
        <v>178.5</v>
      </c>
      <c r="K656" s="150">
        <f t="shared" si="25"/>
        <v>0</v>
      </c>
      <c r="L656" s="151">
        <f t="shared" si="26"/>
        <v>0</v>
      </c>
      <c r="M656" s="148"/>
    </row>
    <row r="657" spans="1:13" outlineLevel="3">
      <c r="A657" s="148" t="s">
        <v>731</v>
      </c>
      <c r="B657" s="148" t="s">
        <v>780</v>
      </c>
      <c r="C657" s="148" t="s">
        <v>132</v>
      </c>
      <c r="D657" s="148" t="s">
        <v>132</v>
      </c>
      <c r="E657" s="148" t="s">
        <v>782</v>
      </c>
      <c r="F657" s="149">
        <v>45901</v>
      </c>
      <c r="G657" s="150">
        <v>1260</v>
      </c>
      <c r="H657" s="150">
        <f t="shared" si="24"/>
        <v>1260</v>
      </c>
      <c r="I657" s="150"/>
      <c r="J657" s="150">
        <v>1260</v>
      </c>
      <c r="K657" s="150">
        <f t="shared" si="25"/>
        <v>0</v>
      </c>
      <c r="L657" s="151">
        <f t="shared" si="26"/>
        <v>0</v>
      </c>
      <c r="M657" s="148"/>
    </row>
    <row r="658" spans="1:13" outlineLevel="2">
      <c r="A658" s="148"/>
      <c r="B658" s="173" t="s">
        <v>783</v>
      </c>
      <c r="C658" s="148"/>
      <c r="D658" s="148"/>
      <c r="E658" s="148"/>
      <c r="F658" s="149"/>
      <c r="G658" s="150">
        <f>SUBTOTAL(9,G656:G657)</f>
        <v>1438.5</v>
      </c>
      <c r="H658" s="150">
        <f>SUBTOTAL(9,H656:H657)</f>
        <v>1438.5</v>
      </c>
      <c r="I658" s="150">
        <f>SUBTOTAL(9,I656:I657)</f>
        <v>0</v>
      </c>
      <c r="J658" s="150">
        <f>SUBTOTAL(9,J656:J657)</f>
        <v>1438.5</v>
      </c>
      <c r="K658" s="150"/>
      <c r="L658" s="151"/>
      <c r="M658" s="148"/>
    </row>
    <row r="659" spans="1:13" outlineLevel="3">
      <c r="A659" s="148" t="s">
        <v>731</v>
      </c>
      <c r="B659" s="148" t="s">
        <v>784</v>
      </c>
      <c r="C659" s="148" t="s">
        <v>131</v>
      </c>
      <c r="D659" s="148" t="s">
        <v>131</v>
      </c>
      <c r="E659" s="148" t="s">
        <v>785</v>
      </c>
      <c r="F659" s="149">
        <v>45901</v>
      </c>
      <c r="G659" s="150">
        <v>35</v>
      </c>
      <c r="H659" s="150">
        <f t="shared" si="24"/>
        <v>35</v>
      </c>
      <c r="I659" s="150"/>
      <c r="J659" s="150">
        <v>35</v>
      </c>
      <c r="K659" s="150">
        <f t="shared" si="25"/>
        <v>0</v>
      </c>
      <c r="L659" s="151">
        <f t="shared" si="26"/>
        <v>0</v>
      </c>
      <c r="M659" s="148"/>
    </row>
    <row r="660" spans="1:13" outlineLevel="3">
      <c r="A660" s="148" t="s">
        <v>731</v>
      </c>
      <c r="B660" s="148" t="s">
        <v>784</v>
      </c>
      <c r="C660" s="148" t="s">
        <v>132</v>
      </c>
      <c r="D660" s="148" t="s">
        <v>786</v>
      </c>
      <c r="E660" s="148" t="s">
        <v>785</v>
      </c>
      <c r="F660" s="149">
        <v>45901</v>
      </c>
      <c r="G660" s="150">
        <v>231.66</v>
      </c>
      <c r="H660" s="150">
        <f t="shared" si="24"/>
        <v>231.66</v>
      </c>
      <c r="I660" s="150"/>
      <c r="J660" s="150">
        <v>231.66</v>
      </c>
      <c r="K660" s="150">
        <f t="shared" si="25"/>
        <v>0</v>
      </c>
      <c r="L660" s="151">
        <f t="shared" si="26"/>
        <v>0</v>
      </c>
      <c r="M660" s="148"/>
    </row>
    <row r="661" spans="1:13" outlineLevel="2">
      <c r="A661" s="148"/>
      <c r="B661" s="173" t="s">
        <v>787</v>
      </c>
      <c r="C661" s="148"/>
      <c r="D661" s="148"/>
      <c r="E661" s="148"/>
      <c r="F661" s="149"/>
      <c r="G661" s="150">
        <f>SUBTOTAL(9,G659:G660)</f>
        <v>266.65999999999997</v>
      </c>
      <c r="H661" s="150">
        <f>SUBTOTAL(9,H659:H660)</f>
        <v>266.65999999999997</v>
      </c>
      <c r="I661" s="150">
        <f>SUBTOTAL(9,I659:I660)</f>
        <v>0</v>
      </c>
      <c r="J661" s="150">
        <f>SUBTOTAL(9,J659:J660)</f>
        <v>266.65999999999997</v>
      </c>
      <c r="K661" s="150"/>
      <c r="L661" s="151"/>
      <c r="M661" s="148"/>
    </row>
    <row r="662" spans="1:13" outlineLevel="3">
      <c r="A662" s="148" t="s">
        <v>731</v>
      </c>
      <c r="B662" s="148" t="s">
        <v>788</v>
      </c>
      <c r="C662" s="148" t="s">
        <v>132</v>
      </c>
      <c r="D662" s="148" t="s">
        <v>789</v>
      </c>
      <c r="E662" s="148" t="s">
        <v>790</v>
      </c>
      <c r="F662" s="149">
        <v>45901</v>
      </c>
      <c r="G662" s="150">
        <v>362.56</v>
      </c>
      <c r="H662" s="150">
        <f t="shared" si="24"/>
        <v>362.56</v>
      </c>
      <c r="I662" s="150"/>
      <c r="J662" s="150">
        <v>362.56</v>
      </c>
      <c r="K662" s="150">
        <f t="shared" si="25"/>
        <v>0</v>
      </c>
      <c r="L662" s="151">
        <f t="shared" si="26"/>
        <v>0</v>
      </c>
      <c r="M662" s="148"/>
    </row>
    <row r="663" spans="1:13" outlineLevel="2">
      <c r="A663" s="148"/>
      <c r="B663" s="173" t="s">
        <v>791</v>
      </c>
      <c r="C663" s="148"/>
      <c r="D663" s="148"/>
      <c r="E663" s="148"/>
      <c r="F663" s="149"/>
      <c r="G663" s="150">
        <f>SUBTOTAL(9,G662:G662)</f>
        <v>362.56</v>
      </c>
      <c r="H663" s="150">
        <f>SUBTOTAL(9,H662:H662)</f>
        <v>362.56</v>
      </c>
      <c r="I663" s="150">
        <f>SUBTOTAL(9,I662:I662)</f>
        <v>0</v>
      </c>
      <c r="J663" s="150">
        <f>SUBTOTAL(9,J662:J662)</f>
        <v>362.56</v>
      </c>
      <c r="K663" s="150"/>
      <c r="L663" s="151"/>
      <c r="M663" s="148"/>
    </row>
    <row r="664" spans="1:13" outlineLevel="3">
      <c r="A664" s="148" t="s">
        <v>731</v>
      </c>
      <c r="B664" s="148" t="s">
        <v>792</v>
      </c>
      <c r="C664" s="148" t="s">
        <v>128</v>
      </c>
      <c r="D664" s="148" t="s">
        <v>357</v>
      </c>
      <c r="E664" s="148" t="s">
        <v>793</v>
      </c>
      <c r="F664" s="149">
        <v>45901</v>
      </c>
      <c r="G664" s="150">
        <v>813.12</v>
      </c>
      <c r="H664" s="150">
        <f t="shared" si="24"/>
        <v>813.12</v>
      </c>
      <c r="I664" s="150"/>
      <c r="J664" s="150">
        <v>813.12</v>
      </c>
      <c r="K664" s="150">
        <f t="shared" si="25"/>
        <v>0</v>
      </c>
      <c r="L664" s="151">
        <f t="shared" si="26"/>
        <v>0</v>
      </c>
      <c r="M664" s="148"/>
    </row>
    <row r="665" spans="1:13" outlineLevel="3">
      <c r="A665" s="148" t="s">
        <v>731</v>
      </c>
      <c r="B665" s="148" t="s">
        <v>792</v>
      </c>
      <c r="C665" s="148" t="s">
        <v>131</v>
      </c>
      <c r="D665" s="148" t="s">
        <v>358</v>
      </c>
      <c r="E665" s="148" t="s">
        <v>793</v>
      </c>
      <c r="F665" s="149">
        <v>45901</v>
      </c>
      <c r="G665" s="150">
        <v>598</v>
      </c>
      <c r="H665" s="150">
        <f t="shared" si="24"/>
        <v>598</v>
      </c>
      <c r="I665" s="150"/>
      <c r="J665" s="150">
        <v>500.5</v>
      </c>
      <c r="K665" s="150">
        <f t="shared" si="25"/>
        <v>97.5</v>
      </c>
      <c r="L665" s="151">
        <f t="shared" si="26"/>
        <v>0.19480519480519481</v>
      </c>
      <c r="M665" s="148"/>
    </row>
    <row r="666" spans="1:13" outlineLevel="3">
      <c r="A666" s="148" t="s">
        <v>731</v>
      </c>
      <c r="B666" s="148" t="s">
        <v>792</v>
      </c>
      <c r="C666" s="148" t="s">
        <v>132</v>
      </c>
      <c r="D666" s="148" t="s">
        <v>359</v>
      </c>
      <c r="E666" s="148" t="s">
        <v>793</v>
      </c>
      <c r="F666" s="149">
        <v>45901</v>
      </c>
      <c r="G666" s="150">
        <v>3415</v>
      </c>
      <c r="H666" s="150">
        <f t="shared" si="24"/>
        <v>3415</v>
      </c>
      <c r="I666" s="150"/>
      <c r="J666" s="150">
        <v>3415</v>
      </c>
      <c r="K666" s="150">
        <f t="shared" si="25"/>
        <v>0</v>
      </c>
      <c r="L666" s="151">
        <f t="shared" si="26"/>
        <v>0</v>
      </c>
      <c r="M666" s="148"/>
    </row>
    <row r="667" spans="1:13" outlineLevel="2">
      <c r="A667" s="148"/>
      <c r="B667" s="173" t="s">
        <v>794</v>
      </c>
      <c r="C667" s="148"/>
      <c r="D667" s="148"/>
      <c r="E667" s="148"/>
      <c r="F667" s="149"/>
      <c r="G667" s="150">
        <f>SUBTOTAL(9,G664:G666)</f>
        <v>4826.12</v>
      </c>
      <c r="H667" s="150">
        <f>SUBTOTAL(9,H664:H666)</f>
        <v>4826.12</v>
      </c>
      <c r="I667" s="150">
        <f>SUBTOTAL(9,I664:I666)</f>
        <v>0</v>
      </c>
      <c r="J667" s="150">
        <f>SUBTOTAL(9,J664:J666)</f>
        <v>4728.62</v>
      </c>
      <c r="K667" s="150"/>
      <c r="L667" s="151"/>
      <c r="M667" s="148"/>
    </row>
    <row r="668" spans="1:13" outlineLevel="3">
      <c r="A668" s="148" t="s">
        <v>731</v>
      </c>
      <c r="B668" s="148" t="s">
        <v>795</v>
      </c>
      <c r="C668" s="148" t="s">
        <v>740</v>
      </c>
      <c r="D668" s="148" t="s">
        <v>741</v>
      </c>
      <c r="E668" s="148" t="s">
        <v>796</v>
      </c>
      <c r="F668" s="149">
        <v>45901</v>
      </c>
      <c r="G668" s="150">
        <v>18</v>
      </c>
      <c r="H668" s="150">
        <f t="shared" si="24"/>
        <v>18</v>
      </c>
      <c r="I668" s="150"/>
      <c r="J668" s="150">
        <v>18</v>
      </c>
      <c r="K668" s="150">
        <f t="shared" si="25"/>
        <v>0</v>
      </c>
      <c r="L668" s="151">
        <f t="shared" si="26"/>
        <v>0</v>
      </c>
      <c r="M668" s="148"/>
    </row>
    <row r="669" spans="1:13" outlineLevel="3">
      <c r="A669" s="148" t="s">
        <v>731</v>
      </c>
      <c r="B669" s="148" t="s">
        <v>795</v>
      </c>
      <c r="C669" s="148" t="s">
        <v>744</v>
      </c>
      <c r="D669" s="148" t="s">
        <v>745</v>
      </c>
      <c r="E669" s="148" t="s">
        <v>797</v>
      </c>
      <c r="F669" s="149">
        <v>45902</v>
      </c>
      <c r="G669" s="150">
        <v>96.46</v>
      </c>
      <c r="H669" s="150">
        <f t="shared" si="24"/>
        <v>96.46</v>
      </c>
      <c r="I669" s="150"/>
      <c r="J669" s="150">
        <v>96.46</v>
      </c>
      <c r="K669" s="150">
        <f t="shared" si="25"/>
        <v>0</v>
      </c>
      <c r="L669" s="151">
        <f t="shared" si="26"/>
        <v>0</v>
      </c>
      <c r="M669" s="148" t="s">
        <v>747</v>
      </c>
    </row>
    <row r="670" spans="1:13" outlineLevel="2">
      <c r="A670" s="148"/>
      <c r="B670" s="173" t="s">
        <v>798</v>
      </c>
      <c r="C670" s="148"/>
      <c r="D670" s="148"/>
      <c r="E670" s="148"/>
      <c r="F670" s="149"/>
      <c r="G670" s="150">
        <f>SUBTOTAL(9,G668:G669)</f>
        <v>114.46</v>
      </c>
      <c r="H670" s="150">
        <f>SUBTOTAL(9,H668:H669)</f>
        <v>114.46</v>
      </c>
      <c r="I670" s="150">
        <f>SUBTOTAL(9,I668:I669)</f>
        <v>0</v>
      </c>
      <c r="J670" s="150">
        <f>SUBTOTAL(9,J668:J669)</f>
        <v>114.46</v>
      </c>
      <c r="K670" s="150"/>
      <c r="L670" s="151"/>
      <c r="M670" s="148"/>
    </row>
    <row r="671" spans="1:13" outlineLevel="3">
      <c r="A671" s="148" t="s">
        <v>731</v>
      </c>
      <c r="B671" s="157" t="s">
        <v>799</v>
      </c>
      <c r="C671" s="157" t="s">
        <v>131</v>
      </c>
      <c r="D671" s="157" t="s">
        <v>800</v>
      </c>
      <c r="E671" s="157"/>
      <c r="F671" s="158"/>
      <c r="G671" s="159"/>
      <c r="H671" s="159"/>
      <c r="I671" s="159"/>
      <c r="J671" s="159">
        <v>105</v>
      </c>
      <c r="K671" s="159"/>
      <c r="L671" s="161"/>
      <c r="M671" s="157"/>
    </row>
    <row r="672" spans="1:13" outlineLevel="3">
      <c r="A672" s="148" t="s">
        <v>731</v>
      </c>
      <c r="B672" s="157" t="s">
        <v>799</v>
      </c>
      <c r="C672" s="157" t="s">
        <v>132</v>
      </c>
      <c r="D672" s="157" t="s">
        <v>801</v>
      </c>
      <c r="E672" s="157"/>
      <c r="F672" s="158"/>
      <c r="G672" s="159"/>
      <c r="H672" s="159"/>
      <c r="I672" s="159"/>
      <c r="J672" s="159">
        <v>543</v>
      </c>
      <c r="K672" s="159"/>
      <c r="L672" s="161"/>
      <c r="M672" s="157"/>
    </row>
    <row r="673" spans="1:13" outlineLevel="2">
      <c r="A673" s="148"/>
      <c r="B673" s="160" t="s">
        <v>802</v>
      </c>
      <c r="C673" s="157"/>
      <c r="D673" s="157"/>
      <c r="E673" s="157"/>
      <c r="F673" s="158"/>
      <c r="G673" s="159">
        <f>SUBTOTAL(9,G671:G672)</f>
        <v>0</v>
      </c>
      <c r="H673" s="159">
        <f>SUBTOTAL(9,H671:H672)</f>
        <v>0</v>
      </c>
      <c r="I673" s="159">
        <f>SUBTOTAL(9,I671:I672)</f>
        <v>0</v>
      </c>
      <c r="J673" s="159">
        <f>SUBTOTAL(9,J671:J672)</f>
        <v>648</v>
      </c>
      <c r="K673" s="159"/>
      <c r="L673" s="161"/>
      <c r="M673" s="157"/>
    </row>
    <row r="674" spans="1:13" outlineLevel="3">
      <c r="A674" s="148" t="s">
        <v>731</v>
      </c>
      <c r="B674" s="148" t="s">
        <v>803</v>
      </c>
      <c r="C674" s="148" t="s">
        <v>740</v>
      </c>
      <c r="D674" s="148" t="s">
        <v>741</v>
      </c>
      <c r="E674" s="148" t="s">
        <v>804</v>
      </c>
      <c r="F674" s="149">
        <v>45901</v>
      </c>
      <c r="G674" s="150">
        <v>72.650000000000006</v>
      </c>
      <c r="H674" s="150">
        <f t="shared" si="24"/>
        <v>72.650000000000006</v>
      </c>
      <c r="I674" s="150"/>
      <c r="J674" s="150">
        <v>72.650000000000006</v>
      </c>
      <c r="K674" s="150">
        <f t="shared" si="25"/>
        <v>0</v>
      </c>
      <c r="L674" s="151">
        <f t="shared" si="26"/>
        <v>0</v>
      </c>
      <c r="M674" s="148"/>
    </row>
    <row r="675" spans="1:13" outlineLevel="3">
      <c r="A675" s="148" t="s">
        <v>731</v>
      </c>
      <c r="B675" s="148" t="s">
        <v>803</v>
      </c>
      <c r="C675" s="148" t="s">
        <v>128</v>
      </c>
      <c r="D675" s="148" t="s">
        <v>805</v>
      </c>
      <c r="E675" s="148" t="s">
        <v>806</v>
      </c>
      <c r="F675" s="149">
        <v>45901</v>
      </c>
      <c r="G675" s="150">
        <v>346.5</v>
      </c>
      <c r="H675" s="150">
        <f t="shared" si="24"/>
        <v>346.5</v>
      </c>
      <c r="I675" s="150"/>
      <c r="J675" s="150">
        <v>346.5</v>
      </c>
      <c r="K675" s="150">
        <f t="shared" si="25"/>
        <v>0</v>
      </c>
      <c r="L675" s="151">
        <f t="shared" si="26"/>
        <v>0</v>
      </c>
      <c r="M675" s="148"/>
    </row>
    <row r="676" spans="1:13" outlineLevel="3">
      <c r="A676" s="148" t="s">
        <v>731</v>
      </c>
      <c r="B676" s="148" t="s">
        <v>803</v>
      </c>
      <c r="C676" s="148" t="s">
        <v>131</v>
      </c>
      <c r="D676" s="148" t="s">
        <v>807</v>
      </c>
      <c r="E676" s="148" t="s">
        <v>806</v>
      </c>
      <c r="F676" s="149">
        <v>45901</v>
      </c>
      <c r="G676" s="150">
        <v>462</v>
      </c>
      <c r="H676" s="150">
        <f t="shared" si="24"/>
        <v>462</v>
      </c>
      <c r="I676" s="150"/>
      <c r="J676" s="150">
        <v>499.5</v>
      </c>
      <c r="K676" s="150">
        <f t="shared" si="25"/>
        <v>-37.5</v>
      </c>
      <c r="L676" s="151">
        <f t="shared" si="26"/>
        <v>-7.5075075075075076E-2</v>
      </c>
      <c r="M676" s="148" t="s">
        <v>177</v>
      </c>
    </row>
    <row r="677" spans="1:13" outlineLevel="3">
      <c r="A677" s="148" t="s">
        <v>731</v>
      </c>
      <c r="B677" s="148" t="s">
        <v>803</v>
      </c>
      <c r="C677" s="148" t="s">
        <v>744</v>
      </c>
      <c r="D677" s="148" t="s">
        <v>745</v>
      </c>
      <c r="E677" s="148" t="s">
        <v>808</v>
      </c>
      <c r="F677" s="149">
        <v>45902</v>
      </c>
      <c r="G677" s="150">
        <v>290.58</v>
      </c>
      <c r="H677" s="150">
        <f t="shared" si="24"/>
        <v>290.58</v>
      </c>
      <c r="I677" s="150"/>
      <c r="J677" s="150">
        <v>290.58</v>
      </c>
      <c r="K677" s="150">
        <f t="shared" si="25"/>
        <v>0</v>
      </c>
      <c r="L677" s="151">
        <f t="shared" si="26"/>
        <v>0</v>
      </c>
      <c r="M677" s="148" t="s">
        <v>747</v>
      </c>
    </row>
    <row r="678" spans="1:13" outlineLevel="3">
      <c r="A678" s="148" t="s">
        <v>731</v>
      </c>
      <c r="B678" s="148" t="s">
        <v>803</v>
      </c>
      <c r="C678" s="148" t="s">
        <v>132</v>
      </c>
      <c r="D678" s="148" t="s">
        <v>809</v>
      </c>
      <c r="E678" s="148" t="s">
        <v>806</v>
      </c>
      <c r="F678" s="149">
        <v>45901</v>
      </c>
      <c r="G678" s="150">
        <v>2133.6999999999998</v>
      </c>
      <c r="H678" s="150">
        <f t="shared" si="24"/>
        <v>2133.6999999999998</v>
      </c>
      <c r="I678" s="150"/>
      <c r="J678" s="150">
        <v>2133.6999999999998</v>
      </c>
      <c r="K678" s="150">
        <f t="shared" si="25"/>
        <v>0</v>
      </c>
      <c r="L678" s="151">
        <f t="shared" si="26"/>
        <v>0</v>
      </c>
      <c r="M678" s="148"/>
    </row>
    <row r="679" spans="1:13" outlineLevel="2">
      <c r="A679" s="148"/>
      <c r="B679" s="173" t="s">
        <v>810</v>
      </c>
      <c r="C679" s="148"/>
      <c r="D679" s="148"/>
      <c r="E679" s="148"/>
      <c r="F679" s="149"/>
      <c r="G679" s="150">
        <f>SUBTOTAL(9,G674:G678)</f>
        <v>3305.43</v>
      </c>
      <c r="H679" s="150">
        <f>SUBTOTAL(9,H674:H678)</f>
        <v>3305.43</v>
      </c>
      <c r="I679" s="150">
        <f>SUBTOTAL(9,I674:I678)</f>
        <v>0</v>
      </c>
      <c r="J679" s="150">
        <f>SUBTOTAL(9,J674:J678)</f>
        <v>3342.93</v>
      </c>
      <c r="K679" s="150"/>
      <c r="L679" s="151"/>
      <c r="M679" s="148"/>
    </row>
    <row r="680" spans="1:13" outlineLevel="3">
      <c r="A680" s="148" t="s">
        <v>731</v>
      </c>
      <c r="B680" s="148" t="s">
        <v>811</v>
      </c>
      <c r="C680" s="148" t="s">
        <v>132</v>
      </c>
      <c r="D680" s="148" t="s">
        <v>812</v>
      </c>
      <c r="E680" s="148" t="s">
        <v>813</v>
      </c>
      <c r="F680" s="149">
        <v>45901</v>
      </c>
      <c r="G680" s="150">
        <v>225</v>
      </c>
      <c r="H680" s="150">
        <f t="shared" si="24"/>
        <v>225</v>
      </c>
      <c r="I680" s="150"/>
      <c r="J680" s="150">
        <v>225</v>
      </c>
      <c r="K680" s="150">
        <f t="shared" si="25"/>
        <v>0</v>
      </c>
      <c r="L680" s="151">
        <f t="shared" si="26"/>
        <v>0</v>
      </c>
      <c r="M680" s="148"/>
    </row>
    <row r="681" spans="1:13" outlineLevel="3">
      <c r="A681" s="148" t="s">
        <v>731</v>
      </c>
      <c r="B681" s="148" t="s">
        <v>811</v>
      </c>
      <c r="C681" s="148" t="s">
        <v>132</v>
      </c>
      <c r="D681" s="148" t="s">
        <v>814</v>
      </c>
      <c r="E681" s="148" t="s">
        <v>815</v>
      </c>
      <c r="F681" s="149">
        <v>45901</v>
      </c>
      <c r="G681" s="150">
        <v>222.5</v>
      </c>
      <c r="H681" s="150">
        <f t="shared" si="24"/>
        <v>222.5</v>
      </c>
      <c r="I681" s="150"/>
      <c r="J681" s="150">
        <v>222.5</v>
      </c>
      <c r="K681" s="150">
        <f t="shared" si="25"/>
        <v>0</v>
      </c>
      <c r="L681" s="151">
        <f t="shared" si="26"/>
        <v>0</v>
      </c>
      <c r="M681" s="148"/>
    </row>
    <row r="682" spans="1:13" outlineLevel="3">
      <c r="A682" s="148" t="s">
        <v>731</v>
      </c>
      <c r="B682" s="148" t="s">
        <v>811</v>
      </c>
      <c r="C682" s="148" t="s">
        <v>132</v>
      </c>
      <c r="D682" s="148" t="s">
        <v>816</v>
      </c>
      <c r="E682" s="148" t="s">
        <v>817</v>
      </c>
      <c r="F682" s="149">
        <v>45901</v>
      </c>
      <c r="G682" s="150">
        <v>20</v>
      </c>
      <c r="H682" s="150">
        <f t="shared" si="24"/>
        <v>20</v>
      </c>
      <c r="I682" s="150"/>
      <c r="J682" s="150">
        <v>20</v>
      </c>
      <c r="K682" s="150">
        <f t="shared" si="25"/>
        <v>0</v>
      </c>
      <c r="L682" s="151">
        <f t="shared" si="26"/>
        <v>0</v>
      </c>
      <c r="M682" s="148"/>
    </row>
    <row r="683" spans="1:13" outlineLevel="3">
      <c r="A683" s="148" t="s">
        <v>731</v>
      </c>
      <c r="B683" s="148" t="s">
        <v>811</v>
      </c>
      <c r="C683" s="148" t="s">
        <v>132</v>
      </c>
      <c r="D683" s="148" t="s">
        <v>818</v>
      </c>
      <c r="E683" s="148" t="s">
        <v>819</v>
      </c>
      <c r="F683" s="149">
        <v>45901</v>
      </c>
      <c r="G683" s="150">
        <v>227.5</v>
      </c>
      <c r="H683" s="150">
        <f t="shared" si="24"/>
        <v>227.5</v>
      </c>
      <c r="I683" s="150"/>
      <c r="J683" s="150">
        <v>227.5</v>
      </c>
      <c r="K683" s="150">
        <f t="shared" si="25"/>
        <v>0</v>
      </c>
      <c r="L683" s="151">
        <f t="shared" si="26"/>
        <v>0</v>
      </c>
      <c r="M683" s="148"/>
    </row>
    <row r="684" spans="1:13" outlineLevel="3">
      <c r="A684" s="148" t="s">
        <v>731</v>
      </c>
      <c r="B684" s="148" t="s">
        <v>811</v>
      </c>
      <c r="C684" s="148" t="s">
        <v>132</v>
      </c>
      <c r="D684" s="148" t="s">
        <v>820</v>
      </c>
      <c r="E684" s="148" t="s">
        <v>821</v>
      </c>
      <c r="F684" s="149">
        <v>45901</v>
      </c>
      <c r="G684" s="150">
        <v>230</v>
      </c>
      <c r="H684" s="150">
        <f t="shared" si="24"/>
        <v>230</v>
      </c>
      <c r="I684" s="150"/>
      <c r="J684" s="150">
        <v>230</v>
      </c>
      <c r="K684" s="150">
        <f t="shared" si="25"/>
        <v>0</v>
      </c>
      <c r="L684" s="151">
        <f t="shared" si="26"/>
        <v>0</v>
      </c>
      <c r="M684" s="148"/>
    </row>
    <row r="685" spans="1:13" outlineLevel="3">
      <c r="A685" s="148" t="s">
        <v>731</v>
      </c>
      <c r="B685" s="148" t="s">
        <v>811</v>
      </c>
      <c r="C685" s="148" t="s">
        <v>132</v>
      </c>
      <c r="D685" s="148" t="s">
        <v>822</v>
      </c>
      <c r="E685" s="148" t="s">
        <v>823</v>
      </c>
      <c r="F685" s="149">
        <v>45901</v>
      </c>
      <c r="G685" s="150">
        <v>190</v>
      </c>
      <c r="H685" s="150">
        <f t="shared" si="24"/>
        <v>190</v>
      </c>
      <c r="I685" s="150"/>
      <c r="J685" s="150">
        <v>190</v>
      </c>
      <c r="K685" s="150">
        <f t="shared" si="25"/>
        <v>0</v>
      </c>
      <c r="L685" s="151">
        <f t="shared" si="26"/>
        <v>0</v>
      </c>
      <c r="M685" s="148"/>
    </row>
    <row r="686" spans="1:13" outlineLevel="2">
      <c r="A686" s="148"/>
      <c r="B686" s="173" t="s">
        <v>824</v>
      </c>
      <c r="C686" s="148"/>
      <c r="D686" s="148"/>
      <c r="E686" s="148"/>
      <c r="F686" s="149"/>
      <c r="G686" s="150">
        <f>SUBTOTAL(9,G680:G685)</f>
        <v>1115</v>
      </c>
      <c r="H686" s="150">
        <f>SUBTOTAL(9,H680:H685)</f>
        <v>1115</v>
      </c>
      <c r="I686" s="150">
        <f>SUBTOTAL(9,I680:I685)</f>
        <v>0</v>
      </c>
      <c r="J686" s="150">
        <f>SUBTOTAL(9,J680:J685)</f>
        <v>1115</v>
      </c>
      <c r="K686" s="150"/>
      <c r="L686" s="151"/>
      <c r="M686" s="148"/>
    </row>
    <row r="687" spans="1:13" outlineLevel="3">
      <c r="A687" s="148" t="s">
        <v>731</v>
      </c>
      <c r="B687" s="148" t="s">
        <v>825</v>
      </c>
      <c r="C687" s="148" t="s">
        <v>740</v>
      </c>
      <c r="D687" s="148" t="s">
        <v>741</v>
      </c>
      <c r="E687" s="148" t="s">
        <v>826</v>
      </c>
      <c r="F687" s="149">
        <v>45901</v>
      </c>
      <c r="G687" s="150">
        <v>21.78</v>
      </c>
      <c r="H687" s="150">
        <f t="shared" si="24"/>
        <v>21.78</v>
      </c>
      <c r="I687" s="150"/>
      <c r="J687" s="150">
        <v>21.78</v>
      </c>
      <c r="K687" s="150">
        <f t="shared" si="25"/>
        <v>0</v>
      </c>
      <c r="L687" s="151">
        <f t="shared" si="26"/>
        <v>0</v>
      </c>
      <c r="M687" s="148"/>
    </row>
    <row r="688" spans="1:13" outlineLevel="3">
      <c r="A688" s="148" t="s">
        <v>731</v>
      </c>
      <c r="B688" s="148" t="s">
        <v>825</v>
      </c>
      <c r="C688" s="148" t="s">
        <v>744</v>
      </c>
      <c r="D688" s="148" t="s">
        <v>745</v>
      </c>
      <c r="E688" s="148" t="s">
        <v>827</v>
      </c>
      <c r="F688" s="149">
        <v>45902</v>
      </c>
      <c r="G688" s="150">
        <v>123.46</v>
      </c>
      <c r="H688" s="150">
        <f t="shared" si="24"/>
        <v>123.46</v>
      </c>
      <c r="I688" s="150"/>
      <c r="J688" s="150">
        <v>123.46</v>
      </c>
      <c r="K688" s="150">
        <f t="shared" si="25"/>
        <v>0</v>
      </c>
      <c r="L688" s="151">
        <f t="shared" si="26"/>
        <v>0</v>
      </c>
      <c r="M688" s="148" t="s">
        <v>747</v>
      </c>
    </row>
    <row r="689" spans="1:13" outlineLevel="2">
      <c r="A689" s="148"/>
      <c r="B689" s="173" t="s">
        <v>828</v>
      </c>
      <c r="C689" s="148"/>
      <c r="D689" s="148"/>
      <c r="E689" s="148"/>
      <c r="F689" s="149"/>
      <c r="G689" s="150">
        <f>SUBTOTAL(9,G687:G688)</f>
        <v>145.24</v>
      </c>
      <c r="H689" s="150">
        <f>SUBTOTAL(9,H687:H688)</f>
        <v>145.24</v>
      </c>
      <c r="I689" s="150">
        <f>SUBTOTAL(9,I687:I688)</f>
        <v>0</v>
      </c>
      <c r="J689" s="150">
        <f>SUBTOTAL(9,J687:J688)</f>
        <v>145.24</v>
      </c>
      <c r="K689" s="150"/>
      <c r="L689" s="151"/>
      <c r="M689" s="148"/>
    </row>
    <row r="690" spans="1:13" outlineLevel="3">
      <c r="A690" s="148" t="s">
        <v>731</v>
      </c>
      <c r="B690" s="148" t="s">
        <v>829</v>
      </c>
      <c r="C690" s="148" t="s">
        <v>740</v>
      </c>
      <c r="D690" s="148" t="s">
        <v>741</v>
      </c>
      <c r="E690" s="148" t="s">
        <v>830</v>
      </c>
      <c r="F690" s="149">
        <v>45901</v>
      </c>
      <c r="G690" s="150">
        <v>18.05</v>
      </c>
      <c r="H690" s="150">
        <f t="shared" si="24"/>
        <v>18.05</v>
      </c>
      <c r="I690" s="150"/>
      <c r="J690" s="150">
        <v>18.05</v>
      </c>
      <c r="K690" s="150">
        <f t="shared" si="25"/>
        <v>0</v>
      </c>
      <c r="L690" s="151">
        <f t="shared" si="26"/>
        <v>0</v>
      </c>
      <c r="M690" s="148"/>
    </row>
    <row r="691" spans="1:13" outlineLevel="3">
      <c r="A691" s="148" t="s">
        <v>731</v>
      </c>
      <c r="B691" s="148" t="s">
        <v>829</v>
      </c>
      <c r="C691" s="148" t="s">
        <v>131</v>
      </c>
      <c r="D691" s="148" t="s">
        <v>831</v>
      </c>
      <c r="E691" s="148" t="s">
        <v>832</v>
      </c>
      <c r="F691" s="149">
        <v>45901</v>
      </c>
      <c r="G691" s="150">
        <v>210</v>
      </c>
      <c r="H691" s="150">
        <f t="shared" si="24"/>
        <v>210</v>
      </c>
      <c r="I691" s="150"/>
      <c r="J691" s="150">
        <v>217</v>
      </c>
      <c r="K691" s="150">
        <f t="shared" si="25"/>
        <v>-7</v>
      </c>
      <c r="L691" s="151">
        <f t="shared" si="26"/>
        <v>-3.2258064516129031E-2</v>
      </c>
      <c r="M691" s="148" t="s">
        <v>177</v>
      </c>
    </row>
    <row r="692" spans="1:13" outlineLevel="3">
      <c r="A692" s="148" t="s">
        <v>731</v>
      </c>
      <c r="B692" s="148" t="s">
        <v>829</v>
      </c>
      <c r="C692" s="148" t="s">
        <v>744</v>
      </c>
      <c r="D692" s="148" t="s">
        <v>745</v>
      </c>
      <c r="E692" s="148" t="s">
        <v>833</v>
      </c>
      <c r="F692" s="149">
        <v>45902</v>
      </c>
      <c r="G692" s="150">
        <v>102.28</v>
      </c>
      <c r="H692" s="150">
        <f t="shared" si="24"/>
        <v>102.28</v>
      </c>
      <c r="I692" s="150"/>
      <c r="J692" s="150">
        <v>102.28</v>
      </c>
      <c r="K692" s="150">
        <f t="shared" si="25"/>
        <v>0</v>
      </c>
      <c r="L692" s="151">
        <f t="shared" si="26"/>
        <v>0</v>
      </c>
      <c r="M692" s="148" t="s">
        <v>747</v>
      </c>
    </row>
    <row r="693" spans="1:13" outlineLevel="3">
      <c r="A693" s="148" t="s">
        <v>731</v>
      </c>
      <c r="B693" s="148" t="s">
        <v>829</v>
      </c>
      <c r="C693" s="148" t="s">
        <v>132</v>
      </c>
      <c r="D693" s="148" t="s">
        <v>834</v>
      </c>
      <c r="E693" s="148" t="s">
        <v>832</v>
      </c>
      <c r="F693" s="149">
        <v>45901</v>
      </c>
      <c r="G693" s="150">
        <v>2293.41</v>
      </c>
      <c r="H693" s="150">
        <f t="shared" si="24"/>
        <v>2293.41</v>
      </c>
      <c r="I693" s="150"/>
      <c r="J693" s="150">
        <v>2292.61</v>
      </c>
      <c r="K693" s="150">
        <f t="shared" si="25"/>
        <v>0.79999999999972715</v>
      </c>
      <c r="L693" s="151">
        <f t="shared" si="26"/>
        <v>3.4894726970558757E-4</v>
      </c>
      <c r="M693" s="148"/>
    </row>
    <row r="694" spans="1:13" outlineLevel="2">
      <c r="A694" s="148"/>
      <c r="B694" s="173" t="s">
        <v>835</v>
      </c>
      <c r="C694" s="148"/>
      <c r="D694" s="148"/>
      <c r="E694" s="148"/>
      <c r="F694" s="149"/>
      <c r="G694" s="150">
        <f>SUBTOTAL(9,G690:G693)</f>
        <v>2623.74</v>
      </c>
      <c r="H694" s="150">
        <f>SUBTOTAL(9,H690:H693)</f>
        <v>2623.74</v>
      </c>
      <c r="I694" s="150">
        <f>SUBTOTAL(9,I690:I693)</f>
        <v>0</v>
      </c>
      <c r="J694" s="150">
        <f>SUBTOTAL(9,J690:J693)</f>
        <v>2629.94</v>
      </c>
      <c r="K694" s="150"/>
      <c r="L694" s="151"/>
      <c r="M694" s="148"/>
    </row>
    <row r="695" spans="1:13" outlineLevel="3">
      <c r="A695" s="148" t="s">
        <v>731</v>
      </c>
      <c r="B695" s="148" t="s">
        <v>836</v>
      </c>
      <c r="C695" s="148" t="s">
        <v>740</v>
      </c>
      <c r="D695" s="148" t="s">
        <v>741</v>
      </c>
      <c r="E695" s="148" t="s">
        <v>837</v>
      </c>
      <c r="F695" s="149">
        <v>45901</v>
      </c>
      <c r="G695" s="150">
        <v>29.91</v>
      </c>
      <c r="H695" s="150">
        <f t="shared" si="24"/>
        <v>29.91</v>
      </c>
      <c r="I695" s="150"/>
      <c r="J695" s="150">
        <v>29.91</v>
      </c>
      <c r="K695" s="150">
        <f t="shared" si="25"/>
        <v>0</v>
      </c>
      <c r="L695" s="151">
        <f t="shared" si="26"/>
        <v>0</v>
      </c>
      <c r="M695" s="148"/>
    </row>
    <row r="696" spans="1:13" outlineLevel="3">
      <c r="A696" s="148" t="s">
        <v>731</v>
      </c>
      <c r="B696" s="148" t="s">
        <v>836</v>
      </c>
      <c r="C696" s="148" t="s">
        <v>128</v>
      </c>
      <c r="D696" s="148" t="s">
        <v>162</v>
      </c>
      <c r="E696" s="148" t="s">
        <v>838</v>
      </c>
      <c r="F696" s="149">
        <v>45901</v>
      </c>
      <c r="G696" s="150">
        <v>249.8</v>
      </c>
      <c r="H696" s="150">
        <f t="shared" si="24"/>
        <v>249.8</v>
      </c>
      <c r="I696" s="150"/>
      <c r="J696" s="150">
        <v>249.8</v>
      </c>
      <c r="K696" s="150">
        <f t="shared" si="25"/>
        <v>0</v>
      </c>
      <c r="L696" s="151">
        <f t="shared" si="26"/>
        <v>0</v>
      </c>
      <c r="M696" s="148"/>
    </row>
    <row r="697" spans="1:13" outlineLevel="3">
      <c r="A697" s="148" t="s">
        <v>731</v>
      </c>
      <c r="B697" s="148" t="s">
        <v>836</v>
      </c>
      <c r="C697" s="148" t="s">
        <v>131</v>
      </c>
      <c r="D697" s="148" t="s">
        <v>237</v>
      </c>
      <c r="E697" s="148" t="s">
        <v>838</v>
      </c>
      <c r="F697" s="149">
        <v>45901</v>
      </c>
      <c r="G697" s="150">
        <v>294</v>
      </c>
      <c r="H697" s="150">
        <f t="shared" si="24"/>
        <v>294</v>
      </c>
      <c r="I697" s="150"/>
      <c r="J697" s="150">
        <v>266</v>
      </c>
      <c r="K697" s="150">
        <f t="shared" si="25"/>
        <v>28</v>
      </c>
      <c r="L697" s="151">
        <f t="shared" si="26"/>
        <v>0.10526315789473684</v>
      </c>
      <c r="M697" s="148"/>
    </row>
    <row r="698" spans="1:13" outlineLevel="3">
      <c r="A698" s="148" t="s">
        <v>731</v>
      </c>
      <c r="B698" s="148" t="s">
        <v>836</v>
      </c>
      <c r="C698" s="148" t="s">
        <v>744</v>
      </c>
      <c r="D698" s="148" t="s">
        <v>745</v>
      </c>
      <c r="E698" s="148" t="s">
        <v>839</v>
      </c>
      <c r="F698" s="149">
        <v>45902</v>
      </c>
      <c r="G698" s="150">
        <v>169.5</v>
      </c>
      <c r="H698" s="150">
        <f t="shared" si="24"/>
        <v>169.5</v>
      </c>
      <c r="I698" s="150"/>
      <c r="J698" s="150">
        <v>169.5</v>
      </c>
      <c r="K698" s="150">
        <f t="shared" si="25"/>
        <v>0</v>
      </c>
      <c r="L698" s="151">
        <f t="shared" si="26"/>
        <v>0</v>
      </c>
      <c r="M698" s="148" t="s">
        <v>747</v>
      </c>
    </row>
    <row r="699" spans="1:13" outlineLevel="3">
      <c r="A699" s="148" t="s">
        <v>731</v>
      </c>
      <c r="B699" s="148" t="s">
        <v>836</v>
      </c>
      <c r="C699" s="148" t="s">
        <v>132</v>
      </c>
      <c r="D699" s="148" t="s">
        <v>229</v>
      </c>
      <c r="E699" s="148" t="s">
        <v>838</v>
      </c>
      <c r="F699" s="149">
        <v>45901</v>
      </c>
      <c r="G699" s="150">
        <v>2305</v>
      </c>
      <c r="H699" s="150">
        <f t="shared" si="24"/>
        <v>2305</v>
      </c>
      <c r="I699" s="150"/>
      <c r="J699" s="150">
        <v>2305</v>
      </c>
      <c r="K699" s="150">
        <f t="shared" si="25"/>
        <v>0</v>
      </c>
      <c r="L699" s="151">
        <f t="shared" si="26"/>
        <v>0</v>
      </c>
      <c r="M699" s="148"/>
    </row>
    <row r="700" spans="1:13" outlineLevel="2">
      <c r="A700" s="148"/>
      <c r="B700" s="173" t="s">
        <v>840</v>
      </c>
      <c r="C700" s="148"/>
      <c r="D700" s="148"/>
      <c r="E700" s="148"/>
      <c r="F700" s="149"/>
      <c r="G700" s="150">
        <f>SUBTOTAL(9,G695:G699)</f>
        <v>3048.21</v>
      </c>
      <c r="H700" s="150">
        <f>SUBTOTAL(9,H695:H699)</f>
        <v>3048.21</v>
      </c>
      <c r="I700" s="150">
        <f>SUBTOTAL(9,I695:I699)</f>
        <v>0</v>
      </c>
      <c r="J700" s="150">
        <f>SUBTOTAL(9,J695:J699)</f>
        <v>3020.21</v>
      </c>
      <c r="K700" s="150"/>
      <c r="L700" s="151"/>
      <c r="M700" s="148"/>
    </row>
    <row r="701" spans="1:13" outlineLevel="3">
      <c r="A701" s="148" t="s">
        <v>731</v>
      </c>
      <c r="B701" s="148" t="s">
        <v>841</v>
      </c>
      <c r="C701" s="148" t="s">
        <v>740</v>
      </c>
      <c r="D701" s="148" t="s">
        <v>741</v>
      </c>
      <c r="E701" s="148" t="s">
        <v>842</v>
      </c>
      <c r="F701" s="149">
        <v>45901</v>
      </c>
      <c r="G701" s="150">
        <v>101.59</v>
      </c>
      <c r="H701" s="150">
        <f t="shared" si="24"/>
        <v>101.59</v>
      </c>
      <c r="I701" s="150"/>
      <c r="J701" s="150">
        <v>101.59</v>
      </c>
      <c r="K701" s="150">
        <f t="shared" si="25"/>
        <v>0</v>
      </c>
      <c r="L701" s="151">
        <f t="shared" si="26"/>
        <v>0</v>
      </c>
      <c r="M701" s="148"/>
    </row>
    <row r="702" spans="1:13" outlineLevel="3">
      <c r="A702" s="148" t="s">
        <v>731</v>
      </c>
      <c r="B702" s="148" t="s">
        <v>841</v>
      </c>
      <c r="C702" s="148" t="s">
        <v>128</v>
      </c>
      <c r="D702" s="148" t="s">
        <v>162</v>
      </c>
      <c r="E702" s="148" t="s">
        <v>843</v>
      </c>
      <c r="F702" s="149">
        <v>45901</v>
      </c>
      <c r="G702" s="150">
        <v>49.8</v>
      </c>
      <c r="H702" s="150">
        <f t="shared" si="24"/>
        <v>49.8</v>
      </c>
      <c r="I702" s="150"/>
      <c r="J702" s="150">
        <v>49.8</v>
      </c>
      <c r="K702" s="150">
        <f t="shared" si="25"/>
        <v>0</v>
      </c>
      <c r="L702" s="151">
        <f t="shared" si="26"/>
        <v>0</v>
      </c>
      <c r="M702" s="148"/>
    </row>
    <row r="703" spans="1:13" outlineLevel="3">
      <c r="A703" s="148" t="s">
        <v>731</v>
      </c>
      <c r="B703" s="148" t="s">
        <v>841</v>
      </c>
      <c r="C703" s="148" t="s">
        <v>128</v>
      </c>
      <c r="D703" s="148" t="s">
        <v>844</v>
      </c>
      <c r="E703" s="148" t="s">
        <v>845</v>
      </c>
      <c r="F703" s="149">
        <v>45901</v>
      </c>
      <c r="G703" s="150">
        <v>28.77</v>
      </c>
      <c r="H703" s="150">
        <f t="shared" si="24"/>
        <v>28.77</v>
      </c>
      <c r="I703" s="150"/>
      <c r="J703" s="150">
        <v>28.77</v>
      </c>
      <c r="K703" s="150">
        <f t="shared" si="25"/>
        <v>0</v>
      </c>
      <c r="L703" s="151">
        <f t="shared" si="26"/>
        <v>0</v>
      </c>
      <c r="M703" s="148"/>
    </row>
    <row r="704" spans="1:13" outlineLevel="3">
      <c r="A704" s="148" t="s">
        <v>731</v>
      </c>
      <c r="B704" s="148" t="s">
        <v>841</v>
      </c>
      <c r="C704" s="148" t="s">
        <v>744</v>
      </c>
      <c r="D704" s="148" t="s">
        <v>745</v>
      </c>
      <c r="E704" s="148" t="s">
        <v>846</v>
      </c>
      <c r="F704" s="149">
        <v>45902</v>
      </c>
      <c r="G704" s="150">
        <v>575.66</v>
      </c>
      <c r="H704" s="150">
        <f t="shared" si="24"/>
        <v>575.66</v>
      </c>
      <c r="I704" s="150"/>
      <c r="J704" s="150">
        <v>575.66</v>
      </c>
      <c r="K704" s="150">
        <f t="shared" si="25"/>
        <v>0</v>
      </c>
      <c r="L704" s="151">
        <f t="shared" si="26"/>
        <v>0</v>
      </c>
      <c r="M704" s="148" t="s">
        <v>747</v>
      </c>
    </row>
    <row r="705" spans="1:13" outlineLevel="3">
      <c r="A705" s="148" t="s">
        <v>731</v>
      </c>
      <c r="B705" s="148" t="s">
        <v>841</v>
      </c>
      <c r="C705" s="148" t="s">
        <v>132</v>
      </c>
      <c r="D705" s="148" t="s">
        <v>847</v>
      </c>
      <c r="E705" s="148" t="s">
        <v>843</v>
      </c>
      <c r="F705" s="149">
        <v>45901</v>
      </c>
      <c r="G705" s="150">
        <v>6204.11</v>
      </c>
      <c r="H705" s="150">
        <f t="shared" si="24"/>
        <v>6204.11</v>
      </c>
      <c r="I705" s="150"/>
      <c r="J705" s="150">
        <v>6204.11</v>
      </c>
      <c r="K705" s="150">
        <f t="shared" si="25"/>
        <v>0</v>
      </c>
      <c r="L705" s="151">
        <f t="shared" si="26"/>
        <v>0</v>
      </c>
      <c r="M705" s="148"/>
    </row>
    <row r="706" spans="1:13" outlineLevel="2">
      <c r="A706" s="148"/>
      <c r="B706" s="173" t="s">
        <v>848</v>
      </c>
      <c r="C706" s="148"/>
      <c r="D706" s="148"/>
      <c r="E706" s="148"/>
      <c r="F706" s="149"/>
      <c r="G706" s="150">
        <f>SUBTOTAL(9,G701:G705)</f>
        <v>6959.9299999999994</v>
      </c>
      <c r="H706" s="150">
        <f>SUBTOTAL(9,H701:H705)</f>
        <v>6959.9299999999994</v>
      </c>
      <c r="I706" s="150">
        <f>SUBTOTAL(9,I701:I705)</f>
        <v>0</v>
      </c>
      <c r="J706" s="150">
        <f>SUBTOTAL(9,J701:J705)</f>
        <v>6959.9299999999994</v>
      </c>
      <c r="K706" s="150"/>
      <c r="L706" s="151"/>
      <c r="M706" s="148"/>
    </row>
    <row r="707" spans="1:13" outlineLevel="3">
      <c r="A707" s="148" t="s">
        <v>731</v>
      </c>
      <c r="B707" s="148" t="s">
        <v>849</v>
      </c>
      <c r="C707" s="148" t="s">
        <v>740</v>
      </c>
      <c r="D707" s="148" t="s">
        <v>741</v>
      </c>
      <c r="E707" s="148" t="s">
        <v>850</v>
      </c>
      <c r="F707" s="149">
        <v>45901</v>
      </c>
      <c r="G707" s="150">
        <v>111.6</v>
      </c>
      <c r="H707" s="150">
        <f t="shared" si="24"/>
        <v>111.6</v>
      </c>
      <c r="I707" s="150"/>
      <c r="J707" s="150">
        <v>111.6</v>
      </c>
      <c r="K707" s="150">
        <f t="shared" si="25"/>
        <v>0</v>
      </c>
      <c r="L707" s="151">
        <f t="shared" si="26"/>
        <v>0</v>
      </c>
      <c r="M707" s="148"/>
    </row>
    <row r="708" spans="1:13" outlineLevel="3">
      <c r="A708" s="148" t="s">
        <v>731</v>
      </c>
      <c r="B708" s="148" t="s">
        <v>849</v>
      </c>
      <c r="C708" s="148" t="s">
        <v>131</v>
      </c>
      <c r="D708" s="148" t="s">
        <v>131</v>
      </c>
      <c r="E708" s="148" t="s">
        <v>851</v>
      </c>
      <c r="F708" s="149">
        <v>45901</v>
      </c>
      <c r="G708" s="150">
        <v>1020.5</v>
      </c>
      <c r="H708" s="150">
        <f t="shared" ref="H708:H787" si="27">+G708</f>
        <v>1020.5</v>
      </c>
      <c r="I708" s="150"/>
      <c r="J708" s="150">
        <v>951</v>
      </c>
      <c r="K708" s="150">
        <f t="shared" ref="K708:K787" si="28">+G708-J708</f>
        <v>69.5</v>
      </c>
      <c r="L708" s="151">
        <f t="shared" ref="L708:L787" si="29">+K708/J708</f>
        <v>7.3080967402733968E-2</v>
      </c>
      <c r="M708" s="148"/>
    </row>
    <row r="709" spans="1:13" outlineLevel="3">
      <c r="A709" s="148" t="s">
        <v>731</v>
      </c>
      <c r="B709" s="148" t="s">
        <v>849</v>
      </c>
      <c r="C709" s="148" t="s">
        <v>744</v>
      </c>
      <c r="D709" s="148" t="s">
        <v>745</v>
      </c>
      <c r="E709" s="148" t="s">
        <v>852</v>
      </c>
      <c r="F709" s="149">
        <v>45902</v>
      </c>
      <c r="G709" s="150">
        <v>632.4</v>
      </c>
      <c r="H709" s="150">
        <f t="shared" si="27"/>
        <v>632.4</v>
      </c>
      <c r="I709" s="150"/>
      <c r="J709" s="150">
        <v>632.4</v>
      </c>
      <c r="K709" s="150">
        <f t="shared" si="28"/>
        <v>0</v>
      </c>
      <c r="L709" s="151">
        <f t="shared" si="29"/>
        <v>0</v>
      </c>
      <c r="M709" s="148" t="s">
        <v>747</v>
      </c>
    </row>
    <row r="710" spans="1:13" outlineLevel="3">
      <c r="A710" s="148" t="s">
        <v>731</v>
      </c>
      <c r="B710" s="148" t="s">
        <v>849</v>
      </c>
      <c r="C710" s="148" t="s">
        <v>132</v>
      </c>
      <c r="D710" s="148" t="s">
        <v>847</v>
      </c>
      <c r="E710" s="148" t="s">
        <v>851</v>
      </c>
      <c r="F710" s="149">
        <v>45901</v>
      </c>
      <c r="G710" s="150">
        <v>6462.96</v>
      </c>
      <c r="H710" s="150">
        <f t="shared" si="27"/>
        <v>6462.96</v>
      </c>
      <c r="I710" s="150"/>
      <c r="J710" s="150">
        <v>6462.96</v>
      </c>
      <c r="K710" s="150">
        <f t="shared" si="28"/>
        <v>0</v>
      </c>
      <c r="L710" s="151">
        <f t="shared" si="29"/>
        <v>0</v>
      </c>
      <c r="M710" s="148"/>
    </row>
    <row r="711" spans="1:13" outlineLevel="2">
      <c r="A711" s="148"/>
      <c r="B711" s="173" t="s">
        <v>853</v>
      </c>
      <c r="C711" s="148"/>
      <c r="D711" s="148"/>
      <c r="E711" s="148"/>
      <c r="F711" s="149"/>
      <c r="G711" s="150">
        <f>SUBTOTAL(9,G707:G710)</f>
        <v>8227.4599999999991</v>
      </c>
      <c r="H711" s="150">
        <f>SUBTOTAL(9,H707:H710)</f>
        <v>8227.4599999999991</v>
      </c>
      <c r="I711" s="150">
        <f>SUBTOTAL(9,I707:I710)</f>
        <v>0</v>
      </c>
      <c r="J711" s="150">
        <f>SUBTOTAL(9,J707:J710)</f>
        <v>8157.96</v>
      </c>
      <c r="K711" s="150"/>
      <c r="L711" s="151"/>
      <c r="M711" s="148"/>
    </row>
    <row r="712" spans="1:13" outlineLevel="3">
      <c r="A712" s="148" t="s">
        <v>731</v>
      </c>
      <c r="B712" s="148" t="s">
        <v>854</v>
      </c>
      <c r="C712" s="148" t="s">
        <v>128</v>
      </c>
      <c r="D712" s="148" t="s">
        <v>162</v>
      </c>
      <c r="E712" s="148" t="s">
        <v>855</v>
      </c>
      <c r="F712" s="149">
        <v>45901</v>
      </c>
      <c r="G712" s="150">
        <v>475.79219999999998</v>
      </c>
      <c r="H712" s="150">
        <f t="shared" si="27"/>
        <v>475.79219999999998</v>
      </c>
      <c r="I712" s="150"/>
      <c r="J712" s="150">
        <v>475.79219999999998</v>
      </c>
      <c r="K712" s="150">
        <f t="shared" si="28"/>
        <v>0</v>
      </c>
      <c r="L712" s="151">
        <f t="shared" si="29"/>
        <v>0</v>
      </c>
      <c r="M712" s="148"/>
    </row>
    <row r="713" spans="1:13" outlineLevel="3">
      <c r="A713" s="148" t="s">
        <v>731</v>
      </c>
      <c r="B713" s="148" t="s">
        <v>854</v>
      </c>
      <c r="C713" s="148" t="s">
        <v>131</v>
      </c>
      <c r="D713" s="148" t="s">
        <v>237</v>
      </c>
      <c r="E713" s="148" t="s">
        <v>855</v>
      </c>
      <c r="F713" s="149">
        <v>45901</v>
      </c>
      <c r="G713" s="150">
        <v>308</v>
      </c>
      <c r="H713" s="150">
        <f t="shared" si="27"/>
        <v>308</v>
      </c>
      <c r="I713" s="150"/>
      <c r="J713" s="150">
        <v>308</v>
      </c>
      <c r="K713" s="150">
        <f t="shared" si="28"/>
        <v>0</v>
      </c>
      <c r="L713" s="151">
        <f t="shared" si="29"/>
        <v>0</v>
      </c>
      <c r="M713" s="148"/>
    </row>
    <row r="714" spans="1:13" outlineLevel="3">
      <c r="A714" s="148" t="s">
        <v>731</v>
      </c>
      <c r="B714" s="148" t="s">
        <v>854</v>
      </c>
      <c r="C714" s="148" t="s">
        <v>132</v>
      </c>
      <c r="D714" s="148" t="s">
        <v>229</v>
      </c>
      <c r="E714" s="148" t="s">
        <v>855</v>
      </c>
      <c r="F714" s="149">
        <v>45901</v>
      </c>
      <c r="G714" s="150">
        <v>3825.75</v>
      </c>
      <c r="H714" s="150">
        <f t="shared" si="27"/>
        <v>3825.75</v>
      </c>
      <c r="I714" s="150"/>
      <c r="J714" s="150">
        <v>3825.75</v>
      </c>
      <c r="K714" s="150">
        <f t="shared" si="28"/>
        <v>0</v>
      </c>
      <c r="L714" s="151">
        <f t="shared" si="29"/>
        <v>0</v>
      </c>
      <c r="M714" s="148"/>
    </row>
    <row r="715" spans="1:13" outlineLevel="2">
      <c r="A715" s="148"/>
      <c r="B715" s="173" t="s">
        <v>856</v>
      </c>
      <c r="C715" s="148"/>
      <c r="D715" s="148"/>
      <c r="E715" s="148"/>
      <c r="F715" s="149"/>
      <c r="G715" s="150">
        <f>SUBTOTAL(9,G712:G714)</f>
        <v>4609.5421999999999</v>
      </c>
      <c r="H715" s="150">
        <f>SUBTOTAL(9,H712:H714)</f>
        <v>4609.5421999999999</v>
      </c>
      <c r="I715" s="150">
        <f>SUBTOTAL(9,I712:I714)</f>
        <v>0</v>
      </c>
      <c r="J715" s="150">
        <f>SUBTOTAL(9,J712:J714)</f>
        <v>4609.5421999999999</v>
      </c>
      <c r="K715" s="150"/>
      <c r="L715" s="151"/>
      <c r="M715" s="148"/>
    </row>
    <row r="716" spans="1:13" outlineLevel="3">
      <c r="A716" s="148" t="s">
        <v>731</v>
      </c>
      <c r="B716" s="148" t="s">
        <v>857</v>
      </c>
      <c r="C716" s="148" t="s">
        <v>740</v>
      </c>
      <c r="D716" s="148" t="s">
        <v>741</v>
      </c>
      <c r="E716" s="148" t="s">
        <v>858</v>
      </c>
      <c r="F716" s="149">
        <v>45901</v>
      </c>
      <c r="G716" s="150">
        <v>2.83</v>
      </c>
      <c r="H716" s="150">
        <f t="shared" si="27"/>
        <v>2.83</v>
      </c>
      <c r="I716" s="150"/>
      <c r="J716" s="150">
        <v>2.83</v>
      </c>
      <c r="K716" s="150">
        <f t="shared" si="28"/>
        <v>0</v>
      </c>
      <c r="L716" s="151">
        <f t="shared" si="29"/>
        <v>0</v>
      </c>
      <c r="M716" s="148"/>
    </row>
    <row r="717" spans="1:13" outlineLevel="3">
      <c r="A717" s="148" t="s">
        <v>731</v>
      </c>
      <c r="B717" s="148" t="s">
        <v>857</v>
      </c>
      <c r="C717" s="148" t="s">
        <v>128</v>
      </c>
      <c r="D717" s="148" t="s">
        <v>859</v>
      </c>
      <c r="E717" s="148" t="s">
        <v>860</v>
      </c>
      <c r="F717" s="149">
        <v>45901</v>
      </c>
      <c r="G717" s="150">
        <v>62.802599999999998</v>
      </c>
      <c r="H717" s="150">
        <f t="shared" si="27"/>
        <v>62.802599999999998</v>
      </c>
      <c r="I717" s="150"/>
      <c r="J717" s="150">
        <v>62.755800000000001</v>
      </c>
      <c r="K717" s="150">
        <f t="shared" si="28"/>
        <v>4.679999999999751E-2</v>
      </c>
      <c r="L717" s="151">
        <f t="shared" si="29"/>
        <v>7.4574780339024458E-4</v>
      </c>
      <c r="M717" s="148"/>
    </row>
    <row r="718" spans="1:13" outlineLevel="3">
      <c r="A718" s="148" t="s">
        <v>731</v>
      </c>
      <c r="B718" s="148" t="s">
        <v>857</v>
      </c>
      <c r="C718" s="148" t="s">
        <v>131</v>
      </c>
      <c r="D718" s="148" t="s">
        <v>800</v>
      </c>
      <c r="E718" s="148" t="s">
        <v>860</v>
      </c>
      <c r="F718" s="149">
        <v>45901</v>
      </c>
      <c r="G718" s="150">
        <v>126</v>
      </c>
      <c r="H718" s="150">
        <f t="shared" si="27"/>
        <v>126</v>
      </c>
      <c r="I718" s="150"/>
      <c r="J718" s="150">
        <v>126</v>
      </c>
      <c r="K718" s="150">
        <f t="shared" si="28"/>
        <v>0</v>
      </c>
      <c r="L718" s="151">
        <f t="shared" si="29"/>
        <v>0</v>
      </c>
      <c r="M718" s="148"/>
    </row>
    <row r="719" spans="1:13" outlineLevel="3">
      <c r="A719" s="148" t="s">
        <v>731</v>
      </c>
      <c r="B719" s="148" t="s">
        <v>857</v>
      </c>
      <c r="C719" s="148" t="s">
        <v>744</v>
      </c>
      <c r="D719" s="148" t="s">
        <v>745</v>
      </c>
      <c r="E719" s="148" t="s">
        <v>861</v>
      </c>
      <c r="F719" s="149">
        <v>45902</v>
      </c>
      <c r="G719" s="150">
        <v>16.25</v>
      </c>
      <c r="H719" s="150">
        <f t="shared" si="27"/>
        <v>16.25</v>
      </c>
      <c r="I719" s="150"/>
      <c r="J719" s="150">
        <v>16.25</v>
      </c>
      <c r="K719" s="150">
        <f t="shared" si="28"/>
        <v>0</v>
      </c>
      <c r="L719" s="151">
        <f t="shared" si="29"/>
        <v>0</v>
      </c>
      <c r="M719" s="148" t="s">
        <v>747</v>
      </c>
    </row>
    <row r="720" spans="1:13" outlineLevel="3">
      <c r="A720" s="148" t="s">
        <v>731</v>
      </c>
      <c r="B720" s="148" t="s">
        <v>857</v>
      </c>
      <c r="C720" s="148" t="s">
        <v>132</v>
      </c>
      <c r="D720" s="148" t="s">
        <v>801</v>
      </c>
      <c r="E720" s="148" t="s">
        <v>860</v>
      </c>
      <c r="F720" s="149">
        <v>45901</v>
      </c>
      <c r="G720" s="150">
        <v>2143.5300000000002</v>
      </c>
      <c r="H720" s="150">
        <f t="shared" si="27"/>
        <v>2143.5300000000002</v>
      </c>
      <c r="I720" s="150"/>
      <c r="J720" s="150">
        <v>2143.5342000000001</v>
      </c>
      <c r="K720" s="150">
        <f t="shared" si="28"/>
        <v>-4.1999999998552084E-3</v>
      </c>
      <c r="L720" s="151">
        <f t="shared" si="29"/>
        <v>-1.9593809139388623E-6</v>
      </c>
      <c r="M720" s="148"/>
    </row>
    <row r="721" spans="1:13" outlineLevel="2">
      <c r="A721" s="148"/>
      <c r="B721" s="173" t="s">
        <v>862</v>
      </c>
      <c r="C721" s="148"/>
      <c r="D721" s="148"/>
      <c r="E721" s="148"/>
      <c r="F721" s="149"/>
      <c r="G721" s="150">
        <f>SUBTOTAL(9,G716:G720)</f>
        <v>2351.4126000000001</v>
      </c>
      <c r="H721" s="150">
        <f>SUBTOTAL(9,H716:H720)</f>
        <v>2351.4126000000001</v>
      </c>
      <c r="I721" s="150">
        <f>SUBTOTAL(9,I716:I720)</f>
        <v>0</v>
      </c>
      <c r="J721" s="150">
        <f>SUBTOTAL(9,J716:J720)</f>
        <v>2351.37</v>
      </c>
      <c r="K721" s="150"/>
      <c r="L721" s="151"/>
      <c r="M721" s="148"/>
    </row>
    <row r="722" spans="1:13" outlineLevel="3">
      <c r="A722" s="148" t="s">
        <v>731</v>
      </c>
      <c r="B722" s="148" t="s">
        <v>863</v>
      </c>
      <c r="C722" s="148" t="s">
        <v>740</v>
      </c>
      <c r="D722" s="148" t="s">
        <v>741</v>
      </c>
      <c r="E722" s="148" t="s">
        <v>864</v>
      </c>
      <c r="F722" s="149">
        <v>45901</v>
      </c>
      <c r="G722" s="150">
        <v>20.29</v>
      </c>
      <c r="H722" s="150">
        <f t="shared" si="27"/>
        <v>20.29</v>
      </c>
      <c r="I722" s="150"/>
      <c r="J722" s="150">
        <v>20.29</v>
      </c>
      <c r="K722" s="150">
        <f t="shared" si="28"/>
        <v>0</v>
      </c>
      <c r="L722" s="151">
        <f t="shared" si="29"/>
        <v>0</v>
      </c>
      <c r="M722" s="148"/>
    </row>
    <row r="723" spans="1:13" outlineLevel="3">
      <c r="A723" s="148" t="s">
        <v>731</v>
      </c>
      <c r="B723" s="148" t="s">
        <v>863</v>
      </c>
      <c r="C723" s="148" t="s">
        <v>131</v>
      </c>
      <c r="D723" s="148" t="s">
        <v>800</v>
      </c>
      <c r="E723" s="148" t="s">
        <v>865</v>
      </c>
      <c r="F723" s="149">
        <v>45901</v>
      </c>
      <c r="G723" s="150">
        <v>565.5</v>
      </c>
      <c r="H723" s="150">
        <f t="shared" si="27"/>
        <v>565.5</v>
      </c>
      <c r="I723" s="150"/>
      <c r="J723" s="150">
        <v>585</v>
      </c>
      <c r="K723" s="150">
        <f t="shared" si="28"/>
        <v>-19.5</v>
      </c>
      <c r="L723" s="151">
        <f t="shared" si="29"/>
        <v>-3.3333333333333333E-2</v>
      </c>
      <c r="M723" s="148" t="s">
        <v>177</v>
      </c>
    </row>
    <row r="724" spans="1:13" outlineLevel="3">
      <c r="A724" s="148" t="s">
        <v>731</v>
      </c>
      <c r="B724" s="148" t="s">
        <v>863</v>
      </c>
      <c r="C724" s="148" t="s">
        <v>744</v>
      </c>
      <c r="D724" s="148" t="s">
        <v>745</v>
      </c>
      <c r="E724" s="148" t="s">
        <v>866</v>
      </c>
      <c r="F724" s="149">
        <v>45902</v>
      </c>
      <c r="G724" s="150">
        <v>115.03</v>
      </c>
      <c r="H724" s="150">
        <f t="shared" si="27"/>
        <v>115.03</v>
      </c>
      <c r="I724" s="150"/>
      <c r="J724" s="150">
        <v>115.03</v>
      </c>
      <c r="K724" s="150">
        <f t="shared" si="28"/>
        <v>0</v>
      </c>
      <c r="L724" s="151">
        <f t="shared" si="29"/>
        <v>0</v>
      </c>
      <c r="M724" s="148" t="s">
        <v>747</v>
      </c>
    </row>
    <row r="725" spans="1:13" outlineLevel="3">
      <c r="A725" s="148" t="s">
        <v>731</v>
      </c>
      <c r="B725" s="148" t="s">
        <v>863</v>
      </c>
      <c r="C725" s="148" t="s">
        <v>132</v>
      </c>
      <c r="D725" s="148" t="s">
        <v>801</v>
      </c>
      <c r="E725" s="148" t="s">
        <v>865</v>
      </c>
      <c r="F725" s="149">
        <v>45901</v>
      </c>
      <c r="G725" s="150">
        <v>4803.9027999999998</v>
      </c>
      <c r="H725" s="150">
        <f t="shared" si="27"/>
        <v>4803.9027999999998</v>
      </c>
      <c r="I725" s="150"/>
      <c r="J725" s="150">
        <v>4804.28</v>
      </c>
      <c r="K725" s="150">
        <f t="shared" si="28"/>
        <v>-0.3771999999999025</v>
      </c>
      <c r="L725" s="151">
        <f t="shared" si="29"/>
        <v>-7.851332561797033E-5</v>
      </c>
      <c r="M725" s="148"/>
    </row>
    <row r="726" spans="1:13" outlineLevel="2">
      <c r="A726" s="148"/>
      <c r="B726" s="173" t="s">
        <v>867</v>
      </c>
      <c r="C726" s="148"/>
      <c r="D726" s="148"/>
      <c r="E726" s="148"/>
      <c r="F726" s="149"/>
      <c r="G726" s="150">
        <f>SUBTOTAL(9,G722:G725)</f>
        <v>5504.7227999999996</v>
      </c>
      <c r="H726" s="150">
        <f>SUBTOTAL(9,H722:H725)</f>
        <v>5504.7227999999996</v>
      </c>
      <c r="I726" s="150">
        <f>SUBTOTAL(9,I722:I725)</f>
        <v>0</v>
      </c>
      <c r="J726" s="150">
        <f>SUBTOTAL(9,J722:J725)</f>
        <v>5524.5999999999995</v>
      </c>
      <c r="K726" s="150"/>
      <c r="L726" s="151"/>
      <c r="M726" s="148"/>
    </row>
    <row r="727" spans="1:13" outlineLevel="3">
      <c r="A727" s="148" t="s">
        <v>731</v>
      </c>
      <c r="B727" s="148" t="s">
        <v>868</v>
      </c>
      <c r="C727" s="148" t="s">
        <v>740</v>
      </c>
      <c r="D727" s="148" t="s">
        <v>741</v>
      </c>
      <c r="E727" s="148" t="s">
        <v>869</v>
      </c>
      <c r="F727" s="149">
        <v>45901</v>
      </c>
      <c r="G727" s="150">
        <v>57.67</v>
      </c>
      <c r="H727" s="150">
        <f t="shared" si="27"/>
        <v>57.67</v>
      </c>
      <c r="I727" s="150"/>
      <c r="J727" s="150">
        <v>57.67</v>
      </c>
      <c r="K727" s="150">
        <f t="shared" si="28"/>
        <v>0</v>
      </c>
      <c r="L727" s="151">
        <f t="shared" si="29"/>
        <v>0</v>
      </c>
      <c r="M727" s="148"/>
    </row>
    <row r="728" spans="1:13" outlineLevel="3">
      <c r="A728" s="148" t="s">
        <v>731</v>
      </c>
      <c r="B728" s="148" t="s">
        <v>868</v>
      </c>
      <c r="C728" s="148" t="s">
        <v>139</v>
      </c>
      <c r="D728" s="148" t="s">
        <v>139</v>
      </c>
      <c r="E728" s="148" t="s">
        <v>870</v>
      </c>
      <c r="F728" s="149">
        <v>45901</v>
      </c>
      <c r="G728" s="150">
        <v>34.65</v>
      </c>
      <c r="H728" s="150">
        <f t="shared" si="27"/>
        <v>34.65</v>
      </c>
      <c r="I728" s="150"/>
      <c r="J728" s="150">
        <v>0</v>
      </c>
      <c r="K728" s="150">
        <f t="shared" si="28"/>
        <v>34.65</v>
      </c>
      <c r="L728" s="151" t="e">
        <f t="shared" si="29"/>
        <v>#DIV/0!</v>
      </c>
      <c r="M728" s="148"/>
    </row>
    <row r="729" spans="1:13" outlineLevel="3">
      <c r="A729" s="148" t="s">
        <v>731</v>
      </c>
      <c r="B729" s="148" t="s">
        <v>868</v>
      </c>
      <c r="C729" s="148" t="s">
        <v>128</v>
      </c>
      <c r="D729" s="148" t="s">
        <v>162</v>
      </c>
      <c r="E729" s="148" t="s">
        <v>870</v>
      </c>
      <c r="F729" s="149">
        <v>45901</v>
      </c>
      <c r="G729" s="150">
        <v>160.56</v>
      </c>
      <c r="H729" s="150">
        <f t="shared" si="27"/>
        <v>160.56</v>
      </c>
      <c r="I729" s="150"/>
      <c r="J729" s="150">
        <v>160.56</v>
      </c>
      <c r="K729" s="150">
        <f t="shared" si="28"/>
        <v>0</v>
      </c>
      <c r="L729" s="151">
        <f t="shared" si="29"/>
        <v>0</v>
      </c>
      <c r="M729" s="148"/>
    </row>
    <row r="730" spans="1:13" outlineLevel="3">
      <c r="A730" s="148" t="s">
        <v>731</v>
      </c>
      <c r="B730" s="148" t="s">
        <v>868</v>
      </c>
      <c r="C730" s="148" t="s">
        <v>131</v>
      </c>
      <c r="D730" s="148" t="s">
        <v>237</v>
      </c>
      <c r="E730" s="148" t="s">
        <v>870</v>
      </c>
      <c r="F730" s="149">
        <v>45901</v>
      </c>
      <c r="G730" s="150">
        <v>370.5</v>
      </c>
      <c r="H730" s="150">
        <f t="shared" si="27"/>
        <v>370.5</v>
      </c>
      <c r="I730" s="150"/>
      <c r="J730" s="150">
        <v>455</v>
      </c>
      <c r="K730" s="150">
        <f t="shared" si="28"/>
        <v>-84.5</v>
      </c>
      <c r="L730" s="151">
        <f t="shared" si="29"/>
        <v>-0.18571428571428572</v>
      </c>
      <c r="M730" s="148" t="s">
        <v>871</v>
      </c>
    </row>
    <row r="731" spans="1:13" outlineLevel="3">
      <c r="A731" s="148" t="s">
        <v>731</v>
      </c>
      <c r="B731" s="148" t="s">
        <v>868</v>
      </c>
      <c r="C731" s="148" t="s">
        <v>744</v>
      </c>
      <c r="D731" s="148" t="s">
        <v>745</v>
      </c>
      <c r="E731" s="148" t="s">
        <v>872</v>
      </c>
      <c r="F731" s="149">
        <v>45902</v>
      </c>
      <c r="G731" s="150">
        <v>326.82</v>
      </c>
      <c r="H731" s="150">
        <f t="shared" si="27"/>
        <v>326.82</v>
      </c>
      <c r="I731" s="150"/>
      <c r="J731" s="150">
        <v>326.82</v>
      </c>
      <c r="K731" s="150">
        <f t="shared" si="28"/>
        <v>0</v>
      </c>
      <c r="L731" s="151">
        <f t="shared" si="29"/>
        <v>0</v>
      </c>
      <c r="M731" s="148" t="s">
        <v>747</v>
      </c>
    </row>
    <row r="732" spans="1:13" outlineLevel="3">
      <c r="A732" s="148" t="s">
        <v>731</v>
      </c>
      <c r="B732" s="148" t="s">
        <v>868</v>
      </c>
      <c r="C732" s="148" t="s">
        <v>132</v>
      </c>
      <c r="D732" s="148" t="s">
        <v>229</v>
      </c>
      <c r="E732" s="148" t="s">
        <v>870</v>
      </c>
      <c r="F732" s="149">
        <v>45901</v>
      </c>
      <c r="G732" s="150">
        <v>2802.5</v>
      </c>
      <c r="H732" s="150">
        <f t="shared" si="27"/>
        <v>2802.5</v>
      </c>
      <c r="I732" s="150"/>
      <c r="J732" s="150">
        <v>2802.5</v>
      </c>
      <c r="K732" s="150">
        <f t="shared" si="28"/>
        <v>0</v>
      </c>
      <c r="L732" s="151">
        <f t="shared" si="29"/>
        <v>0</v>
      </c>
      <c r="M732" s="148"/>
    </row>
    <row r="733" spans="1:13" outlineLevel="2">
      <c r="A733" s="148"/>
      <c r="B733" s="173" t="s">
        <v>873</v>
      </c>
      <c r="C733" s="148"/>
      <c r="D733" s="148"/>
      <c r="E733" s="148"/>
      <c r="F733" s="149"/>
      <c r="G733" s="150">
        <f>SUBTOTAL(9,G727:G732)</f>
        <v>3752.7</v>
      </c>
      <c r="H733" s="150">
        <f>SUBTOTAL(9,H727:H732)</f>
        <v>3752.7</v>
      </c>
      <c r="I733" s="150">
        <f>SUBTOTAL(9,I727:I732)</f>
        <v>0</v>
      </c>
      <c r="J733" s="150">
        <f>SUBTOTAL(9,J727:J732)</f>
        <v>3802.55</v>
      </c>
      <c r="K733" s="150"/>
      <c r="L733" s="151"/>
      <c r="M733" s="148"/>
    </row>
    <row r="734" spans="1:13" outlineLevel="3">
      <c r="A734" s="148" t="s">
        <v>731</v>
      </c>
      <c r="B734" s="148" t="s">
        <v>874</v>
      </c>
      <c r="C734" s="148" t="s">
        <v>740</v>
      </c>
      <c r="D734" s="148" t="s">
        <v>741</v>
      </c>
      <c r="E734" s="148" t="s">
        <v>875</v>
      </c>
      <c r="F734" s="149">
        <v>45901</v>
      </c>
      <c r="G734" s="150">
        <v>18.03</v>
      </c>
      <c r="H734" s="150">
        <f t="shared" si="27"/>
        <v>18.03</v>
      </c>
      <c r="I734" s="150"/>
      <c r="J734" s="150">
        <v>18.03</v>
      </c>
      <c r="K734" s="150">
        <f t="shared" si="28"/>
        <v>0</v>
      </c>
      <c r="L734" s="151">
        <f t="shared" si="29"/>
        <v>0</v>
      </c>
      <c r="M734" s="148"/>
    </row>
    <row r="735" spans="1:13" outlineLevel="3">
      <c r="A735" s="148" t="s">
        <v>731</v>
      </c>
      <c r="B735" s="148" t="s">
        <v>874</v>
      </c>
      <c r="C735" s="148" t="s">
        <v>128</v>
      </c>
      <c r="D735" s="148" t="s">
        <v>357</v>
      </c>
      <c r="E735" s="148" t="s">
        <v>876</v>
      </c>
      <c r="F735" s="149">
        <v>45901</v>
      </c>
      <c r="G735" s="150">
        <v>240</v>
      </c>
      <c r="H735" s="150">
        <f t="shared" si="27"/>
        <v>240</v>
      </c>
      <c r="I735" s="150"/>
      <c r="J735" s="150">
        <v>240</v>
      </c>
      <c r="K735" s="150">
        <f t="shared" si="28"/>
        <v>0</v>
      </c>
      <c r="L735" s="151">
        <f t="shared" si="29"/>
        <v>0</v>
      </c>
      <c r="M735" s="148"/>
    </row>
    <row r="736" spans="1:13" outlineLevel="3">
      <c r="A736" s="148" t="s">
        <v>731</v>
      </c>
      <c r="B736" s="148" t="s">
        <v>874</v>
      </c>
      <c r="C736" s="148" t="s">
        <v>131</v>
      </c>
      <c r="D736" s="148" t="s">
        <v>358</v>
      </c>
      <c r="E736" s="148" t="s">
        <v>876</v>
      </c>
      <c r="F736" s="149">
        <v>45901</v>
      </c>
      <c r="G736" s="150">
        <v>351</v>
      </c>
      <c r="H736" s="150">
        <f t="shared" si="27"/>
        <v>351</v>
      </c>
      <c r="I736" s="150"/>
      <c r="J736" s="150">
        <v>336</v>
      </c>
      <c r="K736" s="150">
        <f t="shared" si="28"/>
        <v>15</v>
      </c>
      <c r="L736" s="151">
        <f t="shared" si="29"/>
        <v>4.4642857142857144E-2</v>
      </c>
      <c r="M736" s="148"/>
    </row>
    <row r="737" spans="1:13" outlineLevel="3">
      <c r="A737" s="148" t="s">
        <v>731</v>
      </c>
      <c r="B737" s="148" t="s">
        <v>874</v>
      </c>
      <c r="C737" s="148" t="s">
        <v>744</v>
      </c>
      <c r="D737" s="148" t="s">
        <v>745</v>
      </c>
      <c r="E737" s="148" t="s">
        <v>877</v>
      </c>
      <c r="F737" s="149">
        <v>45902</v>
      </c>
      <c r="G737" s="150">
        <v>102.21</v>
      </c>
      <c r="H737" s="150">
        <f t="shared" si="27"/>
        <v>102.21</v>
      </c>
      <c r="I737" s="150"/>
      <c r="J737" s="150">
        <v>102.21</v>
      </c>
      <c r="K737" s="150">
        <f t="shared" si="28"/>
        <v>0</v>
      </c>
      <c r="L737" s="151">
        <f t="shared" si="29"/>
        <v>0</v>
      </c>
      <c r="M737" s="148" t="s">
        <v>747</v>
      </c>
    </row>
    <row r="738" spans="1:13" outlineLevel="3">
      <c r="A738" s="148" t="s">
        <v>731</v>
      </c>
      <c r="B738" s="148" t="s">
        <v>874</v>
      </c>
      <c r="C738" s="148" t="s">
        <v>132</v>
      </c>
      <c r="D738" s="148" t="s">
        <v>878</v>
      </c>
      <c r="E738" s="148" t="s">
        <v>876</v>
      </c>
      <c r="F738" s="149">
        <v>45901</v>
      </c>
      <c r="G738" s="150">
        <v>1255</v>
      </c>
      <c r="H738" s="150">
        <f t="shared" si="27"/>
        <v>1255</v>
      </c>
      <c r="I738" s="150"/>
      <c r="J738" s="150">
        <v>1255</v>
      </c>
      <c r="K738" s="150">
        <f t="shared" si="28"/>
        <v>0</v>
      </c>
      <c r="L738" s="151">
        <f t="shared" si="29"/>
        <v>0</v>
      </c>
      <c r="M738" s="148"/>
    </row>
    <row r="739" spans="1:13" outlineLevel="3">
      <c r="A739" s="148" t="s">
        <v>731</v>
      </c>
      <c r="B739" s="148" t="s">
        <v>874</v>
      </c>
      <c r="C739" s="148" t="s">
        <v>132</v>
      </c>
      <c r="D739" s="148" t="s">
        <v>359</v>
      </c>
      <c r="E739" s="148" t="s">
        <v>876</v>
      </c>
      <c r="F739" s="149">
        <v>45901</v>
      </c>
      <c r="G739" s="150">
        <v>2405</v>
      </c>
      <c r="H739" s="150">
        <f t="shared" si="27"/>
        <v>2405</v>
      </c>
      <c r="I739" s="150"/>
      <c r="J739" s="150">
        <v>2405</v>
      </c>
      <c r="K739" s="150">
        <f t="shared" si="28"/>
        <v>0</v>
      </c>
      <c r="L739" s="151">
        <f t="shared" si="29"/>
        <v>0</v>
      </c>
      <c r="M739" s="148"/>
    </row>
    <row r="740" spans="1:13" outlineLevel="2">
      <c r="A740" s="148"/>
      <c r="B740" s="173" t="s">
        <v>879</v>
      </c>
      <c r="C740" s="148"/>
      <c r="D740" s="148"/>
      <c r="E740" s="148"/>
      <c r="F740" s="149"/>
      <c r="G740" s="150">
        <f>SUBTOTAL(9,G734:G739)</f>
        <v>4371.24</v>
      </c>
      <c r="H740" s="150">
        <f>SUBTOTAL(9,H734:H739)</f>
        <v>4371.24</v>
      </c>
      <c r="I740" s="150">
        <f>SUBTOTAL(9,I734:I739)</f>
        <v>0</v>
      </c>
      <c r="J740" s="150">
        <f>SUBTOTAL(9,J734:J739)</f>
        <v>4356.24</v>
      </c>
      <c r="K740" s="150"/>
      <c r="L740" s="151"/>
      <c r="M740" s="148"/>
    </row>
    <row r="741" spans="1:13" outlineLevel="3">
      <c r="A741" s="148" t="s">
        <v>731</v>
      </c>
      <c r="B741" s="148" t="s">
        <v>880</v>
      </c>
      <c r="C741" s="148" t="s">
        <v>881</v>
      </c>
      <c r="D741" s="148" t="s">
        <v>882</v>
      </c>
      <c r="E741" s="148" t="s">
        <v>883</v>
      </c>
      <c r="F741" s="149">
        <v>45901</v>
      </c>
      <c r="G741" s="150">
        <v>562.5</v>
      </c>
      <c r="H741" s="150">
        <f t="shared" si="27"/>
        <v>562.5</v>
      </c>
      <c r="I741" s="150"/>
      <c r="J741" s="150">
        <v>562.5</v>
      </c>
      <c r="K741" s="150">
        <f t="shared" si="28"/>
        <v>0</v>
      </c>
      <c r="L741" s="151">
        <f t="shared" si="29"/>
        <v>0</v>
      </c>
      <c r="M741" s="148"/>
    </row>
    <row r="742" spans="1:13" outlineLevel="3">
      <c r="A742" s="148" t="s">
        <v>731</v>
      </c>
      <c r="B742" s="148" t="s">
        <v>880</v>
      </c>
      <c r="C742" s="148" t="s">
        <v>740</v>
      </c>
      <c r="D742" s="148" t="s">
        <v>741</v>
      </c>
      <c r="E742" s="148" t="s">
        <v>884</v>
      </c>
      <c r="F742" s="149">
        <v>45901</v>
      </c>
      <c r="G742" s="150">
        <v>24.65</v>
      </c>
      <c r="H742" s="150">
        <f t="shared" si="27"/>
        <v>24.65</v>
      </c>
      <c r="I742" s="150"/>
      <c r="J742" s="150">
        <v>24.65</v>
      </c>
      <c r="K742" s="150">
        <f t="shared" si="28"/>
        <v>0</v>
      </c>
      <c r="L742" s="151">
        <f t="shared" si="29"/>
        <v>0</v>
      </c>
      <c r="M742" s="148"/>
    </row>
    <row r="743" spans="1:13" outlineLevel="3">
      <c r="A743" s="148" t="s">
        <v>731</v>
      </c>
      <c r="B743" s="148" t="s">
        <v>880</v>
      </c>
      <c r="C743" s="148" t="s">
        <v>128</v>
      </c>
      <c r="D743" s="148" t="s">
        <v>461</v>
      </c>
      <c r="E743" s="148" t="s">
        <v>883</v>
      </c>
      <c r="F743" s="149">
        <v>45901</v>
      </c>
      <c r="G743" s="150">
        <v>258</v>
      </c>
      <c r="H743" s="150">
        <f t="shared" si="27"/>
        <v>258</v>
      </c>
      <c r="I743" s="150"/>
      <c r="J743" s="150">
        <v>258</v>
      </c>
      <c r="K743" s="150">
        <f t="shared" si="28"/>
        <v>0</v>
      </c>
      <c r="L743" s="151">
        <f t="shared" si="29"/>
        <v>0</v>
      </c>
      <c r="M743" s="148"/>
    </row>
    <row r="744" spans="1:13" outlineLevel="3">
      <c r="A744" s="148" t="s">
        <v>731</v>
      </c>
      <c r="B744" s="148" t="s">
        <v>880</v>
      </c>
      <c r="C744" s="148" t="s">
        <v>131</v>
      </c>
      <c r="D744" s="148" t="s">
        <v>201</v>
      </c>
      <c r="E744" s="148" t="s">
        <v>883</v>
      </c>
      <c r="F744" s="149">
        <v>45901</v>
      </c>
      <c r="G744" s="150">
        <v>494</v>
      </c>
      <c r="H744" s="150">
        <f t="shared" si="27"/>
        <v>494</v>
      </c>
      <c r="I744" s="150"/>
      <c r="J744" s="150">
        <v>416</v>
      </c>
      <c r="K744" s="150">
        <f t="shared" si="28"/>
        <v>78</v>
      </c>
      <c r="L744" s="151">
        <f t="shared" si="29"/>
        <v>0.1875</v>
      </c>
      <c r="M744" s="148"/>
    </row>
    <row r="745" spans="1:13" outlineLevel="3">
      <c r="A745" s="148" t="s">
        <v>731</v>
      </c>
      <c r="B745" s="148" t="s">
        <v>880</v>
      </c>
      <c r="C745" s="148" t="s">
        <v>131</v>
      </c>
      <c r="D745" s="148" t="s">
        <v>237</v>
      </c>
      <c r="E745" s="148" t="s">
        <v>885</v>
      </c>
      <c r="F745" s="149">
        <v>45901</v>
      </c>
      <c r="G745" s="150">
        <v>300</v>
      </c>
      <c r="H745" s="150">
        <f t="shared" si="27"/>
        <v>300</v>
      </c>
      <c r="I745" s="150"/>
      <c r="J745" s="150">
        <v>300</v>
      </c>
      <c r="K745" s="150">
        <f t="shared" si="28"/>
        <v>0</v>
      </c>
      <c r="L745" s="151">
        <f t="shared" si="29"/>
        <v>0</v>
      </c>
      <c r="M745" s="148"/>
    </row>
    <row r="746" spans="1:13" outlineLevel="3">
      <c r="A746" s="148" t="s">
        <v>731</v>
      </c>
      <c r="B746" s="148" t="s">
        <v>880</v>
      </c>
      <c r="C746" s="148" t="s">
        <v>744</v>
      </c>
      <c r="D746" s="148" t="s">
        <v>745</v>
      </c>
      <c r="E746" s="148" t="s">
        <v>886</v>
      </c>
      <c r="F746" s="149">
        <v>45902</v>
      </c>
      <c r="G746" s="150">
        <v>139.68</v>
      </c>
      <c r="H746" s="150">
        <f t="shared" si="27"/>
        <v>139.68</v>
      </c>
      <c r="I746" s="150"/>
      <c r="J746" s="150">
        <v>139.68</v>
      </c>
      <c r="K746" s="150">
        <f t="shared" si="28"/>
        <v>0</v>
      </c>
      <c r="L746" s="151">
        <f t="shared" si="29"/>
        <v>0</v>
      </c>
      <c r="M746" s="148" t="s">
        <v>747</v>
      </c>
    </row>
    <row r="747" spans="1:13" outlineLevel="3">
      <c r="A747" s="148" t="s">
        <v>731</v>
      </c>
      <c r="B747" s="148" t="s">
        <v>880</v>
      </c>
      <c r="C747" s="148" t="s">
        <v>132</v>
      </c>
      <c r="D747" s="148" t="s">
        <v>887</v>
      </c>
      <c r="E747" s="148" t="s">
        <v>883</v>
      </c>
      <c r="F747" s="149">
        <v>45901</v>
      </c>
      <c r="G747" s="150">
        <v>2438.9</v>
      </c>
      <c r="H747" s="150">
        <f t="shared" si="27"/>
        <v>2438.9</v>
      </c>
      <c r="I747" s="150"/>
      <c r="J747" s="150">
        <v>2438.9</v>
      </c>
      <c r="K747" s="150">
        <f t="shared" si="28"/>
        <v>0</v>
      </c>
      <c r="L747" s="151">
        <f t="shared" si="29"/>
        <v>0</v>
      </c>
      <c r="M747" s="148"/>
    </row>
    <row r="748" spans="1:13" outlineLevel="2">
      <c r="A748" s="148"/>
      <c r="B748" s="173" t="s">
        <v>888</v>
      </c>
      <c r="C748" s="148"/>
      <c r="D748" s="148"/>
      <c r="E748" s="148"/>
      <c r="F748" s="149"/>
      <c r="G748" s="150">
        <f>SUBTOTAL(9,G741:G747)</f>
        <v>4217.7300000000005</v>
      </c>
      <c r="H748" s="150">
        <f>SUBTOTAL(9,H741:H747)</f>
        <v>4217.7300000000005</v>
      </c>
      <c r="I748" s="150">
        <f>SUBTOTAL(9,I741:I747)</f>
        <v>0</v>
      </c>
      <c r="J748" s="150">
        <f>SUBTOTAL(9,J741:J747)</f>
        <v>4139.7300000000005</v>
      </c>
      <c r="K748" s="150"/>
      <c r="L748" s="151"/>
      <c r="M748" s="148"/>
    </row>
    <row r="749" spans="1:13" outlineLevel="3">
      <c r="A749" s="148" t="s">
        <v>731</v>
      </c>
      <c r="B749" s="148" t="s">
        <v>889</v>
      </c>
      <c r="C749" s="148" t="s">
        <v>128</v>
      </c>
      <c r="D749" s="148" t="s">
        <v>162</v>
      </c>
      <c r="E749" s="148" t="s">
        <v>890</v>
      </c>
      <c r="F749" s="149">
        <v>45901</v>
      </c>
      <c r="G749" s="150">
        <v>80</v>
      </c>
      <c r="H749" s="150">
        <f t="shared" si="27"/>
        <v>80</v>
      </c>
      <c r="I749" s="150"/>
      <c r="J749" s="150">
        <v>160</v>
      </c>
      <c r="K749" s="150">
        <f t="shared" si="28"/>
        <v>-80</v>
      </c>
      <c r="L749" s="151">
        <f t="shared" si="29"/>
        <v>-0.5</v>
      </c>
      <c r="M749" s="148" t="s">
        <v>891</v>
      </c>
    </row>
    <row r="750" spans="1:13" outlineLevel="3">
      <c r="A750" s="148" t="s">
        <v>731</v>
      </c>
      <c r="B750" s="148" t="s">
        <v>889</v>
      </c>
      <c r="C750" s="148" t="s">
        <v>131</v>
      </c>
      <c r="D750" s="148" t="s">
        <v>237</v>
      </c>
      <c r="E750" s="148" t="s">
        <v>890</v>
      </c>
      <c r="F750" s="149">
        <v>45901</v>
      </c>
      <c r="G750" s="150">
        <v>133</v>
      </c>
      <c r="H750" s="150">
        <f t="shared" si="27"/>
        <v>133</v>
      </c>
      <c r="I750" s="150"/>
      <c r="J750" s="150">
        <v>266</v>
      </c>
      <c r="K750" s="150">
        <f t="shared" si="28"/>
        <v>-133</v>
      </c>
      <c r="L750" s="151">
        <f t="shared" si="29"/>
        <v>-0.5</v>
      </c>
      <c r="M750" s="148" t="s">
        <v>891</v>
      </c>
    </row>
    <row r="751" spans="1:13" outlineLevel="3">
      <c r="A751" s="148" t="s">
        <v>731</v>
      </c>
      <c r="B751" s="148" t="s">
        <v>889</v>
      </c>
      <c r="C751" s="148" t="s">
        <v>132</v>
      </c>
      <c r="D751" s="148" t="s">
        <v>229</v>
      </c>
      <c r="E751" s="148" t="s">
        <v>890</v>
      </c>
      <c r="F751" s="149">
        <v>45901</v>
      </c>
      <c r="G751" s="150">
        <v>1760.67</v>
      </c>
      <c r="H751" s="150">
        <f t="shared" si="27"/>
        <v>1760.67</v>
      </c>
      <c r="I751" s="150"/>
      <c r="J751" s="150">
        <v>3521.34</v>
      </c>
      <c r="K751" s="150">
        <f t="shared" si="28"/>
        <v>-1760.67</v>
      </c>
      <c r="L751" s="151">
        <f t="shared" si="29"/>
        <v>-0.5</v>
      </c>
      <c r="M751" s="148" t="s">
        <v>891</v>
      </c>
    </row>
    <row r="752" spans="1:13" outlineLevel="2">
      <c r="A752" s="148"/>
      <c r="B752" s="173" t="s">
        <v>892</v>
      </c>
      <c r="C752" s="148"/>
      <c r="D752" s="148"/>
      <c r="E752" s="148"/>
      <c r="F752" s="149"/>
      <c r="G752" s="150">
        <f>SUBTOTAL(9,G749:G751)</f>
        <v>1973.67</v>
      </c>
      <c r="H752" s="150">
        <f>SUBTOTAL(9,H749:H751)</f>
        <v>1973.67</v>
      </c>
      <c r="I752" s="150">
        <f>SUBTOTAL(9,I749:I751)</f>
        <v>0</v>
      </c>
      <c r="J752" s="150">
        <f>SUBTOTAL(9,J749:J751)</f>
        <v>3947.34</v>
      </c>
      <c r="K752" s="150"/>
      <c r="L752" s="151"/>
      <c r="M752" s="148"/>
    </row>
    <row r="753" spans="1:13" outlineLevel="3">
      <c r="A753" s="148" t="s">
        <v>731</v>
      </c>
      <c r="B753" s="148" t="s">
        <v>893</v>
      </c>
      <c r="C753" s="148" t="s">
        <v>128</v>
      </c>
      <c r="D753" s="148" t="s">
        <v>128</v>
      </c>
      <c r="E753" s="148" t="s">
        <v>894</v>
      </c>
      <c r="F753" s="149">
        <v>45901</v>
      </c>
      <c r="G753" s="150">
        <v>262</v>
      </c>
      <c r="H753" s="150">
        <f t="shared" si="27"/>
        <v>262</v>
      </c>
      <c r="I753" s="150"/>
      <c r="J753" s="150">
        <v>262</v>
      </c>
      <c r="K753" s="150">
        <f t="shared" si="28"/>
        <v>0</v>
      </c>
      <c r="L753" s="151">
        <f t="shared" si="29"/>
        <v>0</v>
      </c>
      <c r="M753" s="148"/>
    </row>
    <row r="754" spans="1:13" outlineLevel="2">
      <c r="A754" s="148"/>
      <c r="B754" s="173" t="s">
        <v>895</v>
      </c>
      <c r="C754" s="148"/>
      <c r="D754" s="148"/>
      <c r="E754" s="148"/>
      <c r="F754" s="149"/>
      <c r="G754" s="150">
        <f>SUBTOTAL(9,G753:G753)</f>
        <v>262</v>
      </c>
      <c r="H754" s="150">
        <f>SUBTOTAL(9,H753:H753)</f>
        <v>262</v>
      </c>
      <c r="I754" s="150">
        <f>SUBTOTAL(9,I753:I753)</f>
        <v>0</v>
      </c>
      <c r="J754" s="150">
        <f>SUBTOTAL(9,J753:J753)</f>
        <v>262</v>
      </c>
      <c r="K754" s="150"/>
      <c r="L754" s="151"/>
      <c r="M754" s="148"/>
    </row>
    <row r="755" spans="1:13" outlineLevel="3">
      <c r="A755" s="148" t="s">
        <v>731</v>
      </c>
      <c r="B755" s="148" t="s">
        <v>896</v>
      </c>
      <c r="C755" s="148" t="s">
        <v>740</v>
      </c>
      <c r="D755" s="148" t="s">
        <v>741</v>
      </c>
      <c r="E755" s="148" t="s">
        <v>897</v>
      </c>
      <c r="F755" s="149">
        <v>45901</v>
      </c>
      <c r="G755" s="150">
        <v>365.7</v>
      </c>
      <c r="H755" s="150">
        <f t="shared" si="27"/>
        <v>365.7</v>
      </c>
      <c r="I755" s="150"/>
      <c r="J755" s="150">
        <v>365.7</v>
      </c>
      <c r="K755" s="150">
        <f t="shared" si="28"/>
        <v>0</v>
      </c>
      <c r="L755" s="151">
        <f t="shared" si="29"/>
        <v>0</v>
      </c>
      <c r="M755" s="148"/>
    </row>
    <row r="756" spans="1:13" outlineLevel="3">
      <c r="A756" s="148" t="s">
        <v>731</v>
      </c>
      <c r="B756" s="148" t="s">
        <v>896</v>
      </c>
      <c r="C756" s="148" t="s">
        <v>744</v>
      </c>
      <c r="D756" s="148" t="s">
        <v>745</v>
      </c>
      <c r="E756" s="148" t="s">
        <v>898</v>
      </c>
      <c r="F756" s="149">
        <v>45902</v>
      </c>
      <c r="G756" s="150">
        <v>365.7</v>
      </c>
      <c r="H756" s="150">
        <f t="shared" si="27"/>
        <v>365.7</v>
      </c>
      <c r="I756" s="150"/>
      <c r="J756" s="150">
        <v>365.7</v>
      </c>
      <c r="K756" s="150">
        <f t="shared" si="28"/>
        <v>0</v>
      </c>
      <c r="L756" s="151">
        <f t="shared" si="29"/>
        <v>0</v>
      </c>
      <c r="M756" s="148" t="s">
        <v>747</v>
      </c>
    </row>
    <row r="757" spans="1:13" outlineLevel="2">
      <c r="A757" s="148"/>
      <c r="B757" s="173" t="s">
        <v>899</v>
      </c>
      <c r="C757" s="148"/>
      <c r="D757" s="148"/>
      <c r="E757" s="148"/>
      <c r="F757" s="149"/>
      <c r="G757" s="150">
        <f>SUBTOTAL(9,G755:G756)</f>
        <v>731.4</v>
      </c>
      <c r="H757" s="150">
        <f>SUBTOTAL(9,H755:H756)</f>
        <v>731.4</v>
      </c>
      <c r="I757" s="150">
        <f>SUBTOTAL(9,I755:I756)</f>
        <v>0</v>
      </c>
      <c r="J757" s="150">
        <f>SUBTOTAL(9,J755:J756)</f>
        <v>731.4</v>
      </c>
      <c r="K757" s="150"/>
      <c r="L757" s="151"/>
      <c r="M757" s="148"/>
    </row>
    <row r="758" spans="1:13" outlineLevel="3">
      <c r="A758" s="148" t="s">
        <v>731</v>
      </c>
      <c r="B758" s="148" t="s">
        <v>900</v>
      </c>
      <c r="C758" s="148" t="s">
        <v>128</v>
      </c>
      <c r="D758" s="148" t="s">
        <v>128</v>
      </c>
      <c r="E758" s="148" t="s">
        <v>901</v>
      </c>
      <c r="F758" s="149">
        <v>45901</v>
      </c>
      <c r="G758" s="150">
        <v>556.51</v>
      </c>
      <c r="H758" s="150">
        <f t="shared" si="27"/>
        <v>556.51</v>
      </c>
      <c r="I758" s="150"/>
      <c r="J758" s="150">
        <v>708.22080000000005</v>
      </c>
      <c r="K758" s="150">
        <f t="shared" si="28"/>
        <v>-151.71080000000006</v>
      </c>
      <c r="L758" s="151">
        <f t="shared" si="29"/>
        <v>-0.21421398524302032</v>
      </c>
      <c r="M758" s="148" t="s">
        <v>902</v>
      </c>
    </row>
    <row r="759" spans="1:13" outlineLevel="3">
      <c r="A759" s="148" t="s">
        <v>731</v>
      </c>
      <c r="B759" s="148" t="s">
        <v>900</v>
      </c>
      <c r="C759" s="148" t="s">
        <v>131</v>
      </c>
      <c r="D759" s="148" t="s">
        <v>903</v>
      </c>
      <c r="E759" s="148" t="s">
        <v>904</v>
      </c>
      <c r="F759" s="149">
        <v>45901</v>
      </c>
      <c r="G759" s="150">
        <v>1081.5</v>
      </c>
      <c r="H759" s="150">
        <f t="shared" si="27"/>
        <v>1081.5</v>
      </c>
      <c r="I759" s="150"/>
      <c r="J759" s="150">
        <v>1068</v>
      </c>
      <c r="K759" s="150">
        <f t="shared" si="28"/>
        <v>13.5</v>
      </c>
      <c r="L759" s="151">
        <f t="shared" si="29"/>
        <v>1.2640449438202247E-2</v>
      </c>
      <c r="M759" s="148"/>
    </row>
    <row r="760" spans="1:13" outlineLevel="3">
      <c r="A760" s="148" t="s">
        <v>731</v>
      </c>
      <c r="B760" s="148" t="s">
        <v>900</v>
      </c>
      <c r="C760" s="148" t="s">
        <v>132</v>
      </c>
      <c r="D760" s="148" t="s">
        <v>905</v>
      </c>
      <c r="E760" s="148" t="s">
        <v>906</v>
      </c>
      <c r="F760" s="149">
        <v>45901</v>
      </c>
      <c r="G760" s="150">
        <v>5424.97</v>
      </c>
      <c r="H760" s="150">
        <f t="shared" si="27"/>
        <v>5424.97</v>
      </c>
      <c r="I760" s="150"/>
      <c r="J760" s="150">
        <v>5424.97</v>
      </c>
      <c r="K760" s="150">
        <f t="shared" si="28"/>
        <v>0</v>
      </c>
      <c r="L760" s="151">
        <f t="shared" si="29"/>
        <v>0</v>
      </c>
      <c r="M760" s="148"/>
    </row>
    <row r="761" spans="1:13" outlineLevel="2">
      <c r="A761" s="148"/>
      <c r="B761" s="173" t="s">
        <v>907</v>
      </c>
      <c r="C761" s="148"/>
      <c r="D761" s="148"/>
      <c r="E761" s="148"/>
      <c r="F761" s="149"/>
      <c r="G761" s="150">
        <f>SUBTOTAL(9,G758:G760)</f>
        <v>7062.9800000000005</v>
      </c>
      <c r="H761" s="150">
        <f>SUBTOTAL(9,H758:H760)</f>
        <v>7062.9800000000005</v>
      </c>
      <c r="I761" s="150">
        <f>SUBTOTAL(9,I758:I760)</f>
        <v>0</v>
      </c>
      <c r="J761" s="150">
        <f>SUBTOTAL(9,J758:J760)</f>
        <v>7201.1908000000003</v>
      </c>
      <c r="K761" s="150"/>
      <c r="L761" s="151"/>
      <c r="M761" s="148"/>
    </row>
    <row r="762" spans="1:13" outlineLevel="3">
      <c r="A762" s="148" t="s">
        <v>731</v>
      </c>
      <c r="B762" s="148" t="s">
        <v>908</v>
      </c>
      <c r="C762" s="148" t="s">
        <v>740</v>
      </c>
      <c r="D762" s="148" t="s">
        <v>741</v>
      </c>
      <c r="E762" s="148" t="s">
        <v>909</v>
      </c>
      <c r="F762" s="149">
        <v>45901</v>
      </c>
      <c r="G762" s="150">
        <v>44.89</v>
      </c>
      <c r="H762" s="150">
        <f t="shared" si="27"/>
        <v>44.89</v>
      </c>
      <c r="I762" s="150"/>
      <c r="J762" s="150">
        <v>44.89</v>
      </c>
      <c r="K762" s="150">
        <f t="shared" si="28"/>
        <v>0</v>
      </c>
      <c r="L762" s="151">
        <f t="shared" si="29"/>
        <v>0</v>
      </c>
      <c r="M762" s="148"/>
    </row>
    <row r="763" spans="1:13" outlineLevel="3">
      <c r="A763" s="148" t="s">
        <v>731</v>
      </c>
      <c r="B763" s="148" t="s">
        <v>908</v>
      </c>
      <c r="C763" s="148" t="s">
        <v>128</v>
      </c>
      <c r="D763" s="148" t="s">
        <v>461</v>
      </c>
      <c r="E763" s="148" t="s">
        <v>910</v>
      </c>
      <c r="F763" s="149">
        <v>45901</v>
      </c>
      <c r="G763" s="150">
        <v>2.6088</v>
      </c>
      <c r="H763" s="150">
        <f t="shared" si="27"/>
        <v>2.6088</v>
      </c>
      <c r="I763" s="150"/>
      <c r="J763" s="150">
        <v>2.6088</v>
      </c>
      <c r="K763" s="150">
        <f t="shared" si="28"/>
        <v>0</v>
      </c>
      <c r="L763" s="151">
        <f t="shared" si="29"/>
        <v>0</v>
      </c>
      <c r="M763" s="148"/>
    </row>
    <row r="764" spans="1:13" outlineLevel="3">
      <c r="A764" s="148" t="s">
        <v>731</v>
      </c>
      <c r="B764" s="148" t="s">
        <v>908</v>
      </c>
      <c r="C764" s="148" t="s">
        <v>131</v>
      </c>
      <c r="D764" s="148" t="s">
        <v>201</v>
      </c>
      <c r="E764" s="148" t="s">
        <v>910</v>
      </c>
      <c r="F764" s="149">
        <v>45901</v>
      </c>
      <c r="G764" s="150">
        <v>308</v>
      </c>
      <c r="H764" s="150">
        <f t="shared" si="27"/>
        <v>308</v>
      </c>
      <c r="I764" s="150"/>
      <c r="J764" s="150">
        <v>287</v>
      </c>
      <c r="K764" s="150">
        <f t="shared" si="28"/>
        <v>21</v>
      </c>
      <c r="L764" s="151">
        <f t="shared" si="29"/>
        <v>7.3170731707317069E-2</v>
      </c>
      <c r="M764" s="148"/>
    </row>
    <row r="765" spans="1:13" outlineLevel="3">
      <c r="A765" s="148" t="s">
        <v>731</v>
      </c>
      <c r="B765" s="148" t="s">
        <v>908</v>
      </c>
      <c r="C765" s="148" t="s">
        <v>744</v>
      </c>
      <c r="D765" s="148" t="s">
        <v>745</v>
      </c>
      <c r="E765" s="148" t="s">
        <v>911</v>
      </c>
      <c r="F765" s="149">
        <v>45902</v>
      </c>
      <c r="G765" s="150">
        <v>254.41</v>
      </c>
      <c r="H765" s="150">
        <f t="shared" si="27"/>
        <v>254.41</v>
      </c>
      <c r="I765" s="150"/>
      <c r="J765" s="150">
        <v>254.41</v>
      </c>
      <c r="K765" s="150">
        <f t="shared" si="28"/>
        <v>0</v>
      </c>
      <c r="L765" s="151">
        <f t="shared" si="29"/>
        <v>0</v>
      </c>
      <c r="M765" s="148" t="s">
        <v>747</v>
      </c>
    </row>
    <row r="766" spans="1:13" outlineLevel="3">
      <c r="A766" s="148" t="s">
        <v>731</v>
      </c>
      <c r="B766" s="148" t="s">
        <v>908</v>
      </c>
      <c r="C766" s="148" t="s">
        <v>132</v>
      </c>
      <c r="D766" s="148" t="s">
        <v>887</v>
      </c>
      <c r="E766" s="148" t="s">
        <v>910</v>
      </c>
      <c r="F766" s="149">
        <v>45901</v>
      </c>
      <c r="G766" s="150">
        <v>3220.2312000000002</v>
      </c>
      <c r="H766" s="150">
        <f t="shared" si="27"/>
        <v>3220.2312000000002</v>
      </c>
      <c r="I766" s="150"/>
      <c r="J766" s="150">
        <v>3220.2312000000002</v>
      </c>
      <c r="K766" s="150">
        <f t="shared" si="28"/>
        <v>0</v>
      </c>
      <c r="L766" s="151">
        <f t="shared" si="29"/>
        <v>0</v>
      </c>
      <c r="M766" s="148"/>
    </row>
    <row r="767" spans="1:13" outlineLevel="2">
      <c r="A767" s="148"/>
      <c r="B767" s="173" t="s">
        <v>912</v>
      </c>
      <c r="C767" s="148"/>
      <c r="D767" s="148"/>
      <c r="E767" s="148"/>
      <c r="F767" s="149"/>
      <c r="G767" s="150">
        <f>SUBTOTAL(9,G762:G766)</f>
        <v>3830.1400000000003</v>
      </c>
      <c r="H767" s="150">
        <f>SUBTOTAL(9,H762:H766)</f>
        <v>3830.1400000000003</v>
      </c>
      <c r="I767" s="150">
        <f>SUBTOTAL(9,I762:I766)</f>
        <v>0</v>
      </c>
      <c r="J767" s="150">
        <f>SUBTOTAL(9,J762:J766)</f>
        <v>3809.1400000000003</v>
      </c>
      <c r="K767" s="150"/>
      <c r="L767" s="151"/>
      <c r="M767" s="148"/>
    </row>
    <row r="768" spans="1:13" outlineLevel="3">
      <c r="A768" s="148" t="s">
        <v>731</v>
      </c>
      <c r="B768" s="148" t="s">
        <v>913</v>
      </c>
      <c r="C768" s="148" t="s">
        <v>128</v>
      </c>
      <c r="D768" s="148" t="s">
        <v>914</v>
      </c>
      <c r="E768" s="148" t="s">
        <v>915</v>
      </c>
      <c r="F768" s="149">
        <v>45901</v>
      </c>
      <c r="G768" s="150">
        <v>1.7927999999999999</v>
      </c>
      <c r="H768" s="150">
        <f t="shared" si="27"/>
        <v>1.7927999999999999</v>
      </c>
      <c r="I768" s="150"/>
      <c r="J768" s="150">
        <v>1.7927999999999999</v>
      </c>
      <c r="K768" s="150">
        <f t="shared" si="28"/>
        <v>0</v>
      </c>
      <c r="L768" s="151">
        <f t="shared" si="29"/>
        <v>0</v>
      </c>
      <c r="M768" s="148"/>
    </row>
    <row r="769" spans="1:13" outlineLevel="3">
      <c r="A769" s="148" t="s">
        <v>731</v>
      </c>
      <c r="B769" s="148" t="s">
        <v>913</v>
      </c>
      <c r="C769" s="148" t="s">
        <v>131</v>
      </c>
      <c r="D769" s="148" t="s">
        <v>131</v>
      </c>
      <c r="E769" s="148" t="s">
        <v>915</v>
      </c>
      <c r="F769" s="149">
        <v>45901</v>
      </c>
      <c r="G769" s="150">
        <v>641</v>
      </c>
      <c r="H769" s="150">
        <f t="shared" si="27"/>
        <v>641</v>
      </c>
      <c r="I769" s="150"/>
      <c r="J769" s="150">
        <v>648</v>
      </c>
      <c r="K769" s="150">
        <f t="shared" si="28"/>
        <v>-7</v>
      </c>
      <c r="L769" s="151">
        <f t="shared" si="29"/>
        <v>-1.0802469135802469E-2</v>
      </c>
      <c r="M769" s="148" t="s">
        <v>177</v>
      </c>
    </row>
    <row r="770" spans="1:13" outlineLevel="3">
      <c r="A770" s="148" t="s">
        <v>731</v>
      </c>
      <c r="B770" s="148" t="s">
        <v>913</v>
      </c>
      <c r="C770" s="148" t="s">
        <v>132</v>
      </c>
      <c r="D770" s="148" t="s">
        <v>132</v>
      </c>
      <c r="E770" s="148" t="s">
        <v>915</v>
      </c>
      <c r="F770" s="149">
        <v>45901</v>
      </c>
      <c r="G770" s="150">
        <v>1916.5</v>
      </c>
      <c r="H770" s="150">
        <f t="shared" si="27"/>
        <v>1916.5</v>
      </c>
      <c r="I770" s="150"/>
      <c r="J770" s="150">
        <v>1916.5</v>
      </c>
      <c r="K770" s="150">
        <f t="shared" si="28"/>
        <v>0</v>
      </c>
      <c r="L770" s="151">
        <f t="shared" si="29"/>
        <v>0</v>
      </c>
      <c r="M770" s="148"/>
    </row>
    <row r="771" spans="1:13" outlineLevel="2">
      <c r="A771" s="148"/>
      <c r="B771" s="173" t="s">
        <v>916</v>
      </c>
      <c r="C771" s="148"/>
      <c r="D771" s="148"/>
      <c r="E771" s="148"/>
      <c r="F771" s="149"/>
      <c r="G771" s="150">
        <f>SUBTOTAL(9,G768:G770)</f>
        <v>2559.2928000000002</v>
      </c>
      <c r="H771" s="150">
        <f>SUBTOTAL(9,H768:H770)</f>
        <v>2559.2928000000002</v>
      </c>
      <c r="I771" s="150">
        <f>SUBTOTAL(9,I768:I770)</f>
        <v>0</v>
      </c>
      <c r="J771" s="150">
        <f>SUBTOTAL(9,J768:J770)</f>
        <v>2566.2928000000002</v>
      </c>
      <c r="K771" s="150"/>
      <c r="L771" s="151"/>
      <c r="M771" s="148"/>
    </row>
    <row r="772" spans="1:13" outlineLevel="3">
      <c r="A772" s="148" t="s">
        <v>731</v>
      </c>
      <c r="B772" s="148" t="s">
        <v>917</v>
      </c>
      <c r="C772" s="148" t="s">
        <v>740</v>
      </c>
      <c r="D772" s="148" t="s">
        <v>741</v>
      </c>
      <c r="E772" s="148" t="s">
        <v>918</v>
      </c>
      <c r="F772" s="149">
        <v>45901</v>
      </c>
      <c r="G772" s="150">
        <v>21.6</v>
      </c>
      <c r="H772" s="150">
        <f t="shared" si="27"/>
        <v>21.6</v>
      </c>
      <c r="I772" s="150"/>
      <c r="J772" s="150">
        <v>21.6</v>
      </c>
      <c r="K772" s="150">
        <f t="shared" si="28"/>
        <v>0</v>
      </c>
      <c r="L772" s="151">
        <f t="shared" si="29"/>
        <v>0</v>
      </c>
      <c r="M772" s="148"/>
    </row>
    <row r="773" spans="1:13" outlineLevel="3">
      <c r="A773" s="148" t="s">
        <v>731</v>
      </c>
      <c r="B773" s="148" t="s">
        <v>917</v>
      </c>
      <c r="C773" s="148" t="s">
        <v>128</v>
      </c>
      <c r="D773" s="148" t="s">
        <v>357</v>
      </c>
      <c r="E773" s="148" t="s">
        <v>919</v>
      </c>
      <c r="F773" s="149">
        <v>45901</v>
      </c>
      <c r="G773" s="150">
        <v>65.3</v>
      </c>
      <c r="H773" s="150">
        <f t="shared" si="27"/>
        <v>65.3</v>
      </c>
      <c r="I773" s="150"/>
      <c r="J773" s="150">
        <v>65.3</v>
      </c>
      <c r="K773" s="150">
        <f t="shared" si="28"/>
        <v>0</v>
      </c>
      <c r="L773" s="151">
        <f t="shared" si="29"/>
        <v>0</v>
      </c>
      <c r="M773" s="148"/>
    </row>
    <row r="774" spans="1:13" outlineLevel="3">
      <c r="A774" s="148" t="s">
        <v>731</v>
      </c>
      <c r="B774" s="148" t="s">
        <v>917</v>
      </c>
      <c r="C774" s="148" t="s">
        <v>131</v>
      </c>
      <c r="D774" s="148" t="s">
        <v>358</v>
      </c>
      <c r="E774" s="148" t="s">
        <v>919</v>
      </c>
      <c r="F774" s="149">
        <v>45901</v>
      </c>
      <c r="G774" s="150">
        <v>210</v>
      </c>
      <c r="H774" s="150">
        <f t="shared" si="27"/>
        <v>210</v>
      </c>
      <c r="I774" s="150"/>
      <c r="J774" s="150">
        <v>196</v>
      </c>
      <c r="K774" s="150">
        <f t="shared" si="28"/>
        <v>14</v>
      </c>
      <c r="L774" s="151">
        <f t="shared" si="29"/>
        <v>7.1428571428571425E-2</v>
      </c>
      <c r="M774" s="148"/>
    </row>
    <row r="775" spans="1:13" outlineLevel="3">
      <c r="A775" s="148" t="s">
        <v>731</v>
      </c>
      <c r="B775" s="148" t="s">
        <v>917</v>
      </c>
      <c r="C775" s="148" t="s">
        <v>744</v>
      </c>
      <c r="D775" s="148" t="s">
        <v>745</v>
      </c>
      <c r="E775" s="148" t="s">
        <v>920</v>
      </c>
      <c r="F775" s="149">
        <v>45902</v>
      </c>
      <c r="G775" s="150">
        <v>122.43</v>
      </c>
      <c r="H775" s="150">
        <f t="shared" si="27"/>
        <v>122.43</v>
      </c>
      <c r="I775" s="150"/>
      <c r="J775" s="150">
        <v>122.43</v>
      </c>
      <c r="K775" s="150">
        <f t="shared" si="28"/>
        <v>0</v>
      </c>
      <c r="L775" s="151">
        <f t="shared" si="29"/>
        <v>0</v>
      </c>
      <c r="M775" s="148" t="s">
        <v>747</v>
      </c>
    </row>
    <row r="776" spans="1:13" outlineLevel="3">
      <c r="A776" s="148" t="s">
        <v>731</v>
      </c>
      <c r="B776" s="148" t="s">
        <v>917</v>
      </c>
      <c r="C776" s="148" t="s">
        <v>132</v>
      </c>
      <c r="D776" s="148" t="s">
        <v>359</v>
      </c>
      <c r="E776" s="148" t="s">
        <v>919</v>
      </c>
      <c r="F776" s="149">
        <v>45901</v>
      </c>
      <c r="G776" s="150">
        <v>1974.5</v>
      </c>
      <c r="H776" s="150">
        <f t="shared" si="27"/>
        <v>1974.5</v>
      </c>
      <c r="I776" s="150"/>
      <c r="J776" s="150">
        <v>1974.5</v>
      </c>
      <c r="K776" s="150">
        <f t="shared" si="28"/>
        <v>0</v>
      </c>
      <c r="L776" s="151">
        <f t="shared" si="29"/>
        <v>0</v>
      </c>
      <c r="M776" s="148"/>
    </row>
    <row r="777" spans="1:13" outlineLevel="2">
      <c r="A777" s="148"/>
      <c r="B777" s="173" t="s">
        <v>921</v>
      </c>
      <c r="C777" s="148"/>
      <c r="D777" s="148"/>
      <c r="E777" s="148"/>
      <c r="F777" s="149"/>
      <c r="G777" s="150">
        <f>SUBTOTAL(9,G772:G776)</f>
        <v>2393.83</v>
      </c>
      <c r="H777" s="150">
        <f>SUBTOTAL(9,H772:H776)</f>
        <v>2393.83</v>
      </c>
      <c r="I777" s="150">
        <f>SUBTOTAL(9,I772:I776)</f>
        <v>0</v>
      </c>
      <c r="J777" s="150">
        <f>SUBTOTAL(9,J772:J776)</f>
        <v>2379.83</v>
      </c>
      <c r="K777" s="150"/>
      <c r="L777" s="151"/>
      <c r="M777" s="148"/>
    </row>
    <row r="778" spans="1:13" outlineLevel="3">
      <c r="A778" s="148" t="s">
        <v>731</v>
      </c>
      <c r="B778" s="148" t="s">
        <v>922</v>
      </c>
      <c r="C778" s="148" t="s">
        <v>128</v>
      </c>
      <c r="D778" s="148" t="s">
        <v>923</v>
      </c>
      <c r="E778" s="148" t="s">
        <v>924</v>
      </c>
      <c r="F778" s="149">
        <v>45901</v>
      </c>
      <c r="G778" s="150">
        <v>1718.1</v>
      </c>
      <c r="H778" s="150">
        <f t="shared" si="27"/>
        <v>1718.1</v>
      </c>
      <c r="I778" s="150"/>
      <c r="J778" s="150">
        <v>1718.1</v>
      </c>
      <c r="K778" s="150">
        <f t="shared" si="28"/>
        <v>0</v>
      </c>
      <c r="L778" s="151">
        <f t="shared" si="29"/>
        <v>0</v>
      </c>
      <c r="M778" s="148"/>
    </row>
    <row r="779" spans="1:13" outlineLevel="2">
      <c r="A779" s="148"/>
      <c r="B779" s="173" t="s">
        <v>925</v>
      </c>
      <c r="C779" s="148"/>
      <c r="D779" s="148"/>
      <c r="E779" s="148"/>
      <c r="F779" s="149"/>
      <c r="G779" s="150">
        <f>SUBTOTAL(9,G778:G778)</f>
        <v>1718.1</v>
      </c>
      <c r="H779" s="150">
        <f>SUBTOTAL(9,H778:H778)</f>
        <v>1718.1</v>
      </c>
      <c r="I779" s="150">
        <f>SUBTOTAL(9,I778:I778)</f>
        <v>0</v>
      </c>
      <c r="J779" s="150">
        <f>SUBTOTAL(9,J778:J778)</f>
        <v>1718.1</v>
      </c>
      <c r="K779" s="150"/>
      <c r="L779" s="151"/>
      <c r="M779" s="148"/>
    </row>
    <row r="780" spans="1:13" outlineLevel="3">
      <c r="A780" s="148" t="s">
        <v>731</v>
      </c>
      <c r="B780" s="148" t="s">
        <v>926</v>
      </c>
      <c r="C780" s="148" t="s">
        <v>128</v>
      </c>
      <c r="D780" s="148" t="s">
        <v>162</v>
      </c>
      <c r="E780" s="148" t="s">
        <v>927</v>
      </c>
      <c r="F780" s="149">
        <v>45901</v>
      </c>
      <c r="G780" s="150">
        <v>47.325000000000003</v>
      </c>
      <c r="H780" s="150">
        <f t="shared" si="27"/>
        <v>47.325000000000003</v>
      </c>
      <c r="I780" s="150"/>
      <c r="J780" s="150">
        <v>46.736999999999995</v>
      </c>
      <c r="K780" s="150">
        <f t="shared" si="28"/>
        <v>0.58800000000000807</v>
      </c>
      <c r="L780" s="151">
        <f t="shared" si="29"/>
        <v>1.2581038577572546E-2</v>
      </c>
      <c r="M780" s="148"/>
    </row>
    <row r="781" spans="1:13" outlineLevel="3">
      <c r="A781" s="148" t="s">
        <v>731</v>
      </c>
      <c r="B781" s="148" t="s">
        <v>926</v>
      </c>
      <c r="C781" s="148" t="s">
        <v>131</v>
      </c>
      <c r="D781" s="148" t="s">
        <v>237</v>
      </c>
      <c r="E781" s="148" t="s">
        <v>927</v>
      </c>
      <c r="F781" s="149">
        <v>45901</v>
      </c>
      <c r="G781" s="150">
        <v>98</v>
      </c>
      <c r="H781" s="150">
        <f t="shared" si="27"/>
        <v>98</v>
      </c>
      <c r="I781" s="150"/>
      <c r="J781" s="150">
        <v>84</v>
      </c>
      <c r="K781" s="150">
        <f t="shared" si="28"/>
        <v>14</v>
      </c>
      <c r="L781" s="151">
        <f t="shared" si="29"/>
        <v>0.16666666666666666</v>
      </c>
      <c r="M781" s="148"/>
    </row>
    <row r="782" spans="1:13" outlineLevel="3">
      <c r="A782" s="148" t="s">
        <v>731</v>
      </c>
      <c r="B782" s="148" t="s">
        <v>926</v>
      </c>
      <c r="C782" s="148" t="s">
        <v>132</v>
      </c>
      <c r="D782" s="148" t="s">
        <v>229</v>
      </c>
      <c r="E782" s="148" t="s">
        <v>927</v>
      </c>
      <c r="F782" s="149">
        <v>45901</v>
      </c>
      <c r="G782" s="150">
        <v>1125.0050000000001</v>
      </c>
      <c r="H782" s="150">
        <f t="shared" si="27"/>
        <v>1125.0050000000001</v>
      </c>
      <c r="I782" s="150"/>
      <c r="J782" s="150">
        <v>1125</v>
      </c>
      <c r="K782" s="150">
        <f t="shared" si="28"/>
        <v>5.0000000001091394E-3</v>
      </c>
      <c r="L782" s="151">
        <f t="shared" si="29"/>
        <v>4.4444444445414574E-6</v>
      </c>
      <c r="M782" s="148"/>
    </row>
    <row r="783" spans="1:13" outlineLevel="2">
      <c r="A783" s="148"/>
      <c r="B783" s="173" t="s">
        <v>928</v>
      </c>
      <c r="C783" s="148"/>
      <c r="D783" s="148"/>
      <c r="E783" s="148"/>
      <c r="F783" s="149"/>
      <c r="G783" s="150">
        <f>SUBTOTAL(9,G780:G782)</f>
        <v>1270.3300000000002</v>
      </c>
      <c r="H783" s="150">
        <f>SUBTOTAL(9,H780:H782)</f>
        <v>1270.3300000000002</v>
      </c>
      <c r="I783" s="150">
        <f>SUBTOTAL(9,I780:I782)</f>
        <v>0</v>
      </c>
      <c r="J783" s="150">
        <f>SUBTOTAL(9,J780:J782)</f>
        <v>1255.7370000000001</v>
      </c>
      <c r="K783" s="150"/>
      <c r="L783" s="151"/>
      <c r="M783" s="148"/>
    </row>
    <row r="784" spans="1:13" outlineLevel="3">
      <c r="A784" s="148" t="s">
        <v>731</v>
      </c>
      <c r="B784" s="148" t="s">
        <v>929</v>
      </c>
      <c r="C784" s="148" t="s">
        <v>740</v>
      </c>
      <c r="D784" s="148" t="s">
        <v>741</v>
      </c>
      <c r="E784" s="148" t="s">
        <v>930</v>
      </c>
      <c r="F784" s="149">
        <v>45901</v>
      </c>
      <c r="G784" s="150">
        <v>100.5</v>
      </c>
      <c r="H784" s="150">
        <f t="shared" si="27"/>
        <v>100.5</v>
      </c>
      <c r="I784" s="150"/>
      <c r="J784" s="150">
        <v>100.5</v>
      </c>
      <c r="K784" s="150">
        <f t="shared" si="28"/>
        <v>0</v>
      </c>
      <c r="L784" s="151">
        <f t="shared" si="29"/>
        <v>0</v>
      </c>
      <c r="M784" s="148"/>
    </row>
    <row r="785" spans="1:13" outlineLevel="3">
      <c r="A785" s="148" t="s">
        <v>731</v>
      </c>
      <c r="B785" s="148" t="s">
        <v>929</v>
      </c>
      <c r="C785" s="148" t="s">
        <v>128</v>
      </c>
      <c r="D785" s="148" t="s">
        <v>931</v>
      </c>
      <c r="E785" s="148" t="s">
        <v>932</v>
      </c>
      <c r="F785" s="149">
        <v>45901</v>
      </c>
      <c r="G785" s="150">
        <v>118.0776</v>
      </c>
      <c r="H785" s="150">
        <f t="shared" si="27"/>
        <v>118.0776</v>
      </c>
      <c r="I785" s="150"/>
      <c r="J785" s="150">
        <v>117.5568</v>
      </c>
      <c r="K785" s="150">
        <f t="shared" si="28"/>
        <v>0.52080000000000837</v>
      </c>
      <c r="L785" s="151">
        <f t="shared" si="29"/>
        <v>4.4301988485566839E-3</v>
      </c>
      <c r="M785" s="148"/>
    </row>
    <row r="786" spans="1:13" outlineLevel="3">
      <c r="A786" s="148" t="s">
        <v>731</v>
      </c>
      <c r="B786" s="148" t="s">
        <v>929</v>
      </c>
      <c r="C786" s="148" t="s">
        <v>744</v>
      </c>
      <c r="D786" s="148" t="s">
        <v>745</v>
      </c>
      <c r="E786" s="148" t="s">
        <v>933</v>
      </c>
      <c r="F786" s="149">
        <v>45902</v>
      </c>
      <c r="G786" s="150">
        <v>569.5</v>
      </c>
      <c r="H786" s="150">
        <f t="shared" si="27"/>
        <v>569.5</v>
      </c>
      <c r="I786" s="150"/>
      <c r="J786" s="150">
        <v>569.5</v>
      </c>
      <c r="K786" s="150">
        <f t="shared" si="28"/>
        <v>0</v>
      </c>
      <c r="L786" s="151">
        <f t="shared" si="29"/>
        <v>0</v>
      </c>
      <c r="M786" s="148" t="s">
        <v>747</v>
      </c>
    </row>
    <row r="787" spans="1:13" outlineLevel="3">
      <c r="A787" s="148" t="s">
        <v>731</v>
      </c>
      <c r="B787" s="148" t="s">
        <v>929</v>
      </c>
      <c r="C787" s="148" t="s">
        <v>132</v>
      </c>
      <c r="D787" s="148" t="s">
        <v>132</v>
      </c>
      <c r="E787" s="148" t="s">
        <v>932</v>
      </c>
      <c r="F787" s="149">
        <v>45901</v>
      </c>
      <c r="G787" s="150">
        <v>149.00239999999999</v>
      </c>
      <c r="H787" s="150">
        <f t="shared" si="27"/>
        <v>149.00239999999999</v>
      </c>
      <c r="I787" s="150"/>
      <c r="J787" s="150">
        <v>149.00319999999999</v>
      </c>
      <c r="K787" s="150">
        <f t="shared" si="28"/>
        <v>-7.9999999999813554E-4</v>
      </c>
      <c r="L787" s="151">
        <f t="shared" si="29"/>
        <v>-5.3690122091212505E-6</v>
      </c>
      <c r="M787" s="148"/>
    </row>
    <row r="788" spans="1:13" outlineLevel="2">
      <c r="A788" s="148"/>
      <c r="B788" s="173" t="s">
        <v>934</v>
      </c>
      <c r="C788" s="148"/>
      <c r="D788" s="148"/>
      <c r="E788" s="148"/>
      <c r="F788" s="149"/>
      <c r="G788" s="150">
        <f>SUBTOTAL(9,G784:G787)</f>
        <v>937.08</v>
      </c>
      <c r="H788" s="150">
        <f>SUBTOTAL(9,H784:H787)</f>
        <v>937.08</v>
      </c>
      <c r="I788" s="150">
        <f>SUBTOTAL(9,I784:I787)</f>
        <v>0</v>
      </c>
      <c r="J788" s="150">
        <f>SUBTOTAL(9,J784:J787)</f>
        <v>936.56000000000006</v>
      </c>
      <c r="K788" s="150"/>
      <c r="L788" s="151"/>
      <c r="M788" s="148"/>
    </row>
    <row r="789" spans="1:13" outlineLevel="3">
      <c r="A789" s="148" t="s">
        <v>731</v>
      </c>
      <c r="B789" s="148" t="s">
        <v>935</v>
      </c>
      <c r="C789" s="148" t="s">
        <v>132</v>
      </c>
      <c r="D789" s="148" t="s">
        <v>936</v>
      </c>
      <c r="E789" s="148" t="s">
        <v>937</v>
      </c>
      <c r="F789" s="149">
        <v>45901</v>
      </c>
      <c r="G789" s="150">
        <v>544</v>
      </c>
      <c r="H789" s="150">
        <f t="shared" ref="H789:H816" si="30">+G789</f>
        <v>544</v>
      </c>
      <c r="I789" s="150"/>
      <c r="J789" s="150">
        <v>544</v>
      </c>
      <c r="K789" s="150">
        <f t="shared" ref="K789:K816" si="31">+G789-J789</f>
        <v>0</v>
      </c>
      <c r="L789" s="151">
        <f t="shared" ref="L789:L816" si="32">+K789/J789</f>
        <v>0</v>
      </c>
      <c r="M789" s="148"/>
    </row>
    <row r="790" spans="1:13" outlineLevel="2">
      <c r="A790" s="148"/>
      <c r="B790" s="173" t="s">
        <v>938</v>
      </c>
      <c r="C790" s="148"/>
      <c r="D790" s="148"/>
      <c r="E790" s="148"/>
      <c r="F790" s="149"/>
      <c r="G790" s="150">
        <f>SUBTOTAL(9,G789:G789)</f>
        <v>544</v>
      </c>
      <c r="H790" s="150">
        <f>SUBTOTAL(9,H789:H789)</f>
        <v>544</v>
      </c>
      <c r="I790" s="150">
        <f>SUBTOTAL(9,I789:I789)</f>
        <v>0</v>
      </c>
      <c r="J790" s="150">
        <f>SUBTOTAL(9,J789:J789)</f>
        <v>544</v>
      </c>
      <c r="K790" s="150"/>
      <c r="L790" s="151"/>
      <c r="M790" s="148"/>
    </row>
    <row r="791" spans="1:13" outlineLevel="3">
      <c r="A791" s="148" t="s">
        <v>731</v>
      </c>
      <c r="B791" s="148" t="s">
        <v>939</v>
      </c>
      <c r="C791" s="148" t="s">
        <v>128</v>
      </c>
      <c r="D791" s="148" t="s">
        <v>940</v>
      </c>
      <c r="E791" s="148" t="s">
        <v>941</v>
      </c>
      <c r="F791" s="149">
        <v>45901</v>
      </c>
      <c r="G791" s="150">
        <v>225</v>
      </c>
      <c r="H791" s="150">
        <f t="shared" si="30"/>
        <v>225</v>
      </c>
      <c r="I791" s="150"/>
      <c r="J791" s="150">
        <v>225</v>
      </c>
      <c r="K791" s="150">
        <f t="shared" si="31"/>
        <v>0</v>
      </c>
      <c r="L791" s="151">
        <f t="shared" si="32"/>
        <v>0</v>
      </c>
      <c r="M791" s="148"/>
    </row>
    <row r="792" spans="1:13" outlineLevel="3">
      <c r="A792" s="148" t="s">
        <v>731</v>
      </c>
      <c r="B792" s="148" t="s">
        <v>939</v>
      </c>
      <c r="C792" s="148" t="s">
        <v>132</v>
      </c>
      <c r="D792" s="148" t="s">
        <v>942</v>
      </c>
      <c r="E792" s="148" t="s">
        <v>943</v>
      </c>
      <c r="F792" s="149">
        <v>45901</v>
      </c>
      <c r="G792" s="150">
        <v>2490</v>
      </c>
      <c r="H792" s="150">
        <f t="shared" si="30"/>
        <v>2490</v>
      </c>
      <c r="I792" s="150"/>
      <c r="J792" s="150">
        <v>2490</v>
      </c>
      <c r="K792" s="150">
        <f t="shared" si="31"/>
        <v>0</v>
      </c>
      <c r="L792" s="151">
        <f t="shared" si="32"/>
        <v>0</v>
      </c>
      <c r="M792" s="148"/>
    </row>
    <row r="793" spans="1:13" outlineLevel="2">
      <c r="A793" s="148"/>
      <c r="B793" s="173" t="s">
        <v>944</v>
      </c>
      <c r="C793" s="148"/>
      <c r="D793" s="148"/>
      <c r="E793" s="148"/>
      <c r="F793" s="149"/>
      <c r="G793" s="150">
        <f>SUBTOTAL(9,G791:G792)</f>
        <v>2715</v>
      </c>
      <c r="H793" s="150">
        <f>SUBTOTAL(9,H791:H792)</f>
        <v>2715</v>
      </c>
      <c r="I793" s="150">
        <f>SUBTOTAL(9,I791:I792)</f>
        <v>0</v>
      </c>
      <c r="J793" s="150">
        <f>SUBTOTAL(9,J791:J792)</f>
        <v>2715</v>
      </c>
      <c r="K793" s="150"/>
      <c r="L793" s="151"/>
      <c r="M793" s="148"/>
    </row>
    <row r="794" spans="1:13" outlineLevel="3">
      <c r="A794" s="148" t="s">
        <v>731</v>
      </c>
      <c r="B794" s="148" t="s">
        <v>945</v>
      </c>
      <c r="C794" s="148" t="s">
        <v>139</v>
      </c>
      <c r="D794" s="148" t="s">
        <v>506</v>
      </c>
      <c r="E794" s="148" t="s">
        <v>946</v>
      </c>
      <c r="F794" s="149">
        <v>45901</v>
      </c>
      <c r="G794" s="150">
        <v>261</v>
      </c>
      <c r="H794" s="150">
        <f t="shared" si="30"/>
        <v>261</v>
      </c>
      <c r="I794" s="150"/>
      <c r="J794" s="150">
        <v>261</v>
      </c>
      <c r="K794" s="150">
        <f t="shared" si="31"/>
        <v>0</v>
      </c>
      <c r="L794" s="151">
        <f t="shared" si="32"/>
        <v>0</v>
      </c>
      <c r="M794" s="148"/>
    </row>
    <row r="795" spans="1:13" outlineLevel="3">
      <c r="A795" s="148" t="s">
        <v>731</v>
      </c>
      <c r="B795" s="148" t="s">
        <v>945</v>
      </c>
      <c r="C795" s="148" t="s">
        <v>128</v>
      </c>
      <c r="D795" s="148" t="s">
        <v>947</v>
      </c>
      <c r="E795" s="148" t="s">
        <v>946</v>
      </c>
      <c r="F795" s="149">
        <v>45901</v>
      </c>
      <c r="G795" s="150">
        <v>122.3044</v>
      </c>
      <c r="H795" s="150">
        <f t="shared" si="30"/>
        <v>122.3044</v>
      </c>
      <c r="I795" s="150"/>
      <c r="J795" s="150">
        <v>121.5094</v>
      </c>
      <c r="K795" s="150">
        <f t="shared" si="31"/>
        <v>0.79500000000000171</v>
      </c>
      <c r="L795" s="151">
        <f t="shared" si="32"/>
        <v>6.542703692060052E-3</v>
      </c>
      <c r="M795" s="148"/>
    </row>
    <row r="796" spans="1:13" outlineLevel="3">
      <c r="A796" s="148" t="s">
        <v>731</v>
      </c>
      <c r="B796" s="148" t="s">
        <v>945</v>
      </c>
      <c r="C796" s="148" t="s">
        <v>131</v>
      </c>
      <c r="D796" s="148" t="s">
        <v>948</v>
      </c>
      <c r="E796" s="148" t="s">
        <v>946</v>
      </c>
      <c r="F796" s="149">
        <v>45901</v>
      </c>
      <c r="G796" s="150">
        <v>351</v>
      </c>
      <c r="H796" s="150">
        <f t="shared" si="30"/>
        <v>351</v>
      </c>
      <c r="I796" s="150"/>
      <c r="J796" s="150">
        <v>344.5</v>
      </c>
      <c r="K796" s="150">
        <f t="shared" si="31"/>
        <v>6.5</v>
      </c>
      <c r="L796" s="151">
        <f t="shared" si="32"/>
        <v>1.8867924528301886E-2</v>
      </c>
      <c r="M796" s="148"/>
    </row>
    <row r="797" spans="1:13" outlineLevel="3">
      <c r="A797" s="148" t="s">
        <v>731</v>
      </c>
      <c r="B797" s="148" t="s">
        <v>945</v>
      </c>
      <c r="C797" s="148" t="s">
        <v>132</v>
      </c>
      <c r="D797" s="148" t="s">
        <v>949</v>
      </c>
      <c r="E797" s="148" t="s">
        <v>946</v>
      </c>
      <c r="F797" s="149">
        <v>45901</v>
      </c>
      <c r="G797" s="150">
        <v>2993.19</v>
      </c>
      <c r="H797" s="150">
        <f t="shared" si="30"/>
        <v>2993.19</v>
      </c>
      <c r="I797" s="150"/>
      <c r="J797" s="150">
        <v>2993.1905999999999</v>
      </c>
      <c r="K797" s="150">
        <f t="shared" si="31"/>
        <v>-5.9999999984938768E-4</v>
      </c>
      <c r="L797" s="151">
        <f t="shared" si="32"/>
        <v>-2.0045499269220867E-7</v>
      </c>
      <c r="M797" s="148"/>
    </row>
    <row r="798" spans="1:13" outlineLevel="2">
      <c r="A798" s="148"/>
      <c r="B798" s="173" t="s">
        <v>950</v>
      </c>
      <c r="C798" s="148"/>
      <c r="D798" s="148"/>
      <c r="E798" s="148"/>
      <c r="F798" s="149"/>
      <c r="G798" s="150">
        <f>SUBTOTAL(9,G794:G797)</f>
        <v>3727.4944</v>
      </c>
      <c r="H798" s="150">
        <f>SUBTOTAL(9,H794:H797)</f>
        <v>3727.4944</v>
      </c>
      <c r="I798" s="150">
        <f>SUBTOTAL(9,I794:I797)</f>
        <v>0</v>
      </c>
      <c r="J798" s="150">
        <f>SUBTOTAL(9,J794:J797)</f>
        <v>3720.2</v>
      </c>
      <c r="K798" s="150"/>
      <c r="L798" s="151"/>
      <c r="M798" s="148"/>
    </row>
    <row r="799" spans="1:13" outlineLevel="3">
      <c r="A799" s="148" t="s">
        <v>731</v>
      </c>
      <c r="B799" s="148" t="s">
        <v>951</v>
      </c>
      <c r="C799" s="148" t="s">
        <v>131</v>
      </c>
      <c r="D799" s="148" t="s">
        <v>131</v>
      </c>
      <c r="E799" s="148" t="s">
        <v>952</v>
      </c>
      <c r="F799" s="149">
        <v>45901</v>
      </c>
      <c r="G799" s="150">
        <v>147</v>
      </c>
      <c r="H799" s="150">
        <f t="shared" si="30"/>
        <v>147</v>
      </c>
      <c r="I799" s="150"/>
      <c r="J799" s="150">
        <v>126</v>
      </c>
      <c r="K799" s="150">
        <f t="shared" si="31"/>
        <v>21</v>
      </c>
      <c r="L799" s="151">
        <f t="shared" si="32"/>
        <v>0.16666666666666666</v>
      </c>
      <c r="M799" s="148"/>
    </row>
    <row r="800" spans="1:13" outlineLevel="3">
      <c r="A800" s="148" t="s">
        <v>731</v>
      </c>
      <c r="B800" s="148" t="s">
        <v>951</v>
      </c>
      <c r="C800" s="148" t="s">
        <v>132</v>
      </c>
      <c r="D800" s="148" t="s">
        <v>132</v>
      </c>
      <c r="E800" s="148" t="s">
        <v>952</v>
      </c>
      <c r="F800" s="149">
        <v>45901</v>
      </c>
      <c r="G800" s="150">
        <v>810</v>
      </c>
      <c r="H800" s="150">
        <f t="shared" si="30"/>
        <v>810</v>
      </c>
      <c r="I800" s="150"/>
      <c r="J800" s="150">
        <v>810</v>
      </c>
      <c r="K800" s="150">
        <f t="shared" si="31"/>
        <v>0</v>
      </c>
      <c r="L800" s="151">
        <f t="shared" si="32"/>
        <v>0</v>
      </c>
      <c r="M800" s="148"/>
    </row>
    <row r="801" spans="1:13" outlineLevel="2">
      <c r="A801" s="148"/>
      <c r="B801" s="173" t="s">
        <v>953</v>
      </c>
      <c r="C801" s="148"/>
      <c r="D801" s="148"/>
      <c r="E801" s="148"/>
      <c r="F801" s="149"/>
      <c r="G801" s="150">
        <f>SUBTOTAL(9,G799:G800)</f>
        <v>957</v>
      </c>
      <c r="H801" s="150">
        <f>SUBTOTAL(9,H799:H800)</f>
        <v>957</v>
      </c>
      <c r="I801" s="150">
        <f>SUBTOTAL(9,I799:I800)</f>
        <v>0</v>
      </c>
      <c r="J801" s="150">
        <f>SUBTOTAL(9,J799:J800)</f>
        <v>936</v>
      </c>
      <c r="K801" s="150"/>
      <c r="L801" s="151"/>
      <c r="M801" s="148"/>
    </row>
    <row r="802" spans="1:13" outlineLevel="3">
      <c r="A802" s="148" t="s">
        <v>731</v>
      </c>
      <c r="B802" s="148" t="s">
        <v>954</v>
      </c>
      <c r="C802" s="148" t="s">
        <v>128</v>
      </c>
      <c r="D802" s="148" t="s">
        <v>128</v>
      </c>
      <c r="E802" s="148" t="s">
        <v>955</v>
      </c>
      <c r="F802" s="149">
        <v>45901</v>
      </c>
      <c r="G802" s="150">
        <v>457.8</v>
      </c>
      <c r="H802" s="150">
        <f t="shared" si="30"/>
        <v>457.8</v>
      </c>
      <c r="I802" s="150"/>
      <c r="J802" s="150">
        <v>457.8</v>
      </c>
      <c r="K802" s="150">
        <f t="shared" si="31"/>
        <v>0</v>
      </c>
      <c r="L802" s="151">
        <f t="shared" si="32"/>
        <v>0</v>
      </c>
      <c r="M802" s="148"/>
    </row>
    <row r="803" spans="1:13" outlineLevel="2">
      <c r="A803" s="148"/>
      <c r="B803" s="173" t="s">
        <v>956</v>
      </c>
      <c r="C803" s="148"/>
      <c r="D803" s="148"/>
      <c r="E803" s="148"/>
      <c r="F803" s="149"/>
      <c r="G803" s="150">
        <f>SUBTOTAL(9,G802:G802)</f>
        <v>457.8</v>
      </c>
      <c r="H803" s="150">
        <f>SUBTOTAL(9,H802:H802)</f>
        <v>457.8</v>
      </c>
      <c r="I803" s="150">
        <f>SUBTOTAL(9,I802:I802)</f>
        <v>0</v>
      </c>
      <c r="J803" s="150">
        <f>SUBTOTAL(9,J802:J802)</f>
        <v>457.8</v>
      </c>
      <c r="K803" s="150"/>
      <c r="L803" s="151"/>
      <c r="M803" s="148"/>
    </row>
    <row r="804" spans="1:13" outlineLevel="3">
      <c r="A804" s="148" t="s">
        <v>731</v>
      </c>
      <c r="B804" s="148" t="s">
        <v>957</v>
      </c>
      <c r="C804" s="148" t="s">
        <v>131</v>
      </c>
      <c r="D804" s="148" t="s">
        <v>958</v>
      </c>
      <c r="E804" s="148" t="s">
        <v>959</v>
      </c>
      <c r="F804" s="149">
        <v>45901</v>
      </c>
      <c r="G804" s="150">
        <v>475.7</v>
      </c>
      <c r="H804" s="150">
        <f t="shared" si="30"/>
        <v>475.7</v>
      </c>
      <c r="I804" s="150"/>
      <c r="J804" s="150">
        <v>482.4</v>
      </c>
      <c r="K804" s="150">
        <f t="shared" si="31"/>
        <v>-6.6999999999999886</v>
      </c>
      <c r="L804" s="151">
        <f t="shared" si="32"/>
        <v>-1.3888888888888866E-2</v>
      </c>
      <c r="M804" s="148"/>
    </row>
    <row r="805" spans="1:13" outlineLevel="3">
      <c r="A805" s="148" t="s">
        <v>731</v>
      </c>
      <c r="B805" s="148" t="s">
        <v>957</v>
      </c>
      <c r="C805" s="148" t="s">
        <v>132</v>
      </c>
      <c r="D805" s="148" t="s">
        <v>132</v>
      </c>
      <c r="E805" s="148" t="s">
        <v>959</v>
      </c>
      <c r="F805" s="149">
        <v>45901</v>
      </c>
      <c r="G805" s="150">
        <v>4256.1499999999996</v>
      </c>
      <c r="H805" s="150">
        <f t="shared" si="30"/>
        <v>4256.1499999999996</v>
      </c>
      <c r="I805" s="150"/>
      <c r="J805" s="150">
        <v>4256.1499999999996</v>
      </c>
      <c r="K805" s="150">
        <f t="shared" si="31"/>
        <v>0</v>
      </c>
      <c r="L805" s="151">
        <f t="shared" si="32"/>
        <v>0</v>
      </c>
      <c r="M805" s="148"/>
    </row>
    <row r="806" spans="1:13" outlineLevel="2">
      <c r="A806" s="148"/>
      <c r="B806" s="173" t="s">
        <v>960</v>
      </c>
      <c r="C806" s="148"/>
      <c r="D806" s="148"/>
      <c r="E806" s="148"/>
      <c r="F806" s="149"/>
      <c r="G806" s="150">
        <f>SUBTOTAL(9,G804:G805)</f>
        <v>4731.8499999999995</v>
      </c>
      <c r="H806" s="150">
        <f>SUBTOTAL(9,H804:H805)</f>
        <v>4731.8499999999995</v>
      </c>
      <c r="I806" s="150">
        <f>SUBTOTAL(9,I804:I805)</f>
        <v>0</v>
      </c>
      <c r="J806" s="150">
        <f>SUBTOTAL(9,J804:J805)</f>
        <v>4738.5499999999993</v>
      </c>
      <c r="K806" s="150"/>
      <c r="L806" s="151"/>
      <c r="M806" s="148"/>
    </row>
    <row r="807" spans="1:13" outlineLevel="3">
      <c r="A807" s="148" t="s">
        <v>731</v>
      </c>
      <c r="B807" s="148" t="s">
        <v>961</v>
      </c>
      <c r="C807" s="148" t="s">
        <v>740</v>
      </c>
      <c r="D807" s="148" t="s">
        <v>741</v>
      </c>
      <c r="E807" s="148" t="s">
        <v>962</v>
      </c>
      <c r="F807" s="149">
        <v>45901</v>
      </c>
      <c r="G807" s="150">
        <v>508.8</v>
      </c>
      <c r="H807" s="150">
        <f t="shared" si="30"/>
        <v>508.8</v>
      </c>
      <c r="I807" s="150"/>
      <c r="J807" s="150">
        <v>508.8</v>
      </c>
      <c r="K807" s="150">
        <f t="shared" si="31"/>
        <v>0</v>
      </c>
      <c r="L807" s="151">
        <f t="shared" si="32"/>
        <v>0</v>
      </c>
      <c r="M807" s="148"/>
    </row>
    <row r="808" spans="1:13" outlineLevel="3">
      <c r="A808" s="148" t="s">
        <v>731</v>
      </c>
      <c r="B808" s="148" t="s">
        <v>961</v>
      </c>
      <c r="C808" s="148" t="s">
        <v>128</v>
      </c>
      <c r="D808" s="148" t="s">
        <v>162</v>
      </c>
      <c r="E808" s="148" t="s">
        <v>963</v>
      </c>
      <c r="F808" s="149">
        <v>45901</v>
      </c>
      <c r="G808" s="150">
        <v>728.25</v>
      </c>
      <c r="H808" s="150">
        <f t="shared" si="30"/>
        <v>728.25</v>
      </c>
      <c r="I808" s="150"/>
      <c r="J808" s="150">
        <v>728.25</v>
      </c>
      <c r="K808" s="150">
        <f t="shared" si="31"/>
        <v>0</v>
      </c>
      <c r="L808" s="151">
        <f t="shared" si="32"/>
        <v>0</v>
      </c>
      <c r="M808" s="148"/>
    </row>
    <row r="809" spans="1:13" outlineLevel="3">
      <c r="A809" s="148" t="s">
        <v>731</v>
      </c>
      <c r="B809" s="148" t="s">
        <v>961</v>
      </c>
      <c r="C809" s="148" t="s">
        <v>131</v>
      </c>
      <c r="D809" s="148" t="s">
        <v>237</v>
      </c>
      <c r="E809" s="148" t="s">
        <v>963</v>
      </c>
      <c r="F809" s="149">
        <v>45901</v>
      </c>
      <c r="G809" s="150">
        <v>1518</v>
      </c>
      <c r="H809" s="150">
        <f t="shared" si="30"/>
        <v>1518</v>
      </c>
      <c r="I809" s="150"/>
      <c r="J809" s="150">
        <v>1092</v>
      </c>
      <c r="K809" s="150">
        <f t="shared" si="31"/>
        <v>426</v>
      </c>
      <c r="L809" s="151">
        <f t="shared" si="32"/>
        <v>0.39010989010989011</v>
      </c>
      <c r="M809" s="148"/>
    </row>
    <row r="810" spans="1:13" outlineLevel="3">
      <c r="A810" s="148" t="s">
        <v>731</v>
      </c>
      <c r="B810" s="148" t="s">
        <v>961</v>
      </c>
      <c r="C810" s="148" t="s">
        <v>744</v>
      </c>
      <c r="D810" s="148" t="s">
        <v>745</v>
      </c>
      <c r="E810" s="148" t="s">
        <v>964</v>
      </c>
      <c r="F810" s="149">
        <v>45902</v>
      </c>
      <c r="G810" s="150">
        <v>339.2</v>
      </c>
      <c r="H810" s="150">
        <f t="shared" si="30"/>
        <v>339.2</v>
      </c>
      <c r="I810" s="150"/>
      <c r="J810" s="150">
        <v>339.2</v>
      </c>
      <c r="K810" s="150">
        <f t="shared" si="31"/>
        <v>0</v>
      </c>
      <c r="L810" s="151">
        <f t="shared" si="32"/>
        <v>0</v>
      </c>
      <c r="M810" s="148" t="s">
        <v>747</v>
      </c>
    </row>
    <row r="811" spans="1:13" outlineLevel="3">
      <c r="A811" s="148" t="s">
        <v>731</v>
      </c>
      <c r="B811" s="148" t="s">
        <v>961</v>
      </c>
      <c r="C811" s="148" t="s">
        <v>132</v>
      </c>
      <c r="D811" s="148" t="s">
        <v>229</v>
      </c>
      <c r="E811" s="148" t="s">
        <v>963</v>
      </c>
      <c r="F811" s="149">
        <v>45901</v>
      </c>
      <c r="G811" s="150">
        <v>2278.75</v>
      </c>
      <c r="H811" s="150">
        <f t="shared" si="30"/>
        <v>2278.75</v>
      </c>
      <c r="I811" s="150"/>
      <c r="J811" s="150">
        <v>2278.75</v>
      </c>
      <c r="K811" s="150">
        <f t="shared" si="31"/>
        <v>0</v>
      </c>
      <c r="L811" s="151">
        <f t="shared" si="32"/>
        <v>0</v>
      </c>
      <c r="M811" s="148"/>
    </row>
    <row r="812" spans="1:13" outlineLevel="2">
      <c r="A812" s="148"/>
      <c r="B812" s="173" t="s">
        <v>965</v>
      </c>
      <c r="C812" s="148"/>
      <c r="D812" s="148"/>
      <c r="E812" s="148"/>
      <c r="F812" s="149"/>
      <c r="G812" s="150">
        <f>SUBTOTAL(9,G807:G811)</f>
        <v>5373</v>
      </c>
      <c r="H812" s="150">
        <f>SUBTOTAL(9,H807:H811)</f>
        <v>5373</v>
      </c>
      <c r="I812" s="150">
        <f>SUBTOTAL(9,I807:I811)</f>
        <v>0</v>
      </c>
      <c r="J812" s="150">
        <f>SUBTOTAL(9,J807:J811)</f>
        <v>4947</v>
      </c>
      <c r="K812" s="150"/>
      <c r="L812" s="151"/>
      <c r="M812" s="148"/>
    </row>
    <row r="813" spans="1:13" outlineLevel="3">
      <c r="A813" s="148" t="s">
        <v>731</v>
      </c>
      <c r="B813" s="157" t="s">
        <v>966</v>
      </c>
      <c r="C813" s="157" t="s">
        <v>139</v>
      </c>
      <c r="D813" s="157" t="s">
        <v>139</v>
      </c>
      <c r="E813" s="157"/>
      <c r="F813" s="158"/>
      <c r="G813" s="159"/>
      <c r="H813" s="159"/>
      <c r="I813" s="159"/>
      <c r="J813" s="174">
        <v>4.5999999999999996</v>
      </c>
      <c r="K813" s="159"/>
      <c r="L813" s="161"/>
      <c r="M813" s="157"/>
    </row>
    <row r="814" spans="1:13" outlineLevel="3">
      <c r="A814" s="148" t="s">
        <v>731</v>
      </c>
      <c r="B814" s="157" t="s">
        <v>966</v>
      </c>
      <c r="C814" s="157" t="s">
        <v>128</v>
      </c>
      <c r="D814" s="157" t="s">
        <v>967</v>
      </c>
      <c r="E814" s="157"/>
      <c r="F814" s="158"/>
      <c r="G814" s="159"/>
      <c r="H814" s="159"/>
      <c r="I814" s="159"/>
      <c r="J814" s="174">
        <v>216.3</v>
      </c>
      <c r="K814" s="159"/>
      <c r="L814" s="161"/>
      <c r="M814" s="157"/>
    </row>
    <row r="815" spans="1:13" outlineLevel="3">
      <c r="A815" s="148" t="s">
        <v>731</v>
      </c>
      <c r="B815" s="157" t="s">
        <v>966</v>
      </c>
      <c r="C815" s="157" t="s">
        <v>131</v>
      </c>
      <c r="D815" s="157" t="s">
        <v>968</v>
      </c>
      <c r="E815" s="157"/>
      <c r="F815" s="158"/>
      <c r="G815" s="159"/>
      <c r="H815" s="159"/>
      <c r="I815" s="159"/>
      <c r="J815" s="174">
        <v>301</v>
      </c>
      <c r="K815" s="159"/>
      <c r="L815" s="161"/>
      <c r="M815" s="157"/>
    </row>
    <row r="816" spans="1:13" outlineLevel="3">
      <c r="A816" s="148" t="s">
        <v>731</v>
      </c>
      <c r="B816" s="148" t="s">
        <v>966</v>
      </c>
      <c r="C816" s="148" t="s">
        <v>132</v>
      </c>
      <c r="D816" s="148" t="s">
        <v>969</v>
      </c>
      <c r="E816" s="148" t="s">
        <v>970</v>
      </c>
      <c r="F816" s="149">
        <v>45901</v>
      </c>
      <c r="G816" s="150">
        <v>3183.4</v>
      </c>
      <c r="H816" s="150">
        <f t="shared" si="30"/>
        <v>3183.4</v>
      </c>
      <c r="I816" s="150"/>
      <c r="J816" s="150">
        <v>2050</v>
      </c>
      <c r="K816" s="150">
        <f t="shared" si="31"/>
        <v>1133.4000000000001</v>
      </c>
      <c r="L816" s="151">
        <f t="shared" si="32"/>
        <v>0.55287804878048785</v>
      </c>
      <c r="M816" s="148"/>
    </row>
    <row r="817" spans="1:13" outlineLevel="3">
      <c r="A817" s="148" t="s">
        <v>731</v>
      </c>
      <c r="B817" s="157" t="s">
        <v>966</v>
      </c>
      <c r="C817" s="157" t="s">
        <v>132</v>
      </c>
      <c r="D817" s="157" t="s">
        <v>971</v>
      </c>
      <c r="E817" s="157"/>
      <c r="F817" s="158"/>
      <c r="G817" s="159"/>
      <c r="H817" s="159"/>
      <c r="I817" s="159"/>
      <c r="J817" s="159">
        <v>611.5</v>
      </c>
      <c r="K817" s="159"/>
      <c r="L817" s="161"/>
      <c r="M817" s="157"/>
    </row>
    <row r="818" spans="1:13" outlineLevel="2">
      <c r="A818" s="148"/>
      <c r="B818" s="160" t="s">
        <v>972</v>
      </c>
      <c r="C818" s="157"/>
      <c r="D818" s="157"/>
      <c r="E818" s="157"/>
      <c r="F818" s="158"/>
      <c r="G818" s="159">
        <f>SUBTOTAL(9,G813:G817)</f>
        <v>3183.4</v>
      </c>
      <c r="H818" s="159">
        <f>SUBTOTAL(9,H813:H817)</f>
        <v>3183.4</v>
      </c>
      <c r="I818" s="159">
        <f>SUBTOTAL(9,I813:I817)</f>
        <v>0</v>
      </c>
      <c r="J818" s="159">
        <f>SUBTOTAL(9,J813:J817)</f>
        <v>3183.4</v>
      </c>
      <c r="K818" s="159"/>
      <c r="L818" s="161"/>
      <c r="M818" s="157"/>
    </row>
    <row r="819" spans="1:13" outlineLevel="1">
      <c r="A819" s="173" t="s">
        <v>973</v>
      </c>
      <c r="B819" s="157"/>
      <c r="C819" s="157"/>
      <c r="D819" s="157"/>
      <c r="E819" s="157"/>
      <c r="F819" s="158"/>
      <c r="G819" s="159">
        <f>SUBTOTAL(9,G621:G817)</f>
        <v>129307.83479999997</v>
      </c>
      <c r="H819" s="159">
        <f>SUBTOTAL(9,H621:H817)</f>
        <v>129307.83479999997</v>
      </c>
      <c r="I819" s="159">
        <f>SUBTOTAL(9,I621:I817)</f>
        <v>0</v>
      </c>
      <c r="J819" s="159">
        <f>SUBTOTAL(9,J621:J817)</f>
        <v>130424.82279999998</v>
      </c>
      <c r="K819" s="159"/>
      <c r="L819" s="161"/>
      <c r="M819" s="157"/>
    </row>
    <row r="820" spans="1:13">
      <c r="A820" s="173" t="s">
        <v>974</v>
      </c>
      <c r="B820" s="157"/>
      <c r="C820" s="157"/>
      <c r="D820" s="157"/>
      <c r="E820" s="157"/>
      <c r="F820" s="158"/>
      <c r="G820" s="159">
        <f>SUBTOTAL(9,G2:G817)</f>
        <v>944891.9553000005</v>
      </c>
      <c r="H820" s="159">
        <f>SUBTOTAL(9,H2:H817)</f>
        <v>944891.9553000005</v>
      </c>
      <c r="I820" s="159">
        <f>SUBTOTAL(9,I2:I817)</f>
        <v>0</v>
      </c>
      <c r="J820" s="159">
        <f>SUBTOTAL(9,J2:J817)</f>
        <v>931658.86040000047</v>
      </c>
      <c r="K820" s="159"/>
      <c r="L820" s="161"/>
      <c r="M820" s="157"/>
    </row>
    <row r="823" spans="1:13" s="148" customFormat="1">
      <c r="F823" s="149"/>
      <c r="G823" s="150"/>
      <c r="H823" s="150"/>
      <c r="I823" s="150"/>
      <c r="J823" s="150"/>
      <c r="K823" s="150"/>
      <c r="L823" s="162"/>
    </row>
    <row r="824" spans="1:13" s="148" customFormat="1">
      <c r="B824" s="173" t="s">
        <v>975</v>
      </c>
      <c r="C824" s="173"/>
      <c r="D824" s="173"/>
      <c r="E824" s="173"/>
      <c r="F824" s="173" t="s">
        <v>126</v>
      </c>
      <c r="G824" s="175">
        <v>815584.12049999984</v>
      </c>
      <c r="H824" s="150">
        <f t="shared" ref="H824" si="33">+G824</f>
        <v>815584.12049999984</v>
      </c>
      <c r="I824" s="150"/>
      <c r="J824" s="150">
        <v>1601777.1052000013</v>
      </c>
      <c r="K824" s="150"/>
    </row>
    <row r="825" spans="1:13" s="150" customFormat="1">
      <c r="A825" s="148"/>
      <c r="B825" s="148"/>
      <c r="C825" s="148"/>
      <c r="D825" s="148"/>
      <c r="E825" s="148"/>
      <c r="F825" s="148"/>
      <c r="I825" s="150" t="s">
        <v>976</v>
      </c>
      <c r="J825" s="150">
        <v>5569</v>
      </c>
      <c r="L825" s="148"/>
      <c r="M825" s="148"/>
    </row>
    <row r="826" spans="1:13" s="148" customFormat="1">
      <c r="G826" s="150"/>
      <c r="H826" s="150"/>
      <c r="I826" s="150"/>
      <c r="J826" s="150"/>
      <c r="K826" s="150"/>
    </row>
    <row r="827" spans="1:13" s="148" customFormat="1">
      <c r="G827" s="150"/>
      <c r="H827" s="150"/>
      <c r="I827" s="150"/>
      <c r="J827" s="150"/>
      <c r="K827" s="150"/>
    </row>
    <row r="828" spans="1:13" s="148" customFormat="1">
      <c r="G828" s="150"/>
      <c r="H828" s="150"/>
      <c r="I828" s="150"/>
      <c r="J828" s="150"/>
      <c r="K828" s="150"/>
    </row>
    <row r="829" spans="1:13" s="150" customFormat="1">
      <c r="A829" s="148"/>
      <c r="B829" s="148"/>
      <c r="C829" s="148"/>
      <c r="D829" s="148"/>
      <c r="E829" s="148"/>
      <c r="F829" s="148"/>
      <c r="G829" s="150">
        <v>815584.12049999984</v>
      </c>
      <c r="L829" s="148"/>
      <c r="M829" s="148"/>
    </row>
    <row r="830" spans="1:13" s="148" customFormat="1">
      <c r="G830" s="150"/>
      <c r="H830" s="150"/>
      <c r="I830" s="150"/>
      <c r="J830" s="150"/>
      <c r="K830" s="150"/>
    </row>
    <row r="831" spans="1:13" s="150" customFormat="1">
      <c r="A831" s="148"/>
      <c r="B831" s="148"/>
      <c r="C831" s="148"/>
      <c r="D831" s="148"/>
      <c r="E831" s="163" t="s">
        <v>26</v>
      </c>
      <c r="F831" s="164"/>
      <c r="G831" s="165">
        <v>441148</v>
      </c>
      <c r="L831" s="148"/>
      <c r="M831" s="148"/>
    </row>
    <row r="832" spans="1:13" s="150" customFormat="1">
      <c r="A832" s="148"/>
      <c r="B832" s="148"/>
      <c r="C832" s="148"/>
      <c r="D832" s="148"/>
      <c r="E832" s="163" t="s">
        <v>28</v>
      </c>
      <c r="F832" s="164"/>
      <c r="G832" s="165">
        <v>21601</v>
      </c>
      <c r="L832" s="148"/>
      <c r="M832" s="148"/>
    </row>
    <row r="833" spans="1:14" s="150" customFormat="1">
      <c r="A833" s="148"/>
      <c r="B833" s="148"/>
      <c r="C833" s="148"/>
      <c r="D833" s="148"/>
      <c r="E833" s="163" t="s">
        <v>29</v>
      </c>
      <c r="F833" s="164"/>
      <c r="G833" s="165">
        <v>279889</v>
      </c>
      <c r="L833" s="148"/>
      <c r="M833" s="148"/>
    </row>
    <row r="834" spans="1:14" s="148" customFormat="1">
      <c r="G834" s="150"/>
      <c r="H834" s="150"/>
      <c r="I834" s="150"/>
      <c r="J834" s="150"/>
      <c r="K834" s="150"/>
    </row>
    <row r="835" spans="1:14" s="150" customFormat="1">
      <c r="A835" s="148"/>
      <c r="B835" s="148"/>
      <c r="C835" s="148"/>
      <c r="D835" s="148"/>
      <c r="E835" s="148"/>
      <c r="F835" s="148"/>
      <c r="G835" s="150">
        <f>+G831+G832+G833</f>
        <v>742638</v>
      </c>
      <c r="L835" s="148"/>
      <c r="M835" s="148"/>
    </row>
    <row r="836" spans="1:14" s="150" customFormat="1">
      <c r="A836" s="148"/>
      <c r="B836" s="148"/>
      <c r="C836" s="148"/>
      <c r="D836" s="148"/>
      <c r="E836" s="148"/>
      <c r="F836" s="148"/>
      <c r="G836" s="150">
        <f>+G835-G829</f>
        <v>-72946.120499999844</v>
      </c>
      <c r="H836" s="168" t="s">
        <v>977</v>
      </c>
      <c r="L836" s="148"/>
      <c r="M836" s="148"/>
    </row>
    <row r="838" spans="1:14" s="148" customFormat="1">
      <c r="B838" s="173" t="s">
        <v>975</v>
      </c>
      <c r="C838" s="173"/>
      <c r="D838" s="173"/>
      <c r="E838" s="173"/>
      <c r="F838" s="173" t="s">
        <v>731</v>
      </c>
      <c r="G838" s="175">
        <v>129307.83479999998</v>
      </c>
      <c r="H838" s="150">
        <f t="shared" ref="H838" si="34">+G838</f>
        <v>129307.83479999998</v>
      </c>
      <c r="I838" s="150"/>
      <c r="J838" s="150">
        <v>130424.82279999998</v>
      </c>
      <c r="K838" s="150">
        <f t="shared" ref="K838" si="35">+G838-J838</f>
        <v>-1116.9879999999976</v>
      </c>
      <c r="L838" s="162">
        <f t="shared" ref="L838" si="36">+K838/J838</f>
        <v>-8.5642286186030977E-3</v>
      </c>
    </row>
    <row r="839" spans="1:14" s="148" customFormat="1">
      <c r="G839" s="150"/>
      <c r="H839" s="150"/>
      <c r="I839" s="150"/>
      <c r="J839" s="150"/>
      <c r="K839" s="150"/>
      <c r="L839" s="162"/>
    </row>
    <row r="840" spans="1:14" s="148" customFormat="1">
      <c r="G840" s="150"/>
      <c r="H840" s="150"/>
      <c r="I840" s="150"/>
      <c r="J840" s="150"/>
      <c r="K840" s="150"/>
      <c r="L840" s="162"/>
    </row>
    <row r="841" spans="1:14" s="148" customFormat="1">
      <c r="F841" s="166" t="s">
        <v>26</v>
      </c>
      <c r="G841" s="155">
        <v>106069</v>
      </c>
      <c r="H841" s="150"/>
      <c r="I841" s="150"/>
      <c r="J841" s="150"/>
      <c r="K841" s="150"/>
      <c r="L841" s="162"/>
    </row>
    <row r="842" spans="1:14" s="148" customFormat="1">
      <c r="F842" s="166" t="s">
        <v>28</v>
      </c>
      <c r="G842" s="155">
        <v>0</v>
      </c>
      <c r="H842" s="150"/>
      <c r="I842" s="150"/>
      <c r="J842" s="150"/>
      <c r="K842" s="150"/>
      <c r="L842" s="162"/>
    </row>
    <row r="843" spans="1:14" s="148" customFormat="1">
      <c r="F843" s="166" t="s">
        <v>29</v>
      </c>
      <c r="G843" s="155">
        <v>19820</v>
      </c>
      <c r="H843" s="150"/>
      <c r="I843" s="150"/>
      <c r="J843" s="150"/>
      <c r="K843" s="150"/>
      <c r="L843" s="162"/>
    </row>
    <row r="844" spans="1:14" s="148" customFormat="1">
      <c r="G844" s="150"/>
      <c r="H844" s="150"/>
      <c r="I844" s="150"/>
      <c r="J844" s="150"/>
      <c r="K844" s="150"/>
      <c r="L844" s="162"/>
    </row>
    <row r="845" spans="1:14" s="150" customFormat="1">
      <c r="A845" s="148"/>
      <c r="B845" s="148"/>
      <c r="C845" s="148"/>
      <c r="D845" s="148"/>
      <c r="E845" s="148"/>
      <c r="F845" s="148"/>
      <c r="G845" s="150">
        <f>SUM(G841:G844)</f>
        <v>125889</v>
      </c>
      <c r="L845" s="162"/>
      <c r="M845" s="148"/>
      <c r="N845" s="148"/>
    </row>
    <row r="846" spans="1:14" s="148" customFormat="1">
      <c r="G846" s="150"/>
      <c r="H846" s="150"/>
      <c r="I846" s="150"/>
      <c r="J846" s="150"/>
      <c r="K846" s="150"/>
      <c r="L846" s="162"/>
    </row>
    <row r="847" spans="1:14" s="150" customFormat="1">
      <c r="A847" s="148"/>
      <c r="B847" s="148"/>
      <c r="C847" s="148"/>
      <c r="D847" s="148"/>
      <c r="E847" s="148"/>
      <c r="F847" s="148"/>
      <c r="G847" s="150">
        <f>G838-G845</f>
        <v>3418.8347999999824</v>
      </c>
      <c r="H847" s="168" t="s">
        <v>978</v>
      </c>
      <c r="L847" s="162"/>
      <c r="M847" s="148"/>
      <c r="N847" s="148"/>
    </row>
    <row r="848" spans="1:14" s="148" customFormat="1">
      <c r="G848" s="150"/>
      <c r="H848" s="150"/>
      <c r="I848" s="150"/>
      <c r="J848" s="150"/>
      <c r="K848" s="150"/>
      <c r="L848" s="16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0E87F-AF55-4600-BB92-3390BC56C62F}">
  <dimension ref="A1:AH96"/>
  <sheetViews>
    <sheetView topLeftCell="D1" workbookViewId="0">
      <pane ySplit="7" topLeftCell="A49" activePane="bottomLeft" state="frozen"/>
      <selection pane="bottomLeft" activeCell="L49" sqref="L49"/>
    </sheetView>
  </sheetViews>
  <sheetFormatPr defaultRowHeight="15.75"/>
  <cols>
    <col min="1" max="1" width="14.85546875" style="21" customWidth="1"/>
    <col min="2" max="2" width="12.140625" style="21" customWidth="1"/>
    <col min="3" max="3" width="16.42578125" style="21" customWidth="1"/>
    <col min="4" max="4" width="13" style="21" customWidth="1"/>
    <col min="5" max="5" width="23.7109375" style="21" bestFit="1" customWidth="1"/>
    <col min="6" max="6" width="32.7109375" style="21" bestFit="1" customWidth="1"/>
    <col min="7" max="7" width="18.7109375" style="40" customWidth="1"/>
    <col min="8" max="8" width="23.28515625" style="21" customWidth="1"/>
    <col min="9" max="10" width="21.140625" style="23" customWidth="1"/>
    <col min="11" max="16" width="20.28515625" style="21" customWidth="1"/>
    <col min="17" max="17" width="43.28515625" style="21" bestFit="1" customWidth="1"/>
    <col min="18" max="18" width="20.28515625" style="21" customWidth="1"/>
    <col min="19" max="19" width="21.28515625" style="26" customWidth="1"/>
    <col min="20" max="20" width="20.85546875" style="21" customWidth="1"/>
    <col min="21" max="16384" width="9.140625" style="21"/>
  </cols>
  <sheetData>
    <row r="1" spans="1:19" ht="19.5">
      <c r="A1" s="20" t="s">
        <v>979</v>
      </c>
      <c r="D1" s="22"/>
      <c r="E1" s="22"/>
      <c r="F1" s="171" t="s">
        <v>980</v>
      </c>
      <c r="G1" s="172"/>
      <c r="H1" s="23" t="s">
        <v>981</v>
      </c>
      <c r="I1" s="24" t="s">
        <v>982</v>
      </c>
      <c r="J1" s="25" t="s">
        <v>125</v>
      </c>
      <c r="R1" s="23"/>
    </row>
    <row r="2" spans="1:19" ht="19.5">
      <c r="C2" s="22"/>
      <c r="D2" s="22"/>
      <c r="E2" s="22"/>
      <c r="F2" s="27" t="s">
        <v>983</v>
      </c>
      <c r="G2" s="28">
        <v>55387</v>
      </c>
      <c r="H2" s="29">
        <f>ROUND(+H14,0)</f>
        <v>55386</v>
      </c>
      <c r="I2" s="30">
        <f>+G2-H2</f>
        <v>1</v>
      </c>
      <c r="J2" s="31"/>
      <c r="K2" s="32"/>
      <c r="L2" s="32"/>
      <c r="M2" s="32"/>
      <c r="N2" s="32"/>
      <c r="O2" s="32"/>
      <c r="P2" s="32"/>
      <c r="Q2" s="32"/>
      <c r="R2" s="26"/>
    </row>
    <row r="3" spans="1:19" ht="19.5">
      <c r="C3" s="22"/>
      <c r="D3" s="22"/>
      <c r="E3" s="22"/>
      <c r="F3" s="27" t="s">
        <v>984</v>
      </c>
      <c r="G3" s="28">
        <v>210696</v>
      </c>
      <c r="H3" s="29">
        <f>ROUND(+H48,0)</f>
        <v>210696</v>
      </c>
      <c r="I3" s="30">
        <f>+G3-H3</f>
        <v>0</v>
      </c>
      <c r="J3" s="33"/>
      <c r="K3" s="33"/>
      <c r="L3" s="33"/>
      <c r="M3" s="33"/>
      <c r="N3" s="33"/>
      <c r="O3" s="33"/>
      <c r="P3" s="33"/>
      <c r="Q3" s="32"/>
      <c r="R3" s="26"/>
    </row>
    <row r="4" spans="1:19" ht="25.5">
      <c r="A4" s="34" t="s">
        <v>985</v>
      </c>
      <c r="C4" s="22"/>
      <c r="D4" s="22"/>
      <c r="E4" s="22"/>
      <c r="F4" s="35" t="s">
        <v>986</v>
      </c>
      <c r="G4" s="28">
        <v>147904</v>
      </c>
      <c r="H4" s="29">
        <f>ROUND(+H63,0)</f>
        <v>147484</v>
      </c>
      <c r="I4" s="30">
        <f>+G4-H4</f>
        <v>420</v>
      </c>
      <c r="J4" s="36" t="s">
        <v>987</v>
      </c>
      <c r="K4" s="32"/>
      <c r="L4" s="32"/>
      <c r="M4" s="33"/>
      <c r="N4" s="33"/>
      <c r="O4" s="32"/>
      <c r="P4" s="32"/>
      <c r="Q4" s="32"/>
      <c r="R4" s="26"/>
    </row>
    <row r="5" spans="1:19" ht="20.25" thickBot="1">
      <c r="A5" s="37" t="s">
        <v>988</v>
      </c>
      <c r="C5" s="22"/>
      <c r="D5" s="22"/>
      <c r="E5" s="22"/>
      <c r="F5" s="38" t="s">
        <v>989</v>
      </c>
      <c r="G5" s="39">
        <v>75369</v>
      </c>
      <c r="H5" s="29">
        <f>ROUND(+H76,0)</f>
        <v>76578</v>
      </c>
      <c r="I5" s="30">
        <f>+G5-H5</f>
        <v>-1209</v>
      </c>
      <c r="J5" s="36" t="s">
        <v>990</v>
      </c>
      <c r="K5" s="32"/>
      <c r="L5" s="32"/>
      <c r="M5" s="33"/>
      <c r="N5" s="33"/>
      <c r="O5" s="32"/>
      <c r="P5" s="32"/>
      <c r="Q5" s="32"/>
      <c r="R5" s="26"/>
    </row>
    <row r="6" spans="1:19">
      <c r="I6" s="26"/>
      <c r="J6" s="26"/>
      <c r="S6" s="21"/>
    </row>
    <row r="7" spans="1:19" ht="45">
      <c r="A7" s="41" t="s">
        <v>991</v>
      </c>
      <c r="B7" s="41" t="s">
        <v>992</v>
      </c>
      <c r="C7" s="42" t="s">
        <v>993</v>
      </c>
      <c r="D7" s="42" t="s">
        <v>994</v>
      </c>
      <c r="E7" s="42" t="s">
        <v>995</v>
      </c>
      <c r="F7" s="42" t="s">
        <v>996</v>
      </c>
      <c r="G7" s="43" t="s">
        <v>997</v>
      </c>
      <c r="H7" s="44" t="s">
        <v>998</v>
      </c>
      <c r="I7" s="44" t="s">
        <v>999</v>
      </c>
      <c r="J7" s="44" t="s">
        <v>1000</v>
      </c>
      <c r="K7" s="45" t="s">
        <v>1001</v>
      </c>
      <c r="L7" s="45" t="s">
        <v>1002</v>
      </c>
      <c r="M7" s="45" t="s">
        <v>1003</v>
      </c>
      <c r="N7" s="45" t="s">
        <v>1004</v>
      </c>
      <c r="O7" s="45" t="s">
        <v>1005</v>
      </c>
      <c r="P7" s="45" t="s">
        <v>1006</v>
      </c>
      <c r="Q7" s="46" t="s">
        <v>125</v>
      </c>
      <c r="S7" s="21"/>
    </row>
    <row r="8" spans="1:19">
      <c r="A8" s="47">
        <v>45882</v>
      </c>
      <c r="B8" s="48"/>
      <c r="C8" s="49" t="s">
        <v>1007</v>
      </c>
      <c r="D8" s="49" t="s">
        <v>1008</v>
      </c>
      <c r="E8" s="49" t="s">
        <v>1009</v>
      </c>
      <c r="F8" s="49" t="s">
        <v>1010</v>
      </c>
      <c r="G8" s="50" t="s">
        <v>1011</v>
      </c>
      <c r="H8" s="51">
        <v>0</v>
      </c>
      <c r="I8" s="51"/>
      <c r="J8" s="51">
        <v>0</v>
      </c>
      <c r="K8" s="51">
        <f t="shared" ref="K8:K13" si="0">+H8-I8-J8</f>
        <v>0</v>
      </c>
      <c r="L8" s="51">
        <v>4018.9033846153902</v>
      </c>
      <c r="M8" s="51">
        <f t="shared" ref="M8:M71" si="1">+K8-L8</f>
        <v>-4018.9033846153902</v>
      </c>
      <c r="N8" s="51"/>
      <c r="O8" s="51"/>
      <c r="P8" s="51"/>
      <c r="Q8" s="52" t="s">
        <v>1012</v>
      </c>
      <c r="S8" s="21"/>
    </row>
    <row r="9" spans="1:19">
      <c r="A9" s="53"/>
      <c r="B9" s="54"/>
      <c r="C9" s="55" t="s">
        <v>1013</v>
      </c>
      <c r="D9" s="55" t="s">
        <v>1014</v>
      </c>
      <c r="E9" s="55" t="s">
        <v>1015</v>
      </c>
      <c r="F9" s="55" t="s">
        <v>1016</v>
      </c>
      <c r="G9" s="56" t="s">
        <v>1011</v>
      </c>
      <c r="H9" s="57">
        <v>10021.47276923077</v>
      </c>
      <c r="I9" s="57"/>
      <c r="J9" s="57">
        <v>0</v>
      </c>
      <c r="K9" s="57">
        <f t="shared" si="0"/>
        <v>10021.47276923077</v>
      </c>
      <c r="L9" s="57">
        <v>9565.9513846153859</v>
      </c>
      <c r="M9" s="57">
        <f t="shared" si="1"/>
        <v>455.52138461538379</v>
      </c>
      <c r="N9" s="57"/>
      <c r="O9" s="57"/>
      <c r="P9" s="57"/>
      <c r="Q9" s="58"/>
      <c r="S9" s="21"/>
    </row>
    <row r="10" spans="1:19">
      <c r="A10" s="59"/>
      <c r="B10" s="60"/>
      <c r="C10" s="61" t="s">
        <v>1017</v>
      </c>
      <c r="D10" s="61" t="s">
        <v>1018</v>
      </c>
      <c r="E10" s="61" t="s">
        <v>1019</v>
      </c>
      <c r="F10" s="61" t="s">
        <v>1016</v>
      </c>
      <c r="G10" s="62" t="s">
        <v>1011</v>
      </c>
      <c r="H10" s="57">
        <v>8476.506692307692</v>
      </c>
      <c r="I10" s="57"/>
      <c r="J10" s="57">
        <v>0</v>
      </c>
      <c r="K10" s="57">
        <f t="shared" si="0"/>
        <v>8476.506692307692</v>
      </c>
      <c r="L10" s="57">
        <v>8091.190846153846</v>
      </c>
      <c r="M10" s="57">
        <f t="shared" si="1"/>
        <v>385.315846153846</v>
      </c>
      <c r="N10" s="57"/>
      <c r="O10" s="57"/>
      <c r="P10" s="57"/>
      <c r="Q10" s="58"/>
      <c r="S10" s="21"/>
    </row>
    <row r="11" spans="1:19">
      <c r="A11" s="53"/>
      <c r="B11" s="54"/>
      <c r="C11" s="55" t="s">
        <v>1020</v>
      </c>
      <c r="D11" s="55" t="s">
        <v>1021</v>
      </c>
      <c r="E11" s="55" t="s">
        <v>1022</v>
      </c>
      <c r="F11" s="55" t="s">
        <v>1016</v>
      </c>
      <c r="G11" s="56" t="s">
        <v>1011</v>
      </c>
      <c r="H11" s="57">
        <v>11434.835153846156</v>
      </c>
      <c r="I11" s="57"/>
      <c r="J11" s="57">
        <v>0</v>
      </c>
      <c r="K11" s="57">
        <f t="shared" si="0"/>
        <v>11434.835153846156</v>
      </c>
      <c r="L11" s="57">
        <v>10915.046076923078</v>
      </c>
      <c r="M11" s="57">
        <f t="shared" si="1"/>
        <v>519.78907692307803</v>
      </c>
      <c r="N11" s="57"/>
      <c r="O11" s="57"/>
      <c r="P11" s="57"/>
      <c r="Q11" s="58"/>
      <c r="S11" s="21"/>
    </row>
    <row r="12" spans="1:19">
      <c r="A12" s="59"/>
      <c r="B12" s="60"/>
      <c r="C12" s="61" t="s">
        <v>1023</v>
      </c>
      <c r="D12" s="61" t="s">
        <v>1024</v>
      </c>
      <c r="E12" s="61" t="s">
        <v>1025</v>
      </c>
      <c r="F12" s="61" t="s">
        <v>1026</v>
      </c>
      <c r="G12" s="62" t="s">
        <v>1011</v>
      </c>
      <c r="H12" s="57">
        <v>14291.239000000001</v>
      </c>
      <c r="I12" s="57"/>
      <c r="J12" s="57">
        <v>0</v>
      </c>
      <c r="K12" s="57">
        <f t="shared" si="0"/>
        <v>14291.239000000001</v>
      </c>
      <c r="L12" s="57">
        <v>13641.611000000001</v>
      </c>
      <c r="M12" s="57">
        <f t="shared" si="1"/>
        <v>649.62800000000061</v>
      </c>
      <c r="N12" s="57"/>
      <c r="O12" s="57"/>
      <c r="P12" s="57"/>
      <c r="Q12" s="58"/>
      <c r="S12" s="21"/>
    </row>
    <row r="13" spans="1:19">
      <c r="A13" s="53"/>
      <c r="B13" s="54"/>
      <c r="C13" s="61" t="s">
        <v>1027</v>
      </c>
      <c r="D13" s="61" t="s">
        <v>1028</v>
      </c>
      <c r="E13" s="61" t="s">
        <v>1029</v>
      </c>
      <c r="F13" s="61" t="s">
        <v>1030</v>
      </c>
      <c r="G13" s="62" t="s">
        <v>1011</v>
      </c>
      <c r="H13" s="57">
        <v>11162.338307692307</v>
      </c>
      <c r="I13" s="57"/>
      <c r="J13" s="57">
        <v>0</v>
      </c>
      <c r="K13" s="57">
        <f t="shared" si="0"/>
        <v>11162.338307692307</v>
      </c>
      <c r="L13" s="57">
        <v>10654.965153846155</v>
      </c>
      <c r="M13" s="57">
        <f t="shared" si="1"/>
        <v>507.37315384615249</v>
      </c>
      <c r="N13" s="57"/>
      <c r="O13" s="57"/>
      <c r="P13" s="57"/>
      <c r="Q13" s="58"/>
      <c r="S13" s="21"/>
    </row>
    <row r="14" spans="1:19">
      <c r="A14" s="63"/>
      <c r="B14" s="64"/>
      <c r="C14" s="65"/>
      <c r="D14" s="65"/>
      <c r="E14" s="65"/>
      <c r="F14" s="66"/>
      <c r="G14" s="67" t="s">
        <v>1031</v>
      </c>
      <c r="H14" s="68">
        <f>SUM(H8:H13)</f>
        <v>55386.391923076924</v>
      </c>
      <c r="I14" s="68">
        <f t="shared" ref="I14:K14" si="2">SUM(I8:I13)</f>
        <v>0</v>
      </c>
      <c r="J14" s="68">
        <f t="shared" si="2"/>
        <v>0</v>
      </c>
      <c r="K14" s="68">
        <f t="shared" si="2"/>
        <v>55386.391923076924</v>
      </c>
      <c r="L14" s="68">
        <f>+SUM(L8:L13)</f>
        <v>56887.667846153861</v>
      </c>
      <c r="M14" s="68">
        <f t="shared" si="1"/>
        <v>-1501.275923076937</v>
      </c>
      <c r="N14" s="68"/>
      <c r="O14" s="68"/>
      <c r="P14" s="68"/>
      <c r="Q14" s="69">
        <f>+M14/K14</f>
        <v>-2.7105501386730076E-2</v>
      </c>
      <c r="S14" s="21"/>
    </row>
    <row r="15" spans="1:19">
      <c r="A15" s="70"/>
      <c r="B15" s="71"/>
      <c r="C15" s="72" t="s">
        <v>1032</v>
      </c>
      <c r="D15" s="72" t="s">
        <v>1033</v>
      </c>
      <c r="E15" s="72" t="s">
        <v>1034</v>
      </c>
      <c r="F15" s="72" t="s">
        <v>1035</v>
      </c>
      <c r="G15" s="73" t="s">
        <v>1036</v>
      </c>
      <c r="H15" s="74">
        <v>11674.036923076923</v>
      </c>
      <c r="I15" s="75"/>
      <c r="J15" s="75">
        <v>0</v>
      </c>
      <c r="K15" s="75">
        <f t="shared" ref="K15:K47" si="3">+H15-I15-J15</f>
        <v>11674.036923076923</v>
      </c>
      <c r="L15" s="75">
        <v>11143.388461538463</v>
      </c>
      <c r="M15" s="75">
        <f t="shared" si="1"/>
        <v>530.64846153845974</v>
      </c>
      <c r="N15" s="75"/>
      <c r="O15" s="75"/>
      <c r="P15" s="75"/>
      <c r="Q15" s="76"/>
      <c r="S15" s="21"/>
    </row>
    <row r="16" spans="1:19">
      <c r="A16" s="70"/>
      <c r="B16" s="71"/>
      <c r="C16" s="72" t="s">
        <v>1037</v>
      </c>
      <c r="D16" s="72" t="s">
        <v>1038</v>
      </c>
      <c r="E16" s="72" t="s">
        <v>1039</v>
      </c>
      <c r="F16" s="72" t="s">
        <v>1040</v>
      </c>
      <c r="G16" s="73" t="s">
        <v>1036</v>
      </c>
      <c r="H16" s="74">
        <v>5324.1973846153842</v>
      </c>
      <c r="I16" s="75"/>
      <c r="J16" s="75">
        <v>0</v>
      </c>
      <c r="K16" s="75">
        <f t="shared" si="3"/>
        <v>5324.1973846153842</v>
      </c>
      <c r="L16" s="75">
        <v>5082.1926923076935</v>
      </c>
      <c r="M16" s="75">
        <f t="shared" si="1"/>
        <v>242.00469230769068</v>
      </c>
      <c r="N16" s="75"/>
      <c r="O16" s="75"/>
      <c r="P16" s="75"/>
      <c r="Q16" s="76"/>
      <c r="S16" s="21"/>
    </row>
    <row r="17" spans="1:19">
      <c r="A17" s="77"/>
      <c r="B17" s="78"/>
      <c r="C17" s="79" t="s">
        <v>1041</v>
      </c>
      <c r="D17" s="79" t="s">
        <v>1042</v>
      </c>
      <c r="E17" s="79" t="s">
        <v>1043</v>
      </c>
      <c r="F17" s="79" t="s">
        <v>1026</v>
      </c>
      <c r="G17" s="79" t="s">
        <v>1036</v>
      </c>
      <c r="H17" s="74">
        <v>1908.104</v>
      </c>
      <c r="I17" s="80"/>
      <c r="J17" s="75">
        <v>0</v>
      </c>
      <c r="K17" s="80">
        <f t="shared" si="3"/>
        <v>1908.104</v>
      </c>
      <c r="L17" s="81">
        <v>3066.8519999999999</v>
      </c>
      <c r="M17" s="81">
        <f t="shared" si="1"/>
        <v>-1158.7479999999998</v>
      </c>
      <c r="N17" s="81"/>
      <c r="O17" s="81"/>
      <c r="P17" s="81"/>
      <c r="Q17" s="82" t="s">
        <v>1044</v>
      </c>
      <c r="S17" s="21"/>
    </row>
    <row r="18" spans="1:19">
      <c r="A18" s="70"/>
      <c r="B18" s="71"/>
      <c r="C18" s="72" t="s">
        <v>1045</v>
      </c>
      <c r="D18" s="72" t="s">
        <v>1046</v>
      </c>
      <c r="E18" s="72" t="s">
        <v>1047</v>
      </c>
      <c r="F18" s="72" t="s">
        <v>1026</v>
      </c>
      <c r="G18" s="73" t="s">
        <v>1036</v>
      </c>
      <c r="H18" s="74">
        <v>4487.3680000000004</v>
      </c>
      <c r="I18" s="75"/>
      <c r="J18" s="75">
        <v>108.34</v>
      </c>
      <c r="K18" s="75">
        <f t="shared" si="3"/>
        <v>4379.0280000000002</v>
      </c>
      <c r="L18" s="75">
        <v>4130.1489999999994</v>
      </c>
      <c r="M18" s="75">
        <f t="shared" si="1"/>
        <v>248.87900000000081</v>
      </c>
      <c r="N18" s="75"/>
      <c r="O18" s="75"/>
      <c r="P18" s="75"/>
      <c r="Q18" s="76"/>
      <c r="S18" s="21"/>
    </row>
    <row r="19" spans="1:19">
      <c r="A19" s="47">
        <v>45925</v>
      </c>
      <c r="B19" s="48"/>
      <c r="C19" s="49" t="s">
        <v>1048</v>
      </c>
      <c r="D19" s="49" t="s">
        <v>1049</v>
      </c>
      <c r="E19" s="49" t="s">
        <v>1050</v>
      </c>
      <c r="F19" s="49" t="s">
        <v>1026</v>
      </c>
      <c r="G19" s="50" t="s">
        <v>1036</v>
      </c>
      <c r="H19" s="51">
        <v>6555.7100000000009</v>
      </c>
      <c r="I19" s="51">
        <v>556.76</v>
      </c>
      <c r="J19" s="51">
        <v>500.62</v>
      </c>
      <c r="K19" s="51">
        <f t="shared" si="3"/>
        <v>5498.3300000000008</v>
      </c>
      <c r="L19" s="51">
        <v>5632.7939999999999</v>
      </c>
      <c r="M19" s="51">
        <f t="shared" si="1"/>
        <v>-134.46399999999903</v>
      </c>
      <c r="N19" s="51"/>
      <c r="O19" s="51"/>
      <c r="P19" s="51"/>
      <c r="Q19" s="52"/>
      <c r="S19" s="21"/>
    </row>
    <row r="20" spans="1:19">
      <c r="A20" s="70"/>
      <c r="B20" s="71"/>
      <c r="C20" s="72" t="s">
        <v>1051</v>
      </c>
      <c r="D20" s="72" t="s">
        <v>1018</v>
      </c>
      <c r="E20" s="72" t="s">
        <v>1052</v>
      </c>
      <c r="F20" s="72" t="s">
        <v>1053</v>
      </c>
      <c r="G20" s="73" t="s">
        <v>1036</v>
      </c>
      <c r="H20" s="74">
        <v>7417.88476923077</v>
      </c>
      <c r="I20" s="75"/>
      <c r="J20" s="75">
        <v>0</v>
      </c>
      <c r="K20" s="75">
        <f t="shared" si="3"/>
        <v>7417.88476923077</v>
      </c>
      <c r="L20" s="75">
        <v>7080.7073846153862</v>
      </c>
      <c r="M20" s="75">
        <f t="shared" si="1"/>
        <v>337.17738461538374</v>
      </c>
      <c r="N20" s="75"/>
      <c r="O20" s="75"/>
      <c r="P20" s="75"/>
      <c r="Q20" s="76"/>
      <c r="S20" s="21"/>
    </row>
    <row r="21" spans="1:19">
      <c r="A21" s="70"/>
      <c r="B21" s="71"/>
      <c r="C21" s="72" t="s">
        <v>1054</v>
      </c>
      <c r="D21" s="72" t="s">
        <v>1055</v>
      </c>
      <c r="E21" s="72" t="s">
        <v>1056</v>
      </c>
      <c r="F21" s="72" t="s">
        <v>1026</v>
      </c>
      <c r="G21" s="73" t="s">
        <v>1036</v>
      </c>
      <c r="H21" s="74">
        <v>5337.6299999999992</v>
      </c>
      <c r="I21" s="75"/>
      <c r="J21" s="75">
        <v>222.53</v>
      </c>
      <c r="K21" s="75">
        <f t="shared" si="3"/>
        <v>5115.0999999999995</v>
      </c>
      <c r="L21" s="75">
        <v>4813.3630000000003</v>
      </c>
      <c r="M21" s="75">
        <f t="shared" si="1"/>
        <v>301.73699999999917</v>
      </c>
      <c r="N21" s="75"/>
      <c r="O21" s="75"/>
      <c r="P21" s="75"/>
      <c r="Q21" s="76"/>
      <c r="S21" s="21"/>
    </row>
    <row r="22" spans="1:19">
      <c r="A22" s="70"/>
      <c r="B22" s="71"/>
      <c r="C22" s="72" t="s">
        <v>1057</v>
      </c>
      <c r="D22" s="72" t="s">
        <v>1058</v>
      </c>
      <c r="E22" s="72" t="s">
        <v>1059</v>
      </c>
      <c r="F22" s="72" t="s">
        <v>1053</v>
      </c>
      <c r="G22" s="73" t="s">
        <v>1036</v>
      </c>
      <c r="H22" s="74">
        <v>8275.7571538461525</v>
      </c>
      <c r="I22" s="75"/>
      <c r="J22" s="75">
        <v>0</v>
      </c>
      <c r="K22" s="75">
        <f t="shared" si="3"/>
        <v>8275.7571538461525</v>
      </c>
      <c r="L22" s="75">
        <v>7899.6060769230771</v>
      </c>
      <c r="M22" s="75">
        <f t="shared" si="1"/>
        <v>376.15107692307538</v>
      </c>
      <c r="N22" s="75"/>
      <c r="O22" s="75"/>
      <c r="P22" s="75"/>
      <c r="Q22" s="76"/>
      <c r="S22" s="21"/>
    </row>
    <row r="23" spans="1:19">
      <c r="A23" s="70"/>
      <c r="B23" s="71"/>
      <c r="C23" s="72" t="s">
        <v>1060</v>
      </c>
      <c r="D23" s="72" t="s">
        <v>1061</v>
      </c>
      <c r="E23" s="72" t="s">
        <v>1062</v>
      </c>
      <c r="F23" s="72" t="s">
        <v>1026</v>
      </c>
      <c r="G23" s="73" t="s">
        <v>1036</v>
      </c>
      <c r="H23" s="74">
        <v>7707.942</v>
      </c>
      <c r="I23" s="75"/>
      <c r="J23" s="75">
        <v>142.47</v>
      </c>
      <c r="K23" s="75">
        <f t="shared" si="3"/>
        <v>7565.4719999999998</v>
      </c>
      <c r="L23" s="75">
        <v>7214.9389999999994</v>
      </c>
      <c r="M23" s="75">
        <f t="shared" si="1"/>
        <v>350.53300000000036</v>
      </c>
      <c r="N23" s="75"/>
      <c r="O23" s="75"/>
      <c r="P23" s="75"/>
      <c r="Q23" s="76"/>
      <c r="S23" s="21"/>
    </row>
    <row r="24" spans="1:19">
      <c r="A24" s="70"/>
      <c r="B24" s="71"/>
      <c r="C24" s="72" t="s">
        <v>1060</v>
      </c>
      <c r="D24" s="72" t="s">
        <v>1063</v>
      </c>
      <c r="E24" s="72" t="s">
        <v>1064</v>
      </c>
      <c r="F24" s="72" t="s">
        <v>1026</v>
      </c>
      <c r="G24" s="73" t="s">
        <v>1036</v>
      </c>
      <c r="H24" s="74">
        <v>6124.759</v>
      </c>
      <c r="I24" s="75"/>
      <c r="J24" s="75">
        <v>12.96</v>
      </c>
      <c r="K24" s="75">
        <f t="shared" si="3"/>
        <v>6111.799</v>
      </c>
      <c r="L24" s="75">
        <v>5204</v>
      </c>
      <c r="M24" s="75">
        <f t="shared" si="1"/>
        <v>907.79899999999998</v>
      </c>
      <c r="N24" s="75"/>
      <c r="O24" s="75"/>
      <c r="P24" s="75"/>
      <c r="Q24" s="76"/>
      <c r="S24" s="21"/>
    </row>
    <row r="25" spans="1:19">
      <c r="A25" s="70"/>
      <c r="B25" s="71"/>
      <c r="C25" s="72" t="s">
        <v>1065</v>
      </c>
      <c r="D25" s="72" t="s">
        <v>1066</v>
      </c>
      <c r="E25" s="72" t="s">
        <v>1067</v>
      </c>
      <c r="F25" s="72" t="s">
        <v>1053</v>
      </c>
      <c r="G25" s="73" t="s">
        <v>1036</v>
      </c>
      <c r="H25" s="74">
        <v>6991.6660000000011</v>
      </c>
      <c r="I25" s="75"/>
      <c r="J25" s="75">
        <v>307.3</v>
      </c>
      <c r="K25" s="75">
        <f t="shared" si="3"/>
        <v>6684.3660000000009</v>
      </c>
      <c r="L25" s="75">
        <v>6302.6350000000002</v>
      </c>
      <c r="M25" s="75">
        <f t="shared" si="1"/>
        <v>381.73100000000068</v>
      </c>
      <c r="N25" s="75"/>
      <c r="O25" s="75"/>
      <c r="P25" s="75"/>
      <c r="Q25" s="76"/>
      <c r="S25" s="21"/>
    </row>
    <row r="26" spans="1:19">
      <c r="A26" s="70"/>
      <c r="B26" s="71"/>
      <c r="C26" s="72" t="s">
        <v>1068</v>
      </c>
      <c r="D26" s="72" t="s">
        <v>1069</v>
      </c>
      <c r="E26" s="72" t="s">
        <v>1070</v>
      </c>
      <c r="F26" s="72" t="s">
        <v>1026</v>
      </c>
      <c r="G26" s="73" t="s">
        <v>1036</v>
      </c>
      <c r="H26" s="74">
        <v>1218.71</v>
      </c>
      <c r="I26" s="75"/>
      <c r="J26" s="75">
        <v>0</v>
      </c>
      <c r="K26" s="75">
        <f t="shared" si="3"/>
        <v>1218.71</v>
      </c>
      <c r="L26" s="75">
        <v>1265.44</v>
      </c>
      <c r="M26" s="75">
        <f t="shared" si="1"/>
        <v>-46.730000000000018</v>
      </c>
      <c r="N26" s="75"/>
      <c r="O26" s="75"/>
      <c r="P26" s="75"/>
      <c r="Q26" s="76"/>
      <c r="S26" s="21"/>
    </row>
    <row r="27" spans="1:19">
      <c r="A27" s="70"/>
      <c r="B27" s="71"/>
      <c r="C27" s="72" t="s">
        <v>1071</v>
      </c>
      <c r="D27" s="72" t="s">
        <v>1072</v>
      </c>
      <c r="E27" s="72" t="s">
        <v>1073</v>
      </c>
      <c r="F27" s="72" t="s">
        <v>1026</v>
      </c>
      <c r="G27" s="73" t="s">
        <v>1036</v>
      </c>
      <c r="H27" s="74">
        <v>7588.29</v>
      </c>
      <c r="I27" s="75"/>
      <c r="J27" s="75">
        <v>652.51</v>
      </c>
      <c r="K27" s="75">
        <f t="shared" si="3"/>
        <v>6935.78</v>
      </c>
      <c r="L27" s="75">
        <v>6694.9009999999998</v>
      </c>
      <c r="M27" s="75">
        <f t="shared" si="1"/>
        <v>240.87899999999991</v>
      </c>
      <c r="N27" s="75"/>
      <c r="O27" s="75"/>
      <c r="P27" s="75"/>
      <c r="Q27" s="76"/>
      <c r="S27" s="21"/>
    </row>
    <row r="28" spans="1:19">
      <c r="A28" s="70"/>
      <c r="B28" s="71"/>
      <c r="C28" s="72" t="s">
        <v>1074</v>
      </c>
      <c r="D28" s="72" t="s">
        <v>1075</v>
      </c>
      <c r="E28" s="72" t="s">
        <v>1076</v>
      </c>
      <c r="F28" s="72" t="s">
        <v>1053</v>
      </c>
      <c r="G28" s="73" t="s">
        <v>1036</v>
      </c>
      <c r="H28" s="74">
        <v>5818.61</v>
      </c>
      <c r="I28" s="75"/>
      <c r="J28" s="75">
        <v>254.33</v>
      </c>
      <c r="K28" s="75">
        <f t="shared" si="3"/>
        <v>5564.28</v>
      </c>
      <c r="L28" s="75">
        <v>3680.5949999999998</v>
      </c>
      <c r="M28" s="75">
        <f t="shared" si="1"/>
        <v>1883.6849999999999</v>
      </c>
      <c r="N28" s="75"/>
      <c r="O28" s="75"/>
      <c r="P28" s="75"/>
      <c r="Q28" s="76"/>
      <c r="S28" s="21"/>
    </row>
    <row r="29" spans="1:19">
      <c r="A29" s="70"/>
      <c r="B29" s="71"/>
      <c r="C29" s="72" t="s">
        <v>1077</v>
      </c>
      <c r="D29" s="72" t="s">
        <v>1078</v>
      </c>
      <c r="E29" s="72" t="s">
        <v>1079</v>
      </c>
      <c r="F29" s="72" t="s">
        <v>1026</v>
      </c>
      <c r="G29" s="73" t="s">
        <v>1036</v>
      </c>
      <c r="H29" s="74">
        <v>7214.9600000000009</v>
      </c>
      <c r="I29" s="75"/>
      <c r="J29" s="75">
        <v>611.19000000000005</v>
      </c>
      <c r="K29" s="75">
        <f t="shared" si="3"/>
        <v>6603.77</v>
      </c>
      <c r="L29" s="75">
        <v>6045.5090000000009</v>
      </c>
      <c r="M29" s="75">
        <f t="shared" si="1"/>
        <v>558.26099999999951</v>
      </c>
      <c r="N29" s="75"/>
      <c r="O29" s="75"/>
      <c r="P29" s="75"/>
      <c r="Q29" s="76"/>
      <c r="S29" s="21"/>
    </row>
    <row r="30" spans="1:19">
      <c r="A30" s="70"/>
      <c r="B30" s="71"/>
      <c r="C30" s="72" t="s">
        <v>1080</v>
      </c>
      <c r="D30" s="72" t="s">
        <v>1081</v>
      </c>
      <c r="E30" s="72" t="s">
        <v>1082</v>
      </c>
      <c r="F30" s="72" t="s">
        <v>1026</v>
      </c>
      <c r="G30" s="73" t="s">
        <v>1036</v>
      </c>
      <c r="H30" s="74">
        <v>1665.3</v>
      </c>
      <c r="I30" s="75"/>
      <c r="J30" s="75">
        <v>0</v>
      </c>
      <c r="K30" s="75">
        <f t="shared" si="3"/>
        <v>1665.3</v>
      </c>
      <c r="L30" s="75">
        <v>1760</v>
      </c>
      <c r="M30" s="75">
        <f t="shared" si="1"/>
        <v>-94.700000000000045</v>
      </c>
      <c r="N30" s="75"/>
      <c r="O30" s="75"/>
      <c r="P30" s="75"/>
      <c r="Q30" s="76"/>
      <c r="S30" s="21"/>
    </row>
    <row r="31" spans="1:19">
      <c r="A31" s="70"/>
      <c r="B31" s="71"/>
      <c r="C31" s="72" t="s">
        <v>1083</v>
      </c>
      <c r="D31" s="72" t="s">
        <v>1084</v>
      </c>
      <c r="E31" s="72" t="s">
        <v>1085</v>
      </c>
      <c r="F31" s="72" t="s">
        <v>1026</v>
      </c>
      <c r="G31" s="73" t="s">
        <v>1036</v>
      </c>
      <c r="H31" s="74">
        <v>6537.9809999999998</v>
      </c>
      <c r="I31" s="75"/>
      <c r="J31" s="75">
        <v>445.51</v>
      </c>
      <c r="K31" s="75">
        <f t="shared" si="3"/>
        <v>6092.4709999999995</v>
      </c>
      <c r="L31" s="75">
        <v>5691.4369999999999</v>
      </c>
      <c r="M31" s="75">
        <f t="shared" si="1"/>
        <v>401.03399999999965</v>
      </c>
      <c r="N31" s="75"/>
      <c r="O31" s="75"/>
      <c r="P31" s="75"/>
      <c r="Q31" s="76"/>
      <c r="S31" s="21"/>
    </row>
    <row r="32" spans="1:19">
      <c r="A32" s="47">
        <v>45926</v>
      </c>
      <c r="B32" s="48"/>
      <c r="C32" s="49" t="s">
        <v>1086</v>
      </c>
      <c r="D32" s="49" t="s">
        <v>1087</v>
      </c>
      <c r="E32" s="49" t="s">
        <v>1088</v>
      </c>
      <c r="F32" s="49" t="s">
        <v>1026</v>
      </c>
      <c r="G32" s="50" t="s">
        <v>1036</v>
      </c>
      <c r="H32" s="51">
        <v>12356.839</v>
      </c>
      <c r="I32" s="51">
        <v>3228.96</v>
      </c>
      <c r="J32" s="51">
        <v>855.65</v>
      </c>
      <c r="K32" s="51">
        <f t="shared" si="3"/>
        <v>8272.2290000000012</v>
      </c>
      <c r="L32" s="51">
        <v>6323.9540000000015</v>
      </c>
      <c r="M32" s="51">
        <f t="shared" si="1"/>
        <v>1948.2749999999996</v>
      </c>
      <c r="N32" s="51"/>
      <c r="O32" s="51"/>
      <c r="P32" s="51"/>
      <c r="Q32" s="52"/>
      <c r="S32" s="21"/>
    </row>
    <row r="33" spans="1:19">
      <c r="A33" s="70"/>
      <c r="B33" s="71"/>
      <c r="C33" s="72" t="s">
        <v>1089</v>
      </c>
      <c r="D33" s="72" t="s">
        <v>1090</v>
      </c>
      <c r="E33" s="72" t="s">
        <v>1091</v>
      </c>
      <c r="F33" s="72" t="s">
        <v>1026</v>
      </c>
      <c r="G33" s="73" t="s">
        <v>1036</v>
      </c>
      <c r="H33" s="74">
        <v>5180.3119999999999</v>
      </c>
      <c r="I33" s="75"/>
      <c r="J33" s="75">
        <v>380.11</v>
      </c>
      <c r="K33" s="75">
        <f t="shared" si="3"/>
        <v>4800.2020000000002</v>
      </c>
      <c r="L33" s="75">
        <v>5030.99</v>
      </c>
      <c r="M33" s="75">
        <f t="shared" si="1"/>
        <v>-230.78799999999956</v>
      </c>
      <c r="N33" s="75"/>
      <c r="O33" s="75"/>
      <c r="P33" s="75"/>
      <c r="Q33" s="76"/>
      <c r="S33" s="21"/>
    </row>
    <row r="34" spans="1:19">
      <c r="A34" s="70"/>
      <c r="B34" s="71"/>
      <c r="C34" s="72" t="s">
        <v>1092</v>
      </c>
      <c r="D34" s="72" t="s">
        <v>1090</v>
      </c>
      <c r="E34" s="72" t="s">
        <v>1093</v>
      </c>
      <c r="F34" s="72" t="s">
        <v>1026</v>
      </c>
      <c r="G34" s="73" t="s">
        <v>1036</v>
      </c>
      <c r="H34" s="74">
        <v>11002.964846153847</v>
      </c>
      <c r="I34" s="75"/>
      <c r="J34" s="75">
        <v>0</v>
      </c>
      <c r="K34" s="75">
        <f t="shared" si="3"/>
        <v>11002.964846153847</v>
      </c>
      <c r="L34" s="75">
        <v>10502.845923076922</v>
      </c>
      <c r="M34" s="75">
        <f t="shared" si="1"/>
        <v>500.11892307692506</v>
      </c>
      <c r="N34" s="75"/>
      <c r="O34" s="75"/>
      <c r="P34" s="75"/>
      <c r="Q34" s="76"/>
      <c r="S34" s="21"/>
    </row>
    <row r="35" spans="1:19">
      <c r="A35" s="70"/>
      <c r="B35" s="71"/>
      <c r="C35" s="72" t="s">
        <v>1094</v>
      </c>
      <c r="D35" s="72" t="s">
        <v>1095</v>
      </c>
      <c r="E35" s="72" t="s">
        <v>1096</v>
      </c>
      <c r="F35" s="72" t="s">
        <v>1053</v>
      </c>
      <c r="G35" s="73" t="s">
        <v>1036</v>
      </c>
      <c r="H35" s="74">
        <v>6098.3919999999998</v>
      </c>
      <c r="I35" s="75"/>
      <c r="J35" s="75">
        <v>555.79999999999995</v>
      </c>
      <c r="K35" s="75">
        <f t="shared" si="3"/>
        <v>5542.5919999999996</v>
      </c>
      <c r="L35" s="75">
        <v>5907.4830000000002</v>
      </c>
      <c r="M35" s="75">
        <f t="shared" si="1"/>
        <v>-364.89100000000053</v>
      </c>
      <c r="N35" s="75"/>
      <c r="O35" s="75"/>
      <c r="P35" s="75"/>
      <c r="Q35" s="76"/>
      <c r="S35" s="21"/>
    </row>
    <row r="36" spans="1:19">
      <c r="A36" s="70"/>
      <c r="B36" s="71"/>
      <c r="C36" s="72" t="s">
        <v>1097</v>
      </c>
      <c r="D36" s="72" t="s">
        <v>1098</v>
      </c>
      <c r="E36" s="72" t="s">
        <v>1099</v>
      </c>
      <c r="F36" s="72" t="s">
        <v>1100</v>
      </c>
      <c r="G36" s="73" t="s">
        <v>1036</v>
      </c>
      <c r="H36" s="74">
        <v>8908.0198461538475</v>
      </c>
      <c r="I36" s="75"/>
      <c r="J36" s="75">
        <v>0</v>
      </c>
      <c r="K36" s="75">
        <f t="shared" si="3"/>
        <v>8908.0198461538475</v>
      </c>
      <c r="L36" s="75">
        <v>8503.1139230769222</v>
      </c>
      <c r="M36" s="75">
        <f t="shared" si="1"/>
        <v>404.90592307692532</v>
      </c>
      <c r="N36" s="75"/>
      <c r="O36" s="75"/>
      <c r="P36" s="75"/>
      <c r="Q36" s="76"/>
      <c r="S36" s="21"/>
    </row>
    <row r="37" spans="1:19">
      <c r="A37" s="83"/>
      <c r="B37" s="84"/>
      <c r="C37" s="85" t="s">
        <v>1101</v>
      </c>
      <c r="D37" s="85" t="s">
        <v>1102</v>
      </c>
      <c r="E37" s="85" t="s">
        <v>1103</v>
      </c>
      <c r="F37" s="85" t="s">
        <v>1026</v>
      </c>
      <c r="G37" s="86" t="s">
        <v>1036</v>
      </c>
      <c r="H37" s="87">
        <v>1150.4000000000001</v>
      </c>
      <c r="I37" s="87"/>
      <c r="J37" s="87">
        <v>0</v>
      </c>
      <c r="K37" s="87"/>
      <c r="L37" s="87"/>
      <c r="M37" s="87"/>
      <c r="N37" s="87"/>
      <c r="O37" s="87"/>
      <c r="P37" s="87"/>
      <c r="Q37" s="88"/>
      <c r="S37" s="21"/>
    </row>
    <row r="38" spans="1:19">
      <c r="A38" s="77"/>
      <c r="B38" s="78"/>
      <c r="C38" s="79" t="s">
        <v>1104</v>
      </c>
      <c r="D38" s="79" t="s">
        <v>1105</v>
      </c>
      <c r="E38" s="79" t="s">
        <v>1106</v>
      </c>
      <c r="F38" s="79" t="s">
        <v>1053</v>
      </c>
      <c r="G38" s="79" t="s">
        <v>1036</v>
      </c>
      <c r="H38" s="74">
        <v>3768.9260000000004</v>
      </c>
      <c r="I38" s="80"/>
      <c r="J38" s="75">
        <v>30.32</v>
      </c>
      <c r="K38" s="80">
        <f t="shared" si="3"/>
        <v>3738.6060000000002</v>
      </c>
      <c r="L38" s="81">
        <v>3411.3150000000001</v>
      </c>
      <c r="M38" s="81">
        <f t="shared" si="1"/>
        <v>327.29100000000017</v>
      </c>
      <c r="N38" s="81"/>
      <c r="O38" s="81"/>
      <c r="P38" s="81"/>
      <c r="Q38" s="82"/>
      <c r="S38" s="21"/>
    </row>
    <row r="39" spans="1:19">
      <c r="A39" s="70"/>
      <c r="B39" s="71"/>
      <c r="C39" s="72" t="s">
        <v>1107</v>
      </c>
      <c r="D39" s="72" t="s">
        <v>1108</v>
      </c>
      <c r="E39" s="72" t="s">
        <v>1109</v>
      </c>
      <c r="F39" s="72" t="s">
        <v>1110</v>
      </c>
      <c r="G39" s="73" t="s">
        <v>1036</v>
      </c>
      <c r="H39" s="74">
        <v>7486.7070000000003</v>
      </c>
      <c r="I39" s="75"/>
      <c r="J39" s="75">
        <v>852.75</v>
      </c>
      <c r="K39" s="75">
        <f t="shared" si="3"/>
        <v>6633.9570000000003</v>
      </c>
      <c r="L39" s="75">
        <v>6311.4040000000005</v>
      </c>
      <c r="M39" s="75">
        <f t="shared" si="1"/>
        <v>322.55299999999988</v>
      </c>
      <c r="N39" s="75"/>
      <c r="O39" s="75"/>
      <c r="P39" s="75"/>
      <c r="Q39" s="89"/>
      <c r="S39" s="21"/>
    </row>
    <row r="40" spans="1:19">
      <c r="A40" s="70"/>
      <c r="B40" s="71"/>
      <c r="C40" s="72" t="s">
        <v>1111</v>
      </c>
      <c r="D40" s="72" t="s">
        <v>1112</v>
      </c>
      <c r="E40" s="72" t="s">
        <v>1113</v>
      </c>
      <c r="F40" s="72" t="s">
        <v>1026</v>
      </c>
      <c r="G40" s="73" t="s">
        <v>1036</v>
      </c>
      <c r="H40" s="74">
        <v>5092.5200000000004</v>
      </c>
      <c r="I40" s="75"/>
      <c r="J40" s="75">
        <v>152.86000000000001</v>
      </c>
      <c r="K40" s="75">
        <f t="shared" si="3"/>
        <v>4939.6600000000008</v>
      </c>
      <c r="L40" s="75">
        <v>4696.2939999999999</v>
      </c>
      <c r="M40" s="75">
        <f t="shared" si="1"/>
        <v>243.36600000000089</v>
      </c>
      <c r="N40" s="75"/>
      <c r="O40" s="75"/>
      <c r="P40" s="75"/>
      <c r="Q40" s="76"/>
      <c r="S40" s="21"/>
    </row>
    <row r="41" spans="1:19">
      <c r="A41" s="70"/>
      <c r="B41" s="71"/>
      <c r="C41" s="72" t="s">
        <v>1114</v>
      </c>
      <c r="D41" s="72" t="s">
        <v>1087</v>
      </c>
      <c r="E41" s="72" t="s">
        <v>1115</v>
      </c>
      <c r="F41" s="72" t="s">
        <v>1026</v>
      </c>
      <c r="G41" s="73" t="s">
        <v>1036</v>
      </c>
      <c r="H41" s="74">
        <v>6948.5029999999997</v>
      </c>
      <c r="I41" s="75"/>
      <c r="J41" s="75">
        <v>472.71</v>
      </c>
      <c r="K41" s="75">
        <f t="shared" si="3"/>
        <v>6475.7929999999997</v>
      </c>
      <c r="L41" s="75">
        <v>5224.2190000000001</v>
      </c>
      <c r="M41" s="75">
        <f t="shared" si="1"/>
        <v>1251.5739999999996</v>
      </c>
      <c r="N41" s="75"/>
      <c r="O41" s="75"/>
      <c r="P41" s="75"/>
      <c r="Q41" s="76"/>
      <c r="S41" s="21"/>
    </row>
    <row r="42" spans="1:19">
      <c r="A42" s="70"/>
      <c r="B42" s="71"/>
      <c r="C42" s="72" t="s">
        <v>1116</v>
      </c>
      <c r="D42" s="72" t="s">
        <v>1084</v>
      </c>
      <c r="E42" s="72" t="s">
        <v>1117</v>
      </c>
      <c r="F42" s="72" t="s">
        <v>1118</v>
      </c>
      <c r="G42" s="73" t="s">
        <v>1036</v>
      </c>
      <c r="H42" s="74">
        <v>8435.3061538461588</v>
      </c>
      <c r="I42" s="75"/>
      <c r="J42" s="75">
        <v>0</v>
      </c>
      <c r="K42" s="75">
        <f t="shared" si="3"/>
        <v>8435.3061538461588</v>
      </c>
      <c r="L42" s="75">
        <v>8051.8930769230765</v>
      </c>
      <c r="M42" s="75">
        <f t="shared" si="1"/>
        <v>383.41307692308237</v>
      </c>
      <c r="N42" s="75"/>
      <c r="O42" s="75"/>
      <c r="P42" s="75"/>
      <c r="Q42" s="76"/>
      <c r="S42" s="21"/>
    </row>
    <row r="43" spans="1:19">
      <c r="A43" s="70"/>
      <c r="B43" s="71"/>
      <c r="C43" s="72" t="s">
        <v>1119</v>
      </c>
      <c r="D43" s="72" t="s">
        <v>1120</v>
      </c>
      <c r="E43" s="72" t="s">
        <v>1121</v>
      </c>
      <c r="F43" s="72" t="s">
        <v>1026</v>
      </c>
      <c r="G43" s="73" t="s">
        <v>1036</v>
      </c>
      <c r="H43" s="74">
        <v>8326.7440000000006</v>
      </c>
      <c r="I43" s="75"/>
      <c r="J43" s="75">
        <v>0</v>
      </c>
      <c r="K43" s="75">
        <f t="shared" si="3"/>
        <v>8326.7440000000006</v>
      </c>
      <c r="L43" s="75">
        <v>8305.1730000000007</v>
      </c>
      <c r="M43" s="75">
        <f t="shared" si="1"/>
        <v>21.570999999999913</v>
      </c>
      <c r="N43" s="75"/>
      <c r="O43" s="75"/>
      <c r="P43" s="75"/>
      <c r="Q43" s="76"/>
      <c r="S43" s="21"/>
    </row>
    <row r="44" spans="1:19">
      <c r="A44" s="70"/>
      <c r="B44" s="71"/>
      <c r="C44" s="72" t="s">
        <v>1122</v>
      </c>
      <c r="D44" s="72" t="s">
        <v>1123</v>
      </c>
      <c r="E44" s="72" t="s">
        <v>1124</v>
      </c>
      <c r="F44" s="72" t="s">
        <v>1100</v>
      </c>
      <c r="G44" s="73" t="s">
        <v>1036</v>
      </c>
      <c r="H44" s="74">
        <v>7445.6460000000006</v>
      </c>
      <c r="I44" s="75"/>
      <c r="J44" s="75">
        <v>0</v>
      </c>
      <c r="K44" s="75">
        <f t="shared" si="3"/>
        <v>7445.6460000000006</v>
      </c>
      <c r="L44" s="75">
        <v>7107.1980000000003</v>
      </c>
      <c r="M44" s="75">
        <f t="shared" si="1"/>
        <v>338.44800000000032</v>
      </c>
      <c r="N44" s="75"/>
      <c r="O44" s="75"/>
      <c r="P44" s="75"/>
      <c r="Q44" s="76"/>
      <c r="S44" s="21"/>
    </row>
    <row r="45" spans="1:19">
      <c r="A45" s="47">
        <v>45919</v>
      </c>
      <c r="B45" s="48"/>
      <c r="C45" s="49" t="s">
        <v>1125</v>
      </c>
      <c r="D45" s="49" t="s">
        <v>1126</v>
      </c>
      <c r="E45" s="49" t="s">
        <v>1127</v>
      </c>
      <c r="F45" s="49" t="s">
        <v>1040</v>
      </c>
      <c r="G45" s="50" t="s">
        <v>1036</v>
      </c>
      <c r="H45" s="51">
        <v>3242.6950000000002</v>
      </c>
      <c r="I45" s="51">
        <v>149.52000000000001</v>
      </c>
      <c r="J45" s="51">
        <v>0</v>
      </c>
      <c r="K45" s="51">
        <f t="shared" si="3"/>
        <v>3093.1750000000002</v>
      </c>
      <c r="L45" s="51">
        <v>4308.1350000000002</v>
      </c>
      <c r="M45" s="51">
        <f t="shared" si="1"/>
        <v>-1214.96</v>
      </c>
      <c r="N45" s="51"/>
      <c r="O45" s="51"/>
      <c r="P45" s="51"/>
      <c r="Q45" s="52"/>
      <c r="S45" s="21"/>
    </row>
    <row r="46" spans="1:19">
      <c r="A46" s="70"/>
      <c r="B46" s="70"/>
      <c r="C46" s="90" t="s">
        <v>1128</v>
      </c>
      <c r="D46" s="90" t="s">
        <v>1084</v>
      </c>
      <c r="E46" s="90" t="s">
        <v>1129</v>
      </c>
      <c r="F46" s="90" t="s">
        <v>1100</v>
      </c>
      <c r="G46" s="91" t="s">
        <v>1036</v>
      </c>
      <c r="H46" s="74">
        <v>8176.8988461538465</v>
      </c>
      <c r="I46" s="92"/>
      <c r="J46" s="75">
        <v>0</v>
      </c>
      <c r="K46" s="92">
        <f t="shared" si="3"/>
        <v>8176.8988461538465</v>
      </c>
      <c r="L46" s="92">
        <v>7805.2379230769229</v>
      </c>
      <c r="M46" s="92">
        <f t="shared" si="1"/>
        <v>371.66092307692361</v>
      </c>
      <c r="N46" s="92"/>
      <c r="O46" s="92"/>
      <c r="P46" s="92"/>
      <c r="Q46" s="93"/>
      <c r="S46" s="21"/>
    </row>
    <row r="47" spans="1:19">
      <c r="A47" s="70"/>
      <c r="B47" s="71"/>
      <c r="C47" s="72" t="s">
        <v>1130</v>
      </c>
      <c r="D47" s="72" t="s">
        <v>1131</v>
      </c>
      <c r="E47" s="72" t="s">
        <v>1132</v>
      </c>
      <c r="F47" s="72" t="s">
        <v>1026</v>
      </c>
      <c r="G47" s="73" t="s">
        <v>1036</v>
      </c>
      <c r="H47" s="74">
        <v>5226.4290000000001</v>
      </c>
      <c r="I47" s="75"/>
      <c r="J47" s="75">
        <v>40.69</v>
      </c>
      <c r="K47" s="75">
        <f t="shared" si="3"/>
        <v>5185.7390000000005</v>
      </c>
      <c r="L47" s="75">
        <v>4785.3409999999994</v>
      </c>
      <c r="M47" s="75">
        <f t="shared" si="1"/>
        <v>400.39800000000105</v>
      </c>
      <c r="N47" s="75"/>
      <c r="O47" s="75"/>
      <c r="P47" s="75"/>
      <c r="Q47" s="76"/>
      <c r="S47" s="21"/>
    </row>
    <row r="48" spans="1:19">
      <c r="A48" s="63"/>
      <c r="B48" s="64"/>
      <c r="C48" s="65"/>
      <c r="D48" s="65"/>
      <c r="E48" s="65"/>
      <c r="F48" s="65"/>
      <c r="G48" s="67" t="s">
        <v>1133</v>
      </c>
      <c r="H48" s="68">
        <f>SUM(H15:H47)</f>
        <v>210696.20892307695</v>
      </c>
      <c r="I48" s="68">
        <f>SUM(I15:I47)</f>
        <v>3935.2400000000002</v>
      </c>
      <c r="J48" s="68">
        <f>SUM(J15:J47)</f>
        <v>6598.6499999999987</v>
      </c>
      <c r="K48" s="68">
        <f>SUM(K15:K47)</f>
        <v>199011.91892307694</v>
      </c>
      <c r="L48" s="68">
        <f>SUM(L15:L47)</f>
        <v>188983.10546153848</v>
      </c>
      <c r="M48" s="68">
        <f t="shared" si="1"/>
        <v>10028.813461538462</v>
      </c>
      <c r="N48" s="68"/>
      <c r="O48" s="68"/>
      <c r="P48" s="68"/>
      <c r="Q48" s="69">
        <f>+M48/K48</f>
        <v>5.0393029300998038E-2</v>
      </c>
      <c r="S48" s="21"/>
    </row>
    <row r="49" spans="1:34">
      <c r="A49" s="94"/>
      <c r="B49" s="95"/>
      <c r="C49" s="96" t="s">
        <v>1134</v>
      </c>
      <c r="D49" s="96" t="s">
        <v>1135</v>
      </c>
      <c r="E49" s="96" t="s">
        <v>1136</v>
      </c>
      <c r="F49" s="96" t="s">
        <v>1137</v>
      </c>
      <c r="G49" s="97" t="s">
        <v>1138</v>
      </c>
      <c r="H49" s="98">
        <v>1938.95</v>
      </c>
      <c r="I49" s="98"/>
      <c r="J49" s="98">
        <v>0</v>
      </c>
      <c r="K49" s="98">
        <f t="shared" ref="K49:K62" si="4">+H49-I49-J49</f>
        <v>1938.95</v>
      </c>
      <c r="L49" s="98">
        <v>2076.8000000000002</v>
      </c>
      <c r="M49" s="98">
        <f t="shared" si="1"/>
        <v>-137.85000000000014</v>
      </c>
      <c r="N49" s="98"/>
      <c r="O49" s="98">
        <v>0</v>
      </c>
      <c r="P49" s="98">
        <f t="shared" ref="P49:P62" si="5">+N49-O49</f>
        <v>0</v>
      </c>
      <c r="Q49" s="99"/>
      <c r="S49" s="21"/>
    </row>
    <row r="50" spans="1:34">
      <c r="A50" s="94"/>
      <c r="B50" s="95"/>
      <c r="C50" s="96" t="s">
        <v>1139</v>
      </c>
      <c r="D50" s="96" t="s">
        <v>1140</v>
      </c>
      <c r="E50" s="96" t="s">
        <v>1141</v>
      </c>
      <c r="F50" s="96" t="s">
        <v>1137</v>
      </c>
      <c r="G50" s="97" t="s">
        <v>1138</v>
      </c>
      <c r="H50" s="98">
        <v>2123.08</v>
      </c>
      <c r="I50" s="98"/>
      <c r="J50" s="98">
        <v>0</v>
      </c>
      <c r="K50" s="98">
        <f t="shared" si="4"/>
        <v>2123.08</v>
      </c>
      <c r="L50" s="98">
        <v>2335.39</v>
      </c>
      <c r="M50" s="98">
        <f t="shared" si="1"/>
        <v>-212.30999999999995</v>
      </c>
      <c r="N50" s="98"/>
      <c r="O50" s="98">
        <v>0</v>
      </c>
      <c r="P50" s="98">
        <f t="shared" si="5"/>
        <v>0</v>
      </c>
      <c r="Q50" s="99"/>
      <c r="S50" s="21"/>
    </row>
    <row r="51" spans="1:34">
      <c r="A51" s="94"/>
      <c r="B51" s="95"/>
      <c r="C51" s="96" t="s">
        <v>1142</v>
      </c>
      <c r="D51" s="96" t="s">
        <v>1143</v>
      </c>
      <c r="E51" s="96" t="s">
        <v>1144</v>
      </c>
      <c r="F51" s="96" t="s">
        <v>1137</v>
      </c>
      <c r="G51" s="97" t="s">
        <v>1138</v>
      </c>
      <c r="H51" s="98">
        <v>2307.6999999999998</v>
      </c>
      <c r="I51" s="98"/>
      <c r="J51" s="98">
        <v>0</v>
      </c>
      <c r="K51" s="98">
        <f t="shared" si="4"/>
        <v>2307.6999999999998</v>
      </c>
      <c r="L51" s="98">
        <v>2307.6999999999998</v>
      </c>
      <c r="M51" s="98">
        <f t="shared" si="1"/>
        <v>0</v>
      </c>
      <c r="N51" s="98"/>
      <c r="O51" s="98">
        <v>0</v>
      </c>
      <c r="P51" s="98">
        <f t="shared" si="5"/>
        <v>0</v>
      </c>
      <c r="Q51" s="99"/>
      <c r="S51" s="21"/>
    </row>
    <row r="52" spans="1:34">
      <c r="A52" s="94"/>
      <c r="B52" s="95"/>
      <c r="C52" s="96" t="s">
        <v>1145</v>
      </c>
      <c r="D52" s="96" t="s">
        <v>1146</v>
      </c>
      <c r="E52" s="96" t="s">
        <v>1147</v>
      </c>
      <c r="F52" s="96" t="s">
        <v>1137</v>
      </c>
      <c r="G52" s="97" t="s">
        <v>1138</v>
      </c>
      <c r="H52" s="98">
        <v>2052.3000000000002</v>
      </c>
      <c r="I52" s="98"/>
      <c r="J52" s="98">
        <v>0</v>
      </c>
      <c r="K52" s="98">
        <f t="shared" si="4"/>
        <v>2052.3000000000002</v>
      </c>
      <c r="L52" s="98">
        <v>1987.42</v>
      </c>
      <c r="M52" s="98">
        <f t="shared" si="1"/>
        <v>64.880000000000109</v>
      </c>
      <c r="N52" s="98"/>
      <c r="O52" s="98">
        <v>0</v>
      </c>
      <c r="P52" s="98">
        <f t="shared" si="5"/>
        <v>0</v>
      </c>
      <c r="Q52" s="99"/>
      <c r="S52" s="21"/>
    </row>
    <row r="53" spans="1:34">
      <c r="A53" s="47">
        <v>45884</v>
      </c>
      <c r="B53" s="48"/>
      <c r="C53" s="49" t="s">
        <v>1148</v>
      </c>
      <c r="D53" s="49" t="s">
        <v>1149</v>
      </c>
      <c r="E53" s="49" t="s">
        <v>1150</v>
      </c>
      <c r="F53" s="49" t="s">
        <v>1151</v>
      </c>
      <c r="G53" s="50" t="s">
        <v>1138</v>
      </c>
      <c r="H53" s="51">
        <v>0</v>
      </c>
      <c r="I53" s="51"/>
      <c r="J53" s="51">
        <v>0</v>
      </c>
      <c r="K53" s="51">
        <f t="shared" si="4"/>
        <v>0</v>
      </c>
      <c r="L53" s="51">
        <v>5773.071230769232</v>
      </c>
      <c r="M53" s="51">
        <f t="shared" si="1"/>
        <v>-5773.071230769232</v>
      </c>
      <c r="N53" s="51"/>
      <c r="O53" s="51">
        <v>0</v>
      </c>
      <c r="P53" s="51">
        <f t="shared" si="5"/>
        <v>0</v>
      </c>
      <c r="Q53" s="100" t="s">
        <v>1152</v>
      </c>
      <c r="S53" s="21"/>
    </row>
    <row r="54" spans="1:34">
      <c r="A54" s="101"/>
      <c r="B54" s="102"/>
      <c r="C54" s="103" t="s">
        <v>1153</v>
      </c>
      <c r="D54" s="103" t="s">
        <v>1154</v>
      </c>
      <c r="E54" s="103" t="s">
        <v>1155</v>
      </c>
      <c r="F54" s="103" t="s">
        <v>1151</v>
      </c>
      <c r="G54" s="104" t="s">
        <v>1138</v>
      </c>
      <c r="H54" s="98">
        <v>34807.880000000005</v>
      </c>
      <c r="I54" s="98"/>
      <c r="J54" s="98">
        <v>0</v>
      </c>
      <c r="K54" s="98">
        <f t="shared" si="4"/>
        <v>34807.880000000005</v>
      </c>
      <c r="L54" s="98">
        <v>13781.910307692309</v>
      </c>
      <c r="M54" s="98">
        <f t="shared" si="1"/>
        <v>21025.969692307695</v>
      </c>
      <c r="N54" s="98">
        <v>25140.59</v>
      </c>
      <c r="O54" s="98">
        <v>5935.75</v>
      </c>
      <c r="P54" s="98">
        <f t="shared" si="5"/>
        <v>19204.84</v>
      </c>
      <c r="Q54" s="99"/>
      <c r="S54" s="21"/>
    </row>
    <row r="55" spans="1:34">
      <c r="A55" s="47">
        <v>45922</v>
      </c>
      <c r="B55" s="48"/>
      <c r="C55" s="49" t="s">
        <v>1156</v>
      </c>
      <c r="D55" s="49" t="s">
        <v>1018</v>
      </c>
      <c r="E55" s="49" t="s">
        <v>1157</v>
      </c>
      <c r="F55" s="49" t="s">
        <v>1151</v>
      </c>
      <c r="G55" s="50" t="s">
        <v>1138</v>
      </c>
      <c r="H55" s="51">
        <v>16473.083076923078</v>
      </c>
      <c r="I55" s="51">
        <v>3051.78</v>
      </c>
      <c r="J55" s="51">
        <v>0</v>
      </c>
      <c r="K55" s="51">
        <f t="shared" si="4"/>
        <v>13421.303076923077</v>
      </c>
      <c r="L55" s="51">
        <v>8368.4233846153857</v>
      </c>
      <c r="M55" s="51">
        <f t="shared" si="1"/>
        <v>5052.8796923076916</v>
      </c>
      <c r="N55" s="51">
        <v>7592.05</v>
      </c>
      <c r="O55" s="51">
        <v>1723.16</v>
      </c>
      <c r="P55" s="51">
        <f t="shared" si="5"/>
        <v>5868.89</v>
      </c>
      <c r="Q55" s="52"/>
      <c r="S55" s="21"/>
    </row>
    <row r="56" spans="1:34">
      <c r="A56" s="94"/>
      <c r="B56" s="95"/>
      <c r="C56" s="96" t="s">
        <v>1158</v>
      </c>
      <c r="D56" s="96" t="s">
        <v>1108</v>
      </c>
      <c r="E56" s="96" t="s">
        <v>1159</v>
      </c>
      <c r="F56" s="96" t="s">
        <v>1151</v>
      </c>
      <c r="G56" s="97" t="s">
        <v>1138</v>
      </c>
      <c r="H56" s="98">
        <v>7487.239076923076</v>
      </c>
      <c r="I56" s="98"/>
      <c r="J56" s="98">
        <v>0</v>
      </c>
      <c r="K56" s="98">
        <f t="shared" si="4"/>
        <v>7487.239076923076</v>
      </c>
      <c r="L56" s="98">
        <v>7172.1695384615377</v>
      </c>
      <c r="M56" s="98">
        <f t="shared" si="1"/>
        <v>315.06953846153829</v>
      </c>
      <c r="N56" s="98"/>
      <c r="O56" s="98"/>
      <c r="P56" s="98">
        <f t="shared" si="5"/>
        <v>0</v>
      </c>
      <c r="Q56" s="99"/>
      <c r="S56" s="21"/>
    </row>
    <row r="57" spans="1:34">
      <c r="A57" s="94"/>
      <c r="B57" s="95"/>
      <c r="C57" s="96" t="s">
        <v>1160</v>
      </c>
      <c r="D57" s="96" t="s">
        <v>1149</v>
      </c>
      <c r="E57" s="96" t="s">
        <v>1161</v>
      </c>
      <c r="F57" s="96" t="s">
        <v>1162</v>
      </c>
      <c r="G57" s="97" t="s">
        <v>1138</v>
      </c>
      <c r="H57" s="98">
        <v>8948.2516153846154</v>
      </c>
      <c r="I57" s="98"/>
      <c r="J57" s="98">
        <v>0</v>
      </c>
      <c r="K57" s="98">
        <f t="shared" si="4"/>
        <v>8948.2516153846154</v>
      </c>
      <c r="L57" s="98">
        <v>8541.479307692307</v>
      </c>
      <c r="M57" s="98">
        <f t="shared" si="1"/>
        <v>406.77230769230846</v>
      </c>
      <c r="N57" s="98"/>
      <c r="O57" s="98"/>
      <c r="P57" s="98">
        <f t="shared" si="5"/>
        <v>0</v>
      </c>
      <c r="Q57" s="99"/>
      <c r="S57" s="21"/>
    </row>
    <row r="58" spans="1:34">
      <c r="A58" s="101"/>
      <c r="B58" s="102"/>
      <c r="C58" s="103" t="s">
        <v>1092</v>
      </c>
      <c r="D58" s="103" t="s">
        <v>1163</v>
      </c>
      <c r="E58" s="103" t="s">
        <v>1164</v>
      </c>
      <c r="F58" s="103" t="s">
        <v>1162</v>
      </c>
      <c r="G58" s="103" t="s">
        <v>1138</v>
      </c>
      <c r="H58" s="98">
        <v>17256.721461538462</v>
      </c>
      <c r="I58" s="98"/>
      <c r="J58" s="98">
        <v>0</v>
      </c>
      <c r="K58" s="98">
        <f t="shared" si="4"/>
        <v>17256.721461538462</v>
      </c>
      <c r="L58" s="98">
        <v>16983.046230769232</v>
      </c>
      <c r="M58" s="98">
        <f t="shared" si="1"/>
        <v>273.67523076922953</v>
      </c>
      <c r="N58" s="98"/>
      <c r="O58" s="98"/>
      <c r="P58" s="98">
        <f t="shared" si="5"/>
        <v>0</v>
      </c>
      <c r="Q58" s="99"/>
      <c r="S58" s="21"/>
      <c r="AH58" s="21">
        <f>2080/8</f>
        <v>260</v>
      </c>
    </row>
    <row r="59" spans="1:34">
      <c r="A59" s="101"/>
      <c r="B59" s="102"/>
      <c r="C59" s="103" t="s">
        <v>1165</v>
      </c>
      <c r="D59" s="103" t="s">
        <v>1166</v>
      </c>
      <c r="E59" s="103" t="s">
        <v>1167</v>
      </c>
      <c r="F59" s="103" t="s">
        <v>1168</v>
      </c>
      <c r="G59" s="104" t="s">
        <v>1138</v>
      </c>
      <c r="H59" s="98">
        <v>9428.7589999999982</v>
      </c>
      <c r="I59" s="98"/>
      <c r="J59" s="98">
        <v>0</v>
      </c>
      <c r="K59" s="98">
        <f t="shared" si="4"/>
        <v>9428.7589999999982</v>
      </c>
      <c r="L59" s="98">
        <v>10178.370999999999</v>
      </c>
      <c r="M59" s="98">
        <f t="shared" si="1"/>
        <v>-749.61200000000099</v>
      </c>
      <c r="N59" s="98">
        <v>1530.46</v>
      </c>
      <c r="O59" s="98">
        <v>2555.37</v>
      </c>
      <c r="P59" s="98">
        <f t="shared" si="5"/>
        <v>-1024.9099999999999</v>
      </c>
      <c r="Q59" s="99"/>
      <c r="S59" s="21"/>
    </row>
    <row r="60" spans="1:34">
      <c r="A60" s="94"/>
      <c r="B60" s="95"/>
      <c r="C60" s="96" t="s">
        <v>1169</v>
      </c>
      <c r="D60" s="96" t="s">
        <v>1149</v>
      </c>
      <c r="E60" s="96" t="s">
        <v>1170</v>
      </c>
      <c r="F60" s="96" t="s">
        <v>1171</v>
      </c>
      <c r="G60" s="97" t="s">
        <v>1138</v>
      </c>
      <c r="H60" s="98">
        <v>22290.930153846151</v>
      </c>
      <c r="I60" s="98"/>
      <c r="J60" s="98">
        <v>0</v>
      </c>
      <c r="K60" s="98">
        <f t="shared" si="4"/>
        <v>22290.930153846151</v>
      </c>
      <c r="L60" s="98">
        <v>25181.336076923079</v>
      </c>
      <c r="M60" s="98">
        <f t="shared" si="1"/>
        <v>-2890.4059230769271</v>
      </c>
      <c r="N60" s="98">
        <v>7415.12</v>
      </c>
      <c r="O60" s="98">
        <v>9616.01</v>
      </c>
      <c r="P60" s="98">
        <f t="shared" si="5"/>
        <v>-2200.8900000000003</v>
      </c>
      <c r="Q60" s="99"/>
      <c r="S60" s="21"/>
    </row>
    <row r="61" spans="1:34">
      <c r="A61" s="94"/>
      <c r="B61" s="95"/>
      <c r="C61" s="96" t="s">
        <v>1172</v>
      </c>
      <c r="D61" s="96" t="s">
        <v>1173</v>
      </c>
      <c r="E61" s="96" t="s">
        <v>1174</v>
      </c>
      <c r="F61" s="96" t="s">
        <v>1171</v>
      </c>
      <c r="G61" s="97" t="s">
        <v>1138</v>
      </c>
      <c r="H61" s="98">
        <v>12710.617692307693</v>
      </c>
      <c r="I61" s="98"/>
      <c r="J61" s="98">
        <v>0</v>
      </c>
      <c r="K61" s="98">
        <f t="shared" si="4"/>
        <v>12710.617692307693</v>
      </c>
      <c r="L61" s="98">
        <v>10883.304846153846</v>
      </c>
      <c r="M61" s="98">
        <f t="shared" si="1"/>
        <v>1827.3128461538472</v>
      </c>
      <c r="N61" s="98">
        <v>2471.91</v>
      </c>
      <c r="O61" s="98">
        <v>1230.27</v>
      </c>
      <c r="P61" s="98">
        <f t="shared" si="5"/>
        <v>1241.6399999999999</v>
      </c>
      <c r="Q61" s="99"/>
      <c r="S61" s="21"/>
    </row>
    <row r="62" spans="1:34">
      <c r="A62" s="101"/>
      <c r="B62" s="102"/>
      <c r="C62" s="103" t="s">
        <v>1175</v>
      </c>
      <c r="D62" s="103" t="s">
        <v>1098</v>
      </c>
      <c r="E62" s="103" t="s">
        <v>1176</v>
      </c>
      <c r="F62" s="103" t="s">
        <v>1171</v>
      </c>
      <c r="G62" s="104" t="s">
        <v>1138</v>
      </c>
      <c r="H62" s="98">
        <v>9658.9249999999993</v>
      </c>
      <c r="I62" s="98"/>
      <c r="J62" s="98">
        <v>0</v>
      </c>
      <c r="K62" s="98">
        <f t="shared" si="4"/>
        <v>9658.9249999999993</v>
      </c>
      <c r="L62" s="98">
        <v>25624.841384615389</v>
      </c>
      <c r="M62" s="98">
        <f t="shared" si="1"/>
        <v>-15965.91638461539</v>
      </c>
      <c r="N62" s="98">
        <v>1227.22</v>
      </c>
      <c r="O62" s="98">
        <v>16410.62</v>
      </c>
      <c r="P62" s="98">
        <f t="shared" si="5"/>
        <v>-15183.4</v>
      </c>
      <c r="Q62" s="99"/>
      <c r="S62" s="21"/>
    </row>
    <row r="63" spans="1:34">
      <c r="A63" s="64"/>
      <c r="B63" s="64"/>
      <c r="C63" s="64"/>
      <c r="D63" s="64"/>
      <c r="E63" s="64"/>
      <c r="F63" s="64"/>
      <c r="G63" s="105" t="s">
        <v>1177</v>
      </c>
      <c r="H63" s="68">
        <f>SUM(H49:H62)</f>
        <v>147484.43707692306</v>
      </c>
      <c r="I63" s="68">
        <f>SUM(I49:I62)</f>
        <v>3051.78</v>
      </c>
      <c r="J63" s="68">
        <f>SUM(J49:J62)</f>
        <v>0</v>
      </c>
      <c r="K63" s="68">
        <f>SUMIFS(K8:K75,G8:G75,"3-Sales Labor Costs")</f>
        <v>144432.65707692306</v>
      </c>
      <c r="L63" s="68">
        <v>126930.65619047618</v>
      </c>
      <c r="M63" s="106">
        <f t="shared" si="1"/>
        <v>17502.000886446884</v>
      </c>
      <c r="N63" s="106">
        <f>SUM(N49:N62)</f>
        <v>45377.350000000006</v>
      </c>
      <c r="O63" s="106">
        <f>SUM(O49:O62)</f>
        <v>37471.18</v>
      </c>
      <c r="P63" s="106">
        <f>SUM(P49:P62)</f>
        <v>7906.17</v>
      </c>
      <c r="Q63" s="69">
        <f t="shared" ref="Q63" si="6">+M63/K63</f>
        <v>0.12117758712370384</v>
      </c>
    </row>
    <row r="64" spans="1:34">
      <c r="A64" s="107">
        <v>45877</v>
      </c>
      <c r="B64" s="108"/>
      <c r="C64" s="34" t="s">
        <v>1178</v>
      </c>
      <c r="D64" s="34" t="s">
        <v>1179</v>
      </c>
      <c r="E64" s="34" t="s">
        <v>1180</v>
      </c>
      <c r="F64" s="34" t="s">
        <v>1181</v>
      </c>
      <c r="G64" s="109" t="s">
        <v>1182</v>
      </c>
      <c r="H64" s="51">
        <v>0</v>
      </c>
      <c r="I64" s="51"/>
      <c r="J64" s="51">
        <v>0</v>
      </c>
      <c r="K64" s="51">
        <f>+H64-I64-J64</f>
        <v>0</v>
      </c>
      <c r="L64" s="51">
        <v>2760.7699999999995</v>
      </c>
      <c r="M64" s="51">
        <f t="shared" si="1"/>
        <v>-2760.7699999999995</v>
      </c>
      <c r="N64" s="51"/>
      <c r="O64" s="51"/>
      <c r="P64" s="51"/>
      <c r="Q64" s="52" t="s">
        <v>1183</v>
      </c>
      <c r="S64" s="21"/>
    </row>
    <row r="65" spans="1:20">
      <c r="A65" s="47">
        <v>45919</v>
      </c>
      <c r="B65" s="48"/>
      <c r="C65" s="49" t="s">
        <v>1184</v>
      </c>
      <c r="D65" s="49" t="s">
        <v>1185</v>
      </c>
      <c r="E65" s="49" t="s">
        <v>1186</v>
      </c>
      <c r="F65" s="49" t="s">
        <v>1181</v>
      </c>
      <c r="G65" s="50" t="s">
        <v>1182</v>
      </c>
      <c r="H65" s="51">
        <v>17507.643846153846</v>
      </c>
      <c r="I65" s="51">
        <v>9090.14</v>
      </c>
      <c r="J65" s="51">
        <v>0</v>
      </c>
      <c r="K65" s="51">
        <f>+H65-I65-J65</f>
        <v>8417.5038461538461</v>
      </c>
      <c r="L65" s="51">
        <v>11173.921230769232</v>
      </c>
      <c r="M65" s="51">
        <f t="shared" si="1"/>
        <v>-2756.4173846153863</v>
      </c>
      <c r="N65" s="51"/>
      <c r="O65" s="51"/>
      <c r="P65" s="51"/>
      <c r="Q65" s="52"/>
      <c r="S65" s="21"/>
    </row>
    <row r="66" spans="1:20">
      <c r="A66" s="110"/>
      <c r="B66" s="111"/>
      <c r="C66" s="112" t="s">
        <v>1187</v>
      </c>
      <c r="D66" s="112" t="s">
        <v>1188</v>
      </c>
      <c r="E66" s="112" t="s">
        <v>1189</v>
      </c>
      <c r="F66" s="112" t="s">
        <v>1190</v>
      </c>
      <c r="G66" s="112" t="s">
        <v>1182</v>
      </c>
      <c r="H66" s="113">
        <v>8488.9767692307687</v>
      </c>
      <c r="I66" s="113"/>
      <c r="J66" s="113">
        <v>0</v>
      </c>
      <c r="K66" s="113">
        <f t="shared" ref="K66:K75" si="7">+H66-I66-J66</f>
        <v>8488.9767692307687</v>
      </c>
      <c r="L66" s="113">
        <v>8103.1133846153862</v>
      </c>
      <c r="M66" s="113">
        <f t="shared" si="1"/>
        <v>385.86338461538253</v>
      </c>
      <c r="N66" s="113"/>
      <c r="O66" s="113"/>
      <c r="P66" s="113"/>
      <c r="Q66" s="114"/>
      <c r="S66" s="21"/>
    </row>
    <row r="67" spans="1:20">
      <c r="A67" s="110"/>
      <c r="B67" s="111"/>
      <c r="C67" s="115" t="s">
        <v>1191</v>
      </c>
      <c r="D67" s="115" t="s">
        <v>1192</v>
      </c>
      <c r="E67" s="115" t="s">
        <v>1193</v>
      </c>
      <c r="F67" s="115" t="s">
        <v>1194</v>
      </c>
      <c r="G67" s="116" t="s">
        <v>1182</v>
      </c>
      <c r="H67" s="113">
        <v>8757.3646153846148</v>
      </c>
      <c r="I67" s="113"/>
      <c r="J67" s="113">
        <v>0</v>
      </c>
      <c r="K67" s="113">
        <f t="shared" si="7"/>
        <v>8757.3646153846148</v>
      </c>
      <c r="L67" s="113">
        <v>8359.2883076923081</v>
      </c>
      <c r="M67" s="113">
        <f t="shared" si="1"/>
        <v>398.07630769230673</v>
      </c>
      <c r="N67" s="113"/>
      <c r="O67" s="113"/>
      <c r="P67" s="113"/>
      <c r="Q67" s="114"/>
      <c r="S67" s="21"/>
    </row>
    <row r="68" spans="1:20">
      <c r="A68" s="117"/>
      <c r="B68" s="118"/>
      <c r="C68" s="112" t="s">
        <v>1195</v>
      </c>
      <c r="D68" s="112" t="s">
        <v>1196</v>
      </c>
      <c r="E68" s="112" t="s">
        <v>1197</v>
      </c>
      <c r="F68" s="112" t="s">
        <v>1194</v>
      </c>
      <c r="G68" s="119" t="s">
        <v>1182</v>
      </c>
      <c r="H68" s="113">
        <v>11755.590923076923</v>
      </c>
      <c r="I68" s="113"/>
      <c r="J68" s="113">
        <v>0</v>
      </c>
      <c r="K68" s="113">
        <f t="shared" si="7"/>
        <v>11755.590923076923</v>
      </c>
      <c r="L68" s="113">
        <v>11221.251461538463</v>
      </c>
      <c r="M68" s="113">
        <f t="shared" si="1"/>
        <v>534.33946153846045</v>
      </c>
      <c r="N68" s="113"/>
      <c r="O68" s="113"/>
      <c r="P68" s="113"/>
      <c r="Q68" s="114"/>
      <c r="S68" s="21"/>
    </row>
    <row r="69" spans="1:20">
      <c r="A69" s="117"/>
      <c r="B69" s="118"/>
      <c r="C69" s="115" t="s">
        <v>1198</v>
      </c>
      <c r="D69" s="115" t="s">
        <v>1199</v>
      </c>
      <c r="E69" s="115" t="s">
        <v>1200</v>
      </c>
      <c r="F69" s="115" t="s">
        <v>1137</v>
      </c>
      <c r="G69" s="115" t="s">
        <v>1182</v>
      </c>
      <c r="H69" s="113">
        <v>1470</v>
      </c>
      <c r="I69" s="113"/>
      <c r="J69" s="113">
        <v>0</v>
      </c>
      <c r="K69" s="113">
        <f t="shared" si="7"/>
        <v>1470</v>
      </c>
      <c r="L69" s="113">
        <v>1470</v>
      </c>
      <c r="M69" s="113">
        <f t="shared" si="1"/>
        <v>0</v>
      </c>
      <c r="N69" s="113"/>
      <c r="O69" s="113"/>
      <c r="P69" s="113"/>
      <c r="Q69" s="114"/>
      <c r="S69" s="21"/>
    </row>
    <row r="70" spans="1:20">
      <c r="A70" s="117"/>
      <c r="B70" s="118"/>
      <c r="C70" s="115" t="s">
        <v>1201</v>
      </c>
      <c r="D70" s="115" t="s">
        <v>1202</v>
      </c>
      <c r="E70" s="115" t="s">
        <v>1203</v>
      </c>
      <c r="F70" s="115" t="s">
        <v>1204</v>
      </c>
      <c r="G70" s="115" t="s">
        <v>1182</v>
      </c>
      <c r="H70" s="113">
        <v>490.4</v>
      </c>
      <c r="I70" s="113"/>
      <c r="J70" s="113">
        <v>0</v>
      </c>
      <c r="K70" s="113"/>
      <c r="L70" s="113"/>
      <c r="M70" s="113"/>
      <c r="N70" s="113"/>
      <c r="O70" s="113"/>
      <c r="P70" s="113"/>
      <c r="Q70" s="114"/>
      <c r="S70" s="21"/>
    </row>
    <row r="71" spans="1:20">
      <c r="A71" s="117"/>
      <c r="B71" s="118"/>
      <c r="C71" s="115" t="s">
        <v>1205</v>
      </c>
      <c r="D71" s="115" t="s">
        <v>1206</v>
      </c>
      <c r="E71" s="115" t="s">
        <v>1207</v>
      </c>
      <c r="F71" s="115" t="s">
        <v>1137</v>
      </c>
      <c r="G71" s="116" t="s">
        <v>1182</v>
      </c>
      <c r="H71" s="113">
        <v>1974</v>
      </c>
      <c r="I71" s="113"/>
      <c r="J71" s="113">
        <v>0</v>
      </c>
      <c r="K71" s="113">
        <f t="shared" si="7"/>
        <v>1974</v>
      </c>
      <c r="L71" s="113">
        <v>1860.14</v>
      </c>
      <c r="M71" s="113">
        <f t="shared" si="1"/>
        <v>113.8599999999999</v>
      </c>
      <c r="N71" s="113"/>
      <c r="O71" s="113"/>
      <c r="P71" s="113"/>
      <c r="Q71" s="114"/>
      <c r="S71" s="21"/>
    </row>
    <row r="72" spans="1:20">
      <c r="A72" s="117"/>
      <c r="B72" s="118"/>
      <c r="C72" s="115" t="s">
        <v>1208</v>
      </c>
      <c r="D72" s="115" t="s">
        <v>1209</v>
      </c>
      <c r="E72" s="115" t="s">
        <v>1210</v>
      </c>
      <c r="F72" s="115" t="s">
        <v>1137</v>
      </c>
      <c r="G72" s="116" t="s">
        <v>1182</v>
      </c>
      <c r="H72" s="113">
        <v>1819.3</v>
      </c>
      <c r="I72" s="113"/>
      <c r="J72" s="113">
        <v>0</v>
      </c>
      <c r="K72" s="113">
        <f t="shared" si="7"/>
        <v>1819.3</v>
      </c>
      <c r="L72" s="113">
        <v>1986.32</v>
      </c>
      <c r="M72" s="113">
        <f>+K72-L72</f>
        <v>-167.01999999999998</v>
      </c>
      <c r="N72" s="113"/>
      <c r="O72" s="113"/>
      <c r="P72" s="113"/>
      <c r="Q72" s="114"/>
      <c r="S72" s="21"/>
    </row>
    <row r="73" spans="1:20">
      <c r="A73" s="117"/>
      <c r="B73" s="118"/>
      <c r="C73" s="112" t="s">
        <v>1041</v>
      </c>
      <c r="D73" s="112" t="s">
        <v>1014</v>
      </c>
      <c r="E73" s="112" t="s">
        <v>1211</v>
      </c>
      <c r="F73" s="112" t="s">
        <v>1212</v>
      </c>
      <c r="G73" s="119" t="s">
        <v>1182</v>
      </c>
      <c r="H73" s="113">
        <v>7170.558</v>
      </c>
      <c r="I73" s="113"/>
      <c r="J73" s="113">
        <v>0</v>
      </c>
      <c r="K73" s="113">
        <f t="shared" si="7"/>
        <v>7170.558</v>
      </c>
      <c r="L73" s="113">
        <v>6844.6200000000008</v>
      </c>
      <c r="M73" s="113">
        <f>+K73-L73</f>
        <v>325.93799999999919</v>
      </c>
      <c r="N73" s="113"/>
      <c r="O73" s="113"/>
      <c r="P73" s="113"/>
      <c r="Q73" s="114"/>
      <c r="S73" s="21"/>
    </row>
    <row r="74" spans="1:20" s="124" customFormat="1">
      <c r="A74" s="110"/>
      <c r="B74" s="110"/>
      <c r="C74" s="120" t="s">
        <v>1213</v>
      </c>
      <c r="D74" s="120" t="s">
        <v>1201</v>
      </c>
      <c r="E74" s="120" t="s">
        <v>1214</v>
      </c>
      <c r="F74" s="120" t="s">
        <v>1212</v>
      </c>
      <c r="G74" s="121" t="s">
        <v>1182</v>
      </c>
      <c r="H74" s="113">
        <v>8863.9639999999981</v>
      </c>
      <c r="I74" s="122"/>
      <c r="J74" s="113">
        <v>0</v>
      </c>
      <c r="K74" s="123">
        <f t="shared" si="7"/>
        <v>8863.9639999999981</v>
      </c>
      <c r="L74" s="123">
        <v>8461.0529999999999</v>
      </c>
      <c r="M74" s="123">
        <f>+K74-L74</f>
        <v>402.91099999999824</v>
      </c>
      <c r="N74" s="123"/>
      <c r="O74" s="123"/>
      <c r="P74" s="123"/>
      <c r="Q74" s="114"/>
    </row>
    <row r="75" spans="1:20">
      <c r="A75" s="117"/>
      <c r="B75" s="117"/>
      <c r="C75" s="125" t="s">
        <v>1215</v>
      </c>
      <c r="D75" s="125" t="s">
        <v>1201</v>
      </c>
      <c r="E75" s="125" t="s">
        <v>1216</v>
      </c>
      <c r="F75" s="125" t="s">
        <v>1204</v>
      </c>
      <c r="G75" s="126" t="s">
        <v>1182</v>
      </c>
      <c r="H75" s="113">
        <v>8280.3540769230749</v>
      </c>
      <c r="I75" s="113"/>
      <c r="J75" s="113">
        <v>0</v>
      </c>
      <c r="K75" s="113">
        <f t="shared" si="7"/>
        <v>8280.3540769230749</v>
      </c>
      <c r="L75" s="113">
        <v>7904.0045384615378</v>
      </c>
      <c r="M75" s="113">
        <f>+K75-L75</f>
        <v>376.34953846153712</v>
      </c>
      <c r="N75" s="113"/>
      <c r="O75" s="113"/>
      <c r="P75" s="113"/>
      <c r="Q75" s="114"/>
      <c r="S75" s="21"/>
    </row>
    <row r="76" spans="1:20">
      <c r="G76" s="127" t="s">
        <v>1217</v>
      </c>
      <c r="H76" s="106">
        <f>SUM(H64:H75)</f>
        <v>76578.152230769221</v>
      </c>
      <c r="I76" s="106">
        <f>SUM(I64:I75)</f>
        <v>9090.14</v>
      </c>
      <c r="J76" s="106">
        <f>SUM(J64:J75)</f>
        <v>0</v>
      </c>
      <c r="K76" s="106">
        <f>SUM(K64:K75)</f>
        <v>66997.612230769228</v>
      </c>
      <c r="L76" s="106">
        <f>SUM(L64:L75)</f>
        <v>70144.481923076935</v>
      </c>
      <c r="M76" s="106">
        <f t="shared" ref="M76" si="8">+K76-L76</f>
        <v>-3146.8696923077077</v>
      </c>
      <c r="N76" s="106"/>
      <c r="O76" s="106"/>
      <c r="P76" s="106"/>
      <c r="Q76" s="69">
        <f>+M76/K76</f>
        <v>-4.6969878291609937E-2</v>
      </c>
      <c r="S76" s="21"/>
    </row>
    <row r="77" spans="1:20">
      <c r="G77" s="127"/>
      <c r="H77" s="128"/>
      <c r="I77" s="129"/>
      <c r="J77" s="129"/>
      <c r="K77" s="129"/>
      <c r="L77" s="129"/>
      <c r="M77" s="129"/>
      <c r="N77" s="129"/>
      <c r="O77" s="129"/>
      <c r="P77" s="129"/>
      <c r="Q77" s="130"/>
      <c r="S77" s="21"/>
    </row>
    <row r="78" spans="1:20">
      <c r="F78" s="130"/>
      <c r="G78" s="131" t="s">
        <v>1218</v>
      </c>
      <c r="H78" s="128">
        <f>H76+H63+H48+H14</f>
        <v>490145.19015384617</v>
      </c>
      <c r="I78" s="129">
        <f>+I76+I63+I48+I14</f>
        <v>16077.16</v>
      </c>
      <c r="J78" s="129">
        <f>+J76+J63+J48+J14</f>
        <v>6598.6499999999987</v>
      </c>
      <c r="K78" s="129">
        <f>K76+K63+K48+K14</f>
        <v>465828.58015384618</v>
      </c>
      <c r="L78" s="129">
        <f>+L76+L63+L48+L14</f>
        <v>442945.91142124543</v>
      </c>
      <c r="M78" s="106">
        <f>+K78-L78</f>
        <v>22882.668732600752</v>
      </c>
      <c r="N78" s="106">
        <f>+N63</f>
        <v>45377.350000000006</v>
      </c>
      <c r="O78" s="106">
        <f>+O63</f>
        <v>37471.18</v>
      </c>
      <c r="P78" s="106">
        <f>+N78-O78</f>
        <v>7906.1700000000055</v>
      </c>
      <c r="Q78" s="69">
        <f>+M78/K78</f>
        <v>4.9122509239436195E-2</v>
      </c>
      <c r="R78" s="26"/>
      <c r="S78" s="21"/>
    </row>
    <row r="79" spans="1:20" ht="18.75">
      <c r="A79" s="132" t="s">
        <v>1219</v>
      </c>
      <c r="G79" s="127"/>
      <c r="H79" s="128"/>
      <c r="I79" s="133"/>
      <c r="J79" s="129"/>
      <c r="K79" s="129"/>
      <c r="L79" s="129"/>
      <c r="M79" s="129"/>
      <c r="N79" s="129"/>
      <c r="O79" s="129"/>
      <c r="P79" s="129"/>
      <c r="Q79" s="130"/>
      <c r="R79" s="26"/>
      <c r="S79" s="21"/>
    </row>
    <row r="80" spans="1:20">
      <c r="B80" s="134">
        <v>45902</v>
      </c>
      <c r="C80" s="21" t="s">
        <v>1101</v>
      </c>
      <c r="D80" s="21" t="s">
        <v>1102</v>
      </c>
      <c r="E80" s="21" t="s">
        <v>1103</v>
      </c>
      <c r="F80" s="72" t="s">
        <v>1026</v>
      </c>
      <c r="G80" s="73" t="s">
        <v>1036</v>
      </c>
      <c r="H80" s="29"/>
      <c r="I80" s="21"/>
      <c r="J80" s="21"/>
      <c r="R80" s="26"/>
      <c r="S80" s="29"/>
      <c r="T80" s="29"/>
    </row>
    <row r="81" spans="2:20">
      <c r="B81" s="134">
        <v>45917</v>
      </c>
      <c r="C81" s="21" t="s">
        <v>1201</v>
      </c>
      <c r="D81" s="21" t="s">
        <v>1202</v>
      </c>
      <c r="E81" s="21" t="s">
        <v>1203</v>
      </c>
      <c r="F81" s="135"/>
      <c r="G81" s="136"/>
      <c r="H81" s="29"/>
      <c r="I81" s="21"/>
      <c r="J81" s="21"/>
      <c r="R81" s="26"/>
      <c r="S81" s="29"/>
      <c r="T81" s="29"/>
    </row>
    <row r="82" spans="2:20">
      <c r="G82" s="21"/>
      <c r="I82" s="21"/>
      <c r="J82" s="21"/>
      <c r="R82" s="26"/>
      <c r="S82" s="29"/>
      <c r="T82" s="29"/>
    </row>
    <row r="83" spans="2:20">
      <c r="G83" s="137" t="s">
        <v>1220</v>
      </c>
      <c r="H83" s="23"/>
      <c r="I83" s="21"/>
      <c r="J83" s="21"/>
      <c r="R83" s="26"/>
      <c r="S83" s="29"/>
    </row>
    <row r="84" spans="2:20">
      <c r="G84" s="137" t="s">
        <v>1221</v>
      </c>
      <c r="H84" s="138"/>
      <c r="I84" s="21"/>
      <c r="J84" s="21"/>
      <c r="K84" s="138">
        <f>SUMIFS(K8:K83,G8:G83,"1-IT Project Labor")</f>
        <v>55386.391923076924</v>
      </c>
      <c r="L84" s="138"/>
      <c r="M84" s="138"/>
      <c r="N84" s="138"/>
      <c r="O84" s="138"/>
      <c r="P84" s="138"/>
      <c r="R84" s="26"/>
      <c r="S84" s="21"/>
    </row>
    <row r="85" spans="2:20">
      <c r="G85" s="137" t="s">
        <v>1222</v>
      </c>
      <c r="H85" s="139"/>
      <c r="I85" s="21"/>
      <c r="J85" s="21"/>
      <c r="K85" s="138">
        <f>SUMIFS(K8:K82,G8:G82,"2-Direct Labor")</f>
        <v>199011.91892307694</v>
      </c>
      <c r="L85" s="138"/>
      <c r="M85" s="138"/>
      <c r="N85" s="138"/>
      <c r="O85" s="138"/>
      <c r="P85" s="138"/>
      <c r="R85" s="26"/>
      <c r="S85" s="21"/>
    </row>
    <row r="86" spans="2:20">
      <c r="G86" s="137" t="s">
        <v>1223</v>
      </c>
      <c r="H86" s="138"/>
      <c r="I86" s="21"/>
      <c r="J86" s="21"/>
      <c r="K86" s="138">
        <f>SUMIFS(K8:K82,G8:G82,"3-Sales Labor Costs")</f>
        <v>144432.65707692306</v>
      </c>
      <c r="L86" s="138"/>
      <c r="M86" s="138"/>
      <c r="N86" s="138"/>
      <c r="O86" s="138"/>
      <c r="P86" s="138"/>
      <c r="R86" s="26"/>
      <c r="S86" s="21"/>
    </row>
    <row r="87" spans="2:20">
      <c r="G87" s="137" t="s">
        <v>1224</v>
      </c>
      <c r="H87" s="138"/>
      <c r="I87" s="21"/>
      <c r="J87" s="21"/>
      <c r="K87" s="138">
        <f>SUMIFS(K8:K82,G8:G82,"4-Admin ")</f>
        <v>66997.612230769228</v>
      </c>
      <c r="L87" s="138"/>
      <c r="M87" s="138"/>
      <c r="N87" s="138"/>
      <c r="O87" s="138"/>
      <c r="P87" s="138"/>
      <c r="R87" s="26"/>
      <c r="S87" s="21"/>
    </row>
    <row r="88" spans="2:20">
      <c r="G88" s="137" t="s">
        <v>1218</v>
      </c>
      <c r="H88" s="138"/>
      <c r="I88" s="21"/>
      <c r="J88" s="21"/>
      <c r="K88" s="138">
        <f>SUM(K84:K87)</f>
        <v>465828.58015384618</v>
      </c>
      <c r="L88" s="138"/>
      <c r="M88" s="138"/>
      <c r="N88" s="138"/>
      <c r="O88" s="138"/>
      <c r="P88" s="138"/>
      <c r="R88" s="26"/>
      <c r="S88" s="21"/>
    </row>
    <row r="89" spans="2:20">
      <c r="H89" s="23"/>
      <c r="J89" s="21"/>
      <c r="K89" s="138"/>
      <c r="L89" s="138"/>
      <c r="M89" s="138"/>
      <c r="N89" s="138"/>
      <c r="O89" s="138"/>
      <c r="P89" s="138"/>
      <c r="R89" s="26"/>
      <c r="S89" s="21"/>
    </row>
    <row r="90" spans="2:20">
      <c r="F90" s="65"/>
      <c r="H90" s="140"/>
      <c r="I90" s="140"/>
      <c r="J90" s="29"/>
      <c r="K90" s="29"/>
      <c r="L90" s="29"/>
      <c r="M90" s="29"/>
      <c r="N90" s="29"/>
      <c r="O90" s="29"/>
      <c r="P90" s="29"/>
      <c r="Q90" s="29"/>
      <c r="R90" s="26"/>
      <c r="S90" s="21"/>
    </row>
    <row r="91" spans="2:20">
      <c r="F91" s="141"/>
      <c r="H91" s="140"/>
      <c r="I91" s="140"/>
      <c r="J91" s="29"/>
      <c r="K91" s="29"/>
      <c r="L91" s="29"/>
      <c r="M91" s="29"/>
      <c r="N91" s="29"/>
      <c r="O91" s="29"/>
      <c r="P91" s="29"/>
      <c r="R91" s="26"/>
      <c r="S91" s="21"/>
    </row>
    <row r="92" spans="2:20">
      <c r="H92" s="23"/>
      <c r="J92" s="21"/>
      <c r="R92" s="26"/>
      <c r="S92" s="21"/>
    </row>
    <row r="93" spans="2:20">
      <c r="H93" s="23"/>
      <c r="J93" s="21"/>
      <c r="R93" s="26"/>
      <c r="S93" s="21"/>
    </row>
    <row r="94" spans="2:20">
      <c r="H94" s="23"/>
      <c r="J94" s="21"/>
      <c r="R94" s="26"/>
      <c r="S94" s="21"/>
    </row>
    <row r="95" spans="2:20">
      <c r="R95" s="26"/>
      <c r="S95" s="21"/>
    </row>
    <row r="96" spans="2:20">
      <c r="R96" s="26"/>
      <c r="S96" s="21"/>
    </row>
  </sheetData>
  <autoFilter ref="A7:T79" xr:uid="{BBDFE225-E5DA-4A08-8312-A9C08EF41A09}"/>
  <mergeCells count="1">
    <mergeCell ref="F1:G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a47a66f-b3ee-4495-bf32-e6370fcf1efb">
      <Terms xmlns="http://schemas.microsoft.com/office/infopath/2007/PartnerControls"/>
    </lcf76f155ced4ddcb4097134ff3c332f>
    <TaxCatchAll xmlns="82563692-96a6-488b-9f55-d4b046c45f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56198B76F4F64085C7A299E3D96786" ma:contentTypeVersion="15" ma:contentTypeDescription="Create a new document." ma:contentTypeScope="" ma:versionID="afb8ab73f37c99a4c11f493326545557">
  <xsd:schema xmlns:xsd="http://www.w3.org/2001/XMLSchema" xmlns:xs="http://www.w3.org/2001/XMLSchema" xmlns:p="http://schemas.microsoft.com/office/2006/metadata/properties" xmlns:ns2="4a47a66f-b3ee-4495-bf32-e6370fcf1efb" xmlns:ns3="82563692-96a6-488b-9f55-d4b046c45fc9" targetNamespace="http://schemas.microsoft.com/office/2006/metadata/properties" ma:root="true" ma:fieldsID="d65a2204a8c195752deda4225c0ff654" ns2:_="" ns3:_="">
    <xsd:import namespace="4a47a66f-b3ee-4495-bf32-e6370fcf1efb"/>
    <xsd:import namespace="82563692-96a6-488b-9f55-d4b046c45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Locatio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47a66f-b3ee-4495-bf32-e6370fcf1e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4b6eeb6-03b1-4186-a525-5274877e6c6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563692-96a6-488b-9f55-d4b046c45fc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64f764ec-2591-407e-a629-0e8203bbd38d}" ma:internalName="TaxCatchAll" ma:showField="CatchAllData" ma:web="82563692-96a6-488b-9f55-d4b046c45f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2621D1-AAA9-4670-B944-069AD222E1DD}"/>
</file>

<file path=customXml/itemProps2.xml><?xml version="1.0" encoding="utf-8"?>
<ds:datastoreItem xmlns:ds="http://schemas.openxmlformats.org/officeDocument/2006/customXml" ds:itemID="{B5129986-CA08-45F4-9305-17BC56B0603B}"/>
</file>

<file path=customXml/itemProps3.xml><?xml version="1.0" encoding="utf-8"?>
<ds:datastoreItem xmlns:ds="http://schemas.openxmlformats.org/officeDocument/2006/customXml" ds:itemID="{726A1D75-22CD-4B8E-9A69-5C4ADC2294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White, Zachary</dc:creator>
  <cp:keywords/>
  <dc:description/>
  <cp:lastModifiedBy>Zachary White</cp:lastModifiedBy>
  <cp:revision/>
  <dcterms:created xsi:type="dcterms:W3CDTF">2025-10-19T01:33:46Z</dcterms:created>
  <dcterms:modified xsi:type="dcterms:W3CDTF">2025-11-13T04:12:41Z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0x0101001A56198B76F4F64085C7A299E3D96786</vt:lpwstr>
  </property>
  <property fmtid="{D5CDD505-2E9C-101B-9397-08002B2CF9AE}" pid="3" name="MSIP_Label_e3926ae2-a5f5-4eb8-b7a9-2a972f12d6fe_Enabled">
    <vt:lpwstr>true</vt:lpwstr>
  </property>
  <property fmtid="{D5CDD505-2E9C-101B-9397-08002B2CF9AE}" pid="4" name="MSIP_Label_e3926ae2-a5f5-4eb8-b7a9-2a972f12d6fe_SetDate">
    <vt:lpwstr>2025-11-13T04:09:43Z</vt:lpwstr>
  </property>
  <property fmtid="{D5CDD505-2E9C-101B-9397-08002B2CF9AE}" pid="5" name="MSIP_Label_e3926ae2-a5f5-4eb8-b7a9-2a972f12d6fe_Method">
    <vt:lpwstr>Standard</vt:lpwstr>
  </property>
  <property fmtid="{D5CDD505-2E9C-101B-9397-08002B2CF9AE}" pid="6" name="MSIP_Label_e3926ae2-a5f5-4eb8-b7a9-2a972f12d6fe_Name">
    <vt:lpwstr>e3926ae2-a5f5-4eb8-b7a9-2a972f12d6fe</vt:lpwstr>
  </property>
  <property fmtid="{D5CDD505-2E9C-101B-9397-08002B2CF9AE}" pid="7" name="MSIP_Label_e3926ae2-a5f5-4eb8-b7a9-2a972f12d6fe_SiteId">
    <vt:lpwstr>9ef5d077-23c6-453f-94f9-7809c35a837f</vt:lpwstr>
  </property>
  <property fmtid="{D5CDD505-2E9C-101B-9397-08002B2CF9AE}" pid="8" name="MSIP_Label_e3926ae2-a5f5-4eb8-b7a9-2a972f12d6fe_ActionId">
    <vt:lpwstr>da960598-833e-42bc-8d1c-bd9115bc86f4</vt:lpwstr>
  </property>
  <property fmtid="{D5CDD505-2E9C-101B-9397-08002B2CF9AE}" pid="9" name="MSIP_Label_e3926ae2-a5f5-4eb8-b7a9-2a972f12d6fe_ContentBits">
    <vt:lpwstr>0</vt:lpwstr>
  </property>
  <property fmtid="{D5CDD505-2E9C-101B-9397-08002B2CF9AE}" pid="10" name="MSIP_Label_e3926ae2-a5f5-4eb8-b7a9-2a972f12d6fe_Tag">
    <vt:lpwstr>10, 3, 0, 2</vt:lpwstr>
  </property>
  <property fmtid="{D5CDD505-2E9C-101B-9397-08002B2CF9AE}" pid="11" name="MediaServiceImageTags">
    <vt:lpwstr/>
  </property>
</Properties>
</file>