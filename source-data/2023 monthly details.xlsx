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comments2.xml" ContentType="application/vnd.openxmlformats-officedocument.spreadsheetml.comments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/>
  <mc:AlternateContent xmlns:mc="http://schemas.openxmlformats.org/markup-compatibility/2006">
    <mc:Choice Requires="x15">
      <x15ac:absPath xmlns:x15ac="http://schemas.microsoft.com/office/spreadsheetml/2010/11/ac" url="/Users/scott/Documents/CLevelAdvising/Datapath/financials/P&amp;L/"/>
    </mc:Choice>
  </mc:AlternateContent>
  <xr:revisionPtr revIDLastSave="0" documentId="8_{BC9DD251-1EBD-FA48-9D68-7E13A639606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ombined Company" sheetId="5" r:id="rId1"/>
    <sheet name="Ohio" sheetId="9" r:id="rId2"/>
    <sheet name="California Calculated" sheetId="10" r:id="rId3"/>
    <sheet name="Modesto &amp; Irvine" sheetId="8" r:id="rId4"/>
    <sheet name="Fresno" sheetId="4" r:id="rId5"/>
    <sheet name="Ohio - old forma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7" i="5" l="1"/>
  <c r="X80" i="5"/>
  <c r="X73" i="5"/>
  <c r="B73" i="5"/>
  <c r="B74" i="5" s="1"/>
  <c r="B80" i="5" s="1"/>
  <c r="D73" i="5"/>
  <c r="D74" i="5" s="1"/>
  <c r="D80" i="5" s="1"/>
  <c r="F73" i="5"/>
  <c r="F74" i="5" s="1"/>
  <c r="F80" i="5" s="1"/>
  <c r="H73" i="5"/>
  <c r="H74" i="5" s="1"/>
  <c r="H80" i="5" s="1"/>
  <c r="J74" i="5"/>
  <c r="J80" i="5" s="1"/>
  <c r="J73" i="5"/>
  <c r="L73" i="5"/>
  <c r="L74" i="5" s="1"/>
  <c r="L80" i="5" s="1"/>
  <c r="N73" i="5"/>
  <c r="N74" i="5" s="1"/>
  <c r="N80" i="5" s="1"/>
  <c r="P73" i="5"/>
  <c r="P74" i="5" s="1"/>
  <c r="P80" i="5" s="1"/>
  <c r="R74" i="5"/>
  <c r="R80" i="5" s="1"/>
  <c r="R73" i="5"/>
  <c r="T74" i="5"/>
  <c r="T73" i="5"/>
  <c r="T80" i="5"/>
  <c r="V80" i="5"/>
  <c r="H60" i="9"/>
  <c r="I60" i="9" s="1"/>
  <c r="F60" i="9"/>
  <c r="G60" i="9" s="1"/>
  <c r="E60" i="9"/>
  <c r="D60" i="9"/>
  <c r="B60" i="9"/>
  <c r="C60" i="9" s="1"/>
  <c r="K58" i="9"/>
  <c r="I58" i="9"/>
  <c r="G58" i="9"/>
  <c r="E58" i="9"/>
  <c r="C58" i="9"/>
  <c r="Q57" i="9"/>
  <c r="O57" i="9"/>
  <c r="I57" i="9"/>
  <c r="G57" i="9"/>
  <c r="E57" i="9"/>
  <c r="C57" i="9"/>
  <c r="S55" i="9"/>
  <c r="Q55" i="9"/>
  <c r="O55" i="9"/>
  <c r="I55" i="9"/>
  <c r="G55" i="9"/>
  <c r="E55" i="9"/>
  <c r="C55" i="9"/>
  <c r="S52" i="9"/>
  <c r="Q52" i="9"/>
  <c r="I52" i="9"/>
  <c r="G52" i="9"/>
  <c r="E52" i="9"/>
  <c r="C52" i="9"/>
  <c r="S51" i="9"/>
  <c r="I51" i="9"/>
  <c r="G51" i="9"/>
  <c r="E51" i="9"/>
  <c r="C51" i="9"/>
  <c r="I50" i="9"/>
  <c r="G50" i="9"/>
  <c r="E50" i="9"/>
  <c r="C50" i="9"/>
  <c r="K49" i="9"/>
  <c r="I49" i="9"/>
  <c r="G49" i="9"/>
  <c r="E49" i="9"/>
  <c r="C49" i="9"/>
  <c r="K48" i="9"/>
  <c r="I48" i="9"/>
  <c r="G48" i="9"/>
  <c r="E48" i="9"/>
  <c r="C48" i="9"/>
  <c r="K45" i="9"/>
  <c r="I45" i="9"/>
  <c r="G45" i="9"/>
  <c r="E45" i="9"/>
  <c r="C45" i="9"/>
  <c r="Q43" i="9"/>
  <c r="O43" i="9"/>
  <c r="I43" i="9"/>
  <c r="G43" i="9"/>
  <c r="E43" i="9"/>
  <c r="C43" i="9"/>
  <c r="S41" i="9"/>
  <c r="Q41" i="9"/>
  <c r="O41" i="9"/>
  <c r="I41" i="9"/>
  <c r="G41" i="9"/>
  <c r="E41" i="9"/>
  <c r="C41" i="9"/>
  <c r="R39" i="9"/>
  <c r="S39" i="9" s="1"/>
  <c r="P39" i="9"/>
  <c r="Q39" i="9" s="1"/>
  <c r="N39" i="9"/>
  <c r="O39" i="9" s="1"/>
  <c r="L39" i="9"/>
  <c r="M39" i="9" s="1"/>
  <c r="K39" i="9"/>
  <c r="I39" i="9"/>
  <c r="G39" i="9"/>
  <c r="E39" i="9"/>
  <c r="C39" i="9"/>
  <c r="K38" i="9"/>
  <c r="I38" i="9"/>
  <c r="G38" i="9"/>
  <c r="E38" i="9"/>
  <c r="C38" i="9"/>
  <c r="Q37" i="9"/>
  <c r="O37" i="9"/>
  <c r="I37" i="9"/>
  <c r="G37" i="9"/>
  <c r="E37" i="9"/>
  <c r="C37" i="9"/>
  <c r="S36" i="9"/>
  <c r="Q36" i="9"/>
  <c r="O36" i="9"/>
  <c r="I36" i="9"/>
  <c r="G36" i="9"/>
  <c r="E36" i="9"/>
  <c r="C36" i="9"/>
  <c r="S35" i="9"/>
  <c r="Q35" i="9"/>
  <c r="I35" i="9"/>
  <c r="G35" i="9"/>
  <c r="E35" i="9"/>
  <c r="C35" i="9"/>
  <c r="S34" i="9"/>
  <c r="I34" i="9"/>
  <c r="G34" i="9"/>
  <c r="E34" i="9"/>
  <c r="C34" i="9"/>
  <c r="H30" i="9"/>
  <c r="F30" i="9"/>
  <c r="E30" i="9"/>
  <c r="D30" i="9"/>
  <c r="B30" i="9"/>
  <c r="R29" i="9"/>
  <c r="R60" i="9" s="1"/>
  <c r="S60" i="9" s="1"/>
  <c r="P29" i="9"/>
  <c r="P60" i="9" s="1"/>
  <c r="Q60" i="9" s="1"/>
  <c r="J29" i="9"/>
  <c r="J60" i="9" s="1"/>
  <c r="K60" i="9" s="1"/>
  <c r="I29" i="9"/>
  <c r="I30" i="9" s="1"/>
  <c r="G29" i="9"/>
  <c r="G30" i="9" s="1"/>
  <c r="E29" i="9"/>
  <c r="C29" i="9"/>
  <c r="C30" i="9" s="1"/>
  <c r="T27" i="9"/>
  <c r="R27" i="9"/>
  <c r="P27" i="9"/>
  <c r="Q27" i="9" s="1"/>
  <c r="O27" i="9"/>
  <c r="N27" i="9"/>
  <c r="L27" i="9"/>
  <c r="M27" i="9" s="1"/>
  <c r="J27" i="9"/>
  <c r="K27" i="9" s="1"/>
  <c r="I27" i="9"/>
  <c r="G27" i="9"/>
  <c r="E27" i="9"/>
  <c r="C27" i="9"/>
  <c r="K26" i="9"/>
  <c r="I26" i="9"/>
  <c r="G26" i="9"/>
  <c r="E26" i="9"/>
  <c r="C26" i="9"/>
  <c r="K25" i="9"/>
  <c r="I25" i="9"/>
  <c r="G25" i="9"/>
  <c r="E25" i="9"/>
  <c r="C25" i="9"/>
  <c r="K24" i="9"/>
  <c r="I24" i="9"/>
  <c r="G24" i="9"/>
  <c r="E24" i="9"/>
  <c r="C24" i="9"/>
  <c r="Q23" i="9"/>
  <c r="O23" i="9"/>
  <c r="I23" i="9"/>
  <c r="G23" i="9"/>
  <c r="E23" i="9"/>
  <c r="C23" i="9"/>
  <c r="S22" i="9"/>
  <c r="Q22" i="9"/>
  <c r="O22" i="9"/>
  <c r="I22" i="9"/>
  <c r="G22" i="9"/>
  <c r="E22" i="9"/>
  <c r="C22" i="9"/>
  <c r="S21" i="9"/>
  <c r="Q21" i="9"/>
  <c r="I21" i="9"/>
  <c r="G21" i="9"/>
  <c r="E21" i="9"/>
  <c r="C21" i="9"/>
  <c r="T17" i="9"/>
  <c r="T29" i="9" s="1"/>
  <c r="R17" i="9"/>
  <c r="S50" i="9" s="1"/>
  <c r="P17" i="9"/>
  <c r="Q51" i="9" s="1"/>
  <c r="N17" i="9"/>
  <c r="O52" i="9" s="1"/>
  <c r="L17" i="9"/>
  <c r="M55" i="9" s="1"/>
  <c r="J17" i="9"/>
  <c r="K57" i="9" s="1"/>
  <c r="I17" i="9"/>
  <c r="G17" i="9"/>
  <c r="E17" i="9"/>
  <c r="C17" i="9"/>
  <c r="S16" i="9"/>
  <c r="Q16" i="9"/>
  <c r="I16" i="9"/>
  <c r="G16" i="9"/>
  <c r="E16" i="9"/>
  <c r="C16" i="9"/>
  <c r="S15" i="9"/>
  <c r="K15" i="9"/>
  <c r="I15" i="9"/>
  <c r="G15" i="9"/>
  <c r="E15" i="9"/>
  <c r="C15" i="9"/>
  <c r="S14" i="9"/>
  <c r="Q14" i="9"/>
  <c r="K14" i="9"/>
  <c r="I14" i="9"/>
  <c r="G14" i="9"/>
  <c r="E14" i="9"/>
  <c r="C14" i="9"/>
  <c r="S13" i="9"/>
  <c r="Q13" i="9"/>
  <c r="K13" i="9"/>
  <c r="I13" i="9"/>
  <c r="G13" i="9"/>
  <c r="E13" i="9"/>
  <c r="C13" i="9"/>
  <c r="S12" i="9"/>
  <c r="Q12" i="9"/>
  <c r="K12" i="9"/>
  <c r="I12" i="9"/>
  <c r="G12" i="9"/>
  <c r="E12" i="9"/>
  <c r="C12" i="9"/>
  <c r="S11" i="9"/>
  <c r="Q11" i="9"/>
  <c r="O11" i="9"/>
  <c r="K11" i="9"/>
  <c r="I11" i="9"/>
  <c r="G11" i="9"/>
  <c r="E11" i="9"/>
  <c r="C11" i="9"/>
  <c r="S10" i="9"/>
  <c r="Q10" i="9"/>
  <c r="O10" i="9"/>
  <c r="M10" i="9"/>
  <c r="K10" i="9"/>
  <c r="I10" i="9"/>
  <c r="G10" i="9"/>
  <c r="E10" i="9"/>
  <c r="C10" i="9"/>
  <c r="S9" i="9"/>
  <c r="Q9" i="9"/>
  <c r="O9" i="9"/>
  <c r="K9" i="9"/>
  <c r="I9" i="9"/>
  <c r="G9" i="9"/>
  <c r="E9" i="9"/>
  <c r="C9" i="9"/>
  <c r="B3" i="9"/>
  <c r="D3" i="9"/>
  <c r="F3" i="9"/>
  <c r="H3" i="9"/>
  <c r="J3" i="9"/>
  <c r="L3" i="9"/>
  <c r="N3" i="9"/>
  <c r="P3" i="9"/>
  <c r="R3" i="9"/>
  <c r="T3" i="9"/>
  <c r="V3" i="9"/>
  <c r="X3" i="9"/>
  <c r="B4" i="9"/>
  <c r="D4" i="9"/>
  <c r="F4" i="9"/>
  <c r="H4" i="9"/>
  <c r="J4" i="9"/>
  <c r="L4" i="9"/>
  <c r="N4" i="9"/>
  <c r="P4" i="9"/>
  <c r="R4" i="9"/>
  <c r="T4" i="9"/>
  <c r="V4" i="9"/>
  <c r="X4" i="9"/>
  <c r="B5" i="9"/>
  <c r="D5" i="9"/>
  <c r="F5" i="9"/>
  <c r="H5" i="9"/>
  <c r="J5" i="9"/>
  <c r="L5" i="9"/>
  <c r="N5" i="9"/>
  <c r="P5" i="9"/>
  <c r="R5" i="9"/>
  <c r="T5" i="9"/>
  <c r="V5" i="9"/>
  <c r="X5" i="9"/>
  <c r="B6" i="9"/>
  <c r="D6" i="9"/>
  <c r="F6" i="9"/>
  <c r="H6" i="9"/>
  <c r="J6" i="9"/>
  <c r="L6" i="9"/>
  <c r="N6" i="9"/>
  <c r="P6" i="9"/>
  <c r="R6" i="9"/>
  <c r="T6" i="9"/>
  <c r="V6" i="9"/>
  <c r="X6" i="9"/>
  <c r="N60" i="5"/>
  <c r="O60" i="5" s="1"/>
  <c r="I60" i="5"/>
  <c r="G60" i="5"/>
  <c r="E60" i="5"/>
  <c r="C60" i="5"/>
  <c r="I58" i="5"/>
  <c r="G58" i="5"/>
  <c r="E58" i="5"/>
  <c r="C58" i="5"/>
  <c r="I57" i="5"/>
  <c r="G57" i="5"/>
  <c r="E57" i="5"/>
  <c r="C57" i="5"/>
  <c r="I55" i="5"/>
  <c r="G55" i="5"/>
  <c r="E55" i="5"/>
  <c r="C55" i="5"/>
  <c r="M52" i="5"/>
  <c r="K52" i="5"/>
  <c r="I52" i="5"/>
  <c r="G52" i="5"/>
  <c r="E52" i="5"/>
  <c r="C52" i="5"/>
  <c r="O51" i="5"/>
  <c r="M51" i="5"/>
  <c r="I51" i="5"/>
  <c r="G51" i="5"/>
  <c r="E51" i="5"/>
  <c r="C51" i="5"/>
  <c r="Q50" i="5"/>
  <c r="O50" i="5"/>
  <c r="I50" i="5"/>
  <c r="G50" i="5"/>
  <c r="E50" i="5"/>
  <c r="C50" i="5"/>
  <c r="Q49" i="5"/>
  <c r="I49" i="5"/>
  <c r="G49" i="5"/>
  <c r="E49" i="5"/>
  <c r="C49" i="5"/>
  <c r="S48" i="5"/>
  <c r="I48" i="5"/>
  <c r="G48" i="5"/>
  <c r="E48" i="5"/>
  <c r="C48" i="5"/>
  <c r="I45" i="5"/>
  <c r="G45" i="5"/>
  <c r="E45" i="5"/>
  <c r="C45" i="5"/>
  <c r="I43" i="5"/>
  <c r="G43" i="5"/>
  <c r="E43" i="5"/>
  <c r="C43" i="5"/>
  <c r="I41" i="5"/>
  <c r="G41" i="5"/>
  <c r="E41" i="5"/>
  <c r="C41" i="5"/>
  <c r="M39" i="5"/>
  <c r="K39" i="5"/>
  <c r="I39" i="5"/>
  <c r="G39" i="5"/>
  <c r="E39" i="5"/>
  <c r="C39" i="5"/>
  <c r="O38" i="5"/>
  <c r="M38" i="5"/>
  <c r="I38" i="5"/>
  <c r="G38" i="5"/>
  <c r="E38" i="5"/>
  <c r="C38" i="5"/>
  <c r="Q37" i="5"/>
  <c r="O37" i="5"/>
  <c r="I37" i="5"/>
  <c r="G37" i="5"/>
  <c r="E37" i="5"/>
  <c r="C37" i="5"/>
  <c r="Q36" i="5"/>
  <c r="I36" i="5"/>
  <c r="G36" i="5"/>
  <c r="E36" i="5"/>
  <c r="C36" i="5"/>
  <c r="S35" i="5"/>
  <c r="I35" i="5"/>
  <c r="G35" i="5"/>
  <c r="E35" i="5"/>
  <c r="C35" i="5"/>
  <c r="I34" i="5"/>
  <c r="G34" i="5"/>
  <c r="E34" i="5"/>
  <c r="C34" i="5"/>
  <c r="N30" i="5"/>
  <c r="E30" i="5"/>
  <c r="N29" i="5"/>
  <c r="O29" i="5" s="1"/>
  <c r="O30" i="5" s="1"/>
  <c r="I29" i="5"/>
  <c r="I30" i="5" s="1"/>
  <c r="G29" i="5"/>
  <c r="G30" i="5" s="1"/>
  <c r="E29" i="5"/>
  <c r="C29" i="5"/>
  <c r="T27" i="5"/>
  <c r="R27" i="5"/>
  <c r="S27" i="5" s="1"/>
  <c r="P27" i="5"/>
  <c r="Q27" i="5" s="1"/>
  <c r="N27" i="5"/>
  <c r="O27" i="5" s="1"/>
  <c r="L27" i="5"/>
  <c r="M27" i="5" s="1"/>
  <c r="J27" i="5"/>
  <c r="K27" i="5" s="1"/>
  <c r="I27" i="5"/>
  <c r="G27" i="5"/>
  <c r="E27" i="5"/>
  <c r="C27" i="5"/>
  <c r="Q26" i="5"/>
  <c r="I26" i="5"/>
  <c r="G26" i="5"/>
  <c r="E26" i="5"/>
  <c r="C26" i="5"/>
  <c r="S25" i="5"/>
  <c r="I25" i="5"/>
  <c r="G25" i="5"/>
  <c r="E25" i="5"/>
  <c r="C25" i="5"/>
  <c r="I24" i="5"/>
  <c r="G24" i="5"/>
  <c r="E24" i="5"/>
  <c r="C24" i="5"/>
  <c r="I23" i="5"/>
  <c r="G23" i="5"/>
  <c r="E23" i="5"/>
  <c r="C23" i="5"/>
  <c r="Q22" i="5"/>
  <c r="I22" i="5"/>
  <c r="G22" i="5"/>
  <c r="E22" i="5"/>
  <c r="C22" i="5"/>
  <c r="O21" i="5"/>
  <c r="M21" i="5"/>
  <c r="K21" i="5"/>
  <c r="I21" i="5"/>
  <c r="G21" i="5"/>
  <c r="E21" i="5"/>
  <c r="C21" i="5"/>
  <c r="T17" i="5"/>
  <c r="T29" i="5" s="1"/>
  <c r="R17" i="5"/>
  <c r="S57" i="5" s="1"/>
  <c r="Q17" i="5"/>
  <c r="P17" i="5"/>
  <c r="Q58" i="5" s="1"/>
  <c r="O17" i="5"/>
  <c r="N17" i="5"/>
  <c r="O48" i="5" s="1"/>
  <c r="M17" i="5"/>
  <c r="L17" i="5"/>
  <c r="M49" i="5" s="1"/>
  <c r="J17" i="5"/>
  <c r="K50" i="5" s="1"/>
  <c r="I17" i="5"/>
  <c r="G17" i="5"/>
  <c r="E17" i="5"/>
  <c r="C17" i="5"/>
  <c r="C30" i="5" s="1"/>
  <c r="Q16" i="5"/>
  <c r="O16" i="5"/>
  <c r="M16" i="5"/>
  <c r="K16" i="5"/>
  <c r="I16" i="5"/>
  <c r="G16" i="5"/>
  <c r="E16" i="5"/>
  <c r="C16" i="5"/>
  <c r="Q15" i="5"/>
  <c r="O15" i="5"/>
  <c r="M15" i="5"/>
  <c r="I15" i="5"/>
  <c r="G15" i="5"/>
  <c r="E15" i="5"/>
  <c r="C15" i="5"/>
  <c r="Q14" i="5"/>
  <c r="O14" i="5"/>
  <c r="M14" i="5"/>
  <c r="I14" i="5"/>
  <c r="G14" i="5"/>
  <c r="E14" i="5"/>
  <c r="C14" i="5"/>
  <c r="S13" i="5"/>
  <c r="Q13" i="5"/>
  <c r="O13" i="5"/>
  <c r="M13" i="5"/>
  <c r="I13" i="5"/>
  <c r="G13" i="5"/>
  <c r="E13" i="5"/>
  <c r="C13" i="5"/>
  <c r="S12" i="5"/>
  <c r="Q12" i="5"/>
  <c r="O12" i="5"/>
  <c r="M12" i="5"/>
  <c r="I12" i="5"/>
  <c r="G12" i="5"/>
  <c r="E12" i="5"/>
  <c r="C12" i="5"/>
  <c r="Q11" i="5"/>
  <c r="O11" i="5"/>
  <c r="M11" i="5"/>
  <c r="I11" i="5"/>
  <c r="G11" i="5"/>
  <c r="E11" i="5"/>
  <c r="C11" i="5"/>
  <c r="Q10" i="5"/>
  <c r="O10" i="5"/>
  <c r="M10" i="5"/>
  <c r="I10" i="5"/>
  <c r="G10" i="5"/>
  <c r="E10" i="5"/>
  <c r="C10" i="5"/>
  <c r="Q9" i="5"/>
  <c r="O9" i="5"/>
  <c r="M9" i="5"/>
  <c r="K9" i="5"/>
  <c r="I9" i="5"/>
  <c r="G9" i="5"/>
  <c r="E9" i="5"/>
  <c r="C9" i="5"/>
  <c r="T60" i="9" l="1"/>
  <c r="T30" i="9"/>
  <c r="Q29" i="9"/>
  <c r="O12" i="9"/>
  <c r="M13" i="9"/>
  <c r="O17" i="9"/>
  <c r="S23" i="9"/>
  <c r="Q24" i="9"/>
  <c r="O25" i="9"/>
  <c r="M26" i="9"/>
  <c r="K29" i="9"/>
  <c r="K30" i="9" s="1"/>
  <c r="S29" i="9"/>
  <c r="P30" i="9"/>
  <c r="S37" i="9"/>
  <c r="Q38" i="9"/>
  <c r="S43" i="9"/>
  <c r="Q45" i="9"/>
  <c r="O48" i="9"/>
  <c r="M49" i="9"/>
  <c r="K50" i="9"/>
  <c r="S57" i="9"/>
  <c r="Q58" i="9"/>
  <c r="M58" i="9"/>
  <c r="M12" i="9"/>
  <c r="M25" i="9"/>
  <c r="M48" i="9"/>
  <c r="O13" i="9"/>
  <c r="M14" i="9"/>
  <c r="S24" i="9"/>
  <c r="Q25" i="9"/>
  <c r="O26" i="9"/>
  <c r="S27" i="9"/>
  <c r="L29" i="9"/>
  <c r="K34" i="9"/>
  <c r="S38" i="9"/>
  <c r="S45" i="9"/>
  <c r="Q48" i="9"/>
  <c r="O49" i="9"/>
  <c r="M50" i="9"/>
  <c r="K51" i="9"/>
  <c r="S58" i="9"/>
  <c r="M23" i="9"/>
  <c r="M37" i="9"/>
  <c r="M43" i="9"/>
  <c r="M38" i="9"/>
  <c r="O45" i="9"/>
  <c r="O58" i="9"/>
  <c r="O14" i="9"/>
  <c r="M15" i="9"/>
  <c r="K16" i="9"/>
  <c r="Q17" i="9"/>
  <c r="K21" i="9"/>
  <c r="S25" i="9"/>
  <c r="Q26" i="9"/>
  <c r="J30" i="9"/>
  <c r="R30" i="9"/>
  <c r="M34" i="9"/>
  <c r="K35" i="9"/>
  <c r="S48" i="9"/>
  <c r="Q49" i="9"/>
  <c r="O50" i="9"/>
  <c r="M51" i="9"/>
  <c r="K52" i="9"/>
  <c r="M57" i="9"/>
  <c r="M11" i="9"/>
  <c r="O24" i="9"/>
  <c r="O38" i="9"/>
  <c r="O15" i="9"/>
  <c r="M16" i="9"/>
  <c r="M21" i="9"/>
  <c r="K22" i="9"/>
  <c r="S26" i="9"/>
  <c r="N29" i="9"/>
  <c r="O34" i="9"/>
  <c r="M35" i="9"/>
  <c r="K36" i="9"/>
  <c r="K41" i="9"/>
  <c r="S49" i="9"/>
  <c r="Q50" i="9"/>
  <c r="O51" i="9"/>
  <c r="M52" i="9"/>
  <c r="K55" i="9"/>
  <c r="M17" i="9"/>
  <c r="M24" i="9"/>
  <c r="M45" i="9"/>
  <c r="M9" i="9"/>
  <c r="Q15" i="9"/>
  <c r="O16" i="9"/>
  <c r="K17" i="9"/>
  <c r="S17" i="9"/>
  <c r="O21" i="9"/>
  <c r="M22" i="9"/>
  <c r="K23" i="9"/>
  <c r="Q34" i="9"/>
  <c r="O35" i="9"/>
  <c r="M36" i="9"/>
  <c r="K37" i="9"/>
  <c r="M41" i="9"/>
  <c r="K43" i="9"/>
  <c r="T60" i="5"/>
  <c r="T30" i="5"/>
  <c r="K22" i="5"/>
  <c r="S36" i="5"/>
  <c r="K41" i="5"/>
  <c r="S11" i="5"/>
  <c r="K15" i="5"/>
  <c r="S24" i="5"/>
  <c r="Q25" i="5"/>
  <c r="O26" i="5"/>
  <c r="L29" i="5"/>
  <c r="S34" i="5"/>
  <c r="Q35" i="5"/>
  <c r="O36" i="5"/>
  <c r="M37" i="5"/>
  <c r="K38" i="5"/>
  <c r="S45" i="5"/>
  <c r="Q48" i="5"/>
  <c r="O49" i="5"/>
  <c r="M50" i="5"/>
  <c r="K51" i="5"/>
  <c r="S58" i="5"/>
  <c r="K55" i="5"/>
  <c r="K10" i="5"/>
  <c r="S14" i="5"/>
  <c r="K17" i="5"/>
  <c r="S17" i="5"/>
  <c r="M22" i="5"/>
  <c r="K23" i="5"/>
  <c r="S37" i="5"/>
  <c r="Q38" i="5"/>
  <c r="O39" i="5"/>
  <c r="M41" i="5"/>
  <c r="K43" i="5"/>
  <c r="S50" i="5"/>
  <c r="Q51" i="5"/>
  <c r="O52" i="5"/>
  <c r="M55" i="5"/>
  <c r="K57" i="5"/>
  <c r="Q21" i="5"/>
  <c r="O22" i="5"/>
  <c r="M23" i="5"/>
  <c r="K24" i="5"/>
  <c r="P29" i="5"/>
  <c r="K34" i="5"/>
  <c r="S38" i="5"/>
  <c r="Q39" i="5"/>
  <c r="O41" i="5"/>
  <c r="M43" i="5"/>
  <c r="K45" i="5"/>
  <c r="S51" i="5"/>
  <c r="Q52" i="5"/>
  <c r="O55" i="5"/>
  <c r="M57" i="5"/>
  <c r="K58" i="5"/>
  <c r="K11" i="5"/>
  <c r="S15" i="5"/>
  <c r="K12" i="5"/>
  <c r="S16" i="5"/>
  <c r="S21" i="5"/>
  <c r="O23" i="5"/>
  <c r="M24" i="5"/>
  <c r="K25" i="5"/>
  <c r="M34" i="5"/>
  <c r="K35" i="5"/>
  <c r="S39" i="5"/>
  <c r="Q41" i="5"/>
  <c r="O43" i="5"/>
  <c r="M45" i="5"/>
  <c r="K48" i="5"/>
  <c r="S52" i="5"/>
  <c r="Q55" i="5"/>
  <c r="O57" i="5"/>
  <c r="M58" i="5"/>
  <c r="S22" i="5"/>
  <c r="Q23" i="5"/>
  <c r="O24" i="5"/>
  <c r="M25" i="5"/>
  <c r="K26" i="5"/>
  <c r="J29" i="5"/>
  <c r="R29" i="5"/>
  <c r="O34" i="5"/>
  <c r="M35" i="5"/>
  <c r="K36" i="5"/>
  <c r="S41" i="5"/>
  <c r="Q43" i="5"/>
  <c r="O45" i="5"/>
  <c r="M48" i="5"/>
  <c r="K49" i="5"/>
  <c r="S55" i="5"/>
  <c r="Q57" i="5"/>
  <c r="O58" i="5"/>
  <c r="S26" i="5"/>
  <c r="S49" i="5"/>
  <c r="S9" i="5"/>
  <c r="K13" i="5"/>
  <c r="S10" i="5"/>
  <c r="K14" i="5"/>
  <c r="S23" i="5"/>
  <c r="Q24" i="5"/>
  <c r="O25" i="5"/>
  <c r="M26" i="5"/>
  <c r="Q34" i="5"/>
  <c r="O35" i="5"/>
  <c r="M36" i="5"/>
  <c r="K37" i="5"/>
  <c r="S43" i="5"/>
  <c r="Q45" i="5"/>
  <c r="S30" i="9" l="1"/>
  <c r="Q30" i="9"/>
  <c r="O29" i="9"/>
  <c r="O30" i="9" s="1"/>
  <c r="N60" i="9"/>
  <c r="O60" i="9" s="1"/>
  <c r="N30" i="9"/>
  <c r="L60" i="9"/>
  <c r="M60" i="9" s="1"/>
  <c r="L30" i="9"/>
  <c r="M29" i="9"/>
  <c r="M30" i="9" s="1"/>
  <c r="K29" i="5"/>
  <c r="K30" i="5" s="1"/>
  <c r="J60" i="5"/>
  <c r="K60" i="5" s="1"/>
  <c r="J30" i="5"/>
  <c r="Q29" i="5"/>
  <c r="Q30" i="5" s="1"/>
  <c r="P60" i="5"/>
  <c r="Q60" i="5" s="1"/>
  <c r="P30" i="5"/>
  <c r="L60" i="5"/>
  <c r="M60" i="5" s="1"/>
  <c r="L30" i="5"/>
  <c r="M29" i="5"/>
  <c r="M30" i="5" s="1"/>
  <c r="S29" i="5"/>
  <c r="S30" i="5" s="1"/>
  <c r="R60" i="5"/>
  <c r="S60" i="5" s="1"/>
  <c r="R30" i="5"/>
  <c r="L81" i="9"/>
  <c r="J81" i="9"/>
  <c r="H81" i="9"/>
  <c r="G81" i="9"/>
  <c r="F81" i="9"/>
  <c r="E81" i="9"/>
  <c r="D81" i="9"/>
  <c r="B81" i="9"/>
  <c r="I61" i="9"/>
  <c r="H61" i="9"/>
  <c r="F61" i="9"/>
  <c r="L61" i="9"/>
  <c r="K61" i="9"/>
  <c r="J61" i="9"/>
  <c r="G61" i="9"/>
  <c r="E61" i="9"/>
  <c r="C61" i="9"/>
  <c r="B61" i="9"/>
  <c r="U55" i="9"/>
  <c r="U52" i="9"/>
  <c r="U49" i="9"/>
  <c r="U48" i="9"/>
  <c r="U41" i="9"/>
  <c r="U38" i="9"/>
  <c r="U37" i="9"/>
  <c r="U34" i="9"/>
  <c r="U29" i="9"/>
  <c r="U30" i="9" s="1"/>
  <c r="V27" i="9"/>
  <c r="U27" i="9"/>
  <c r="U24" i="9"/>
  <c r="V17" i="9"/>
  <c r="U17" i="9"/>
  <c r="U81" i="9" s="1"/>
  <c r="U39" i="9"/>
  <c r="S81" i="9"/>
  <c r="M81" i="9"/>
  <c r="K81" i="9"/>
  <c r="I81" i="9"/>
  <c r="C81" i="9"/>
  <c r="U16" i="9"/>
  <c r="U15" i="9"/>
  <c r="U12" i="9"/>
  <c r="U11" i="9"/>
  <c r="V29" i="9" l="1"/>
  <c r="V60" i="9" s="1"/>
  <c r="N81" i="9"/>
  <c r="O81" i="9"/>
  <c r="U25" i="9"/>
  <c r="U9" i="9"/>
  <c r="Q81" i="9"/>
  <c r="U43" i="9"/>
  <c r="U50" i="9"/>
  <c r="U57" i="9"/>
  <c r="U22" i="9"/>
  <c r="U26" i="9"/>
  <c r="M61" i="9"/>
  <c r="U21" i="9"/>
  <c r="U13" i="9"/>
  <c r="U35" i="9"/>
  <c r="U10" i="9"/>
  <c r="U14" i="9"/>
  <c r="U36" i="9"/>
  <c r="U45" i="9"/>
  <c r="U51" i="9"/>
  <c r="U58" i="9"/>
  <c r="D61" i="9"/>
  <c r="U23" i="9"/>
  <c r="V30" i="9" l="1"/>
  <c r="S61" i="9"/>
  <c r="R80" i="9"/>
  <c r="R81" i="9" s="1"/>
  <c r="R61" i="9"/>
  <c r="T61" i="9"/>
  <c r="T80" i="9"/>
  <c r="T81" i="9" s="1"/>
  <c r="U60" i="9"/>
  <c r="U61" i="9" s="1"/>
  <c r="V61" i="9"/>
  <c r="V80" i="9"/>
  <c r="V81" i="9" s="1"/>
  <c r="Q61" i="9" l="1"/>
  <c r="P61" i="9"/>
  <c r="P80" i="9"/>
  <c r="P81" i="9" s="1"/>
  <c r="N61" i="9"/>
  <c r="O61" i="9"/>
  <c r="P81" i="5" l="1"/>
  <c r="B81" i="5"/>
  <c r="M80" i="5"/>
  <c r="M81" i="5" s="1"/>
  <c r="K80" i="5"/>
  <c r="K81" i="5" s="1"/>
  <c r="I80" i="5"/>
  <c r="I81" i="5" s="1"/>
  <c r="G80" i="5"/>
  <c r="E80" i="5"/>
  <c r="E89" i="5" s="1"/>
  <c r="C80" i="5"/>
  <c r="C81" i="5" s="1"/>
  <c r="Q78" i="5"/>
  <c r="O78" i="5"/>
  <c r="M78" i="5"/>
  <c r="K78" i="5"/>
  <c r="I78" i="5"/>
  <c r="G78" i="5"/>
  <c r="E78" i="5"/>
  <c r="C78" i="5"/>
  <c r="U77" i="5"/>
  <c r="Q77" i="5"/>
  <c r="O77" i="5"/>
  <c r="M77" i="5"/>
  <c r="K77" i="5"/>
  <c r="I77" i="5"/>
  <c r="G77" i="5"/>
  <c r="E77" i="5"/>
  <c r="C77" i="5"/>
  <c r="U74" i="5"/>
  <c r="M74" i="5"/>
  <c r="K74" i="5"/>
  <c r="I74" i="5"/>
  <c r="G74" i="5"/>
  <c r="E74" i="5"/>
  <c r="C74" i="5"/>
  <c r="V73" i="5"/>
  <c r="V73" i="10" s="1"/>
  <c r="Q73" i="5"/>
  <c r="O73" i="5"/>
  <c r="M73" i="5"/>
  <c r="K73" i="5"/>
  <c r="I73" i="5"/>
  <c r="G73" i="5"/>
  <c r="E73" i="5"/>
  <c r="C73" i="5"/>
  <c r="U72" i="5"/>
  <c r="M72" i="5"/>
  <c r="K72" i="5"/>
  <c r="I72" i="5"/>
  <c r="G72" i="5"/>
  <c r="E72" i="5"/>
  <c r="C72" i="5"/>
  <c r="U71" i="5"/>
  <c r="M71" i="5"/>
  <c r="K71" i="5"/>
  <c r="I71" i="5"/>
  <c r="G71" i="5"/>
  <c r="E71" i="5"/>
  <c r="C71" i="5"/>
  <c r="O70" i="5"/>
  <c r="M70" i="5"/>
  <c r="K70" i="5"/>
  <c r="I70" i="5"/>
  <c r="G70" i="5"/>
  <c r="E70" i="5"/>
  <c r="C70" i="5"/>
  <c r="Q67" i="5"/>
  <c r="O67" i="5"/>
  <c r="N67" i="5"/>
  <c r="M67" i="5"/>
  <c r="K67" i="5"/>
  <c r="I67" i="5"/>
  <c r="G67" i="5"/>
  <c r="E67" i="5"/>
  <c r="C67" i="5"/>
  <c r="U66" i="5"/>
  <c r="M66" i="5"/>
  <c r="K66" i="5"/>
  <c r="I66" i="5"/>
  <c r="G66" i="5"/>
  <c r="E66" i="5"/>
  <c r="C66" i="5"/>
  <c r="C61" i="5"/>
  <c r="M61" i="5"/>
  <c r="K61" i="5"/>
  <c r="I61" i="5"/>
  <c r="C88" i="5"/>
  <c r="U58" i="5"/>
  <c r="U57" i="5"/>
  <c r="U52" i="5"/>
  <c r="U51" i="5"/>
  <c r="U50" i="5"/>
  <c r="U48" i="5"/>
  <c r="U45" i="5"/>
  <c r="U43" i="5"/>
  <c r="M90" i="5"/>
  <c r="K91" i="5"/>
  <c r="U39" i="5"/>
  <c r="U38" i="5"/>
  <c r="U37" i="5"/>
  <c r="U35" i="5"/>
  <c r="U34" i="5"/>
  <c r="C87" i="5"/>
  <c r="V27" i="5"/>
  <c r="U27" i="5"/>
  <c r="U26" i="5"/>
  <c r="U25" i="5"/>
  <c r="U24" i="5"/>
  <c r="U22" i="5"/>
  <c r="U21" i="5"/>
  <c r="V17" i="5"/>
  <c r="V81" i="5" s="1"/>
  <c r="U80" i="5"/>
  <c r="S71" i="5"/>
  <c r="Q74" i="5"/>
  <c r="N81" i="5"/>
  <c r="I87" i="5"/>
  <c r="U16" i="5"/>
  <c r="U14" i="5"/>
  <c r="E93" i="5"/>
  <c r="U13" i="5"/>
  <c r="U12" i="5"/>
  <c r="U10" i="5"/>
  <c r="U9" i="5"/>
  <c r="G91" i="5"/>
  <c r="V51" i="10"/>
  <c r="V50" i="10"/>
  <c r="V49" i="10"/>
  <c r="V48" i="10"/>
  <c r="X51" i="10"/>
  <c r="X50" i="10"/>
  <c r="X49" i="10"/>
  <c r="X48" i="10"/>
  <c r="X73" i="10"/>
  <c r="R80" i="10"/>
  <c r="R79" i="10"/>
  <c r="R78" i="10"/>
  <c r="R77" i="10"/>
  <c r="R74" i="10"/>
  <c r="R73" i="10"/>
  <c r="R72" i="10"/>
  <c r="R71" i="10"/>
  <c r="R70" i="10"/>
  <c r="R67" i="10"/>
  <c r="R66" i="10"/>
  <c r="R65" i="10"/>
  <c r="R58" i="10"/>
  <c r="R57" i="10"/>
  <c r="R56" i="10"/>
  <c r="R55" i="10"/>
  <c r="R52" i="10"/>
  <c r="R45" i="10"/>
  <c r="R43" i="10"/>
  <c r="R41" i="10"/>
  <c r="R39" i="10"/>
  <c r="R38" i="10"/>
  <c r="R37" i="10"/>
  <c r="R36" i="10"/>
  <c r="R35" i="10"/>
  <c r="R34" i="10"/>
  <c r="R26" i="10"/>
  <c r="R25" i="10"/>
  <c r="R24" i="10"/>
  <c r="R23" i="10"/>
  <c r="R22" i="10"/>
  <c r="R21" i="10"/>
  <c r="R16" i="10"/>
  <c r="R15" i="10"/>
  <c r="R14" i="10"/>
  <c r="R13" i="10"/>
  <c r="R12" i="10"/>
  <c r="T116" i="10" s="1"/>
  <c r="R11" i="10"/>
  <c r="R10" i="10"/>
  <c r="R9" i="10"/>
  <c r="T80" i="10"/>
  <c r="T79" i="10"/>
  <c r="T78" i="10"/>
  <c r="T77" i="10"/>
  <c r="T74" i="10"/>
  <c r="T73" i="10"/>
  <c r="T72" i="10"/>
  <c r="T71" i="10"/>
  <c r="T70" i="10"/>
  <c r="T67" i="10"/>
  <c r="T66" i="10"/>
  <c r="T65" i="10"/>
  <c r="T58" i="10"/>
  <c r="T57" i="10"/>
  <c r="T56" i="10"/>
  <c r="T55" i="10"/>
  <c r="T52" i="10"/>
  <c r="T45" i="10"/>
  <c r="T43" i="10"/>
  <c r="T41" i="10"/>
  <c r="T39" i="10"/>
  <c r="T38" i="10"/>
  <c r="T37" i="10"/>
  <c r="T36" i="10"/>
  <c r="T35" i="10"/>
  <c r="T34" i="10"/>
  <c r="T26" i="10"/>
  <c r="T25" i="10"/>
  <c r="T24" i="10"/>
  <c r="T23" i="10"/>
  <c r="T22" i="10"/>
  <c r="T21" i="10"/>
  <c r="T16" i="10"/>
  <c r="T15" i="10"/>
  <c r="T14" i="10"/>
  <c r="T13" i="10"/>
  <c r="T12" i="10"/>
  <c r="V116" i="10" s="1"/>
  <c r="T11" i="10"/>
  <c r="T10" i="10"/>
  <c r="T9" i="10"/>
  <c r="X79" i="10"/>
  <c r="X78" i="10"/>
  <c r="X77" i="10"/>
  <c r="X74" i="10"/>
  <c r="X72" i="10"/>
  <c r="X71" i="10"/>
  <c r="X70" i="10"/>
  <c r="X67" i="10"/>
  <c r="X66" i="10"/>
  <c r="X65" i="10"/>
  <c r="X58" i="10"/>
  <c r="X57" i="10"/>
  <c r="X56" i="10"/>
  <c r="X55" i="10"/>
  <c r="X52" i="10"/>
  <c r="X45" i="10"/>
  <c r="X43" i="10"/>
  <c r="X41" i="10"/>
  <c r="X39" i="10"/>
  <c r="X38" i="10"/>
  <c r="X37" i="10"/>
  <c r="X36" i="10"/>
  <c r="X35" i="10"/>
  <c r="X34" i="10"/>
  <c r="X26" i="10"/>
  <c r="X25" i="10"/>
  <c r="X24" i="10"/>
  <c r="X23" i="10"/>
  <c r="X22" i="10"/>
  <c r="X21" i="10"/>
  <c r="X16" i="10"/>
  <c r="X15" i="10"/>
  <c r="X14" i="10"/>
  <c r="X13" i="10"/>
  <c r="X12" i="10"/>
  <c r="X11" i="10"/>
  <c r="X10" i="10"/>
  <c r="X9" i="10"/>
  <c r="V79" i="10"/>
  <c r="V78" i="10"/>
  <c r="V77" i="10"/>
  <c r="V74" i="10"/>
  <c r="V72" i="10"/>
  <c r="V71" i="10"/>
  <c r="V70" i="10"/>
  <c r="V67" i="10"/>
  <c r="V66" i="10"/>
  <c r="V65" i="10"/>
  <c r="V58" i="10"/>
  <c r="V57" i="10"/>
  <c r="V56" i="10"/>
  <c r="V55" i="10"/>
  <c r="V52" i="10"/>
  <c r="P58" i="10"/>
  <c r="P57" i="10"/>
  <c r="P56" i="10"/>
  <c r="P55" i="10"/>
  <c r="P52" i="10"/>
  <c r="N58" i="10"/>
  <c r="N57" i="10"/>
  <c r="N56" i="10"/>
  <c r="N55" i="10"/>
  <c r="N52" i="10"/>
  <c r="N51" i="10"/>
  <c r="N50" i="10"/>
  <c r="N49" i="10"/>
  <c r="N48" i="10"/>
  <c r="L58" i="10"/>
  <c r="L57" i="10"/>
  <c r="L56" i="10"/>
  <c r="L55" i="10"/>
  <c r="L52" i="10"/>
  <c r="L51" i="10"/>
  <c r="L50" i="10"/>
  <c r="L49" i="10"/>
  <c r="L48" i="10"/>
  <c r="J58" i="10"/>
  <c r="J57" i="10"/>
  <c r="J56" i="10"/>
  <c r="J55" i="10"/>
  <c r="J52" i="10"/>
  <c r="J51" i="10"/>
  <c r="J50" i="10"/>
  <c r="J49" i="10"/>
  <c r="J48" i="10"/>
  <c r="H58" i="10"/>
  <c r="H57" i="10"/>
  <c r="H56" i="10"/>
  <c r="H55" i="10"/>
  <c r="H52" i="10"/>
  <c r="H51" i="10"/>
  <c r="H50" i="10"/>
  <c r="H49" i="10"/>
  <c r="H48" i="10"/>
  <c r="F58" i="10"/>
  <c r="F57" i="10"/>
  <c r="F56" i="10"/>
  <c r="F55" i="10"/>
  <c r="F52" i="10"/>
  <c r="F51" i="10"/>
  <c r="F50" i="10"/>
  <c r="F49" i="10"/>
  <c r="F48" i="10"/>
  <c r="D58" i="10"/>
  <c r="D57" i="10"/>
  <c r="D56" i="10"/>
  <c r="D55" i="10"/>
  <c r="D52" i="10"/>
  <c r="D51" i="10"/>
  <c r="D50" i="10"/>
  <c r="D49" i="10"/>
  <c r="D48" i="10"/>
  <c r="B56" i="10"/>
  <c r="B55" i="10"/>
  <c r="B51" i="10"/>
  <c r="B50" i="10"/>
  <c r="B49" i="10"/>
  <c r="B48" i="10"/>
  <c r="V43" i="10"/>
  <c r="P43" i="10"/>
  <c r="N43" i="10"/>
  <c r="L43" i="10"/>
  <c r="J43" i="10"/>
  <c r="H43" i="10"/>
  <c r="F43" i="10"/>
  <c r="D43" i="10"/>
  <c r="B43" i="10"/>
  <c r="X6" i="10"/>
  <c r="X5" i="10"/>
  <c r="X4" i="10"/>
  <c r="X3" i="10"/>
  <c r="V6" i="10"/>
  <c r="V5" i="10"/>
  <c r="V4" i="10"/>
  <c r="V3" i="10"/>
  <c r="T6" i="10"/>
  <c r="T5" i="10"/>
  <c r="T4" i="10"/>
  <c r="T3" i="10"/>
  <c r="R6" i="10"/>
  <c r="R5" i="10"/>
  <c r="R4" i="10"/>
  <c r="R3" i="10"/>
  <c r="P6" i="10"/>
  <c r="P5" i="10"/>
  <c r="P4" i="10"/>
  <c r="P3" i="10"/>
  <c r="N6" i="10"/>
  <c r="N5" i="10"/>
  <c r="N4" i="10"/>
  <c r="N3" i="10"/>
  <c r="L6" i="10"/>
  <c r="L5" i="10"/>
  <c r="L4" i="10"/>
  <c r="L3" i="10"/>
  <c r="J6" i="10"/>
  <c r="J5" i="10"/>
  <c r="J4" i="10"/>
  <c r="J3" i="10"/>
  <c r="H6" i="10"/>
  <c r="H5" i="10"/>
  <c r="H4" i="10"/>
  <c r="H3" i="10"/>
  <c r="F6" i="10"/>
  <c r="F5" i="10"/>
  <c r="F4" i="10"/>
  <c r="F3" i="10"/>
  <c r="D6" i="10"/>
  <c r="D5" i="10"/>
  <c r="D4" i="10"/>
  <c r="D3" i="10"/>
  <c r="B6" i="10"/>
  <c r="B5" i="10"/>
  <c r="B4" i="10"/>
  <c r="B3" i="10"/>
  <c r="AA79" i="9"/>
  <c r="AA78" i="9"/>
  <c r="Z78" i="9"/>
  <c r="AA77" i="9"/>
  <c r="Z77" i="9"/>
  <c r="AA74" i="9"/>
  <c r="Z74" i="9"/>
  <c r="AA73" i="9"/>
  <c r="Z73" i="9"/>
  <c r="AA72" i="9"/>
  <c r="Z72" i="9"/>
  <c r="AA71" i="9"/>
  <c r="Z71" i="9"/>
  <c r="AA70" i="9"/>
  <c r="Z70" i="9"/>
  <c r="AA67" i="9"/>
  <c r="Z67" i="9"/>
  <c r="AA66" i="9"/>
  <c r="Z66" i="9"/>
  <c r="AA65" i="9"/>
  <c r="Z65" i="9"/>
  <c r="AA59" i="9"/>
  <c r="Z59" i="9"/>
  <c r="AA58" i="9"/>
  <c r="Z58" i="9"/>
  <c r="AA57" i="9"/>
  <c r="Z57" i="9"/>
  <c r="AA56" i="9"/>
  <c r="Z56" i="9"/>
  <c r="AA55" i="9"/>
  <c r="Z55" i="9"/>
  <c r="AA52" i="9"/>
  <c r="Z52" i="9"/>
  <c r="AA51" i="9"/>
  <c r="Z51" i="9"/>
  <c r="AA50" i="9"/>
  <c r="Z50" i="9"/>
  <c r="AA49" i="9"/>
  <c r="Z49" i="9"/>
  <c r="AA48" i="9"/>
  <c r="Z48" i="9"/>
  <c r="AA45" i="9"/>
  <c r="Z45" i="9"/>
  <c r="AA43" i="9"/>
  <c r="Z43" i="9"/>
  <c r="AA41" i="9"/>
  <c r="Z41" i="9"/>
  <c r="AA38" i="9"/>
  <c r="Z38" i="9"/>
  <c r="AA37" i="9"/>
  <c r="Z37" i="9"/>
  <c r="AA36" i="9"/>
  <c r="Z36" i="9"/>
  <c r="AA35" i="9"/>
  <c r="Z35" i="9"/>
  <c r="AA34" i="9"/>
  <c r="Z34" i="9"/>
  <c r="AA28" i="9"/>
  <c r="Z28" i="9"/>
  <c r="AA26" i="9"/>
  <c r="Z26" i="9"/>
  <c r="AA25" i="9"/>
  <c r="Z25" i="9"/>
  <c r="AA24" i="9"/>
  <c r="Z24" i="9"/>
  <c r="AA23" i="9"/>
  <c r="Z23" i="9"/>
  <c r="AA22" i="9"/>
  <c r="Z22" i="9"/>
  <c r="AA21" i="9"/>
  <c r="Z21" i="9"/>
  <c r="AA16" i="9"/>
  <c r="Z16" i="9"/>
  <c r="AA15" i="9"/>
  <c r="Z15" i="9"/>
  <c r="AA14" i="9"/>
  <c r="Z14" i="9"/>
  <c r="AA13" i="9"/>
  <c r="Z13" i="9"/>
  <c r="AA12" i="9"/>
  <c r="Z12" i="9"/>
  <c r="AA11" i="9"/>
  <c r="Z11" i="9"/>
  <c r="AA10" i="9"/>
  <c r="Z10" i="9"/>
  <c r="AA9" i="9"/>
  <c r="Z9" i="9"/>
  <c r="F60" i="10"/>
  <c r="AA39" i="9"/>
  <c r="W27" i="9"/>
  <c r="M88" i="5"/>
  <c r="G93" i="5"/>
  <c r="I90" i="5"/>
  <c r="B95" i="5"/>
  <c r="B94" i="5"/>
  <c r="B93" i="5"/>
  <c r="B92" i="5"/>
  <c r="B91" i="5"/>
  <c r="B90" i="5"/>
  <c r="B89" i="5"/>
  <c r="B88" i="5"/>
  <c r="B87" i="5"/>
  <c r="D95" i="5"/>
  <c r="D94" i="5"/>
  <c r="D93" i="5"/>
  <c r="D92" i="5"/>
  <c r="D91" i="5"/>
  <c r="D90" i="5"/>
  <c r="D89" i="5"/>
  <c r="D88" i="5"/>
  <c r="D87" i="5"/>
  <c r="F95" i="5"/>
  <c r="F94" i="5"/>
  <c r="F93" i="5"/>
  <c r="F92" i="5"/>
  <c r="F91" i="5"/>
  <c r="G90" i="5"/>
  <c r="F90" i="5"/>
  <c r="F89" i="5"/>
  <c r="F88" i="5"/>
  <c r="F87" i="5"/>
  <c r="H95" i="5"/>
  <c r="H94" i="5"/>
  <c r="H93" i="5"/>
  <c r="H92" i="5"/>
  <c r="I91" i="5"/>
  <c r="H91" i="5"/>
  <c r="H90" i="5"/>
  <c r="H89" i="5"/>
  <c r="H88" i="5"/>
  <c r="H87" i="5"/>
  <c r="K95" i="5"/>
  <c r="J95" i="5"/>
  <c r="K94" i="5"/>
  <c r="J94" i="5"/>
  <c r="K93" i="5"/>
  <c r="J93" i="5"/>
  <c r="J92" i="5"/>
  <c r="J91" i="5"/>
  <c r="K90" i="5"/>
  <c r="J90" i="5"/>
  <c r="J89" i="5"/>
  <c r="K88" i="5"/>
  <c r="J88" i="5"/>
  <c r="K87" i="5"/>
  <c r="J87" i="5"/>
  <c r="L95" i="5"/>
  <c r="L94" i="5"/>
  <c r="M93" i="5"/>
  <c r="L93" i="5"/>
  <c r="L92" i="5"/>
  <c r="L91" i="5"/>
  <c r="L90" i="5"/>
  <c r="L89" i="5"/>
  <c r="L88" i="5"/>
  <c r="M87" i="5"/>
  <c r="L87" i="5"/>
  <c r="O95" i="5"/>
  <c r="N95" i="5"/>
  <c r="N94" i="5"/>
  <c r="N93" i="5"/>
  <c r="N92" i="5"/>
  <c r="N91" i="5"/>
  <c r="N90" i="5"/>
  <c r="N89" i="5"/>
  <c r="P95" i="5"/>
  <c r="P94" i="5"/>
  <c r="P93" i="5"/>
  <c r="P92" i="5"/>
  <c r="P91" i="5"/>
  <c r="P90" i="5"/>
  <c r="P89" i="5"/>
  <c r="R94" i="5"/>
  <c r="R93" i="5"/>
  <c r="R92" i="5"/>
  <c r="R91" i="5"/>
  <c r="R89" i="5"/>
  <c r="T94" i="5"/>
  <c r="T93" i="5"/>
  <c r="T92" i="5"/>
  <c r="T91" i="5"/>
  <c r="T90" i="5"/>
  <c r="T89" i="5"/>
  <c r="V95" i="5"/>
  <c r="V94" i="5"/>
  <c r="V93" i="5"/>
  <c r="V92" i="5"/>
  <c r="V91" i="5"/>
  <c r="V90" i="5"/>
  <c r="V89" i="5"/>
  <c r="W58" i="9"/>
  <c r="W57" i="9"/>
  <c r="W55" i="9"/>
  <c r="W52" i="9"/>
  <c r="W51" i="9"/>
  <c r="W50" i="9"/>
  <c r="W49" i="9"/>
  <c r="W48" i="9"/>
  <c r="W45" i="9"/>
  <c r="W43" i="9"/>
  <c r="W41" i="9"/>
  <c r="W38" i="9"/>
  <c r="W37" i="9"/>
  <c r="W36" i="9"/>
  <c r="W35" i="9"/>
  <c r="W34" i="9"/>
  <c r="W26" i="9"/>
  <c r="W25" i="9"/>
  <c r="W24" i="9"/>
  <c r="W23" i="9"/>
  <c r="W22" i="9"/>
  <c r="W21" i="9"/>
  <c r="W17" i="9"/>
  <c r="W16" i="9"/>
  <c r="W15" i="9"/>
  <c r="W14" i="9"/>
  <c r="W13" i="9"/>
  <c r="W12" i="9"/>
  <c r="W11" i="9"/>
  <c r="W10" i="9"/>
  <c r="W9" i="9"/>
  <c r="W80" i="5"/>
  <c r="W78" i="5"/>
  <c r="W77" i="5"/>
  <c r="W74" i="5"/>
  <c r="W72" i="5"/>
  <c r="W71" i="5"/>
  <c r="W70" i="5"/>
  <c r="W67" i="5"/>
  <c r="W66" i="5"/>
  <c r="W58" i="5"/>
  <c r="W57" i="5"/>
  <c r="W55" i="5"/>
  <c r="W52" i="5"/>
  <c r="W51" i="5"/>
  <c r="W50" i="5"/>
  <c r="W49" i="5"/>
  <c r="W48" i="5"/>
  <c r="W45" i="5"/>
  <c r="W43" i="5"/>
  <c r="W41" i="5"/>
  <c r="W39" i="5"/>
  <c r="W38" i="5"/>
  <c r="W37" i="5"/>
  <c r="W36" i="5"/>
  <c r="W35" i="5"/>
  <c r="W34" i="5"/>
  <c r="W26" i="5"/>
  <c r="W25" i="5"/>
  <c r="W24" i="5"/>
  <c r="W23" i="5"/>
  <c r="W22" i="5"/>
  <c r="W21" i="5"/>
  <c r="W17" i="5"/>
  <c r="W16" i="5"/>
  <c r="W15" i="5"/>
  <c r="W14" i="5"/>
  <c r="W13" i="5"/>
  <c r="W12" i="5"/>
  <c r="W11" i="5"/>
  <c r="W10" i="5"/>
  <c r="W9" i="5"/>
  <c r="V45" i="10"/>
  <c r="V41" i="10"/>
  <c r="V38" i="10"/>
  <c r="V37" i="10"/>
  <c r="V36" i="10"/>
  <c r="V35" i="10"/>
  <c r="V34" i="10"/>
  <c r="V26" i="10"/>
  <c r="V25" i="10"/>
  <c r="V24" i="10"/>
  <c r="V23" i="10"/>
  <c r="V22" i="10"/>
  <c r="V21" i="10"/>
  <c r="V16" i="10"/>
  <c r="V15" i="10"/>
  <c r="V14" i="10"/>
  <c r="V13" i="10"/>
  <c r="V12" i="10"/>
  <c r="X116" i="10" s="1"/>
  <c r="V11" i="10"/>
  <c r="V10" i="10"/>
  <c r="V9" i="10"/>
  <c r="P45" i="10"/>
  <c r="P41" i="10"/>
  <c r="P39" i="10"/>
  <c r="P38" i="10"/>
  <c r="P37" i="10"/>
  <c r="P36" i="10"/>
  <c r="P35" i="10"/>
  <c r="P34" i="10"/>
  <c r="P26" i="10"/>
  <c r="P25" i="10"/>
  <c r="P24" i="10"/>
  <c r="P23" i="10"/>
  <c r="P22" i="10"/>
  <c r="P21" i="10"/>
  <c r="P16" i="10"/>
  <c r="P15" i="10"/>
  <c r="P14" i="10"/>
  <c r="P13" i="10"/>
  <c r="P12" i="10"/>
  <c r="R116" i="10" s="1"/>
  <c r="P11" i="10"/>
  <c r="P10" i="10"/>
  <c r="P9" i="10"/>
  <c r="N45" i="10"/>
  <c r="N41" i="10"/>
  <c r="N39" i="10"/>
  <c r="N38" i="10"/>
  <c r="N37" i="10"/>
  <c r="N36" i="10"/>
  <c r="N35" i="10"/>
  <c r="N34" i="10"/>
  <c r="N26" i="10"/>
  <c r="N25" i="10"/>
  <c r="N24" i="10"/>
  <c r="N23" i="10"/>
  <c r="N22" i="10"/>
  <c r="N21" i="10"/>
  <c r="N16" i="10"/>
  <c r="N15" i="10"/>
  <c r="N14" i="10"/>
  <c r="N13" i="10"/>
  <c r="N12" i="10"/>
  <c r="N11" i="10"/>
  <c r="N10" i="10"/>
  <c r="N9" i="10"/>
  <c r="L60" i="10"/>
  <c r="L45" i="10"/>
  <c r="L41" i="10"/>
  <c r="L39" i="10"/>
  <c r="L38" i="10"/>
  <c r="L37" i="10"/>
  <c r="L36" i="10"/>
  <c r="L35" i="10"/>
  <c r="L34" i="10"/>
  <c r="L26" i="10"/>
  <c r="L25" i="10"/>
  <c r="L24" i="10"/>
  <c r="L23" i="10"/>
  <c r="L22" i="10"/>
  <c r="L21" i="10"/>
  <c r="L16" i="10"/>
  <c r="L15" i="10"/>
  <c r="L14" i="10"/>
  <c r="L13" i="10"/>
  <c r="L12" i="10"/>
  <c r="L11" i="10"/>
  <c r="L10" i="10"/>
  <c r="L9" i="10"/>
  <c r="J60" i="10"/>
  <c r="J45" i="10"/>
  <c r="J41" i="10"/>
  <c r="J39" i="10"/>
  <c r="J38" i="10"/>
  <c r="J37" i="10"/>
  <c r="J36" i="10"/>
  <c r="J35" i="10"/>
  <c r="J34" i="10"/>
  <c r="J26" i="10"/>
  <c r="J25" i="10"/>
  <c r="J24" i="10"/>
  <c r="J23" i="10"/>
  <c r="J22" i="10"/>
  <c r="J21" i="10"/>
  <c r="J16" i="10"/>
  <c r="J15" i="10"/>
  <c r="J14" i="10"/>
  <c r="J13" i="10"/>
  <c r="J12" i="10"/>
  <c r="J11" i="10"/>
  <c r="J10" i="10"/>
  <c r="J9" i="10"/>
  <c r="H60" i="10"/>
  <c r="H45" i="10"/>
  <c r="H41" i="10"/>
  <c r="H39" i="10"/>
  <c r="H38" i="10"/>
  <c r="H37" i="10"/>
  <c r="H36" i="10"/>
  <c r="H35" i="10"/>
  <c r="H34" i="10"/>
  <c r="H26" i="10"/>
  <c r="H25" i="10"/>
  <c r="H24" i="10"/>
  <c r="H23" i="10"/>
  <c r="H22" i="10"/>
  <c r="H21" i="10"/>
  <c r="H16" i="10"/>
  <c r="H15" i="10"/>
  <c r="H14" i="10"/>
  <c r="H13" i="10"/>
  <c r="H12" i="10"/>
  <c r="H11" i="10"/>
  <c r="H10" i="10"/>
  <c r="H9" i="10"/>
  <c r="F45" i="10"/>
  <c r="F41" i="10"/>
  <c r="F39" i="10"/>
  <c r="F38" i="10"/>
  <c r="F37" i="10"/>
  <c r="F36" i="10"/>
  <c r="F35" i="10"/>
  <c r="F34" i="10"/>
  <c r="F26" i="10"/>
  <c r="F25" i="10"/>
  <c r="F24" i="10"/>
  <c r="F23" i="10"/>
  <c r="F22" i="10"/>
  <c r="F21" i="10"/>
  <c r="F16" i="10"/>
  <c r="F15" i="10"/>
  <c r="F14" i="10"/>
  <c r="F13" i="10"/>
  <c r="F12" i="10"/>
  <c r="F11" i="10"/>
  <c r="F10" i="10"/>
  <c r="F9" i="10"/>
  <c r="D60" i="10"/>
  <c r="D45" i="10"/>
  <c r="D41" i="10"/>
  <c r="D39" i="10"/>
  <c r="D38" i="10"/>
  <c r="D37" i="10"/>
  <c r="D36" i="10"/>
  <c r="D35" i="10"/>
  <c r="D34" i="10"/>
  <c r="D26" i="10"/>
  <c r="D25" i="10"/>
  <c r="D24" i="10"/>
  <c r="D23" i="10"/>
  <c r="D22" i="10"/>
  <c r="D21" i="10"/>
  <c r="D16" i="10"/>
  <c r="D15" i="10"/>
  <c r="D14" i="10"/>
  <c r="D13" i="10"/>
  <c r="D12" i="10"/>
  <c r="D11" i="10"/>
  <c r="D10" i="10"/>
  <c r="D9" i="10"/>
  <c r="B80" i="10"/>
  <c r="B78" i="10"/>
  <c r="B77" i="10"/>
  <c r="B74" i="10"/>
  <c r="B73" i="10"/>
  <c r="B72" i="10"/>
  <c r="B71" i="10"/>
  <c r="B70" i="10"/>
  <c r="B67" i="10"/>
  <c r="B66" i="10"/>
  <c r="B65" i="10"/>
  <c r="B60" i="10"/>
  <c r="B58" i="10"/>
  <c r="B57" i="10"/>
  <c r="B52" i="10"/>
  <c r="B45" i="10"/>
  <c r="B41" i="10"/>
  <c r="B39" i="10"/>
  <c r="B38" i="10"/>
  <c r="B37" i="10"/>
  <c r="B36" i="10"/>
  <c r="B35" i="10"/>
  <c r="B34" i="10"/>
  <c r="B26" i="10"/>
  <c r="B25" i="10"/>
  <c r="B24" i="10"/>
  <c r="B23" i="10"/>
  <c r="B22" i="10"/>
  <c r="B21" i="10"/>
  <c r="B16" i="10"/>
  <c r="B15" i="10"/>
  <c r="B14" i="10"/>
  <c r="B13" i="10"/>
  <c r="B12" i="10"/>
  <c r="B11" i="10"/>
  <c r="B10" i="10"/>
  <c r="B9" i="10"/>
  <c r="C130" i="10"/>
  <c r="B130" i="10"/>
  <c r="D129" i="10"/>
  <c r="D128" i="10"/>
  <c r="D130" i="10" s="1"/>
  <c r="AB79" i="10"/>
  <c r="AA79" i="10"/>
  <c r="AK69" i="10"/>
  <c r="AL69" i="10" s="1"/>
  <c r="AK68" i="10"/>
  <c r="AB59" i="10"/>
  <c r="AA59" i="10"/>
  <c r="Z59" i="10"/>
  <c r="AE56" i="10"/>
  <c r="AB28" i="10"/>
  <c r="AA28" i="10"/>
  <c r="Z28" i="10"/>
  <c r="M89" i="5" l="1"/>
  <c r="C89" i="5"/>
  <c r="AK71" i="10"/>
  <c r="AL71" i="10" s="1"/>
  <c r="W73" i="5"/>
  <c r="V29" i="5"/>
  <c r="V60" i="5" s="1"/>
  <c r="V61" i="5" s="1"/>
  <c r="AB9" i="10"/>
  <c r="AK51" i="10"/>
  <c r="AL51" i="10" s="1"/>
  <c r="AE16" i="10"/>
  <c r="AB21" i="10"/>
  <c r="AK55" i="10"/>
  <c r="AL55" i="10" s="1"/>
  <c r="AB51" i="10"/>
  <c r="AE10" i="10"/>
  <c r="AE13" i="10"/>
  <c r="AB43" i="10"/>
  <c r="AA51" i="10"/>
  <c r="R104" i="10"/>
  <c r="AB70" i="10"/>
  <c r="AB73" i="10"/>
  <c r="AB48" i="10"/>
  <c r="X94" i="10"/>
  <c r="AK67" i="10"/>
  <c r="AL67" i="10" s="1"/>
  <c r="AB55" i="10"/>
  <c r="Z56" i="10"/>
  <c r="AB26" i="10"/>
  <c r="AK21" i="10"/>
  <c r="AL21" i="10" s="1"/>
  <c r="X27" i="10"/>
  <c r="X17" i="10"/>
  <c r="U29" i="5"/>
  <c r="N87" i="5"/>
  <c r="S77" i="5"/>
  <c r="K92" i="5"/>
  <c r="AK48" i="10"/>
  <c r="AL48" i="10" s="1"/>
  <c r="AB10" i="10"/>
  <c r="W27" i="5"/>
  <c r="AK13" i="10"/>
  <c r="AL13" i="10" s="1"/>
  <c r="S66" i="5"/>
  <c r="Q72" i="5"/>
  <c r="S74" i="5"/>
  <c r="S72" i="5"/>
  <c r="E88" i="5"/>
  <c r="S67" i="5"/>
  <c r="R81" i="5"/>
  <c r="AA48" i="10"/>
  <c r="AA70" i="10"/>
  <c r="T17" i="10"/>
  <c r="T27" i="10"/>
  <c r="U23" i="5"/>
  <c r="O90" i="5"/>
  <c r="U67" i="5"/>
  <c r="Q70" i="5"/>
  <c r="S78" i="5"/>
  <c r="O80" i="5"/>
  <c r="E81" i="5"/>
  <c r="G81" i="5"/>
  <c r="V104" i="10"/>
  <c r="R17" i="10"/>
  <c r="S9" i="10" s="1"/>
  <c r="R27" i="10"/>
  <c r="U11" i="5"/>
  <c r="U15" i="5"/>
  <c r="U17" i="5"/>
  <c r="U81" i="5" s="1"/>
  <c r="U36" i="5"/>
  <c r="U41" i="5"/>
  <c r="U49" i="5"/>
  <c r="U55" i="5"/>
  <c r="S70" i="5"/>
  <c r="O71" i="5"/>
  <c r="S73" i="5"/>
  <c r="U78" i="5"/>
  <c r="Q80" i="5"/>
  <c r="Q81" i="5" s="1"/>
  <c r="T81" i="5"/>
  <c r="G61" i="5"/>
  <c r="AK43" i="10"/>
  <c r="AL43" i="10" s="1"/>
  <c r="AB72" i="10"/>
  <c r="O66" i="5"/>
  <c r="U70" i="5"/>
  <c r="Q71" i="5"/>
  <c r="U73" i="5"/>
  <c r="O74" i="5"/>
  <c r="S80" i="5"/>
  <c r="S81" i="5" s="1"/>
  <c r="E61" i="5"/>
  <c r="N60" i="10"/>
  <c r="Q66" i="5"/>
  <c r="O72" i="5"/>
  <c r="Z70" i="10"/>
  <c r="Z55" i="10"/>
  <c r="W39" i="9"/>
  <c r="V39" i="10"/>
  <c r="V106" i="10" s="1"/>
  <c r="Z39" i="9"/>
  <c r="AB74" i="10"/>
  <c r="AK37" i="10"/>
  <c r="AL37" i="10" s="1"/>
  <c r="AK74" i="10"/>
  <c r="AL74" i="10" s="1"/>
  <c r="AA56" i="10"/>
  <c r="AA55" i="10"/>
  <c r="AK57" i="10"/>
  <c r="AL57" i="10" s="1"/>
  <c r="AB56" i="10"/>
  <c r="AK24" i="10"/>
  <c r="AL24" i="10" s="1"/>
  <c r="AK56" i="10"/>
  <c r="AL56" i="10" s="1"/>
  <c r="Z71" i="10"/>
  <c r="AA71" i="10"/>
  <c r="AB71" i="10"/>
  <c r="AK73" i="10"/>
  <c r="AL73" i="10" s="1"/>
  <c r="AK72" i="10"/>
  <c r="AL72" i="10" s="1"/>
  <c r="AK66" i="10"/>
  <c r="AL66" i="10" s="1"/>
  <c r="AK78" i="10"/>
  <c r="AL78" i="10" s="1"/>
  <c r="AK50" i="10"/>
  <c r="AL50" i="10" s="1"/>
  <c r="AK49" i="10"/>
  <c r="AL49" i="10" s="1"/>
  <c r="AB49" i="10"/>
  <c r="AB50" i="10"/>
  <c r="Z51" i="10"/>
  <c r="Z50" i="10"/>
  <c r="AA50" i="10"/>
  <c r="Z48" i="10"/>
  <c r="Z49" i="10"/>
  <c r="AA49" i="10"/>
  <c r="AA43" i="10"/>
  <c r="Z43" i="10"/>
  <c r="AB13" i="10"/>
  <c r="X108" i="10"/>
  <c r="W60" i="9"/>
  <c r="W61" i="9" s="1"/>
  <c r="W29" i="9"/>
  <c r="W30" i="9" s="1"/>
  <c r="AB24" i="10"/>
  <c r="AB45" i="10"/>
  <c r="V91" i="10"/>
  <c r="J27" i="10"/>
  <c r="AB23" i="10"/>
  <c r="AB52" i="10"/>
  <c r="AK35" i="10"/>
  <c r="AL35" i="10" s="1"/>
  <c r="AK10" i="10"/>
  <c r="AL10" i="10" s="1"/>
  <c r="AK11" i="10"/>
  <c r="AL11" i="10" s="1"/>
  <c r="AK65" i="10"/>
  <c r="AL65" i="10" s="1"/>
  <c r="AE65" i="10"/>
  <c r="Q91" i="5"/>
  <c r="AA65" i="10"/>
  <c r="H27" i="10"/>
  <c r="Z65" i="10"/>
  <c r="AA45" i="10"/>
  <c r="S21" i="10"/>
  <c r="AK77" i="10"/>
  <c r="AL77" i="10" s="1"/>
  <c r="AB77" i="10"/>
  <c r="AB65" i="10"/>
  <c r="AA74" i="10"/>
  <c r="Z74" i="10"/>
  <c r="H17" i="10"/>
  <c r="I9" i="10" s="1"/>
  <c r="Z77" i="10"/>
  <c r="B27" i="10"/>
  <c r="AA10" i="10"/>
  <c r="M92" i="5"/>
  <c r="AA66" i="10"/>
  <c r="AA78" i="10"/>
  <c r="J17" i="10"/>
  <c r="K9" i="10" s="1"/>
  <c r="P27" i="10"/>
  <c r="S35" i="10"/>
  <c r="V27" i="10"/>
  <c r="W92" i="5"/>
  <c r="W91" i="5"/>
  <c r="U78" i="10"/>
  <c r="O92" i="5"/>
  <c r="O91" i="5"/>
  <c r="M91" i="5"/>
  <c r="I39" i="10"/>
  <c r="S16" i="10"/>
  <c r="W90" i="5"/>
  <c r="AK41" i="10"/>
  <c r="AL41" i="10" s="1"/>
  <c r="C95" i="5"/>
  <c r="C94" i="5"/>
  <c r="C93" i="5"/>
  <c r="I94" i="5"/>
  <c r="I93" i="5"/>
  <c r="I88" i="5"/>
  <c r="Z78" i="10"/>
  <c r="D17" i="10"/>
  <c r="E13" i="10" s="1"/>
  <c r="R92" i="10"/>
  <c r="AB78" i="10"/>
  <c r="L27" i="10"/>
  <c r="G92" i="5"/>
  <c r="E95" i="5"/>
  <c r="E94" i="5"/>
  <c r="R95" i="5"/>
  <c r="R90" i="5"/>
  <c r="C91" i="5"/>
  <c r="C90" i="5"/>
  <c r="I24" i="10"/>
  <c r="Z66" i="10"/>
  <c r="AK34" i="10"/>
  <c r="AL34" i="10" s="1"/>
  <c r="D27" i="10"/>
  <c r="L17" i="10"/>
  <c r="M15" i="10" s="1"/>
  <c r="AB34" i="10"/>
  <c r="AK70" i="10"/>
  <c r="AL70" i="10" s="1"/>
  <c r="AK45" i="10"/>
  <c r="AL45" i="10" s="1"/>
  <c r="Z72" i="10"/>
  <c r="F17" i="10"/>
  <c r="G12" i="10" s="1"/>
  <c r="I52" i="10"/>
  <c r="N17" i="10"/>
  <c r="O41" i="10" s="1"/>
  <c r="N27" i="10"/>
  <c r="V17" i="10"/>
  <c r="W15" i="10" s="1"/>
  <c r="W81" i="5"/>
  <c r="W89" i="5"/>
  <c r="I95" i="5"/>
  <c r="C92" i="5"/>
  <c r="I92" i="5"/>
  <c r="E87" i="5"/>
  <c r="E92" i="5"/>
  <c r="E91" i="5"/>
  <c r="E90" i="5"/>
  <c r="G89" i="5"/>
  <c r="B17" i="10"/>
  <c r="C26" i="10" s="1"/>
  <c r="AB66" i="10"/>
  <c r="F27" i="10"/>
  <c r="O60" i="10"/>
  <c r="R93" i="10"/>
  <c r="AB16" i="10"/>
  <c r="W93" i="5"/>
  <c r="W95" i="5"/>
  <c r="G88" i="5"/>
  <c r="G95" i="5"/>
  <c r="T95" i="5"/>
  <c r="G87" i="5"/>
  <c r="I89" i="5"/>
  <c r="P17" i="10"/>
  <c r="Q26" i="10" s="1"/>
  <c r="AB58" i="10"/>
  <c r="W94" i="5"/>
  <c r="G94" i="5"/>
  <c r="K89" i="5"/>
  <c r="M94" i="5"/>
  <c r="Q92" i="5"/>
  <c r="M95" i="5"/>
  <c r="Q94" i="5"/>
  <c r="Q90" i="5"/>
  <c r="X106" i="10"/>
  <c r="AK38" i="10"/>
  <c r="AL38" i="10" s="1"/>
  <c r="X104" i="10"/>
  <c r="AK12" i="10"/>
  <c r="AL12" i="10" s="1"/>
  <c r="AB41" i="10"/>
  <c r="X91" i="10"/>
  <c r="X92" i="10"/>
  <c r="X93" i="10"/>
  <c r="AB25" i="10"/>
  <c r="AK14" i="10"/>
  <c r="AL14" i="10" s="1"/>
  <c r="Z41" i="10"/>
  <c r="AK36" i="10"/>
  <c r="AL36" i="10" s="1"/>
  <c r="AK58" i="10"/>
  <c r="AL58" i="10" s="1"/>
  <c r="V92" i="10"/>
  <c r="V93" i="10"/>
  <c r="AB38" i="10"/>
  <c r="V94" i="10"/>
  <c r="AK26" i="10"/>
  <c r="AL26" i="10" s="1"/>
  <c r="AK23" i="10"/>
  <c r="AB35" i="10"/>
  <c r="AK22" i="10"/>
  <c r="AL22" i="10" s="1"/>
  <c r="AB36" i="10"/>
  <c r="AB57" i="10"/>
  <c r="AB12" i="10"/>
  <c r="AE12" i="10"/>
  <c r="R106" i="10"/>
  <c r="R107" i="10" s="1"/>
  <c r="R108" i="10" s="1"/>
  <c r="AE11" i="10"/>
  <c r="R91" i="10"/>
  <c r="R94" i="10"/>
  <c r="AA38" i="10"/>
  <c r="AA41" i="10"/>
  <c r="Z24" i="10"/>
  <c r="Z36" i="10"/>
  <c r="Z23" i="10"/>
  <c r="AA24" i="10"/>
  <c r="AA22" i="10"/>
  <c r="AA11" i="10"/>
  <c r="Z37" i="10"/>
  <c r="Z22" i="10"/>
  <c r="AA58" i="10"/>
  <c r="Z13" i="10"/>
  <c r="AA36" i="10"/>
  <c r="AA16" i="10"/>
  <c r="AA35" i="10"/>
  <c r="AA57" i="10"/>
  <c r="AA23" i="10"/>
  <c r="AA12" i="10"/>
  <c r="Z38" i="10"/>
  <c r="Z58" i="10"/>
  <c r="Z34" i="10"/>
  <c r="Z10" i="10"/>
  <c r="AA13" i="10"/>
  <c r="Z15" i="10"/>
  <c r="Z57" i="10"/>
  <c r="Z35" i="10"/>
  <c r="Z12" i="10"/>
  <c r="Z116" i="10" s="1"/>
  <c r="Z16" i="10"/>
  <c r="AA72" i="10"/>
  <c r="AA15" i="10"/>
  <c r="AA77" i="10"/>
  <c r="AB67" i="10"/>
  <c r="Z52" i="10"/>
  <c r="AA52" i="10"/>
  <c r="AK52" i="10"/>
  <c r="AL52" i="10" s="1"/>
  <c r="Z45" i="10"/>
  <c r="T106" i="10"/>
  <c r="AA37" i="10"/>
  <c r="AA34" i="10"/>
  <c r="AB37" i="10"/>
  <c r="AK25" i="10"/>
  <c r="AL25" i="10" s="1"/>
  <c r="AA21" i="10"/>
  <c r="AB22" i="10"/>
  <c r="AA25" i="10"/>
  <c r="Z26" i="10"/>
  <c r="AA26" i="10"/>
  <c r="Z21" i="10"/>
  <c r="Z25" i="10"/>
  <c r="AB14" i="10"/>
  <c r="AB15" i="10"/>
  <c r="AK16" i="10"/>
  <c r="AL16" i="10" s="1"/>
  <c r="Z11" i="10"/>
  <c r="AE14" i="10"/>
  <c r="AE15" i="10"/>
  <c r="T94" i="10"/>
  <c r="Z14" i="10"/>
  <c r="AA14" i="10"/>
  <c r="AK15" i="10"/>
  <c r="AL15" i="10" s="1"/>
  <c r="AB11" i="10"/>
  <c r="T93" i="10"/>
  <c r="AK9" i="10"/>
  <c r="AL9" i="10" s="1"/>
  <c r="T91" i="10"/>
  <c r="T104" i="10"/>
  <c r="AE9" i="10"/>
  <c r="Z9" i="10"/>
  <c r="T92" i="10"/>
  <c r="AA9" i="10"/>
  <c r="AA73" i="10"/>
  <c r="Z73" i="10"/>
  <c r="R89" i="10"/>
  <c r="Z67" i="10"/>
  <c r="AA67" i="10"/>
  <c r="V30" i="5" l="1"/>
  <c r="W36" i="10"/>
  <c r="W57" i="10"/>
  <c r="O37" i="10"/>
  <c r="I12" i="10"/>
  <c r="K60" i="10"/>
  <c r="E24" i="10"/>
  <c r="E12" i="10"/>
  <c r="G57" i="10"/>
  <c r="E37" i="10"/>
  <c r="E38" i="10"/>
  <c r="I35" i="10"/>
  <c r="E11" i="10"/>
  <c r="E27" i="10"/>
  <c r="R90" i="10"/>
  <c r="T29" i="10"/>
  <c r="M9" i="10"/>
  <c r="E21" i="10"/>
  <c r="G22" i="10"/>
  <c r="E36" i="10"/>
  <c r="I25" i="10"/>
  <c r="E22" i="10"/>
  <c r="G34" i="10"/>
  <c r="R81" i="10"/>
  <c r="S12" i="10"/>
  <c r="G27" i="10"/>
  <c r="S11" i="10"/>
  <c r="E41" i="10"/>
  <c r="M22" i="10"/>
  <c r="O10" i="10"/>
  <c r="U39" i="10"/>
  <c r="U66" i="10"/>
  <c r="M24" i="10"/>
  <c r="E35" i="10"/>
  <c r="M38" i="10"/>
  <c r="G25" i="10"/>
  <c r="U27" i="10"/>
  <c r="X29" i="10"/>
  <c r="X87" i="10" s="1"/>
  <c r="Y77" i="10"/>
  <c r="V90" i="10"/>
  <c r="U73" i="10"/>
  <c r="O21" i="10"/>
  <c r="U52" i="10"/>
  <c r="W51" i="10"/>
  <c r="W67" i="10"/>
  <c r="U57" i="10"/>
  <c r="M39" i="10"/>
  <c r="G58" i="10"/>
  <c r="M57" i="10"/>
  <c r="O27" i="10"/>
  <c r="O52" i="10"/>
  <c r="U80" i="10"/>
  <c r="I60" i="10"/>
  <c r="U13" i="10"/>
  <c r="W34" i="10"/>
  <c r="W78" i="10"/>
  <c r="W25" i="10"/>
  <c r="O35" i="10"/>
  <c r="V107" i="10"/>
  <c r="V108" i="10" s="1"/>
  <c r="G35" i="10"/>
  <c r="Q61" i="5"/>
  <c r="P61" i="5"/>
  <c r="W48" i="10"/>
  <c r="G21" i="10"/>
  <c r="M12" i="10"/>
  <c r="I58" i="10"/>
  <c r="O89" i="5"/>
  <c r="O81" i="5"/>
  <c r="U60" i="5"/>
  <c r="U61" i="5" s="1"/>
  <c r="T61" i="5"/>
  <c r="T60" i="10"/>
  <c r="K45" i="10"/>
  <c r="U72" i="10"/>
  <c r="K24" i="10"/>
  <c r="U70" i="10"/>
  <c r="O39" i="10"/>
  <c r="O87" i="5"/>
  <c r="U30" i="5"/>
  <c r="W43" i="10"/>
  <c r="W70" i="10"/>
  <c r="W12" i="10"/>
  <c r="U9" i="10"/>
  <c r="K12" i="10"/>
  <c r="K21" i="10"/>
  <c r="O24" i="10"/>
  <c r="O93" i="5"/>
  <c r="O94" i="5"/>
  <c r="R29" i="10"/>
  <c r="S29" i="10" s="1"/>
  <c r="N61" i="5"/>
  <c r="N88" i="5"/>
  <c r="Y52" i="10"/>
  <c r="Y78" i="10"/>
  <c r="Y73" i="10"/>
  <c r="Y43" i="10"/>
  <c r="Y10" i="10"/>
  <c r="Y11" i="10"/>
  <c r="Y72" i="10"/>
  <c r="Y24" i="10"/>
  <c r="Y17" i="10"/>
  <c r="Y9" i="10"/>
  <c r="Y21" i="10"/>
  <c r="Y57" i="10"/>
  <c r="Y36" i="10"/>
  <c r="Y25" i="10"/>
  <c r="Y67" i="10"/>
  <c r="Y71" i="10"/>
  <c r="Y26" i="10"/>
  <c r="X95" i="10"/>
  <c r="Y12" i="10"/>
  <c r="Y22" i="10"/>
  <c r="Y38" i="10"/>
  <c r="Y74" i="10"/>
  <c r="Y15" i="10"/>
  <c r="Y58" i="10"/>
  <c r="Y48" i="10"/>
  <c r="Y27" i="10"/>
  <c r="X90" i="10"/>
  <c r="Y51" i="10"/>
  <c r="Y13" i="10"/>
  <c r="Y35" i="10"/>
  <c r="Y55" i="10"/>
  <c r="Y14" i="10"/>
  <c r="Y23" i="10"/>
  <c r="Y45" i="10"/>
  <c r="Y66" i="10"/>
  <c r="Y34" i="10"/>
  <c r="Y50" i="10"/>
  <c r="Y49" i="10"/>
  <c r="Y41" i="10"/>
  <c r="X107" i="10"/>
  <c r="Y16" i="10"/>
  <c r="Y37" i="10"/>
  <c r="Y70" i="10"/>
  <c r="W39" i="10"/>
  <c r="W14" i="10"/>
  <c r="W17" i="10"/>
  <c r="W74" i="10"/>
  <c r="I26" i="10"/>
  <c r="I13" i="10"/>
  <c r="I38" i="10"/>
  <c r="S38" i="10"/>
  <c r="W72" i="10"/>
  <c r="W52" i="10"/>
  <c r="W71" i="10"/>
  <c r="G13" i="10"/>
  <c r="G60" i="10"/>
  <c r="W16" i="10"/>
  <c r="AK27" i="10"/>
  <c r="AL27" i="10" s="1"/>
  <c r="W50" i="10"/>
  <c r="W77" i="10"/>
  <c r="W58" i="10"/>
  <c r="R95" i="10"/>
  <c r="W26" i="10"/>
  <c r="J29" i="10"/>
  <c r="K29" i="10" s="1"/>
  <c r="I14" i="10"/>
  <c r="K22" i="10"/>
  <c r="U67" i="10"/>
  <c r="E57" i="10"/>
  <c r="M45" i="10"/>
  <c r="U15" i="10"/>
  <c r="O34" i="10"/>
  <c r="W45" i="10"/>
  <c r="W22" i="10"/>
  <c r="W41" i="10"/>
  <c r="W49" i="10"/>
  <c r="W10" i="10"/>
  <c r="I57" i="10"/>
  <c r="K10" i="10"/>
  <c r="S37" i="10"/>
  <c r="I15" i="10"/>
  <c r="W9" i="10"/>
  <c r="W73" i="10"/>
  <c r="V95" i="10"/>
  <c r="V29" i="10"/>
  <c r="G16" i="10"/>
  <c r="K37" i="10"/>
  <c r="I41" i="10"/>
  <c r="I10" i="10"/>
  <c r="K38" i="10"/>
  <c r="G38" i="10"/>
  <c r="S45" i="10"/>
  <c r="W38" i="10"/>
  <c r="W37" i="10"/>
  <c r="W13" i="10"/>
  <c r="AB27" i="10"/>
  <c r="W11" i="10"/>
  <c r="AK17" i="10"/>
  <c r="AL17" i="10" s="1"/>
  <c r="W35" i="10"/>
  <c r="W66" i="10"/>
  <c r="W24" i="10"/>
  <c r="W21" i="10"/>
  <c r="W55" i="10"/>
  <c r="I16" i="10"/>
  <c r="G45" i="10"/>
  <c r="K58" i="10"/>
  <c r="K34" i="10"/>
  <c r="U71" i="10"/>
  <c r="AB92" i="10"/>
  <c r="AB91" i="10"/>
  <c r="Q39" i="10"/>
  <c r="S27" i="10"/>
  <c r="U89" i="5"/>
  <c r="C73" i="10"/>
  <c r="C57" i="10"/>
  <c r="O70" i="10"/>
  <c r="O78" i="10"/>
  <c r="O66" i="10"/>
  <c r="O50" i="10"/>
  <c r="O74" i="10"/>
  <c r="O48" i="10"/>
  <c r="O80" i="10"/>
  <c r="O77" i="10"/>
  <c r="O55" i="10"/>
  <c r="O73" i="10"/>
  <c r="O51" i="10"/>
  <c r="O72" i="10"/>
  <c r="O49" i="10"/>
  <c r="O71" i="10"/>
  <c r="O67" i="10"/>
  <c r="O43" i="10"/>
  <c r="O22" i="10"/>
  <c r="O17" i="10"/>
  <c r="O61" i="10" s="1"/>
  <c r="C11" i="10"/>
  <c r="C45" i="10"/>
  <c r="M37" i="10"/>
  <c r="G15" i="10"/>
  <c r="S95" i="5"/>
  <c r="S94" i="5"/>
  <c r="S93" i="5"/>
  <c r="U29" i="10"/>
  <c r="U17" i="10"/>
  <c r="U43" i="10"/>
  <c r="U55" i="10"/>
  <c r="U51" i="10"/>
  <c r="U50" i="10"/>
  <c r="U37" i="10"/>
  <c r="U24" i="10"/>
  <c r="U12" i="10"/>
  <c r="U49" i="10"/>
  <c r="U36" i="10"/>
  <c r="U22" i="10"/>
  <c r="U11" i="10"/>
  <c r="U48" i="10"/>
  <c r="U21" i="10"/>
  <c r="AE21" i="10" s="1"/>
  <c r="U10" i="10"/>
  <c r="O26" i="10"/>
  <c r="O12" i="10"/>
  <c r="Q24" i="10"/>
  <c r="E16" i="10"/>
  <c r="C70" i="10"/>
  <c r="O25" i="10"/>
  <c r="E52" i="10"/>
  <c r="I37" i="10"/>
  <c r="U34" i="10"/>
  <c r="U77" i="10"/>
  <c r="Q22" i="10"/>
  <c r="M41" i="10"/>
  <c r="C14" i="10"/>
  <c r="G37" i="10"/>
  <c r="M58" i="10"/>
  <c r="Q15" i="10"/>
  <c r="S25" i="10"/>
  <c r="S24" i="10"/>
  <c r="Q45" i="10"/>
  <c r="Q37" i="10"/>
  <c r="Z27" i="10"/>
  <c r="Q89" i="5"/>
  <c r="V87" i="5"/>
  <c r="W29" i="5"/>
  <c r="C58" i="10"/>
  <c r="C22" i="10"/>
  <c r="C16" i="10"/>
  <c r="T87" i="5"/>
  <c r="S91" i="5"/>
  <c r="S90" i="5"/>
  <c r="S92" i="5"/>
  <c r="Q95" i="5"/>
  <c r="M27" i="10"/>
  <c r="D29" i="10"/>
  <c r="E29" i="10" s="1"/>
  <c r="E72" i="10"/>
  <c r="E55" i="10"/>
  <c r="E71" i="10"/>
  <c r="E70" i="10"/>
  <c r="E51" i="10"/>
  <c r="E80" i="10"/>
  <c r="E67" i="10"/>
  <c r="E50" i="10"/>
  <c r="E78" i="10"/>
  <c r="E66" i="10"/>
  <c r="E49" i="10"/>
  <c r="E48" i="10"/>
  <c r="E77" i="10"/>
  <c r="E17" i="10"/>
  <c r="E81" i="10" s="1"/>
  <c r="E74" i="10"/>
  <c r="E43" i="10"/>
  <c r="E73" i="10"/>
  <c r="E60" i="10"/>
  <c r="E10" i="10"/>
  <c r="Q93" i="5"/>
  <c r="M16" i="10"/>
  <c r="K80" i="10"/>
  <c r="K67" i="10"/>
  <c r="K50" i="10"/>
  <c r="K77" i="10"/>
  <c r="K48" i="10"/>
  <c r="K74" i="10"/>
  <c r="K17" i="10"/>
  <c r="K61" i="10" s="1"/>
  <c r="K73" i="10"/>
  <c r="K43" i="10"/>
  <c r="K66" i="10"/>
  <c r="K55" i="10"/>
  <c r="K51" i="10"/>
  <c r="K78" i="10"/>
  <c r="K49" i="10"/>
  <c r="K72" i="10"/>
  <c r="K41" i="10"/>
  <c r="K71" i="10"/>
  <c r="K39" i="10"/>
  <c r="K14" i="10"/>
  <c r="K70" i="10"/>
  <c r="K13" i="10"/>
  <c r="C15" i="10"/>
  <c r="M26" i="10"/>
  <c r="O45" i="10"/>
  <c r="C80" i="10"/>
  <c r="U58" i="10"/>
  <c r="O13" i="10"/>
  <c r="E34" i="10"/>
  <c r="S57" i="10"/>
  <c r="H29" i="10"/>
  <c r="I29" i="10" s="1"/>
  <c r="I73" i="10"/>
  <c r="I43" i="10"/>
  <c r="I71" i="10"/>
  <c r="I70" i="10"/>
  <c r="I51" i="10"/>
  <c r="I80" i="10"/>
  <c r="I67" i="10"/>
  <c r="I50" i="10"/>
  <c r="I72" i="10"/>
  <c r="I66" i="10"/>
  <c r="I55" i="10"/>
  <c r="I78" i="10"/>
  <c r="I49" i="10"/>
  <c r="I77" i="10"/>
  <c r="I48" i="10"/>
  <c r="I74" i="10"/>
  <c r="I45" i="10"/>
  <c r="I17" i="10"/>
  <c r="I22" i="10"/>
  <c r="M13" i="10"/>
  <c r="C37" i="10"/>
  <c r="U45" i="10"/>
  <c r="G10" i="10"/>
  <c r="K11" i="10"/>
  <c r="O58" i="10"/>
  <c r="S13" i="10"/>
  <c r="O15" i="10"/>
  <c r="P87" i="5"/>
  <c r="C66" i="10"/>
  <c r="C38" i="10"/>
  <c r="C36" i="10"/>
  <c r="G36" i="10"/>
  <c r="C71" i="10"/>
  <c r="C34" i="10"/>
  <c r="C9" i="10"/>
  <c r="W27" i="10"/>
  <c r="M14" i="10"/>
  <c r="M35" i="10"/>
  <c r="C67" i="10"/>
  <c r="M34" i="10"/>
  <c r="C39" i="10"/>
  <c r="G39" i="10"/>
  <c r="E25" i="10"/>
  <c r="G24" i="10"/>
  <c r="K15" i="10"/>
  <c r="M36" i="10"/>
  <c r="U26" i="10"/>
  <c r="E39" i="10"/>
  <c r="G52" i="10"/>
  <c r="O36" i="10"/>
  <c r="M21" i="10"/>
  <c r="P29" i="10"/>
  <c r="Q29" i="10" s="1"/>
  <c r="Q78" i="10"/>
  <c r="Q66" i="10"/>
  <c r="Q49" i="10"/>
  <c r="Q74" i="10"/>
  <c r="Q72" i="10"/>
  <c r="Q55" i="10"/>
  <c r="Q73" i="10"/>
  <c r="Q50" i="10"/>
  <c r="Q71" i="10"/>
  <c r="Q48" i="10"/>
  <c r="Q70" i="10"/>
  <c r="Q43" i="10"/>
  <c r="Q67" i="10"/>
  <c r="Q57" i="10"/>
  <c r="Q21" i="10"/>
  <c r="Q80" i="10"/>
  <c r="Q52" i="10"/>
  <c r="Q35" i="10"/>
  <c r="Q17" i="10"/>
  <c r="Q9" i="10"/>
  <c r="Q77" i="10"/>
  <c r="Q51" i="10"/>
  <c r="Q16" i="10"/>
  <c r="C41" i="10"/>
  <c r="Q13" i="10"/>
  <c r="Q25" i="10"/>
  <c r="C35" i="10"/>
  <c r="Q41" i="10"/>
  <c r="G9" i="10"/>
  <c r="O14" i="10"/>
  <c r="Q12" i="10"/>
  <c r="C21" i="10"/>
  <c r="S80" i="10"/>
  <c r="S67" i="10"/>
  <c r="S51" i="10"/>
  <c r="S78" i="10"/>
  <c r="AE78" i="10" s="1"/>
  <c r="S66" i="10"/>
  <c r="AE66" i="10" s="1"/>
  <c r="S50" i="10"/>
  <c r="S77" i="10"/>
  <c r="AE77" i="10" s="1"/>
  <c r="S49" i="10"/>
  <c r="AE49" i="10" s="1"/>
  <c r="S74" i="10"/>
  <c r="S48" i="10"/>
  <c r="S73" i="10"/>
  <c r="S17" i="10"/>
  <c r="S72" i="10"/>
  <c r="AE72" i="10" s="1"/>
  <c r="S43" i="10"/>
  <c r="S71" i="10"/>
  <c r="S55" i="10"/>
  <c r="S41" i="10"/>
  <c r="S15" i="10"/>
  <c r="S70" i="10"/>
  <c r="S52" i="10"/>
  <c r="S39" i="10"/>
  <c r="AE39" i="10" s="1"/>
  <c r="S26" i="10"/>
  <c r="S14" i="10"/>
  <c r="G41" i="10"/>
  <c r="U35" i="10"/>
  <c r="K57" i="10"/>
  <c r="K27" i="10"/>
  <c r="C25" i="10"/>
  <c r="S22" i="10"/>
  <c r="C24" i="10"/>
  <c r="O38" i="10"/>
  <c r="U16" i="10"/>
  <c r="I36" i="10"/>
  <c r="U14" i="10"/>
  <c r="E9" i="10"/>
  <c r="O9" i="10"/>
  <c r="Q14" i="10"/>
  <c r="E58" i="10"/>
  <c r="C49" i="10"/>
  <c r="C48" i="10"/>
  <c r="C17" i="10"/>
  <c r="C43" i="10"/>
  <c r="C55" i="10"/>
  <c r="C50" i="10"/>
  <c r="B29" i="10"/>
  <c r="C29" i="10" s="1"/>
  <c r="C51" i="10"/>
  <c r="Q11" i="10"/>
  <c r="C77" i="10"/>
  <c r="C60" i="10"/>
  <c r="C61" i="10" s="1"/>
  <c r="Q58" i="10"/>
  <c r="F29" i="10"/>
  <c r="G29" i="10" s="1"/>
  <c r="G78" i="10"/>
  <c r="G66" i="10"/>
  <c r="G49" i="10"/>
  <c r="G74" i="10"/>
  <c r="G17" i="10"/>
  <c r="G73" i="10"/>
  <c r="G43" i="10"/>
  <c r="G72" i="10"/>
  <c r="G55" i="10"/>
  <c r="G77" i="10"/>
  <c r="G48" i="10"/>
  <c r="G71" i="10"/>
  <c r="G70" i="10"/>
  <c r="G67" i="10"/>
  <c r="G51" i="10"/>
  <c r="G80" i="10"/>
  <c r="G50" i="10"/>
  <c r="S89" i="5"/>
  <c r="C10" i="10"/>
  <c r="Q10" i="10"/>
  <c r="Q27" i="10"/>
  <c r="E15" i="10"/>
  <c r="K35" i="10"/>
  <c r="G26" i="10"/>
  <c r="C13" i="10"/>
  <c r="S10" i="10"/>
  <c r="S104" i="10" s="1"/>
  <c r="K36" i="10"/>
  <c r="C27" i="10"/>
  <c r="E26" i="10"/>
  <c r="O11" i="10"/>
  <c r="S58" i="10"/>
  <c r="E45" i="10"/>
  <c r="I21" i="10"/>
  <c r="K52" i="10"/>
  <c r="S34" i="10"/>
  <c r="C52" i="10"/>
  <c r="U41" i="10"/>
  <c r="AE41" i="10" s="1"/>
  <c r="K25" i="10"/>
  <c r="O57" i="10"/>
  <c r="AA27" i="10"/>
  <c r="N29" i="10"/>
  <c r="O29" i="10" s="1"/>
  <c r="Q36" i="10"/>
  <c r="U92" i="5"/>
  <c r="U91" i="5"/>
  <c r="U90" i="5"/>
  <c r="Q34" i="10"/>
  <c r="C72" i="10"/>
  <c r="L29" i="10"/>
  <c r="M29" i="10" s="1"/>
  <c r="M73" i="10"/>
  <c r="M43" i="10"/>
  <c r="M71" i="10"/>
  <c r="M70" i="10"/>
  <c r="M51" i="10"/>
  <c r="M80" i="10"/>
  <c r="M67" i="10"/>
  <c r="M50" i="10"/>
  <c r="M55" i="10"/>
  <c r="M78" i="10"/>
  <c r="M49" i="10"/>
  <c r="M77" i="10"/>
  <c r="M48" i="10"/>
  <c r="M74" i="10"/>
  <c r="M17" i="10"/>
  <c r="M72" i="10"/>
  <c r="M66" i="10"/>
  <c r="M60" i="10"/>
  <c r="M11" i="10"/>
  <c r="M10" i="10"/>
  <c r="U95" i="5"/>
  <c r="U94" i="5"/>
  <c r="U93" i="5"/>
  <c r="R87" i="5"/>
  <c r="M52" i="10"/>
  <c r="C78" i="10"/>
  <c r="K16" i="10"/>
  <c r="G14" i="10"/>
  <c r="U74" i="10"/>
  <c r="Q38" i="10"/>
  <c r="I11" i="10"/>
  <c r="C12" i="10"/>
  <c r="M25" i="10"/>
  <c r="C74" i="10"/>
  <c r="S36" i="10"/>
  <c r="AE36" i="10" s="1"/>
  <c r="E14" i="10"/>
  <c r="I27" i="10"/>
  <c r="G11" i="10"/>
  <c r="K26" i="10"/>
  <c r="U38" i="10"/>
  <c r="U25" i="10"/>
  <c r="I34" i="10"/>
  <c r="O16" i="10"/>
  <c r="AB93" i="10"/>
  <c r="AA94" i="10"/>
  <c r="Z106" i="10"/>
  <c r="Z91" i="10"/>
  <c r="Z92" i="10"/>
  <c r="T107" i="10"/>
  <c r="T108" i="10" s="1"/>
  <c r="AB94" i="10"/>
  <c r="AA91" i="10"/>
  <c r="AA92" i="10"/>
  <c r="AA93" i="10"/>
  <c r="Z94" i="10"/>
  <c r="T87" i="10"/>
  <c r="Z93" i="10"/>
  <c r="AB17" i="10"/>
  <c r="AA17" i="10"/>
  <c r="T81" i="10"/>
  <c r="AE35" i="10"/>
  <c r="Z17" i="10"/>
  <c r="T90" i="10"/>
  <c r="T95" i="10"/>
  <c r="T89" i="10"/>
  <c r="AE11" i="5"/>
  <c r="X27" i="9"/>
  <c r="X17" i="9"/>
  <c r="P125" i="9"/>
  <c r="N125" i="9"/>
  <c r="L125" i="9"/>
  <c r="J125" i="9"/>
  <c r="H125" i="9"/>
  <c r="F125" i="9"/>
  <c r="D125" i="9"/>
  <c r="B125" i="9"/>
  <c r="B124" i="9"/>
  <c r="B126" i="9" s="1"/>
  <c r="P116" i="9"/>
  <c r="P115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P112" i="9"/>
  <c r="O112" i="9"/>
  <c r="N112" i="9"/>
  <c r="N115" i="9" s="1"/>
  <c r="N116" i="9" s="1"/>
  <c r="M112" i="9"/>
  <c r="L112" i="9"/>
  <c r="K112" i="9"/>
  <c r="J112" i="9"/>
  <c r="I112" i="9"/>
  <c r="H112" i="9"/>
  <c r="G112" i="9"/>
  <c r="F112" i="9"/>
  <c r="F115" i="9" s="1"/>
  <c r="E112" i="9"/>
  <c r="D112" i="9"/>
  <c r="C112" i="9"/>
  <c r="B112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Q96" i="9"/>
  <c r="M96" i="9"/>
  <c r="K96" i="9"/>
  <c r="I96" i="9"/>
  <c r="G96" i="9"/>
  <c r="E96" i="9"/>
  <c r="D96" i="9"/>
  <c r="C96" i="9"/>
  <c r="B96" i="9"/>
  <c r="Q95" i="9"/>
  <c r="P95" i="9"/>
  <c r="O95" i="9"/>
  <c r="N95" i="9"/>
  <c r="M95" i="9"/>
  <c r="L95" i="9"/>
  <c r="K95" i="9"/>
  <c r="J95" i="9"/>
  <c r="I95" i="9"/>
  <c r="H95" i="9"/>
  <c r="G95" i="9"/>
  <c r="F95" i="9"/>
  <c r="D95" i="9"/>
  <c r="B95" i="9"/>
  <c r="I93" i="9"/>
  <c r="P92" i="9"/>
  <c r="P93" i="9" s="1"/>
  <c r="O92" i="9"/>
  <c r="O93" i="9" s="1"/>
  <c r="M92" i="9"/>
  <c r="M93" i="9" s="1"/>
  <c r="K92" i="9"/>
  <c r="K93" i="9" s="1"/>
  <c r="I92" i="9"/>
  <c r="H92" i="9"/>
  <c r="H93" i="9" s="1"/>
  <c r="G92" i="9"/>
  <c r="G93" i="9" s="1"/>
  <c r="E92" i="9"/>
  <c r="E93" i="9" s="1"/>
  <c r="C92" i="9"/>
  <c r="C93" i="9" s="1"/>
  <c r="B92" i="9"/>
  <c r="B93" i="9" s="1"/>
  <c r="P87" i="9"/>
  <c r="P88" i="9" s="1"/>
  <c r="O87" i="9"/>
  <c r="O88" i="9" s="1"/>
  <c r="N87" i="9"/>
  <c r="N88" i="9" s="1"/>
  <c r="M87" i="9"/>
  <c r="M88" i="9" s="1"/>
  <c r="L87" i="9"/>
  <c r="L88" i="9" s="1"/>
  <c r="K87" i="9"/>
  <c r="K88" i="9" s="1"/>
  <c r="J87" i="9"/>
  <c r="J88" i="9" s="1"/>
  <c r="I87" i="9"/>
  <c r="I88" i="9" s="1"/>
  <c r="H87" i="9"/>
  <c r="H88" i="9" s="1"/>
  <c r="G87" i="9"/>
  <c r="G88" i="9" s="1"/>
  <c r="F87" i="9"/>
  <c r="F88" i="9" s="1"/>
  <c r="E87" i="9"/>
  <c r="E88" i="9" s="1"/>
  <c r="D87" i="9"/>
  <c r="D88" i="9" s="1"/>
  <c r="C87" i="9"/>
  <c r="C88" i="9" s="1"/>
  <c r="B87" i="9"/>
  <c r="B88" i="9" s="1"/>
  <c r="P96" i="9"/>
  <c r="O96" i="9"/>
  <c r="J96" i="9"/>
  <c r="H96" i="9"/>
  <c r="F92" i="9"/>
  <c r="F93" i="9" s="1"/>
  <c r="Z80" i="5"/>
  <c r="Z78" i="5"/>
  <c r="Z77" i="5"/>
  <c r="Z74" i="5"/>
  <c r="Z73" i="5"/>
  <c r="Z72" i="5"/>
  <c r="Z71" i="5"/>
  <c r="Z70" i="5"/>
  <c r="Z67" i="5"/>
  <c r="Z66" i="5"/>
  <c r="Z65" i="5"/>
  <c r="Z58" i="5"/>
  <c r="Z57" i="5"/>
  <c r="Z56" i="5"/>
  <c r="Z55" i="5"/>
  <c r="Z52" i="5"/>
  <c r="Z51" i="5"/>
  <c r="Z50" i="5"/>
  <c r="Z49" i="5"/>
  <c r="Z48" i="5"/>
  <c r="Z45" i="5"/>
  <c r="Z43" i="5"/>
  <c r="Z41" i="5"/>
  <c r="Z39" i="5"/>
  <c r="Z38" i="5"/>
  <c r="Z37" i="5"/>
  <c r="Z36" i="5"/>
  <c r="Z35" i="5"/>
  <c r="Z34" i="5"/>
  <c r="Z16" i="5"/>
  <c r="Z15" i="5"/>
  <c r="Z14" i="5"/>
  <c r="Z13" i="5"/>
  <c r="Z12" i="5"/>
  <c r="Z11" i="5"/>
  <c r="Z10" i="5"/>
  <c r="Z9" i="5"/>
  <c r="X27" i="5"/>
  <c r="X17" i="5"/>
  <c r="Y11" i="5" s="1"/>
  <c r="AE74" i="10" l="1"/>
  <c r="W95" i="10"/>
  <c r="W93" i="10"/>
  <c r="AE52" i="10"/>
  <c r="H115" i="9"/>
  <c r="H116" i="9" s="1"/>
  <c r="AE67" i="10"/>
  <c r="AE37" i="10"/>
  <c r="W104" i="10"/>
  <c r="W90" i="10"/>
  <c r="I61" i="10"/>
  <c r="S89" i="10"/>
  <c r="AE70" i="10"/>
  <c r="AE57" i="10"/>
  <c r="AE27" i="10"/>
  <c r="AE58" i="10"/>
  <c r="Y94" i="10"/>
  <c r="Y93" i="10"/>
  <c r="Z27" i="9"/>
  <c r="AA27" i="9"/>
  <c r="Z17" i="9"/>
  <c r="AA17" i="9"/>
  <c r="J115" i="9"/>
  <c r="J116" i="9" s="1"/>
  <c r="R87" i="10"/>
  <c r="AE73" i="10"/>
  <c r="AE22" i="10"/>
  <c r="AE55" i="10"/>
  <c r="K30" i="10"/>
  <c r="D115" i="9"/>
  <c r="D116" i="9" s="1"/>
  <c r="W91" i="10"/>
  <c r="W92" i="10"/>
  <c r="C81" i="10"/>
  <c r="AE24" i="10"/>
  <c r="Y29" i="10"/>
  <c r="Y87" i="10" s="1"/>
  <c r="Y95" i="10"/>
  <c r="M30" i="10"/>
  <c r="AE45" i="10"/>
  <c r="AE51" i="10"/>
  <c r="C30" i="10"/>
  <c r="O61" i="5"/>
  <c r="O88" i="5"/>
  <c r="G61" i="10"/>
  <c r="AE71" i="10"/>
  <c r="K81" i="10"/>
  <c r="AE26" i="10"/>
  <c r="S91" i="10"/>
  <c r="S61" i="5"/>
  <c r="R61" i="5"/>
  <c r="R60" i="10"/>
  <c r="R88" i="10" s="1"/>
  <c r="AE48" i="10"/>
  <c r="O81" i="10"/>
  <c r="W94" i="10"/>
  <c r="AE38" i="10"/>
  <c r="S93" i="10"/>
  <c r="S94" i="10"/>
  <c r="AE50" i="10"/>
  <c r="Y91" i="10"/>
  <c r="AA95" i="10"/>
  <c r="Y90" i="10"/>
  <c r="Y92" i="10"/>
  <c r="AB90" i="10"/>
  <c r="Y48" i="9"/>
  <c r="Y35" i="9"/>
  <c r="Y22" i="9"/>
  <c r="Y11" i="9"/>
  <c r="Y45" i="9"/>
  <c r="Y21" i="9"/>
  <c r="Y10" i="9"/>
  <c r="Y50" i="9"/>
  <c r="Y57" i="9"/>
  <c r="Y43" i="9"/>
  <c r="Y17" i="9"/>
  <c r="Y81" i="9" s="1"/>
  <c r="Y9" i="9"/>
  <c r="Y38" i="9"/>
  <c r="Y37" i="9"/>
  <c r="Y55" i="9"/>
  <c r="Y41" i="9"/>
  <c r="Y27" i="9"/>
  <c r="Y16" i="9"/>
  <c r="Y52" i="9"/>
  <c r="Y39" i="9"/>
  <c r="Y26" i="9"/>
  <c r="Y15" i="9"/>
  <c r="Y51" i="9"/>
  <c r="Y25" i="9"/>
  <c r="Y14" i="9"/>
  <c r="Y13" i="9"/>
  <c r="Y49" i="9"/>
  <c r="Y36" i="9"/>
  <c r="Y23" i="9"/>
  <c r="Y12" i="9"/>
  <c r="Y58" i="9"/>
  <c r="Y34" i="9"/>
  <c r="Y24" i="9"/>
  <c r="F116" i="9"/>
  <c r="H124" i="9"/>
  <c r="H126" i="9" s="1"/>
  <c r="M81" i="10"/>
  <c r="P124" i="9"/>
  <c r="P126" i="9" s="1"/>
  <c r="B115" i="9"/>
  <c r="B116" i="9" s="1"/>
  <c r="AE25" i="10"/>
  <c r="S92" i="10"/>
  <c r="U91" i="10"/>
  <c r="AE34" i="10"/>
  <c r="W29" i="10"/>
  <c r="V87" i="10"/>
  <c r="AB87" i="10" s="1"/>
  <c r="AE43" i="10"/>
  <c r="M61" i="10"/>
  <c r="L115" i="9"/>
  <c r="L116" i="9" s="1"/>
  <c r="O30" i="10"/>
  <c r="Z17" i="5"/>
  <c r="S90" i="10"/>
  <c r="S81" i="10"/>
  <c r="I30" i="10"/>
  <c r="W30" i="5"/>
  <c r="W87" i="5"/>
  <c r="AE17" i="10"/>
  <c r="R88" i="5"/>
  <c r="Q81" i="10"/>
  <c r="Q30" i="10"/>
  <c r="E61" i="10"/>
  <c r="V88" i="5"/>
  <c r="V60" i="10"/>
  <c r="W60" i="5"/>
  <c r="S95" i="10"/>
  <c r="I81" i="10"/>
  <c r="T88" i="5"/>
  <c r="U60" i="10"/>
  <c r="U61" i="10" s="1"/>
  <c r="U30" i="10"/>
  <c r="S30" i="10"/>
  <c r="S87" i="5"/>
  <c r="G81" i="10"/>
  <c r="G30" i="10"/>
  <c r="P88" i="5"/>
  <c r="P60" i="10"/>
  <c r="E30" i="10"/>
  <c r="U87" i="5"/>
  <c r="Q87" i="5"/>
  <c r="U81" i="10"/>
  <c r="U104" i="10"/>
  <c r="Z104" i="10" s="1"/>
  <c r="Z107" i="10" s="1"/>
  <c r="U90" i="10"/>
  <c r="AA29" i="10"/>
  <c r="AA30" i="10" s="1"/>
  <c r="AB29" i="10"/>
  <c r="AB30" i="10" s="1"/>
  <c r="Z29" i="10"/>
  <c r="Z87" i="10" s="1"/>
  <c r="AB95" i="10"/>
  <c r="AK29" i="10"/>
  <c r="AL29" i="10" s="1"/>
  <c r="AE29" i="10"/>
  <c r="AA90" i="10"/>
  <c r="U89" i="10"/>
  <c r="U93" i="10"/>
  <c r="U94" i="10"/>
  <c r="U95" i="10"/>
  <c r="U92" i="10"/>
  <c r="Z95" i="10"/>
  <c r="Z90" i="10"/>
  <c r="S87" i="10"/>
  <c r="AB61" i="10"/>
  <c r="U87" i="10"/>
  <c r="X29" i="9"/>
  <c r="C95" i="9"/>
  <c r="F124" i="9"/>
  <c r="F126" i="9" s="1"/>
  <c r="E95" i="9"/>
  <c r="J124" i="9"/>
  <c r="J126" i="9" s="1"/>
  <c r="J92" i="9"/>
  <c r="J93" i="9" s="1"/>
  <c r="D92" i="9"/>
  <c r="D93" i="9" s="1"/>
  <c r="L92" i="9"/>
  <c r="L93" i="9" s="1"/>
  <c r="F96" i="9"/>
  <c r="N96" i="9"/>
  <c r="L124" i="9"/>
  <c r="L126" i="9" s="1"/>
  <c r="L96" i="9"/>
  <c r="N92" i="9"/>
  <c r="N93" i="9" s="1"/>
  <c r="Y23" i="5"/>
  <c r="X29" i="5"/>
  <c r="Z29" i="5" s="1"/>
  <c r="Z113" i="9"/>
  <c r="R114" i="9"/>
  <c r="S114" i="9"/>
  <c r="T114" i="9"/>
  <c r="U114" i="9"/>
  <c r="V114" i="9"/>
  <c r="W114" i="9"/>
  <c r="X114" i="9"/>
  <c r="R112" i="9"/>
  <c r="S112" i="9"/>
  <c r="T112" i="9"/>
  <c r="U112" i="9"/>
  <c r="V112" i="9"/>
  <c r="W112" i="9"/>
  <c r="X112" i="9"/>
  <c r="S92" i="9"/>
  <c r="S93" i="9" s="1"/>
  <c r="U92" i="9"/>
  <c r="U93" i="9" s="1"/>
  <c r="Z91" i="9"/>
  <c r="Z86" i="9"/>
  <c r="R87" i="9"/>
  <c r="R88" i="9" s="1"/>
  <c r="S87" i="9"/>
  <c r="S88" i="9" s="1"/>
  <c r="T87" i="9"/>
  <c r="T88" i="9" s="1"/>
  <c r="U87" i="9"/>
  <c r="U88" i="9" s="1"/>
  <c r="V87" i="9"/>
  <c r="V88" i="9" s="1"/>
  <c r="W87" i="9"/>
  <c r="W88" i="9" s="1"/>
  <c r="X87" i="9"/>
  <c r="X88" i="9" s="1"/>
  <c r="AK23" i="9"/>
  <c r="AL23" i="9" s="1"/>
  <c r="AK11" i="9"/>
  <c r="AL11" i="9" s="1"/>
  <c r="W81" i="9"/>
  <c r="AE39" i="9"/>
  <c r="AE38" i="9"/>
  <c r="AE37" i="9"/>
  <c r="AE36" i="9"/>
  <c r="AE35" i="9"/>
  <c r="AE34" i="9"/>
  <c r="W98" i="9"/>
  <c r="C139" i="9"/>
  <c r="B139" i="9"/>
  <c r="D138" i="9"/>
  <c r="D137" i="9"/>
  <c r="X125" i="9"/>
  <c r="V125" i="9"/>
  <c r="T125" i="9"/>
  <c r="R125" i="9"/>
  <c r="X116" i="9"/>
  <c r="X115" i="9"/>
  <c r="X103" i="9"/>
  <c r="V103" i="9"/>
  <c r="T103" i="9"/>
  <c r="R103" i="9"/>
  <c r="X102" i="9"/>
  <c r="V102" i="9"/>
  <c r="U102" i="9"/>
  <c r="T102" i="9"/>
  <c r="R102" i="9"/>
  <c r="X101" i="9"/>
  <c r="V101" i="9"/>
  <c r="T101" i="9"/>
  <c r="R101" i="9"/>
  <c r="X100" i="9"/>
  <c r="V100" i="9"/>
  <c r="T100" i="9"/>
  <c r="R100" i="9"/>
  <c r="X99" i="9"/>
  <c r="V99" i="9"/>
  <c r="T99" i="9"/>
  <c r="R99" i="9"/>
  <c r="X98" i="9"/>
  <c r="V98" i="9"/>
  <c r="T98" i="9"/>
  <c r="R98" i="9"/>
  <c r="R97" i="9"/>
  <c r="V95" i="9"/>
  <c r="T95" i="9"/>
  <c r="R95" i="9"/>
  <c r="U97" i="9"/>
  <c r="AB79" i="9"/>
  <c r="AK78" i="9"/>
  <c r="AL78" i="9" s="1"/>
  <c r="AB78" i="9"/>
  <c r="AE78" i="9"/>
  <c r="AK77" i="9"/>
  <c r="AL77" i="9" s="1"/>
  <c r="AB77" i="9"/>
  <c r="AE77" i="9"/>
  <c r="AK74" i="9"/>
  <c r="AL74" i="9" s="1"/>
  <c r="AB74" i="9"/>
  <c r="AE74" i="9"/>
  <c r="AK73" i="9"/>
  <c r="AL73" i="9" s="1"/>
  <c r="AB73" i="9"/>
  <c r="AE73" i="9"/>
  <c r="AK72" i="9"/>
  <c r="AL72" i="9" s="1"/>
  <c r="AB72" i="9"/>
  <c r="AE72" i="9"/>
  <c r="AK71" i="9"/>
  <c r="AL71" i="9" s="1"/>
  <c r="AB71" i="9"/>
  <c r="AE71" i="9"/>
  <c r="AK70" i="9"/>
  <c r="AL70" i="9" s="1"/>
  <c r="AB70" i="9"/>
  <c r="AE70" i="9"/>
  <c r="AK69" i="9"/>
  <c r="AL69" i="9" s="1"/>
  <c r="AK68" i="9"/>
  <c r="AK67" i="9"/>
  <c r="AL67" i="9" s="1"/>
  <c r="AB67" i="9"/>
  <c r="AE67" i="9"/>
  <c r="AK66" i="9"/>
  <c r="AL66" i="9" s="1"/>
  <c r="AB66" i="9"/>
  <c r="AE66" i="9"/>
  <c r="AK65" i="9"/>
  <c r="AL65" i="9" s="1"/>
  <c r="AE65" i="9"/>
  <c r="AB65" i="9"/>
  <c r="AB59" i="9"/>
  <c r="AK58" i="9"/>
  <c r="AL58" i="9" s="1"/>
  <c r="AB58" i="9"/>
  <c r="AE58" i="9"/>
  <c r="AK57" i="9"/>
  <c r="AL57" i="9" s="1"/>
  <c r="AB57" i="9"/>
  <c r="AE57" i="9"/>
  <c r="AK56" i="9"/>
  <c r="AL56" i="9" s="1"/>
  <c r="AE56" i="9"/>
  <c r="AB56" i="9"/>
  <c r="AK55" i="9"/>
  <c r="AL55" i="9" s="1"/>
  <c r="AB55" i="9"/>
  <c r="AE55" i="9"/>
  <c r="AK52" i="9"/>
  <c r="AL52" i="9" s="1"/>
  <c r="AE52" i="9"/>
  <c r="AB52" i="9"/>
  <c r="AK51" i="9"/>
  <c r="AL51" i="9" s="1"/>
  <c r="AB51" i="9"/>
  <c r="AE51" i="9"/>
  <c r="AK50" i="9"/>
  <c r="AL50" i="9" s="1"/>
  <c r="AE50" i="9"/>
  <c r="AB50" i="9"/>
  <c r="AK49" i="9"/>
  <c r="AL49" i="9" s="1"/>
  <c r="AB49" i="9"/>
  <c r="AE49" i="9"/>
  <c r="AK48" i="9"/>
  <c r="AL48" i="9" s="1"/>
  <c r="AE48" i="9"/>
  <c r="AB48" i="9"/>
  <c r="AK45" i="9"/>
  <c r="AL45" i="9" s="1"/>
  <c r="AB45" i="9"/>
  <c r="AE45" i="9"/>
  <c r="AK43" i="9"/>
  <c r="AL43" i="9" s="1"/>
  <c r="AB43" i="9"/>
  <c r="U98" i="9"/>
  <c r="S98" i="9"/>
  <c r="AK41" i="9"/>
  <c r="AL41" i="9" s="1"/>
  <c r="AB41" i="9"/>
  <c r="AE41" i="9"/>
  <c r="AK39" i="9"/>
  <c r="AL39" i="9" s="1"/>
  <c r="AB39" i="9"/>
  <c r="AK38" i="9"/>
  <c r="AL38" i="9" s="1"/>
  <c r="AB38" i="9"/>
  <c r="AK37" i="9"/>
  <c r="AL37" i="9" s="1"/>
  <c r="AB37" i="9"/>
  <c r="AK36" i="9"/>
  <c r="AL36" i="9" s="1"/>
  <c r="AB36" i="9"/>
  <c r="AK35" i="9"/>
  <c r="AL35" i="9" s="1"/>
  <c r="AB35" i="9"/>
  <c r="AK34" i="9"/>
  <c r="AL34" i="9" s="1"/>
  <c r="AB34" i="9"/>
  <c r="S95" i="9"/>
  <c r="AB28" i="9"/>
  <c r="AK27" i="9"/>
  <c r="AL27" i="9" s="1"/>
  <c r="AB27" i="9"/>
  <c r="AE27" i="9"/>
  <c r="AK26" i="9"/>
  <c r="AL26" i="9" s="1"/>
  <c r="AB26" i="9"/>
  <c r="AE26" i="9"/>
  <c r="AK25" i="9"/>
  <c r="AL25" i="9" s="1"/>
  <c r="AB25" i="9"/>
  <c r="AK24" i="9"/>
  <c r="AL24" i="9" s="1"/>
  <c r="AB24" i="9"/>
  <c r="AE24" i="9"/>
  <c r="AB23" i="9"/>
  <c r="AK22" i="9"/>
  <c r="AL22" i="9" s="1"/>
  <c r="AB22" i="9"/>
  <c r="AE22" i="9"/>
  <c r="AK21" i="9"/>
  <c r="AL21" i="9" s="1"/>
  <c r="AB21" i="9"/>
  <c r="AE21" i="9"/>
  <c r="AK17" i="9"/>
  <c r="AL17" i="9" s="1"/>
  <c r="AB17" i="9"/>
  <c r="AE17" i="9"/>
  <c r="AK16" i="9"/>
  <c r="AL16" i="9" s="1"/>
  <c r="AE16" i="9"/>
  <c r="AB16" i="9"/>
  <c r="AK15" i="9"/>
  <c r="AL15" i="9" s="1"/>
  <c r="AE15" i="9"/>
  <c r="AB15" i="9"/>
  <c r="AK14" i="9"/>
  <c r="AL14" i="9" s="1"/>
  <c r="AE14" i="9"/>
  <c r="AB14" i="9"/>
  <c r="W101" i="9"/>
  <c r="U101" i="9"/>
  <c r="S102" i="9"/>
  <c r="AK13" i="9"/>
  <c r="AL13" i="9" s="1"/>
  <c r="AE13" i="9"/>
  <c r="AB13" i="9"/>
  <c r="AK12" i="9"/>
  <c r="AL12" i="9" s="1"/>
  <c r="AE12" i="9"/>
  <c r="AB12" i="9"/>
  <c r="AB11" i="9"/>
  <c r="AK10" i="9"/>
  <c r="AL10" i="9" s="1"/>
  <c r="AE10" i="9"/>
  <c r="AB10" i="9"/>
  <c r="AK9" i="9"/>
  <c r="AL9" i="9" s="1"/>
  <c r="AE9" i="9"/>
  <c r="AB9" i="9"/>
  <c r="Y9" i="5"/>
  <c r="AE9" i="5"/>
  <c r="Y10" i="5"/>
  <c r="AE10" i="5"/>
  <c r="Y12" i="5"/>
  <c r="AE12" i="5"/>
  <c r="Y13" i="5"/>
  <c r="AE13" i="5"/>
  <c r="Y14" i="5"/>
  <c r="AE14" i="5"/>
  <c r="Y15" i="5"/>
  <c r="AE15" i="5"/>
  <c r="Y16" i="5"/>
  <c r="AE16" i="5"/>
  <c r="Y17" i="5"/>
  <c r="Y21" i="5"/>
  <c r="Z21" i="5"/>
  <c r="Y22" i="5"/>
  <c r="Z22" i="5"/>
  <c r="Z23" i="5"/>
  <c r="Y24" i="5"/>
  <c r="Z24" i="5"/>
  <c r="Y25" i="5"/>
  <c r="Z25" i="5"/>
  <c r="Y26" i="5"/>
  <c r="Z26" i="5"/>
  <c r="Y27" i="5"/>
  <c r="Z27" i="5"/>
  <c r="Z28" i="5"/>
  <c r="Y34" i="5"/>
  <c r="Y35" i="5"/>
  <c r="Y36" i="5"/>
  <c r="Y37" i="5"/>
  <c r="Y38" i="5"/>
  <c r="Y39" i="5"/>
  <c r="Y41" i="5"/>
  <c r="Y43" i="5"/>
  <c r="Y45" i="5"/>
  <c r="Y48" i="5"/>
  <c r="Y49" i="5"/>
  <c r="Y50" i="5"/>
  <c r="Y51" i="5"/>
  <c r="Y52" i="5"/>
  <c r="Y55" i="5"/>
  <c r="AE56" i="5"/>
  <c r="Y57" i="5"/>
  <c r="Y58" i="5"/>
  <c r="Z59" i="5"/>
  <c r="AE65" i="5"/>
  <c r="Y66" i="5"/>
  <c r="Y67" i="5"/>
  <c r="Y70" i="5"/>
  <c r="Y71" i="5"/>
  <c r="Y72" i="5"/>
  <c r="Y73" i="5"/>
  <c r="Y74" i="5"/>
  <c r="Y77" i="5"/>
  <c r="Y78" i="5"/>
  <c r="Y80" i="5"/>
  <c r="X95" i="5"/>
  <c r="X94" i="5"/>
  <c r="X93" i="5"/>
  <c r="X92" i="5"/>
  <c r="X91" i="5"/>
  <c r="X90" i="5"/>
  <c r="X81" i="5"/>
  <c r="X89" i="5"/>
  <c r="J125" i="8"/>
  <c r="C122" i="8"/>
  <c r="B122" i="8"/>
  <c r="D121" i="8"/>
  <c r="D120" i="8"/>
  <c r="D122" i="8" s="1"/>
  <c r="X108" i="8"/>
  <c r="V108" i="8"/>
  <c r="T108" i="8"/>
  <c r="R108" i="8"/>
  <c r="P108" i="8"/>
  <c r="N108" i="8"/>
  <c r="L108" i="8"/>
  <c r="J108" i="8"/>
  <c r="H108" i="8"/>
  <c r="H101" i="8"/>
  <c r="R100" i="8"/>
  <c r="P100" i="8"/>
  <c r="V99" i="8"/>
  <c r="V100" i="8" s="1"/>
  <c r="T99" i="8"/>
  <c r="T100" i="8" s="1"/>
  <c r="X98" i="8"/>
  <c r="X99" i="8" s="1"/>
  <c r="V98" i="8"/>
  <c r="T98" i="8"/>
  <c r="R98" i="8"/>
  <c r="P98" i="8"/>
  <c r="N98" i="8"/>
  <c r="L98" i="8"/>
  <c r="J98" i="8"/>
  <c r="J99" i="8" s="1"/>
  <c r="J100" i="8" s="1"/>
  <c r="H98" i="8"/>
  <c r="H99" i="8" s="1"/>
  <c r="X97" i="8"/>
  <c r="V97" i="8"/>
  <c r="T97" i="8"/>
  <c r="R97" i="8"/>
  <c r="R99" i="8" s="1"/>
  <c r="P97" i="8"/>
  <c r="P99" i="8" s="1"/>
  <c r="P107" i="8" s="1"/>
  <c r="P109" i="8" s="1"/>
  <c r="N97" i="8"/>
  <c r="N99" i="8" s="1"/>
  <c r="N100" i="8" s="1"/>
  <c r="L97" i="8"/>
  <c r="L99" i="8" s="1"/>
  <c r="L100" i="8" s="1"/>
  <c r="J97" i="8"/>
  <c r="H97" i="8"/>
  <c r="Z97" i="8" s="1"/>
  <c r="X87" i="8"/>
  <c r="V87" i="8"/>
  <c r="T87" i="8"/>
  <c r="T86" i="8" s="1"/>
  <c r="R87" i="8"/>
  <c r="R86" i="8" s="1"/>
  <c r="P87" i="8"/>
  <c r="P86" i="8" s="1"/>
  <c r="N87" i="8"/>
  <c r="L87" i="8"/>
  <c r="J87" i="8"/>
  <c r="J86" i="8" s="1"/>
  <c r="H87" i="8"/>
  <c r="X86" i="8"/>
  <c r="V86" i="8"/>
  <c r="N86" i="8"/>
  <c r="L86" i="8"/>
  <c r="H86" i="8"/>
  <c r="X85" i="8"/>
  <c r="V85" i="8"/>
  <c r="T85" i="8"/>
  <c r="R85" i="8"/>
  <c r="P85" i="8"/>
  <c r="N85" i="8"/>
  <c r="L85" i="8"/>
  <c r="J85" i="8"/>
  <c r="H85" i="8"/>
  <c r="X84" i="8"/>
  <c r="V84" i="8"/>
  <c r="T84" i="8"/>
  <c r="R84" i="8"/>
  <c r="P84" i="8"/>
  <c r="N84" i="8"/>
  <c r="L84" i="8"/>
  <c r="J84" i="8"/>
  <c r="H84" i="8"/>
  <c r="X83" i="8"/>
  <c r="V83" i="8"/>
  <c r="T83" i="8"/>
  <c r="R83" i="8"/>
  <c r="P83" i="8"/>
  <c r="N83" i="8"/>
  <c r="L83" i="8"/>
  <c r="J83" i="8"/>
  <c r="H83" i="8"/>
  <c r="X82" i="8"/>
  <c r="V82" i="8"/>
  <c r="T82" i="8"/>
  <c r="R82" i="8"/>
  <c r="P82" i="8"/>
  <c r="N82" i="8"/>
  <c r="L82" i="8"/>
  <c r="J82" i="8"/>
  <c r="H82" i="8"/>
  <c r="X81" i="8"/>
  <c r="P81" i="8"/>
  <c r="N81" i="8"/>
  <c r="L81" i="8"/>
  <c r="H81" i="8"/>
  <c r="X80" i="8"/>
  <c r="V80" i="8"/>
  <c r="T80" i="8"/>
  <c r="R80" i="8"/>
  <c r="P80" i="8"/>
  <c r="N80" i="8"/>
  <c r="L80" i="8"/>
  <c r="J80" i="8"/>
  <c r="H80" i="8"/>
  <c r="AI76" i="8"/>
  <c r="AJ76" i="8" s="1"/>
  <c r="AE76" i="8"/>
  <c r="Y76" i="8"/>
  <c r="W76" i="8"/>
  <c r="U76" i="8"/>
  <c r="S76" i="8"/>
  <c r="Q76" i="8"/>
  <c r="O76" i="8"/>
  <c r="M76" i="8"/>
  <c r="K76" i="8"/>
  <c r="I76" i="8"/>
  <c r="AA76" i="8" s="1"/>
  <c r="AI75" i="8"/>
  <c r="AJ75" i="8" s="1"/>
  <c r="Y74" i="8"/>
  <c r="W74" i="8"/>
  <c r="AI74" i="8" s="1"/>
  <c r="AJ74" i="8" s="1"/>
  <c r="U74" i="8"/>
  <c r="S74" i="8"/>
  <c r="Q74" i="8"/>
  <c r="O74" i="8"/>
  <c r="M74" i="8"/>
  <c r="K74" i="8"/>
  <c r="AA74" i="8" s="1"/>
  <c r="I74" i="8"/>
  <c r="Y73" i="8"/>
  <c r="W73" i="8"/>
  <c r="U73" i="8"/>
  <c r="S73" i="8"/>
  <c r="Q73" i="8"/>
  <c r="O73" i="8"/>
  <c r="M73" i="8"/>
  <c r="K73" i="8"/>
  <c r="I73" i="8"/>
  <c r="AI72" i="8"/>
  <c r="AJ72" i="8" s="1"/>
  <c r="Y70" i="8"/>
  <c r="W70" i="8"/>
  <c r="U70" i="8"/>
  <c r="AE70" i="8" s="1"/>
  <c r="S70" i="8"/>
  <c r="Q70" i="8"/>
  <c r="O70" i="8"/>
  <c r="M70" i="8"/>
  <c r="K70" i="8"/>
  <c r="I70" i="8"/>
  <c r="AI69" i="8"/>
  <c r="AJ69" i="8" s="1"/>
  <c r="AE69" i="8"/>
  <c r="AA69" i="8"/>
  <c r="Y69" i="8"/>
  <c r="W69" i="8"/>
  <c r="U69" i="8"/>
  <c r="S69" i="8"/>
  <c r="Q69" i="8"/>
  <c r="O69" i="8"/>
  <c r="M69" i="8"/>
  <c r="K69" i="8"/>
  <c r="I69" i="8"/>
  <c r="Z69" i="8" s="1"/>
  <c r="AI68" i="8"/>
  <c r="AJ68" i="8" s="1"/>
  <c r="AE68" i="8"/>
  <c r="Y68" i="8"/>
  <c r="W68" i="8"/>
  <c r="U68" i="8"/>
  <c r="S68" i="8"/>
  <c r="Q68" i="8"/>
  <c r="O68" i="8"/>
  <c r="M68" i="8"/>
  <c r="K68" i="8"/>
  <c r="I68" i="8"/>
  <c r="Z68" i="8" s="1"/>
  <c r="Y67" i="8"/>
  <c r="W67" i="8"/>
  <c r="U67" i="8"/>
  <c r="S67" i="8"/>
  <c r="Q67" i="8"/>
  <c r="O67" i="8"/>
  <c r="M67" i="8"/>
  <c r="K67" i="8"/>
  <c r="I67" i="8"/>
  <c r="AA67" i="8" s="1"/>
  <c r="Y66" i="8"/>
  <c r="W66" i="8"/>
  <c r="U66" i="8"/>
  <c r="AE66" i="8" s="1"/>
  <c r="S66" i="8"/>
  <c r="Q66" i="8"/>
  <c r="O66" i="8"/>
  <c r="M66" i="8"/>
  <c r="K66" i="8"/>
  <c r="I66" i="8"/>
  <c r="AI65" i="8"/>
  <c r="AJ65" i="8" s="1"/>
  <c r="AI63" i="8"/>
  <c r="AJ63" i="8" s="1"/>
  <c r="Y63" i="8"/>
  <c r="W63" i="8"/>
  <c r="U63" i="8"/>
  <c r="AE63" i="8" s="1"/>
  <c r="S63" i="8"/>
  <c r="Q63" i="8"/>
  <c r="O63" i="8"/>
  <c r="M63" i="8"/>
  <c r="K63" i="8"/>
  <c r="I63" i="8"/>
  <c r="Y62" i="8"/>
  <c r="W62" i="8"/>
  <c r="U62" i="8"/>
  <c r="AE62" i="8" s="1"/>
  <c r="S62" i="8"/>
  <c r="Q62" i="8"/>
  <c r="O62" i="8"/>
  <c r="M62" i="8"/>
  <c r="AA62" i="8" s="1"/>
  <c r="K62" i="8"/>
  <c r="I62" i="8"/>
  <c r="AI61" i="8"/>
  <c r="AJ61" i="8" s="1"/>
  <c r="AE61" i="8"/>
  <c r="AA61" i="8"/>
  <c r="Z61" i="8"/>
  <c r="AJ60" i="8"/>
  <c r="AJ59" i="8"/>
  <c r="AJ58" i="8"/>
  <c r="Y57" i="8"/>
  <c r="X57" i="8"/>
  <c r="V57" i="8"/>
  <c r="U57" i="8"/>
  <c r="T57" i="8"/>
  <c r="R57" i="8"/>
  <c r="Q57" i="8"/>
  <c r="P57" i="8"/>
  <c r="N57" i="8"/>
  <c r="O57" i="8" s="1"/>
  <c r="L57" i="8"/>
  <c r="M57" i="8" s="1"/>
  <c r="J57" i="8"/>
  <c r="J107" i="8" s="1"/>
  <c r="J109" i="8" s="1"/>
  <c r="I57" i="8"/>
  <c r="H57" i="8"/>
  <c r="AI56" i="8"/>
  <c r="AJ56" i="8" s="1"/>
  <c r="AI55" i="8"/>
  <c r="AJ55" i="8" s="1"/>
  <c r="AE55" i="8"/>
  <c r="Z55" i="8"/>
  <c r="Y55" i="8"/>
  <c r="W55" i="8"/>
  <c r="U55" i="8"/>
  <c r="S55" i="8"/>
  <c r="Q55" i="8"/>
  <c r="O55" i="8"/>
  <c r="M55" i="8"/>
  <c r="K55" i="8"/>
  <c r="AA55" i="8" s="1"/>
  <c r="I55" i="8"/>
  <c r="Y54" i="8"/>
  <c r="W54" i="8"/>
  <c r="AI54" i="8" s="1"/>
  <c r="AJ54" i="8" s="1"/>
  <c r="U54" i="8"/>
  <c r="S54" i="8"/>
  <c r="Q54" i="8"/>
  <c r="O54" i="8"/>
  <c r="M54" i="8"/>
  <c r="K54" i="8"/>
  <c r="I54" i="8"/>
  <c r="Z54" i="8" s="1"/>
  <c r="AJ53" i="8"/>
  <c r="AI53" i="8"/>
  <c r="AE53" i="8"/>
  <c r="AI52" i="8"/>
  <c r="AJ52" i="8" s="1"/>
  <c r="AE52" i="8"/>
  <c r="Y52" i="8"/>
  <c r="W52" i="8"/>
  <c r="U52" i="8"/>
  <c r="S52" i="8"/>
  <c r="Q52" i="8"/>
  <c r="O52" i="8"/>
  <c r="M52" i="8"/>
  <c r="K52" i="8"/>
  <c r="Z52" i="8" s="1"/>
  <c r="I52" i="8"/>
  <c r="AA52" i="8" s="1"/>
  <c r="AJ51" i="8"/>
  <c r="AI49" i="8"/>
  <c r="AJ49" i="8" s="1"/>
  <c r="Y49" i="8"/>
  <c r="W49" i="8"/>
  <c r="AE49" i="8" s="1"/>
  <c r="U49" i="8"/>
  <c r="S49" i="8"/>
  <c r="Q49" i="8"/>
  <c r="O49" i="8"/>
  <c r="M49" i="8"/>
  <c r="K49" i="8"/>
  <c r="I49" i="8"/>
  <c r="AA49" i="8" s="1"/>
  <c r="Y48" i="8"/>
  <c r="W48" i="8"/>
  <c r="U48" i="8"/>
  <c r="S48" i="8"/>
  <c r="Q48" i="8"/>
  <c r="O48" i="8"/>
  <c r="M48" i="8"/>
  <c r="K48" i="8"/>
  <c r="I48" i="8"/>
  <c r="AA48" i="8" s="1"/>
  <c r="Y47" i="8"/>
  <c r="W47" i="8"/>
  <c r="U47" i="8"/>
  <c r="AE47" i="8" s="1"/>
  <c r="S47" i="8"/>
  <c r="Q47" i="8"/>
  <c r="O47" i="8"/>
  <c r="M47" i="8"/>
  <c r="K47" i="8"/>
  <c r="I47" i="8"/>
  <c r="AJ46" i="8"/>
  <c r="AI46" i="8"/>
  <c r="AE46" i="8"/>
  <c r="AA46" i="8"/>
  <c r="Y46" i="8"/>
  <c r="W46" i="8"/>
  <c r="U46" i="8"/>
  <c r="S46" i="8"/>
  <c r="Q46" i="8"/>
  <c r="O46" i="8"/>
  <c r="M46" i="8"/>
  <c r="K46" i="8"/>
  <c r="Z46" i="8" s="1"/>
  <c r="I46" i="8"/>
  <c r="Y45" i="8"/>
  <c r="W45" i="8"/>
  <c r="AE45" i="8" s="1"/>
  <c r="U45" i="8"/>
  <c r="S45" i="8"/>
  <c r="Q45" i="8"/>
  <c r="O45" i="8"/>
  <c r="M45" i="8"/>
  <c r="K45" i="8"/>
  <c r="I45" i="8"/>
  <c r="AA45" i="8" s="1"/>
  <c r="AJ44" i="8"/>
  <c r="Y42" i="8"/>
  <c r="W42" i="8"/>
  <c r="U42" i="8"/>
  <c r="AE42" i="8" s="1"/>
  <c r="S42" i="8"/>
  <c r="Q42" i="8"/>
  <c r="O42" i="8"/>
  <c r="M42" i="8"/>
  <c r="K42" i="8"/>
  <c r="I42" i="8"/>
  <c r="AA42" i="8" s="1"/>
  <c r="AJ40" i="8"/>
  <c r="AI40" i="8"/>
  <c r="Y40" i="8"/>
  <c r="W40" i="8"/>
  <c r="U40" i="8"/>
  <c r="AE40" i="8" s="1"/>
  <c r="S40" i="8"/>
  <c r="Q40" i="8"/>
  <c r="O40" i="8"/>
  <c r="M40" i="8"/>
  <c r="K40" i="8"/>
  <c r="I40" i="8"/>
  <c r="AA40" i="8" s="1"/>
  <c r="Y38" i="8"/>
  <c r="W38" i="8"/>
  <c r="U38" i="8"/>
  <c r="AI38" i="8" s="1"/>
  <c r="AJ38" i="8" s="1"/>
  <c r="S38" i="8"/>
  <c r="AA38" i="8" s="1"/>
  <c r="Q38" i="8"/>
  <c r="O38" i="8"/>
  <c r="M38" i="8"/>
  <c r="K38" i="8"/>
  <c r="I38" i="8"/>
  <c r="AI36" i="8"/>
  <c r="AJ36" i="8" s="1"/>
  <c r="AE36" i="8"/>
  <c r="Y36" i="8"/>
  <c r="W36" i="8"/>
  <c r="U36" i="8"/>
  <c r="S36" i="8"/>
  <c r="Q36" i="8"/>
  <c r="O36" i="8"/>
  <c r="M36" i="8"/>
  <c r="K36" i="8"/>
  <c r="I36" i="8"/>
  <c r="AA36" i="8" s="1"/>
  <c r="Y35" i="8"/>
  <c r="W35" i="8"/>
  <c r="AE35" i="8" s="1"/>
  <c r="U35" i="8"/>
  <c r="S35" i="8"/>
  <c r="Q35" i="8"/>
  <c r="O35" i="8"/>
  <c r="M35" i="8"/>
  <c r="K35" i="8"/>
  <c r="I35" i="8"/>
  <c r="AA35" i="8" s="1"/>
  <c r="Y34" i="8"/>
  <c r="W34" i="8"/>
  <c r="U34" i="8"/>
  <c r="AE34" i="8" s="1"/>
  <c r="S34" i="8"/>
  <c r="Q34" i="8"/>
  <c r="O34" i="8"/>
  <c r="M34" i="8"/>
  <c r="K34" i="8"/>
  <c r="I34" i="8"/>
  <c r="AI33" i="8"/>
  <c r="AJ33" i="8" s="1"/>
  <c r="AE33" i="8"/>
  <c r="AA33" i="8"/>
  <c r="Y33" i="8"/>
  <c r="W33" i="8"/>
  <c r="U33" i="8"/>
  <c r="S33" i="8"/>
  <c r="Q33" i="8"/>
  <c r="O33" i="8"/>
  <c r="M33" i="8"/>
  <c r="K33" i="8"/>
  <c r="I33" i="8"/>
  <c r="Z33" i="8" s="1"/>
  <c r="AJ32" i="8"/>
  <c r="AI32" i="8"/>
  <c r="AE32" i="8"/>
  <c r="Y32" i="8"/>
  <c r="W32" i="8"/>
  <c r="U32" i="8"/>
  <c r="S32" i="8"/>
  <c r="Q32" i="8"/>
  <c r="O32" i="8"/>
  <c r="M32" i="8"/>
  <c r="K32" i="8"/>
  <c r="Z32" i="8" s="1"/>
  <c r="I32" i="8"/>
  <c r="AA32" i="8" s="1"/>
  <c r="AE31" i="8"/>
  <c r="Y31" i="8"/>
  <c r="W31" i="8"/>
  <c r="U31" i="8"/>
  <c r="AI31" i="8" s="1"/>
  <c r="AJ31" i="8" s="1"/>
  <c r="S31" i="8"/>
  <c r="Q31" i="8"/>
  <c r="O31" i="8"/>
  <c r="M31" i="8"/>
  <c r="AA31" i="8" s="1"/>
  <c r="K31" i="8"/>
  <c r="I31" i="8"/>
  <c r="Z31" i="8" s="1"/>
  <c r="AJ30" i="8"/>
  <c r="AJ29" i="8"/>
  <c r="AJ28" i="8"/>
  <c r="AI27" i="8"/>
  <c r="AJ27" i="8" s="1"/>
  <c r="AE27" i="8"/>
  <c r="AA27" i="8"/>
  <c r="Y27" i="8"/>
  <c r="W27" i="8"/>
  <c r="U27" i="8"/>
  <c r="S27" i="8"/>
  <c r="Q27" i="8"/>
  <c r="O27" i="8"/>
  <c r="M27" i="8"/>
  <c r="K27" i="8"/>
  <c r="I27" i="8"/>
  <c r="Z27" i="8" s="1"/>
  <c r="Y25" i="8"/>
  <c r="W25" i="8"/>
  <c r="U25" i="8"/>
  <c r="S25" i="8"/>
  <c r="Q25" i="8"/>
  <c r="O25" i="8"/>
  <c r="M25" i="8"/>
  <c r="K25" i="8"/>
  <c r="Z25" i="8" s="1"/>
  <c r="I25" i="8"/>
  <c r="AA25" i="8" s="1"/>
  <c r="AI24" i="8"/>
  <c r="AJ24" i="8" s="1"/>
  <c r="Y24" i="8"/>
  <c r="W24" i="8"/>
  <c r="U24" i="8"/>
  <c r="AE24" i="8" s="1"/>
  <c r="S24" i="8"/>
  <c r="Q24" i="8"/>
  <c r="O24" i="8"/>
  <c r="M24" i="8"/>
  <c r="K24" i="8"/>
  <c r="I24" i="8"/>
  <c r="AI23" i="8"/>
  <c r="AJ23" i="8" s="1"/>
  <c r="AE23" i="8"/>
  <c r="Y23" i="8"/>
  <c r="W23" i="8"/>
  <c r="U23" i="8"/>
  <c r="S23" i="8"/>
  <c r="Q23" i="8"/>
  <c r="O23" i="8"/>
  <c r="M23" i="8"/>
  <c r="K23" i="8"/>
  <c r="AA23" i="8" s="1"/>
  <c r="I23" i="8"/>
  <c r="Y22" i="8"/>
  <c r="W22" i="8"/>
  <c r="AI22" i="8" s="1"/>
  <c r="AJ22" i="8" s="1"/>
  <c r="U22" i="8"/>
  <c r="S22" i="8"/>
  <c r="Q22" i="8"/>
  <c r="O22" i="8"/>
  <c r="M22" i="8"/>
  <c r="K22" i="8"/>
  <c r="I22" i="8"/>
  <c r="Z22" i="8" s="1"/>
  <c r="Y21" i="8"/>
  <c r="W21" i="8"/>
  <c r="U21" i="8"/>
  <c r="S21" i="8"/>
  <c r="Q21" i="8"/>
  <c r="O21" i="8"/>
  <c r="M21" i="8"/>
  <c r="K21" i="8"/>
  <c r="AA21" i="8" s="1"/>
  <c r="I21" i="8"/>
  <c r="Y20" i="8"/>
  <c r="W20" i="8"/>
  <c r="U20" i="8"/>
  <c r="AE20" i="8" s="1"/>
  <c r="S20" i="8"/>
  <c r="Q20" i="8"/>
  <c r="O20" i="8"/>
  <c r="M20" i="8"/>
  <c r="K20" i="8"/>
  <c r="I20" i="8"/>
  <c r="X17" i="8"/>
  <c r="AI17" i="8" s="1"/>
  <c r="AJ17" i="8" s="1"/>
  <c r="Y16" i="8"/>
  <c r="W16" i="8"/>
  <c r="U16" i="8"/>
  <c r="AE16" i="8" s="1"/>
  <c r="S16" i="8"/>
  <c r="Q16" i="8"/>
  <c r="O16" i="8"/>
  <c r="M16" i="8"/>
  <c r="K16" i="8"/>
  <c r="I16" i="8"/>
  <c r="AI15" i="8"/>
  <c r="AJ15" i="8" s="1"/>
  <c r="AE15" i="8"/>
  <c r="AA15" i="8"/>
  <c r="Y15" i="8"/>
  <c r="W15" i="8"/>
  <c r="U15" i="8"/>
  <c r="S15" i="8"/>
  <c r="Q15" i="8"/>
  <c r="O15" i="8"/>
  <c r="M15" i="8"/>
  <c r="K15" i="8"/>
  <c r="I15" i="8"/>
  <c r="AE14" i="8"/>
  <c r="Y14" i="8"/>
  <c r="W14" i="8"/>
  <c r="AI14" i="8" s="1"/>
  <c r="AJ14" i="8" s="1"/>
  <c r="U14" i="8"/>
  <c r="S14" i="8"/>
  <c r="Q14" i="8"/>
  <c r="O14" i="8"/>
  <c r="M14" i="8"/>
  <c r="K14" i="8"/>
  <c r="I14" i="8"/>
  <c r="AA14" i="8" s="1"/>
  <c r="AJ13" i="8"/>
  <c r="AE13" i="8"/>
  <c r="Y13" i="8"/>
  <c r="W13" i="8"/>
  <c r="U13" i="8"/>
  <c r="AI13" i="8" s="1"/>
  <c r="S13" i="8"/>
  <c r="Q13" i="8"/>
  <c r="O13" i="8"/>
  <c r="M13" i="8"/>
  <c r="K13" i="8"/>
  <c r="I13" i="8"/>
  <c r="AA13" i="8" s="1"/>
  <c r="AE12" i="8"/>
  <c r="Y12" i="8"/>
  <c r="W12" i="8"/>
  <c r="AI12" i="8" s="1"/>
  <c r="AJ12" i="8" s="1"/>
  <c r="U12" i="8"/>
  <c r="S12" i="8"/>
  <c r="Q12" i="8"/>
  <c r="O12" i="8"/>
  <c r="M12" i="8"/>
  <c r="K12" i="8"/>
  <c r="I12" i="8"/>
  <c r="AE11" i="8"/>
  <c r="Y11" i="8"/>
  <c r="W11" i="8"/>
  <c r="U11" i="8"/>
  <c r="AI11" i="8" s="1"/>
  <c r="AJ11" i="8" s="1"/>
  <c r="S11" i="8"/>
  <c r="Z11" i="8" s="1"/>
  <c r="Q11" i="8"/>
  <c r="O11" i="8"/>
  <c r="M11" i="8"/>
  <c r="K11" i="8"/>
  <c r="AA11" i="8" s="1"/>
  <c r="I11" i="8"/>
  <c r="AI10" i="8"/>
  <c r="AJ10" i="8" s="1"/>
  <c r="AE10" i="8"/>
  <c r="AA10" i="8"/>
  <c r="Y10" i="8"/>
  <c r="W10" i="8"/>
  <c r="U10" i="8"/>
  <c r="S10" i="8"/>
  <c r="Q10" i="8"/>
  <c r="O10" i="8"/>
  <c r="M10" i="8"/>
  <c r="K10" i="8"/>
  <c r="I10" i="8"/>
  <c r="Z10" i="8" s="1"/>
  <c r="AE9" i="8"/>
  <c r="Y9" i="8"/>
  <c r="W9" i="8"/>
  <c r="U9" i="8"/>
  <c r="S9" i="8"/>
  <c r="Q9" i="8"/>
  <c r="O9" i="8"/>
  <c r="M9" i="8"/>
  <c r="K9" i="8"/>
  <c r="I9" i="8"/>
  <c r="Z9" i="8" s="1"/>
  <c r="D124" i="9" l="1"/>
  <c r="D126" i="9" s="1"/>
  <c r="AA87" i="10"/>
  <c r="X30" i="5"/>
  <c r="AA29" i="9"/>
  <c r="AA30" i="9" s="1"/>
  <c r="Z29" i="9"/>
  <c r="Z30" i="9" s="1"/>
  <c r="Y101" i="9"/>
  <c r="Y30" i="10"/>
  <c r="S60" i="10"/>
  <c r="S61" i="10" s="1"/>
  <c r="Y98" i="9"/>
  <c r="AK39" i="10"/>
  <c r="AL39" i="10" s="1"/>
  <c r="AA39" i="10"/>
  <c r="AB39" i="10"/>
  <c r="Z39" i="10"/>
  <c r="Y39" i="10"/>
  <c r="Y114" i="9"/>
  <c r="AK29" i="9"/>
  <c r="AL29" i="9" s="1"/>
  <c r="Y29" i="9"/>
  <c r="X60" i="9"/>
  <c r="X80" i="9" s="1"/>
  <c r="X80" i="10" s="1"/>
  <c r="N124" i="9"/>
  <c r="N126" i="9" s="1"/>
  <c r="T115" i="10"/>
  <c r="T117" i="10" s="1"/>
  <c r="W30" i="10"/>
  <c r="W87" i="10"/>
  <c r="X60" i="5"/>
  <c r="X87" i="5"/>
  <c r="V115" i="10"/>
  <c r="V117" i="10" s="1"/>
  <c r="Q88" i="5"/>
  <c r="R115" i="10"/>
  <c r="R117" i="10" s="1"/>
  <c r="Q60" i="10"/>
  <c r="Q61" i="10" s="1"/>
  <c r="W61" i="5"/>
  <c r="W88" i="5"/>
  <c r="T88" i="10"/>
  <c r="U88" i="5"/>
  <c r="V88" i="10"/>
  <c r="X115" i="10"/>
  <c r="X117" i="10" s="1"/>
  <c r="W60" i="10"/>
  <c r="S88" i="5"/>
  <c r="Z30" i="10"/>
  <c r="U88" i="10"/>
  <c r="AA61" i="10"/>
  <c r="X95" i="9"/>
  <c r="AA95" i="9" s="1"/>
  <c r="X30" i="9"/>
  <c r="AB29" i="9"/>
  <c r="AB30" i="9" s="1"/>
  <c r="V80" i="10"/>
  <c r="Y29" i="5"/>
  <c r="Y30" i="5" s="1"/>
  <c r="Y81" i="5"/>
  <c r="Y94" i="5"/>
  <c r="Z81" i="5"/>
  <c r="Z93" i="5"/>
  <c r="Z114" i="9"/>
  <c r="Z87" i="9"/>
  <c r="Z88" i="9"/>
  <c r="W92" i="9"/>
  <c r="W93" i="9" s="1"/>
  <c r="V92" i="9"/>
  <c r="V93" i="9" s="1"/>
  <c r="T92" i="9"/>
  <c r="T93" i="9" s="1"/>
  <c r="R92" i="9"/>
  <c r="R93" i="9" s="1"/>
  <c r="T96" i="9"/>
  <c r="D139" i="9"/>
  <c r="Z101" i="9"/>
  <c r="W95" i="9"/>
  <c r="R115" i="9"/>
  <c r="R116" i="9" s="1"/>
  <c r="S100" i="9"/>
  <c r="AE29" i="9"/>
  <c r="Z98" i="9"/>
  <c r="AA98" i="9"/>
  <c r="AB98" i="9"/>
  <c r="AE43" i="9"/>
  <c r="T115" i="9"/>
  <c r="T116" i="9" s="1"/>
  <c r="V115" i="9"/>
  <c r="V116" i="9" s="1"/>
  <c r="AB101" i="9"/>
  <c r="AA101" i="9"/>
  <c r="AA99" i="9"/>
  <c r="AA100" i="9"/>
  <c r="AB99" i="9"/>
  <c r="AA102" i="9"/>
  <c r="AB102" i="9"/>
  <c r="Y100" i="9"/>
  <c r="AB100" i="9"/>
  <c r="AB103" i="9"/>
  <c r="Z99" i="9"/>
  <c r="AA103" i="9"/>
  <c r="W96" i="9"/>
  <c r="AE25" i="9"/>
  <c r="U95" i="9"/>
  <c r="V96" i="9"/>
  <c r="W97" i="9"/>
  <c r="Y99" i="9"/>
  <c r="Z100" i="9"/>
  <c r="S101" i="9"/>
  <c r="U103" i="9"/>
  <c r="Z125" i="9"/>
  <c r="Y97" i="9"/>
  <c r="S99" i="9"/>
  <c r="W103" i="9"/>
  <c r="U100" i="9"/>
  <c r="W102" i="9"/>
  <c r="Z112" i="9"/>
  <c r="R96" i="9"/>
  <c r="S97" i="9"/>
  <c r="U99" i="9"/>
  <c r="Y103" i="9"/>
  <c r="W100" i="9"/>
  <c r="Y102" i="9"/>
  <c r="Z103" i="9"/>
  <c r="W99" i="9"/>
  <c r="Z102" i="9"/>
  <c r="S103" i="9"/>
  <c r="Z30" i="5"/>
  <c r="Y91" i="5"/>
  <c r="Y92" i="5"/>
  <c r="Z91" i="5"/>
  <c r="Z94" i="5"/>
  <c r="Z90" i="5"/>
  <c r="Y93" i="5"/>
  <c r="Y90" i="5"/>
  <c r="Z92" i="5"/>
  <c r="Z95" i="5"/>
  <c r="Y95" i="5"/>
  <c r="Z89" i="5"/>
  <c r="Z87" i="5"/>
  <c r="Y89" i="5"/>
  <c r="Z80" i="8"/>
  <c r="Z87" i="8"/>
  <c r="Z86" i="8" s="1"/>
  <c r="Z21" i="8"/>
  <c r="AA20" i="8"/>
  <c r="Z20" i="8"/>
  <c r="AI25" i="8"/>
  <c r="AJ25" i="8" s="1"/>
  <c r="AE25" i="8"/>
  <c r="AA57" i="8"/>
  <c r="AA63" i="8"/>
  <c r="Z63" i="8"/>
  <c r="AA9" i="8"/>
  <c r="Z14" i="8"/>
  <c r="AA16" i="8"/>
  <c r="AI21" i="8"/>
  <c r="AJ21" i="8" s="1"/>
  <c r="AE21" i="8"/>
  <c r="AA22" i="8"/>
  <c r="AA34" i="8"/>
  <c r="AE38" i="8"/>
  <c r="Z42" i="8"/>
  <c r="AI45" i="8"/>
  <c r="AJ45" i="8" s="1"/>
  <c r="Z49" i="8"/>
  <c r="AA68" i="8"/>
  <c r="Z98" i="8"/>
  <c r="Z99" i="8" s="1"/>
  <c r="Z13" i="8"/>
  <c r="Z108" i="8" s="1"/>
  <c r="AI16" i="8"/>
  <c r="AJ16" i="8" s="1"/>
  <c r="AE22" i="8"/>
  <c r="AA24" i="8"/>
  <c r="Z24" i="8"/>
  <c r="Z34" i="8"/>
  <c r="Z36" i="8"/>
  <c r="AI47" i="8"/>
  <c r="AJ47" i="8" s="1"/>
  <c r="AI48" i="8"/>
  <c r="AJ48" i="8" s="1"/>
  <c r="AE48" i="8"/>
  <c r="AE54" i="8"/>
  <c r="AI62" i="8"/>
  <c r="AJ62" i="8" s="1"/>
  <c r="AI66" i="8"/>
  <c r="AJ66" i="8" s="1"/>
  <c r="AI67" i="8"/>
  <c r="AJ67" i="8" s="1"/>
  <c r="AE67" i="8"/>
  <c r="AI70" i="8"/>
  <c r="AJ70" i="8" s="1"/>
  <c r="AE74" i="8"/>
  <c r="Z48" i="8"/>
  <c r="Z67" i="8"/>
  <c r="Z16" i="8"/>
  <c r="AI20" i="8"/>
  <c r="AJ20" i="8" s="1"/>
  <c r="AA54" i="8"/>
  <c r="AA66" i="8"/>
  <c r="Z66" i="8"/>
  <c r="AA70" i="8"/>
  <c r="Z70" i="8"/>
  <c r="AI9" i="8"/>
  <c r="AJ9" i="8" s="1"/>
  <c r="AI34" i="8"/>
  <c r="AJ34" i="8" s="1"/>
  <c r="AI35" i="8"/>
  <c r="AJ35" i="8" s="1"/>
  <c r="AI73" i="8"/>
  <c r="AJ73" i="8" s="1"/>
  <c r="AE73" i="8"/>
  <c r="J81" i="8"/>
  <c r="R81" i="8"/>
  <c r="R107" i="8"/>
  <c r="R109" i="8" s="1"/>
  <c r="Z23" i="8"/>
  <c r="S57" i="8"/>
  <c r="Z35" i="8"/>
  <c r="AI42" i="8"/>
  <c r="AJ42" i="8" s="1"/>
  <c r="Z45" i="8"/>
  <c r="K57" i="8"/>
  <c r="Z57" i="8" s="1"/>
  <c r="T81" i="8"/>
  <c r="T107" i="8"/>
  <c r="T109" i="8" s="1"/>
  <c r="AA73" i="8"/>
  <c r="Z76" i="8"/>
  <c r="Z62" i="8"/>
  <c r="L107" i="8"/>
  <c r="L109" i="8" s="1"/>
  <c r="AA12" i="8"/>
  <c r="Z12" i="8"/>
  <c r="Z40" i="8"/>
  <c r="Z38" i="8"/>
  <c r="AA47" i="8"/>
  <c r="Z47" i="8"/>
  <c r="V81" i="8"/>
  <c r="W57" i="8"/>
  <c r="AE57" i="8" s="1"/>
  <c r="V107" i="8"/>
  <c r="V109" i="8" s="1"/>
  <c r="H107" i="8"/>
  <c r="H109" i="8" s="1"/>
  <c r="H100" i="8"/>
  <c r="X107" i="8"/>
  <c r="X109" i="8" s="1"/>
  <c r="X100" i="8"/>
  <c r="N107" i="8"/>
  <c r="N109" i="8" s="1"/>
  <c r="AE60" i="10" l="1"/>
  <c r="S88" i="10"/>
  <c r="X60" i="10"/>
  <c r="AA60" i="10" s="1"/>
  <c r="Z95" i="9"/>
  <c r="X81" i="10"/>
  <c r="Y80" i="10"/>
  <c r="X89" i="10"/>
  <c r="AK80" i="10"/>
  <c r="AL80" i="10" s="1"/>
  <c r="AB80" i="10"/>
  <c r="AA80" i="10"/>
  <c r="Z80" i="10"/>
  <c r="V89" i="10"/>
  <c r="V81" i="10"/>
  <c r="W80" i="10"/>
  <c r="AE80" i="10"/>
  <c r="X61" i="5"/>
  <c r="Y60" i="9"/>
  <c r="Y61" i="9" s="1"/>
  <c r="Z60" i="9"/>
  <c r="Z61" i="9" s="1"/>
  <c r="AA60" i="9"/>
  <c r="X61" i="9"/>
  <c r="AA61" i="9" s="1"/>
  <c r="AK60" i="9"/>
  <c r="AL60" i="9" s="1"/>
  <c r="AB60" i="9"/>
  <c r="X92" i="9"/>
  <c r="X93" i="9" s="1"/>
  <c r="Z93" i="9" s="1"/>
  <c r="X96" i="9"/>
  <c r="AB96" i="9" s="1"/>
  <c r="Y30" i="9"/>
  <c r="Y95" i="9"/>
  <c r="Y87" i="5"/>
  <c r="Z60" i="5"/>
  <c r="Y60" i="5"/>
  <c r="X88" i="5"/>
  <c r="W61" i="10"/>
  <c r="W88" i="10"/>
  <c r="AB95" i="9"/>
  <c r="AE80" i="9"/>
  <c r="V97" i="9"/>
  <c r="T97" i="9"/>
  <c r="R124" i="9"/>
  <c r="R126" i="9" s="1"/>
  <c r="X124" i="9"/>
  <c r="X126" i="9" s="1"/>
  <c r="Z115" i="9"/>
  <c r="T124" i="9"/>
  <c r="T126" i="9" s="1"/>
  <c r="V124" i="9"/>
  <c r="V126" i="9" s="1"/>
  <c r="U96" i="9"/>
  <c r="S96" i="9"/>
  <c r="AE60" i="9"/>
  <c r="Z107" i="8"/>
  <c r="Z109" i="8" s="1"/>
  <c r="Z81" i="8"/>
  <c r="Z82" i="8"/>
  <c r="Z84" i="8"/>
  <c r="Z83" i="8"/>
  <c r="Z85" i="8"/>
  <c r="AI57" i="8"/>
  <c r="AJ57" i="8" s="1"/>
  <c r="AB60" i="10" l="1"/>
  <c r="Y60" i="10"/>
  <c r="Y88" i="10" s="1"/>
  <c r="Y81" i="10"/>
  <c r="Y89" i="10"/>
  <c r="AA89" i="10"/>
  <c r="AB89" i="10"/>
  <c r="Z81" i="10"/>
  <c r="Z89" i="10"/>
  <c r="W89" i="10"/>
  <c r="W81" i="10"/>
  <c r="AA81" i="10"/>
  <c r="AB81" i="10"/>
  <c r="Z96" i="9"/>
  <c r="AB61" i="9"/>
  <c r="AB80" i="9"/>
  <c r="Z80" i="9"/>
  <c r="Z81" i="9" s="1"/>
  <c r="AA80" i="9"/>
  <c r="Y96" i="9"/>
  <c r="Z124" i="9"/>
  <c r="Z126" i="9" s="1"/>
  <c r="Z60" i="10"/>
  <c r="Z61" i="10" s="1"/>
  <c r="AK60" i="10"/>
  <c r="AL60" i="10" s="1"/>
  <c r="X88" i="10"/>
  <c r="AA88" i="10" s="1"/>
  <c r="AK80" i="9"/>
  <c r="AL80" i="9" s="1"/>
  <c r="AA96" i="9"/>
  <c r="X97" i="9"/>
  <c r="AB97" i="9" s="1"/>
  <c r="X81" i="9"/>
  <c r="AB81" i="9" s="1"/>
  <c r="Z92" i="9"/>
  <c r="Y61" i="5"/>
  <c r="Y88" i="5"/>
  <c r="Y61" i="10" l="1"/>
  <c r="AA97" i="9"/>
  <c r="AA81" i="9"/>
  <c r="AB88" i="10"/>
  <c r="Z115" i="10"/>
  <c r="Z117" i="10" s="1"/>
  <c r="Z88" i="10"/>
  <c r="Z97" i="9"/>
  <c r="AH10" i="6"/>
  <c r="AH11" i="6"/>
  <c r="AH12" i="6"/>
  <c r="AH13" i="6"/>
  <c r="AH14" i="6"/>
  <c r="AH15" i="6"/>
  <c r="AH16" i="6"/>
  <c r="AH17" i="6"/>
  <c r="AI17" i="6" s="1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I56" i="6" s="1"/>
  <c r="AH58" i="6"/>
  <c r="AI58" i="6" s="1"/>
  <c r="AH59" i="6"/>
  <c r="AH60" i="6"/>
  <c r="AH61" i="6"/>
  <c r="AH62" i="6"/>
  <c r="AH63" i="6"/>
  <c r="AH64" i="6"/>
  <c r="AH65" i="6"/>
  <c r="AI65" i="6" s="1"/>
  <c r="AH66" i="6"/>
  <c r="AH67" i="6"/>
  <c r="AH68" i="6"/>
  <c r="AH69" i="6"/>
  <c r="AH70" i="6"/>
  <c r="AH73" i="6"/>
  <c r="AH74" i="6"/>
  <c r="AH75" i="6"/>
  <c r="AI75" i="6" s="1"/>
  <c r="AH76" i="6"/>
  <c r="AH9" i="6"/>
  <c r="AA10" i="6"/>
  <c r="AA11" i="6"/>
  <c r="AA12" i="6"/>
  <c r="AA13" i="6"/>
  <c r="AA14" i="6"/>
  <c r="AA15" i="6"/>
  <c r="AA16" i="6"/>
  <c r="AA20" i="6"/>
  <c r="AA21" i="6"/>
  <c r="AA22" i="6"/>
  <c r="AA23" i="6"/>
  <c r="AA24" i="6"/>
  <c r="AA25" i="6"/>
  <c r="AA27" i="6"/>
  <c r="AA31" i="6"/>
  <c r="AA32" i="6"/>
  <c r="AA33" i="6"/>
  <c r="AA34" i="6"/>
  <c r="AA35" i="6"/>
  <c r="AA36" i="6"/>
  <c r="AA38" i="6"/>
  <c r="AA40" i="6"/>
  <c r="AA41" i="6"/>
  <c r="AA42" i="6"/>
  <c r="AA45" i="6"/>
  <c r="AA46" i="6"/>
  <c r="AA47" i="6"/>
  <c r="AA48" i="6"/>
  <c r="AA49" i="6"/>
  <c r="AA52" i="6"/>
  <c r="AA53" i="6"/>
  <c r="AA54" i="6"/>
  <c r="AA55" i="6"/>
  <c r="AA61" i="6"/>
  <c r="AA62" i="6"/>
  <c r="AA63" i="6"/>
  <c r="AA66" i="6"/>
  <c r="AA67" i="6"/>
  <c r="AA68" i="6"/>
  <c r="AA69" i="6"/>
  <c r="AA70" i="6"/>
  <c r="AA72" i="6"/>
  <c r="AA73" i="6"/>
  <c r="AA74" i="6"/>
  <c r="AA76" i="6"/>
  <c r="AA9" i="6"/>
  <c r="Z21" i="6"/>
  <c r="Z22" i="6"/>
  <c r="Z23" i="6"/>
  <c r="Z24" i="6"/>
  <c r="Z25" i="6"/>
  <c r="Z27" i="6"/>
  <c r="Z31" i="6"/>
  <c r="Z32" i="6"/>
  <c r="Z33" i="6"/>
  <c r="Z34" i="6"/>
  <c r="Z35" i="6"/>
  <c r="Z36" i="6"/>
  <c r="Z38" i="6"/>
  <c r="Z40" i="6"/>
  <c r="Z42" i="6"/>
  <c r="Z45" i="6"/>
  <c r="Z46" i="6"/>
  <c r="Z47" i="6"/>
  <c r="Z48" i="6"/>
  <c r="Z49" i="6"/>
  <c r="Z52" i="6"/>
  <c r="Z53" i="6"/>
  <c r="Z54" i="6"/>
  <c r="Z55" i="6"/>
  <c r="Z61" i="6"/>
  <c r="Z62" i="6"/>
  <c r="Z63" i="6"/>
  <c r="Z66" i="6"/>
  <c r="Z67" i="6"/>
  <c r="Z68" i="6"/>
  <c r="Z69" i="6"/>
  <c r="Z70" i="6"/>
  <c r="Z72" i="6"/>
  <c r="Z73" i="6"/>
  <c r="Z74" i="6"/>
  <c r="Z76" i="6"/>
  <c r="Z20" i="6"/>
  <c r="Z10" i="6"/>
  <c r="Z11" i="6"/>
  <c r="Z12" i="6"/>
  <c r="Z13" i="6"/>
  <c r="Z14" i="6"/>
  <c r="Z15" i="6"/>
  <c r="Z16" i="6"/>
  <c r="Z9" i="6"/>
  <c r="X57" i="6"/>
  <c r="Y57" i="6" s="1"/>
  <c r="V57" i="6"/>
  <c r="T57" i="6"/>
  <c r="R57" i="6"/>
  <c r="R81" i="6" s="1"/>
  <c r="P57" i="6"/>
  <c r="P81" i="6" s="1"/>
  <c r="N57" i="6"/>
  <c r="L57" i="6"/>
  <c r="L81" i="6" s="1"/>
  <c r="J57" i="6"/>
  <c r="H57" i="6"/>
  <c r="Z57" i="6" s="1"/>
  <c r="X108" i="6"/>
  <c r="V108" i="6"/>
  <c r="T108" i="6"/>
  <c r="R108" i="6"/>
  <c r="P108" i="6"/>
  <c r="N108" i="6"/>
  <c r="L108" i="6"/>
  <c r="J108" i="6"/>
  <c r="H108" i="6"/>
  <c r="H101" i="6"/>
  <c r="X98" i="6"/>
  <c r="V98" i="6"/>
  <c r="T98" i="6"/>
  <c r="R98" i="6"/>
  <c r="P98" i="6"/>
  <c r="N98" i="6"/>
  <c r="L98" i="6"/>
  <c r="J98" i="6"/>
  <c r="H98" i="6"/>
  <c r="X97" i="6"/>
  <c r="V97" i="6"/>
  <c r="T97" i="6"/>
  <c r="R97" i="6"/>
  <c r="P97" i="6"/>
  <c r="N97" i="6"/>
  <c r="L97" i="6"/>
  <c r="J97" i="6"/>
  <c r="H97" i="6"/>
  <c r="X87" i="6"/>
  <c r="X86" i="6" s="1"/>
  <c r="V87" i="6"/>
  <c r="V86" i="6" s="1"/>
  <c r="T87" i="6"/>
  <c r="T86" i="6" s="1"/>
  <c r="R87" i="6"/>
  <c r="R86" i="6" s="1"/>
  <c r="P87" i="6"/>
  <c r="P86" i="6" s="1"/>
  <c r="N87" i="6"/>
  <c r="N86" i="6" s="1"/>
  <c r="L87" i="6"/>
  <c r="L86" i="6" s="1"/>
  <c r="J87" i="6"/>
  <c r="J86" i="6" s="1"/>
  <c r="H87" i="6"/>
  <c r="H86" i="6" s="1"/>
  <c r="X85" i="6"/>
  <c r="V85" i="6"/>
  <c r="T85" i="6"/>
  <c r="R85" i="6"/>
  <c r="P85" i="6"/>
  <c r="N85" i="6"/>
  <c r="L85" i="6"/>
  <c r="J85" i="6"/>
  <c r="H85" i="6"/>
  <c r="X84" i="6"/>
  <c r="V84" i="6"/>
  <c r="T84" i="6"/>
  <c r="R84" i="6"/>
  <c r="P84" i="6"/>
  <c r="N84" i="6"/>
  <c r="L84" i="6"/>
  <c r="J84" i="6"/>
  <c r="H84" i="6"/>
  <c r="X83" i="6"/>
  <c r="V83" i="6"/>
  <c r="T83" i="6"/>
  <c r="R83" i="6"/>
  <c r="P83" i="6"/>
  <c r="N83" i="6"/>
  <c r="L83" i="6"/>
  <c r="J83" i="6"/>
  <c r="H83" i="6"/>
  <c r="X82" i="6"/>
  <c r="V82" i="6"/>
  <c r="T82" i="6"/>
  <c r="R82" i="6"/>
  <c r="P82" i="6"/>
  <c r="N82" i="6"/>
  <c r="L82" i="6"/>
  <c r="J82" i="6"/>
  <c r="H82" i="6"/>
  <c r="X80" i="6"/>
  <c r="V80" i="6"/>
  <c r="T80" i="6"/>
  <c r="R80" i="6"/>
  <c r="P80" i="6"/>
  <c r="N80" i="6"/>
  <c r="L80" i="6"/>
  <c r="J80" i="6"/>
  <c r="H80" i="6"/>
  <c r="Y76" i="6"/>
  <c r="W76" i="6"/>
  <c r="U76" i="6"/>
  <c r="S76" i="6"/>
  <c r="Q76" i="6"/>
  <c r="O76" i="6"/>
  <c r="M76" i="6"/>
  <c r="K76" i="6"/>
  <c r="I76" i="6"/>
  <c r="Y74" i="6"/>
  <c r="W74" i="6"/>
  <c r="U74" i="6"/>
  <c r="AI74" i="6" s="1"/>
  <c r="S74" i="6"/>
  <c r="Q74" i="6"/>
  <c r="O74" i="6"/>
  <c r="M74" i="6"/>
  <c r="K74" i="6"/>
  <c r="I74" i="6"/>
  <c r="Y73" i="6"/>
  <c r="W73" i="6"/>
  <c r="U73" i="6"/>
  <c r="S73" i="6"/>
  <c r="Q73" i="6"/>
  <c r="O73" i="6"/>
  <c r="M73" i="6"/>
  <c r="K73" i="6"/>
  <c r="I73" i="6"/>
  <c r="Y70" i="6"/>
  <c r="W70" i="6"/>
  <c r="U70" i="6"/>
  <c r="AI70" i="6" s="1"/>
  <c r="S70" i="6"/>
  <c r="Q70" i="6"/>
  <c r="O70" i="6"/>
  <c r="M70" i="6"/>
  <c r="K70" i="6"/>
  <c r="I70" i="6"/>
  <c r="Y69" i="6"/>
  <c r="W69" i="6"/>
  <c r="U69" i="6"/>
  <c r="AI69" i="6" s="1"/>
  <c r="S69" i="6"/>
  <c r="Q69" i="6"/>
  <c r="O69" i="6"/>
  <c r="M69" i="6"/>
  <c r="K69" i="6"/>
  <c r="I69" i="6"/>
  <c r="Y68" i="6"/>
  <c r="W68" i="6"/>
  <c r="U68" i="6"/>
  <c r="AI68" i="6" s="1"/>
  <c r="S68" i="6"/>
  <c r="Q68" i="6"/>
  <c r="O68" i="6"/>
  <c r="M68" i="6"/>
  <c r="K68" i="6"/>
  <c r="I68" i="6"/>
  <c r="Y67" i="6"/>
  <c r="W67" i="6"/>
  <c r="U67" i="6"/>
  <c r="AI67" i="6" s="1"/>
  <c r="S67" i="6"/>
  <c r="Q67" i="6"/>
  <c r="O67" i="6"/>
  <c r="M67" i="6"/>
  <c r="K67" i="6"/>
  <c r="I67" i="6"/>
  <c r="Y66" i="6"/>
  <c r="W66" i="6"/>
  <c r="U66" i="6"/>
  <c r="S66" i="6"/>
  <c r="Q66" i="6"/>
  <c r="O66" i="6"/>
  <c r="M66" i="6"/>
  <c r="K66" i="6"/>
  <c r="I66" i="6"/>
  <c r="Y63" i="6"/>
  <c r="W63" i="6"/>
  <c r="U63" i="6"/>
  <c r="AI63" i="6" s="1"/>
  <c r="S63" i="6"/>
  <c r="Q63" i="6"/>
  <c r="O63" i="6"/>
  <c r="M63" i="6"/>
  <c r="K63" i="6"/>
  <c r="I63" i="6"/>
  <c r="Y62" i="6"/>
  <c r="W62" i="6"/>
  <c r="U62" i="6"/>
  <c r="AI62" i="6" s="1"/>
  <c r="S62" i="6"/>
  <c r="Q62" i="6"/>
  <c r="O62" i="6"/>
  <c r="M62" i="6"/>
  <c r="K62" i="6"/>
  <c r="I62" i="6"/>
  <c r="AI61" i="6"/>
  <c r="AD61" i="6"/>
  <c r="AI60" i="6"/>
  <c r="AI59" i="6"/>
  <c r="N81" i="6"/>
  <c r="J81" i="6"/>
  <c r="Y55" i="6"/>
  <c r="W55" i="6"/>
  <c r="U55" i="6"/>
  <c r="AI55" i="6" s="1"/>
  <c r="S55" i="6"/>
  <c r="Q55" i="6"/>
  <c r="O55" i="6"/>
  <c r="M55" i="6"/>
  <c r="K55" i="6"/>
  <c r="I55" i="6"/>
  <c r="Y54" i="6"/>
  <c r="W54" i="6"/>
  <c r="U54" i="6"/>
  <c r="AI54" i="6" s="1"/>
  <c r="S54" i="6"/>
  <c r="Q54" i="6"/>
  <c r="O54" i="6"/>
  <c r="M54" i="6"/>
  <c r="K54" i="6"/>
  <c r="I54" i="6"/>
  <c r="AI53" i="6"/>
  <c r="AD53" i="6"/>
  <c r="Y52" i="6"/>
  <c r="W52" i="6"/>
  <c r="U52" i="6"/>
  <c r="AI52" i="6" s="1"/>
  <c r="S52" i="6"/>
  <c r="Q52" i="6"/>
  <c r="O52" i="6"/>
  <c r="M52" i="6"/>
  <c r="K52" i="6"/>
  <c r="I52" i="6"/>
  <c r="AI51" i="6"/>
  <c r="Y49" i="6"/>
  <c r="W49" i="6"/>
  <c r="U49" i="6"/>
  <c r="S49" i="6"/>
  <c r="Q49" i="6"/>
  <c r="O49" i="6"/>
  <c r="M49" i="6"/>
  <c r="Y48" i="6"/>
  <c r="W48" i="6"/>
  <c r="U48" i="6"/>
  <c r="S48" i="6"/>
  <c r="Q48" i="6"/>
  <c r="O48" i="6"/>
  <c r="M48" i="6"/>
  <c r="K48" i="6"/>
  <c r="I48" i="6"/>
  <c r="Y47" i="6"/>
  <c r="W47" i="6"/>
  <c r="U47" i="6"/>
  <c r="AI47" i="6" s="1"/>
  <c r="S47" i="6"/>
  <c r="Q47" i="6"/>
  <c r="O47" i="6"/>
  <c r="M47" i="6"/>
  <c r="K47" i="6"/>
  <c r="I47" i="6"/>
  <c r="Y46" i="6"/>
  <c r="W46" i="6"/>
  <c r="U46" i="6"/>
  <c r="AI46" i="6" s="1"/>
  <c r="S46" i="6"/>
  <c r="Q46" i="6"/>
  <c r="O46" i="6"/>
  <c r="M46" i="6"/>
  <c r="K46" i="6"/>
  <c r="I46" i="6"/>
  <c r="Y45" i="6"/>
  <c r="W45" i="6"/>
  <c r="U45" i="6"/>
  <c r="AI45" i="6" s="1"/>
  <c r="S45" i="6"/>
  <c r="Q45" i="6"/>
  <c r="O45" i="6"/>
  <c r="M45" i="6"/>
  <c r="K45" i="6"/>
  <c r="I45" i="6"/>
  <c r="AI44" i="6"/>
  <c r="Y42" i="6"/>
  <c r="W42" i="6"/>
  <c r="U42" i="6"/>
  <c r="AI42" i="6" s="1"/>
  <c r="S42" i="6"/>
  <c r="Q42" i="6"/>
  <c r="O42" i="6"/>
  <c r="M42" i="6"/>
  <c r="K42" i="6"/>
  <c r="I42" i="6"/>
  <c r="Y40" i="6"/>
  <c r="W40" i="6"/>
  <c r="U40" i="6"/>
  <c r="S40" i="6"/>
  <c r="Q40" i="6"/>
  <c r="O40" i="6"/>
  <c r="M40" i="6"/>
  <c r="K40" i="6"/>
  <c r="I40" i="6"/>
  <c r="Y38" i="6"/>
  <c r="W38" i="6"/>
  <c r="U38" i="6"/>
  <c r="AI38" i="6" s="1"/>
  <c r="O38" i="6"/>
  <c r="M38" i="6"/>
  <c r="K38" i="6"/>
  <c r="I38" i="6"/>
  <c r="Y36" i="6"/>
  <c r="W36" i="6"/>
  <c r="U36" i="6"/>
  <c r="AI36" i="6" s="1"/>
  <c r="S36" i="6"/>
  <c r="Q36" i="6"/>
  <c r="O36" i="6"/>
  <c r="M36" i="6"/>
  <c r="K36" i="6"/>
  <c r="I36" i="6"/>
  <c r="Y35" i="6"/>
  <c r="W35" i="6"/>
  <c r="U35" i="6"/>
  <c r="AI35" i="6" s="1"/>
  <c r="S35" i="6"/>
  <c r="Q35" i="6"/>
  <c r="O35" i="6"/>
  <c r="M35" i="6"/>
  <c r="K35" i="6"/>
  <c r="I35" i="6"/>
  <c r="Y34" i="6"/>
  <c r="W34" i="6"/>
  <c r="U34" i="6"/>
  <c r="AD34" i="6" s="1"/>
  <c r="S34" i="6"/>
  <c r="Q34" i="6"/>
  <c r="O34" i="6"/>
  <c r="M34" i="6"/>
  <c r="K34" i="6"/>
  <c r="I34" i="6"/>
  <c r="Y33" i="6"/>
  <c r="W33" i="6"/>
  <c r="U33" i="6"/>
  <c r="S33" i="6"/>
  <c r="Q33" i="6"/>
  <c r="O33" i="6"/>
  <c r="M33" i="6"/>
  <c r="K33" i="6"/>
  <c r="I33" i="6"/>
  <c r="Y32" i="6"/>
  <c r="W32" i="6"/>
  <c r="U32" i="6"/>
  <c r="S32" i="6"/>
  <c r="Q32" i="6"/>
  <c r="O32" i="6"/>
  <c r="M32" i="6"/>
  <c r="K32" i="6"/>
  <c r="I32" i="6"/>
  <c r="Y31" i="6"/>
  <c r="W31" i="6"/>
  <c r="U31" i="6"/>
  <c r="AI31" i="6" s="1"/>
  <c r="S31" i="6"/>
  <c r="Q31" i="6"/>
  <c r="O31" i="6"/>
  <c r="M31" i="6"/>
  <c r="K31" i="6"/>
  <c r="I31" i="6"/>
  <c r="AI30" i="6"/>
  <c r="AI29" i="6"/>
  <c r="AI28" i="6"/>
  <c r="Y27" i="6"/>
  <c r="W27" i="6"/>
  <c r="U27" i="6"/>
  <c r="AI27" i="6" s="1"/>
  <c r="S27" i="6"/>
  <c r="S57" i="6" s="1"/>
  <c r="Q27" i="6"/>
  <c r="Q57" i="6" s="1"/>
  <c r="O27" i="6"/>
  <c r="O57" i="6" s="1"/>
  <c r="M27" i="6"/>
  <c r="M57" i="6" s="1"/>
  <c r="K27" i="6"/>
  <c r="I27" i="6"/>
  <c r="AI26" i="6"/>
  <c r="Y25" i="6"/>
  <c r="W25" i="6"/>
  <c r="U25" i="6"/>
  <c r="S25" i="6"/>
  <c r="Q25" i="6"/>
  <c r="O25" i="6"/>
  <c r="M25" i="6"/>
  <c r="K25" i="6"/>
  <c r="I25" i="6"/>
  <c r="Y24" i="6"/>
  <c r="W24" i="6"/>
  <c r="U24" i="6"/>
  <c r="S24" i="6"/>
  <c r="Q24" i="6"/>
  <c r="O24" i="6"/>
  <c r="M24" i="6"/>
  <c r="K24" i="6"/>
  <c r="I24" i="6"/>
  <c r="Y23" i="6"/>
  <c r="W23" i="6"/>
  <c r="U23" i="6"/>
  <c r="AI23" i="6" s="1"/>
  <c r="S23" i="6"/>
  <c r="Q23" i="6"/>
  <c r="O23" i="6"/>
  <c r="M23" i="6"/>
  <c r="K23" i="6"/>
  <c r="I23" i="6"/>
  <c r="Y22" i="6"/>
  <c r="W22" i="6"/>
  <c r="U22" i="6"/>
  <c r="AI22" i="6" s="1"/>
  <c r="S22" i="6"/>
  <c r="Q22" i="6"/>
  <c r="O22" i="6"/>
  <c r="M22" i="6"/>
  <c r="K22" i="6"/>
  <c r="I22" i="6"/>
  <c r="Y21" i="6"/>
  <c r="W21" i="6"/>
  <c r="U21" i="6"/>
  <c r="AI21" i="6" s="1"/>
  <c r="S21" i="6"/>
  <c r="Q21" i="6"/>
  <c r="O21" i="6"/>
  <c r="M21" i="6"/>
  <c r="K21" i="6"/>
  <c r="I21" i="6"/>
  <c r="Y20" i="6"/>
  <c r="W20" i="6"/>
  <c r="U20" i="6"/>
  <c r="AI20" i="6" s="1"/>
  <c r="S20" i="6"/>
  <c r="Q20" i="6"/>
  <c r="O20" i="6"/>
  <c r="M20" i="6"/>
  <c r="K20" i="6"/>
  <c r="I20" i="6"/>
  <c r="AI19" i="6"/>
  <c r="Y16" i="6"/>
  <c r="W16" i="6"/>
  <c r="U16" i="6"/>
  <c r="S16" i="6"/>
  <c r="Q16" i="6"/>
  <c r="O16" i="6"/>
  <c r="M16" i="6"/>
  <c r="K16" i="6"/>
  <c r="I16" i="6"/>
  <c r="Y15" i="6"/>
  <c r="W15" i="6"/>
  <c r="U15" i="6"/>
  <c r="S15" i="6"/>
  <c r="Q15" i="6"/>
  <c r="O15" i="6"/>
  <c r="M15" i="6"/>
  <c r="K15" i="6"/>
  <c r="I15" i="6"/>
  <c r="Y14" i="6"/>
  <c r="W14" i="6"/>
  <c r="U14" i="6"/>
  <c r="S14" i="6"/>
  <c r="Q14" i="6"/>
  <c r="O14" i="6"/>
  <c r="M14" i="6"/>
  <c r="K14" i="6"/>
  <c r="I14" i="6"/>
  <c r="Y13" i="6"/>
  <c r="W13" i="6"/>
  <c r="U13" i="6"/>
  <c r="S13" i="6"/>
  <c r="Q13" i="6"/>
  <c r="O13" i="6"/>
  <c r="M13" i="6"/>
  <c r="K13" i="6"/>
  <c r="I13" i="6"/>
  <c r="Y12" i="6"/>
  <c r="W12" i="6"/>
  <c r="U12" i="6"/>
  <c r="S12" i="6"/>
  <c r="Q12" i="6"/>
  <c r="O12" i="6"/>
  <c r="M12" i="6"/>
  <c r="K12" i="6"/>
  <c r="I12" i="6"/>
  <c r="Y11" i="6"/>
  <c r="W11" i="6"/>
  <c r="U11" i="6"/>
  <c r="AI11" i="6" s="1"/>
  <c r="S11" i="6"/>
  <c r="Q11" i="6"/>
  <c r="O11" i="6"/>
  <c r="M11" i="6"/>
  <c r="K11" i="6"/>
  <c r="I11" i="6"/>
  <c r="Y10" i="6"/>
  <c r="W10" i="6"/>
  <c r="U10" i="6"/>
  <c r="AI10" i="6" s="1"/>
  <c r="S10" i="6"/>
  <c r="Q10" i="6"/>
  <c r="O10" i="6"/>
  <c r="M10" i="6"/>
  <c r="K10" i="6"/>
  <c r="I10" i="6"/>
  <c r="Y9" i="6"/>
  <c r="W9" i="6"/>
  <c r="U9" i="6"/>
  <c r="AI9" i="6" s="1"/>
  <c r="S9" i="6"/>
  <c r="Q9" i="6"/>
  <c r="O9" i="6"/>
  <c r="M9" i="6"/>
  <c r="K9" i="6"/>
  <c r="I9" i="6"/>
  <c r="AE78" i="5"/>
  <c r="AE73" i="5"/>
  <c r="AE66" i="5"/>
  <c r="AE72" i="5"/>
  <c r="AE55" i="5"/>
  <c r="AE52" i="5"/>
  <c r="AE48" i="5"/>
  <c r="AE41" i="5"/>
  <c r="AE39" i="5"/>
  <c r="AE35" i="5"/>
  <c r="AE27" i="5"/>
  <c r="AE21" i="5"/>
  <c r="AE25" i="5"/>
  <c r="AE29" i="5" l="1"/>
  <c r="AE43" i="5"/>
  <c r="AE57" i="5"/>
  <c r="AE74" i="5"/>
  <c r="AE26" i="5"/>
  <c r="AE36" i="5"/>
  <c r="AE49" i="5"/>
  <c r="AE67" i="5"/>
  <c r="AE80" i="5"/>
  <c r="AE24" i="5"/>
  <c r="AE38" i="5"/>
  <c r="AE51" i="5"/>
  <c r="AE71" i="5"/>
  <c r="AE17" i="5"/>
  <c r="AE34" i="5"/>
  <c r="AE45" i="5"/>
  <c r="AE58" i="5"/>
  <c r="AE77" i="5"/>
  <c r="Z61" i="5"/>
  <c r="AE22" i="5"/>
  <c r="AE37" i="5"/>
  <c r="AE50" i="5"/>
  <c r="AE70" i="5"/>
  <c r="AE60" i="5"/>
  <c r="W57" i="6"/>
  <c r="X81" i="6"/>
  <c r="AI66" i="6"/>
  <c r="AI76" i="6"/>
  <c r="AA57" i="6"/>
  <c r="K57" i="6"/>
  <c r="AH57" i="6"/>
  <c r="AI24" i="6"/>
  <c r="AI32" i="6"/>
  <c r="U57" i="6"/>
  <c r="AI16" i="6"/>
  <c r="AI25" i="6"/>
  <c r="AI33" i="6"/>
  <c r="AI49" i="6"/>
  <c r="AI48" i="6"/>
  <c r="AI40" i="6"/>
  <c r="AI73" i="6"/>
  <c r="AD68" i="6"/>
  <c r="I57" i="6"/>
  <c r="AD76" i="6"/>
  <c r="X99" i="6"/>
  <c r="X100" i="6" s="1"/>
  <c r="V99" i="6"/>
  <c r="V100" i="6" s="1"/>
  <c r="R99" i="6"/>
  <c r="R107" i="6" s="1"/>
  <c r="R109" i="6" s="1"/>
  <c r="AD45" i="6"/>
  <c r="AD52" i="6"/>
  <c r="AI34" i="6"/>
  <c r="J99" i="6"/>
  <c r="J100" i="6" s="1"/>
  <c r="AD74" i="6"/>
  <c r="H99" i="6"/>
  <c r="H100" i="6" s="1"/>
  <c r="T99" i="6"/>
  <c r="T100" i="6" s="1"/>
  <c r="AD21" i="6"/>
  <c r="AD67" i="6"/>
  <c r="AD54" i="6"/>
  <c r="P99" i="6"/>
  <c r="P100" i="6" s="1"/>
  <c r="N99" i="6"/>
  <c r="N100" i="6" s="1"/>
  <c r="L99" i="6"/>
  <c r="L100" i="6" s="1"/>
  <c r="Z98" i="6"/>
  <c r="AD31" i="6"/>
  <c r="AD35" i="6"/>
  <c r="AD42" i="6"/>
  <c r="AD22" i="6"/>
  <c r="AD27" i="6"/>
  <c r="AD9" i="6"/>
  <c r="AD16" i="6"/>
  <c r="AD32" i="6"/>
  <c r="AD36" i="6"/>
  <c r="AD49" i="6"/>
  <c r="AI13" i="6"/>
  <c r="AD25" i="6"/>
  <c r="AI12" i="6"/>
  <c r="AD13" i="6"/>
  <c r="AI14" i="6"/>
  <c r="AI15" i="6"/>
  <c r="Z108" i="6"/>
  <c r="AD57" i="6"/>
  <c r="AD12" i="6"/>
  <c r="AD48" i="6"/>
  <c r="AI57" i="6"/>
  <c r="AD73" i="6"/>
  <c r="T81" i="6"/>
  <c r="AD15" i="6"/>
  <c r="AD20" i="6"/>
  <c r="AD24" i="6"/>
  <c r="AD40" i="6"/>
  <c r="AD63" i="6"/>
  <c r="AD66" i="6"/>
  <c r="AD70" i="6"/>
  <c r="V81" i="6"/>
  <c r="Z97" i="6"/>
  <c r="AD11" i="6"/>
  <c r="AD47" i="6"/>
  <c r="H81" i="6"/>
  <c r="AD23" i="6"/>
  <c r="AD33" i="6"/>
  <c r="AD38" i="6"/>
  <c r="AD62" i="6"/>
  <c r="AD69" i="6"/>
  <c r="AD10" i="6"/>
  <c r="AD14" i="6"/>
  <c r="AD46" i="6"/>
  <c r="AD55" i="6"/>
  <c r="Z88" i="5" l="1"/>
  <c r="X107" i="6"/>
  <c r="X109" i="6" s="1"/>
  <c r="R100" i="6"/>
  <c r="V107" i="6"/>
  <c r="V109" i="6" s="1"/>
  <c r="Z80" i="6"/>
  <c r="N107" i="6"/>
  <c r="N109" i="6" s="1"/>
  <c r="Z82" i="6"/>
  <c r="J107" i="6"/>
  <c r="J109" i="6" s="1"/>
  <c r="Z85" i="6"/>
  <c r="Z83" i="6"/>
  <c r="P107" i="6"/>
  <c r="P109" i="6" s="1"/>
  <c r="H107" i="6"/>
  <c r="H109" i="6" s="1"/>
  <c r="T107" i="6"/>
  <c r="T109" i="6" s="1"/>
  <c r="L107" i="6"/>
  <c r="L109" i="6" s="1"/>
  <c r="Z99" i="6"/>
  <c r="Z87" i="6"/>
  <c r="Z86" i="6" s="1"/>
  <c r="Z84" i="6"/>
  <c r="Z81" i="6" l="1"/>
  <c r="Z107" i="6"/>
  <c r="Z10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Bates</author>
  </authors>
  <commentList>
    <comment ref="F34" authorId="0" shapeId="0" xr:uid="{50E38AF9-1101-44B1-820B-5221A6CED786}">
      <text>
        <r>
          <rPr>
            <b/>
            <sz val="9"/>
            <color indexed="81"/>
            <rFont val="Tahoma"/>
            <family val="2"/>
          </rPr>
          <t>James Bates:</t>
        </r>
        <r>
          <rPr>
            <sz val="9"/>
            <color indexed="81"/>
            <rFont val="Tahoma"/>
            <family val="2"/>
          </rPr>
          <t xml:space="preserve">
Totals to $40,109 ($57 off)
</t>
        </r>
      </text>
    </comment>
    <comment ref="J34" authorId="0" shapeId="0" xr:uid="{22633F6F-329E-4DF5-AA32-FDC19D85FEC4}">
      <text>
        <r>
          <rPr>
            <b/>
            <sz val="9"/>
            <color indexed="81"/>
            <rFont val="Tahoma"/>
            <family val="2"/>
          </rPr>
          <t>James Bates:</t>
        </r>
        <r>
          <rPr>
            <sz val="9"/>
            <color indexed="81"/>
            <rFont val="Tahoma"/>
            <family val="2"/>
          </rPr>
          <t xml:space="preserve">
Totals to $25,289 ($10 off)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Bates</author>
  </authors>
  <commentList>
    <comment ref="P31" authorId="0" shapeId="0" xr:uid="{EA18CF09-8763-4115-AF32-DBF9A60A01FB}">
      <text>
        <r>
          <rPr>
            <b/>
            <sz val="9"/>
            <color indexed="81"/>
            <rFont val="Tahoma"/>
            <family val="2"/>
          </rPr>
          <t>James Bates:</t>
        </r>
        <r>
          <rPr>
            <sz val="9"/>
            <color indexed="81"/>
            <rFont val="Tahoma"/>
            <family val="2"/>
          </rPr>
          <t xml:space="preserve">
Totals to $40,109 ($57 off)
</t>
        </r>
      </text>
    </comment>
    <comment ref="T31" authorId="0" shapeId="0" xr:uid="{52BE8275-F7ED-4ED4-A99A-0985FA63024F}">
      <text>
        <r>
          <rPr>
            <b/>
            <sz val="9"/>
            <color indexed="81"/>
            <rFont val="Tahoma"/>
            <family val="2"/>
          </rPr>
          <t>James Bates:</t>
        </r>
        <r>
          <rPr>
            <sz val="9"/>
            <color indexed="81"/>
            <rFont val="Tahoma"/>
            <family val="2"/>
          </rPr>
          <t xml:space="preserve">
Totals to $25,289 ($10 off)
</t>
        </r>
      </text>
    </comment>
  </commentList>
</comments>
</file>

<file path=xl/sharedStrings.xml><?xml version="1.0" encoding="utf-8"?>
<sst xmlns="http://schemas.openxmlformats.org/spreadsheetml/2006/main" count="751" uniqueCount="171">
  <si>
    <t>Month
1 ($)</t>
  </si>
  <si>
    <t>Month
 1 (%)</t>
  </si>
  <si>
    <t>Month
2 ($)</t>
  </si>
  <si>
    <t>Month
 2 (%)</t>
  </si>
  <si>
    <t>Month
3 ($)</t>
  </si>
  <si>
    <t>Month
 3 (%)</t>
  </si>
  <si>
    <t>Month
4 ($)</t>
  </si>
  <si>
    <t>Month
 4 (%)</t>
  </si>
  <si>
    <t>Month
5 ($)</t>
  </si>
  <si>
    <t>Month
 5 (%)</t>
  </si>
  <si>
    <t>Month
6 ($)</t>
  </si>
  <si>
    <t>Month
 6 (%)</t>
  </si>
  <si>
    <t>Month
7 ($)</t>
  </si>
  <si>
    <t>Month
 7 (%)</t>
  </si>
  <si>
    <t>Month
8 ($)</t>
  </si>
  <si>
    <t>Month
 8 (%)</t>
  </si>
  <si>
    <t>Month
9 ($)</t>
  </si>
  <si>
    <t>Month
 9 (%)</t>
  </si>
  <si>
    <t>Month
10 ($)</t>
  </si>
  <si>
    <t>Month
 10 (%)</t>
  </si>
  <si>
    <t>Month
11 ($)</t>
  </si>
  <si>
    <t>Month
 11 (%)</t>
  </si>
  <si>
    <t>Month
12 ($)</t>
  </si>
  <si>
    <t>Month
 12 (%)</t>
  </si>
  <si>
    <t>12 Month Totals</t>
  </si>
  <si>
    <t>Last 3 Months
Average</t>
  </si>
  <si>
    <t>Last 3 Months
Sparkline</t>
  </si>
  <si>
    <t>Location</t>
  </si>
  <si>
    <t>All Locations</t>
  </si>
  <si>
    <t>Month</t>
  </si>
  <si>
    <t>01/31/2023</t>
  </si>
  <si>
    <t>02/28/2023</t>
  </si>
  <si>
    <t>03/31/2023</t>
  </si>
  <si>
    <t>Days in Month</t>
  </si>
  <si>
    <t>Quarter</t>
  </si>
  <si>
    <t>Year</t>
  </si>
  <si>
    <t xml:space="preserve">  Revenue</t>
  </si>
  <si>
    <t xml:space="preserve">    Managed IT Services (Recurring IT &amp; Security)</t>
  </si>
  <si>
    <t xml:space="preserve">    Cloud (Private Cloud Only as of 4/1/23)</t>
  </si>
  <si>
    <t xml:space="preserve">    Recurring Resale (Includes previouse Cloud sales)</t>
  </si>
  <si>
    <t xml:space="preserve">    Project Services</t>
  </si>
  <si>
    <t xml:space="preserve">    Subcontracted Services</t>
  </si>
  <si>
    <t xml:space="preserve">    Product Sales</t>
  </si>
  <si>
    <t xml:space="preserve">    Commissions</t>
  </si>
  <si>
    <t xml:space="preserve">    Sales Returns and Discounts</t>
  </si>
  <si>
    <t xml:space="preserve">  Total Revenue</t>
  </si>
  <si>
    <t xml:space="preserve">  Cost of Goods and Services</t>
  </si>
  <si>
    <t xml:space="preserve">    Managed IT Service Costs</t>
  </si>
  <si>
    <t xml:space="preserve">    Cloud Service Costs</t>
  </si>
  <si>
    <t xml:space="preserve">    Recurring Resale Costs</t>
  </si>
  <si>
    <t xml:space="preserve">    Project Service Costs</t>
  </si>
  <si>
    <t xml:space="preserve">    Subcontractor Service Costs</t>
  </si>
  <si>
    <t xml:space="preserve">    Product Sales Costs</t>
  </si>
  <si>
    <t xml:space="preserve">  Total COGS</t>
  </si>
  <si>
    <t xml:space="preserve">  Gross Profit</t>
  </si>
  <si>
    <t xml:space="preserve">   Gross Profit %</t>
  </si>
  <si>
    <t xml:space="preserve">  Operating Expenses</t>
  </si>
  <si>
    <t xml:space="preserve">    General &amp; Admin Expenses</t>
  </si>
  <si>
    <t xml:space="preserve">      Charitable Contributions</t>
  </si>
  <si>
    <t xml:space="preserve">      Education</t>
  </si>
  <si>
    <t xml:space="preserve">      Finance Charges</t>
  </si>
  <si>
    <t xml:space="preserve">      Travel, Meals and Entertainment</t>
  </si>
  <si>
    <t xml:space="preserve">      Office Supplies</t>
  </si>
  <si>
    <t xml:space="preserve">    Total General and Admin Expenses</t>
  </si>
  <si>
    <t xml:space="preserve">    Marketing and Advertising Expenses</t>
  </si>
  <si>
    <t xml:space="preserve">    Payroll and Related Expenses</t>
  </si>
  <si>
    <t xml:space="preserve">    Utilities and Facilities</t>
  </si>
  <si>
    <t xml:space="preserve">    Ops and Maint. Expenses</t>
  </si>
  <si>
    <t xml:space="preserve">      Automobile Expenses</t>
  </si>
  <si>
    <t xml:space="preserve">      Professional Services</t>
  </si>
  <si>
    <t xml:space="preserve">      Software and Maintenance</t>
  </si>
  <si>
    <t xml:space="preserve">      Other Operating Expense</t>
  </si>
  <si>
    <t xml:space="preserve">    Total Ops and Maint. Expenses</t>
  </si>
  <si>
    <t xml:space="preserve">    Taxes and Insurance</t>
  </si>
  <si>
    <t xml:space="preserve">      Insurance</t>
  </si>
  <si>
    <t xml:space="preserve">      Taxes</t>
  </si>
  <si>
    <t xml:space="preserve">    Total Taxes and Insurance</t>
  </si>
  <si>
    <t xml:space="preserve">  Total Operating Expenses</t>
  </si>
  <si>
    <t>Net Operating Income</t>
  </si>
  <si>
    <t>Net Operating Income %</t>
  </si>
  <si>
    <t xml:space="preserve">  Other Income (Expense)</t>
  </si>
  <si>
    <t xml:space="preserve">    Other Income</t>
  </si>
  <si>
    <t xml:space="preserve">    Interest Income</t>
  </si>
  <si>
    <t xml:space="preserve">    Total Other Income</t>
  </si>
  <si>
    <t xml:space="preserve">    Other Expense</t>
  </si>
  <si>
    <t xml:space="preserve">      Interest Expenses</t>
  </si>
  <si>
    <t xml:space="preserve">      Partnership Expenses</t>
  </si>
  <si>
    <t xml:space="preserve">      Other Expenses</t>
  </si>
  <si>
    <t xml:space="preserve">    Total Other Expense</t>
  </si>
  <si>
    <t xml:space="preserve">  Total Other Income (Expense)</t>
  </si>
  <si>
    <t xml:space="preserve">  Income Taxes</t>
  </si>
  <si>
    <t xml:space="preserve">    State and Local Taxes</t>
  </si>
  <si>
    <t xml:space="preserve">  Total Income Taxes</t>
  </si>
  <si>
    <t>Net Income (Loss)</t>
  </si>
  <si>
    <t xml:space="preserve">  Net Profit %</t>
  </si>
  <si>
    <t>Gross Profit %</t>
  </si>
  <si>
    <t>Net Profit %</t>
  </si>
  <si>
    <t>Payroll to Total Revenue %</t>
  </si>
  <si>
    <t>Payroll to Services Revenue %</t>
  </si>
  <si>
    <t>Payroll to Services + Product Margin %</t>
  </si>
  <si>
    <t>Product (One Time) Sales Profit %</t>
  </si>
  <si>
    <t>Product (One Time) Sales Profit $</t>
  </si>
  <si>
    <t>Product Sales % of Total Revenue</t>
  </si>
  <si>
    <t>12 Month Average</t>
  </si>
  <si>
    <t>3 Month Average</t>
  </si>
  <si>
    <t>10 Month Sparkline</t>
  </si>
  <si>
    <t>Target $</t>
  </si>
  <si>
    <t>Target %</t>
  </si>
  <si>
    <t>Swag for Neutral</t>
  </si>
  <si>
    <t>Dashboard</t>
  </si>
  <si>
    <t>Annual Budget
Q1 * 4</t>
  </si>
  <si>
    <t>Monthly
Budget</t>
  </si>
  <si>
    <t>Notes:</t>
  </si>
  <si>
    <t>Ohio</t>
  </si>
  <si>
    <t>*Just started tracking in April - Use (April * 3) * 4</t>
  </si>
  <si>
    <t>Ohio Revenue - Annual Target $10.8M / $900k per month</t>
  </si>
  <si>
    <t>Actual Revenue</t>
  </si>
  <si>
    <t>Actual - Goal (Over or Under Goal)</t>
  </si>
  <si>
    <t>Ohio Profit Percentage Goal 15% profit</t>
  </si>
  <si>
    <t>Ohio Minimum Profit - $900k / $75k per month</t>
  </si>
  <si>
    <t>Ohio Actual Net Operating Profit</t>
  </si>
  <si>
    <t>On Separate Tab</t>
  </si>
  <si>
    <t>Variance to Budget</t>
  </si>
  <si>
    <t>Variance to trend month over month</t>
  </si>
  <si>
    <t>Variance to trend month 3 month avg</t>
  </si>
  <si>
    <t>Sales $/Profit Needed to Break Even</t>
  </si>
  <si>
    <t>Recurring Revenue</t>
  </si>
  <si>
    <t>Total Expenses (not including Product COGS or Subcontractor)</t>
  </si>
  <si>
    <t>Recurring Profit/Loss (GAP)</t>
  </si>
  <si>
    <t>Product/Project Sales needed @ 15% to Break Even</t>
  </si>
  <si>
    <t>15% of Revenue (Profit Target)</t>
  </si>
  <si>
    <t>Product/Project Sales Needed for 15% Profit</t>
  </si>
  <si>
    <t>Minimum Rev. Target</t>
  </si>
  <si>
    <t>*Other cost when we sell more (Commission) %</t>
  </si>
  <si>
    <t>Difference between recurring Profit/Loss vs Total P/L</t>
  </si>
  <si>
    <t>*This section needs works - doesn't add up on Product Sales only $658k</t>
  </si>
  <si>
    <t>Project Services</t>
  </si>
  <si>
    <t>*This is profit made from Project Engineers</t>
  </si>
  <si>
    <t>Difference between P&amp;L gap and project</t>
  </si>
  <si>
    <t>*This is profit made from Product Sales Only</t>
  </si>
  <si>
    <t>Selling Expenses broken out</t>
  </si>
  <si>
    <t>To Do's</t>
  </si>
  <si>
    <t>Dennis to give daily payroll calculations</t>
  </si>
  <si>
    <t>Profit Goals</t>
  </si>
  <si>
    <t>Monthly</t>
  </si>
  <si>
    <t>Annual</t>
  </si>
  <si>
    <t>California</t>
  </si>
  <si>
    <t>Recurring Services Revenue</t>
  </si>
  <si>
    <t>Recurring Revenue plus Recurring Resale Margin</t>
  </si>
  <si>
    <t>James Goals</t>
  </si>
  <si>
    <t>Project Engineers # of engineers * 2000 hours * 50% usage at $200/hr as Project Services Sales Goal
*I think 5 engineers at 50% is approx. $83k/month</t>
  </si>
  <si>
    <t>Datapath California Profit goal of $300k/month</t>
  </si>
  <si>
    <t>Datapath Ohio Profit goal of $75k/month</t>
  </si>
  <si>
    <t>9 Month Sparkline</t>
  </si>
  <si>
    <t>*Just started tracking in April - Use April * 4</t>
  </si>
  <si>
    <t>$2M for Green, 1.8-2 yellow, less than 1.8 red</t>
  </si>
  <si>
    <t>$50k</t>
  </si>
  <si>
    <t>Total Expenses (not including COGS or Subcontractor)</t>
  </si>
  <si>
    <t>9 Month Totals</t>
  </si>
  <si>
    <t>9 Month Average</t>
  </si>
  <si>
    <t>07/31/2022</t>
  </si>
  <si>
    <t>08/31/2022</t>
  </si>
  <si>
    <t>09/30/2022</t>
  </si>
  <si>
    <t>10/31/2022</t>
  </si>
  <si>
    <t>11/30/2022</t>
  </si>
  <si>
    <t>12/31/2022</t>
  </si>
  <si>
    <t xml:space="preserve">    Cloud</t>
  </si>
  <si>
    <t xml:space="preserve">    Managed IT Services</t>
  </si>
  <si>
    <t>*Excel calc to verify Intacct Totaling</t>
  </si>
  <si>
    <t xml:space="preserve">    Product Sales Cost</t>
  </si>
  <si>
    <t>*look for rec. resale 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</si>
</sst>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_(* #,##0_);_(* \(#,##0\);_(* &quot;-&quot;??_);_(@_)"/>
    <numFmt numFmtId="166" formatCode="#,##0;\(#,##0\)"/>
    <numFmt numFmtId="167" formatCode="0.0%"/>
    <numFmt numFmtId="168" formatCode="&quot;$&quot;#,##0"/>
  </numFmts>
  <fonts count="27">
    <font>
      <sz val="10"/>
      <name val="Arial"/>
      <family val="2"/>
    </font>
    <font>
      <sz val="8"/>
      <name val="Helvetica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color rgb="FF0070C0"/>
      <name val="Arial"/>
      <family val="2"/>
    </font>
    <font>
      <b/>
      <sz val="10"/>
      <name val="Helvitica"/>
    </font>
    <font>
      <sz val="10"/>
      <name val="Helvitica"/>
    </font>
    <font>
      <b/>
      <sz val="10"/>
      <name val="Helvetica"/>
      <family val="2"/>
    </font>
    <font>
      <b/>
      <sz val="11"/>
      <color theme="9" tint="-0.249977111117893"/>
      <name val="Arial"/>
      <family val="2"/>
    </font>
    <font>
      <b/>
      <sz val="11"/>
      <color rgb="FF7030A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color theme="8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rgb="FF33996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b/>
      <sz val="8"/>
      <name val="Helvetica"/>
      <family val="2"/>
    </font>
    <font>
      <b/>
      <sz val="9"/>
      <name val="Helvetica"/>
      <family val="2"/>
    </font>
    <font>
      <b/>
      <sz val="9"/>
      <name val="Helvetica"/>
      <family val="2"/>
    </font>
    <font>
      <sz val="11"/>
      <color theme="8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/>
    <xf numFmtId="167" fontId="0" fillId="0" borderId="0" xfId="1" applyNumberFormat="1" applyFont="1"/>
    <xf numFmtId="165" fontId="6" fillId="0" borderId="0" xfId="4" applyNumberFormat="1" applyFont="1"/>
    <xf numFmtId="167" fontId="7" fillId="0" borderId="0" xfId="1" applyNumberFormat="1" applyFont="1"/>
    <xf numFmtId="165" fontId="7" fillId="0" borderId="0" xfId="4" applyNumberFormat="1" applyFont="1"/>
    <xf numFmtId="166" fontId="5" fillId="0" borderId="2" xfId="0" applyNumberFormat="1" applyFont="1" applyBorder="1" applyAlignment="1">
      <alignment horizontal="left"/>
    </xf>
    <xf numFmtId="165" fontId="5" fillId="0" borderId="2" xfId="4" applyNumberFormat="1" applyFont="1" applyFill="1" applyBorder="1" applyAlignment="1">
      <alignment horizontal="right"/>
    </xf>
    <xf numFmtId="166" fontId="9" fillId="0" borderId="2" xfId="0" applyNumberFormat="1" applyFont="1" applyBorder="1" applyAlignment="1">
      <alignment horizontal="left"/>
    </xf>
    <xf numFmtId="165" fontId="9" fillId="0" borderId="2" xfId="4" applyNumberFormat="1" applyFont="1" applyFill="1" applyBorder="1" applyAlignment="1">
      <alignment horizontal="right"/>
    </xf>
    <xf numFmtId="166" fontId="10" fillId="0" borderId="3" xfId="0" applyNumberFormat="1" applyFont="1" applyBorder="1" applyAlignment="1">
      <alignment horizontal="left"/>
    </xf>
    <xf numFmtId="165" fontId="10" fillId="0" borderId="3" xfId="4" applyNumberFormat="1" applyFont="1" applyFill="1" applyBorder="1" applyAlignment="1">
      <alignment horizontal="right"/>
    </xf>
    <xf numFmtId="0" fontId="11" fillId="0" borderId="0" xfId="0" applyFont="1"/>
    <xf numFmtId="165" fontId="12" fillId="0" borderId="0" xfId="4" applyNumberFormat="1" applyFont="1"/>
    <xf numFmtId="0" fontId="12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165" fontId="11" fillId="0" borderId="0" xfId="4" applyNumberFormat="1" applyFont="1"/>
    <xf numFmtId="165" fontId="11" fillId="2" borderId="0" xfId="4" applyNumberFormat="1" applyFont="1" applyFill="1" applyAlignment="1">
      <alignment horizontal="right"/>
    </xf>
    <xf numFmtId="165" fontId="12" fillId="0" borderId="1" xfId="4" applyNumberFormat="1" applyFont="1" applyBorder="1"/>
    <xf numFmtId="165" fontId="11" fillId="2" borderId="1" xfId="4" applyNumberFormat="1" applyFont="1" applyFill="1" applyBorder="1" applyAlignment="1">
      <alignment horizontal="right"/>
    </xf>
    <xf numFmtId="165" fontId="11" fillId="2" borderId="0" xfId="4" applyNumberFormat="1" applyFont="1" applyFill="1" applyBorder="1" applyAlignment="1">
      <alignment horizontal="right"/>
    </xf>
    <xf numFmtId="0" fontId="12" fillId="0" borderId="0" xfId="0" applyFont="1"/>
    <xf numFmtId="167" fontId="11" fillId="0" borderId="0" xfId="1" applyNumberFormat="1" applyFont="1"/>
    <xf numFmtId="166" fontId="11" fillId="0" borderId="0" xfId="0" applyNumberFormat="1" applyFont="1"/>
    <xf numFmtId="0" fontId="13" fillId="0" borderId="0" xfId="0" applyFont="1"/>
    <xf numFmtId="0" fontId="14" fillId="2" borderId="4" xfId="0" applyFont="1" applyFill="1" applyBorder="1" applyAlignment="1">
      <alignment horizontal="left"/>
    </xf>
    <xf numFmtId="165" fontId="14" fillId="0" borderId="4" xfId="4" applyNumberFormat="1" applyFont="1" applyBorder="1"/>
    <xf numFmtId="165" fontId="14" fillId="2" borderId="4" xfId="4" applyNumberFormat="1" applyFont="1" applyFill="1" applyBorder="1" applyAlignment="1">
      <alignment horizontal="right"/>
    </xf>
    <xf numFmtId="0" fontId="15" fillId="2" borderId="3" xfId="0" applyFont="1" applyFill="1" applyBorder="1" applyAlignment="1">
      <alignment horizontal="left"/>
    </xf>
    <xf numFmtId="165" fontId="15" fillId="0" borderId="3" xfId="4" applyNumberFormat="1" applyFont="1" applyBorder="1"/>
    <xf numFmtId="165" fontId="15" fillId="2" borderId="3" xfId="4" applyNumberFormat="1" applyFont="1" applyFill="1" applyBorder="1" applyAlignment="1">
      <alignment horizontal="right"/>
    </xf>
    <xf numFmtId="165" fontId="16" fillId="2" borderId="3" xfId="4" applyNumberFormat="1" applyFont="1" applyFill="1" applyBorder="1" applyAlignment="1">
      <alignment horizontal="left"/>
    </xf>
    <xf numFmtId="165" fontId="16" fillId="2" borderId="3" xfId="4" applyNumberFormat="1" applyFont="1" applyFill="1" applyBorder="1" applyAlignment="1">
      <alignment horizontal="right"/>
    </xf>
    <xf numFmtId="165" fontId="11" fillId="4" borderId="0" xfId="4" applyNumberFormat="1" applyFont="1" applyFill="1" applyAlignment="1">
      <alignment horizontal="right"/>
    </xf>
    <xf numFmtId="0" fontId="11" fillId="4" borderId="0" xfId="0" applyFont="1" applyFill="1"/>
    <xf numFmtId="165" fontId="5" fillId="4" borderId="2" xfId="4" applyNumberFormat="1" applyFont="1" applyFill="1" applyBorder="1" applyAlignment="1">
      <alignment horizontal="right"/>
    </xf>
    <xf numFmtId="165" fontId="9" fillId="4" borderId="2" xfId="4" applyNumberFormat="1" applyFont="1" applyFill="1" applyBorder="1" applyAlignment="1">
      <alignment horizontal="right"/>
    </xf>
    <xf numFmtId="165" fontId="10" fillId="4" borderId="3" xfId="4" applyNumberFormat="1" applyFont="1" applyFill="1" applyBorder="1" applyAlignment="1">
      <alignment horizontal="right"/>
    </xf>
    <xf numFmtId="165" fontId="14" fillId="4" borderId="4" xfId="4" applyNumberFormat="1" applyFont="1" applyFill="1" applyBorder="1" applyAlignment="1">
      <alignment horizontal="right"/>
    </xf>
    <xf numFmtId="165" fontId="11" fillId="4" borderId="3" xfId="4" applyNumberFormat="1" applyFont="1" applyFill="1" applyBorder="1" applyAlignment="1">
      <alignment horizontal="right"/>
    </xf>
    <xf numFmtId="165" fontId="11" fillId="4" borderId="2" xfId="4" applyNumberFormat="1" applyFont="1" applyFill="1" applyBorder="1" applyAlignment="1">
      <alignment horizontal="right"/>
    </xf>
    <xf numFmtId="165" fontId="11" fillId="4" borderId="4" xfId="4" applyNumberFormat="1" applyFont="1" applyFill="1" applyBorder="1" applyAlignment="1">
      <alignment horizontal="right"/>
    </xf>
    <xf numFmtId="165" fontId="11" fillId="4" borderId="1" xfId="4" applyNumberFormat="1" applyFont="1" applyFill="1" applyBorder="1" applyAlignment="1">
      <alignment horizontal="right"/>
    </xf>
    <xf numFmtId="165" fontId="11" fillId="2" borderId="3" xfId="4" applyNumberFormat="1" applyFont="1" applyFill="1" applyBorder="1" applyAlignment="1">
      <alignment horizontal="right"/>
    </xf>
    <xf numFmtId="165" fontId="12" fillId="0" borderId="0" xfId="4" applyNumberFormat="1" applyFont="1" applyBorder="1"/>
    <xf numFmtId="165" fontId="11" fillId="4" borderId="0" xfId="4" applyNumberFormat="1" applyFont="1" applyFill="1"/>
    <xf numFmtId="165" fontId="11" fillId="0" borderId="1" xfId="4" applyNumberFormat="1" applyFont="1" applyBorder="1"/>
    <xf numFmtId="165" fontId="11" fillId="4" borderId="0" xfId="4" applyNumberFormat="1" applyFont="1" applyFill="1" applyBorder="1" applyAlignment="1">
      <alignment horizontal="right"/>
    </xf>
    <xf numFmtId="165" fontId="11" fillId="0" borderId="0" xfId="4" applyNumberFormat="1" applyFont="1" applyFill="1"/>
    <xf numFmtId="165" fontId="11" fillId="3" borderId="0" xfId="4" applyNumberFormat="1" applyFont="1" applyFill="1"/>
    <xf numFmtId="165" fontId="19" fillId="0" borderId="0" xfId="4" applyNumberFormat="1" applyFont="1" applyAlignment="1">
      <alignment horizontal="right"/>
    </xf>
    <xf numFmtId="165" fontId="19" fillId="0" borderId="0" xfId="4" applyNumberFormat="1" applyFont="1"/>
    <xf numFmtId="0" fontId="19" fillId="0" borderId="0" xfId="0" applyFont="1"/>
    <xf numFmtId="0" fontId="20" fillId="0" borderId="0" xfId="0" applyFont="1"/>
    <xf numFmtId="165" fontId="19" fillId="2" borderId="0" xfId="4" applyNumberFormat="1" applyFont="1" applyFill="1" applyAlignment="1">
      <alignment horizontal="right"/>
    </xf>
    <xf numFmtId="165" fontId="19" fillId="5" borderId="0" xfId="4" applyNumberFormat="1" applyFont="1" applyFill="1"/>
    <xf numFmtId="165" fontId="0" fillId="0" borderId="0" xfId="0" applyNumberFormat="1"/>
    <xf numFmtId="167" fontId="11" fillId="2" borderId="1" xfId="1" applyNumberFormat="1" applyFont="1" applyFill="1" applyBorder="1" applyAlignment="1">
      <alignment horizontal="right"/>
    </xf>
    <xf numFmtId="167" fontId="5" fillId="0" borderId="2" xfId="1" applyNumberFormat="1" applyFont="1" applyFill="1" applyBorder="1" applyAlignment="1">
      <alignment horizontal="right"/>
    </xf>
    <xf numFmtId="167" fontId="19" fillId="0" borderId="0" xfId="1" applyNumberFormat="1" applyFont="1"/>
    <xf numFmtId="167" fontId="9" fillId="0" borderId="2" xfId="1" applyNumberFormat="1" applyFont="1" applyFill="1" applyBorder="1" applyAlignment="1">
      <alignment horizontal="right"/>
    </xf>
    <xf numFmtId="167" fontId="10" fillId="0" borderId="3" xfId="1" applyNumberFormat="1" applyFont="1" applyFill="1" applyBorder="1" applyAlignment="1">
      <alignment horizontal="right"/>
    </xf>
    <xf numFmtId="167" fontId="11" fillId="0" borderId="1" xfId="1" applyNumberFormat="1" applyFont="1" applyBorder="1"/>
    <xf numFmtId="167" fontId="14" fillId="2" borderId="4" xfId="1" applyNumberFormat="1" applyFont="1" applyFill="1" applyBorder="1" applyAlignment="1">
      <alignment horizontal="right"/>
    </xf>
    <xf numFmtId="167" fontId="15" fillId="2" borderId="3" xfId="1" applyNumberFormat="1" applyFont="1" applyFill="1" applyBorder="1" applyAlignment="1">
      <alignment horizontal="right"/>
    </xf>
    <xf numFmtId="167" fontId="16" fillId="2" borderId="3" xfId="1" applyNumberFormat="1" applyFont="1" applyFill="1" applyBorder="1" applyAlignment="1">
      <alignment horizontal="right"/>
    </xf>
    <xf numFmtId="43" fontId="0" fillId="0" borderId="0" xfId="0" applyNumberFormat="1"/>
    <xf numFmtId="165" fontId="12" fillId="4" borderId="0" xfId="4" applyNumberFormat="1" applyFont="1" applyFill="1" applyAlignment="1">
      <alignment horizontal="right"/>
    </xf>
    <xf numFmtId="165" fontId="4" fillId="0" borderId="0" xfId="0" applyNumberFormat="1" applyFont="1"/>
    <xf numFmtId="43" fontId="4" fillId="0" borderId="0" xfId="0" applyNumberFormat="1" applyFont="1"/>
    <xf numFmtId="165" fontId="0" fillId="3" borderId="0" xfId="0" applyNumberFormat="1" applyFill="1"/>
    <xf numFmtId="165" fontId="12" fillId="4" borderId="1" xfId="4" applyNumberFormat="1" applyFont="1" applyFill="1" applyBorder="1" applyAlignment="1">
      <alignment horizontal="right"/>
    </xf>
    <xf numFmtId="165" fontId="12" fillId="4" borderId="0" xfId="4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165" fontId="14" fillId="0" borderId="0" xfId="4" applyNumberFormat="1" applyFont="1" applyBorder="1"/>
    <xf numFmtId="165" fontId="14" fillId="2" borderId="0" xfId="4" applyNumberFormat="1" applyFont="1" applyFill="1" applyBorder="1" applyAlignment="1">
      <alignment horizontal="right"/>
    </xf>
    <xf numFmtId="165" fontId="14" fillId="4" borderId="0" xfId="4" applyNumberFormat="1" applyFont="1" applyFill="1" applyBorder="1" applyAlignment="1">
      <alignment horizontal="right"/>
    </xf>
    <xf numFmtId="49" fontId="8" fillId="0" borderId="0" xfId="0" applyNumberFormat="1" applyFont="1" applyAlignment="1">
      <alignment horizontal="center" wrapText="1"/>
    </xf>
    <xf numFmtId="167" fontId="8" fillId="0" borderId="0" xfId="1" applyNumberFormat="1" applyFont="1" applyAlignment="1">
      <alignment horizontal="center" wrapText="1"/>
    </xf>
    <xf numFmtId="167" fontId="12" fillId="0" borderId="1" xfId="1" applyNumberFormat="1" applyFont="1" applyBorder="1"/>
    <xf numFmtId="167" fontId="12" fillId="0" borderId="0" xfId="1" applyNumberFormat="1" applyFont="1" applyBorder="1"/>
    <xf numFmtId="167" fontId="14" fillId="2" borderId="0" xfId="1" applyNumberFormat="1" applyFont="1" applyFill="1" applyBorder="1" applyAlignment="1">
      <alignment horizontal="right"/>
    </xf>
    <xf numFmtId="167" fontId="12" fillId="0" borderId="0" xfId="1" applyNumberFormat="1" applyFont="1"/>
    <xf numFmtId="167" fontId="14" fillId="0" borderId="4" xfId="1" applyNumberFormat="1" applyFont="1" applyBorder="1"/>
    <xf numFmtId="167" fontId="14" fillId="0" borderId="0" xfId="1" applyNumberFormat="1" applyFont="1" applyBorder="1"/>
    <xf numFmtId="167" fontId="15" fillId="0" borderId="3" xfId="1" applyNumberFormat="1" applyFont="1" applyBorder="1"/>
    <xf numFmtId="0" fontId="4" fillId="0" borderId="0" xfId="0" applyFont="1" applyAlignment="1">
      <alignment horizontal="center" wrapText="1"/>
    </xf>
    <xf numFmtId="49" fontId="8" fillId="0" borderId="0" xfId="4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7" fontId="11" fillId="0" borderId="0" xfId="1" applyNumberFormat="1" applyFont="1" applyFill="1"/>
    <xf numFmtId="165" fontId="19" fillId="0" borderId="0" xfId="4" applyNumberFormat="1" applyFont="1" applyFill="1"/>
    <xf numFmtId="167" fontId="19" fillId="0" borderId="0" xfId="1" applyNumberFormat="1" applyFont="1" applyFill="1"/>
    <xf numFmtId="166" fontId="1" fillId="0" borderId="1" xfId="0" applyNumberFormat="1" applyFont="1" applyBorder="1" applyAlignment="1">
      <alignment horizontal="right"/>
    </xf>
    <xf numFmtId="165" fontId="12" fillId="0" borderId="0" xfId="4" applyNumberFormat="1" applyFont="1" applyFill="1" applyBorder="1"/>
    <xf numFmtId="167" fontId="12" fillId="0" borderId="0" xfId="1" applyNumberFormat="1" applyFont="1" applyFill="1" applyBorder="1"/>
    <xf numFmtId="165" fontId="14" fillId="0" borderId="0" xfId="4" applyNumberFormat="1" applyFont="1" applyFill="1" applyBorder="1" applyAlignment="1">
      <alignment horizontal="right"/>
    </xf>
    <xf numFmtId="167" fontId="14" fillId="0" borderId="0" xfId="1" applyNumberFormat="1" applyFont="1" applyFill="1" applyBorder="1" applyAlignment="1">
      <alignment horizontal="right"/>
    </xf>
    <xf numFmtId="165" fontId="12" fillId="0" borderId="0" xfId="4" applyNumberFormat="1" applyFont="1" applyFill="1"/>
    <xf numFmtId="166" fontId="1" fillId="0" borderId="3" xfId="0" applyNumberFormat="1" applyFont="1" applyBorder="1" applyAlignment="1">
      <alignment horizontal="right"/>
    </xf>
    <xf numFmtId="165" fontId="11" fillId="0" borderId="0" xfId="4" applyNumberFormat="1" applyFont="1" applyFill="1" applyBorder="1"/>
    <xf numFmtId="167" fontId="11" fillId="0" borderId="0" xfId="1" applyNumberFormat="1" applyFont="1" applyFill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7" fontId="11" fillId="0" borderId="2" xfId="1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right"/>
    </xf>
    <xf numFmtId="165" fontId="14" fillId="2" borderId="4" xfId="4" applyNumberFormat="1" applyFont="1" applyFill="1" applyBorder="1" applyAlignment="1">
      <alignment horizontal="left"/>
    </xf>
    <xf numFmtId="164" fontId="1" fillId="0" borderId="3" xfId="0" applyNumberFormat="1" applyFont="1" applyBorder="1" applyAlignment="1">
      <alignment horizontal="right"/>
    </xf>
    <xf numFmtId="166" fontId="24" fillId="0" borderId="3" xfId="0" applyNumberFormat="1" applyFont="1" applyBorder="1" applyAlignment="1">
      <alignment horizontal="right"/>
    </xf>
    <xf numFmtId="165" fontId="12" fillId="0" borderId="2" xfId="4" applyNumberFormat="1" applyFont="1" applyBorder="1"/>
    <xf numFmtId="165" fontId="21" fillId="0" borderId="0" xfId="4" applyNumberFormat="1" applyFont="1"/>
    <xf numFmtId="166" fontId="25" fillId="0" borderId="0" xfId="0" applyNumberFormat="1" applyFont="1" applyAlignment="1">
      <alignment horizontal="right"/>
    </xf>
    <xf numFmtId="166" fontId="25" fillId="0" borderId="2" xfId="0" applyNumberFormat="1" applyFont="1" applyBorder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6" fontId="24" fillId="0" borderId="1" xfId="0" applyNumberFormat="1" applyFont="1" applyBorder="1" applyAlignment="1">
      <alignment horizontal="right"/>
    </xf>
    <xf numFmtId="165" fontId="26" fillId="2" borderId="4" xfId="4" applyNumberFormat="1" applyFont="1" applyFill="1" applyBorder="1" applyAlignment="1">
      <alignment horizontal="left"/>
    </xf>
    <xf numFmtId="167" fontId="26" fillId="2" borderId="4" xfId="1" applyNumberFormat="1" applyFont="1" applyFill="1" applyBorder="1" applyAlignment="1">
      <alignment horizontal="right"/>
    </xf>
    <xf numFmtId="166" fontId="24" fillId="0" borderId="2" xfId="0" applyNumberFormat="1" applyFont="1" applyBorder="1" applyAlignment="1">
      <alignment horizontal="right"/>
    </xf>
    <xf numFmtId="166" fontId="1" fillId="6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center" wrapText="1"/>
    </xf>
    <xf numFmtId="168" fontId="0" fillId="0" borderId="0" xfId="0" applyNumberFormat="1"/>
    <xf numFmtId="168" fontId="0" fillId="0" borderId="0" xfId="1" applyNumberFormat="1" applyFont="1"/>
    <xf numFmtId="0" fontId="22" fillId="3" borderId="0" xfId="0" applyFont="1" applyFill="1"/>
    <xf numFmtId="49" fontId="0" fillId="0" borderId="0" xfId="0" applyNumberFormat="1" applyAlignment="1">
      <alignment wrapText="1"/>
    </xf>
    <xf numFmtId="14" fontId="0" fillId="0" borderId="0" xfId="0" applyNumberFormat="1"/>
    <xf numFmtId="166" fontId="1" fillId="2" borderId="2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7" fontId="11" fillId="0" borderId="0" xfId="0" applyNumberFormat="1" applyFont="1"/>
    <xf numFmtId="167" fontId="12" fillId="0" borderId="0" xfId="0" applyNumberFormat="1" applyFont="1"/>
    <xf numFmtId="9" fontId="0" fillId="0" borderId="0" xfId="0" applyNumberFormat="1"/>
    <xf numFmtId="43" fontId="0" fillId="3" borderId="0" xfId="0" applyNumberFormat="1" applyFill="1"/>
    <xf numFmtId="49" fontId="4" fillId="3" borderId="0" xfId="0" applyNumberFormat="1" applyFont="1" applyFill="1" applyAlignment="1">
      <alignment horizontal="center" wrapText="1"/>
    </xf>
    <xf numFmtId="49" fontId="13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1" fillId="0" borderId="0" xfId="0" applyFont="1" applyAlignment="1">
      <alignment horizontal="right" wrapText="1"/>
    </xf>
    <xf numFmtId="0" fontId="22" fillId="0" borderId="0" xfId="0" applyFont="1" applyAlignment="1">
      <alignment horizontal="right" wrapText="1"/>
    </xf>
    <xf numFmtId="165" fontId="12" fillId="0" borderId="0" xfId="4" applyNumberFormat="1" applyFont="1" applyAlignment="1">
      <alignment wrapText="1"/>
    </xf>
    <xf numFmtId="165" fontId="11" fillId="0" borderId="0" xfId="4" applyNumberFormat="1" applyFont="1" applyAlignment="1">
      <alignment wrapText="1"/>
    </xf>
    <xf numFmtId="166" fontId="5" fillId="0" borderId="2" xfId="0" applyNumberFormat="1" applyFont="1" applyBorder="1" applyAlignment="1">
      <alignment horizontal="left" wrapText="1"/>
    </xf>
    <xf numFmtId="165" fontId="19" fillId="0" borderId="0" xfId="4" applyNumberFormat="1" applyFont="1" applyAlignment="1">
      <alignment horizontal="right" wrapText="1"/>
    </xf>
    <xf numFmtId="166" fontId="9" fillId="0" borderId="2" xfId="0" applyNumberFormat="1" applyFont="1" applyBorder="1" applyAlignment="1">
      <alignment horizontal="left" wrapText="1"/>
    </xf>
    <xf numFmtId="166" fontId="10" fillId="0" borderId="3" xfId="0" applyNumberFormat="1" applyFont="1" applyBorder="1" applyAlignment="1">
      <alignment horizontal="left" wrapText="1"/>
    </xf>
    <xf numFmtId="0" fontId="12" fillId="3" borderId="0" xfId="0" applyFont="1" applyFill="1" applyAlignment="1">
      <alignment wrapText="1"/>
    </xf>
    <xf numFmtId="165" fontId="12" fillId="0" borderId="1" xfId="4" applyNumberFormat="1" applyFont="1" applyBorder="1" applyAlignment="1">
      <alignment wrapText="1"/>
    </xf>
    <xf numFmtId="165" fontId="12" fillId="0" borderId="0" xfId="4" applyNumberFormat="1" applyFont="1" applyBorder="1" applyAlignment="1">
      <alignment wrapText="1"/>
    </xf>
    <xf numFmtId="0" fontId="14" fillId="2" borderId="4" xfId="0" applyFont="1" applyFill="1" applyBorder="1" applyAlignment="1">
      <alignment horizontal="left" wrapText="1"/>
    </xf>
    <xf numFmtId="0" fontId="14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165" fontId="11" fillId="0" borderId="1" xfId="4" applyNumberFormat="1" applyFont="1" applyBorder="1" applyAlignment="1">
      <alignment wrapText="1"/>
    </xf>
    <xf numFmtId="0" fontId="11" fillId="2" borderId="0" xfId="0" applyFont="1" applyFill="1" applyAlignment="1">
      <alignment horizontal="left" wrapText="1"/>
    </xf>
    <xf numFmtId="0" fontId="15" fillId="2" borderId="3" xfId="0" applyFont="1" applyFill="1" applyBorder="1" applyAlignment="1">
      <alignment horizontal="left" wrapText="1"/>
    </xf>
    <xf numFmtId="0" fontId="12" fillId="0" borderId="0" xfId="0" applyFont="1" applyAlignment="1">
      <alignment wrapText="1"/>
    </xf>
    <xf numFmtId="165" fontId="16" fillId="2" borderId="3" xfId="4" applyNumberFormat="1" applyFont="1" applyFill="1" applyBorder="1" applyAlignment="1">
      <alignment horizontal="left" wrapText="1"/>
    </xf>
    <xf numFmtId="0" fontId="11" fillId="0" borderId="0" xfId="0" applyFont="1" applyAlignment="1">
      <alignment wrapText="1"/>
    </xf>
    <xf numFmtId="165" fontId="0" fillId="0" borderId="0" xfId="4" applyNumberFormat="1" applyFont="1"/>
    <xf numFmtId="166" fontId="1" fillId="2" borderId="0" xfId="0" applyNumberFormat="1" applyFont="1" applyFill="1" applyAlignment="1">
      <alignment horizontal="right"/>
    </xf>
    <xf numFmtId="167" fontId="11" fillId="3" borderId="0" xfId="1" applyNumberFormat="1" applyFont="1" applyFill="1"/>
    <xf numFmtId="14" fontId="0" fillId="0" borderId="0" xfId="1" applyNumberFormat="1" applyFont="1"/>
    <xf numFmtId="0" fontId="0" fillId="0" borderId="0" xfId="0" applyAlignment="1">
      <alignment horizontal="center"/>
    </xf>
    <xf numFmtId="167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6" applyNumberFormat="1" applyAlignment="1">
      <alignment horizontal="center"/>
    </xf>
    <xf numFmtId="14" fontId="0" fillId="0" borderId="0" xfId="7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</cellXfs>
  <cellStyles count="9">
    <cellStyle name="Comma" xfId="4" xr:uid="{00000000-0005-0000-0000-000004000000}"/>
    <cellStyle name="Comma [0]" xfId="5" xr:uid="{00000000-0005-0000-0000-000005000000}"/>
    <cellStyle name="Comma 2" xfId="8" xr:uid="{AD8C066C-8EB3-45E3-9525-23F223E1409A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7A505CC9-D7F8-4292-AAC2-8B9CABE9C776}"/>
    <cellStyle name="Percent" xfId="1" xr:uid="{00000000-0005-0000-0000-000001000000}"/>
    <cellStyle name="Percent 2" xfId="7" xr:uid="{186D9508-5434-4F63-A790-6CBB8A8D6E00}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ercentages Hidden for Sparklines" id="{AA1BDBF8-DD99-4E77-AD55-C60919B4CC1D}"/>
  <namedSheetView name="Show Percentages - Broken Sparklines" id="{A8957D55-0379-4ADD-8B5A-72DF63077984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ercentages Hidden for Sparklines" id="{24C3609B-813E-4566-BDB5-8943459ED2C3}"/>
  <namedSheetView name="Show Percentages - Broken Sparklines" id="{9FEFD14F-8F96-40C6-9497-E682FF039238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ercentages Hidden for Sparklines" id="{AC4B75E1-BAB2-4640-8E16-2EDD0D8E7A3D}"/>
  <namedSheetView name="Show Percentages - Broken Sparklines" id="{52147A3A-DB2F-49AE-9DFC-E6F40B4DECC0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ercentages Hidden for Sparklines" id="{2D042BF1-0237-4AE2-AB44-24B0B93817B2}"/>
  <namedSheetView name="Show Percentages - Broken Sparklines" id="{AE787E72-6BD4-474F-B549-E2462362F87B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ercentages Hidden for Sparklines" id="{38247146-8492-4F88-92C7-D9835CFA5B66}"/>
  <namedSheetView name="Show Percentages - Broken Sparklines" id="{6D8527DF-B905-4F34-8014-3E1EA8B0E03B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9/04/relationships/namedSheetView" Target="../namedSheetViews/namedSheetView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0B28-3E17-4DC6-9F44-0F630B95E2EC}">
  <dimension ref="A1:AM130"/>
  <sheetViews>
    <sheetView tabSelected="1" zoomScaleNormal="100" workbookViewId="0">
      <pane xSplit="1" ySplit="3" topLeftCell="B69" activePane="bottomRight" state="frozen"/>
      <selection pane="topRight" activeCell="B1" sqref="B1"/>
      <selection pane="bottomLeft" activeCell="A4" sqref="A4"/>
      <selection pane="bottomRight" activeCell="AA1" sqref="AA1:AB1048576"/>
    </sheetView>
  </sheetViews>
  <sheetFormatPr baseColWidth="10" defaultColWidth="8.83203125" defaultRowHeight="13"/>
  <cols>
    <col min="1" max="1" width="49.33203125" style="138" bestFit="1" customWidth="1"/>
    <col min="2" max="2" width="12.6640625" customWidth="1"/>
    <col min="3" max="3" width="8.83203125" style="2" customWidth="1"/>
    <col min="4" max="4" width="12.6640625" customWidth="1"/>
    <col min="5" max="5" width="9.33203125" style="2" customWidth="1"/>
    <col min="6" max="6" width="12.6640625" customWidth="1"/>
    <col min="7" max="7" width="9.1640625" style="2" customWidth="1"/>
    <col min="8" max="8" width="13.1640625" customWidth="1"/>
    <col min="9" max="9" width="8.33203125" style="2" customWidth="1"/>
    <col min="10" max="10" width="12.6640625" customWidth="1"/>
    <col min="11" max="11" width="8.33203125" style="2" customWidth="1"/>
    <col min="12" max="12" width="12.6640625" customWidth="1"/>
    <col min="13" max="13" width="8.33203125" style="2" customWidth="1"/>
    <col min="14" max="14" width="12.6640625" customWidth="1"/>
    <col min="15" max="15" width="8.33203125" style="2" customWidth="1"/>
    <col min="16" max="16" width="12.6640625" customWidth="1"/>
    <col min="17" max="17" width="8.33203125" style="2" customWidth="1"/>
    <col min="18" max="18" width="12.6640625" customWidth="1"/>
    <col min="19" max="19" width="8.33203125" style="2" customWidth="1"/>
    <col min="20" max="20" width="12.6640625" customWidth="1"/>
    <col min="21" max="21" width="8.33203125" style="2" customWidth="1"/>
    <col min="22" max="22" width="12.6640625" customWidth="1"/>
    <col min="23" max="23" width="8.33203125" style="2" customWidth="1"/>
    <col min="24" max="24" width="14.5" customWidth="1"/>
    <col min="25" max="25" width="8.33203125" style="2" customWidth="1"/>
    <col min="26" max="26" width="14.5" style="3" customWidth="1"/>
    <col min="27" max="29" width="13.5" customWidth="1"/>
    <col min="30" max="30" width="15.6640625" hidden="1" customWidth="1"/>
    <col min="31" max="31" width="13.5" bestFit="1" customWidth="1"/>
    <col min="32" max="32" width="18.33203125" hidden="1" customWidth="1"/>
    <col min="33" max="33" width="44" bestFit="1" customWidth="1"/>
    <col min="35" max="35" width="16.5" bestFit="1" customWidth="1"/>
    <col min="36" max="36" width="16.5" customWidth="1"/>
    <col min="37" max="37" width="12.5" customWidth="1"/>
    <col min="38" max="38" width="13.1640625" customWidth="1"/>
    <col min="39" max="39" width="74" style="126" customWidth="1"/>
  </cols>
  <sheetData>
    <row r="1" spans="1:39" ht="41.25" customHeight="1">
      <c r="B1" s="77" t="s">
        <v>0</v>
      </c>
      <c r="C1" s="78" t="s">
        <v>1</v>
      </c>
      <c r="D1" s="77" t="s">
        <v>2</v>
      </c>
      <c r="E1" s="78" t="s">
        <v>3</v>
      </c>
      <c r="F1" s="77" t="s">
        <v>4</v>
      </c>
      <c r="G1" s="78" t="s">
        <v>5</v>
      </c>
      <c r="H1" s="77" t="s">
        <v>6</v>
      </c>
      <c r="I1" s="78" t="s">
        <v>7</v>
      </c>
      <c r="J1" s="77" t="s">
        <v>8</v>
      </c>
      <c r="K1" s="78" t="s">
        <v>9</v>
      </c>
      <c r="L1" s="77" t="s">
        <v>10</v>
      </c>
      <c r="M1" s="78" t="s">
        <v>11</v>
      </c>
      <c r="N1" s="77" t="s">
        <v>12</v>
      </c>
      <c r="O1" s="78" t="s">
        <v>13</v>
      </c>
      <c r="P1" s="77" t="s">
        <v>14</v>
      </c>
      <c r="Q1" s="78" t="s">
        <v>15</v>
      </c>
      <c r="R1" s="77" t="s">
        <v>16</v>
      </c>
      <c r="S1" s="78" t="s">
        <v>17</v>
      </c>
      <c r="T1" s="77" t="s">
        <v>18</v>
      </c>
      <c r="U1" s="78" t="s">
        <v>19</v>
      </c>
      <c r="V1" s="77" t="s">
        <v>20</v>
      </c>
      <c r="W1" s="78" t="s">
        <v>21</v>
      </c>
      <c r="X1" s="77" t="s">
        <v>22</v>
      </c>
      <c r="Y1" s="78" t="s">
        <v>23</v>
      </c>
      <c r="Z1" s="87" t="s">
        <v>24</v>
      </c>
      <c r="AA1" s="88"/>
      <c r="AB1" s="88"/>
      <c r="AC1" s="88"/>
      <c r="AD1" s="88"/>
      <c r="AE1" s="77" t="s">
        <v>25</v>
      </c>
      <c r="AF1" s="77" t="s">
        <v>26</v>
      </c>
      <c r="AG1" s="89"/>
      <c r="AH1" s="89"/>
      <c r="AI1" s="89"/>
      <c r="AJ1" s="89"/>
      <c r="AK1" s="86"/>
      <c r="AL1" s="86"/>
      <c r="AM1" s="134"/>
    </row>
    <row r="2" spans="1:39">
      <c r="A2" s="139" t="s">
        <v>27</v>
      </c>
      <c r="B2" t="s">
        <v>28</v>
      </c>
      <c r="D2" t="s">
        <v>28</v>
      </c>
      <c r="F2" t="s">
        <v>28</v>
      </c>
      <c r="H2" t="s">
        <v>28</v>
      </c>
      <c r="I2" s="2" t="s">
        <v>28</v>
      </c>
      <c r="J2" t="s">
        <v>28</v>
      </c>
      <c r="L2" t="s">
        <v>28</v>
      </c>
      <c r="N2" t="s">
        <v>28</v>
      </c>
      <c r="P2" t="s">
        <v>28</v>
      </c>
      <c r="R2" t="s">
        <v>28</v>
      </c>
      <c r="T2" t="s">
        <v>28</v>
      </c>
      <c r="V2" t="s">
        <v>28</v>
      </c>
      <c r="X2" t="s">
        <v>28</v>
      </c>
      <c r="Y2" t="s">
        <v>28</v>
      </c>
      <c r="Z2" t="s">
        <v>28</v>
      </c>
    </row>
    <row r="3" spans="1:39" ht="14">
      <c r="A3" s="140" t="s">
        <v>29</v>
      </c>
      <c r="B3" s="163" t="s">
        <v>30</v>
      </c>
      <c r="C3" s="164"/>
      <c r="D3" s="163" t="s">
        <v>31</v>
      </c>
      <c r="E3" s="164"/>
      <c r="F3" s="163" t="s">
        <v>32</v>
      </c>
      <c r="G3" s="164"/>
      <c r="H3" s="165">
        <v>45046</v>
      </c>
      <c r="I3" s="164"/>
      <c r="J3" s="165">
        <v>45077</v>
      </c>
      <c r="K3" s="164"/>
      <c r="L3" s="165">
        <v>45107</v>
      </c>
      <c r="M3" s="164"/>
      <c r="N3" s="165">
        <v>45138</v>
      </c>
      <c r="O3" s="164"/>
      <c r="P3" s="165">
        <v>45169</v>
      </c>
      <c r="Q3" s="164"/>
      <c r="R3" s="165">
        <v>45199</v>
      </c>
      <c r="S3" s="164"/>
      <c r="T3" s="165">
        <v>45230</v>
      </c>
      <c r="U3" s="164"/>
      <c r="V3" s="165">
        <v>45260</v>
      </c>
      <c r="W3" s="164"/>
      <c r="X3" s="165">
        <v>45291</v>
      </c>
      <c r="Z3"/>
    </row>
    <row r="4" spans="1:39" ht="14">
      <c r="A4" s="140" t="s">
        <v>33</v>
      </c>
      <c r="B4" s="163">
        <v>31</v>
      </c>
      <c r="C4" s="164"/>
      <c r="D4" s="163">
        <v>28</v>
      </c>
      <c r="E4" s="164"/>
      <c r="F4" s="163">
        <v>31</v>
      </c>
      <c r="G4" s="164"/>
      <c r="H4" s="163">
        <v>30</v>
      </c>
      <c r="I4" s="164"/>
      <c r="J4" s="163">
        <v>31</v>
      </c>
      <c r="K4" s="164"/>
      <c r="L4" s="163">
        <v>30</v>
      </c>
      <c r="M4" s="164"/>
      <c r="N4" s="163">
        <v>31</v>
      </c>
      <c r="O4" s="164"/>
      <c r="P4" s="163">
        <v>31</v>
      </c>
      <c r="Q4" s="164"/>
      <c r="R4" s="163">
        <v>30</v>
      </c>
      <c r="S4" s="164"/>
      <c r="T4" s="163">
        <v>31</v>
      </c>
      <c r="U4" s="164"/>
      <c r="V4" s="163">
        <v>30</v>
      </c>
      <c r="W4" s="164"/>
      <c r="X4" s="163">
        <v>31</v>
      </c>
      <c r="Z4"/>
    </row>
    <row r="5" spans="1:39" ht="14">
      <c r="A5" s="140" t="s">
        <v>34</v>
      </c>
      <c r="B5" s="163">
        <v>1</v>
      </c>
      <c r="C5" s="164"/>
      <c r="D5" s="163">
        <v>1</v>
      </c>
      <c r="E5" s="164"/>
      <c r="F5" s="163">
        <v>1</v>
      </c>
      <c r="G5" s="164"/>
      <c r="H5" s="163">
        <v>2</v>
      </c>
      <c r="I5" s="164"/>
      <c r="J5" s="163">
        <v>2</v>
      </c>
      <c r="K5" s="164"/>
      <c r="L5" s="163">
        <v>2</v>
      </c>
      <c r="M5" s="164"/>
      <c r="N5" s="163">
        <v>3</v>
      </c>
      <c r="O5" s="164"/>
      <c r="P5" s="163">
        <v>3</v>
      </c>
      <c r="Q5" s="164"/>
      <c r="R5" s="163">
        <v>3</v>
      </c>
      <c r="S5" s="164"/>
      <c r="T5" s="163">
        <v>4</v>
      </c>
      <c r="U5" s="164"/>
      <c r="V5" s="163">
        <v>4</v>
      </c>
      <c r="W5" s="164"/>
      <c r="X5" s="163">
        <v>4</v>
      </c>
      <c r="Z5"/>
    </row>
    <row r="6" spans="1:39" ht="14">
      <c r="A6" s="140" t="s">
        <v>35</v>
      </c>
      <c r="B6" s="163">
        <v>2023</v>
      </c>
      <c r="C6" s="164"/>
      <c r="D6" s="163">
        <v>2023</v>
      </c>
      <c r="E6" s="164"/>
      <c r="F6" s="163">
        <v>2023</v>
      </c>
      <c r="G6" s="164"/>
      <c r="H6" s="163">
        <v>2023</v>
      </c>
      <c r="I6" s="164"/>
      <c r="J6" s="163">
        <v>2023</v>
      </c>
      <c r="K6" s="164"/>
      <c r="L6" s="163">
        <v>2023</v>
      </c>
      <c r="M6" s="164"/>
      <c r="N6" s="163">
        <v>2023</v>
      </c>
      <c r="O6" s="164"/>
      <c r="P6" s="163">
        <v>2023</v>
      </c>
      <c r="Q6" s="164"/>
      <c r="R6" s="163">
        <v>2023</v>
      </c>
      <c r="S6" s="164"/>
      <c r="T6" s="163">
        <v>2023</v>
      </c>
      <c r="U6" s="164"/>
      <c r="V6" s="163">
        <v>2023</v>
      </c>
      <c r="W6" s="164"/>
      <c r="X6" s="163">
        <v>2023</v>
      </c>
      <c r="Z6"/>
    </row>
    <row r="7" spans="1:39">
      <c r="Z7"/>
    </row>
    <row r="8" spans="1:39">
      <c r="A8" s="141" t="s">
        <v>36</v>
      </c>
      <c r="B8" s="16"/>
      <c r="C8" s="22"/>
      <c r="D8" s="16"/>
      <c r="E8" s="22"/>
      <c r="F8" s="16"/>
      <c r="G8" s="22"/>
      <c r="H8" s="16"/>
      <c r="I8" s="22"/>
      <c r="J8" s="16"/>
      <c r="K8" s="22"/>
      <c r="L8" s="16"/>
      <c r="M8" s="22"/>
      <c r="N8" s="16"/>
      <c r="O8" s="22"/>
      <c r="P8" s="16"/>
      <c r="Q8" s="22"/>
      <c r="R8" s="16"/>
      <c r="S8" s="22"/>
      <c r="T8" s="16"/>
      <c r="U8" s="22"/>
      <c r="V8" s="16"/>
      <c r="W8" s="22"/>
      <c r="X8" s="16"/>
      <c r="Y8" s="22"/>
      <c r="Z8" s="16"/>
      <c r="AA8" s="12"/>
      <c r="AB8" s="12"/>
      <c r="AC8" s="12"/>
      <c r="AD8" s="12"/>
      <c r="AE8" s="12"/>
      <c r="AF8" s="12"/>
    </row>
    <row r="9" spans="1:39" ht="20" customHeight="1">
      <c r="A9" s="142" t="s">
        <v>37</v>
      </c>
      <c r="B9" s="16">
        <v>618563</v>
      </c>
      <c r="C9" s="22">
        <f>B9/B$17</f>
        <v>0.22468647895663102</v>
      </c>
      <c r="D9" s="16">
        <v>622840</v>
      </c>
      <c r="E9" s="22">
        <f>D9/D$17</f>
        <v>0.30671740868996544</v>
      </c>
      <c r="F9" s="16">
        <v>676399</v>
      </c>
      <c r="G9" s="22">
        <f>F9/F$17</f>
        <v>0.33281177655523558</v>
      </c>
      <c r="H9" s="16">
        <v>804317</v>
      </c>
      <c r="I9" s="22">
        <f>H9/H$17</f>
        <v>0.40143331072417676</v>
      </c>
      <c r="J9" s="16">
        <v>771921</v>
      </c>
      <c r="K9" s="22">
        <f>J9/J$17</f>
        <v>0.31925727863218167</v>
      </c>
      <c r="L9" s="16">
        <v>816214</v>
      </c>
      <c r="M9" s="22">
        <f>L9/L$17</f>
        <v>0.3811175864398802</v>
      </c>
      <c r="N9" s="16">
        <v>723940</v>
      </c>
      <c r="O9" s="22">
        <f>N9/N$17</f>
        <v>0.31939285621321328</v>
      </c>
      <c r="P9" s="16">
        <v>716281</v>
      </c>
      <c r="Q9" s="22">
        <f>P9/P$17</f>
        <v>0.23202931751833802</v>
      </c>
      <c r="R9" s="16">
        <v>633625</v>
      </c>
      <c r="S9" s="22">
        <f>R9/R$17</f>
        <v>0.24088303567559019</v>
      </c>
      <c r="T9" s="16">
        <v>592078</v>
      </c>
      <c r="U9" s="22">
        <f>T9/T$17</f>
        <v>0.31310444465127296</v>
      </c>
      <c r="V9" s="16">
        <v>635168</v>
      </c>
      <c r="W9" s="22">
        <f>V9/V$17</f>
        <v>0.2395892075315976</v>
      </c>
      <c r="X9" s="16">
        <v>464521</v>
      </c>
      <c r="Y9" s="22">
        <f>X9/X$17</f>
        <v>0.24529537350010905</v>
      </c>
      <c r="Z9" s="16">
        <f>SUM(B9,D9,F9,H9,J9,L9,N9,P9,R9,T9,V9,X9)</f>
        <v>8075867</v>
      </c>
      <c r="AA9" s="16"/>
      <c r="AB9" s="16"/>
      <c r="AC9" s="16"/>
      <c r="AD9" s="45"/>
      <c r="AE9" s="16">
        <f t="shared" ref="AE9:AE16" si="0">IFERROR(AVERAGE(R9,T9,V9),0)</f>
        <v>620290.33333333337</v>
      </c>
      <c r="AF9" s="45"/>
      <c r="AK9" s="56"/>
      <c r="AL9" s="66"/>
    </row>
    <row r="10" spans="1:39" ht="20" customHeight="1">
      <c r="A10" s="142" t="s">
        <v>38</v>
      </c>
      <c r="B10" s="16">
        <v>482810</v>
      </c>
      <c r="C10" s="22">
        <f>B10/B$17</f>
        <v>0.17537563498794953</v>
      </c>
      <c r="D10" s="16">
        <v>477754</v>
      </c>
      <c r="E10" s="22">
        <f>D10/D$17</f>
        <v>0.23526984277064053</v>
      </c>
      <c r="F10" s="16">
        <v>507829</v>
      </c>
      <c r="G10" s="22">
        <f>F10/F$17</f>
        <v>0.24986948779680149</v>
      </c>
      <c r="H10" s="16">
        <v>70464</v>
      </c>
      <c r="I10" s="22">
        <f>H10/H$17</f>
        <v>3.516846816226487E-2</v>
      </c>
      <c r="J10" s="16">
        <v>70467</v>
      </c>
      <c r="K10" s="22">
        <f>J10/J$17</f>
        <v>2.9144307064290189E-2</v>
      </c>
      <c r="L10" s="16">
        <v>68677</v>
      </c>
      <c r="M10" s="22">
        <f>L10/L$17</f>
        <v>3.206758580952012E-2</v>
      </c>
      <c r="N10" s="16">
        <v>63312</v>
      </c>
      <c r="O10" s="22">
        <f>N10/N$17</f>
        <v>2.7932426047146117E-2</v>
      </c>
      <c r="P10" s="16">
        <v>58680</v>
      </c>
      <c r="Q10" s="22">
        <f>P10/P$17</f>
        <v>1.9008573942316039E-2</v>
      </c>
      <c r="R10" s="16">
        <v>49426</v>
      </c>
      <c r="S10" s="22">
        <f>R10/R$17</f>
        <v>1.8790112324011395E-2</v>
      </c>
      <c r="T10" s="16">
        <v>33323</v>
      </c>
      <c r="U10" s="22">
        <f>T10/T$17</f>
        <v>1.7621967729107263E-2</v>
      </c>
      <c r="V10" s="16">
        <v>34007</v>
      </c>
      <c r="W10" s="22">
        <f>V10/V$17</f>
        <v>1.2827645883493879E-2</v>
      </c>
      <c r="X10" s="16">
        <v>19383</v>
      </c>
      <c r="Y10" s="22">
        <f>X10/X$17</f>
        <v>1.0235404264936599E-2</v>
      </c>
      <c r="Z10" s="16">
        <f t="shared" ref="Z10:Z17" si="1">SUM(B10,D10,F10,H10,J10,L10,N10,P10,R10,T10,V10,X10)</f>
        <v>1936132</v>
      </c>
      <c r="AA10" s="16"/>
      <c r="AB10" s="16"/>
      <c r="AC10" s="16"/>
      <c r="AD10" s="45"/>
      <c r="AE10" s="16">
        <f t="shared" si="0"/>
        <v>38918.666666666664</v>
      </c>
      <c r="AF10" s="45"/>
      <c r="AK10" s="56"/>
      <c r="AL10" s="66"/>
    </row>
    <row r="11" spans="1:39" ht="20" customHeight="1">
      <c r="A11" s="142" t="s">
        <v>39</v>
      </c>
      <c r="B11" s="16"/>
      <c r="C11" s="22">
        <f>B11/B$17</f>
        <v>0</v>
      </c>
      <c r="D11" s="16"/>
      <c r="E11" s="22">
        <f>D11/D$17</f>
        <v>0</v>
      </c>
      <c r="F11" s="16"/>
      <c r="G11" s="22">
        <f>F11/F$17</f>
        <v>0</v>
      </c>
      <c r="H11" s="16">
        <v>251582</v>
      </c>
      <c r="I11" s="22">
        <f>H11/H$17</f>
        <v>0.12556416832991202</v>
      </c>
      <c r="J11" s="16">
        <v>298554</v>
      </c>
      <c r="K11" s="22">
        <f>J11/J$17</f>
        <v>0.12347835797283968</v>
      </c>
      <c r="L11" s="16">
        <v>299810</v>
      </c>
      <c r="M11" s="22">
        <f>L11/L$17</f>
        <v>0.13999130569990284</v>
      </c>
      <c r="N11" s="16">
        <v>289268</v>
      </c>
      <c r="O11" s="22">
        <f>N11/N$17</f>
        <v>0.12762125691505344</v>
      </c>
      <c r="P11" s="16">
        <v>291785</v>
      </c>
      <c r="Q11" s="22">
        <f>P11/P$17</f>
        <v>9.4519712811156884E-2</v>
      </c>
      <c r="R11" s="16">
        <v>270887</v>
      </c>
      <c r="S11" s="22">
        <f>R11/R$17</f>
        <v>0.10298217855206723</v>
      </c>
      <c r="T11" s="16">
        <v>267726</v>
      </c>
      <c r="U11" s="22">
        <f>T11/T$17</f>
        <v>0.14157965766116409</v>
      </c>
      <c r="V11" s="16">
        <v>242938</v>
      </c>
      <c r="W11" s="22">
        <f>V11/V$17</f>
        <v>9.1637681525692821E-2</v>
      </c>
      <c r="X11" s="16">
        <v>213581</v>
      </c>
      <c r="Y11" s="22">
        <f>X11/X$17</f>
        <v>0.11278377332246936</v>
      </c>
      <c r="Z11" s="16">
        <f t="shared" si="1"/>
        <v>2426131</v>
      </c>
      <c r="AA11" s="16"/>
      <c r="AB11" s="16"/>
      <c r="AC11" s="16"/>
      <c r="AD11" s="45"/>
      <c r="AE11" s="16">
        <f t="shared" si="0"/>
        <v>260517</v>
      </c>
      <c r="AF11" s="45"/>
      <c r="AK11" s="70"/>
      <c r="AL11" s="133"/>
    </row>
    <row r="12" spans="1:39" ht="20" customHeight="1">
      <c r="A12" s="142" t="s">
        <v>40</v>
      </c>
      <c r="B12" s="16">
        <v>98569</v>
      </c>
      <c r="C12" s="22">
        <f t="shared" ref="C12:C17" si="2">B12/B$17</f>
        <v>3.5804148557666983E-2</v>
      </c>
      <c r="D12" s="16">
        <v>139411</v>
      </c>
      <c r="E12" s="22">
        <f t="shared" ref="E12:E17" si="3">D12/D$17</f>
        <v>6.8652913529761689E-2</v>
      </c>
      <c r="F12" s="16">
        <v>106978</v>
      </c>
      <c r="G12" s="22">
        <f t="shared" ref="G12:G17" si="4">F12/F$17</f>
        <v>5.263688774277607E-2</v>
      </c>
      <c r="H12" s="16">
        <v>87200</v>
      </c>
      <c r="I12" s="22">
        <f t="shared" ref="I12:I17" si="5">H12/H$17</f>
        <v>4.3521378629505801E-2</v>
      </c>
      <c r="J12" s="16">
        <v>157359</v>
      </c>
      <c r="K12" s="22">
        <f t="shared" ref="K12:K17" si="6">J12/J$17</f>
        <v>6.5081797370820954E-2</v>
      </c>
      <c r="L12" s="16">
        <v>58967</v>
      </c>
      <c r="M12" s="22">
        <f t="shared" ref="M12:M17" si="7">L12/L$17</f>
        <v>2.7533662396871921E-2</v>
      </c>
      <c r="N12" s="16">
        <v>180502</v>
      </c>
      <c r="O12" s="22">
        <f t="shared" ref="O12:O17" si="8">N12/N$17</f>
        <v>7.9635120772712412E-2</v>
      </c>
      <c r="P12" s="16">
        <v>176019</v>
      </c>
      <c r="Q12" s="22">
        <f t="shared" ref="Q12:Q17" si="9">P12/P$17</f>
        <v>5.7018919167561813E-2</v>
      </c>
      <c r="R12" s="16">
        <v>124873</v>
      </c>
      <c r="S12" s="22">
        <f t="shared" ref="S12:S17" si="10">R12/R$17</f>
        <v>4.7472538668641505E-2</v>
      </c>
      <c r="T12" s="16">
        <v>84028</v>
      </c>
      <c r="U12" s="22">
        <f t="shared" ref="U12:U17" si="11">T12/T$17</f>
        <v>4.4435936270486601E-2</v>
      </c>
      <c r="V12" s="16">
        <v>39227</v>
      </c>
      <c r="W12" s="22">
        <f t="shared" ref="W12:Y17" si="12">V12/V$17</f>
        <v>1.479666142476003E-2</v>
      </c>
      <c r="X12" s="16">
        <v>57136</v>
      </c>
      <c r="Y12" s="22">
        <f t="shared" si="12"/>
        <v>3.0171287111459395E-2</v>
      </c>
      <c r="Z12" s="16">
        <f t="shared" si="1"/>
        <v>1310269</v>
      </c>
      <c r="AA12" s="16"/>
      <c r="AB12" s="16"/>
      <c r="AC12" s="16"/>
      <c r="AD12" s="45"/>
      <c r="AE12" s="16">
        <f t="shared" si="0"/>
        <v>82709.333333333328</v>
      </c>
      <c r="AF12" s="45"/>
      <c r="AK12" s="56"/>
      <c r="AL12" s="66"/>
    </row>
    <row r="13" spans="1:39" ht="20" customHeight="1">
      <c r="A13" s="142" t="s">
        <v>41</v>
      </c>
      <c r="B13" s="16">
        <v>63823</v>
      </c>
      <c r="C13" s="22">
        <f t="shared" si="2"/>
        <v>2.3183030906227923E-2</v>
      </c>
      <c r="D13" s="16">
        <v>78469</v>
      </c>
      <c r="E13" s="22">
        <f t="shared" si="3"/>
        <v>3.8642040239054813E-2</v>
      </c>
      <c r="F13" s="16">
        <v>40805</v>
      </c>
      <c r="G13" s="22">
        <f t="shared" si="4"/>
        <v>2.0077475783282332E-2</v>
      </c>
      <c r="H13" s="16">
        <v>30033</v>
      </c>
      <c r="I13" s="22">
        <f t="shared" si="5"/>
        <v>1.4989421609861785E-2</v>
      </c>
      <c r="J13" s="16">
        <v>36525</v>
      </c>
      <c r="K13" s="22">
        <f t="shared" si="6"/>
        <v>1.5106302461055519E-2</v>
      </c>
      <c r="L13" s="16">
        <v>26588</v>
      </c>
      <c r="M13" s="22">
        <f t="shared" si="7"/>
        <v>1.2414825509319291E-2</v>
      </c>
      <c r="N13" s="16">
        <v>162366</v>
      </c>
      <c r="O13" s="22">
        <f t="shared" si="8"/>
        <v>7.1633754858019427E-2</v>
      </c>
      <c r="P13" s="16">
        <v>60247</v>
      </c>
      <c r="Q13" s="22">
        <f t="shared" si="9"/>
        <v>1.9516181906999223E-2</v>
      </c>
      <c r="R13" s="16">
        <v>28290</v>
      </c>
      <c r="S13" s="22">
        <f t="shared" si="10"/>
        <v>1.0754911942020037E-2</v>
      </c>
      <c r="T13" s="16">
        <v>30162</v>
      </c>
      <c r="U13" s="22">
        <f t="shared" si="11"/>
        <v>1.5950358330442435E-2</v>
      </c>
      <c r="V13" s="16">
        <v>18990</v>
      </c>
      <c r="W13" s="22">
        <f t="shared" si="12"/>
        <v>7.1631427449510027E-3</v>
      </c>
      <c r="X13" s="16">
        <v>2427</v>
      </c>
      <c r="Y13" s="22">
        <f t="shared" si="12"/>
        <v>1.2816037842955747E-3</v>
      </c>
      <c r="Z13" s="16">
        <f t="shared" si="1"/>
        <v>578725</v>
      </c>
      <c r="AA13" s="16"/>
      <c r="AB13" s="16"/>
      <c r="AC13" s="16"/>
      <c r="AD13" s="45"/>
      <c r="AE13" s="16">
        <f t="shared" si="0"/>
        <v>25814</v>
      </c>
      <c r="AF13" s="45"/>
      <c r="AG13" s="12"/>
      <c r="AH13" s="12"/>
      <c r="AI13" s="12"/>
      <c r="AJ13" s="12"/>
      <c r="AK13" s="56"/>
      <c r="AL13" s="66"/>
    </row>
    <row r="14" spans="1:39" ht="20" customHeight="1">
      <c r="A14" s="142" t="s">
        <v>42</v>
      </c>
      <c r="B14" s="16">
        <v>1465094</v>
      </c>
      <c r="C14" s="22">
        <f t="shared" si="2"/>
        <v>0.53217992702519612</v>
      </c>
      <c r="D14" s="16">
        <v>681484</v>
      </c>
      <c r="E14" s="22">
        <f t="shared" si="3"/>
        <v>0.33559663243155935</v>
      </c>
      <c r="F14" s="16">
        <v>671999</v>
      </c>
      <c r="G14" s="22">
        <f t="shared" si="4"/>
        <v>0.33064682389143352</v>
      </c>
      <c r="H14" s="16">
        <v>746285</v>
      </c>
      <c r="I14" s="22">
        <f t="shared" si="5"/>
        <v>0.37246963360688917</v>
      </c>
      <c r="J14" s="16">
        <v>1072158</v>
      </c>
      <c r="K14" s="22">
        <f t="shared" si="6"/>
        <v>0.44343170524408931</v>
      </c>
      <c r="L14" s="16">
        <v>854343</v>
      </c>
      <c r="M14" s="22">
        <f t="shared" si="7"/>
        <v>0.39892129043584967</v>
      </c>
      <c r="N14" s="16">
        <v>835308</v>
      </c>
      <c r="O14" s="22">
        <f t="shared" si="8"/>
        <v>0.36852696071186392</v>
      </c>
      <c r="P14" s="16">
        <v>1773163</v>
      </c>
      <c r="Q14" s="22">
        <f t="shared" si="9"/>
        <v>0.57439161549555107</v>
      </c>
      <c r="R14" s="16">
        <v>1500169</v>
      </c>
      <c r="S14" s="22">
        <f t="shared" si="10"/>
        <v>0.57031408600736155</v>
      </c>
      <c r="T14" s="16">
        <v>873395</v>
      </c>
      <c r="U14" s="22">
        <f t="shared" si="11"/>
        <v>0.46187133525683871</v>
      </c>
      <c r="V14" s="16">
        <v>1659476</v>
      </c>
      <c r="W14" s="22">
        <f t="shared" si="12"/>
        <v>0.62596437439812058</v>
      </c>
      <c r="X14" s="16">
        <v>1123606</v>
      </c>
      <c r="Y14" s="22">
        <f t="shared" si="12"/>
        <v>0.5933323863441341</v>
      </c>
      <c r="Z14" s="16">
        <f t="shared" si="1"/>
        <v>13256480</v>
      </c>
      <c r="AA14" s="16"/>
      <c r="AB14" s="16"/>
      <c r="AC14" s="16"/>
      <c r="AD14" s="45"/>
      <c r="AE14" s="16">
        <f t="shared" si="0"/>
        <v>1344346.6666666667</v>
      </c>
      <c r="AF14" s="45"/>
      <c r="AK14" s="56"/>
      <c r="AL14" s="66"/>
    </row>
    <row r="15" spans="1:39" ht="20" customHeight="1">
      <c r="A15" s="142" t="s">
        <v>43</v>
      </c>
      <c r="B15" s="16">
        <v>24146</v>
      </c>
      <c r="C15" s="22">
        <f t="shared" si="2"/>
        <v>8.7707795663284297E-3</v>
      </c>
      <c r="D15" s="16">
        <v>30706</v>
      </c>
      <c r="E15" s="22">
        <f t="shared" si="3"/>
        <v>1.5121162339018173E-2</v>
      </c>
      <c r="F15" s="16">
        <v>28436</v>
      </c>
      <c r="G15" s="22">
        <f t="shared" si="4"/>
        <v>1.3991498624517006E-2</v>
      </c>
      <c r="H15" s="16">
        <v>13732</v>
      </c>
      <c r="I15" s="22">
        <f t="shared" si="5"/>
        <v>6.8536189373896057E-3</v>
      </c>
      <c r="J15" s="16">
        <v>10881</v>
      </c>
      <c r="K15" s="22">
        <f t="shared" si="6"/>
        <v>4.5002512547226581E-3</v>
      </c>
      <c r="L15" s="16">
        <v>17034</v>
      </c>
      <c r="M15" s="22">
        <f t="shared" si="7"/>
        <v>7.9537437086559647E-3</v>
      </c>
      <c r="N15" s="16">
        <v>11917</v>
      </c>
      <c r="O15" s="22">
        <f t="shared" si="8"/>
        <v>5.2576244819914119E-3</v>
      </c>
      <c r="P15" s="16">
        <v>10853</v>
      </c>
      <c r="Q15" s="22">
        <f t="shared" si="9"/>
        <v>3.5156791580769594E-3</v>
      </c>
      <c r="R15" s="16">
        <v>23156</v>
      </c>
      <c r="S15" s="22">
        <f t="shared" si="10"/>
        <v>8.8031368303080944E-3</v>
      </c>
      <c r="T15" s="16">
        <v>10280</v>
      </c>
      <c r="U15" s="22">
        <f t="shared" si="11"/>
        <v>5.4363001006878927E-3</v>
      </c>
      <c r="V15" s="16">
        <v>21265</v>
      </c>
      <c r="W15" s="22">
        <f t="shared" si="12"/>
        <v>8.0212864913840488E-3</v>
      </c>
      <c r="X15" s="16">
        <v>13067</v>
      </c>
      <c r="Y15" s="22">
        <f t="shared" si="12"/>
        <v>6.9001716725959105E-3</v>
      </c>
      <c r="Z15" s="16">
        <f t="shared" si="1"/>
        <v>215473</v>
      </c>
      <c r="AA15" s="16"/>
      <c r="AB15" s="16"/>
      <c r="AC15" s="16"/>
      <c r="AD15" s="45"/>
      <c r="AE15" s="16">
        <f t="shared" si="0"/>
        <v>18233.666666666668</v>
      </c>
      <c r="AF15" s="45"/>
      <c r="AK15" s="56"/>
      <c r="AL15" s="66"/>
    </row>
    <row r="16" spans="1:39" ht="20" customHeight="1">
      <c r="A16" s="142" t="s">
        <v>44</v>
      </c>
      <c r="B16" s="16">
        <v>0</v>
      </c>
      <c r="C16" s="22">
        <f t="shared" si="2"/>
        <v>0</v>
      </c>
      <c r="D16" s="16">
        <v>0</v>
      </c>
      <c r="E16" s="22">
        <f t="shared" si="3"/>
        <v>0</v>
      </c>
      <c r="F16" s="16">
        <v>69</v>
      </c>
      <c r="G16" s="22">
        <f t="shared" si="4"/>
        <v>3.3950394045986547E-5</v>
      </c>
      <c r="H16" s="16">
        <v>0</v>
      </c>
      <c r="I16" s="22">
        <f t="shared" si="5"/>
        <v>0</v>
      </c>
      <c r="J16" s="16">
        <v>0</v>
      </c>
      <c r="K16" s="22">
        <f t="shared" si="6"/>
        <v>0</v>
      </c>
      <c r="L16" s="16">
        <v>0</v>
      </c>
      <c r="M16" s="22">
        <f t="shared" si="7"/>
        <v>0</v>
      </c>
      <c r="N16" s="16">
        <v>0</v>
      </c>
      <c r="O16" s="22">
        <f t="shared" si="8"/>
        <v>0</v>
      </c>
      <c r="P16" s="16">
        <v>0</v>
      </c>
      <c r="Q16" s="22">
        <f t="shared" si="9"/>
        <v>0</v>
      </c>
      <c r="R16" s="16">
        <v>0</v>
      </c>
      <c r="S16" s="22">
        <f t="shared" si="10"/>
        <v>0</v>
      </c>
      <c r="T16" s="16">
        <v>0</v>
      </c>
      <c r="U16" s="22">
        <f t="shared" si="11"/>
        <v>0</v>
      </c>
      <c r="V16" s="16">
        <v>0</v>
      </c>
      <c r="W16" s="22">
        <f t="shared" si="12"/>
        <v>0</v>
      </c>
      <c r="X16" s="16"/>
      <c r="Y16" s="22">
        <f t="shared" si="12"/>
        <v>0</v>
      </c>
      <c r="Z16" s="16">
        <f t="shared" si="1"/>
        <v>69</v>
      </c>
      <c r="AA16" s="16"/>
      <c r="AB16" s="16"/>
      <c r="AC16" s="16"/>
      <c r="AD16" s="45"/>
      <c r="AE16" s="16">
        <f t="shared" si="0"/>
        <v>0</v>
      </c>
      <c r="AF16" s="45"/>
      <c r="AK16" s="56"/>
      <c r="AL16" s="66"/>
    </row>
    <row r="17" spans="1:39" s="24" customFormat="1" ht="19.5" customHeight="1">
      <c r="A17" s="143" t="s">
        <v>45</v>
      </c>
      <c r="B17" s="7">
        <v>2753005</v>
      </c>
      <c r="C17" s="58">
        <f t="shared" si="2"/>
        <v>1</v>
      </c>
      <c r="D17" s="7">
        <v>2030664</v>
      </c>
      <c r="E17" s="58">
        <f t="shared" si="3"/>
        <v>1</v>
      </c>
      <c r="F17" s="7">
        <v>2032377</v>
      </c>
      <c r="G17" s="58">
        <f t="shared" si="4"/>
        <v>1</v>
      </c>
      <c r="H17" s="7">
        <v>2003613</v>
      </c>
      <c r="I17" s="58">
        <f t="shared" si="5"/>
        <v>1</v>
      </c>
      <c r="J17" s="7">
        <f>SUM(J9:J16)</f>
        <v>2417865</v>
      </c>
      <c r="K17" s="58">
        <f t="shared" si="6"/>
        <v>1</v>
      </c>
      <c r="L17" s="7">
        <f>SUM(L9:L16)</f>
        <v>2141633</v>
      </c>
      <c r="M17" s="58">
        <f t="shared" si="7"/>
        <v>1</v>
      </c>
      <c r="N17" s="7">
        <f>SUM(N9:N16)</f>
        <v>2266613</v>
      </c>
      <c r="O17" s="58">
        <f t="shared" si="8"/>
        <v>1</v>
      </c>
      <c r="P17" s="7">
        <f>SUM(P9:P16)</f>
        <v>3087028</v>
      </c>
      <c r="Q17" s="58">
        <f t="shared" si="9"/>
        <v>1</v>
      </c>
      <c r="R17" s="7">
        <f>SUM(R9:R16)</f>
        <v>2630426</v>
      </c>
      <c r="S17" s="58">
        <f t="shared" si="10"/>
        <v>1</v>
      </c>
      <c r="T17" s="7">
        <f>SUM(T9:T16)</f>
        <v>1890992</v>
      </c>
      <c r="U17" s="58">
        <f t="shared" si="11"/>
        <v>1</v>
      </c>
      <c r="V17" s="7">
        <f>SUM(V9:V16)</f>
        <v>2651071</v>
      </c>
      <c r="W17" s="58">
        <f t="shared" si="12"/>
        <v>1</v>
      </c>
      <c r="X17" s="7">
        <f>SUM(X9:X16)</f>
        <v>1893721</v>
      </c>
      <c r="Y17" s="58">
        <f t="shared" si="12"/>
        <v>1</v>
      </c>
      <c r="Z17" s="7">
        <f t="shared" si="1"/>
        <v>27799008</v>
      </c>
      <c r="AA17" s="7"/>
      <c r="AB17" s="7"/>
      <c r="AC17" s="7"/>
      <c r="AD17" s="35"/>
      <c r="AE17" s="7">
        <f>IFERROR(AVERAGE(R17:V17),0)</f>
        <v>1434498.2</v>
      </c>
      <c r="AF17" s="40"/>
      <c r="AK17" s="56"/>
      <c r="AL17" s="66"/>
      <c r="AM17" s="135"/>
    </row>
    <row r="18" spans="1:39" s="53" customFormat="1" ht="20" customHeight="1">
      <c r="A18" s="144"/>
      <c r="B18" s="51"/>
      <c r="C18" s="59"/>
      <c r="D18" s="51"/>
      <c r="E18" s="59"/>
      <c r="F18" s="51"/>
      <c r="G18" s="59"/>
      <c r="H18" s="51"/>
      <c r="I18" s="59"/>
      <c r="J18" s="51"/>
      <c r="K18" s="59"/>
      <c r="L18" s="51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1"/>
      <c r="AD18" s="51"/>
      <c r="AE18" s="51"/>
      <c r="AF18" s="52"/>
      <c r="AK18" s="56"/>
      <c r="AL18" s="66"/>
      <c r="AM18" s="136"/>
    </row>
    <row r="19" spans="1:39" s="53" customFormat="1" ht="20" customHeight="1">
      <c r="A19" s="144"/>
      <c r="B19" s="51"/>
      <c r="C19" s="59"/>
      <c r="D19" s="51"/>
      <c r="E19" s="59"/>
      <c r="F19" s="51"/>
      <c r="G19" s="59"/>
      <c r="H19" s="51"/>
      <c r="I19" s="59"/>
      <c r="J19" s="51"/>
      <c r="K19" s="59"/>
      <c r="L19" s="51"/>
      <c r="M19" s="59"/>
      <c r="N19" s="51"/>
      <c r="O19" s="59"/>
      <c r="P19" s="51"/>
      <c r="Q19" s="59"/>
      <c r="R19" s="51"/>
      <c r="S19" s="59"/>
      <c r="T19" s="51"/>
      <c r="U19" s="59"/>
      <c r="V19" s="51"/>
      <c r="W19" s="59"/>
      <c r="X19" s="51"/>
      <c r="Y19" s="59"/>
      <c r="Z19" s="51"/>
      <c r="AA19" s="51"/>
      <c r="AB19" s="51"/>
      <c r="AC19" s="51"/>
      <c r="AD19" s="51"/>
      <c r="AE19" s="51"/>
      <c r="AF19" s="52"/>
      <c r="AK19" s="56"/>
      <c r="AL19" s="66"/>
      <c r="AM19" s="136"/>
    </row>
    <row r="20" spans="1:39" ht="20" customHeight="1">
      <c r="A20" s="141" t="s">
        <v>46</v>
      </c>
      <c r="B20" s="16"/>
      <c r="C20" s="22"/>
      <c r="D20" s="16"/>
      <c r="E20" s="22"/>
      <c r="F20" s="16"/>
      <c r="G20" s="22"/>
      <c r="H20" s="16"/>
      <c r="I20" s="22"/>
      <c r="J20" s="16"/>
      <c r="K20" s="22"/>
      <c r="L20" s="16"/>
      <c r="M20" s="22"/>
      <c r="N20" s="16"/>
      <c r="O20" s="22"/>
      <c r="P20" s="16"/>
      <c r="Q20" s="22"/>
      <c r="R20" s="16"/>
      <c r="S20" s="22"/>
      <c r="T20" s="16"/>
      <c r="U20" s="22"/>
      <c r="V20" s="16"/>
      <c r="W20" s="22"/>
      <c r="X20" s="16"/>
      <c r="Y20" s="22"/>
      <c r="Z20" s="16"/>
      <c r="AA20" s="16"/>
      <c r="AB20" s="16"/>
      <c r="AC20" s="16"/>
      <c r="AD20" s="16"/>
      <c r="AE20" s="16"/>
      <c r="AF20" s="12"/>
      <c r="AK20" s="56"/>
      <c r="AL20" s="66"/>
    </row>
    <row r="21" spans="1:39" ht="20" customHeight="1">
      <c r="A21" s="142" t="s">
        <v>47</v>
      </c>
      <c r="B21" s="16">
        <v>61481</v>
      </c>
      <c r="C21" s="22">
        <f t="shared" ref="C21:C27" si="13">B21/B$17</f>
        <v>2.2332324133083666E-2</v>
      </c>
      <c r="D21" s="16">
        <v>87723</v>
      </c>
      <c r="E21" s="22">
        <f t="shared" ref="E21:E27" si="14">D21/D$17</f>
        <v>4.3199170320643888E-2</v>
      </c>
      <c r="F21" s="16">
        <v>99230</v>
      </c>
      <c r="G21" s="22">
        <f t="shared" ref="G21:G27" si="15">F21/F$17</f>
        <v>4.8824602915699206E-2</v>
      </c>
      <c r="H21" s="16">
        <v>27668</v>
      </c>
      <c r="I21" s="22">
        <f t="shared" ref="I21:I27" si="16">H21/H$17</f>
        <v>1.3809053944050074E-2</v>
      </c>
      <c r="J21" s="16">
        <v>29657</v>
      </c>
      <c r="K21" s="22">
        <f t="shared" ref="K21:K27" si="17">J21/J$17</f>
        <v>1.2265779933949993E-2</v>
      </c>
      <c r="L21" s="16">
        <v>20710</v>
      </c>
      <c r="M21" s="22">
        <f t="shared" ref="M21:M27" si="18">L21/L$17</f>
        <v>9.6701909244020796E-3</v>
      </c>
      <c r="N21" s="16">
        <v>25579</v>
      </c>
      <c r="O21" s="22">
        <f t="shared" ref="O21:O27" si="19">N21/N$17</f>
        <v>1.1285120132991384E-2</v>
      </c>
      <c r="P21" s="16">
        <v>40069</v>
      </c>
      <c r="Q21" s="22">
        <f t="shared" ref="Q21:Q27" si="20">P21/P$17</f>
        <v>1.2979798045239629E-2</v>
      </c>
      <c r="R21" s="16">
        <v>9079</v>
      </c>
      <c r="S21" s="22">
        <f t="shared" ref="S21:S27" si="21">R21/R$17</f>
        <v>3.4515321852810151E-3</v>
      </c>
      <c r="T21" s="16">
        <v>18714</v>
      </c>
      <c r="U21" s="22">
        <f t="shared" ref="U21:U27" si="22">T21/T$17</f>
        <v>9.8963930043067336E-3</v>
      </c>
      <c r="V21" s="16">
        <v>19429</v>
      </c>
      <c r="W21" s="22">
        <f t="shared" ref="W21:W27" si="23">V21/V$17</f>
        <v>7.3287361975594018E-3</v>
      </c>
      <c r="X21" s="16">
        <v>19840</v>
      </c>
      <c r="Y21" s="22">
        <f t="shared" ref="Y21:Y27" si="24">X21/X$17</f>
        <v>1.0476728092469799E-2</v>
      </c>
      <c r="Z21" s="16">
        <f t="shared" ref="Z21:Z29" si="25">SUM(F21,H21,J21,L21,N21,P21,R21,T21,V21,X21)</f>
        <v>309975</v>
      </c>
      <c r="AA21" s="16"/>
      <c r="AB21" s="16"/>
      <c r="AC21" s="16"/>
      <c r="AD21" s="33"/>
      <c r="AE21" s="16">
        <f>IFERROR(AVERAGE(R21:V21),0)</f>
        <v>9444.4026695850371</v>
      </c>
      <c r="AF21" s="33"/>
      <c r="AK21" s="56"/>
      <c r="AL21" s="66"/>
    </row>
    <row r="22" spans="1:39" ht="20" customHeight="1">
      <c r="A22" s="142" t="s">
        <v>48</v>
      </c>
      <c r="B22" s="16">
        <v>147592</v>
      </c>
      <c r="C22" s="22">
        <f t="shared" si="13"/>
        <v>5.361123572241968E-2</v>
      </c>
      <c r="D22" s="16">
        <v>152612</v>
      </c>
      <c r="E22" s="22">
        <f t="shared" si="14"/>
        <v>7.5153742815157992E-2</v>
      </c>
      <c r="F22" s="16">
        <v>153032</v>
      </c>
      <c r="G22" s="22">
        <f t="shared" si="15"/>
        <v>7.529705364703497E-2</v>
      </c>
      <c r="H22" s="16">
        <v>39868</v>
      </c>
      <c r="I22" s="22">
        <f t="shared" si="16"/>
        <v>1.9898054165150655E-2</v>
      </c>
      <c r="J22" s="16">
        <v>40621</v>
      </c>
      <c r="K22" s="22">
        <f t="shared" si="17"/>
        <v>1.6800358994402086E-2</v>
      </c>
      <c r="L22" s="16">
        <v>52167</v>
      </c>
      <c r="M22" s="22">
        <f t="shared" si="18"/>
        <v>2.4358515207787701E-2</v>
      </c>
      <c r="N22" s="16">
        <v>42698</v>
      </c>
      <c r="O22" s="22">
        <f t="shared" si="19"/>
        <v>1.8837798953769348E-2</v>
      </c>
      <c r="P22" s="16">
        <v>26890</v>
      </c>
      <c r="Q22" s="22">
        <f t="shared" si="20"/>
        <v>8.7106433760885879E-3</v>
      </c>
      <c r="R22" s="16">
        <v>42899</v>
      </c>
      <c r="S22" s="22">
        <f t="shared" si="21"/>
        <v>1.6308765196207761E-2</v>
      </c>
      <c r="T22" s="16">
        <v>12623</v>
      </c>
      <c r="U22" s="22">
        <f t="shared" si="22"/>
        <v>6.6753323123524581E-3</v>
      </c>
      <c r="V22" s="16">
        <v>17899</v>
      </c>
      <c r="W22" s="22">
        <f t="shared" si="23"/>
        <v>6.751610952705529E-3</v>
      </c>
      <c r="X22" s="16">
        <v>13321</v>
      </c>
      <c r="Y22" s="22">
        <f t="shared" si="24"/>
        <v>7.0342991391023285E-3</v>
      </c>
      <c r="Z22" s="16">
        <f t="shared" si="25"/>
        <v>442018</v>
      </c>
      <c r="AA22" s="16"/>
      <c r="AB22" s="16"/>
      <c r="AC22" s="16"/>
      <c r="AD22" s="33"/>
      <c r="AE22" s="16">
        <f>IFERROR(AVERAGE(R22:V22),0)</f>
        <v>14684.204596819502</v>
      </c>
      <c r="AF22" s="33"/>
      <c r="AK22" s="56"/>
      <c r="AL22" s="66"/>
    </row>
    <row r="23" spans="1:39" ht="20" customHeight="1">
      <c r="A23" s="142" t="s">
        <v>49</v>
      </c>
      <c r="B23" s="16"/>
      <c r="C23" s="22">
        <f t="shared" si="13"/>
        <v>0</v>
      </c>
      <c r="D23" s="16"/>
      <c r="E23" s="22">
        <f t="shared" si="14"/>
        <v>0</v>
      </c>
      <c r="F23" s="16"/>
      <c r="G23" s="22">
        <f t="shared" si="15"/>
        <v>0</v>
      </c>
      <c r="H23" s="16">
        <v>190790</v>
      </c>
      <c r="I23" s="22">
        <f t="shared" si="16"/>
        <v>9.5222979687195078E-2</v>
      </c>
      <c r="J23" s="16">
        <v>179145</v>
      </c>
      <c r="K23" s="22">
        <f t="shared" si="17"/>
        <v>7.4092225992766339E-2</v>
      </c>
      <c r="L23" s="16">
        <v>212008</v>
      </c>
      <c r="M23" s="22">
        <f t="shared" si="18"/>
        <v>9.8993618421083354E-2</v>
      </c>
      <c r="N23" s="16">
        <v>146217</v>
      </c>
      <c r="O23" s="22">
        <f t="shared" si="19"/>
        <v>6.450902734608864E-2</v>
      </c>
      <c r="P23" s="16">
        <v>204709</v>
      </c>
      <c r="Q23" s="22">
        <f t="shared" si="20"/>
        <v>6.6312647633905486E-2</v>
      </c>
      <c r="R23" s="16">
        <v>179856</v>
      </c>
      <c r="S23" s="22">
        <f t="shared" si="21"/>
        <v>6.837523655864107E-2</v>
      </c>
      <c r="T23" s="16">
        <v>181262</v>
      </c>
      <c r="U23" s="22">
        <f t="shared" si="22"/>
        <v>9.5855508643082579E-2</v>
      </c>
      <c r="V23" s="16">
        <v>167095</v>
      </c>
      <c r="W23" s="22">
        <f t="shared" si="23"/>
        <v>6.3029243652848232E-2</v>
      </c>
      <c r="X23" s="16">
        <v>148195</v>
      </c>
      <c r="Y23" s="22">
        <f t="shared" si="24"/>
        <v>7.8255983854010169E-2</v>
      </c>
      <c r="Z23" s="16">
        <f t="shared" si="25"/>
        <v>1609277</v>
      </c>
      <c r="AA23" s="16"/>
      <c r="AB23" s="16"/>
      <c r="AC23" s="16"/>
      <c r="AD23" s="33"/>
      <c r="AE23" s="16"/>
      <c r="AF23" s="33"/>
      <c r="AK23" s="56"/>
      <c r="AL23" s="66"/>
    </row>
    <row r="24" spans="1:39" ht="20" customHeight="1">
      <c r="A24" s="142" t="s">
        <v>50</v>
      </c>
      <c r="B24" s="16">
        <v>0</v>
      </c>
      <c r="C24" s="22">
        <f t="shared" si="13"/>
        <v>0</v>
      </c>
      <c r="D24" s="16">
        <v>942</v>
      </c>
      <c r="E24" s="22">
        <f t="shared" si="14"/>
        <v>4.6388767417948021E-4</v>
      </c>
      <c r="F24" s="16">
        <v>1071</v>
      </c>
      <c r="G24" s="22">
        <f t="shared" si="15"/>
        <v>5.2696915975726944E-4</v>
      </c>
      <c r="H24" s="16">
        <v>0</v>
      </c>
      <c r="I24" s="22">
        <f t="shared" si="16"/>
        <v>0</v>
      </c>
      <c r="J24" s="16">
        <v>0</v>
      </c>
      <c r="K24" s="22">
        <f t="shared" si="17"/>
        <v>0</v>
      </c>
      <c r="L24" s="16">
        <v>0</v>
      </c>
      <c r="M24" s="22">
        <f t="shared" si="18"/>
        <v>0</v>
      </c>
      <c r="N24" s="16">
        <v>0</v>
      </c>
      <c r="O24" s="22">
        <f t="shared" si="19"/>
        <v>0</v>
      </c>
      <c r="P24" s="16">
        <v>525</v>
      </c>
      <c r="Q24" s="22">
        <f t="shared" si="20"/>
        <v>1.7006648465773554E-4</v>
      </c>
      <c r="R24" s="16">
        <v>5449</v>
      </c>
      <c r="S24" s="22">
        <f t="shared" si="21"/>
        <v>2.0715275776623256E-3</v>
      </c>
      <c r="T24" s="16">
        <v>2916</v>
      </c>
      <c r="U24" s="22">
        <f t="shared" si="22"/>
        <v>1.5420477717515463E-3</v>
      </c>
      <c r="V24" s="16">
        <v>0</v>
      </c>
      <c r="W24" s="22">
        <f t="shared" si="23"/>
        <v>0</v>
      </c>
      <c r="X24" s="16">
        <v>0</v>
      </c>
      <c r="Y24" s="22">
        <f t="shared" si="24"/>
        <v>0</v>
      </c>
      <c r="Z24" s="16">
        <f t="shared" si="25"/>
        <v>9961</v>
      </c>
      <c r="AA24" s="16"/>
      <c r="AB24" s="16"/>
      <c r="AC24" s="16"/>
      <c r="AD24" s="33"/>
      <c r="AE24" s="16">
        <f>IFERROR(AVERAGE(R24:V24),0)</f>
        <v>1673.0007227150702</v>
      </c>
      <c r="AF24" s="33"/>
      <c r="AK24" s="56"/>
      <c r="AL24" s="66"/>
    </row>
    <row r="25" spans="1:39" ht="20" customHeight="1">
      <c r="A25" s="142" t="s">
        <v>51</v>
      </c>
      <c r="B25" s="16">
        <v>53982</v>
      </c>
      <c r="C25" s="22">
        <f t="shared" si="13"/>
        <v>1.9608391557588888E-2</v>
      </c>
      <c r="D25" s="16">
        <v>66267</v>
      </c>
      <c r="E25" s="22">
        <f t="shared" si="14"/>
        <v>3.2633168264173687E-2</v>
      </c>
      <c r="F25" s="16">
        <v>33571</v>
      </c>
      <c r="G25" s="22">
        <f t="shared" si="15"/>
        <v>1.6518096790113252E-2</v>
      </c>
      <c r="H25" s="16">
        <v>25077</v>
      </c>
      <c r="I25" s="22">
        <f t="shared" si="16"/>
        <v>1.2515890044634367E-2</v>
      </c>
      <c r="J25" s="16">
        <v>30438</v>
      </c>
      <c r="K25" s="22">
        <f t="shared" si="17"/>
        <v>1.2588792178223351E-2</v>
      </c>
      <c r="L25" s="16">
        <v>22057</v>
      </c>
      <c r="M25" s="22">
        <f t="shared" si="18"/>
        <v>1.029915022788685E-2</v>
      </c>
      <c r="N25" s="16">
        <v>138134</v>
      </c>
      <c r="O25" s="22">
        <f t="shared" si="19"/>
        <v>6.0942913501334371E-2</v>
      </c>
      <c r="P25" s="16">
        <v>50205</v>
      </c>
      <c r="Q25" s="22">
        <f t="shared" si="20"/>
        <v>1.6263214975698308E-2</v>
      </c>
      <c r="R25" s="16">
        <v>30005</v>
      </c>
      <c r="S25" s="22">
        <f t="shared" si="21"/>
        <v>1.1406897589972119E-2</v>
      </c>
      <c r="T25" s="16">
        <v>24662</v>
      </c>
      <c r="U25" s="22">
        <f t="shared" si="22"/>
        <v>1.3041832011981013E-2</v>
      </c>
      <c r="V25" s="16">
        <v>15781</v>
      </c>
      <c r="W25" s="22">
        <f t="shared" si="23"/>
        <v>5.9526885549274237E-3</v>
      </c>
      <c r="X25" s="16">
        <v>1290</v>
      </c>
      <c r="Y25" s="22">
        <f t="shared" si="24"/>
        <v>6.8119855036724E-4</v>
      </c>
      <c r="Z25" s="16">
        <f t="shared" si="25"/>
        <v>371220</v>
      </c>
      <c r="AA25" s="16"/>
      <c r="AB25" s="16"/>
      <c r="AC25" s="16"/>
      <c r="AD25" s="34"/>
      <c r="AE25" s="16">
        <f>IFERROR(AVERAGE(R25:V25),0)</f>
        <v>14089.60488974592</v>
      </c>
      <c r="AF25" s="33"/>
      <c r="AK25" s="56"/>
      <c r="AL25" s="66"/>
    </row>
    <row r="26" spans="1:39" ht="20" customHeight="1">
      <c r="A26" s="142" t="s">
        <v>52</v>
      </c>
      <c r="B26" s="16">
        <v>1229969</v>
      </c>
      <c r="C26" s="22">
        <f t="shared" si="13"/>
        <v>0.4467732532269284</v>
      </c>
      <c r="D26" s="16">
        <v>544122</v>
      </c>
      <c r="E26" s="22">
        <f t="shared" si="14"/>
        <v>0.26795274846060207</v>
      </c>
      <c r="F26" s="16">
        <v>544407</v>
      </c>
      <c r="G26" s="22">
        <f t="shared" si="15"/>
        <v>0.26786713291874492</v>
      </c>
      <c r="H26" s="16">
        <v>631866</v>
      </c>
      <c r="I26" s="22">
        <f t="shared" si="16"/>
        <v>0.31536329620540493</v>
      </c>
      <c r="J26" s="16">
        <v>905546</v>
      </c>
      <c r="K26" s="22">
        <f t="shared" si="17"/>
        <v>0.3745229779164676</v>
      </c>
      <c r="L26" s="16">
        <v>727333</v>
      </c>
      <c r="M26" s="22">
        <f t="shared" si="18"/>
        <v>0.33961607801149868</v>
      </c>
      <c r="N26" s="16">
        <v>731290</v>
      </c>
      <c r="O26" s="22">
        <f t="shared" si="19"/>
        <v>0.32263558004829235</v>
      </c>
      <c r="P26" s="16">
        <v>1462308</v>
      </c>
      <c r="Q26" s="22">
        <f t="shared" si="20"/>
        <v>0.47369444008930273</v>
      </c>
      <c r="R26" s="16">
        <v>1269641</v>
      </c>
      <c r="S26" s="22">
        <f t="shared" si="21"/>
        <v>0.48267504959272756</v>
      </c>
      <c r="T26" s="16">
        <v>702933</v>
      </c>
      <c r="U26" s="22">
        <f t="shared" si="22"/>
        <v>0.37172711465728042</v>
      </c>
      <c r="V26" s="16">
        <v>1400739</v>
      </c>
      <c r="W26" s="22">
        <f t="shared" si="23"/>
        <v>0.52836721460873737</v>
      </c>
      <c r="X26" s="16">
        <v>943687</v>
      </c>
      <c r="Y26" s="22">
        <f t="shared" si="24"/>
        <v>0.49832419876000739</v>
      </c>
      <c r="Z26" s="16">
        <f t="shared" si="25"/>
        <v>9319750</v>
      </c>
      <c r="AA26" s="16"/>
      <c r="AB26" s="16"/>
      <c r="AC26" s="16"/>
      <c r="AD26" s="33"/>
      <c r="AE26" s="16">
        <f>IFERROR(AVERAGE(R26:V26),0)</f>
        <v>674662.7708804328</v>
      </c>
      <c r="AF26" s="33"/>
      <c r="AK26" s="56"/>
      <c r="AL26" s="66"/>
    </row>
    <row r="27" spans="1:39" s="24" customFormat="1" ht="20" customHeight="1">
      <c r="A27" s="145" t="s">
        <v>53</v>
      </c>
      <c r="B27" s="9">
        <v>1493024</v>
      </c>
      <c r="C27" s="60">
        <f t="shared" si="13"/>
        <v>0.54232520464002065</v>
      </c>
      <c r="D27" s="9">
        <v>851666</v>
      </c>
      <c r="E27" s="60">
        <f t="shared" si="14"/>
        <v>0.41940271753475711</v>
      </c>
      <c r="F27" s="9">
        <v>831311</v>
      </c>
      <c r="G27" s="60">
        <f t="shared" si="15"/>
        <v>0.40903385543134962</v>
      </c>
      <c r="H27" s="9">
        <v>915269</v>
      </c>
      <c r="I27" s="60">
        <f t="shared" si="16"/>
        <v>0.45680927404643512</v>
      </c>
      <c r="J27" s="9">
        <f>SUM(J21:J26)</f>
        <v>1185407</v>
      </c>
      <c r="K27" s="60">
        <f t="shared" si="17"/>
        <v>0.49027013501580941</v>
      </c>
      <c r="L27" s="9">
        <f>SUM(L21:L26)</f>
        <v>1034275</v>
      </c>
      <c r="M27" s="60">
        <f t="shared" si="18"/>
        <v>0.48293755279265871</v>
      </c>
      <c r="N27" s="9">
        <f>SUM(N21:N26)</f>
        <v>1083918</v>
      </c>
      <c r="O27" s="60">
        <f t="shared" si="19"/>
        <v>0.47821043998247603</v>
      </c>
      <c r="P27" s="9">
        <f>SUM(P21:P26)</f>
        <v>1784706</v>
      </c>
      <c r="Q27" s="60">
        <f t="shared" si="20"/>
        <v>0.57813081060489246</v>
      </c>
      <c r="R27" s="9">
        <f>SUM(R21:R26)</f>
        <v>1536929</v>
      </c>
      <c r="S27" s="60">
        <f t="shared" si="21"/>
        <v>0.58428900870049183</v>
      </c>
      <c r="T27" s="9">
        <f>SUM(T21:T26)</f>
        <v>943110</v>
      </c>
      <c r="U27" s="60">
        <f t="shared" si="22"/>
        <v>0.49873822840075471</v>
      </c>
      <c r="V27" s="9">
        <f>SUM(V21:V26)</f>
        <v>1620943</v>
      </c>
      <c r="W27" s="60">
        <f t="shared" si="23"/>
        <v>0.61142949396677793</v>
      </c>
      <c r="X27" s="9">
        <f>SUM(X21:X26)</f>
        <v>1126333</v>
      </c>
      <c r="Y27" s="60">
        <f t="shared" si="24"/>
        <v>0.59477240839595691</v>
      </c>
      <c r="Z27" s="9">
        <f t="shared" si="25"/>
        <v>12062201</v>
      </c>
      <c r="AA27" s="9"/>
      <c r="AB27" s="9"/>
      <c r="AC27" s="9"/>
      <c r="AD27" s="36"/>
      <c r="AE27" s="9">
        <f>IFERROR(AVERAGE(R27:V27),0)</f>
        <v>820196.61660544737</v>
      </c>
      <c r="AF27" s="40"/>
      <c r="AK27" s="56"/>
      <c r="AL27" s="66"/>
      <c r="AM27" s="135"/>
    </row>
    <row r="28" spans="1:39" ht="20" customHeight="1">
      <c r="A28" s="144"/>
      <c r="B28" s="51"/>
      <c r="C28" s="59"/>
      <c r="D28" s="51"/>
      <c r="E28" s="59"/>
      <c r="F28" s="51"/>
      <c r="G28" s="59"/>
      <c r="H28" s="51"/>
      <c r="I28" s="59"/>
      <c r="J28" s="51"/>
      <c r="K28" s="59"/>
      <c r="L28" s="51"/>
      <c r="M28" s="59"/>
      <c r="N28" s="51"/>
      <c r="O28" s="59"/>
      <c r="P28" s="51"/>
      <c r="Q28" s="59"/>
      <c r="R28" s="51"/>
      <c r="S28" s="59"/>
      <c r="T28" s="51"/>
      <c r="U28" s="59"/>
      <c r="V28" s="51"/>
      <c r="W28" s="59"/>
      <c r="X28" s="51"/>
      <c r="Y28" s="59"/>
      <c r="Z28" s="51">
        <f t="shared" si="25"/>
        <v>0</v>
      </c>
      <c r="AA28" s="51"/>
      <c r="AB28" s="51"/>
      <c r="AC28" s="59"/>
      <c r="AD28" s="51"/>
      <c r="AE28" s="51"/>
      <c r="AF28" s="54"/>
      <c r="AK28" s="56"/>
      <c r="AL28" s="66"/>
    </row>
    <row r="29" spans="1:39" s="24" customFormat="1" ht="20" customHeight="1" thickTop="1" thickBot="1">
      <c r="A29" s="146" t="s">
        <v>54</v>
      </c>
      <c r="B29" s="11">
        <v>1259981</v>
      </c>
      <c r="C29" s="61">
        <f>B29/B$17</f>
        <v>0.45767479535997935</v>
      </c>
      <c r="D29" s="11">
        <v>1178998</v>
      </c>
      <c r="E29" s="61">
        <f>D29/D$17</f>
        <v>0.58059728246524289</v>
      </c>
      <c r="F29" s="11">
        <v>1201066</v>
      </c>
      <c r="G29" s="61">
        <f>F29/F$17</f>
        <v>0.59096614456865038</v>
      </c>
      <c r="H29" s="11">
        <v>1088344</v>
      </c>
      <c r="I29" s="61">
        <f>H29/H$17</f>
        <v>0.54319072595356488</v>
      </c>
      <c r="J29" s="11">
        <f>+J17-J27</f>
        <v>1232458</v>
      </c>
      <c r="K29" s="61">
        <f>J29/J$17</f>
        <v>0.50972986498419059</v>
      </c>
      <c r="L29" s="11">
        <f>+L17-L27</f>
        <v>1107358</v>
      </c>
      <c r="M29" s="61">
        <f>L29/L$17</f>
        <v>0.51706244720734129</v>
      </c>
      <c r="N29" s="11">
        <f>+N17-N27</f>
        <v>1182695</v>
      </c>
      <c r="O29" s="61">
        <f>N29/N$17</f>
        <v>0.52178956001752397</v>
      </c>
      <c r="P29" s="11">
        <f>+P17-P27</f>
        <v>1302322</v>
      </c>
      <c r="Q29" s="61">
        <f>P29/P$17</f>
        <v>0.42186918939510754</v>
      </c>
      <c r="R29" s="11">
        <f>+R17-R27</f>
        <v>1093497</v>
      </c>
      <c r="S29" s="61">
        <f>R29/R$17</f>
        <v>0.41571099129950811</v>
      </c>
      <c r="T29" s="11">
        <f>+T17-T27</f>
        <v>947882</v>
      </c>
      <c r="U29" s="61">
        <f>T29/T$17</f>
        <v>0.50126177159924523</v>
      </c>
      <c r="V29" s="11">
        <f>+V17-V27</f>
        <v>1030128</v>
      </c>
      <c r="W29" s="61">
        <f>V29/V$17</f>
        <v>0.38857050603322202</v>
      </c>
      <c r="X29" s="11">
        <f>+X17-X27</f>
        <v>767388</v>
      </c>
      <c r="Y29" s="61">
        <f>X29/X$17</f>
        <v>0.40522759160404304</v>
      </c>
      <c r="Z29" s="11">
        <f t="shared" si="25"/>
        <v>10953138</v>
      </c>
      <c r="AA29" s="11"/>
      <c r="AB29" s="11"/>
      <c r="AC29" s="11"/>
      <c r="AD29" s="37"/>
      <c r="AE29" s="11">
        <f>IFERROR(AVERAGE(R29:V29),0)</f>
        <v>614301.58339455258</v>
      </c>
      <c r="AF29" s="39"/>
      <c r="AK29" s="56"/>
      <c r="AL29" s="66"/>
      <c r="AM29" s="135"/>
    </row>
    <row r="30" spans="1:39" ht="20" customHeight="1">
      <c r="A30" s="147" t="s">
        <v>55</v>
      </c>
      <c r="B30" s="22">
        <v>0.45767479535997935</v>
      </c>
      <c r="C30" s="22">
        <f t="shared" ref="C30" si="26">C29/C17</f>
        <v>0.45767479535997935</v>
      </c>
      <c r="D30" s="22">
        <v>0.58059728246524289</v>
      </c>
      <c r="E30" s="22">
        <f t="shared" ref="E30" si="27">E29/E17</f>
        <v>0.58059728246524289</v>
      </c>
      <c r="F30" s="22">
        <v>0.59096614456865038</v>
      </c>
      <c r="G30" s="22">
        <f t="shared" ref="G30" si="28">G29/G17</f>
        <v>0.59096614456865038</v>
      </c>
      <c r="H30" s="22">
        <v>0.54319072595356488</v>
      </c>
      <c r="I30" s="22">
        <f t="shared" ref="I30:T30" si="29">I29/I17</f>
        <v>0.54319072595356488</v>
      </c>
      <c r="J30" s="22">
        <f t="shared" si="29"/>
        <v>0.50972986498419059</v>
      </c>
      <c r="K30" s="22">
        <f t="shared" si="29"/>
        <v>0.50972986498419059</v>
      </c>
      <c r="L30" s="22">
        <f t="shared" si="29"/>
        <v>0.51706244720734129</v>
      </c>
      <c r="M30" s="22">
        <f t="shared" si="29"/>
        <v>0.51706244720734129</v>
      </c>
      <c r="N30" s="22">
        <f t="shared" si="29"/>
        <v>0.52178956001752397</v>
      </c>
      <c r="O30" s="22">
        <f t="shared" si="29"/>
        <v>0.52178956001752397</v>
      </c>
      <c r="P30" s="22">
        <f t="shared" si="29"/>
        <v>0.42186918939510754</v>
      </c>
      <c r="Q30" s="22">
        <f t="shared" si="29"/>
        <v>0.42186918939510754</v>
      </c>
      <c r="R30" s="22">
        <f t="shared" si="29"/>
        <v>0.41571099129950811</v>
      </c>
      <c r="S30" s="22">
        <f t="shared" si="29"/>
        <v>0.41571099129950811</v>
      </c>
      <c r="T30" s="22">
        <f t="shared" si="29"/>
        <v>0.50126177159924523</v>
      </c>
      <c r="U30" s="22">
        <f t="shared" ref="U30:V30" si="30">U29/U17</f>
        <v>0.50126177159924523</v>
      </c>
      <c r="V30" s="22">
        <f t="shared" si="30"/>
        <v>0.38857050603322202</v>
      </c>
      <c r="W30" s="22">
        <f t="shared" ref="W30:X30" si="31">W29/W17</f>
        <v>0.38857050603322202</v>
      </c>
      <c r="X30" s="22">
        <f t="shared" si="31"/>
        <v>0.40522759160404304</v>
      </c>
      <c r="Y30" s="22">
        <f t="shared" ref="Y30:Z30" si="32">Y29/Y17</f>
        <v>0.40522759160404304</v>
      </c>
      <c r="Z30" s="22">
        <f t="shared" si="32"/>
        <v>0.39401182948686514</v>
      </c>
      <c r="AA30" s="22"/>
      <c r="AB30" s="22"/>
      <c r="AC30" s="12"/>
      <c r="AD30" s="33"/>
      <c r="AE30" s="12"/>
      <c r="AF30" s="33"/>
      <c r="AH30" s="132"/>
      <c r="AI30" s="132"/>
      <c r="AJ30" s="132"/>
      <c r="AK30" s="56"/>
    </row>
    <row r="31" spans="1:39" ht="20" customHeight="1">
      <c r="A31" s="142"/>
      <c r="B31" s="16"/>
      <c r="C31" s="22"/>
      <c r="D31" s="16"/>
      <c r="E31" s="22"/>
      <c r="F31" s="16"/>
      <c r="G31" s="22"/>
      <c r="H31" s="16"/>
      <c r="I31" s="22"/>
      <c r="J31" s="16"/>
      <c r="K31" s="22"/>
      <c r="L31" s="16"/>
      <c r="M31" s="22"/>
      <c r="N31" s="16"/>
      <c r="O31" s="22"/>
      <c r="P31" s="16"/>
      <c r="Q31" s="22"/>
      <c r="R31" s="16"/>
      <c r="S31" s="22"/>
      <c r="T31" s="16"/>
      <c r="U31" s="22"/>
      <c r="V31" s="16"/>
      <c r="W31" s="22"/>
      <c r="X31" s="16"/>
      <c r="Y31" s="22"/>
      <c r="Z31" s="16"/>
      <c r="AA31" s="16"/>
      <c r="AB31" s="16"/>
      <c r="AC31" s="16"/>
      <c r="AD31" s="16"/>
      <c r="AE31" s="16"/>
      <c r="AF31" s="16"/>
      <c r="AK31" s="56"/>
      <c r="AL31" s="66"/>
    </row>
    <row r="32" spans="1:39" ht="20" customHeight="1">
      <c r="A32" s="141" t="s">
        <v>56</v>
      </c>
      <c r="B32" s="16"/>
      <c r="C32" s="22"/>
      <c r="D32" s="16"/>
      <c r="E32" s="22"/>
      <c r="F32" s="16"/>
      <c r="G32" s="22"/>
      <c r="H32" s="16"/>
      <c r="I32" s="22"/>
      <c r="J32" s="16"/>
      <c r="K32" s="22"/>
      <c r="L32" s="16"/>
      <c r="M32" s="22"/>
      <c r="N32" s="16"/>
      <c r="O32" s="22"/>
      <c r="P32" s="16"/>
      <c r="Q32" s="22"/>
      <c r="R32" s="16"/>
      <c r="S32" s="22"/>
      <c r="T32" s="16"/>
      <c r="U32" s="22"/>
      <c r="V32" s="16"/>
      <c r="W32" s="22"/>
      <c r="X32" s="16"/>
      <c r="Y32" s="22"/>
      <c r="Z32" s="16"/>
      <c r="AA32" s="16"/>
      <c r="AB32" s="16"/>
      <c r="AC32" s="16"/>
      <c r="AD32" s="16"/>
      <c r="AE32" s="16"/>
      <c r="AF32" s="16"/>
      <c r="AK32" s="56"/>
      <c r="AL32" s="66"/>
    </row>
    <row r="33" spans="1:39" ht="20" customHeight="1">
      <c r="A33" s="141" t="s">
        <v>57</v>
      </c>
      <c r="B33" s="16"/>
      <c r="C33" s="22"/>
      <c r="D33" s="16"/>
      <c r="E33" s="22"/>
      <c r="F33" s="16"/>
      <c r="G33" s="22"/>
      <c r="H33" s="16"/>
      <c r="I33" s="22"/>
      <c r="J33" s="16"/>
      <c r="K33" s="22"/>
      <c r="L33" s="16"/>
      <c r="M33" s="22"/>
      <c r="N33" s="16"/>
      <c r="O33" s="22"/>
      <c r="P33" s="16"/>
      <c r="Q33" s="22"/>
      <c r="R33" s="16"/>
      <c r="S33" s="22"/>
      <c r="T33" s="16"/>
      <c r="U33" s="22"/>
      <c r="V33" s="16"/>
      <c r="W33" s="22"/>
      <c r="X33" s="16"/>
      <c r="Y33" s="22"/>
      <c r="Z33" s="16"/>
      <c r="AA33" s="16"/>
      <c r="AB33" s="16"/>
      <c r="AC33" s="16"/>
      <c r="AD33" s="16"/>
      <c r="AE33" s="16"/>
      <c r="AF33" s="16"/>
      <c r="AK33" s="56"/>
      <c r="AL33" s="66"/>
    </row>
    <row r="34" spans="1:39" ht="20" customHeight="1">
      <c r="A34" s="142" t="s">
        <v>58</v>
      </c>
      <c r="B34" s="16">
        <v>1000</v>
      </c>
      <c r="C34" s="22">
        <f t="shared" ref="C34:C39" si="33">B34/B$17</f>
        <v>3.6323944199156922E-4</v>
      </c>
      <c r="D34" s="48">
        <v>1515</v>
      </c>
      <c r="E34" s="22">
        <f t="shared" ref="E34:E39" si="34">D34/D$17</f>
        <v>7.460613868173169E-4</v>
      </c>
      <c r="F34" s="48">
        <v>2250</v>
      </c>
      <c r="G34" s="22">
        <f t="shared" ref="G34:G39" si="35">F34/F$17</f>
        <v>1.1070780667169525E-3</v>
      </c>
      <c r="H34" s="48">
        <v>5500</v>
      </c>
      <c r="I34" s="22">
        <f t="shared" ref="I34:I39" si="36">H34/H$17</f>
        <v>2.745041083283049E-3</v>
      </c>
      <c r="J34" s="48">
        <v>3195</v>
      </c>
      <c r="K34" s="22">
        <f t="shared" ref="K34:K39" si="37">J34/J$17</f>
        <v>1.3214137265728236E-3</v>
      </c>
      <c r="L34" s="48">
        <v>5733</v>
      </c>
      <c r="M34" s="22">
        <f t="shared" ref="M34:M39" si="38">L34/L$17</f>
        <v>2.6769292404440911E-3</v>
      </c>
      <c r="N34" s="48">
        <v>2000</v>
      </c>
      <c r="O34" s="22">
        <f t="shared" ref="O34:O39" si="39">N34/N$17</f>
        <v>8.8237383267456774E-4</v>
      </c>
      <c r="P34" s="48">
        <v>2906</v>
      </c>
      <c r="Q34" s="22">
        <f t="shared" ref="Q34:Q39" si="40">P34/P$17</f>
        <v>9.4135848460072272E-4</v>
      </c>
      <c r="R34" s="48">
        <v>1990</v>
      </c>
      <c r="S34" s="22">
        <f t="shared" ref="S34:S39" si="41">R34/R$17</f>
        <v>7.5653145155955728E-4</v>
      </c>
      <c r="T34" s="48">
        <v>4549</v>
      </c>
      <c r="U34" s="22">
        <f t="shared" ref="U34:U39" si="42">T34/T$17</f>
        <v>2.4056156768510919E-3</v>
      </c>
      <c r="V34" s="48">
        <v>0</v>
      </c>
      <c r="W34" s="22">
        <f t="shared" ref="W34:Y39" si="43">V34/V$17</f>
        <v>0</v>
      </c>
      <c r="X34" s="48">
        <v>2120</v>
      </c>
      <c r="Y34" s="22">
        <f t="shared" si="43"/>
        <v>1.1194890905260068E-3</v>
      </c>
      <c r="Z34" s="48">
        <f t="shared" ref="Z34:Z39" si="44">SUM(B34,D34,F34,H34,J34,L34,N34,P34,R34,T34,V34,X34)</f>
        <v>32758</v>
      </c>
      <c r="AA34" s="48"/>
      <c r="AB34" s="48"/>
      <c r="AC34" s="16"/>
      <c r="AD34" s="33"/>
      <c r="AE34" s="16">
        <f t="shared" ref="AE34:AE39" si="45">IFERROR(AVERAGE(R34:V34),0)</f>
        <v>1307.8006324294258</v>
      </c>
      <c r="AF34" s="33"/>
      <c r="AK34" s="56"/>
      <c r="AL34" s="66"/>
    </row>
    <row r="35" spans="1:39" ht="20" customHeight="1">
      <c r="A35" s="142" t="s">
        <v>59</v>
      </c>
      <c r="B35" s="16">
        <v>384</v>
      </c>
      <c r="C35" s="22">
        <f t="shared" si="33"/>
        <v>1.3948394572476259E-4</v>
      </c>
      <c r="D35" s="48">
        <v>747</v>
      </c>
      <c r="E35" s="22">
        <f t="shared" si="34"/>
        <v>3.6785997092576617E-4</v>
      </c>
      <c r="F35" s="48">
        <v>551</v>
      </c>
      <c r="G35" s="22">
        <f t="shared" si="35"/>
        <v>2.7111111767157375E-4</v>
      </c>
      <c r="H35" s="48">
        <v>30</v>
      </c>
      <c r="I35" s="22">
        <f t="shared" si="36"/>
        <v>1.4972951363362086E-5</v>
      </c>
      <c r="J35" s="48">
        <v>195</v>
      </c>
      <c r="K35" s="22">
        <f t="shared" si="37"/>
        <v>8.064966406313008E-5</v>
      </c>
      <c r="L35" s="48">
        <v>3530</v>
      </c>
      <c r="M35" s="22">
        <f t="shared" si="38"/>
        <v>1.6482749378628364E-3</v>
      </c>
      <c r="N35" s="48">
        <v>580</v>
      </c>
      <c r="O35" s="22">
        <f t="shared" si="39"/>
        <v>2.5588841147562464E-4</v>
      </c>
      <c r="P35" s="48">
        <v>741</v>
      </c>
      <c r="Q35" s="22">
        <f t="shared" si="40"/>
        <v>2.4003669548834671E-4</v>
      </c>
      <c r="R35" s="48">
        <v>288</v>
      </c>
      <c r="S35" s="22">
        <f t="shared" si="41"/>
        <v>1.0948796886892085E-4</v>
      </c>
      <c r="T35" s="48">
        <v>393</v>
      </c>
      <c r="U35" s="22">
        <f t="shared" si="42"/>
        <v>2.0782742602824336E-4</v>
      </c>
      <c r="V35" s="48">
        <v>613</v>
      </c>
      <c r="W35" s="22">
        <f t="shared" si="43"/>
        <v>2.3122730398393706E-4</v>
      </c>
      <c r="X35" s="48">
        <v>386</v>
      </c>
      <c r="Y35" s="22">
        <f t="shared" si="43"/>
        <v>2.0383150421841444E-4</v>
      </c>
      <c r="Z35" s="48">
        <f t="shared" si="44"/>
        <v>8438</v>
      </c>
      <c r="AA35" s="48"/>
      <c r="AB35" s="48"/>
      <c r="AC35" s="16"/>
      <c r="AD35" s="33"/>
      <c r="AE35" s="16">
        <f t="shared" si="45"/>
        <v>258.80006346307903</v>
      </c>
      <c r="AF35" s="33"/>
      <c r="AK35" s="56"/>
      <c r="AL35" s="66"/>
    </row>
    <row r="36" spans="1:39" ht="20" customHeight="1">
      <c r="A36" s="142" t="s">
        <v>60</v>
      </c>
      <c r="B36" s="16">
        <v>5925</v>
      </c>
      <c r="C36" s="22">
        <f t="shared" si="33"/>
        <v>2.1521936938000475E-3</v>
      </c>
      <c r="D36" s="48">
        <v>10413</v>
      </c>
      <c r="E36" s="22">
        <f t="shared" si="34"/>
        <v>5.1278793537483302E-3</v>
      </c>
      <c r="F36" s="48">
        <v>5218</v>
      </c>
      <c r="G36" s="22">
        <f t="shared" si="35"/>
        <v>2.5674370453906926E-3</v>
      </c>
      <c r="H36" s="48">
        <v>5293</v>
      </c>
      <c r="I36" s="22">
        <f t="shared" si="36"/>
        <v>2.6417277188758507E-3</v>
      </c>
      <c r="J36" s="48">
        <v>4211</v>
      </c>
      <c r="K36" s="22">
        <f t="shared" si="37"/>
        <v>1.7416191557427731E-3</v>
      </c>
      <c r="L36" s="48">
        <v>6331</v>
      </c>
      <c r="M36" s="22">
        <f t="shared" si="38"/>
        <v>2.9561554197194383E-3</v>
      </c>
      <c r="N36" s="48">
        <v>3452</v>
      </c>
      <c r="O36" s="22">
        <f t="shared" si="39"/>
        <v>1.5229772351963039E-3</v>
      </c>
      <c r="P36" s="48">
        <v>6117</v>
      </c>
      <c r="Q36" s="22">
        <f t="shared" si="40"/>
        <v>1.9815174983835587E-3</v>
      </c>
      <c r="R36" s="48">
        <v>3960</v>
      </c>
      <c r="S36" s="22">
        <f t="shared" si="41"/>
        <v>1.5054595719476618E-3</v>
      </c>
      <c r="T36" s="48">
        <v>4108</v>
      </c>
      <c r="U36" s="22">
        <f t="shared" si="42"/>
        <v>2.1724047484071854E-3</v>
      </c>
      <c r="V36" s="48">
        <v>7324</v>
      </c>
      <c r="W36" s="22">
        <f t="shared" si="43"/>
        <v>2.762657054450824E-3</v>
      </c>
      <c r="X36" s="48">
        <v>4182</v>
      </c>
      <c r="Y36" s="22">
        <f t="shared" si="43"/>
        <v>2.2083506493300754E-3</v>
      </c>
      <c r="Z36" s="48">
        <f t="shared" si="44"/>
        <v>66534</v>
      </c>
      <c r="AA36" s="48"/>
      <c r="AB36" s="48"/>
      <c r="AC36" s="16"/>
      <c r="AD36" s="33"/>
      <c r="AE36" s="16">
        <f t="shared" si="45"/>
        <v>3078.4007355728636</v>
      </c>
      <c r="AF36" s="33"/>
      <c r="AK36" s="56"/>
      <c r="AL36" s="66"/>
    </row>
    <row r="37" spans="1:39" ht="20" customHeight="1">
      <c r="A37" s="142" t="s">
        <v>61</v>
      </c>
      <c r="B37" s="16">
        <v>6909</v>
      </c>
      <c r="C37" s="22">
        <f t="shared" si="33"/>
        <v>2.5096213047197517E-3</v>
      </c>
      <c r="D37" s="48">
        <v>22230</v>
      </c>
      <c r="E37" s="22">
        <f t="shared" si="34"/>
        <v>1.0947158170923402E-2</v>
      </c>
      <c r="F37" s="48">
        <v>23841</v>
      </c>
      <c r="G37" s="22">
        <f t="shared" si="35"/>
        <v>1.173059919493283E-2</v>
      </c>
      <c r="H37" s="48">
        <v>9221</v>
      </c>
      <c r="I37" s="22">
        <f t="shared" si="36"/>
        <v>4.6021861507187269E-3</v>
      </c>
      <c r="J37" s="48">
        <v>14196</v>
      </c>
      <c r="K37" s="22">
        <f t="shared" si="37"/>
        <v>5.8712955437958698E-3</v>
      </c>
      <c r="L37" s="48">
        <v>12582</v>
      </c>
      <c r="M37" s="22">
        <f t="shared" si="38"/>
        <v>5.8749561666261215E-3</v>
      </c>
      <c r="N37" s="48">
        <v>8217</v>
      </c>
      <c r="O37" s="22">
        <f t="shared" si="39"/>
        <v>3.6252328915434614E-3</v>
      </c>
      <c r="P37" s="48">
        <v>8361</v>
      </c>
      <c r="Q37" s="22">
        <f t="shared" si="40"/>
        <v>2.7084302442349083E-3</v>
      </c>
      <c r="R37" s="48">
        <v>16892</v>
      </c>
      <c r="S37" s="22">
        <f t="shared" si="41"/>
        <v>6.4217735074090657E-3</v>
      </c>
      <c r="T37" s="48">
        <v>16986</v>
      </c>
      <c r="U37" s="22">
        <f t="shared" si="42"/>
        <v>8.9825869173428552E-3</v>
      </c>
      <c r="V37" s="48">
        <v>22674</v>
      </c>
      <c r="W37" s="22">
        <f t="shared" si="43"/>
        <v>8.5527698051089535E-3</v>
      </c>
      <c r="X37" s="48">
        <v>9671</v>
      </c>
      <c r="Y37" s="22">
        <f t="shared" si="43"/>
        <v>5.1068768841872692E-3</v>
      </c>
      <c r="Z37" s="48">
        <f t="shared" si="44"/>
        <v>171780</v>
      </c>
      <c r="AA37" s="48"/>
      <c r="AB37" s="48"/>
      <c r="AC37" s="16"/>
      <c r="AD37" s="33"/>
      <c r="AE37" s="16">
        <f t="shared" si="45"/>
        <v>11310.403080872084</v>
      </c>
      <c r="AF37" s="33"/>
      <c r="AK37" s="56"/>
      <c r="AL37" s="66"/>
    </row>
    <row r="38" spans="1:39" ht="20" customHeight="1">
      <c r="A38" s="142" t="s">
        <v>62</v>
      </c>
      <c r="B38" s="16">
        <v>11061</v>
      </c>
      <c r="C38" s="22">
        <f t="shared" si="33"/>
        <v>4.0177914678687469E-3</v>
      </c>
      <c r="D38" s="48">
        <v>15433</v>
      </c>
      <c r="E38" s="22">
        <f t="shared" si="34"/>
        <v>7.5999771503311234E-3</v>
      </c>
      <c r="F38" s="48">
        <v>25552</v>
      </c>
      <c r="G38" s="22">
        <f t="shared" si="35"/>
        <v>1.2572470560334033E-2</v>
      </c>
      <c r="H38" s="48">
        <v>5873</v>
      </c>
      <c r="I38" s="22">
        <f t="shared" si="36"/>
        <v>2.9312047785675179E-3</v>
      </c>
      <c r="J38" s="48">
        <v>10971</v>
      </c>
      <c r="K38" s="22">
        <f t="shared" si="37"/>
        <v>4.5374741765979486E-3</v>
      </c>
      <c r="L38" s="48">
        <v>9129</v>
      </c>
      <c r="M38" s="22">
        <f t="shared" si="38"/>
        <v>4.262635101345562E-3</v>
      </c>
      <c r="N38" s="48">
        <v>6500</v>
      </c>
      <c r="O38" s="22">
        <f t="shared" si="39"/>
        <v>2.8677149561923453E-3</v>
      </c>
      <c r="P38" s="48">
        <v>12606</v>
      </c>
      <c r="Q38" s="22">
        <f t="shared" si="40"/>
        <v>4.0835392487531697E-3</v>
      </c>
      <c r="R38" s="48">
        <v>10500</v>
      </c>
      <c r="S38" s="22">
        <f t="shared" si="41"/>
        <v>3.9917488650127392E-3</v>
      </c>
      <c r="T38" s="48">
        <v>8851</v>
      </c>
      <c r="U38" s="22">
        <f t="shared" si="42"/>
        <v>4.6806120808549163E-3</v>
      </c>
      <c r="V38" s="48">
        <v>9384</v>
      </c>
      <c r="W38" s="22">
        <f t="shared" si="43"/>
        <v>3.5397015017704166E-3</v>
      </c>
      <c r="X38" s="48">
        <v>12390</v>
      </c>
      <c r="Y38" s="22">
        <f t="shared" si="43"/>
        <v>6.5426744488760484E-3</v>
      </c>
      <c r="Z38" s="48">
        <f t="shared" si="44"/>
        <v>138250</v>
      </c>
      <c r="AA38" s="48"/>
      <c r="AB38" s="48"/>
      <c r="AC38" s="16"/>
      <c r="AD38" s="33"/>
      <c r="AE38" s="16">
        <f t="shared" si="45"/>
        <v>5747.0017344721891</v>
      </c>
      <c r="AF38" s="33"/>
      <c r="AK38" s="56"/>
      <c r="AL38" s="66"/>
    </row>
    <row r="39" spans="1:39" s="1" customFormat="1" ht="20" customHeight="1">
      <c r="A39" s="148" t="s">
        <v>63</v>
      </c>
      <c r="B39" s="18">
        <v>25279</v>
      </c>
      <c r="C39" s="62">
        <f t="shared" si="33"/>
        <v>9.1823298541048783E-3</v>
      </c>
      <c r="D39" s="18">
        <v>50338</v>
      </c>
      <c r="E39" s="62">
        <f t="shared" si="34"/>
        <v>2.4788936032745939E-2</v>
      </c>
      <c r="F39" s="18">
        <v>57412</v>
      </c>
      <c r="G39" s="62">
        <f t="shared" si="35"/>
        <v>2.824869598504608E-2</v>
      </c>
      <c r="H39" s="18">
        <v>25917</v>
      </c>
      <c r="I39" s="62">
        <f t="shared" si="36"/>
        <v>1.2935132682808506E-2</v>
      </c>
      <c r="J39" s="18">
        <v>32768</v>
      </c>
      <c r="K39" s="62">
        <f t="shared" si="37"/>
        <v>1.3552452266772545E-2</v>
      </c>
      <c r="L39" s="18">
        <v>37305</v>
      </c>
      <c r="M39" s="62">
        <f t="shared" si="38"/>
        <v>1.741895086599805E-2</v>
      </c>
      <c r="N39" s="18">
        <v>20749</v>
      </c>
      <c r="O39" s="62">
        <f t="shared" si="39"/>
        <v>9.1541873270823033E-3</v>
      </c>
      <c r="P39" s="18">
        <v>30731</v>
      </c>
      <c r="Q39" s="62">
        <f t="shared" si="40"/>
        <v>9.9548821714607067E-3</v>
      </c>
      <c r="R39" s="18">
        <v>33630</v>
      </c>
      <c r="S39" s="62">
        <f t="shared" si="41"/>
        <v>1.2785001364797946E-2</v>
      </c>
      <c r="T39" s="18">
        <v>34886</v>
      </c>
      <c r="U39" s="62">
        <f t="shared" si="42"/>
        <v>1.8448518026517299E-2</v>
      </c>
      <c r="V39" s="18">
        <v>39995</v>
      </c>
      <c r="W39" s="62">
        <f t="shared" si="43"/>
        <v>1.5086355665314131E-2</v>
      </c>
      <c r="X39" s="18">
        <v>28749</v>
      </c>
      <c r="Y39" s="62">
        <f t="shared" si="43"/>
        <v>1.5181222577137814E-2</v>
      </c>
      <c r="Z39" s="18">
        <f t="shared" si="44"/>
        <v>417759</v>
      </c>
      <c r="AA39" s="18"/>
      <c r="AB39" s="18"/>
      <c r="AC39" s="18"/>
      <c r="AD39" s="71"/>
      <c r="AE39" s="18">
        <f t="shared" si="45"/>
        <v>21702.206246703878</v>
      </c>
      <c r="AF39" s="71"/>
      <c r="AK39" s="56"/>
      <c r="AL39" s="69"/>
      <c r="AM39" s="137"/>
    </row>
    <row r="40" spans="1:39" s="1" customFormat="1" ht="20" customHeight="1">
      <c r="A40" s="149"/>
      <c r="B40" s="44"/>
      <c r="C40" s="80"/>
      <c r="D40" s="44"/>
      <c r="E40" s="80"/>
      <c r="F40" s="44"/>
      <c r="G40" s="80"/>
      <c r="H40" s="44"/>
      <c r="I40" s="80"/>
      <c r="J40" s="44"/>
      <c r="K40" s="80"/>
      <c r="L40" s="44"/>
      <c r="M40" s="80"/>
      <c r="N40" s="44"/>
      <c r="O40" s="80"/>
      <c r="P40" s="44"/>
      <c r="Q40" s="80"/>
      <c r="R40" s="44"/>
      <c r="S40" s="80"/>
      <c r="T40" s="44"/>
      <c r="U40" s="80"/>
      <c r="V40" s="44"/>
      <c r="W40" s="80"/>
      <c r="X40" s="44"/>
      <c r="Y40" s="80"/>
      <c r="Z40" s="44"/>
      <c r="AA40" s="44"/>
      <c r="AB40" s="44"/>
      <c r="AC40" s="44"/>
      <c r="AD40" s="72"/>
      <c r="AE40" s="44"/>
      <c r="AF40" s="72"/>
      <c r="AK40" s="56"/>
      <c r="AL40" s="69"/>
      <c r="AM40" s="137"/>
    </row>
    <row r="41" spans="1:39" ht="20" customHeight="1">
      <c r="A41" s="142" t="s">
        <v>64</v>
      </c>
      <c r="B41" s="16">
        <v>430</v>
      </c>
      <c r="C41" s="22">
        <f>B41/B$17</f>
        <v>1.5619296005637477E-4</v>
      </c>
      <c r="D41" s="16">
        <v>6417</v>
      </c>
      <c r="E41" s="22">
        <f>D41/D$17</f>
        <v>3.1600501116876055E-3</v>
      </c>
      <c r="F41" s="16">
        <v>1910</v>
      </c>
      <c r="G41" s="22">
        <f>F41/F$17</f>
        <v>9.3978626996861307E-4</v>
      </c>
      <c r="H41" s="16">
        <v>4000</v>
      </c>
      <c r="I41" s="22">
        <f>H41/H$17</f>
        <v>1.996393515114945E-3</v>
      </c>
      <c r="J41" s="16">
        <v>5896</v>
      </c>
      <c r="K41" s="22">
        <f>J41/J$17</f>
        <v>2.4385149708523843E-3</v>
      </c>
      <c r="L41" s="16">
        <v>5720</v>
      </c>
      <c r="M41" s="22">
        <f>L41/L$17</f>
        <v>2.6708591061120183E-3</v>
      </c>
      <c r="N41" s="16">
        <v>7191</v>
      </c>
      <c r="O41" s="22">
        <f>N41/N$17</f>
        <v>3.1725751153814084E-3</v>
      </c>
      <c r="P41" s="16">
        <v>7283</v>
      </c>
      <c r="Q41" s="22">
        <f>P41/P$17</f>
        <v>2.3592270624043579E-3</v>
      </c>
      <c r="R41" s="16">
        <v>8952</v>
      </c>
      <c r="S41" s="22">
        <f>R41/R$17</f>
        <v>3.4032510323422898E-3</v>
      </c>
      <c r="T41" s="16">
        <v>15252</v>
      </c>
      <c r="U41" s="22">
        <f>T41/T$17</f>
        <v>8.0656078925770182E-3</v>
      </c>
      <c r="V41" s="16">
        <v>6862</v>
      </c>
      <c r="W41" s="22">
        <f>V41/V$17</f>
        <v>2.5883878628674977E-3</v>
      </c>
      <c r="X41" s="16">
        <v>5872</v>
      </c>
      <c r="Y41" s="22">
        <f>X41/X$17</f>
        <v>3.1007735564003358E-3</v>
      </c>
      <c r="Z41" s="16">
        <f t="shared" ref="Z41" si="46">SUM(B41,D41,F41,H41,J41,L41,N41,P41,R41,T41,V41,X41)</f>
        <v>75785</v>
      </c>
      <c r="AA41" s="16"/>
      <c r="AB41" s="16"/>
      <c r="AC41" s="16"/>
      <c r="AD41" s="33"/>
      <c r="AE41" s="16">
        <f>IFERROR(AVERAGE(R41:V41),0)</f>
        <v>6213.2022937717848</v>
      </c>
      <c r="AF41" s="33"/>
      <c r="AK41" s="56"/>
      <c r="AL41" s="66"/>
    </row>
    <row r="42" spans="1:39" ht="20" customHeight="1">
      <c r="A42" s="142"/>
      <c r="B42" s="16"/>
      <c r="C42" s="22"/>
      <c r="D42" s="16"/>
      <c r="E42" s="22"/>
      <c r="F42" s="16"/>
      <c r="G42" s="22"/>
      <c r="H42" s="16"/>
      <c r="I42" s="22"/>
      <c r="J42" s="16"/>
      <c r="K42" s="22"/>
      <c r="L42" s="16"/>
      <c r="M42" s="22"/>
      <c r="N42" s="16"/>
      <c r="O42" s="22"/>
      <c r="P42" s="16"/>
      <c r="Q42" s="22"/>
      <c r="R42" s="16"/>
      <c r="S42" s="22"/>
      <c r="T42" s="16"/>
      <c r="U42" s="22"/>
      <c r="V42" s="16"/>
      <c r="W42" s="22"/>
      <c r="X42" s="16"/>
      <c r="Y42" s="22"/>
      <c r="Z42" s="16"/>
      <c r="AA42" s="16"/>
      <c r="AB42" s="16"/>
      <c r="AC42" s="16"/>
      <c r="AD42" s="33"/>
      <c r="AE42" s="16"/>
      <c r="AF42" s="33"/>
      <c r="AK42" s="56"/>
      <c r="AL42" s="66"/>
    </row>
    <row r="43" spans="1:39" s="24" customFormat="1" ht="20" customHeight="1" thickBot="1">
      <c r="A43" s="150" t="s">
        <v>65</v>
      </c>
      <c r="B43" s="27">
        <v>541229</v>
      </c>
      <c r="C43" s="63">
        <f>B43/B$17</f>
        <v>0.19659571994965502</v>
      </c>
      <c r="D43" s="27">
        <v>580256</v>
      </c>
      <c r="E43" s="63">
        <f>D43/D$17</f>
        <v>0.28574692809839541</v>
      </c>
      <c r="F43" s="27">
        <v>696257</v>
      </c>
      <c r="G43" s="63">
        <f>F43/F$17</f>
        <v>0.34258260155473125</v>
      </c>
      <c r="H43" s="27">
        <v>604704</v>
      </c>
      <c r="I43" s="63">
        <f>H43/H$17</f>
        <v>0.30180678604101691</v>
      </c>
      <c r="J43" s="27">
        <v>653761</v>
      </c>
      <c r="K43" s="63">
        <f>J43/J$17</f>
        <v>0.27038771809013323</v>
      </c>
      <c r="L43" s="27">
        <v>653739</v>
      </c>
      <c r="M43" s="63">
        <f>L43/L$17</f>
        <v>0.30525258062422461</v>
      </c>
      <c r="N43" s="27">
        <v>626338</v>
      </c>
      <c r="O43" s="63">
        <f>N43/N$17</f>
        <v>0.27633213080486169</v>
      </c>
      <c r="P43" s="27">
        <v>621699</v>
      </c>
      <c r="Q43" s="63">
        <f>P43/P$17</f>
        <v>0.20139078751472289</v>
      </c>
      <c r="R43" s="27">
        <v>601845</v>
      </c>
      <c r="S43" s="63">
        <f>R43/R$17</f>
        <v>0.22880134244415162</v>
      </c>
      <c r="T43" s="27">
        <v>581106</v>
      </c>
      <c r="U43" s="63">
        <f>T43/T$17</f>
        <v>0.30730219905742595</v>
      </c>
      <c r="V43" s="27">
        <v>577214</v>
      </c>
      <c r="W43" s="63">
        <f>V43/V$17</f>
        <v>0.21772860855103465</v>
      </c>
      <c r="X43" s="27">
        <v>228687</v>
      </c>
      <c r="Y43" s="63">
        <f>X43/X$17</f>
        <v>0.12076066115335891</v>
      </c>
      <c r="Z43" s="27">
        <f t="shared" ref="Z43" si="47">SUM(B43,D43,F43,H43,J43,L43,N43,P43,R43,T43,V43,X43)</f>
        <v>6966835</v>
      </c>
      <c r="AA43" s="27"/>
      <c r="AB43" s="27"/>
      <c r="AC43" s="27"/>
      <c r="AD43" s="38"/>
      <c r="AE43" s="27">
        <f>IFERROR(AVERAGE(R43:V43),0)</f>
        <v>352033.10722070828</v>
      </c>
      <c r="AF43" s="41"/>
      <c r="AK43" s="56"/>
      <c r="AL43" s="66"/>
      <c r="AM43" s="135"/>
    </row>
    <row r="44" spans="1:39" s="24" customFormat="1" ht="20" customHeight="1">
      <c r="A44" s="151"/>
      <c r="B44" s="75"/>
      <c r="C44" s="81"/>
      <c r="D44" s="75"/>
      <c r="E44" s="81"/>
      <c r="F44" s="75"/>
      <c r="G44" s="81"/>
      <c r="H44" s="75"/>
      <c r="I44" s="81"/>
      <c r="J44" s="75"/>
      <c r="K44" s="81"/>
      <c r="L44" s="75"/>
      <c r="M44" s="81"/>
      <c r="N44" s="75"/>
      <c r="O44" s="81"/>
      <c r="P44" s="75"/>
      <c r="Q44" s="81"/>
      <c r="R44" s="75"/>
      <c r="S44" s="81"/>
      <c r="T44" s="75"/>
      <c r="U44" s="81"/>
      <c r="V44" s="75"/>
      <c r="W44" s="81"/>
      <c r="X44" s="75"/>
      <c r="Y44" s="81"/>
      <c r="Z44" s="75"/>
      <c r="AA44" s="75"/>
      <c r="AB44" s="75"/>
      <c r="AC44" s="75"/>
      <c r="AD44" s="76"/>
      <c r="AE44" s="75"/>
      <c r="AF44" s="47"/>
      <c r="AK44" s="56"/>
      <c r="AL44" s="66"/>
      <c r="AM44" s="135"/>
    </row>
    <row r="45" spans="1:39" ht="20" customHeight="1">
      <c r="A45" s="142" t="s">
        <v>66</v>
      </c>
      <c r="B45" s="16">
        <v>36312</v>
      </c>
      <c r="C45" s="22">
        <f>B45/B$17</f>
        <v>1.3189950617597861E-2</v>
      </c>
      <c r="D45" s="16">
        <v>38163</v>
      </c>
      <c r="E45" s="22">
        <f>D45/D$17</f>
        <v>1.8793360201392256E-2</v>
      </c>
      <c r="F45" s="16">
        <v>34502</v>
      </c>
      <c r="G45" s="22">
        <f>F45/F$17</f>
        <v>1.6976181092385911E-2</v>
      </c>
      <c r="H45" s="16">
        <v>35778</v>
      </c>
      <c r="I45" s="22">
        <f>H45/H$17</f>
        <v>1.7856741795945624E-2</v>
      </c>
      <c r="J45" s="16"/>
      <c r="K45" s="22">
        <f>J45/J$17</f>
        <v>0</v>
      </c>
      <c r="L45" s="16">
        <v>38163</v>
      </c>
      <c r="M45" s="22">
        <f>L45/L$17</f>
        <v>1.781957973191485E-2</v>
      </c>
      <c r="N45" s="16">
        <v>28934</v>
      </c>
      <c r="O45" s="22">
        <f>N45/N$17</f>
        <v>1.2765302237302972E-2</v>
      </c>
      <c r="P45" s="16">
        <v>37666</v>
      </c>
      <c r="Q45" s="22">
        <f>P45/P$17</f>
        <v>1.2201379449749078E-2</v>
      </c>
      <c r="R45" s="16">
        <v>45659</v>
      </c>
      <c r="S45" s="22">
        <f>R45/R$17</f>
        <v>1.7358024897868255E-2</v>
      </c>
      <c r="T45" s="16">
        <v>36689</v>
      </c>
      <c r="U45" s="22">
        <f>T45/T$17</f>
        <v>1.9401985836005654E-2</v>
      </c>
      <c r="V45" s="16">
        <v>21278</v>
      </c>
      <c r="W45" s="22">
        <f>V45/V$17</f>
        <v>8.0261901699350945E-3</v>
      </c>
      <c r="X45" s="16">
        <v>9891</v>
      </c>
      <c r="Y45" s="22">
        <f>X45/X$17</f>
        <v>5.2230502803739306E-3</v>
      </c>
      <c r="Z45" s="16">
        <f t="shared" ref="Z45" si="48">SUM(B45,D45,F45,H45,J45,L45,N45,P45,R45,T45,V45,X45)</f>
        <v>363035</v>
      </c>
      <c r="AA45" s="16"/>
      <c r="AB45" s="16"/>
      <c r="AC45" s="16"/>
      <c r="AD45" s="33"/>
      <c r="AE45" s="16">
        <f>IFERROR(AVERAGE(R45:V45),0)</f>
        <v>20725.207352002144</v>
      </c>
      <c r="AF45" s="33"/>
      <c r="AK45" s="56"/>
      <c r="AL45" s="66"/>
    </row>
    <row r="46" spans="1:39" ht="20" customHeight="1">
      <c r="A46" s="142"/>
      <c r="B46" s="16"/>
      <c r="C46" s="22"/>
      <c r="D46" s="16"/>
      <c r="E46" s="22"/>
      <c r="F46" s="16"/>
      <c r="G46" s="22"/>
      <c r="H46" s="16"/>
      <c r="I46" s="22"/>
      <c r="J46" s="16"/>
      <c r="K46" s="22"/>
      <c r="L46" s="16"/>
      <c r="M46" s="22"/>
      <c r="N46" s="16"/>
      <c r="O46" s="22"/>
      <c r="P46" s="16"/>
      <c r="Q46" s="22"/>
      <c r="R46" s="16"/>
      <c r="S46" s="22"/>
      <c r="T46" s="16"/>
      <c r="U46" s="22"/>
      <c r="V46" s="16"/>
      <c r="W46" s="22"/>
      <c r="X46" s="16"/>
      <c r="Y46" s="22"/>
      <c r="Z46" s="16"/>
      <c r="AA46" s="16"/>
      <c r="AB46" s="16"/>
      <c r="AC46" s="16"/>
      <c r="AK46" s="56"/>
      <c r="AL46" s="66"/>
    </row>
    <row r="47" spans="1:39" ht="20" customHeight="1">
      <c r="A47" s="152" t="s">
        <v>67</v>
      </c>
      <c r="B47" s="16"/>
      <c r="C47" s="22"/>
      <c r="D47" s="16"/>
      <c r="E47" s="22"/>
      <c r="F47" s="16"/>
      <c r="G47" s="22"/>
      <c r="H47" s="16"/>
      <c r="I47" s="22"/>
      <c r="J47" s="16"/>
      <c r="K47" s="22"/>
      <c r="L47" s="16"/>
      <c r="M47" s="22"/>
      <c r="N47" s="16"/>
      <c r="O47" s="22"/>
      <c r="P47" s="16"/>
      <c r="Q47" s="22"/>
      <c r="R47" s="16"/>
      <c r="S47" s="22"/>
      <c r="T47" s="16"/>
      <c r="U47" s="22"/>
      <c r="V47" s="16"/>
      <c r="W47" s="22"/>
      <c r="X47" s="16"/>
      <c r="Y47" s="22"/>
      <c r="Z47" s="16"/>
      <c r="AA47" s="16"/>
      <c r="AB47" s="16"/>
      <c r="AC47" s="16"/>
      <c r="AK47" s="56"/>
      <c r="AL47" s="66"/>
    </row>
    <row r="48" spans="1:39" ht="20" customHeight="1">
      <c r="A48" s="142" t="s">
        <v>68</v>
      </c>
      <c r="B48" s="45"/>
      <c r="C48" s="22">
        <f>B48/B$17</f>
        <v>0</v>
      </c>
      <c r="D48" s="45"/>
      <c r="E48" s="22">
        <f>D48/D$17</f>
        <v>0</v>
      </c>
      <c r="F48" s="45"/>
      <c r="G48" s="22">
        <f>F48/F$17</f>
        <v>0</v>
      </c>
      <c r="H48" s="45">
        <v>13580</v>
      </c>
      <c r="I48" s="22">
        <f>H48/H$17</f>
        <v>6.7777559838152375E-3</v>
      </c>
      <c r="J48" s="45"/>
      <c r="K48" s="22">
        <f>J48/J$17</f>
        <v>0</v>
      </c>
      <c r="L48" s="45"/>
      <c r="M48" s="22">
        <f>L48/L$17</f>
        <v>0</v>
      </c>
      <c r="N48" s="45"/>
      <c r="O48" s="22">
        <f>N48/N$17</f>
        <v>0</v>
      </c>
      <c r="P48" s="45">
        <v>17399</v>
      </c>
      <c r="Q48" s="22">
        <f>P48/P$17</f>
        <v>5.6361652696379815E-3</v>
      </c>
      <c r="R48" s="45">
        <v>14359</v>
      </c>
      <c r="S48" s="22">
        <f>R48/R$17</f>
        <v>5.4588116145445646E-3</v>
      </c>
      <c r="T48" s="45">
        <v>16439</v>
      </c>
      <c r="U48" s="22">
        <f>T48/T$17</f>
        <v>8.6933207543976911E-3</v>
      </c>
      <c r="V48" s="45">
        <v>15551</v>
      </c>
      <c r="W48" s="22">
        <f>V48/V$17</f>
        <v>5.8659311651781485E-3</v>
      </c>
      <c r="X48" s="45">
        <v>18765</v>
      </c>
      <c r="Y48" s="22">
        <f>X48/X$17</f>
        <v>9.9090626338304323E-3</v>
      </c>
      <c r="Z48" s="45">
        <f t="shared" ref="Z48:Z52" si="49">SUM(B48,D48,F48,H48,J48,L48,N48,P48,R48,T48,V48,X48)</f>
        <v>96093</v>
      </c>
      <c r="AA48" s="45"/>
      <c r="AB48" s="45"/>
      <c r="AC48" s="16"/>
      <c r="AD48" s="33"/>
      <c r="AE48" s="16">
        <f>IFERROR(AVERAGE(R48:V48),0)</f>
        <v>9269.8028304264735</v>
      </c>
      <c r="AF48" s="33"/>
      <c r="AK48" s="56"/>
      <c r="AL48" s="66"/>
    </row>
    <row r="49" spans="1:39" ht="20" customHeight="1">
      <c r="A49" s="142" t="s">
        <v>69</v>
      </c>
      <c r="B49" s="45"/>
      <c r="C49" s="22">
        <f>B49/B$17</f>
        <v>0</v>
      </c>
      <c r="D49" s="45"/>
      <c r="E49" s="22">
        <f>D49/D$17</f>
        <v>0</v>
      </c>
      <c r="F49" s="45"/>
      <c r="G49" s="22">
        <f>F49/F$17</f>
        <v>0</v>
      </c>
      <c r="H49" s="45">
        <v>44878</v>
      </c>
      <c r="I49" s="22">
        <f>H49/H$17</f>
        <v>2.2398537042832123E-2</v>
      </c>
      <c r="J49" s="45"/>
      <c r="K49" s="22">
        <f>J49/J$17</f>
        <v>0</v>
      </c>
      <c r="L49" s="45"/>
      <c r="M49" s="22">
        <f>L49/L$17</f>
        <v>0</v>
      </c>
      <c r="N49" s="45"/>
      <c r="O49" s="22">
        <f>N49/N$17</f>
        <v>0</v>
      </c>
      <c r="P49" s="45">
        <v>29352</v>
      </c>
      <c r="Q49" s="22">
        <f>P49/P$17</f>
        <v>9.5081742050930531E-3</v>
      </c>
      <c r="R49" s="45">
        <v>20853</v>
      </c>
      <c r="S49" s="22">
        <f>R49/R$17</f>
        <v>7.9276132459153003E-3</v>
      </c>
      <c r="T49" s="45">
        <v>52286</v>
      </c>
      <c r="U49" s="22">
        <f>T49/T$17</f>
        <v>2.7650037652195252E-2</v>
      </c>
      <c r="V49" s="45">
        <v>39734</v>
      </c>
      <c r="W49" s="22">
        <f>V49/V$17</f>
        <v>1.4987904888250823E-2</v>
      </c>
      <c r="X49" s="45">
        <v>21898</v>
      </c>
      <c r="Y49" s="22">
        <f>X49/X$17</f>
        <v>1.1563477407706838E-2</v>
      </c>
      <c r="Z49" s="45">
        <f t="shared" si="49"/>
        <v>209001</v>
      </c>
      <c r="AA49" s="45"/>
      <c r="AB49" s="45"/>
      <c r="AC49" s="16"/>
      <c r="AD49" s="33"/>
      <c r="AE49" s="16">
        <f>IFERROR(AVERAGE(R49:V49),0)</f>
        <v>22574.60711553018</v>
      </c>
      <c r="AF49" s="33"/>
      <c r="AK49" s="56"/>
      <c r="AL49" s="66"/>
    </row>
    <row r="50" spans="1:39" ht="20" customHeight="1">
      <c r="A50" s="142" t="s">
        <v>70</v>
      </c>
      <c r="B50" s="45"/>
      <c r="C50" s="22">
        <f>B50/B$17</f>
        <v>0</v>
      </c>
      <c r="D50" s="45"/>
      <c r="E50" s="22">
        <f>D50/D$17</f>
        <v>0</v>
      </c>
      <c r="F50" s="45"/>
      <c r="G50" s="22">
        <f>F50/F$17</f>
        <v>0</v>
      </c>
      <c r="H50" s="45">
        <v>11529</v>
      </c>
      <c r="I50" s="22">
        <f>H50/H$17</f>
        <v>5.75410520894005E-3</v>
      </c>
      <c r="J50" s="45"/>
      <c r="K50" s="22">
        <f>J50/J$17</f>
        <v>0</v>
      </c>
      <c r="L50" s="45"/>
      <c r="M50" s="22">
        <f>L50/L$17</f>
        <v>0</v>
      </c>
      <c r="N50" s="45"/>
      <c r="O50" s="22">
        <f>N50/N$17</f>
        <v>0</v>
      </c>
      <c r="P50" s="45">
        <v>13578</v>
      </c>
      <c r="Q50" s="22">
        <f>P50/P$17</f>
        <v>4.3984051974909196E-3</v>
      </c>
      <c r="R50" s="45">
        <v>24959</v>
      </c>
      <c r="S50" s="22">
        <f>R50/R$17</f>
        <v>9.4885771354145682E-3</v>
      </c>
      <c r="T50" s="45">
        <v>15674</v>
      </c>
      <c r="U50" s="22">
        <f>T50/T$17</f>
        <v>8.2887711846480576E-3</v>
      </c>
      <c r="V50" s="45">
        <v>34952</v>
      </c>
      <c r="W50" s="22">
        <f>V50/V$17</f>
        <v>1.3184105593550682E-2</v>
      </c>
      <c r="X50" s="45">
        <v>25275</v>
      </c>
      <c r="Y50" s="22">
        <f>X50/X$17</f>
        <v>1.3346739039172086E-2</v>
      </c>
      <c r="Z50" s="45">
        <f t="shared" si="49"/>
        <v>125967</v>
      </c>
      <c r="AA50" s="45"/>
      <c r="AB50" s="45"/>
      <c r="AC50" s="16"/>
      <c r="AD50" s="33"/>
      <c r="AE50" s="16">
        <f>IFERROR(AVERAGE(R50:V50),0)</f>
        <v>15117.003555469662</v>
      </c>
      <c r="AF50" s="33"/>
      <c r="AK50" s="56"/>
      <c r="AL50" s="66"/>
    </row>
    <row r="51" spans="1:39" ht="20" customHeight="1">
      <c r="A51" s="142" t="s">
        <v>71</v>
      </c>
      <c r="B51" s="45"/>
      <c r="C51" s="22">
        <f>B51/B$17</f>
        <v>0</v>
      </c>
      <c r="D51" s="45"/>
      <c r="E51" s="22">
        <f>D51/D$17</f>
        <v>0</v>
      </c>
      <c r="F51" s="45"/>
      <c r="G51" s="22">
        <f>F51/F$17</f>
        <v>0</v>
      </c>
      <c r="H51" s="45">
        <v>0</v>
      </c>
      <c r="I51" s="22">
        <f>H51/H$17</f>
        <v>0</v>
      </c>
      <c r="J51" s="45"/>
      <c r="K51" s="22">
        <f>J51/J$17</f>
        <v>0</v>
      </c>
      <c r="L51" s="45"/>
      <c r="M51" s="22">
        <f>L51/L$17</f>
        <v>0</v>
      </c>
      <c r="N51" s="45"/>
      <c r="O51" s="22">
        <f>N51/N$17</f>
        <v>0</v>
      </c>
      <c r="P51" s="45">
        <v>0</v>
      </c>
      <c r="Q51" s="22">
        <f>P51/P$17</f>
        <v>0</v>
      </c>
      <c r="R51" s="45"/>
      <c r="S51" s="22">
        <f>R51/R$17</f>
        <v>0</v>
      </c>
      <c r="T51" s="45">
        <v>0</v>
      </c>
      <c r="U51" s="22">
        <f>T51/T$17</f>
        <v>0</v>
      </c>
      <c r="V51" s="45">
        <v>0</v>
      </c>
      <c r="W51" s="22">
        <f>V51/V$17</f>
        <v>0</v>
      </c>
      <c r="X51" s="45">
        <v>0</v>
      </c>
      <c r="Y51" s="22">
        <f>X51/X$17</f>
        <v>0</v>
      </c>
      <c r="Z51" s="45">
        <f t="shared" si="49"/>
        <v>0</v>
      </c>
      <c r="AA51" s="45"/>
      <c r="AB51" s="45"/>
      <c r="AC51" s="16"/>
      <c r="AD51" s="33"/>
      <c r="AE51" s="16">
        <f>IFERROR(AVERAGE(R51:V51),0)</f>
        <v>0</v>
      </c>
      <c r="AF51" s="33"/>
      <c r="AK51" s="56"/>
      <c r="AL51" s="66"/>
    </row>
    <row r="52" spans="1:39" s="1" customFormat="1" ht="20" customHeight="1">
      <c r="A52" s="141" t="s">
        <v>72</v>
      </c>
      <c r="B52" s="13">
        <v>45055</v>
      </c>
      <c r="C52" s="22">
        <f>B52/B$17</f>
        <v>1.6365753058930149E-2</v>
      </c>
      <c r="D52" s="13">
        <v>64157</v>
      </c>
      <c r="E52" s="22">
        <f>D52/D$17</f>
        <v>3.1594099269992473E-2</v>
      </c>
      <c r="F52" s="13">
        <v>51614</v>
      </c>
      <c r="G52" s="22">
        <f>F52/F$17</f>
        <v>2.5395878815790574E-2</v>
      </c>
      <c r="H52" s="13">
        <v>69987</v>
      </c>
      <c r="I52" s="22">
        <f>H52/H$17</f>
        <v>3.4930398235587412E-2</v>
      </c>
      <c r="J52" s="13">
        <v>34870</v>
      </c>
      <c r="K52" s="22">
        <f>J52/J$17</f>
        <v>1.4421814286571005E-2</v>
      </c>
      <c r="L52" s="13">
        <v>31758</v>
      </c>
      <c r="M52" s="22">
        <f>L52/L$17</f>
        <v>1.4828871239843614E-2</v>
      </c>
      <c r="N52" s="13">
        <v>61214</v>
      </c>
      <c r="O52" s="22">
        <f>N52/N$17</f>
        <v>2.7006815896670495E-2</v>
      </c>
      <c r="P52" s="13">
        <v>60329</v>
      </c>
      <c r="Q52" s="22">
        <f>P52/P$17</f>
        <v>1.9542744672221956E-2</v>
      </c>
      <c r="R52" s="13">
        <v>60161</v>
      </c>
      <c r="S52" s="22">
        <f>R52/R$17</f>
        <v>2.2871200330288707E-2</v>
      </c>
      <c r="T52" s="13">
        <v>84399</v>
      </c>
      <c r="U52" s="22">
        <f>T52/T$17</f>
        <v>4.4632129591241E-2</v>
      </c>
      <c r="V52" s="13">
        <v>90237</v>
      </c>
      <c r="W52" s="22">
        <f>V52/V$17</f>
        <v>3.4037941646979653E-2</v>
      </c>
      <c r="X52" s="13">
        <v>65938</v>
      </c>
      <c r="Y52" s="22">
        <f>X52/X$17</f>
        <v>3.4819279080709357E-2</v>
      </c>
      <c r="Z52" s="13">
        <f t="shared" si="49"/>
        <v>719719</v>
      </c>
      <c r="AA52" s="13"/>
      <c r="AB52" s="13"/>
      <c r="AC52" s="13"/>
      <c r="AD52" s="67"/>
      <c r="AE52" s="13">
        <f>IFERROR(AVERAGE(R52:V52),0)</f>
        <v>46959.413500665993</v>
      </c>
      <c r="AF52" s="67"/>
      <c r="AK52" s="56"/>
      <c r="AL52" s="66"/>
      <c r="AM52" s="137"/>
    </row>
    <row r="53" spans="1:39" s="1" customFormat="1" ht="20" customHeight="1">
      <c r="A53" s="141"/>
      <c r="B53" s="13"/>
      <c r="C53" s="22"/>
      <c r="D53" s="13"/>
      <c r="E53" s="22"/>
      <c r="F53" s="13"/>
      <c r="G53" s="22"/>
      <c r="H53" s="13"/>
      <c r="I53" s="22"/>
      <c r="J53" s="13"/>
      <c r="K53" s="22"/>
      <c r="L53" s="13"/>
      <c r="M53" s="22"/>
      <c r="N53" s="13"/>
      <c r="O53" s="22"/>
      <c r="P53" s="13"/>
      <c r="Q53" s="22"/>
      <c r="R53" s="13"/>
      <c r="S53" s="22"/>
      <c r="T53" s="13"/>
      <c r="U53" s="22"/>
      <c r="V53" s="13"/>
      <c r="W53" s="22"/>
      <c r="X53" s="13"/>
      <c r="Y53" s="22"/>
      <c r="Z53" s="13"/>
      <c r="AA53" s="13"/>
      <c r="AB53" s="13"/>
      <c r="AC53" s="13"/>
      <c r="AD53" s="67"/>
      <c r="AE53" s="13"/>
      <c r="AF53" s="67"/>
      <c r="AK53" s="56"/>
      <c r="AL53" s="69"/>
      <c r="AM53" s="137"/>
    </row>
    <row r="54" spans="1:39" ht="20" customHeight="1">
      <c r="A54" s="142" t="s">
        <v>73</v>
      </c>
      <c r="B54" s="16"/>
      <c r="C54" s="22"/>
      <c r="D54" s="16"/>
      <c r="E54" s="22"/>
      <c r="F54" s="16"/>
      <c r="G54" s="22"/>
      <c r="H54" s="16"/>
      <c r="I54" s="22"/>
      <c r="J54" s="16"/>
      <c r="K54" s="22"/>
      <c r="L54" s="16"/>
      <c r="M54" s="22"/>
      <c r="N54" s="16"/>
      <c r="O54" s="22"/>
      <c r="P54" s="16"/>
      <c r="Q54" s="22"/>
      <c r="R54" s="16"/>
      <c r="S54" s="22"/>
      <c r="T54" s="16"/>
      <c r="U54" s="22"/>
      <c r="V54" s="16"/>
      <c r="W54" s="22"/>
      <c r="X54" s="16"/>
      <c r="Y54" s="22"/>
      <c r="Z54" s="16"/>
      <c r="AA54" s="16"/>
      <c r="AB54" s="16"/>
      <c r="AC54" s="16"/>
      <c r="AD54" s="16"/>
      <c r="AE54" s="16"/>
      <c r="AF54" s="16"/>
      <c r="AK54" s="56"/>
      <c r="AL54" s="66"/>
    </row>
    <row r="55" spans="1:39" ht="20" customHeight="1">
      <c r="A55" s="142" t="s">
        <v>74</v>
      </c>
      <c r="B55" s="45"/>
      <c r="C55" s="22">
        <f>B55/B$17</f>
        <v>0</v>
      </c>
      <c r="D55" s="45"/>
      <c r="E55" s="22">
        <f>D55/D$17</f>
        <v>0</v>
      </c>
      <c r="F55" s="45"/>
      <c r="G55" s="22">
        <f>F55/F$17</f>
        <v>0</v>
      </c>
      <c r="H55" s="45">
        <v>4272</v>
      </c>
      <c r="I55" s="22">
        <f>H55/H$17</f>
        <v>2.132148274142761E-3</v>
      </c>
      <c r="J55" s="45">
        <v>6612</v>
      </c>
      <c r="K55" s="22">
        <f>J55/J$17</f>
        <v>2.7346439937713644E-3</v>
      </c>
      <c r="L55" s="45">
        <v>5919</v>
      </c>
      <c r="M55" s="22">
        <f>L55/L$17</f>
        <v>2.7637788547337475E-3</v>
      </c>
      <c r="N55" s="45">
        <v>6527</v>
      </c>
      <c r="O55" s="22">
        <f>N55/N$17</f>
        <v>2.8796270029334517E-3</v>
      </c>
      <c r="P55" s="45">
        <v>7661</v>
      </c>
      <c r="Q55" s="22">
        <f>P55/P$17</f>
        <v>2.4816749313579275E-3</v>
      </c>
      <c r="R55" s="45">
        <v>11258</v>
      </c>
      <c r="S55" s="22">
        <f>R55/R$17</f>
        <v>4.2799151164108016E-3</v>
      </c>
      <c r="T55" s="45">
        <v>5689</v>
      </c>
      <c r="U55" s="22">
        <f>T55/T$17</f>
        <v>3.0084738592230957E-3</v>
      </c>
      <c r="V55" s="45">
        <v>4396</v>
      </c>
      <c r="W55" s="22">
        <f>V55/V$17</f>
        <v>1.6581977623383154E-3</v>
      </c>
      <c r="X55" s="45">
        <v>6317</v>
      </c>
      <c r="Y55" s="22">
        <f>X55/X$17</f>
        <v>3.3357606532324457E-3</v>
      </c>
      <c r="Z55" s="45">
        <f t="shared" ref="Z55:Z58" si="50">SUM(B55,D55,F55,H55,J55,L55,N55,P55,R55,T55,V55,X55)</f>
        <v>58651</v>
      </c>
      <c r="AA55" s="45"/>
      <c r="AB55" s="45"/>
      <c r="AC55" s="16"/>
      <c r="AD55" s="33"/>
      <c r="AE55" s="16">
        <f>IFERROR(AVERAGE(R55:V55),0)</f>
        <v>4268.6014576777952</v>
      </c>
      <c r="AF55" s="33"/>
      <c r="AK55" s="56"/>
      <c r="AL55" s="66"/>
    </row>
    <row r="56" spans="1:39" ht="20" customHeight="1">
      <c r="A56" s="142" t="s">
        <v>75</v>
      </c>
      <c r="B56" s="45"/>
      <c r="C56" s="22"/>
      <c r="D56" s="45"/>
      <c r="E56" s="22"/>
      <c r="F56" s="45"/>
      <c r="G56" s="22"/>
      <c r="H56" s="45">
        <v>0</v>
      </c>
      <c r="I56" s="22"/>
      <c r="J56" s="45">
        <v>0</v>
      </c>
      <c r="K56" s="22"/>
      <c r="L56" s="45">
        <v>0</v>
      </c>
      <c r="M56" s="22"/>
      <c r="N56" s="45">
        <v>6442</v>
      </c>
      <c r="O56" s="22"/>
      <c r="P56" s="45">
        <v>0</v>
      </c>
      <c r="Q56" s="22"/>
      <c r="R56" s="45">
        <v>0</v>
      </c>
      <c r="S56" s="22"/>
      <c r="T56" s="45"/>
      <c r="U56" s="22"/>
      <c r="V56" s="45">
        <v>2</v>
      </c>
      <c r="W56" s="22"/>
      <c r="X56" s="45">
        <v>0</v>
      </c>
      <c r="Y56" s="22"/>
      <c r="Z56" s="45">
        <f t="shared" si="50"/>
        <v>6444</v>
      </c>
      <c r="AA56" s="45"/>
      <c r="AB56" s="45"/>
      <c r="AC56" s="16"/>
      <c r="AD56" s="33"/>
      <c r="AE56" s="16">
        <f>IFERROR(AVERAGE(R56:V56),0)</f>
        <v>1</v>
      </c>
      <c r="AF56" s="33"/>
      <c r="AK56" s="56"/>
      <c r="AL56" s="66"/>
    </row>
    <row r="57" spans="1:39" ht="20" customHeight="1">
      <c r="A57" s="153" t="s">
        <v>76</v>
      </c>
      <c r="B57" s="46">
        <v>27328</v>
      </c>
      <c r="C57" s="57">
        <f>B57/B$17</f>
        <v>9.9266074707456027E-3</v>
      </c>
      <c r="D57" s="46">
        <v>11065</v>
      </c>
      <c r="E57" s="57">
        <f>D57/D$17</f>
        <v>5.4489565974479284E-3</v>
      </c>
      <c r="F57" s="46">
        <v>19054</v>
      </c>
      <c r="G57" s="57">
        <f>F57/F$17</f>
        <v>9.3752291036554736E-3</v>
      </c>
      <c r="H57" s="46">
        <v>4272</v>
      </c>
      <c r="I57" s="57">
        <f>H57/H$17</f>
        <v>2.132148274142761E-3</v>
      </c>
      <c r="J57" s="46">
        <v>6612</v>
      </c>
      <c r="K57" s="57">
        <f>J57/J$17</f>
        <v>2.7346439937713644E-3</v>
      </c>
      <c r="L57" s="46">
        <v>2919</v>
      </c>
      <c r="M57" s="57">
        <f>L57/L$17</f>
        <v>1.3629786242554164E-3</v>
      </c>
      <c r="N57" s="46">
        <v>12969</v>
      </c>
      <c r="O57" s="57">
        <f>N57/N$17</f>
        <v>5.7217531179782344E-3</v>
      </c>
      <c r="P57" s="46">
        <v>7661</v>
      </c>
      <c r="Q57" s="57">
        <f>P57/P$17</f>
        <v>2.4816749313579275E-3</v>
      </c>
      <c r="R57" s="46">
        <v>11258</v>
      </c>
      <c r="S57" s="57">
        <f>R57/R$17</f>
        <v>4.2799151164108016E-3</v>
      </c>
      <c r="T57" s="46">
        <v>5689</v>
      </c>
      <c r="U57" s="57">
        <f>T57/T$17</f>
        <v>3.0084738592230957E-3</v>
      </c>
      <c r="V57" s="46">
        <v>4398</v>
      </c>
      <c r="W57" s="57">
        <f>V57/V$17</f>
        <v>1.6589521744230916E-3</v>
      </c>
      <c r="X57" s="46">
        <v>6317</v>
      </c>
      <c r="Y57" s="57">
        <f>X57/X$17</f>
        <v>3.3357606532324457E-3</v>
      </c>
      <c r="Z57" s="46">
        <f t="shared" si="50"/>
        <v>119542</v>
      </c>
      <c r="AA57" s="46"/>
      <c r="AB57" s="46"/>
      <c r="AC57" s="46"/>
      <c r="AD57" s="42"/>
      <c r="AE57" s="46">
        <f>IFERROR(AVERAGE(R57:V57),0)</f>
        <v>4269.0014576777958</v>
      </c>
      <c r="AF57" s="42"/>
      <c r="AK57" s="56"/>
      <c r="AL57" s="66"/>
    </row>
    <row r="58" spans="1:39" ht="20" customHeight="1">
      <c r="A58" s="153" t="s">
        <v>77</v>
      </c>
      <c r="B58" s="19">
        <v>675633</v>
      </c>
      <c r="C58" s="57">
        <f>B58/B$17</f>
        <v>0.24541655391108988</v>
      </c>
      <c r="D58" s="19">
        <v>750396</v>
      </c>
      <c r="E58" s="57">
        <f>D58/D$17</f>
        <v>0.36953233031166161</v>
      </c>
      <c r="F58" s="19">
        <v>860749</v>
      </c>
      <c r="G58" s="57">
        <f>F58/F$17</f>
        <v>0.42351837282157789</v>
      </c>
      <c r="H58" s="19">
        <v>744658</v>
      </c>
      <c r="I58" s="57">
        <f>H58/H$17</f>
        <v>0.37165760054461616</v>
      </c>
      <c r="J58" s="19">
        <v>790453</v>
      </c>
      <c r="K58" s="57">
        <f>J58/J$17</f>
        <v>0.32692189183432491</v>
      </c>
      <c r="L58" s="19">
        <v>768174</v>
      </c>
      <c r="M58" s="57">
        <f>L58/L$17</f>
        <v>0.35868610541582052</v>
      </c>
      <c r="N58" s="19">
        <v>757395</v>
      </c>
      <c r="O58" s="57">
        <f>N58/N$17</f>
        <v>0.33415276449927711</v>
      </c>
      <c r="P58" s="19">
        <v>765368</v>
      </c>
      <c r="Q58" s="57">
        <f>P58/P$17</f>
        <v>0.24793037186575567</v>
      </c>
      <c r="R58" s="19">
        <v>731505</v>
      </c>
      <c r="S58" s="57">
        <f>R58/R$17</f>
        <v>0.27809373842868035</v>
      </c>
      <c r="T58" s="19">
        <v>758021</v>
      </c>
      <c r="U58" s="57">
        <f>T58/T$17</f>
        <v>0.40085891426299003</v>
      </c>
      <c r="V58" s="19">
        <v>755656</v>
      </c>
      <c r="W58" s="57">
        <f>V58/V$17</f>
        <v>0.28503800916686123</v>
      </c>
      <c r="X58" s="19">
        <v>901781</v>
      </c>
      <c r="Y58" s="57">
        <f>X58/X$17</f>
        <v>0.47619527903001552</v>
      </c>
      <c r="Z58" s="19">
        <f t="shared" si="50"/>
        <v>9259789</v>
      </c>
      <c r="AA58" s="19"/>
      <c r="AB58" s="19"/>
      <c r="AC58" s="19"/>
      <c r="AD58" s="42"/>
      <c r="AE58" s="19">
        <f>IFERROR(AVERAGE(R58:V58),0)</f>
        <v>449036.53579053062</v>
      </c>
      <c r="AF58" s="42"/>
      <c r="AK58" s="56"/>
      <c r="AL58" s="66"/>
    </row>
    <row r="59" spans="1:39" ht="20" customHeight="1">
      <c r="A59" s="154"/>
      <c r="B59" s="16"/>
      <c r="C59" s="22"/>
      <c r="D59" s="16"/>
      <c r="E59" s="22"/>
      <c r="F59" s="16"/>
      <c r="G59" s="22"/>
      <c r="H59" s="16"/>
      <c r="I59" s="22"/>
      <c r="J59" s="16"/>
      <c r="K59" s="22"/>
      <c r="L59" s="16"/>
      <c r="M59" s="22"/>
      <c r="N59" s="16"/>
      <c r="O59" s="22"/>
      <c r="P59" s="16"/>
      <c r="Q59" s="22"/>
      <c r="R59" s="16"/>
      <c r="S59" s="22"/>
      <c r="T59" s="16"/>
      <c r="U59" s="22"/>
      <c r="V59" s="16"/>
      <c r="W59" s="22"/>
      <c r="X59" s="16"/>
      <c r="Y59" s="22"/>
      <c r="Z59" s="16">
        <f t="shared" ref="Z59" si="51">SUM(F59,H59,J59,L59,N59,P59,R59,T59,V59,X59)</f>
        <v>0</v>
      </c>
      <c r="AA59" s="16"/>
      <c r="AB59" s="16"/>
      <c r="AC59" s="16"/>
      <c r="AD59" s="16"/>
      <c r="AE59" s="16"/>
      <c r="AF59" s="16"/>
      <c r="AK59" s="56"/>
      <c r="AL59" s="66"/>
    </row>
    <row r="60" spans="1:39" s="24" customFormat="1" ht="20" customHeight="1" thickTop="1" thickBot="1">
      <c r="A60" s="155" t="s">
        <v>78</v>
      </c>
      <c r="B60" s="30">
        <v>584348</v>
      </c>
      <c r="C60" s="64">
        <f>B60/B$17</f>
        <v>0.2122582414488895</v>
      </c>
      <c r="D60" s="30">
        <v>428602</v>
      </c>
      <c r="E60" s="64">
        <f>D60/D$17</f>
        <v>0.21106495215358129</v>
      </c>
      <c r="F60" s="30">
        <v>340317</v>
      </c>
      <c r="G60" s="64">
        <f>F60/F$17</f>
        <v>0.16744777174707251</v>
      </c>
      <c r="H60" s="30">
        <v>343686</v>
      </c>
      <c r="I60" s="64">
        <f>H60/H$17</f>
        <v>0.17153312540894874</v>
      </c>
      <c r="J60" s="30">
        <f>J29-J58</f>
        <v>442005</v>
      </c>
      <c r="K60" s="64">
        <f>J60/J$17</f>
        <v>0.18280797314986569</v>
      </c>
      <c r="L60" s="30">
        <f>L29-L58</f>
        <v>339184</v>
      </c>
      <c r="M60" s="64">
        <f>L60/L$17</f>
        <v>0.15837634179152077</v>
      </c>
      <c r="N60" s="30">
        <f>N29-N58</f>
        <v>425300</v>
      </c>
      <c r="O60" s="64">
        <f>N60/N$17</f>
        <v>0.18763679551824683</v>
      </c>
      <c r="P60" s="30">
        <f>P29-P58</f>
        <v>536954</v>
      </c>
      <c r="Q60" s="64">
        <f>P60/P$17</f>
        <v>0.17393881752935186</v>
      </c>
      <c r="R60" s="30">
        <f>R29-R58</f>
        <v>361992</v>
      </c>
      <c r="S60" s="64">
        <f>R60/R$17</f>
        <v>0.13761725287082777</v>
      </c>
      <c r="T60" s="30">
        <f>T29-T58</f>
        <v>189861</v>
      </c>
      <c r="U60" s="64">
        <f>T60/T$17</f>
        <v>0.10040285733625526</v>
      </c>
      <c r="V60" s="30">
        <f>V29-V58</f>
        <v>274472</v>
      </c>
      <c r="W60" s="64">
        <f>V60/V$17</f>
        <v>0.1035324968663608</v>
      </c>
      <c r="X60" s="30">
        <f>X29-X58</f>
        <v>-134393</v>
      </c>
      <c r="Y60" s="64">
        <f>X60/X$17</f>
        <v>-7.0967687425972467E-2</v>
      </c>
      <c r="Z60" s="30">
        <f t="shared" ref="Z60" si="52">SUM(B60,D60,F60,H60,J60,L60,N60,P60,R60,T60,V60,X60)</f>
        <v>4132328</v>
      </c>
      <c r="AA60" s="30"/>
      <c r="AB60" s="30"/>
      <c r="AC60" s="30"/>
      <c r="AD60" s="39"/>
      <c r="AE60" s="30">
        <f>IFERROR(AVERAGE(R60:V60),0)</f>
        <v>165265.04760402202</v>
      </c>
      <c r="AF60" s="39"/>
      <c r="AK60" s="56"/>
      <c r="AL60" s="66"/>
      <c r="AM60" s="135"/>
    </row>
    <row r="61" spans="1:39" ht="20" customHeight="1">
      <c r="A61" s="156" t="s">
        <v>79</v>
      </c>
      <c r="B61" s="22">
        <v>0.10464890306551268</v>
      </c>
      <c r="C61" s="22">
        <f t="shared" ref="C61" si="53">C60/C17</f>
        <v>0.2122582414488895</v>
      </c>
      <c r="D61" s="22">
        <v>0.10159365683035687</v>
      </c>
      <c r="E61" s="22">
        <f t="shared" ref="E61" si="54">E60/E17</f>
        <v>0.21106495215358129</v>
      </c>
      <c r="F61" s="22">
        <v>0.2122582414488895</v>
      </c>
      <c r="G61" s="22">
        <f t="shared" ref="G61" si="55">G60/G17</f>
        <v>0.16744777174707251</v>
      </c>
      <c r="H61" s="22">
        <v>0.21106495215358129</v>
      </c>
      <c r="I61" s="22">
        <f t="shared" ref="I61" si="56">I60/I17</f>
        <v>0.17153312540894874</v>
      </c>
      <c r="J61" s="22">
        <v>0.16744777174707251</v>
      </c>
      <c r="K61" s="22">
        <f t="shared" ref="K61" si="57">K60/K17</f>
        <v>0.18280797314986569</v>
      </c>
      <c r="L61" s="22">
        <v>0.17153312540894874</v>
      </c>
      <c r="M61" s="22">
        <f t="shared" ref="M61:V61" si="58">M60/M17</f>
        <v>0.15837634179152077</v>
      </c>
      <c r="N61" s="22">
        <f t="shared" si="58"/>
        <v>0.18763679551824683</v>
      </c>
      <c r="O61" s="22">
        <f t="shared" si="58"/>
        <v>0.18763679551824683</v>
      </c>
      <c r="P61" s="22">
        <f t="shared" si="58"/>
        <v>0.17393881752935186</v>
      </c>
      <c r="Q61" s="22">
        <f t="shared" si="58"/>
        <v>0.17393881752935186</v>
      </c>
      <c r="R61" s="22">
        <f t="shared" si="58"/>
        <v>0.13761725287082777</v>
      </c>
      <c r="S61" s="22">
        <f t="shared" si="58"/>
        <v>0.13761725287082777</v>
      </c>
      <c r="T61" s="22">
        <f t="shared" si="58"/>
        <v>0.10040285733625526</v>
      </c>
      <c r="U61" s="22">
        <f t="shared" si="58"/>
        <v>0.10040285733625526</v>
      </c>
      <c r="V61" s="22">
        <f t="shared" si="58"/>
        <v>0.1035324968663608</v>
      </c>
      <c r="W61" s="22">
        <f t="shared" ref="W61:X61" si="59">W60/W17</f>
        <v>0.1035324968663608</v>
      </c>
      <c r="X61" s="22">
        <f t="shared" si="59"/>
        <v>-7.0967687425972467E-2</v>
      </c>
      <c r="Y61" s="22">
        <f t="shared" ref="Y61:Z61" si="60">Y60/Y17</f>
        <v>-7.0967687425972467E-2</v>
      </c>
      <c r="Z61" s="22">
        <f t="shared" si="60"/>
        <v>0.14865019643866428</v>
      </c>
      <c r="AA61" s="131"/>
      <c r="AB61" s="131"/>
      <c r="AC61" s="12"/>
      <c r="AD61" s="33"/>
      <c r="AE61" s="12"/>
      <c r="AF61" s="33"/>
      <c r="AK61" s="56"/>
    </row>
    <row r="62" spans="1:39" ht="20" customHeight="1">
      <c r="A62" s="142"/>
      <c r="B62" s="16"/>
      <c r="C62" s="22"/>
      <c r="D62" s="16"/>
      <c r="E62" s="22"/>
      <c r="F62" s="16"/>
      <c r="G62" s="22"/>
      <c r="H62" s="16"/>
      <c r="I62" s="22"/>
      <c r="J62" s="16"/>
      <c r="K62" s="22"/>
      <c r="L62" s="16"/>
      <c r="M62" s="22"/>
      <c r="N62" s="16"/>
      <c r="O62" s="22"/>
      <c r="P62" s="16"/>
      <c r="Q62" s="22"/>
      <c r="R62" s="16"/>
      <c r="S62" s="22"/>
      <c r="U62" s="22"/>
      <c r="W62" s="22"/>
      <c r="Y62" s="22"/>
      <c r="Z62"/>
      <c r="AA62" s="16"/>
      <c r="AB62" s="16"/>
      <c r="AC62" s="16"/>
      <c r="AD62" s="16"/>
      <c r="AE62" s="16"/>
      <c r="AF62" s="16"/>
      <c r="AK62" s="56"/>
      <c r="AL62" s="66"/>
    </row>
    <row r="63" spans="1:39" ht="20" customHeight="1">
      <c r="A63" s="152" t="s">
        <v>80</v>
      </c>
      <c r="B63" s="16"/>
      <c r="C63" s="22"/>
      <c r="D63" s="16"/>
      <c r="E63" s="22"/>
      <c r="F63" s="16"/>
      <c r="G63" s="22"/>
      <c r="H63" s="16"/>
      <c r="I63" s="22"/>
      <c r="J63" s="16"/>
      <c r="K63" s="22"/>
      <c r="L63" s="16"/>
      <c r="M63" s="22"/>
      <c r="N63" s="16"/>
      <c r="O63" s="22"/>
      <c r="P63" s="16"/>
      <c r="Q63" s="22"/>
      <c r="R63" s="16"/>
      <c r="S63" s="22"/>
      <c r="U63" s="22"/>
      <c r="W63" s="22"/>
      <c r="Y63" s="22"/>
      <c r="Z63"/>
      <c r="AA63" s="16"/>
      <c r="AB63" s="16"/>
      <c r="AC63" s="16"/>
      <c r="AD63" s="16"/>
      <c r="AE63" s="16"/>
      <c r="AF63" s="16"/>
      <c r="AK63" s="56"/>
      <c r="AL63" s="66"/>
    </row>
    <row r="64" spans="1:39" ht="20" customHeight="1">
      <c r="A64" s="152" t="s">
        <v>81</v>
      </c>
      <c r="B64" s="16"/>
      <c r="C64" s="22"/>
      <c r="D64" s="16"/>
      <c r="E64" s="22"/>
      <c r="F64" s="16"/>
      <c r="G64" s="22"/>
      <c r="H64" s="16"/>
      <c r="I64" s="22"/>
      <c r="J64" s="16"/>
      <c r="K64" s="22"/>
      <c r="L64" s="16"/>
      <c r="M64" s="22"/>
      <c r="N64" s="16"/>
      <c r="O64" s="22"/>
      <c r="P64" s="16"/>
      <c r="Q64" s="22"/>
      <c r="R64" s="16"/>
      <c r="S64" s="22"/>
      <c r="U64" s="22"/>
      <c r="W64" s="22"/>
      <c r="Y64" s="22"/>
      <c r="Z64"/>
      <c r="AA64" s="16"/>
      <c r="AB64" s="16"/>
      <c r="AC64" s="16"/>
      <c r="AD64" s="16"/>
      <c r="AE64" s="16"/>
      <c r="AF64" s="16"/>
      <c r="AK64" s="56"/>
      <c r="AL64" s="66"/>
    </row>
    <row r="65" spans="1:39" ht="20" customHeight="1">
      <c r="A65" s="142" t="s">
        <v>82</v>
      </c>
      <c r="B65" s="16">
        <v>0</v>
      </c>
      <c r="C65" s="22"/>
      <c r="D65" s="16">
        <v>0</v>
      </c>
      <c r="E65" s="22"/>
      <c r="F65" s="16">
        <v>0</v>
      </c>
      <c r="G65" s="22"/>
      <c r="H65" s="16">
        <v>0</v>
      </c>
      <c r="I65" s="22"/>
      <c r="J65" s="16">
        <v>0</v>
      </c>
      <c r="K65" s="22"/>
      <c r="L65" s="16"/>
      <c r="M65" s="22"/>
      <c r="N65" s="16">
        <v>781</v>
      </c>
      <c r="O65" s="22"/>
      <c r="P65" s="16">
        <v>0</v>
      </c>
      <c r="Q65" s="22"/>
      <c r="R65" s="16">
        <v>0</v>
      </c>
      <c r="S65" s="22"/>
      <c r="U65" s="22"/>
      <c r="W65" s="22"/>
      <c r="X65">
        <v>468</v>
      </c>
      <c r="Y65" s="22"/>
      <c r="Z65">
        <f t="shared" ref="Z65:Z67" si="61">SUM(B65,D65,F65,H65,J65,L65,N65,P65,R65,T65,V65,X65)</f>
        <v>1249</v>
      </c>
      <c r="AA65" s="16"/>
      <c r="AB65" s="16"/>
      <c r="AC65" s="16"/>
      <c r="AD65" s="33"/>
      <c r="AE65" s="16">
        <f>IFERROR(AVERAGE(R65:V65),0)</f>
        <v>0</v>
      </c>
      <c r="AF65" s="33"/>
      <c r="AK65" s="56"/>
      <c r="AL65" s="66"/>
    </row>
    <row r="66" spans="1:39" ht="20" customHeight="1">
      <c r="A66" s="142" t="s">
        <v>81</v>
      </c>
      <c r="B66" s="16">
        <v>0</v>
      </c>
      <c r="C66" s="22">
        <f>B66/B$17</f>
        <v>0</v>
      </c>
      <c r="D66" s="16">
        <v>20</v>
      </c>
      <c r="E66" s="22">
        <f>D66/D$17</f>
        <v>9.8489952055091341E-6</v>
      </c>
      <c r="F66" s="16">
        <v>0</v>
      </c>
      <c r="G66" s="22">
        <f>F66/F$17</f>
        <v>0</v>
      </c>
      <c r="H66" s="16">
        <v>0</v>
      </c>
      <c r="I66" s="22">
        <f>H66/H$17</f>
        <v>0</v>
      </c>
      <c r="J66" s="16">
        <v>504</v>
      </c>
      <c r="K66" s="22">
        <f>J66/J$17</f>
        <v>2.0844836250162851E-4</v>
      </c>
      <c r="L66" s="16"/>
      <c r="M66" s="22">
        <f>L66/L$17</f>
        <v>0</v>
      </c>
      <c r="N66" s="16">
        <v>2256</v>
      </c>
      <c r="O66" s="22">
        <f>N66/N$17</f>
        <v>9.9531768325691232E-4</v>
      </c>
      <c r="P66" s="16">
        <v>0</v>
      </c>
      <c r="Q66" s="22">
        <f>P66/P$17</f>
        <v>0</v>
      </c>
      <c r="R66" s="16">
        <v>1433</v>
      </c>
      <c r="S66" s="22">
        <f>R66/R$17</f>
        <v>5.4477867843459571E-4</v>
      </c>
      <c r="T66">
        <v>0</v>
      </c>
      <c r="U66" s="22">
        <f>T66/T$17</f>
        <v>0</v>
      </c>
      <c r="W66" s="22">
        <f>V66/V$17</f>
        <v>0</v>
      </c>
      <c r="X66">
        <v>454000</v>
      </c>
      <c r="Y66" s="22">
        <f>X66/X$17</f>
        <v>0.23973964485792787</v>
      </c>
      <c r="Z66">
        <f t="shared" si="61"/>
        <v>458213</v>
      </c>
      <c r="AA66" s="16"/>
      <c r="AB66" s="16"/>
      <c r="AC66" s="16"/>
      <c r="AD66" s="33"/>
      <c r="AE66" s="16">
        <f>IFERROR(AVERAGE(R66:V66),0)</f>
        <v>358.25013619466961</v>
      </c>
      <c r="AF66" s="33"/>
      <c r="AK66" s="56"/>
      <c r="AL66" s="66"/>
    </row>
    <row r="67" spans="1:39" ht="20" customHeight="1">
      <c r="A67" s="142" t="s">
        <v>83</v>
      </c>
      <c r="B67" s="16">
        <v>0</v>
      </c>
      <c r="C67" s="22">
        <f>B67/B$17</f>
        <v>0</v>
      </c>
      <c r="D67" s="16">
        <v>20</v>
      </c>
      <c r="E67" s="22">
        <f>D67/D$17</f>
        <v>9.8489952055091341E-6</v>
      </c>
      <c r="F67" s="16">
        <v>0</v>
      </c>
      <c r="G67" s="22">
        <f>F67/F$17</f>
        <v>0</v>
      </c>
      <c r="H67" s="16">
        <v>0</v>
      </c>
      <c r="I67" s="22">
        <f>H67/H$17</f>
        <v>0</v>
      </c>
      <c r="J67" s="16">
        <v>504</v>
      </c>
      <c r="K67" s="22">
        <f>J67/J$17</f>
        <v>2.0844836250162851E-4</v>
      </c>
      <c r="L67" s="16"/>
      <c r="M67" s="22">
        <f>L67/L$17</f>
        <v>0</v>
      </c>
      <c r="N67" s="16">
        <f>+N66+N65</f>
        <v>3037</v>
      </c>
      <c r="O67" s="22">
        <f>N67/N$17</f>
        <v>1.3398846649163311E-3</v>
      </c>
      <c r="P67" s="16">
        <v>0</v>
      </c>
      <c r="Q67" s="22">
        <f>P67/P$17</f>
        <v>0</v>
      </c>
      <c r="R67" s="16">
        <v>1433</v>
      </c>
      <c r="S67" s="22">
        <f>R67/R$17</f>
        <v>5.4477867843459571E-4</v>
      </c>
      <c r="T67">
        <v>0</v>
      </c>
      <c r="U67" s="22">
        <f>T67/T$17</f>
        <v>0</v>
      </c>
      <c r="V67">
        <v>916</v>
      </c>
      <c r="W67" s="22">
        <f>V67/V$17</f>
        <v>3.4552073482754705E-4</v>
      </c>
      <c r="X67">
        <f>+X66+X65</f>
        <v>454468</v>
      </c>
      <c r="Y67" s="22">
        <f>X67/X$17</f>
        <v>0.23998677735527038</v>
      </c>
      <c r="Z67">
        <f t="shared" si="61"/>
        <v>460378</v>
      </c>
      <c r="AA67" s="16"/>
      <c r="AB67" s="16"/>
      <c r="AC67" s="16"/>
      <c r="AD67" s="33"/>
      <c r="AE67" s="16">
        <f>IFERROR(AVERAGE(R67:V67),0)</f>
        <v>469.80010895573571</v>
      </c>
      <c r="AF67" s="33"/>
      <c r="AK67" s="56"/>
      <c r="AL67" s="66"/>
    </row>
    <row r="68" spans="1:39" ht="20" customHeight="1">
      <c r="A68" s="142"/>
      <c r="B68" s="16"/>
      <c r="C68" s="22"/>
      <c r="D68" s="16"/>
      <c r="E68" s="22"/>
      <c r="F68" s="16"/>
      <c r="G68" s="22"/>
      <c r="H68" s="16"/>
      <c r="I68" s="22"/>
      <c r="J68" s="16"/>
      <c r="K68" s="22"/>
      <c r="L68" s="16"/>
      <c r="M68" s="22"/>
      <c r="N68" s="16"/>
      <c r="O68" s="22"/>
      <c r="P68" s="16"/>
      <c r="Q68" s="22"/>
      <c r="R68" s="16"/>
      <c r="S68" s="22"/>
      <c r="U68" s="22"/>
      <c r="W68" s="22"/>
      <c r="Y68" s="22"/>
      <c r="Z68"/>
      <c r="AA68" s="16"/>
      <c r="AB68" s="16"/>
      <c r="AC68" s="16"/>
      <c r="AD68" s="33"/>
      <c r="AE68" s="16"/>
      <c r="AF68" s="33"/>
      <c r="AK68" s="56"/>
      <c r="AL68" s="66"/>
    </row>
    <row r="69" spans="1:39" ht="20" customHeight="1">
      <c r="A69" s="141" t="s">
        <v>84</v>
      </c>
      <c r="B69" s="16"/>
      <c r="C69" s="22"/>
      <c r="D69" s="16"/>
      <c r="E69" s="22"/>
      <c r="F69" s="16"/>
      <c r="G69" s="22"/>
      <c r="H69" s="16"/>
      <c r="I69" s="22"/>
      <c r="J69" s="16"/>
      <c r="K69" s="22"/>
      <c r="L69" s="16"/>
      <c r="M69" s="22"/>
      <c r="N69" s="16"/>
      <c r="O69" s="22"/>
      <c r="P69" s="16"/>
      <c r="Q69" s="22"/>
      <c r="R69" s="16"/>
      <c r="S69" s="22"/>
      <c r="T69" s="16"/>
      <c r="U69" s="22"/>
      <c r="V69" s="16"/>
      <c r="W69" s="22"/>
      <c r="X69" s="16"/>
      <c r="Y69" s="22"/>
      <c r="Z69" s="16"/>
      <c r="AA69" s="16"/>
      <c r="AB69" s="16"/>
      <c r="AC69" s="16"/>
      <c r="AD69" s="17"/>
      <c r="AE69" s="16"/>
      <c r="AF69" s="12"/>
      <c r="AK69" s="56"/>
      <c r="AL69" s="66"/>
    </row>
    <row r="70" spans="1:39" ht="20" customHeight="1">
      <c r="A70" s="142" t="s">
        <v>85</v>
      </c>
      <c r="B70" s="16">
        <v>-10982</v>
      </c>
      <c r="C70" s="22">
        <f>B70/B$17</f>
        <v>-3.9890955519514132E-3</v>
      </c>
      <c r="D70" s="16">
        <v>-2758</v>
      </c>
      <c r="E70" s="22">
        <f>D70/D$17</f>
        <v>-1.3581764388397096E-3</v>
      </c>
      <c r="F70" s="16">
        <v>-10982</v>
      </c>
      <c r="G70" s="22">
        <f>F70/F$17</f>
        <v>-5.4035250349713662E-3</v>
      </c>
      <c r="H70" s="16">
        <v>-11178</v>
      </c>
      <c r="I70" s="22">
        <f>H70/H$17</f>
        <v>-5.5789216779887135E-3</v>
      </c>
      <c r="J70" s="16">
        <v>-11489</v>
      </c>
      <c r="K70" s="22">
        <f>J70/J$17</f>
        <v>-4.7517127713912893E-3</v>
      </c>
      <c r="L70" s="16">
        <v>-11541</v>
      </c>
      <c r="M70" s="22">
        <f>L70/L$17</f>
        <v>-5.38887848665014E-3</v>
      </c>
      <c r="N70" s="16">
        <v>-11356</v>
      </c>
      <c r="O70" s="22">
        <f>N70/N$17</f>
        <v>-5.0101186219261955E-3</v>
      </c>
      <c r="P70" s="16">
        <v>-11869</v>
      </c>
      <c r="Q70" s="22">
        <f>P70/P$17</f>
        <v>-3.8447982979098344E-3</v>
      </c>
      <c r="R70" s="16">
        <v>-11145</v>
      </c>
      <c r="S70" s="22">
        <f>R70/R$17</f>
        <v>-4.2369562952920938E-3</v>
      </c>
      <c r="T70" s="16">
        <v>-10330</v>
      </c>
      <c r="U70" s="22">
        <f>T70/T$17</f>
        <v>-5.4627412490375424E-3</v>
      </c>
      <c r="V70" s="16">
        <v>-11177</v>
      </c>
      <c r="W70" s="22">
        <f>V70/V$17</f>
        <v>-4.2160319357723731E-3</v>
      </c>
      <c r="X70" s="16">
        <v>-11078</v>
      </c>
      <c r="Y70" s="22">
        <f>X70/X$17</f>
        <v>-5.8498585588901428E-3</v>
      </c>
      <c r="Z70" s="16">
        <f t="shared" ref="Z70:Z74" si="62">SUM(B70,D70,F70,H70,J70,L70,N70,P70,R70,T70,V70,X70)</f>
        <v>-125885</v>
      </c>
      <c r="AA70" s="16"/>
      <c r="AB70" s="16"/>
      <c r="AC70" s="16"/>
      <c r="AD70" s="33"/>
      <c r="AE70" s="16">
        <f>IFERROR(AVERAGE(R70:V70),0)</f>
        <v>-6530.4019399395092</v>
      </c>
      <c r="AF70" s="33"/>
      <c r="AK70" s="56"/>
      <c r="AL70" s="66"/>
    </row>
    <row r="71" spans="1:39" ht="20" customHeight="1">
      <c r="A71" s="142" t="s">
        <v>86</v>
      </c>
      <c r="B71" s="16">
        <v>-9822</v>
      </c>
      <c r="C71" s="22">
        <f>B71/B$17</f>
        <v>-3.5677377992411928E-3</v>
      </c>
      <c r="D71" s="16">
        <v>-19616</v>
      </c>
      <c r="E71" s="22">
        <f>D71/D$17</f>
        <v>-9.659894497563359E-3</v>
      </c>
      <c r="F71" s="16">
        <v>-9917</v>
      </c>
      <c r="G71" s="22">
        <f>F71/F$17</f>
        <v>-4.8795080833920089E-3</v>
      </c>
      <c r="H71" s="16">
        <v>-17067</v>
      </c>
      <c r="I71" s="22">
        <f>H71/H$17</f>
        <v>-8.518112030616691E-3</v>
      </c>
      <c r="J71" s="16">
        <v>-18300</v>
      </c>
      <c r="K71" s="22">
        <f>J71/J$17</f>
        <v>-7.5686607813091299E-3</v>
      </c>
      <c r="L71" s="16">
        <v>-14252</v>
      </c>
      <c r="M71" s="22">
        <f>L71/L$17</f>
        <v>-6.6547349615923923E-3</v>
      </c>
      <c r="N71" s="16">
        <v>-29295</v>
      </c>
      <c r="O71" s="22">
        <f>N71/N$17</f>
        <v>-1.2924570714100731E-2</v>
      </c>
      <c r="P71" s="16">
        <v>-21259</v>
      </c>
      <c r="Q71" s="22">
        <f>P71/P$17</f>
        <v>-6.8865588520739037E-3</v>
      </c>
      <c r="R71" s="16">
        <v>-14497</v>
      </c>
      <c r="S71" s="22">
        <f>R71/R$17</f>
        <v>-5.5112745996275889E-3</v>
      </c>
      <c r="T71" s="16">
        <v>-16176</v>
      </c>
      <c r="U71" s="22">
        <f>T71/T$17</f>
        <v>-8.5542403140785369E-3</v>
      </c>
      <c r="V71" s="16">
        <v>-22239</v>
      </c>
      <c r="W71" s="22">
        <f>V71/V$17</f>
        <v>-8.3886851766701073E-3</v>
      </c>
      <c r="X71" s="16">
        <v>-33345</v>
      </c>
      <c r="Y71" s="22">
        <f>X71/X$17</f>
        <v>-1.7608190435655518E-2</v>
      </c>
      <c r="Z71" s="16">
        <f t="shared" si="62"/>
        <v>-225785</v>
      </c>
      <c r="AA71" s="16"/>
      <c r="AB71" s="16"/>
      <c r="AC71" s="16"/>
      <c r="AD71" s="33"/>
      <c r="AE71" s="16">
        <f>IFERROR(AVERAGE(R71:V71),0)</f>
        <v>-10582.402813102983</v>
      </c>
      <c r="AF71" s="33"/>
      <c r="AK71" s="56"/>
      <c r="AL71" s="66"/>
    </row>
    <row r="72" spans="1:39" ht="20" customHeight="1">
      <c r="A72" s="142" t="s">
        <v>87</v>
      </c>
      <c r="B72" s="16">
        <v>-1</v>
      </c>
      <c r="C72" s="22">
        <f>B72/B$17</f>
        <v>-3.6323944199156922E-7</v>
      </c>
      <c r="D72" s="16">
        <v>-12</v>
      </c>
      <c r="E72" s="22">
        <f>D72/D$17</f>
        <v>-5.9093971233054803E-6</v>
      </c>
      <c r="F72" s="16">
        <v>-2</v>
      </c>
      <c r="G72" s="22">
        <f>F72/F$17</f>
        <v>-9.8406939263729125E-7</v>
      </c>
      <c r="H72" s="16">
        <v>0</v>
      </c>
      <c r="I72" s="22">
        <f>H72/H$17</f>
        <v>0</v>
      </c>
      <c r="J72" s="16">
        <v>0</v>
      </c>
      <c r="K72" s="22">
        <f>J72/J$17</f>
        <v>0</v>
      </c>
      <c r="L72" s="16">
        <v>0</v>
      </c>
      <c r="M72" s="22">
        <f>L72/L$17</f>
        <v>0</v>
      </c>
      <c r="N72" s="16">
        <v>0</v>
      </c>
      <c r="O72" s="22">
        <f>N72/N$17</f>
        <v>0</v>
      </c>
      <c r="P72" s="16">
        <v>0</v>
      </c>
      <c r="Q72" s="22">
        <f>P72/P$17</f>
        <v>0</v>
      </c>
      <c r="R72" s="16">
        <v>0</v>
      </c>
      <c r="S72" s="22">
        <f>R72/R$17</f>
        <v>0</v>
      </c>
      <c r="T72" s="16">
        <v>0</v>
      </c>
      <c r="U72" s="22">
        <f>T72/T$17</f>
        <v>0</v>
      </c>
      <c r="V72" s="16">
        <v>0</v>
      </c>
      <c r="W72" s="22">
        <f>V72/V$17</f>
        <v>0</v>
      </c>
      <c r="X72" s="16">
        <v>0</v>
      </c>
      <c r="Y72" s="22">
        <f>X72/X$17</f>
        <v>0</v>
      </c>
      <c r="Z72" s="16">
        <f t="shared" si="62"/>
        <v>-15</v>
      </c>
      <c r="AA72" s="16"/>
      <c r="AB72" s="16"/>
      <c r="AC72" s="16"/>
      <c r="AD72" s="33"/>
      <c r="AE72" s="16">
        <f>IFERROR(AVERAGE(R72:V72),0)</f>
        <v>0</v>
      </c>
      <c r="AF72" s="33"/>
      <c r="AK72" s="56"/>
      <c r="AL72" s="66"/>
    </row>
    <row r="73" spans="1:39" ht="20" customHeight="1">
      <c r="A73" s="153" t="s">
        <v>88</v>
      </c>
      <c r="B73" s="46">
        <f>SUM(B70:B72)</f>
        <v>-20805</v>
      </c>
      <c r="C73" s="62">
        <f>B73/B$17</f>
        <v>-7.5571965906345972E-3</v>
      </c>
      <c r="D73" s="46">
        <f>SUM(D70:D72)</f>
        <v>-22386</v>
      </c>
      <c r="E73" s="62">
        <f>D73/D$17</f>
        <v>-1.1023980333526374E-2</v>
      </c>
      <c r="F73" s="46">
        <f>SUM(F70:F72)</f>
        <v>-20901</v>
      </c>
      <c r="G73" s="62">
        <f>F73/F$17</f>
        <v>-1.0284017187756012E-2</v>
      </c>
      <c r="H73" s="46">
        <f>SUM(H70:H72)</f>
        <v>-28245</v>
      </c>
      <c r="I73" s="62">
        <f>H73/H$17</f>
        <v>-1.4097033708605404E-2</v>
      </c>
      <c r="J73" s="46">
        <f>SUM(J70:J72)</f>
        <v>-29789</v>
      </c>
      <c r="K73" s="62">
        <f>J73/J$17</f>
        <v>-1.2320373552700419E-2</v>
      </c>
      <c r="L73" s="46">
        <f>SUM(L70:L72)</f>
        <v>-25793</v>
      </c>
      <c r="M73" s="62">
        <f>L73/L$17</f>
        <v>-1.2043613448242533E-2</v>
      </c>
      <c r="N73" s="46">
        <f>SUM(N70:N72)</f>
        <v>-40651</v>
      </c>
      <c r="O73" s="62">
        <f>N73/N$17</f>
        <v>-1.7934689336026925E-2</v>
      </c>
      <c r="P73" s="46">
        <f>SUM(P70:P72)</f>
        <v>-33128</v>
      </c>
      <c r="Q73" s="62">
        <f>P73/P$17</f>
        <v>-1.0731357149983738E-2</v>
      </c>
      <c r="R73" s="46">
        <f>SUM(R70:R72)</f>
        <v>-25642</v>
      </c>
      <c r="S73" s="62">
        <f>R73/R$17</f>
        <v>-9.7482308949196819E-3</v>
      </c>
      <c r="T73" s="46">
        <f>SUM(T70:T72)</f>
        <v>-26506</v>
      </c>
      <c r="U73" s="62">
        <f>T73/T$17</f>
        <v>-1.4016981563116079E-2</v>
      </c>
      <c r="V73" s="46">
        <f>SUM(V70:V72)</f>
        <v>-33416</v>
      </c>
      <c r="W73" s="62">
        <f>V73/V$17</f>
        <v>-1.260471711244248E-2</v>
      </c>
      <c r="X73" s="46">
        <f>SUM(X70:X72)</f>
        <v>-44423</v>
      </c>
      <c r="Y73" s="62">
        <f>X73/X$17</f>
        <v>-2.345804899454566E-2</v>
      </c>
      <c r="Z73" s="46">
        <f t="shared" si="62"/>
        <v>-351685</v>
      </c>
      <c r="AA73" s="46"/>
      <c r="AB73" s="46"/>
      <c r="AC73" s="46"/>
      <c r="AD73" s="42"/>
      <c r="AE73" s="46">
        <f>IFERROR(AVERAGE(R73:V73),0)</f>
        <v>-17112.804753042488</v>
      </c>
      <c r="AF73" s="42"/>
      <c r="AK73" s="56"/>
      <c r="AL73" s="66"/>
    </row>
    <row r="74" spans="1:39" ht="20" customHeight="1">
      <c r="A74" s="153" t="s">
        <v>89</v>
      </c>
      <c r="B74" s="128">
        <f>+B73+B67</f>
        <v>-20805</v>
      </c>
      <c r="C74" s="62">
        <f>B74/B$17</f>
        <v>-7.5571965906345972E-3</v>
      </c>
      <c r="D74" s="128">
        <f>+D73+D67</f>
        <v>-22366</v>
      </c>
      <c r="E74" s="62">
        <f>D74/D$17</f>
        <v>-1.1014131338320864E-2</v>
      </c>
      <c r="F74" s="128">
        <f>+F73+F67</f>
        <v>-20901</v>
      </c>
      <c r="G74" s="62">
        <f>F74/F$17</f>
        <v>-1.0284017187756012E-2</v>
      </c>
      <c r="H74" s="128">
        <f>+H73+H67</f>
        <v>-28245</v>
      </c>
      <c r="I74" s="62">
        <f>H74/H$17</f>
        <v>-1.4097033708605404E-2</v>
      </c>
      <c r="J74" s="128">
        <f>+J73+J67</f>
        <v>-29285</v>
      </c>
      <c r="K74" s="62">
        <f>J74/J$17</f>
        <v>-1.2111925190198792E-2</v>
      </c>
      <c r="L74" s="128">
        <f>+L73+L67</f>
        <v>-25793</v>
      </c>
      <c r="M74" s="62">
        <f>L74/L$17</f>
        <v>-1.2043613448242533E-2</v>
      </c>
      <c r="N74" s="128">
        <f>+N73+N67</f>
        <v>-37614</v>
      </c>
      <c r="O74" s="62">
        <f>N74/N$17</f>
        <v>-1.6594804671110595E-2</v>
      </c>
      <c r="P74" s="128">
        <f>+P73+P67</f>
        <v>-33128</v>
      </c>
      <c r="Q74" s="62">
        <f>P74/P$17</f>
        <v>-1.0731357149983738E-2</v>
      </c>
      <c r="R74" s="128">
        <f>+R73+R67</f>
        <v>-24209</v>
      </c>
      <c r="S74" s="62">
        <f>R74/R$17</f>
        <v>-9.2034522164850859E-3</v>
      </c>
      <c r="T74" s="128">
        <f>+T73+T67</f>
        <v>-26506</v>
      </c>
      <c r="U74" s="62">
        <f>T74/T$17</f>
        <v>-1.4016981563116079E-2</v>
      </c>
      <c r="V74" s="128">
        <v>-32500</v>
      </c>
      <c r="W74" s="62">
        <f>V74/V$17</f>
        <v>-1.2259196377614934E-2</v>
      </c>
      <c r="X74" s="128">
        <v>408597</v>
      </c>
      <c r="Y74" s="62">
        <f>X74/X$17</f>
        <v>0.2157640961894598</v>
      </c>
      <c r="Z74" s="128">
        <f t="shared" si="62"/>
        <v>107245</v>
      </c>
      <c r="AA74" s="46"/>
      <c r="AB74" s="46"/>
      <c r="AC74" s="46"/>
      <c r="AD74" s="46"/>
      <c r="AE74" s="46">
        <f>IFERROR(AVERAGE(R74:V74),0)</f>
        <v>-16643.004644086755</v>
      </c>
      <c r="AF74" s="46"/>
      <c r="AK74" s="56"/>
      <c r="AL74" s="66"/>
    </row>
    <row r="75" spans="1:39" ht="20" customHeight="1">
      <c r="A75" s="142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U75" s="16"/>
      <c r="W75" s="16"/>
      <c r="Y75" s="16"/>
      <c r="Z75"/>
      <c r="AA75" s="16"/>
      <c r="AB75" s="16"/>
      <c r="AC75" s="16"/>
      <c r="AD75" s="47"/>
      <c r="AE75" s="20"/>
      <c r="AF75" s="47"/>
      <c r="AK75" s="56"/>
      <c r="AL75" s="66"/>
    </row>
    <row r="76" spans="1:39" ht="20" customHeight="1">
      <c r="A76" s="142" t="s">
        <v>90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U76" s="16"/>
      <c r="W76" s="16"/>
      <c r="Y76" s="16"/>
      <c r="Z76"/>
      <c r="AA76" s="16"/>
      <c r="AB76" s="16"/>
      <c r="AC76" s="16"/>
      <c r="AD76" s="16"/>
      <c r="AE76" s="16"/>
      <c r="AF76" s="16"/>
      <c r="AK76" s="56"/>
      <c r="AL76" s="66"/>
    </row>
    <row r="77" spans="1:39" ht="20" customHeight="1">
      <c r="A77" s="142" t="s">
        <v>91</v>
      </c>
      <c r="B77" s="16">
        <v>7548</v>
      </c>
      <c r="C77" s="22">
        <f>B77/B$17</f>
        <v>2.7417313081523646E-3</v>
      </c>
      <c r="D77" s="16">
        <v>1516</v>
      </c>
      <c r="E77" s="22">
        <f>D77/D$17</f>
        <v>7.4655383657759231E-4</v>
      </c>
      <c r="F77" s="16">
        <v>0</v>
      </c>
      <c r="G77" s="22">
        <f>F77/F$17</f>
        <v>0</v>
      </c>
      <c r="H77" s="16">
        <v>94</v>
      </c>
      <c r="I77" s="22">
        <f>H77/H$17</f>
        <v>4.6915247605201202E-5</v>
      </c>
      <c r="J77" s="16">
        <v>441</v>
      </c>
      <c r="K77" s="22">
        <f>J77/J$17</f>
        <v>1.8239231718892494E-4</v>
      </c>
      <c r="L77" s="16"/>
      <c r="M77" s="22">
        <f>L77/L$17</f>
        <v>0</v>
      </c>
      <c r="N77" s="16">
        <v>0</v>
      </c>
      <c r="O77" s="22">
        <f>N77/N$17</f>
        <v>0</v>
      </c>
      <c r="P77" s="16">
        <v>42</v>
      </c>
      <c r="Q77" s="22">
        <f>P77/P$17</f>
        <v>1.3605318772618842E-5</v>
      </c>
      <c r="R77" s="16">
        <v>6689</v>
      </c>
      <c r="S77" s="22">
        <f>R77/R$17</f>
        <v>2.5429341102924012E-3</v>
      </c>
      <c r="T77" s="16">
        <v>0</v>
      </c>
      <c r="U77" s="22">
        <f>T77/T$17</f>
        <v>0</v>
      </c>
      <c r="V77" s="16">
        <v>7562</v>
      </c>
      <c r="W77" s="22">
        <f>V77/V$17</f>
        <v>2.852432092539204E-3</v>
      </c>
      <c r="X77" s="16">
        <v>0</v>
      </c>
      <c r="Y77" s="22">
        <f>X77/X$17</f>
        <v>0</v>
      </c>
      <c r="Z77">
        <f t="shared" ref="Z77:Z78" si="63">SUM(B77,D77,F77,H77,J77,L77,N77,P77,R77,T77,V77,X77)</f>
        <v>23892</v>
      </c>
      <c r="AA77" s="16"/>
      <c r="AB77" s="16"/>
      <c r="AC77" s="16"/>
      <c r="AD77" s="33"/>
      <c r="AE77" s="16">
        <f>IFERROR(AVERAGE(R77:V77),0)</f>
        <v>2850.2005085868223</v>
      </c>
      <c r="AF77" s="33"/>
      <c r="AK77" s="56"/>
      <c r="AL77" s="66"/>
    </row>
    <row r="78" spans="1:39" ht="20" customHeight="1">
      <c r="A78" s="153" t="s">
        <v>92</v>
      </c>
      <c r="B78" s="46">
        <v>7548</v>
      </c>
      <c r="C78" s="62">
        <f>B78/B$17</f>
        <v>2.7417313081523646E-3</v>
      </c>
      <c r="D78" s="46">
        <v>1516</v>
      </c>
      <c r="E78" s="62">
        <f>D78/D$17</f>
        <v>7.4655383657759231E-4</v>
      </c>
      <c r="F78" s="46">
        <v>0</v>
      </c>
      <c r="G78" s="62">
        <f>F78/F$17</f>
        <v>0</v>
      </c>
      <c r="H78" s="46">
        <v>94</v>
      </c>
      <c r="I78" s="62">
        <f>H78/H$17</f>
        <v>4.6915247605201202E-5</v>
      </c>
      <c r="J78" s="46">
        <v>441</v>
      </c>
      <c r="K78" s="62">
        <f>J78/J$17</f>
        <v>1.8239231718892494E-4</v>
      </c>
      <c r="L78" s="46">
        <v>3419</v>
      </c>
      <c r="M78" s="62">
        <f>L78/L$17</f>
        <v>1.5964453293351381E-3</v>
      </c>
      <c r="N78" s="46">
        <v>0</v>
      </c>
      <c r="O78" s="62">
        <f>N78/N$17</f>
        <v>0</v>
      </c>
      <c r="P78" s="46">
        <v>42</v>
      </c>
      <c r="Q78" s="62">
        <f>P78/P$17</f>
        <v>1.3605318772618842E-5</v>
      </c>
      <c r="R78" s="46">
        <v>6689</v>
      </c>
      <c r="S78" s="62">
        <f>R78/R$17</f>
        <v>2.5429341102924012E-3</v>
      </c>
      <c r="T78" s="46">
        <v>0</v>
      </c>
      <c r="U78" s="62">
        <f>T78/T$17</f>
        <v>0</v>
      </c>
      <c r="V78" s="46">
        <v>7562</v>
      </c>
      <c r="W78" s="62">
        <f>V78/V$17</f>
        <v>2.852432092539204E-3</v>
      </c>
      <c r="X78" s="46">
        <v>0</v>
      </c>
      <c r="Y78" s="62">
        <f>X78/X$17</f>
        <v>0</v>
      </c>
      <c r="Z78" s="129">
        <f t="shared" si="63"/>
        <v>27311</v>
      </c>
      <c r="AA78" s="46"/>
      <c r="AB78" s="46"/>
      <c r="AC78" s="46"/>
      <c r="AD78" s="42"/>
      <c r="AE78" s="46">
        <f>IFERROR(AVERAGE(R78:V78),0)</f>
        <v>2850.2005085868223</v>
      </c>
      <c r="AF78" s="42"/>
      <c r="AK78" s="56"/>
      <c r="AL78" s="66"/>
    </row>
    <row r="79" spans="1:39" ht="20" customHeight="1">
      <c r="A79" s="142"/>
      <c r="B79" s="16"/>
      <c r="C79" s="22"/>
      <c r="D79" s="16"/>
      <c r="E79" s="22"/>
      <c r="F79" s="16"/>
      <c r="G79" s="22"/>
      <c r="H79" s="16"/>
      <c r="I79" s="22"/>
      <c r="J79" s="16"/>
      <c r="K79" s="22"/>
      <c r="L79" s="16"/>
      <c r="M79" s="22"/>
      <c r="N79" s="16"/>
      <c r="O79" s="22"/>
      <c r="P79" s="16"/>
      <c r="Q79" s="22"/>
      <c r="R79" s="16"/>
      <c r="S79" s="22"/>
      <c r="T79" s="22"/>
      <c r="U79" s="22"/>
      <c r="V79" s="22"/>
      <c r="W79" s="22"/>
      <c r="X79" s="22"/>
      <c r="Y79" s="22"/>
      <c r="Z79" s="22"/>
      <c r="AA79" s="16"/>
      <c r="AB79" s="16"/>
      <c r="AC79" s="16"/>
      <c r="AD79" s="17"/>
      <c r="AE79" s="16"/>
      <c r="AF79" s="12"/>
      <c r="AK79" s="56"/>
      <c r="AL79" s="66"/>
    </row>
    <row r="80" spans="1:39" s="24" customFormat="1" ht="20" customHeight="1" thickTop="1" thickBot="1">
      <c r="A80" s="157" t="s">
        <v>93</v>
      </c>
      <c r="B80" s="32">
        <f>+B60+B74-B78</f>
        <v>555995</v>
      </c>
      <c r="C80" s="65">
        <f>B80/B$17</f>
        <v>0.20195931355010252</v>
      </c>
      <c r="D80" s="32">
        <f>+D60+D74-D78</f>
        <v>404720</v>
      </c>
      <c r="E80" s="65">
        <f>D80/D$17</f>
        <v>0.19930426697868284</v>
      </c>
      <c r="F80" s="32">
        <f>+F60+F74-F78</f>
        <v>319416</v>
      </c>
      <c r="G80" s="65">
        <f>F80/F$17</f>
        <v>0.1571637545593165</v>
      </c>
      <c r="H80" s="32">
        <f>+H60+H74-H78</f>
        <v>315347</v>
      </c>
      <c r="I80" s="65">
        <f>H80/H$17</f>
        <v>0.15738917645273812</v>
      </c>
      <c r="J80" s="32">
        <f>+J60+J74-J78</f>
        <v>412279</v>
      </c>
      <c r="K80" s="65">
        <f>J80/J$17</f>
        <v>0.17051365564247797</v>
      </c>
      <c r="L80" s="32">
        <f>+L60+L74-L78</f>
        <v>309972</v>
      </c>
      <c r="M80" s="65">
        <f>L80/L$17</f>
        <v>0.14473628301394309</v>
      </c>
      <c r="N80" s="32">
        <f>+N60+N74-N78</f>
        <v>387686</v>
      </c>
      <c r="O80" s="65">
        <f>N80/N$17</f>
        <v>0.17104199084713623</v>
      </c>
      <c r="P80" s="32">
        <f>+P60+P74-P78</f>
        <v>503784</v>
      </c>
      <c r="Q80" s="65">
        <f>P80/P$17</f>
        <v>0.1631938550605955</v>
      </c>
      <c r="R80" s="32">
        <f>+R60+R74-R78</f>
        <v>331094</v>
      </c>
      <c r="S80" s="65">
        <f>R80/R$17</f>
        <v>0.12587086654405027</v>
      </c>
      <c r="T80" s="32">
        <f>+T60+T74-T78</f>
        <v>163355</v>
      </c>
      <c r="U80" s="65">
        <f>T80/T$17</f>
        <v>8.6385875773139179E-2</v>
      </c>
      <c r="V80" s="32">
        <f>+V60+V74-V78</f>
        <v>234410</v>
      </c>
      <c r="W80" s="65">
        <f>V80/V$17</f>
        <v>8.8420868396206664E-2</v>
      </c>
      <c r="X80" s="32">
        <f>+X60+X74-X78</f>
        <v>274204</v>
      </c>
      <c r="Y80" s="65">
        <f>X80/X$17</f>
        <v>0.14479640876348734</v>
      </c>
      <c r="Z80" s="32">
        <f t="shared" ref="Z80" si="64">SUM(B80,D80,F80,H80,J80,L80,N80,P80,R80,T80,V80,X80)</f>
        <v>4212262</v>
      </c>
      <c r="AA80" s="32"/>
      <c r="AB80" s="32"/>
      <c r="AC80" s="43"/>
      <c r="AD80" s="39"/>
      <c r="AE80" s="43">
        <f>IFERROR(AVERAGE(R80:V80),0)</f>
        <v>145771.84245134846</v>
      </c>
      <c r="AF80" s="39"/>
      <c r="AK80" s="56"/>
      <c r="AL80" s="66"/>
      <c r="AM80" s="135"/>
    </row>
    <row r="81" spans="1:32" ht="20" customHeight="1" thickTop="1">
      <c r="A81" s="156" t="s">
        <v>94</v>
      </c>
      <c r="B81" s="22">
        <f t="shared" ref="B81" si="65">B80/B17</f>
        <v>0.20195931355010252</v>
      </c>
      <c r="C81" s="22">
        <f t="shared" ref="C81" si="66">C80/C17</f>
        <v>0.20195931355010252</v>
      </c>
      <c r="D81" s="22">
        <v>8.8640686601795152E-2</v>
      </c>
      <c r="E81" s="22">
        <f t="shared" ref="E81" si="67">E80/E17</f>
        <v>0.19930426697868284</v>
      </c>
      <c r="F81" s="22">
        <v>0.2046661738718237</v>
      </c>
      <c r="G81" s="22">
        <f t="shared" ref="G81" si="68">G80/G17</f>
        <v>0.1571637545593165</v>
      </c>
      <c r="H81" s="22">
        <v>0.19710941839713511</v>
      </c>
      <c r="I81" s="22">
        <f t="shared" ref="I81" si="69">I80/I17</f>
        <v>0.15738917645273812</v>
      </c>
      <c r="J81" s="22">
        <v>0.15282154836430445</v>
      </c>
      <c r="K81" s="22">
        <f t="shared" ref="K81" si="70">K80/K17</f>
        <v>0.17051365564247797</v>
      </c>
      <c r="L81" s="22">
        <v>0.15695346356806431</v>
      </c>
      <c r="M81" s="22">
        <f t="shared" ref="M81:U81" si="71">M80/M17</f>
        <v>0.14473628301394309</v>
      </c>
      <c r="N81" s="22">
        <f t="shared" si="71"/>
        <v>0.17104199084713623</v>
      </c>
      <c r="O81" s="22">
        <f t="shared" si="71"/>
        <v>0.17104199084713623</v>
      </c>
      <c r="P81" s="22">
        <f t="shared" si="71"/>
        <v>0.1631938550605955</v>
      </c>
      <c r="Q81" s="22">
        <f t="shared" si="71"/>
        <v>0.1631938550605955</v>
      </c>
      <c r="R81" s="22">
        <f t="shared" si="71"/>
        <v>0.12587086654405027</v>
      </c>
      <c r="S81" s="22">
        <f t="shared" si="71"/>
        <v>0.12587086654405027</v>
      </c>
      <c r="T81" s="22">
        <f t="shared" si="71"/>
        <v>8.6385875773139179E-2</v>
      </c>
      <c r="U81" s="22">
        <f t="shared" si="71"/>
        <v>8.6385875773139179E-2</v>
      </c>
      <c r="V81" s="22">
        <f t="shared" ref="V81:X81" si="72">V80/V17</f>
        <v>8.8420868396206664E-2</v>
      </c>
      <c r="W81" s="22">
        <f t="shared" ref="W81:Y81" si="73">W80/W17</f>
        <v>8.8420868396206664E-2</v>
      </c>
      <c r="X81" s="22">
        <f t="shared" si="72"/>
        <v>0.14479640876348734</v>
      </c>
      <c r="Y81" s="22">
        <f t="shared" si="73"/>
        <v>0.14479640876348734</v>
      </c>
      <c r="Z81" s="22">
        <f t="shared" ref="Z81" si="74">Z80/Z17</f>
        <v>0.15152562278481305</v>
      </c>
      <c r="AA81" s="131"/>
      <c r="AB81" s="131"/>
      <c r="AC81" s="12"/>
      <c r="AD81" s="33"/>
      <c r="AE81" s="12"/>
      <c r="AF81" s="33"/>
    </row>
    <row r="82" spans="1:32">
      <c r="A82" s="158"/>
      <c r="B82" s="12"/>
      <c r="C82" s="22"/>
      <c r="D82" s="12"/>
      <c r="E82" s="22"/>
      <c r="F82" s="12"/>
      <c r="G82" s="22"/>
      <c r="H82" s="12"/>
      <c r="I82" s="22"/>
      <c r="J82" s="12"/>
      <c r="K82" s="22"/>
      <c r="L82" s="12"/>
      <c r="M82" s="22"/>
      <c r="N82" s="12"/>
      <c r="O82" s="22"/>
      <c r="P82" s="12"/>
      <c r="Q82" s="22"/>
      <c r="R82" s="12"/>
      <c r="S82" s="22"/>
      <c r="T82" s="12"/>
      <c r="U82" s="22"/>
      <c r="V82" s="12">
        <v>234411</v>
      </c>
      <c r="W82" s="22"/>
      <c r="X82" s="12"/>
      <c r="Y82" s="22"/>
      <c r="Z82" s="13"/>
      <c r="AA82" s="130"/>
      <c r="AB82" s="12"/>
      <c r="AC82" s="12"/>
      <c r="AD82" s="12"/>
      <c r="AE82" s="12"/>
      <c r="AF82" s="12"/>
    </row>
    <row r="83" spans="1:32">
      <c r="A83" s="158"/>
      <c r="B83" s="12"/>
      <c r="C83" s="22"/>
      <c r="D83" s="12"/>
      <c r="E83" s="22"/>
      <c r="F83" s="12"/>
      <c r="G83" s="22"/>
      <c r="H83" s="12"/>
      <c r="I83" s="22"/>
      <c r="J83" s="12"/>
      <c r="K83" s="22"/>
      <c r="L83" s="12"/>
      <c r="M83" s="22"/>
      <c r="N83" s="12"/>
      <c r="O83" s="22"/>
      <c r="P83" s="12"/>
      <c r="Q83" s="22"/>
      <c r="R83" s="12"/>
      <c r="S83" s="22"/>
      <c r="T83" s="12"/>
      <c r="U83" s="22"/>
      <c r="V83" s="12"/>
      <c r="W83" s="22"/>
      <c r="X83" s="12"/>
      <c r="Y83" s="22"/>
      <c r="Z83" s="13"/>
      <c r="AA83" s="130"/>
      <c r="AB83" s="12"/>
      <c r="AC83" s="12"/>
      <c r="AD83" s="12"/>
      <c r="AE83" s="12"/>
      <c r="AF83" s="12"/>
    </row>
    <row r="84" spans="1:32">
      <c r="A84" s="158"/>
      <c r="B84" s="12"/>
      <c r="C84" s="22"/>
      <c r="D84" s="12"/>
      <c r="E84" s="22"/>
      <c r="F84" s="12"/>
      <c r="G84" s="22"/>
      <c r="H84" s="12"/>
      <c r="I84" s="22"/>
      <c r="J84" s="12"/>
      <c r="K84" s="22"/>
      <c r="L84" s="12"/>
      <c r="M84" s="22"/>
      <c r="N84" s="12"/>
      <c r="O84" s="22"/>
      <c r="P84" s="12"/>
      <c r="Q84" s="22"/>
      <c r="R84" s="12"/>
      <c r="S84" s="22"/>
      <c r="T84" s="12"/>
      <c r="U84" s="22"/>
      <c r="V84" s="12"/>
      <c r="W84" s="22"/>
      <c r="X84" s="12"/>
      <c r="Y84" s="22"/>
      <c r="Z84" s="13"/>
      <c r="AA84" s="130"/>
      <c r="AB84" s="12"/>
      <c r="AC84" s="12"/>
      <c r="AD84" s="12"/>
      <c r="AE84" s="12"/>
      <c r="AF84" s="12"/>
    </row>
    <row r="85" spans="1:32">
      <c r="A85" s="158"/>
      <c r="B85" s="12"/>
      <c r="C85" s="22"/>
      <c r="D85" s="12"/>
      <c r="E85" s="22"/>
      <c r="F85" s="12"/>
      <c r="G85" s="22"/>
      <c r="H85" s="12"/>
      <c r="I85" s="22"/>
      <c r="J85" s="12"/>
      <c r="K85" s="22"/>
      <c r="L85" s="12"/>
      <c r="M85" s="22"/>
      <c r="N85" s="12"/>
      <c r="O85" s="22"/>
      <c r="P85" s="12"/>
      <c r="Q85" s="22"/>
      <c r="R85" s="12"/>
      <c r="S85" s="22"/>
      <c r="T85" s="12"/>
      <c r="U85" s="22"/>
      <c r="V85" s="12"/>
      <c r="W85" s="22"/>
      <c r="X85" s="12"/>
      <c r="Y85" s="22"/>
      <c r="Z85" s="13"/>
      <c r="AA85" s="130"/>
      <c r="AB85" s="12"/>
      <c r="AC85" s="12"/>
      <c r="AD85" s="12"/>
      <c r="AE85" s="12"/>
      <c r="AF85" s="12"/>
    </row>
    <row r="86" spans="1:32">
      <c r="A86" s="158"/>
      <c r="B86" s="12"/>
      <c r="C86" s="22"/>
      <c r="D86" s="12"/>
      <c r="E86" s="22"/>
      <c r="F86" s="12"/>
      <c r="G86" s="22"/>
      <c r="H86" s="12"/>
      <c r="I86" s="22"/>
      <c r="J86" s="12"/>
      <c r="K86" s="22"/>
      <c r="L86" s="12"/>
      <c r="M86" s="22"/>
      <c r="N86" s="12"/>
      <c r="O86" s="22"/>
      <c r="P86" s="12"/>
      <c r="Q86" s="22"/>
      <c r="R86" s="12"/>
      <c r="S86" s="22"/>
      <c r="T86" s="12"/>
      <c r="U86" s="22"/>
      <c r="V86" s="12"/>
      <c r="W86" s="22"/>
      <c r="X86" s="12"/>
      <c r="Y86" s="22"/>
      <c r="Z86" s="13"/>
      <c r="AA86" s="130"/>
      <c r="AB86" s="12"/>
      <c r="AC86" s="12"/>
      <c r="AD86" s="12"/>
      <c r="AE86" s="12"/>
      <c r="AF86" s="12"/>
    </row>
    <row r="87" spans="1:32" ht="20" customHeight="1">
      <c r="A87" s="156" t="s">
        <v>95</v>
      </c>
      <c r="B87" s="94">
        <f t="shared" ref="B87:C87" si="75">B29/B17</f>
        <v>0.45767479535997935</v>
      </c>
      <c r="C87" s="94">
        <f t="shared" si="75"/>
        <v>0.45767479535997935</v>
      </c>
      <c r="D87" s="94">
        <f t="shared" ref="D87:E87" si="76">D29/D17</f>
        <v>0.58059728246524289</v>
      </c>
      <c r="E87" s="94">
        <f t="shared" si="76"/>
        <v>0.58059728246524289</v>
      </c>
      <c r="F87" s="94">
        <f t="shared" ref="F87:G87" si="77">F29/F17</f>
        <v>0.59096614456865038</v>
      </c>
      <c r="G87" s="94">
        <f t="shared" si="77"/>
        <v>0.59096614456865038</v>
      </c>
      <c r="H87" s="94">
        <f t="shared" ref="H87:I87" si="78">H29/H17</f>
        <v>0.54319072595356488</v>
      </c>
      <c r="I87" s="94">
        <f t="shared" si="78"/>
        <v>0.54319072595356488</v>
      </c>
      <c r="J87" s="94">
        <f t="shared" ref="J87:K87" si="79">J29/J17</f>
        <v>0.50972986498419059</v>
      </c>
      <c r="K87" s="94">
        <f t="shared" si="79"/>
        <v>0.50972986498419059</v>
      </c>
      <c r="L87" s="94">
        <f t="shared" ref="L87:M87" si="80">L29/L17</f>
        <v>0.51706244720734129</v>
      </c>
      <c r="M87" s="94">
        <f t="shared" si="80"/>
        <v>0.51706244720734129</v>
      </c>
      <c r="N87" s="94">
        <f t="shared" ref="N87:O87" si="81">N29/N17</f>
        <v>0.52178956001752397</v>
      </c>
      <c r="O87" s="94">
        <f t="shared" si="81"/>
        <v>0.52178956001752397</v>
      </c>
      <c r="P87" s="94">
        <f t="shared" ref="P87:Q87" si="82">P29/P17</f>
        <v>0.42186918939510754</v>
      </c>
      <c r="Q87" s="94">
        <f t="shared" si="82"/>
        <v>0.42186918939510754</v>
      </c>
      <c r="R87" s="94">
        <f t="shared" ref="R87:S87" si="83">R29/R17</f>
        <v>0.41571099129950811</v>
      </c>
      <c r="S87" s="94">
        <f t="shared" si="83"/>
        <v>0.41571099129950811</v>
      </c>
      <c r="T87" s="94">
        <f t="shared" ref="T87:U87" si="84">T29/T17</f>
        <v>0.50126177159924523</v>
      </c>
      <c r="U87" s="94">
        <f t="shared" si="84"/>
        <v>0.50126177159924523</v>
      </c>
      <c r="V87" s="94">
        <f t="shared" ref="V87:W87" si="85">V29/V17</f>
        <v>0.38857050603322202</v>
      </c>
      <c r="W87" s="94">
        <f t="shared" si="85"/>
        <v>0.38857050603322202</v>
      </c>
      <c r="X87" s="94">
        <f t="shared" ref="X87:Z87" si="86">X29/X17</f>
        <v>0.40522759160404304</v>
      </c>
      <c r="Y87" s="94">
        <f t="shared" si="86"/>
        <v>0.40522759160404304</v>
      </c>
      <c r="Z87" s="22">
        <f t="shared" si="86"/>
        <v>0.39401182948686514</v>
      </c>
      <c r="AA87" s="131"/>
      <c r="AB87" s="131"/>
      <c r="AC87" s="12"/>
      <c r="AD87" s="33"/>
      <c r="AE87" s="12"/>
      <c r="AF87" s="33"/>
    </row>
    <row r="88" spans="1:32" ht="20" customHeight="1">
      <c r="A88" s="156" t="s">
        <v>79</v>
      </c>
      <c r="B88" s="22">
        <f t="shared" ref="B88:C88" si="87">B60/B17</f>
        <v>0.2122582414488895</v>
      </c>
      <c r="C88" s="22">
        <f t="shared" si="87"/>
        <v>0.2122582414488895</v>
      </c>
      <c r="D88" s="22">
        <f t="shared" ref="D88:E88" si="88">D60/D17</f>
        <v>0.21106495215358129</v>
      </c>
      <c r="E88" s="22">
        <f t="shared" si="88"/>
        <v>0.21106495215358129</v>
      </c>
      <c r="F88" s="22">
        <f t="shared" ref="F88:G88" si="89">F60/F17</f>
        <v>0.16744777174707251</v>
      </c>
      <c r="G88" s="22">
        <f t="shared" si="89"/>
        <v>0.16744777174707251</v>
      </c>
      <c r="H88" s="22">
        <f t="shared" ref="H88:I88" si="90">H60/H17</f>
        <v>0.17153312540894874</v>
      </c>
      <c r="I88" s="22">
        <f t="shared" si="90"/>
        <v>0.17153312540894874</v>
      </c>
      <c r="J88" s="22">
        <f t="shared" ref="J88:K88" si="91">J60/J17</f>
        <v>0.18280797314986569</v>
      </c>
      <c r="K88" s="22">
        <f t="shared" si="91"/>
        <v>0.18280797314986569</v>
      </c>
      <c r="L88" s="22">
        <f t="shared" ref="L88:M88" si="92">L60/L17</f>
        <v>0.15837634179152077</v>
      </c>
      <c r="M88" s="22">
        <f t="shared" si="92"/>
        <v>0.15837634179152077</v>
      </c>
      <c r="N88" s="22">
        <f t="shared" ref="N88:O88" si="93">N60/N17</f>
        <v>0.18763679551824683</v>
      </c>
      <c r="O88" s="22">
        <f t="shared" si="93"/>
        <v>0.18763679551824683</v>
      </c>
      <c r="P88" s="22">
        <f t="shared" ref="P88:Q88" si="94">P60/P17</f>
        <v>0.17393881752935186</v>
      </c>
      <c r="Q88" s="22">
        <f t="shared" si="94"/>
        <v>0.17393881752935186</v>
      </c>
      <c r="R88" s="22">
        <f t="shared" ref="R88:S88" si="95">R60/R17</f>
        <v>0.13761725287082777</v>
      </c>
      <c r="S88" s="22">
        <f t="shared" si="95"/>
        <v>0.13761725287082777</v>
      </c>
      <c r="T88" s="22">
        <f t="shared" ref="T88:U88" si="96">T60/T17</f>
        <v>0.10040285733625526</v>
      </c>
      <c r="U88" s="22">
        <f t="shared" si="96"/>
        <v>0.10040285733625526</v>
      </c>
      <c r="V88" s="22">
        <f t="shared" ref="V88:W88" si="97">V60/V17</f>
        <v>0.1035324968663608</v>
      </c>
      <c r="W88" s="22">
        <f t="shared" si="97"/>
        <v>0.1035324968663608</v>
      </c>
      <c r="X88" s="22">
        <f t="shared" ref="X88:Z88" si="98">X60/X17</f>
        <v>-7.0967687425972467E-2</v>
      </c>
      <c r="Y88" s="22">
        <f t="shared" si="98"/>
        <v>-7.0967687425972467E-2</v>
      </c>
      <c r="Z88" s="22">
        <f t="shared" si="98"/>
        <v>0.14865019643866428</v>
      </c>
      <c r="AA88" s="131"/>
      <c r="AB88" s="131"/>
      <c r="AC88" s="12"/>
      <c r="AD88" s="33"/>
      <c r="AE88" s="12"/>
      <c r="AF88" s="33"/>
    </row>
    <row r="89" spans="1:32" ht="20" customHeight="1">
      <c r="A89" s="156" t="s">
        <v>96</v>
      </c>
      <c r="B89" s="22">
        <f t="shared" ref="B89:C89" si="99">B80/B17</f>
        <v>0.20195931355010252</v>
      </c>
      <c r="C89" s="22">
        <f t="shared" si="99"/>
        <v>0.20195931355010252</v>
      </c>
      <c r="D89" s="22">
        <f t="shared" ref="D89:E89" si="100">D80/D17</f>
        <v>0.19930426697868284</v>
      </c>
      <c r="E89" s="22">
        <f t="shared" si="100"/>
        <v>0.19930426697868284</v>
      </c>
      <c r="F89" s="22">
        <f t="shared" ref="F89:G89" si="101">F80/F17</f>
        <v>0.1571637545593165</v>
      </c>
      <c r="G89" s="22">
        <f t="shared" si="101"/>
        <v>0.1571637545593165</v>
      </c>
      <c r="H89" s="22">
        <f t="shared" ref="H89:I89" si="102">H80/H17</f>
        <v>0.15738917645273812</v>
      </c>
      <c r="I89" s="22">
        <f t="shared" si="102"/>
        <v>0.15738917645273812</v>
      </c>
      <c r="J89" s="22">
        <f t="shared" ref="J89:K89" si="103">J80/J17</f>
        <v>0.17051365564247797</v>
      </c>
      <c r="K89" s="22">
        <f t="shared" si="103"/>
        <v>0.17051365564247797</v>
      </c>
      <c r="L89" s="22">
        <f t="shared" ref="L89:M89" si="104">L80/L17</f>
        <v>0.14473628301394309</v>
      </c>
      <c r="M89" s="22">
        <f t="shared" si="104"/>
        <v>0.14473628301394309</v>
      </c>
      <c r="N89" s="22">
        <f t="shared" ref="N89:O89" si="105">N80/N17</f>
        <v>0.17104199084713623</v>
      </c>
      <c r="O89" s="22">
        <f t="shared" si="105"/>
        <v>0.17104199084713623</v>
      </c>
      <c r="P89" s="22">
        <f t="shared" ref="P89:Q89" si="106">P80/P17</f>
        <v>0.1631938550605955</v>
      </c>
      <c r="Q89" s="22">
        <f t="shared" si="106"/>
        <v>0.1631938550605955</v>
      </c>
      <c r="R89" s="22">
        <f t="shared" ref="R89:S89" si="107">R80/R17</f>
        <v>0.12587086654405027</v>
      </c>
      <c r="S89" s="22">
        <f t="shared" si="107"/>
        <v>0.12587086654405027</v>
      </c>
      <c r="T89" s="22">
        <f t="shared" ref="T89:U89" si="108">T80/T17</f>
        <v>8.6385875773139179E-2</v>
      </c>
      <c r="U89" s="22">
        <f t="shared" si="108"/>
        <v>8.6385875773139179E-2</v>
      </c>
      <c r="V89" s="22">
        <f t="shared" ref="V89:W89" si="109">V80/V17</f>
        <v>8.8420868396206664E-2</v>
      </c>
      <c r="W89" s="22">
        <f t="shared" si="109"/>
        <v>8.8420868396206664E-2</v>
      </c>
      <c r="X89" s="22">
        <f t="shared" ref="X89:Z89" si="110">X80/X17</f>
        <v>0.14479640876348734</v>
      </c>
      <c r="Y89" s="22">
        <f t="shared" si="110"/>
        <v>0.14479640876348734</v>
      </c>
      <c r="Z89" s="22">
        <f t="shared" si="110"/>
        <v>0.15152562278481305</v>
      </c>
      <c r="AA89" s="131"/>
      <c r="AB89" s="131"/>
      <c r="AC89" s="12"/>
      <c r="AD89" s="33"/>
      <c r="AE89" s="12"/>
      <c r="AF89" s="33"/>
    </row>
    <row r="90" spans="1:32" ht="20" customHeight="1">
      <c r="A90" s="156" t="s">
        <v>97</v>
      </c>
      <c r="B90" s="22">
        <f t="shared" ref="B90:C90" si="111">IFERROR(B43/B17,0)</f>
        <v>0.19659571994965502</v>
      </c>
      <c r="C90" s="22">
        <f t="shared" si="111"/>
        <v>0.19659571994965502</v>
      </c>
      <c r="D90" s="22">
        <f t="shared" ref="D90:E90" si="112">IFERROR(D43/D17,0)</f>
        <v>0.28574692809839541</v>
      </c>
      <c r="E90" s="22">
        <f t="shared" si="112"/>
        <v>0.28574692809839541</v>
      </c>
      <c r="F90" s="22">
        <f t="shared" ref="F90:G90" si="113">IFERROR(F43/F17,0)</f>
        <v>0.34258260155473125</v>
      </c>
      <c r="G90" s="22">
        <f t="shared" si="113"/>
        <v>0.34258260155473125</v>
      </c>
      <c r="H90" s="22">
        <f t="shared" ref="H90:I90" si="114">IFERROR(H43/H17,0)</f>
        <v>0.30180678604101691</v>
      </c>
      <c r="I90" s="22">
        <f t="shared" si="114"/>
        <v>0.30180678604101691</v>
      </c>
      <c r="J90" s="22">
        <f t="shared" ref="J90:K90" si="115">IFERROR(J43/J17,0)</f>
        <v>0.27038771809013323</v>
      </c>
      <c r="K90" s="22">
        <f t="shared" si="115"/>
        <v>0.27038771809013323</v>
      </c>
      <c r="L90" s="22">
        <f t="shared" ref="L90:M90" si="116">IFERROR(L43/L17,0)</f>
        <v>0.30525258062422461</v>
      </c>
      <c r="M90" s="22">
        <f t="shared" si="116"/>
        <v>0.30525258062422461</v>
      </c>
      <c r="N90" s="22">
        <f t="shared" ref="N90:O90" si="117">IFERROR(N43/N17,0)</f>
        <v>0.27633213080486169</v>
      </c>
      <c r="O90" s="22">
        <f t="shared" si="117"/>
        <v>0.27633213080486169</v>
      </c>
      <c r="P90" s="22">
        <f t="shared" ref="P90:Q90" si="118">IFERROR(P43/P17,0)</f>
        <v>0.20139078751472289</v>
      </c>
      <c r="Q90" s="22">
        <f t="shared" si="118"/>
        <v>0.20139078751472289</v>
      </c>
      <c r="R90" s="22">
        <f t="shared" ref="R90:S90" si="119">IFERROR(R43/R17,0)</f>
        <v>0.22880134244415162</v>
      </c>
      <c r="S90" s="22">
        <f t="shared" si="119"/>
        <v>0.22880134244415162</v>
      </c>
      <c r="T90" s="22">
        <f t="shared" ref="T90:U90" si="120">IFERROR(T43/T17,0)</f>
        <v>0.30730219905742595</v>
      </c>
      <c r="U90" s="22">
        <f t="shared" si="120"/>
        <v>0.30730219905742595</v>
      </c>
      <c r="V90" s="22">
        <f t="shared" ref="V90:W90" si="121">IFERROR(V43/V17,0)</f>
        <v>0.21772860855103465</v>
      </c>
      <c r="W90" s="22">
        <f t="shared" si="121"/>
        <v>0.21772860855103465</v>
      </c>
      <c r="X90" s="22">
        <f t="shared" ref="X90:Z90" si="122">IFERROR(X43/X17,0)</f>
        <v>0.12076066115335891</v>
      </c>
      <c r="Y90" s="22">
        <f t="shared" si="122"/>
        <v>0.12076066115335891</v>
      </c>
      <c r="Z90" s="22">
        <f t="shared" si="122"/>
        <v>0.25061451833101384</v>
      </c>
      <c r="AA90" s="131"/>
      <c r="AB90" s="131"/>
      <c r="AC90" s="12"/>
      <c r="AD90" s="33"/>
      <c r="AE90" s="12"/>
      <c r="AF90" s="33"/>
    </row>
    <row r="91" spans="1:32" ht="20" customHeight="1">
      <c r="A91" s="156" t="s">
        <v>98</v>
      </c>
      <c r="B91" s="22">
        <f t="shared" ref="B91:C91" si="123">IFERROR(B43/SUM(B9,B10,B11,B12),0)</f>
        <v>0.45104596722174906</v>
      </c>
      <c r="C91" s="22">
        <f t="shared" si="123"/>
        <v>0.45104596722174906</v>
      </c>
      <c r="D91" s="22">
        <f t="shared" ref="D91:E91" si="124">IFERROR(D43/SUM(D9,D10,D11,D12),0)</f>
        <v>0.46794650021572493</v>
      </c>
      <c r="E91" s="22">
        <f t="shared" si="124"/>
        <v>0.46794650021572498</v>
      </c>
      <c r="F91" s="22">
        <f t="shared" ref="F91:G91" si="125">IFERROR(F43/SUM(F9,F10,F11,F12),0)</f>
        <v>0.53922999118653414</v>
      </c>
      <c r="G91" s="22">
        <f t="shared" si="125"/>
        <v>0.53922999118653414</v>
      </c>
      <c r="H91" s="22">
        <f t="shared" ref="H91:I91" si="126">IFERROR(H43/SUM(H9,H10,H11,H12),0)</f>
        <v>0.49828809876372304</v>
      </c>
      <c r="I91" s="22">
        <f t="shared" si="126"/>
        <v>0.4982880987637231</v>
      </c>
      <c r="J91" s="22">
        <f t="shared" ref="J91:K91" si="127">IFERROR(J43/SUM(J9,J10,J11,J12),0)</f>
        <v>0.503551179580082</v>
      </c>
      <c r="K91" s="22">
        <f t="shared" si="127"/>
        <v>0.503551179580082</v>
      </c>
      <c r="L91" s="22">
        <f t="shared" ref="L91:M91" si="128">IFERROR(L43/SUM(L9,L10,L11,L12),0)</f>
        <v>0.52565395266260773</v>
      </c>
      <c r="M91" s="22">
        <f t="shared" si="128"/>
        <v>0.52565395266260773</v>
      </c>
      <c r="N91" s="22">
        <f t="shared" ref="N91:O91" si="129">IFERROR(N43/SUM(N9,N10,N11,N12),0)</f>
        <v>0.49827131108286093</v>
      </c>
      <c r="O91" s="22">
        <f t="shared" si="129"/>
        <v>0.49827131108286088</v>
      </c>
      <c r="P91" s="22">
        <f t="shared" ref="P91:Q91" si="130">IFERROR(P43/SUM(P9,P10,P11,P12),0)</f>
        <v>0.50025467405342117</v>
      </c>
      <c r="Q91" s="22">
        <f t="shared" si="130"/>
        <v>0.50025467405342117</v>
      </c>
      <c r="R91" s="22">
        <f t="shared" ref="R91:S91" si="131">IFERROR(R43/SUM(R9,R10,R11,R12),0)</f>
        <v>0.55787807132111189</v>
      </c>
      <c r="S91" s="22">
        <f t="shared" si="131"/>
        <v>0.55787807132111189</v>
      </c>
      <c r="T91" s="22">
        <f t="shared" ref="T91:U91" si="132">IFERROR(T43/SUM(T9,T10,T11,T12),0)</f>
        <v>0.5946917326319775</v>
      </c>
      <c r="U91" s="22">
        <f t="shared" si="132"/>
        <v>0.5946917326319775</v>
      </c>
      <c r="V91" s="22">
        <f t="shared" ref="V91:W91" si="133">IFERROR(V43/SUM(V9,V10,V11,V12),0)</f>
        <v>0.60673786448588307</v>
      </c>
      <c r="W91" s="22">
        <f t="shared" si="133"/>
        <v>0.60673786448588307</v>
      </c>
      <c r="X91" s="22">
        <f t="shared" ref="X91:Z91" si="134">IFERROR(X43/SUM(X9,X10,X11,X12),0)</f>
        <v>0.30304881523307725</v>
      </c>
      <c r="Y91" s="22">
        <f t="shared" si="134"/>
        <v>0.30304881523307731</v>
      </c>
      <c r="Z91" s="22">
        <f t="shared" si="134"/>
        <v>0.50673791181067696</v>
      </c>
      <c r="AA91" s="131"/>
      <c r="AB91" s="131"/>
      <c r="AC91" s="12"/>
      <c r="AD91" s="33"/>
      <c r="AE91" s="12"/>
      <c r="AF91" s="33"/>
    </row>
    <row r="92" spans="1:32" ht="20" customHeight="1">
      <c r="A92" s="156" t="s">
        <v>99</v>
      </c>
      <c r="B92" s="22">
        <f t="shared" ref="B92:C92" si="135">IFERROR(B43/(SUM(B9,B10,B11,B12)+(B13+B14-B25-B26)),0)</f>
        <v>0.374576789664117</v>
      </c>
      <c r="C92" s="22">
        <f t="shared" si="135"/>
        <v>0.37457678966411695</v>
      </c>
      <c r="D92" s="22">
        <f t="shared" ref="D92:E92" si="136">IFERROR(D43/(SUM(D9,D10,D11,D12)+(D13+D14-D25-D26)),0)</f>
        <v>0.41757983950419159</v>
      </c>
      <c r="E92" s="22">
        <f t="shared" si="136"/>
        <v>0.41757983950419159</v>
      </c>
      <c r="F92" s="22">
        <f t="shared" ref="F92:G92" si="137">IFERROR(F43/(SUM(F9,F10,F11,F12)+(F13+F14-F25-F26)),0)</f>
        <v>0.48824780930582201</v>
      </c>
      <c r="G92" s="22">
        <f t="shared" si="137"/>
        <v>0.48824780930582207</v>
      </c>
      <c r="H92" s="22">
        <f t="shared" ref="H92:I92" si="138">IFERROR(H43/(SUM(H9,H10,H11,H12)+(H13+H14-H25-H26)),0)</f>
        <v>0.45366251093449206</v>
      </c>
      <c r="I92" s="22">
        <f t="shared" si="138"/>
        <v>0.45366251093449211</v>
      </c>
      <c r="J92" s="22">
        <f t="shared" ref="J92:K92" si="139">IFERROR(J43/(SUM(J9,J10,J11,J12)+(J13+J14-J25-J26)),0)</f>
        <v>0.44443303874915024</v>
      </c>
      <c r="K92" s="22">
        <f t="shared" si="139"/>
        <v>0.44443303874915024</v>
      </c>
      <c r="L92" s="22">
        <f t="shared" ref="L92:M92" si="140">IFERROR(L43/(SUM(L9,L10,L11,L12)+(L13+L14-L25-L26)),0)</f>
        <v>0.47537428856268393</v>
      </c>
      <c r="M92" s="22">
        <f t="shared" si="140"/>
        <v>0.47537428856268388</v>
      </c>
      <c r="N92" s="22">
        <f t="shared" ref="N92:O92" si="141">IFERROR(N43/(SUM(N9,N10,N11,N12)+(N13+N14-N25-N26)),0)</f>
        <v>0.45214080700396747</v>
      </c>
      <c r="O92" s="22">
        <f t="shared" si="141"/>
        <v>0.45214080700396742</v>
      </c>
      <c r="P92" s="22">
        <f t="shared" ref="P92:Q92" si="142">IFERROR(P43/(SUM(P9,P10,P11,P12)+(P13+P14-P25-P26)),0)</f>
        <v>0.3975916790201463</v>
      </c>
      <c r="Q92" s="22">
        <f t="shared" si="142"/>
        <v>0.39759167902014625</v>
      </c>
      <c r="R92" s="22">
        <f t="shared" ref="R92:S92" si="143">IFERROR(R43/(SUM(R9,R10,R11,R12)+(R13+R14-R25-R26)),0)</f>
        <v>0.46025845350039463</v>
      </c>
      <c r="S92" s="22">
        <f t="shared" si="143"/>
        <v>0.46025845350039468</v>
      </c>
      <c r="T92" s="22">
        <f t="shared" ref="T92:U92" si="144">IFERROR(T43/(SUM(T9,T10,T11,T12)+(T13+T14-T25-T26)),0)</f>
        <v>0.50394365879611525</v>
      </c>
      <c r="U92" s="22">
        <f t="shared" si="144"/>
        <v>0.50394365879611525</v>
      </c>
      <c r="V92" s="22">
        <f t="shared" ref="V92:W92" si="145">IFERROR(V43/(SUM(V9,V10,V11,V12)+(V13+V14-V25-V26)),0)</f>
        <v>0.4757443834347384</v>
      </c>
      <c r="W92" s="22">
        <f t="shared" si="145"/>
        <v>0.47574438343473846</v>
      </c>
      <c r="X92" s="22">
        <f t="shared" ref="X92:Z92" si="146">IFERROR(X43/(SUM(X9,X10,X11,X12)+(X13+X14-X25-X26)),0)</f>
        <v>0.24440805961886419</v>
      </c>
      <c r="Y92" s="22">
        <f t="shared" si="146"/>
        <v>0.24440805961886419</v>
      </c>
      <c r="Z92" s="22">
        <f t="shared" si="146"/>
        <v>0.38936888777806555</v>
      </c>
      <c r="AA92" s="131"/>
      <c r="AB92" s="131"/>
      <c r="AC92" s="12"/>
      <c r="AD92" s="33"/>
      <c r="AE92" s="12"/>
      <c r="AF92" s="33"/>
    </row>
    <row r="93" spans="1:32" ht="20" customHeight="1">
      <c r="A93" s="156" t="s">
        <v>100</v>
      </c>
      <c r="B93" s="22">
        <f t="shared" ref="B93:C93" si="147">(B14-B26)/B14</f>
        <v>0.16048458324175788</v>
      </c>
      <c r="C93" s="22">
        <f t="shared" si="147"/>
        <v>0.16048458324175788</v>
      </c>
      <c r="D93" s="22">
        <f t="shared" ref="D93:E93" si="148">(D14-D26)/D14</f>
        <v>0.20156305944086728</v>
      </c>
      <c r="E93" s="22">
        <f t="shared" si="148"/>
        <v>0.20156305944086725</v>
      </c>
      <c r="F93" s="22">
        <f t="shared" ref="F93:G93" si="149">(F14-F26)/F14</f>
        <v>0.18986933016269369</v>
      </c>
      <c r="G93" s="22">
        <f t="shared" si="149"/>
        <v>0.18986933016269358</v>
      </c>
      <c r="H93" s="22">
        <f t="shared" ref="H93:I93" si="150">(H14-H26)/H14</f>
        <v>0.15331810233355889</v>
      </c>
      <c r="I93" s="22">
        <f t="shared" si="150"/>
        <v>0.15331810233355894</v>
      </c>
      <c r="J93" s="22">
        <f t="shared" ref="J93:K93" si="151">(J14-J26)/J14</f>
        <v>0.15539873787258968</v>
      </c>
      <c r="K93" s="22">
        <f t="shared" si="151"/>
        <v>0.15539873787258973</v>
      </c>
      <c r="L93" s="22">
        <f t="shared" ref="L93:M93" si="152">(L14-L26)/L14</f>
        <v>0.14866394410675807</v>
      </c>
      <c r="M93" s="22">
        <f t="shared" si="152"/>
        <v>0.14866394410675815</v>
      </c>
      <c r="N93" s="22">
        <f t="shared" ref="N93:O93" si="153">(N14-N26)/N14</f>
        <v>0.1245265219535788</v>
      </c>
      <c r="O93" s="22">
        <f t="shared" si="153"/>
        <v>0.12452652195357873</v>
      </c>
      <c r="P93" s="22">
        <f t="shared" ref="P93:Q93" si="154">(P14-P26)/P14</f>
        <v>0.17531101201637977</v>
      </c>
      <c r="Q93" s="22">
        <f t="shared" si="154"/>
        <v>0.17531101201637977</v>
      </c>
      <c r="R93" s="22">
        <f t="shared" ref="R93:S93" si="155">(R14-R26)/R14</f>
        <v>0.15366802006973881</v>
      </c>
      <c r="S93" s="22">
        <f t="shared" si="155"/>
        <v>0.15366802006973884</v>
      </c>
      <c r="T93" s="22">
        <f t="shared" ref="T93:U93" si="156">(T14-T26)/T14</f>
        <v>0.19517171497432434</v>
      </c>
      <c r="U93" s="22">
        <f t="shared" si="156"/>
        <v>0.19517171497432426</v>
      </c>
      <c r="V93" s="22">
        <f t="shared" ref="V93:W93" si="157">(V14-V26)/V14</f>
        <v>0.15591487915462471</v>
      </c>
      <c r="W93" s="22">
        <f t="shared" si="157"/>
        <v>0.15591487915462468</v>
      </c>
      <c r="X93" s="22">
        <f t="shared" ref="X93:Z93" si="158">(X14-X26)/X14</f>
        <v>0.16012641441928932</v>
      </c>
      <c r="Y93" s="22">
        <f t="shared" si="158"/>
        <v>0.16012641441928935</v>
      </c>
      <c r="Z93" s="22">
        <f t="shared" si="158"/>
        <v>0.29696646470254545</v>
      </c>
      <c r="AA93" s="131"/>
      <c r="AB93" s="131"/>
      <c r="AC93" s="12"/>
      <c r="AD93" s="33"/>
      <c r="AE93" s="12"/>
      <c r="AF93" s="33"/>
    </row>
    <row r="94" spans="1:32" ht="20" customHeight="1">
      <c r="A94" s="156" t="s">
        <v>101</v>
      </c>
      <c r="B94" s="23">
        <f t="shared" ref="B94:C94" si="159">B14-B26</f>
        <v>235125</v>
      </c>
      <c r="C94" s="23">
        <f t="shared" si="159"/>
        <v>8.5406673798267718E-2</v>
      </c>
      <c r="D94" s="23">
        <f t="shared" ref="D94:E94" si="160">D14-D26</f>
        <v>137362</v>
      </c>
      <c r="E94" s="23">
        <f t="shared" si="160"/>
        <v>6.7643883970957275E-2</v>
      </c>
      <c r="F94" s="23">
        <f t="shared" ref="F94:G94" si="161">F14-F26</f>
        <v>127592</v>
      </c>
      <c r="G94" s="23">
        <f t="shared" si="161"/>
        <v>6.2779690972688595E-2</v>
      </c>
      <c r="H94" s="23">
        <f t="shared" ref="H94:I94" si="162">H14-H26</f>
        <v>114419</v>
      </c>
      <c r="I94" s="23">
        <f t="shared" si="162"/>
        <v>5.7106337401484242E-2</v>
      </c>
      <c r="J94" s="23">
        <f t="shared" ref="J94:K94" si="163">J14-J26</f>
        <v>166612</v>
      </c>
      <c r="K94" s="23">
        <f t="shared" si="163"/>
        <v>6.890872732762171E-2</v>
      </c>
      <c r="L94" s="23">
        <f t="shared" ref="L94:M94" si="164">L14-L26</f>
        <v>127010</v>
      </c>
      <c r="M94" s="23">
        <f t="shared" si="164"/>
        <v>5.9305212424350995E-2</v>
      </c>
      <c r="N94" s="23">
        <f t="shared" ref="N94:O94" si="165">N14-N26</f>
        <v>104018</v>
      </c>
      <c r="O94" s="23">
        <f t="shared" si="165"/>
        <v>4.5891380663571568E-2</v>
      </c>
      <c r="P94" s="23">
        <f t="shared" ref="P94:Q94" si="166">P14-P26</f>
        <v>310855</v>
      </c>
      <c r="Q94" s="23">
        <f t="shared" si="166"/>
        <v>0.10069717540624834</v>
      </c>
      <c r="R94" s="23">
        <f t="shared" ref="R94:S94" si="167">R14-R26</f>
        <v>230528</v>
      </c>
      <c r="S94" s="23">
        <f t="shared" si="167"/>
        <v>8.7639036414633997E-2</v>
      </c>
      <c r="T94" s="23">
        <f t="shared" ref="T94:U94" si="168">T14-T26</f>
        <v>170462</v>
      </c>
      <c r="U94" s="23">
        <f t="shared" si="168"/>
        <v>9.0144220599558289E-2</v>
      </c>
      <c r="V94" s="23">
        <f t="shared" ref="V94:W94" si="169">V14-V26</f>
        <v>258737</v>
      </c>
      <c r="W94" s="23">
        <f t="shared" si="169"/>
        <v>9.7597159789383214E-2</v>
      </c>
      <c r="X94" s="23">
        <f t="shared" ref="X94:Z94" si="170">X14-X26</f>
        <v>179919</v>
      </c>
      <c r="Y94" s="23">
        <f t="shared" si="170"/>
        <v>9.5008187584126713E-2</v>
      </c>
      <c r="Z94" s="23">
        <f t="shared" si="170"/>
        <v>3936730</v>
      </c>
      <c r="AA94" s="16"/>
      <c r="AB94" s="23"/>
      <c r="AC94" s="12"/>
      <c r="AD94" s="33"/>
      <c r="AE94" s="12"/>
      <c r="AF94" s="33"/>
    </row>
    <row r="95" spans="1:32">
      <c r="A95" s="156" t="s">
        <v>102</v>
      </c>
      <c r="B95" s="2">
        <f t="shared" ref="B95:C95" si="171">B14/B17</f>
        <v>0.53217992702519612</v>
      </c>
      <c r="C95" s="2">
        <f t="shared" si="171"/>
        <v>0.53217992702519612</v>
      </c>
      <c r="D95" s="2">
        <f t="shared" ref="D95:E95" si="172">D14/D17</f>
        <v>0.33559663243155935</v>
      </c>
      <c r="E95" s="2">
        <f t="shared" si="172"/>
        <v>0.33559663243155935</v>
      </c>
      <c r="F95" s="2">
        <f t="shared" ref="F95:G95" si="173">F14/F17</f>
        <v>0.33064682389143352</v>
      </c>
      <c r="G95" s="2">
        <f t="shared" si="173"/>
        <v>0.33064682389143352</v>
      </c>
      <c r="H95" s="2">
        <f t="shared" ref="H95:I95" si="174">H14/H17</f>
        <v>0.37246963360688917</v>
      </c>
      <c r="I95" s="2">
        <f t="shared" si="174"/>
        <v>0.37246963360688917</v>
      </c>
      <c r="J95" s="2">
        <f t="shared" ref="J95:K95" si="175">J14/J17</f>
        <v>0.44343170524408931</v>
      </c>
      <c r="K95" s="2">
        <f t="shared" si="175"/>
        <v>0.44343170524408931</v>
      </c>
      <c r="L95" s="2">
        <f t="shared" ref="L95:M95" si="176">L14/L17</f>
        <v>0.39892129043584967</v>
      </c>
      <c r="M95" s="2">
        <f t="shared" si="176"/>
        <v>0.39892129043584967</v>
      </c>
      <c r="N95" s="2">
        <f t="shared" ref="N95:O95" si="177">N14/N17</f>
        <v>0.36852696071186392</v>
      </c>
      <c r="O95" s="2">
        <f t="shared" si="177"/>
        <v>0.36852696071186392</v>
      </c>
      <c r="P95" s="2">
        <f t="shared" ref="P95:Q95" si="178">P14/P17</f>
        <v>0.57439161549555107</v>
      </c>
      <c r="Q95" s="2">
        <f t="shared" si="178"/>
        <v>0.57439161549555107</v>
      </c>
      <c r="R95" s="2">
        <f t="shared" ref="R95:S95" si="179">R14/R17</f>
        <v>0.57031408600736155</v>
      </c>
      <c r="S95" s="2">
        <f t="shared" si="179"/>
        <v>0.57031408600736155</v>
      </c>
      <c r="T95" s="2">
        <f t="shared" ref="T95:U95" si="180">T14/T17</f>
        <v>0.46187133525683871</v>
      </c>
      <c r="U95" s="2">
        <f t="shared" si="180"/>
        <v>0.46187133525683871</v>
      </c>
      <c r="V95" s="2">
        <f t="shared" ref="V95:W95" si="181">V14/V17</f>
        <v>0.62596437439812058</v>
      </c>
      <c r="W95" s="2">
        <f t="shared" si="181"/>
        <v>0.62596437439812058</v>
      </c>
      <c r="X95" s="2">
        <f t="shared" ref="X95:Z95" si="182">X14/X17</f>
        <v>0.5933323863441341</v>
      </c>
      <c r="Y95" s="2">
        <f t="shared" si="182"/>
        <v>0.5933323863441341</v>
      </c>
      <c r="Z95" s="2">
        <f t="shared" si="182"/>
        <v>0.4768688148872075</v>
      </c>
      <c r="AA95" s="131"/>
      <c r="AB95" s="131"/>
    </row>
    <row r="98" spans="1:26">
      <c r="A98" s="156"/>
    </row>
    <row r="99" spans="1:26">
      <c r="A99" s="156"/>
    </row>
    <row r="100" spans="1:26">
      <c r="A100" s="156"/>
    </row>
    <row r="101" spans="1:26">
      <c r="A101" s="156"/>
    </row>
    <row r="103" spans="1:26">
      <c r="A103" s="156"/>
    </row>
    <row r="104" spans="1:26">
      <c r="A104" s="1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</row>
    <row r="105" spans="1:26">
      <c r="A105" s="1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</row>
    <row r="106" spans="1:26">
      <c r="A106" s="156"/>
      <c r="B106" s="125"/>
      <c r="F106" s="56"/>
      <c r="H106" s="56"/>
      <c r="J106" s="56"/>
      <c r="L106" s="56"/>
      <c r="N106" s="56"/>
      <c r="P106" s="56"/>
      <c r="R106" s="56"/>
      <c r="T106" s="56"/>
      <c r="V106" s="56"/>
      <c r="X106" s="56"/>
    </row>
    <row r="107" spans="1:26">
      <c r="A107" s="156"/>
      <c r="F107" s="56"/>
      <c r="H107" s="56"/>
      <c r="J107" s="56"/>
      <c r="L107" s="56"/>
      <c r="N107" s="56"/>
      <c r="P107" s="56"/>
      <c r="R107" s="56"/>
      <c r="T107" s="56"/>
      <c r="V107" s="56"/>
      <c r="X107" s="56"/>
      <c r="Z107" s="70"/>
    </row>
    <row r="108" spans="1:26">
      <c r="A108" s="156"/>
      <c r="F108" s="66"/>
      <c r="H108" s="66"/>
      <c r="J108" s="66"/>
      <c r="L108" s="66"/>
      <c r="N108" s="66"/>
      <c r="P108" s="66"/>
      <c r="R108" s="66"/>
      <c r="T108" s="66"/>
      <c r="V108" s="66"/>
      <c r="X108" s="56"/>
    </row>
    <row r="109" spans="1:26">
      <c r="A109" s="156"/>
      <c r="F109" s="66"/>
      <c r="X109" s="3"/>
    </row>
    <row r="110" spans="1:26">
      <c r="A110" s="156"/>
    </row>
    <row r="111" spans="1:26">
      <c r="A111" s="156"/>
    </row>
    <row r="112" spans="1:26">
      <c r="A112" s="156"/>
    </row>
    <row r="115" spans="1:25">
      <c r="A115" s="156"/>
      <c r="H115" s="5"/>
      <c r="I115" s="4"/>
      <c r="J115" s="5"/>
      <c r="K115" s="4"/>
      <c r="L115" s="5"/>
      <c r="M115" s="4"/>
      <c r="N115" s="5"/>
      <c r="O115" s="4"/>
      <c r="P115" s="5"/>
      <c r="Q115" s="4"/>
      <c r="R115" s="5"/>
      <c r="S115" s="4"/>
      <c r="T115" s="5"/>
      <c r="U115" s="4"/>
      <c r="V115" s="5"/>
      <c r="W115" s="4"/>
      <c r="X115" s="5"/>
      <c r="Y115" s="4"/>
    </row>
    <row r="116" spans="1:25">
      <c r="A116" s="156"/>
      <c r="H116" s="5"/>
      <c r="I116" s="4"/>
      <c r="J116" s="5"/>
      <c r="K116" s="4"/>
      <c r="L116" s="5"/>
      <c r="M116" s="4"/>
      <c r="N116" s="5"/>
      <c r="O116" s="4"/>
      <c r="P116" s="5"/>
      <c r="Q116" s="4"/>
      <c r="R116" s="5"/>
      <c r="S116" s="4"/>
      <c r="T116" s="5"/>
      <c r="U116" s="4"/>
      <c r="V116" s="5"/>
      <c r="W116" s="4"/>
      <c r="X116" s="5"/>
      <c r="Y116" s="4"/>
    </row>
    <row r="117" spans="1:25">
      <c r="A117" s="156"/>
      <c r="H117" s="5"/>
      <c r="I117" s="4"/>
      <c r="J117" s="5"/>
      <c r="K117" s="4"/>
      <c r="L117" s="5"/>
      <c r="M117" s="4"/>
      <c r="N117" s="5"/>
      <c r="O117" s="4"/>
      <c r="P117" s="5"/>
      <c r="Q117" s="4"/>
      <c r="R117" s="5"/>
      <c r="S117" s="4"/>
      <c r="T117" s="5"/>
      <c r="U117" s="4"/>
      <c r="V117" s="5"/>
      <c r="W117" s="4"/>
      <c r="X117" s="5"/>
      <c r="Y117" s="4"/>
    </row>
    <row r="119" spans="1:25">
      <c r="A119" s="156"/>
    </row>
    <row r="128" spans="1:25">
      <c r="B128" s="123"/>
      <c r="C128" s="124"/>
      <c r="D128" s="123"/>
    </row>
    <row r="129" spans="2:4">
      <c r="B129" s="123"/>
      <c r="C129" s="124"/>
      <c r="D129" s="123"/>
    </row>
    <row r="130" spans="2:4">
      <c r="B130" s="123"/>
      <c r="C130" s="123"/>
      <c r="D130" s="123"/>
    </row>
  </sheetData>
  <phoneticPr fontId="3" type="noConversion"/>
  <conditionalFormatting sqref="B61:Z61">
    <cfRule type="colorScale" priority="4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C61">
    <cfRule type="colorScale" priority="1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E29 AE45 AE52 AE57:AE58 AE76:AE78 AE80 AE39 AE41 AE43 AE69:AE74 AE17 AE65:AE67 AE25:AE27" formulaRange="1"/>
  </ignoredErrors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E93AD87C-02DB-4562-895E-4DE1F756829F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'Combined Company'!T81:X81</xm:f>
              <xm:sqref>AF81</xm:sqref>
            </x14:sparkline>
          </x14:sparklines>
        </x14:sparklineGroup>
        <x14:sparklineGroup lineWeight="1" displayEmptyCellsAs="gap" high="1" low="1" xr2:uid="{34DFC06C-3E6B-40C7-80B9-B514B9ED539D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'Combined Company'!H81:X81</xm:f>
              <xm:sqref>AD81</xm:sqref>
            </x14:sparkline>
          </x14:sparklines>
        </x14:sparklineGroup>
        <x14:sparklineGroup lineWeight="1" displayEmptyCellsAs="gap" high="1" low="1" xr2:uid="{4EA5C1D8-023E-470C-B269-3CDF9E7C704A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'Combined Company'!T61:X61</xm:f>
              <xm:sqref>AF61</xm:sqref>
            </x14:sparkline>
          </x14:sparklines>
        </x14:sparklineGroup>
        <x14:sparklineGroup lineWeight="1" displayEmptyCellsAs="gap" high="1" low="1" xr2:uid="{ECB4E39E-905A-4AF4-BAA0-3EF1DEDCDF1A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'Combined Company'!H61:X61</xm:f>
              <xm:sqref>AD61</xm:sqref>
            </x14:sparkline>
          </x14:sparklines>
        </x14:sparklineGroup>
        <x14:sparklineGroup lineWeight="1" displayEmptyCellsAs="gap" high="1" low="1" xr2:uid="{7A45C3F4-0994-45DD-A2C9-85CE9C719D7F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'Combined Company'!T30:X30</xm:f>
              <xm:sqref>AF30</xm:sqref>
            </x14:sparkline>
          </x14:sparklines>
        </x14:sparklineGroup>
        <x14:sparklineGroup lineWeight="1" displayEmptyCellsAs="gap" high="1" low="1" xr2:uid="{0DC05753-9C9C-4EEF-8D2D-8EAFE24CC600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'Combined Company'!H30:X30</xm:f>
              <xm:sqref>AD30</xm:sqref>
            </x14:sparkline>
          </x14:sparklines>
        </x14:sparklineGroup>
        <x14:sparklineGroup lineWeight="1" displayEmptyCellsAs="gap" high="1" low="1" xr2:uid="{ADE8CFD1-DC99-43D8-9B03-093C29B80935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50"/>
          <x14:sparklines>
            <x14:sparkline>
              <xm:f>'Combined Company'!F25:V25</xm:f>
              <xm:sqref>AD25</xm:sqref>
            </x14:sparkline>
            <x14:sparkline>
              <xm:f>'Combined Company'!F26:V26</xm:f>
              <xm:sqref>AD26</xm:sqref>
            </x14:sparkline>
            <x14:sparkline>
              <xm:f>'Combined Company'!F22:V22</xm:f>
              <xm:sqref>AD22</xm:sqref>
            </x14:sparkline>
            <x14:sparkline>
              <xm:f>'Combined Company'!F23:V23</xm:f>
              <xm:sqref>AD23</xm:sqref>
            </x14:sparkline>
            <x14:sparkline>
              <xm:f>'Combined Company'!F24:V24</xm:f>
              <xm:sqref>AD24</xm:sqref>
            </x14:sparkline>
            <x14:sparkline>
              <xm:f>'Combined Company'!F21:V21</xm:f>
              <xm:sqref>AD21</xm:sqref>
            </x14:sparkline>
            <x14:sparkline>
              <xm:f>'Combined Company'!F27:V27</xm:f>
              <xm:sqref>AD27</xm:sqref>
            </x14:sparkline>
            <x14:sparkline>
              <xm:f>'Combined Company'!F34:V34</xm:f>
              <xm:sqref>AD34</xm:sqref>
            </x14:sparkline>
            <x14:sparkline>
              <xm:f>'Combined Company'!F35:V35</xm:f>
              <xm:sqref>AD35</xm:sqref>
            </x14:sparkline>
            <x14:sparkline>
              <xm:f>'Combined Company'!F36:V36</xm:f>
              <xm:sqref>AD36</xm:sqref>
            </x14:sparkline>
            <x14:sparkline>
              <xm:f>'Combined Company'!F37:V37</xm:f>
              <xm:sqref>AD37</xm:sqref>
            </x14:sparkline>
            <x14:sparkline>
              <xm:f>'Combined Company'!F38:V38</xm:f>
              <xm:sqref>AD38</xm:sqref>
            </x14:sparkline>
            <x14:sparkline>
              <xm:f>'Combined Company'!F39:V39</xm:f>
              <xm:sqref>AD39</xm:sqref>
            </x14:sparkline>
            <x14:sparkline>
              <xm:f>'Combined Company'!F40:V40</xm:f>
              <xm:sqref>AD40</xm:sqref>
            </x14:sparkline>
            <x14:sparkline>
              <xm:f>'Combined Company'!F41:V41</xm:f>
              <xm:sqref>AD41</xm:sqref>
            </x14:sparkline>
            <x14:sparkline>
              <xm:f>'Combined Company'!F42:V42</xm:f>
              <xm:sqref>AD42</xm:sqref>
            </x14:sparkline>
            <x14:sparkline>
              <xm:f>'Combined Company'!F43:V43</xm:f>
              <xm:sqref>AD43</xm:sqref>
            </x14:sparkline>
            <x14:sparkline>
              <xm:f>'Combined Company'!F44:V44</xm:f>
              <xm:sqref>AD44</xm:sqref>
            </x14:sparkline>
            <x14:sparkline>
              <xm:f>'Combined Company'!F45:V45</xm:f>
              <xm:sqref>AD45</xm:sqref>
            </x14:sparkline>
            <x14:sparkline>
              <xm:f>'Combined Company'!F46:V46</xm:f>
              <xm:sqref>AD46</xm:sqref>
            </x14:sparkline>
            <x14:sparkline>
              <xm:f>'Combined Company'!F48:V48</xm:f>
              <xm:sqref>AD48</xm:sqref>
            </x14:sparkline>
            <x14:sparkline>
              <xm:f>'Combined Company'!F49:V49</xm:f>
              <xm:sqref>AD49</xm:sqref>
            </x14:sparkline>
            <x14:sparkline>
              <xm:f>'Combined Company'!F50:V50</xm:f>
              <xm:sqref>AD50</xm:sqref>
            </x14:sparkline>
            <x14:sparkline>
              <xm:f>'Combined Company'!F51:V51</xm:f>
              <xm:sqref>AD51</xm:sqref>
            </x14:sparkline>
            <x14:sparkline>
              <xm:f>'Combined Company'!F52:V52</xm:f>
              <xm:sqref>AD52</xm:sqref>
            </x14:sparkline>
            <x14:sparkline>
              <xm:f>'Combined Company'!F53:V53</xm:f>
              <xm:sqref>AD53</xm:sqref>
            </x14:sparkline>
            <x14:sparkline>
              <xm:f>'Combined Company'!F55:V55</xm:f>
              <xm:sqref>AD55</xm:sqref>
            </x14:sparkline>
            <x14:sparkline>
              <xm:f>'Combined Company'!F56:V56</xm:f>
              <xm:sqref>AD56</xm:sqref>
            </x14:sparkline>
            <x14:sparkline>
              <xm:f>'Combined Company'!F57:V57</xm:f>
              <xm:sqref>AD57</xm:sqref>
            </x14:sparkline>
            <x14:sparkline>
              <xm:f>'Combined Company'!F58:V58</xm:f>
              <xm:sqref>AD58</xm:sqref>
            </x14:sparkline>
            <x14:sparkline>
              <xm:f>'Combined Company'!F70:V70</xm:f>
              <xm:sqref>AD70</xm:sqref>
            </x14:sparkline>
            <x14:sparkline>
              <xm:f>'Combined Company'!F71:V71</xm:f>
              <xm:sqref>AD71</xm:sqref>
            </x14:sparkline>
            <x14:sparkline>
              <xm:f>'Combined Company'!F72:V72</xm:f>
              <xm:sqref>AD72</xm:sqref>
            </x14:sparkline>
            <x14:sparkline>
              <xm:f>'Combined Company'!F73:V73</xm:f>
              <xm:sqref>AD73</xm:sqref>
            </x14:sparkline>
            <x14:sparkline>
              <xm:f>'Combined Company'!F74:V74</xm:f>
              <xm:sqref>AD74</xm:sqref>
            </x14:sparkline>
            <x14:sparkline>
              <xm:f>'Combined Company'!F75:V75</xm:f>
              <xm:sqref>AD75</xm:sqref>
            </x14:sparkline>
            <x14:sparkline>
              <xm:f>'Combined Company'!F76:V76</xm:f>
              <xm:sqref>AD76</xm:sqref>
            </x14:sparkline>
            <x14:sparkline>
              <xm:f>'Combined Company'!F77:V77</xm:f>
              <xm:sqref>AD77</xm:sqref>
            </x14:sparkline>
            <x14:sparkline>
              <xm:f>'Combined Company'!F78:V78</xm:f>
              <xm:sqref>AD78</xm:sqref>
            </x14:sparkline>
          </x14:sparklines>
        </x14:sparklineGroup>
        <x14:sparklineGroup lineWeight="1" displayEmptyCellsAs="gap" high="1" low="1" xr2:uid="{E699F077-9D17-4708-8220-6CC1C284F50B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'Combined Company'!H94:X94</xm:f>
              <xm:sqref>AD94</xm:sqref>
            </x14:sparkline>
            <x14:sparkline>
              <xm:f>'Combined Company'!F13:V13</xm:f>
              <xm:sqref>AD13</xm:sqref>
            </x14:sparkline>
            <x14:sparkline>
              <xm:f>'Combined Company'!F14:V14</xm:f>
              <xm:sqref>AD14</xm:sqref>
            </x14:sparkline>
            <x14:sparkline>
              <xm:f>'Combined Company'!F15:V15</xm:f>
              <xm:sqref>AD15</xm:sqref>
            </x14:sparkline>
            <x14:sparkline>
              <xm:f>'Combined Company'!F10:V10</xm:f>
              <xm:sqref>AD10</xm:sqref>
            </x14:sparkline>
            <x14:sparkline>
              <xm:f>'Combined Company'!F12:V12</xm:f>
              <xm:sqref>AD12</xm:sqref>
            </x14:sparkline>
            <x14:sparkline>
              <xm:f>'Combined Company'!F9:V9</xm:f>
              <xm:sqref>AD9</xm:sqref>
            </x14:sparkline>
            <x14:sparkline>
              <xm:f>'Combined Company'!F16:V16</xm:f>
              <xm:sqref>AD16</xm:sqref>
            </x14:sparkline>
            <x14:sparkline>
              <xm:f>'Combined Company'!F17:V17</xm:f>
              <xm:sqref>AD17</xm:sqref>
            </x14:sparkline>
            <x14:sparkline>
              <xm:f>'Combined Company'!F29:V29</xm:f>
              <xm:sqref>AD29</xm:sqref>
            </x14:sparkline>
            <x14:sparkline>
              <xm:f>'Combined Company'!F60:V60</xm:f>
              <xm:sqref>AD60</xm:sqref>
            </x14:sparkline>
            <x14:sparkline>
              <xm:f>'Combined Company'!F65:V65</xm:f>
              <xm:sqref>AD65</xm:sqref>
            </x14:sparkline>
            <x14:sparkline>
              <xm:f>'Combined Company'!F66:V66</xm:f>
              <xm:sqref>AD66</xm:sqref>
            </x14:sparkline>
            <x14:sparkline>
              <xm:f>'Combined Company'!F67:V67</xm:f>
              <xm:sqref>AD67</xm:sqref>
            </x14:sparkline>
            <x14:sparkline>
              <xm:f>'Combined Company'!F68:V68</xm:f>
              <xm:sqref>AD68</xm:sqref>
            </x14:sparkline>
            <x14:sparkline>
              <xm:f>'Combined Company'!F80:V80</xm:f>
              <xm:sqref>AD80</xm:sqref>
            </x14:sparkline>
            <x14:sparkline>
              <xm:f>'Combined Company'!H87:X87</xm:f>
              <xm:sqref>AD87</xm:sqref>
            </x14:sparkline>
            <x14:sparkline>
              <xm:f>'Combined Company'!H88:X88</xm:f>
              <xm:sqref>AD88</xm:sqref>
            </x14:sparkline>
            <x14:sparkline>
              <xm:f>'Combined Company'!H89:X89</xm:f>
              <xm:sqref>AD89</xm:sqref>
            </x14:sparkline>
            <x14:sparkline>
              <xm:f>'Combined Company'!H90:X90</xm:f>
              <xm:sqref>AD90</xm:sqref>
            </x14:sparkline>
            <x14:sparkline>
              <xm:f>'Combined Company'!H91:X91</xm:f>
              <xm:sqref>AD91</xm:sqref>
            </x14:sparkline>
            <x14:sparkline>
              <xm:f>'Combined Company'!H92:X92</xm:f>
              <xm:sqref>AD92</xm:sqref>
            </x14:sparkline>
            <x14:sparkline>
              <xm:f>'Combined Company'!H93:X93</xm:f>
              <xm:sqref>AD93</xm:sqref>
            </x14:sparkline>
          </x14:sparklines>
        </x14:sparklineGroup>
        <x14:sparklineGroup lineWeight="1" displayEmptyCellsAs="gap" high="1" low="1" xr2:uid="{C6A3AB38-16C1-46FF-A87B-DC166B9E9D99}">
          <x14:colorSeries theme="9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FF0000"/>
          <x14:colorLow rgb="FF00B050"/>
          <x14:sparklines>
            <x14:sparkline>
              <xm:f>'Combined Company'!R70:V70</xm:f>
              <xm:sqref>AF70</xm:sqref>
            </x14:sparkline>
            <x14:sparkline>
              <xm:f>'Combined Company'!R25:V25</xm:f>
              <xm:sqref>AF25</xm:sqref>
            </x14:sparkline>
            <x14:sparkline>
              <xm:f>'Combined Company'!R26:V26</xm:f>
              <xm:sqref>AF26</xm:sqref>
            </x14:sparkline>
            <x14:sparkline>
              <xm:f>'Combined Company'!R22:V22</xm:f>
              <xm:sqref>AF22</xm:sqref>
            </x14:sparkline>
            <x14:sparkline>
              <xm:f>'Combined Company'!R23:V23</xm:f>
              <xm:sqref>AF23</xm:sqref>
            </x14:sparkline>
            <x14:sparkline>
              <xm:f>'Combined Company'!R24:V24</xm:f>
              <xm:sqref>AF24</xm:sqref>
            </x14:sparkline>
            <x14:sparkline>
              <xm:f>'Combined Company'!R21:V21</xm:f>
              <xm:sqref>AF21</xm:sqref>
            </x14:sparkline>
            <x14:sparkline>
              <xm:f>'Combined Company'!R27:V27</xm:f>
              <xm:sqref>AF27</xm:sqref>
            </x14:sparkline>
            <x14:sparkline>
              <xm:f>'Combined Company'!R34:V34</xm:f>
              <xm:sqref>AF34</xm:sqref>
            </x14:sparkline>
            <x14:sparkline>
              <xm:f>'Combined Company'!R35:V35</xm:f>
              <xm:sqref>AF35</xm:sqref>
            </x14:sparkline>
            <x14:sparkline>
              <xm:f>'Combined Company'!R36:V36</xm:f>
              <xm:sqref>AF36</xm:sqref>
            </x14:sparkline>
            <x14:sparkline>
              <xm:f>'Combined Company'!R37:V37</xm:f>
              <xm:sqref>AF37</xm:sqref>
            </x14:sparkline>
            <x14:sparkline>
              <xm:f>'Combined Company'!R38:V38</xm:f>
              <xm:sqref>AF38</xm:sqref>
            </x14:sparkline>
            <x14:sparkline>
              <xm:f>'Combined Company'!R39:V39</xm:f>
              <xm:sqref>AF39</xm:sqref>
            </x14:sparkline>
            <x14:sparkline>
              <xm:f>'Combined Company'!R40:V40</xm:f>
              <xm:sqref>AF40</xm:sqref>
            </x14:sparkline>
            <x14:sparkline>
              <xm:f>'Combined Company'!R41:V41</xm:f>
              <xm:sqref>AF41</xm:sqref>
            </x14:sparkline>
            <x14:sparkline>
              <xm:f>'Combined Company'!R42:V42</xm:f>
              <xm:sqref>AF42</xm:sqref>
            </x14:sparkline>
            <x14:sparkline>
              <xm:f>'Combined Company'!R43:V43</xm:f>
              <xm:sqref>AF43</xm:sqref>
            </x14:sparkline>
            <x14:sparkline>
              <xm:f>'Combined Company'!R44:V44</xm:f>
              <xm:sqref>AF44</xm:sqref>
            </x14:sparkline>
            <x14:sparkline>
              <xm:f>'Combined Company'!R45:V45</xm:f>
              <xm:sqref>AF45</xm:sqref>
            </x14:sparkline>
            <x14:sparkline>
              <xm:f>'Combined Company'!R46:V46</xm:f>
              <xm:sqref>AF46</xm:sqref>
            </x14:sparkline>
            <x14:sparkline>
              <xm:f>'Combined Company'!R48:V48</xm:f>
              <xm:sqref>AF48</xm:sqref>
            </x14:sparkline>
            <x14:sparkline>
              <xm:f>'Combined Company'!R49:V49</xm:f>
              <xm:sqref>AF49</xm:sqref>
            </x14:sparkline>
            <x14:sparkline>
              <xm:f>'Combined Company'!R50:V50</xm:f>
              <xm:sqref>AF50</xm:sqref>
            </x14:sparkline>
            <x14:sparkline>
              <xm:f>'Combined Company'!R51:V51</xm:f>
              <xm:sqref>AF51</xm:sqref>
            </x14:sparkline>
            <x14:sparkline>
              <xm:f>'Combined Company'!R52:V52</xm:f>
              <xm:sqref>AF52</xm:sqref>
            </x14:sparkline>
            <x14:sparkline>
              <xm:f>'Combined Company'!R53:V53</xm:f>
              <xm:sqref>AF53</xm:sqref>
            </x14:sparkline>
            <x14:sparkline>
              <xm:f>'Combined Company'!R55:V55</xm:f>
              <xm:sqref>AF55</xm:sqref>
            </x14:sparkline>
            <x14:sparkline>
              <xm:f>'Combined Company'!R56:V56</xm:f>
              <xm:sqref>AF56</xm:sqref>
            </x14:sparkline>
            <x14:sparkline>
              <xm:f>'Combined Company'!R57:V57</xm:f>
              <xm:sqref>AF57</xm:sqref>
            </x14:sparkline>
            <x14:sparkline>
              <xm:f>'Combined Company'!R58:V58</xm:f>
              <xm:sqref>AF58</xm:sqref>
            </x14:sparkline>
            <x14:sparkline>
              <xm:f>'Combined Company'!R71:V71</xm:f>
              <xm:sqref>AF71</xm:sqref>
            </x14:sparkline>
            <x14:sparkline>
              <xm:f>'Combined Company'!R72:V72</xm:f>
              <xm:sqref>AF72</xm:sqref>
            </x14:sparkline>
            <x14:sparkline>
              <xm:f>'Combined Company'!R73:V73</xm:f>
              <xm:sqref>AF73</xm:sqref>
            </x14:sparkline>
            <x14:sparkline>
              <xm:f>'Combined Company'!R74:V74</xm:f>
              <xm:sqref>AF74</xm:sqref>
            </x14:sparkline>
            <x14:sparkline>
              <xm:f>'Combined Company'!R75:V75</xm:f>
              <xm:sqref>AF75</xm:sqref>
            </x14:sparkline>
            <x14:sparkline>
              <xm:f>'Combined Company'!R76:V76</xm:f>
              <xm:sqref>AF76</xm:sqref>
            </x14:sparkline>
            <x14:sparkline>
              <xm:f>'Combined Company'!R77:V77</xm:f>
              <xm:sqref>AF77</xm:sqref>
            </x14:sparkline>
            <x14:sparkline>
              <xm:f>'Combined Company'!R78:V78</xm:f>
              <xm:sqref>AF78</xm:sqref>
            </x14:sparkline>
          </x14:sparklines>
        </x14:sparklineGroup>
        <x14:sparklineGroup lineWeight="1" displayEmptyCellsAs="gap" high="1" low="1" xr2:uid="{AA72E2B5-1ECF-4BC4-9DB6-7F3833700952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'Combined Company'!F11:V11</xm:f>
              <xm:sqref>AD11</xm:sqref>
            </x14:sparkline>
          </x14:sparklines>
        </x14:sparklineGroup>
        <x14:sparklineGroup lineWeight="1" displayEmptyCellsAs="gap" high="1" low="1" xr2:uid="{CEA93420-812A-479C-81E0-2B1E5A1EE50E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'Combined Company'!R80:V80</xm:f>
              <xm:sqref>AF80</xm:sqref>
            </x14:sparkline>
            <x14:sparkline>
              <xm:f>'Combined Company'!R29:V29</xm:f>
              <xm:sqref>AF29</xm:sqref>
            </x14:sparkline>
            <x14:sparkline>
              <xm:f>'Combined Company'!R17:V17</xm:f>
              <xm:sqref>AF17</xm:sqref>
            </x14:sparkline>
            <x14:sparkline>
              <xm:f>'Combined Company'!R9:V9</xm:f>
              <xm:sqref>AF9</xm:sqref>
            </x14:sparkline>
            <x14:sparkline>
              <xm:f>'Combined Company'!R12:V12</xm:f>
              <xm:sqref>AF12</xm:sqref>
            </x14:sparkline>
            <x14:sparkline>
              <xm:f>'Combined Company'!R10:V10</xm:f>
              <xm:sqref>AF10</xm:sqref>
            </x14:sparkline>
            <x14:sparkline>
              <xm:f>'Combined Company'!R11:V11</xm:f>
              <xm:sqref>AF11</xm:sqref>
            </x14:sparkline>
            <x14:sparkline>
              <xm:f>'Combined Company'!R15:V15</xm:f>
              <xm:sqref>AF15</xm:sqref>
            </x14:sparkline>
            <x14:sparkline>
              <xm:f>'Combined Company'!R14:V14</xm:f>
              <xm:sqref>AF14</xm:sqref>
            </x14:sparkline>
            <x14:sparkline>
              <xm:f>'Combined Company'!R13:V13</xm:f>
              <xm:sqref>AF13</xm:sqref>
            </x14:sparkline>
            <x14:sparkline>
              <xm:f>'Combined Company'!R65:V65</xm:f>
              <xm:sqref>AF65</xm:sqref>
            </x14:sparkline>
            <x14:sparkline>
              <xm:f>'Combined Company'!R66:V66</xm:f>
              <xm:sqref>AF66</xm:sqref>
            </x14:sparkline>
            <x14:sparkline>
              <xm:f>'Combined Company'!R67:V67</xm:f>
              <xm:sqref>AF67</xm:sqref>
            </x14:sparkline>
            <x14:sparkline>
              <xm:f>'Combined Company'!R68:V68</xm:f>
              <xm:sqref>AF68</xm:sqref>
            </x14:sparkline>
            <x14:sparkline>
              <xm:f>'Combined Company'!R60:V60</xm:f>
              <xm:sqref>AF60</xm:sqref>
            </x14:sparkline>
            <x14:sparkline>
              <xm:f>'Combined Company'!R16:V16</xm:f>
              <xm:sqref>AF16</xm:sqref>
            </x14:sparkline>
            <x14:sparkline>
              <xm:f>'Combined Company'!T87:X87</xm:f>
              <xm:sqref>AF87</xm:sqref>
            </x14:sparkline>
            <x14:sparkline>
              <xm:f>'Combined Company'!T88:X88</xm:f>
              <xm:sqref>AF88</xm:sqref>
            </x14:sparkline>
            <x14:sparkline>
              <xm:f>'Combined Company'!T89:X89</xm:f>
              <xm:sqref>AF89</xm:sqref>
            </x14:sparkline>
            <x14:sparkline>
              <xm:f>'Combined Company'!T90:X90</xm:f>
              <xm:sqref>AF90</xm:sqref>
            </x14:sparkline>
            <x14:sparkline>
              <xm:f>'Combined Company'!T91:X91</xm:f>
              <xm:sqref>AF91</xm:sqref>
            </x14:sparkline>
            <x14:sparkline>
              <xm:f>'Combined Company'!T92:X92</xm:f>
              <xm:sqref>AF92</xm:sqref>
            </x14:sparkline>
            <x14:sparkline>
              <xm:f>'Combined Company'!T93:X93</xm:f>
              <xm:sqref>AF93</xm:sqref>
            </x14:sparkline>
            <x14:sparkline>
              <xm:f>'Combined Company'!T94:X94</xm:f>
              <xm:sqref>AF94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C491-C79A-47C9-9F0C-0B276C8CAC90}">
  <dimension ref="A1:AM14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8" sqref="G18"/>
    </sheetView>
  </sheetViews>
  <sheetFormatPr baseColWidth="10" defaultColWidth="8.83203125" defaultRowHeight="13"/>
  <cols>
    <col min="1" max="1" width="52.33203125" style="138" customWidth="1"/>
    <col min="2" max="2" width="12.6640625" customWidth="1"/>
    <col min="3" max="3" width="8.83203125" style="2" customWidth="1"/>
    <col min="4" max="4" width="12.6640625" customWidth="1"/>
    <col min="5" max="5" width="8.1640625" style="2" customWidth="1"/>
    <col min="6" max="6" width="12.6640625" customWidth="1"/>
    <col min="7" max="7" width="7.6640625" style="2" customWidth="1"/>
    <col min="8" max="8" width="13.1640625" customWidth="1"/>
    <col min="9" max="9" width="8.33203125" style="2" customWidth="1"/>
    <col min="10" max="10" width="12.6640625" customWidth="1"/>
    <col min="11" max="11" width="8.33203125" style="2" customWidth="1"/>
    <col min="12" max="12" width="12.6640625" customWidth="1"/>
    <col min="13" max="13" width="8.33203125" style="2" customWidth="1"/>
    <col min="14" max="14" width="12.6640625" customWidth="1"/>
    <col min="15" max="15" width="8.33203125" style="2" customWidth="1"/>
    <col min="16" max="16" width="12.6640625" customWidth="1"/>
    <col min="17" max="17" width="8.33203125" style="2" customWidth="1"/>
    <col min="18" max="18" width="12.6640625" customWidth="1"/>
    <col min="19" max="19" width="8.33203125" style="2" customWidth="1"/>
    <col min="20" max="20" width="12.6640625" customWidth="1"/>
    <col min="21" max="21" width="8.33203125" style="2" customWidth="1"/>
    <col min="22" max="22" width="12.6640625" customWidth="1"/>
    <col min="23" max="23" width="8.33203125" style="2" customWidth="1"/>
    <col min="24" max="24" width="14.5" customWidth="1"/>
    <col min="25" max="25" width="8.33203125" style="2" customWidth="1"/>
    <col min="26" max="26" width="14.5" style="3" customWidth="1"/>
    <col min="27" max="29" width="13.5" customWidth="1"/>
    <col min="30" max="30" width="15.6640625" customWidth="1"/>
    <col min="31" max="31" width="13.5" bestFit="1" customWidth="1"/>
    <col min="32" max="32" width="18.33203125" customWidth="1"/>
    <col min="33" max="33" width="8.5" bestFit="1" customWidth="1"/>
    <col min="35" max="35" width="16.5" bestFit="1" customWidth="1"/>
    <col min="36" max="36" width="16.5" customWidth="1"/>
    <col min="37" max="37" width="12.5" customWidth="1"/>
    <col min="38" max="38" width="13.1640625" customWidth="1"/>
    <col min="39" max="39" width="74" style="126" customWidth="1"/>
  </cols>
  <sheetData>
    <row r="1" spans="1:39" ht="41.25" customHeight="1">
      <c r="B1" s="77" t="s">
        <v>0</v>
      </c>
      <c r="C1" s="78" t="s">
        <v>1</v>
      </c>
      <c r="D1" s="77" t="s">
        <v>2</v>
      </c>
      <c r="E1" s="78" t="s">
        <v>3</v>
      </c>
      <c r="F1" s="77" t="s">
        <v>4</v>
      </c>
      <c r="G1" s="78" t="s">
        <v>5</v>
      </c>
      <c r="H1" s="77" t="s">
        <v>6</v>
      </c>
      <c r="I1" s="78" t="s">
        <v>7</v>
      </c>
      <c r="J1" s="77" t="s">
        <v>8</v>
      </c>
      <c r="K1" s="78" t="s">
        <v>9</v>
      </c>
      <c r="L1" s="77" t="s">
        <v>10</v>
      </c>
      <c r="M1" s="78" t="s">
        <v>11</v>
      </c>
      <c r="N1" s="77" t="s">
        <v>12</v>
      </c>
      <c r="O1" s="78" t="s">
        <v>13</v>
      </c>
      <c r="P1" s="77" t="s">
        <v>14</v>
      </c>
      <c r="Q1" s="78" t="s">
        <v>15</v>
      </c>
      <c r="R1" s="77" t="s">
        <v>16</v>
      </c>
      <c r="S1" s="78" t="s">
        <v>17</v>
      </c>
      <c r="T1" s="77" t="s">
        <v>18</v>
      </c>
      <c r="U1" s="78" t="s">
        <v>19</v>
      </c>
      <c r="V1" s="77" t="s">
        <v>20</v>
      </c>
      <c r="W1" s="78" t="s">
        <v>21</v>
      </c>
      <c r="X1" s="77" t="s">
        <v>22</v>
      </c>
      <c r="Y1" s="78" t="s">
        <v>23</v>
      </c>
      <c r="Z1" s="87" t="s">
        <v>24</v>
      </c>
      <c r="AA1" s="88" t="s">
        <v>103</v>
      </c>
      <c r="AB1" s="88" t="s">
        <v>104</v>
      </c>
      <c r="AC1" s="88"/>
      <c r="AD1" s="88" t="s">
        <v>105</v>
      </c>
      <c r="AE1" s="77" t="s">
        <v>25</v>
      </c>
      <c r="AF1" s="77" t="s">
        <v>26</v>
      </c>
      <c r="AG1" s="89" t="s">
        <v>106</v>
      </c>
      <c r="AH1" s="89" t="s">
        <v>107</v>
      </c>
      <c r="AI1" s="89" t="s">
        <v>108</v>
      </c>
      <c r="AJ1" s="89" t="s">
        <v>109</v>
      </c>
      <c r="AK1" s="86" t="s">
        <v>110</v>
      </c>
      <c r="AL1" s="86" t="s">
        <v>111</v>
      </c>
      <c r="AM1" s="134" t="s">
        <v>112</v>
      </c>
    </row>
    <row r="2" spans="1:39">
      <c r="A2" s="139" t="s">
        <v>27</v>
      </c>
      <c r="B2" t="s">
        <v>113</v>
      </c>
      <c r="D2" t="s">
        <v>113</v>
      </c>
      <c r="F2" t="s">
        <v>113</v>
      </c>
      <c r="H2" t="s">
        <v>113</v>
      </c>
      <c r="J2" t="s">
        <v>113</v>
      </c>
      <c r="L2" t="s">
        <v>113</v>
      </c>
      <c r="M2"/>
      <c r="N2" t="s">
        <v>113</v>
      </c>
      <c r="P2" t="s">
        <v>113</v>
      </c>
      <c r="R2" t="s">
        <v>113</v>
      </c>
      <c r="T2" t="s">
        <v>113</v>
      </c>
      <c r="V2" t="s">
        <v>113</v>
      </c>
      <c r="X2" t="s">
        <v>113</v>
      </c>
      <c r="Y2" t="s">
        <v>28</v>
      </c>
      <c r="Z2" t="s">
        <v>113</v>
      </c>
      <c r="AA2" t="s">
        <v>113</v>
      </c>
      <c r="AB2" t="s">
        <v>113</v>
      </c>
    </row>
    <row r="3" spans="1:39" ht="14">
      <c r="A3" s="140" t="s">
        <v>29</v>
      </c>
      <c r="B3" s="166" t="str">
        <f>'Combined Company'!B3</f>
        <v>01/31/2023</v>
      </c>
      <c r="C3" s="167"/>
      <c r="D3" s="166" t="str">
        <f>'Combined Company'!D3</f>
        <v>02/28/2023</v>
      </c>
      <c r="E3" s="167"/>
      <c r="F3" s="166" t="str">
        <f>'Combined Company'!F3</f>
        <v>03/31/2023</v>
      </c>
      <c r="G3" s="167"/>
      <c r="H3" s="166">
        <f>'Combined Company'!H3</f>
        <v>45046</v>
      </c>
      <c r="I3" s="167"/>
      <c r="J3" s="166">
        <f>'Combined Company'!J3</f>
        <v>45077</v>
      </c>
      <c r="K3" s="168"/>
      <c r="L3" s="165">
        <f>'Combined Company'!L3</f>
        <v>45107</v>
      </c>
      <c r="M3" s="168"/>
      <c r="N3" s="166">
        <f>'Combined Company'!N3</f>
        <v>45138</v>
      </c>
      <c r="O3" s="167"/>
      <c r="P3" s="166">
        <f>'Combined Company'!P3</f>
        <v>45169</v>
      </c>
      <c r="Q3" s="167"/>
      <c r="R3" s="166">
        <f>'Combined Company'!R3</f>
        <v>45199</v>
      </c>
      <c r="S3" s="168"/>
      <c r="T3" s="165">
        <f>'Combined Company'!T3</f>
        <v>45230</v>
      </c>
      <c r="U3" s="168"/>
      <c r="V3" s="165">
        <f>'Combined Company'!V3</f>
        <v>45260</v>
      </c>
      <c r="W3" s="168"/>
      <c r="X3" s="165">
        <f>'Combined Company'!X3</f>
        <v>45291</v>
      </c>
      <c r="Z3"/>
    </row>
    <row r="4" spans="1:39" ht="14">
      <c r="A4" s="140" t="s">
        <v>33</v>
      </c>
      <c r="B4" s="163">
        <f>'Combined Company'!B4</f>
        <v>31</v>
      </c>
      <c r="C4" s="164"/>
      <c r="D4" s="163">
        <f>'Combined Company'!D4</f>
        <v>28</v>
      </c>
      <c r="E4" s="164"/>
      <c r="F4" s="163">
        <f>'Combined Company'!F4</f>
        <v>31</v>
      </c>
      <c r="G4" s="164"/>
      <c r="H4" s="163">
        <f>'Combined Company'!H4</f>
        <v>30</v>
      </c>
      <c r="I4" s="164"/>
      <c r="J4" s="163">
        <f>'Combined Company'!J4</f>
        <v>31</v>
      </c>
      <c r="K4" s="164"/>
      <c r="L4" s="163">
        <f>'Combined Company'!L4</f>
        <v>30</v>
      </c>
      <c r="M4" s="164"/>
      <c r="N4" s="163">
        <f>'Combined Company'!N4</f>
        <v>31</v>
      </c>
      <c r="O4" s="164"/>
      <c r="P4" s="163">
        <f>'Combined Company'!P4</f>
        <v>31</v>
      </c>
      <c r="Q4" s="164"/>
      <c r="R4" s="163">
        <f>'Combined Company'!R4</f>
        <v>30</v>
      </c>
      <c r="S4" s="164"/>
      <c r="T4" s="163">
        <f>'Combined Company'!T4</f>
        <v>31</v>
      </c>
      <c r="U4" s="164"/>
      <c r="V4" s="163">
        <f>'Combined Company'!V4</f>
        <v>30</v>
      </c>
      <c r="W4" s="164"/>
      <c r="X4" s="163">
        <f>'Combined Company'!X4</f>
        <v>31</v>
      </c>
      <c r="Z4"/>
    </row>
    <row r="5" spans="1:39" ht="14">
      <c r="A5" s="140" t="s">
        <v>34</v>
      </c>
      <c r="B5" s="163">
        <f>'Combined Company'!B5</f>
        <v>1</v>
      </c>
      <c r="C5" s="164"/>
      <c r="D5" s="163">
        <f>'Combined Company'!D5</f>
        <v>1</v>
      </c>
      <c r="E5" s="164"/>
      <c r="F5" s="163">
        <f>'Combined Company'!F5</f>
        <v>1</v>
      </c>
      <c r="G5" s="164"/>
      <c r="H5" s="163">
        <f>'Combined Company'!H5</f>
        <v>2</v>
      </c>
      <c r="I5" s="164"/>
      <c r="J5" s="163">
        <f>'Combined Company'!J5</f>
        <v>2</v>
      </c>
      <c r="K5" s="164"/>
      <c r="L5" s="163">
        <f>'Combined Company'!L5</f>
        <v>2</v>
      </c>
      <c r="M5" s="164"/>
      <c r="N5" s="163">
        <f>'Combined Company'!N5</f>
        <v>3</v>
      </c>
      <c r="O5" s="164"/>
      <c r="P5" s="163">
        <f>'Combined Company'!P5</f>
        <v>3</v>
      </c>
      <c r="Q5" s="164"/>
      <c r="R5" s="163">
        <f>'Combined Company'!R5</f>
        <v>3</v>
      </c>
      <c r="S5" s="164"/>
      <c r="T5" s="163">
        <f>'Combined Company'!T5</f>
        <v>4</v>
      </c>
      <c r="U5" s="164"/>
      <c r="V5" s="163">
        <f>'Combined Company'!V5</f>
        <v>4</v>
      </c>
      <c r="W5" s="164"/>
      <c r="X5" s="163">
        <f>'Combined Company'!X5</f>
        <v>4</v>
      </c>
      <c r="Z5"/>
    </row>
    <row r="6" spans="1:39" ht="14">
      <c r="A6" s="140" t="s">
        <v>35</v>
      </c>
      <c r="B6" s="163">
        <f>'Combined Company'!B6</f>
        <v>2023</v>
      </c>
      <c r="C6" s="164"/>
      <c r="D6" s="163">
        <f>'Combined Company'!D6</f>
        <v>2023</v>
      </c>
      <c r="E6" s="164"/>
      <c r="F6" s="163">
        <f>'Combined Company'!F6</f>
        <v>2023</v>
      </c>
      <c r="G6" s="164"/>
      <c r="H6" s="163">
        <f>'Combined Company'!H6</f>
        <v>2023</v>
      </c>
      <c r="I6" s="164"/>
      <c r="J6" s="163">
        <f>'Combined Company'!J6</f>
        <v>2023</v>
      </c>
      <c r="K6" s="164"/>
      <c r="L6" s="163">
        <f>'Combined Company'!L6</f>
        <v>2023</v>
      </c>
      <c r="M6" s="164"/>
      <c r="N6" s="163">
        <f>'Combined Company'!N6</f>
        <v>2023</v>
      </c>
      <c r="O6" s="164"/>
      <c r="P6" s="163">
        <f>'Combined Company'!P6</f>
        <v>2023</v>
      </c>
      <c r="Q6" s="164"/>
      <c r="R6" s="163">
        <f>'Combined Company'!R6</f>
        <v>2023</v>
      </c>
      <c r="S6" s="164"/>
      <c r="T6" s="163">
        <f>'Combined Company'!T6</f>
        <v>2023</v>
      </c>
      <c r="U6" s="164"/>
      <c r="V6" s="163">
        <f>'Combined Company'!V6</f>
        <v>2023</v>
      </c>
      <c r="W6" s="164"/>
      <c r="X6" s="163">
        <f>'Combined Company'!X6</f>
        <v>2023</v>
      </c>
      <c r="Z6"/>
    </row>
    <row r="7" spans="1:39">
      <c r="Z7"/>
    </row>
    <row r="8" spans="1:39">
      <c r="A8" s="141" t="s">
        <v>36</v>
      </c>
      <c r="B8" s="16"/>
      <c r="C8" s="22"/>
      <c r="D8" s="16"/>
      <c r="E8" s="22"/>
      <c r="F8" s="16"/>
      <c r="G8" s="22"/>
      <c r="H8" s="16"/>
      <c r="I8" s="22"/>
      <c r="J8" s="16"/>
      <c r="K8" s="22"/>
      <c r="L8" s="16"/>
      <c r="M8" s="22"/>
      <c r="N8" s="16"/>
      <c r="O8" s="22"/>
      <c r="P8" s="16"/>
      <c r="Q8" s="22"/>
      <c r="R8" s="16"/>
      <c r="S8" s="22"/>
      <c r="T8" s="16"/>
      <c r="U8" s="22"/>
      <c r="V8" s="16"/>
      <c r="W8" s="22"/>
      <c r="X8" s="16"/>
      <c r="Y8" s="22"/>
      <c r="Z8" s="16"/>
      <c r="AA8" s="12"/>
      <c r="AB8" s="12"/>
      <c r="AC8" s="12"/>
      <c r="AD8" s="12"/>
      <c r="AE8" s="12"/>
      <c r="AF8" s="12"/>
    </row>
    <row r="9" spans="1:39" ht="20" customHeight="1">
      <c r="A9" s="142" t="s">
        <v>37</v>
      </c>
      <c r="B9" s="16">
        <v>102223</v>
      </c>
      <c r="C9" s="22">
        <f>B9/B$17</f>
        <v>0.35615908576206817</v>
      </c>
      <c r="D9" s="16">
        <v>101637</v>
      </c>
      <c r="E9" s="22">
        <f>D9/D$17</f>
        <v>0.15250300468595968</v>
      </c>
      <c r="F9" s="16">
        <v>133979</v>
      </c>
      <c r="G9" s="22">
        <f>F9/F$17</f>
        <v>0.34186426881887794</v>
      </c>
      <c r="H9" s="16">
        <v>157213</v>
      </c>
      <c r="I9" s="22">
        <f>H9/H$17</f>
        <v>0.26697403501621753</v>
      </c>
      <c r="J9" s="16">
        <v>99474</v>
      </c>
      <c r="K9" s="22">
        <f>J9/J$17</f>
        <v>9.6427377022959587E-2</v>
      </c>
      <c r="L9" s="16">
        <v>109822</v>
      </c>
      <c r="M9" s="22">
        <f>L9/L$17</f>
        <v>0.23772745180381241</v>
      </c>
      <c r="N9" s="16">
        <v>97176</v>
      </c>
      <c r="O9" s="22">
        <f>N9/N$17</f>
        <v>0.11439563117368062</v>
      </c>
      <c r="P9" s="16">
        <v>121475</v>
      </c>
      <c r="Q9" s="22">
        <f>P9/P$17</f>
        <v>0.1053510255409566</v>
      </c>
      <c r="R9" s="16">
        <v>103635</v>
      </c>
      <c r="S9" s="22">
        <f>R9/R$17</f>
        <v>0.11605744022988634</v>
      </c>
      <c r="T9" s="16">
        <v>115881</v>
      </c>
      <c r="U9" s="22">
        <f>T9/T$17</f>
        <v>0.1626290439380926</v>
      </c>
      <c r="V9" s="16">
        <v>113271</v>
      </c>
      <c r="W9" s="22">
        <f>V9/V$17</f>
        <v>0.33496571119332147</v>
      </c>
      <c r="X9" s="16">
        <v>115351</v>
      </c>
      <c r="Y9" s="22">
        <f>X9/X$17</f>
        <v>0.15040047773088261</v>
      </c>
      <c r="Z9" s="16">
        <f>SUM(B9,D9,F9,H9,J9,L9,N9,P9,R9,T9,V9,X9)</f>
        <v>1371137</v>
      </c>
      <c r="AA9" s="16">
        <f>IFERROR(AVERAGE(B9,D9,F9,H9,J9,L9,N9,P9,R9,T9,V9,X9),0)</f>
        <v>114261.41666666667</v>
      </c>
      <c r="AB9" s="16">
        <f t="shared" ref="AB9:AB17" si="0">IFERROR(AVERAGE(T9,V9,X9),0)</f>
        <v>114834.33333333333</v>
      </c>
      <c r="AC9" s="16"/>
      <c r="AD9" s="45"/>
      <c r="AE9" s="16">
        <f>IFERROR(AVERAGE(R9,T9,V9),0)</f>
        <v>110929</v>
      </c>
      <c r="AF9" s="45"/>
      <c r="AK9" s="56">
        <f t="shared" ref="AK9:AK17" si="1">SUM(T9,V9,X9)*4</f>
        <v>1378012</v>
      </c>
      <c r="AL9" s="66">
        <f>AK9/12</f>
        <v>114834.33333333333</v>
      </c>
    </row>
    <row r="10" spans="1:39" ht="20" customHeight="1">
      <c r="A10" s="142" t="s">
        <v>38</v>
      </c>
      <c r="B10" s="16">
        <v>43961</v>
      </c>
      <c r="C10" s="22">
        <f>B10/B$17</f>
        <v>0.1531662108252182</v>
      </c>
      <c r="D10" s="16">
        <v>7683</v>
      </c>
      <c r="E10" s="22">
        <f>D10/D$17</f>
        <v>1.1528091000346607E-2</v>
      </c>
      <c r="F10" s="16">
        <v>31895</v>
      </c>
      <c r="G10" s="22">
        <f>F10/F$17</f>
        <v>8.1384103881788281E-2</v>
      </c>
      <c r="H10" s="16">
        <v>161</v>
      </c>
      <c r="I10" s="22">
        <f>H10/H$17</f>
        <v>2.7340499600930594E-4</v>
      </c>
      <c r="J10" s="16">
        <v>184</v>
      </c>
      <c r="K10" s="22">
        <f>J10/J$17</f>
        <v>1.7836457136763943E-4</v>
      </c>
      <c r="L10" s="16">
        <v>177</v>
      </c>
      <c r="M10" s="22">
        <f>L10/L$17</f>
        <v>3.8314507994094806E-4</v>
      </c>
      <c r="N10" s="16">
        <v>161</v>
      </c>
      <c r="O10" s="22">
        <f>N10/N$17</f>
        <v>1.8952927285505248E-4</v>
      </c>
      <c r="P10" s="16">
        <v>0</v>
      </c>
      <c r="Q10" s="22">
        <f>P10/P$17</f>
        <v>0</v>
      </c>
      <c r="R10" s="16">
        <v>0</v>
      </c>
      <c r="S10" s="22">
        <f>R10/R$17</f>
        <v>0</v>
      </c>
      <c r="T10" s="16">
        <v>0</v>
      </c>
      <c r="U10" s="22">
        <f>T10/T$17</f>
        <v>0</v>
      </c>
      <c r="V10" s="16">
        <v>0</v>
      </c>
      <c r="W10" s="22">
        <f>V10/V$17</f>
        <v>0</v>
      </c>
      <c r="X10" s="16">
        <v>0</v>
      </c>
      <c r="Y10" s="22">
        <f>X10/X$17</f>
        <v>0</v>
      </c>
      <c r="Z10" s="16">
        <f t="shared" ref="Z10:Z17" si="2">SUM(B10,D10,F10,H10,J10,L10,N10,P10,R10,T10,V10,X10)</f>
        <v>84222</v>
      </c>
      <c r="AA10" s="16">
        <f t="shared" ref="AA10:AA17" si="3">IFERROR(AVERAGE(B10,D10,F10,H10,J10,L10,N10,P10,R10,T10,V10,X10),0)</f>
        <v>7018.5</v>
      </c>
      <c r="AB10" s="16">
        <f t="shared" si="0"/>
        <v>0</v>
      </c>
      <c r="AC10" s="16"/>
      <c r="AD10" s="45"/>
      <c r="AE10" s="16">
        <f>IFERROR(AVERAGE(R10,T10,V10),0)</f>
        <v>0</v>
      </c>
      <c r="AF10" s="45"/>
      <c r="AK10" s="56">
        <f t="shared" si="1"/>
        <v>0</v>
      </c>
      <c r="AL10" s="66">
        <f>AK10/12</f>
        <v>0</v>
      </c>
    </row>
    <row r="11" spans="1:39" ht="20" customHeight="1">
      <c r="A11" s="142" t="s">
        <v>39</v>
      </c>
      <c r="B11" s="16"/>
      <c r="C11" s="22">
        <f>B11/B$17</f>
        <v>0</v>
      </c>
      <c r="D11" s="16"/>
      <c r="E11" s="22">
        <f>D11/D$17</f>
        <v>0</v>
      </c>
      <c r="F11" s="16"/>
      <c r="G11" s="22">
        <f>F11/F$17</f>
        <v>0</v>
      </c>
      <c r="H11" s="16">
        <v>13167</v>
      </c>
      <c r="I11" s="22">
        <f>H11/H$17</f>
        <v>2.2359773804065414E-2</v>
      </c>
      <c r="J11" s="16">
        <v>12214</v>
      </c>
      <c r="K11" s="22">
        <f>J11/J$17</f>
        <v>1.1839917797197544E-2</v>
      </c>
      <c r="L11" s="16">
        <v>13079</v>
      </c>
      <c r="M11" s="22">
        <f>L11/L$17</f>
        <v>2.8311607347726888E-2</v>
      </c>
      <c r="N11" s="16">
        <v>6002</v>
      </c>
      <c r="O11" s="22">
        <f>N11/N$17</f>
        <v>7.0655571160001557E-3</v>
      </c>
      <c r="P11" s="16">
        <v>11891</v>
      </c>
      <c r="Q11" s="22">
        <f>P11/P$17</f>
        <v>1.0312649061185552E-2</v>
      </c>
      <c r="R11" s="16">
        <v>13655</v>
      </c>
      <c r="S11" s="22">
        <f>R11/R$17</f>
        <v>1.52917870057326E-2</v>
      </c>
      <c r="T11" s="16">
        <v>17769</v>
      </c>
      <c r="U11" s="22">
        <f>T11/T$17</f>
        <v>2.4937267384092018E-2</v>
      </c>
      <c r="V11" s="16">
        <v>17622</v>
      </c>
      <c r="W11" s="22">
        <f>V11/V$17</f>
        <v>5.2111888856359617E-2</v>
      </c>
      <c r="X11" s="16">
        <v>17987</v>
      </c>
      <c r="Y11" s="22">
        <f>X11/X$17</f>
        <v>2.3452361860281972E-2</v>
      </c>
      <c r="Z11" s="16">
        <f t="shared" si="2"/>
        <v>123386</v>
      </c>
      <c r="AA11" s="16">
        <f t="shared" si="3"/>
        <v>13709.555555555555</v>
      </c>
      <c r="AB11" s="16">
        <f t="shared" si="0"/>
        <v>17792.666666666668</v>
      </c>
      <c r="AC11" s="16"/>
      <c r="AD11" s="45"/>
      <c r="AE11" s="16"/>
      <c r="AF11" s="45"/>
      <c r="AK11" s="70">
        <f>(X11*3)*4</f>
        <v>215844</v>
      </c>
      <c r="AL11" s="133">
        <f>AK11/12</f>
        <v>17987</v>
      </c>
      <c r="AM11" s="126" t="s">
        <v>114</v>
      </c>
    </row>
    <row r="12" spans="1:39" ht="20" customHeight="1">
      <c r="A12" s="142" t="s">
        <v>40</v>
      </c>
      <c r="B12" s="16">
        <v>59765</v>
      </c>
      <c r="C12" s="22">
        <f t="shared" ref="C12:C17" si="4">B12/B$17</f>
        <v>0.20822953504172256</v>
      </c>
      <c r="D12" s="16">
        <v>113090</v>
      </c>
      <c r="E12" s="22">
        <f t="shared" ref="E12:E17" si="5">D12/D$17</f>
        <v>0.16968785776769463</v>
      </c>
      <c r="F12" s="16">
        <v>72796</v>
      </c>
      <c r="G12" s="22">
        <f t="shared" ref="G12:G17" si="6">F12/F$17</f>
        <v>0.1857481494334115</v>
      </c>
      <c r="H12" s="16">
        <v>11734</v>
      </c>
      <c r="I12" s="22">
        <f t="shared" ref="I12:I17" si="7">H12/H$17</f>
        <v>1.9926299522814883E-2</v>
      </c>
      <c r="J12" s="16">
        <v>80606</v>
      </c>
      <c r="K12" s="22">
        <f t="shared" ref="K12:K17" si="8">J12/J$17</f>
        <v>7.8137253476412746E-2</v>
      </c>
      <c r="L12" s="16">
        <v>42267</v>
      </c>
      <c r="M12" s="22">
        <f t="shared" ref="M12:M17" si="9">L12/L$17</f>
        <v>9.1493746293017236E-2</v>
      </c>
      <c r="N12" s="16">
        <v>92912</v>
      </c>
      <c r="O12" s="22">
        <f t="shared" ref="O12:O17" si="10">N12/N$17</f>
        <v>0.10937604844415302</v>
      </c>
      <c r="P12" s="16">
        <v>108496</v>
      </c>
      <c r="Q12" s="22">
        <f t="shared" ref="Q12:Q17" si="11">P12/P$17</f>
        <v>9.4094792073197167E-2</v>
      </c>
      <c r="R12" s="16">
        <v>75466</v>
      </c>
      <c r="S12" s="22">
        <f t="shared" ref="S12:S17" si="12">R12/R$17</f>
        <v>8.4511900269104101E-2</v>
      </c>
      <c r="T12" s="16">
        <v>71848</v>
      </c>
      <c r="U12" s="22">
        <f t="shared" ref="U12:U17" si="13">T12/T$17</f>
        <v>0.10083250531893992</v>
      </c>
      <c r="V12" s="16">
        <v>11245</v>
      </c>
      <c r="W12" s="22">
        <f t="shared" ref="W12:W17" si="14">V12/V$17</f>
        <v>3.3253784484721591E-2</v>
      </c>
      <c r="X12" s="16">
        <v>31148</v>
      </c>
      <c r="Y12" s="22">
        <f t="shared" ref="Y12:Y17" si="15">X12/X$17</f>
        <v>4.0612340424977085E-2</v>
      </c>
      <c r="Z12" s="16">
        <f t="shared" si="2"/>
        <v>771373</v>
      </c>
      <c r="AA12" s="16">
        <f t="shared" si="3"/>
        <v>64281.083333333336</v>
      </c>
      <c r="AB12" s="16">
        <f t="shared" si="0"/>
        <v>38080.333333333336</v>
      </c>
      <c r="AC12" s="16"/>
      <c r="AD12" s="45"/>
      <c r="AE12" s="16">
        <f>IFERROR(AVERAGE(R12,T12,V12),0)</f>
        <v>52853</v>
      </c>
      <c r="AF12" s="45"/>
      <c r="AK12" s="56">
        <f t="shared" si="1"/>
        <v>456964</v>
      </c>
      <c r="AL12" s="66">
        <f>AK12/12</f>
        <v>38080.333333333336</v>
      </c>
    </row>
    <row r="13" spans="1:39" ht="20" customHeight="1">
      <c r="A13" s="142" t="s">
        <v>41</v>
      </c>
      <c r="B13" s="16">
        <v>0</v>
      </c>
      <c r="C13" s="22">
        <f t="shared" si="4"/>
        <v>0</v>
      </c>
      <c r="D13" s="16">
        <v>1592</v>
      </c>
      <c r="E13" s="22">
        <f t="shared" si="5"/>
        <v>2.3887440937852139E-3</v>
      </c>
      <c r="F13" s="16">
        <v>145</v>
      </c>
      <c r="G13" s="22">
        <f t="shared" si="6"/>
        <v>3.6998573641195488E-4</v>
      </c>
      <c r="H13" s="16">
        <v>987</v>
      </c>
      <c r="I13" s="22">
        <f t="shared" si="7"/>
        <v>1.6760914972744408E-3</v>
      </c>
      <c r="J13" s="16">
        <v>0</v>
      </c>
      <c r="K13" s="22">
        <f t="shared" si="8"/>
        <v>0</v>
      </c>
      <c r="L13" s="16">
        <v>0</v>
      </c>
      <c r="M13" s="22">
        <f t="shared" si="9"/>
        <v>0</v>
      </c>
      <c r="N13" s="16">
        <v>0</v>
      </c>
      <c r="O13" s="22">
        <f t="shared" si="10"/>
        <v>0</v>
      </c>
      <c r="P13" s="16">
        <v>0</v>
      </c>
      <c r="Q13" s="22">
        <f t="shared" si="11"/>
        <v>0</v>
      </c>
      <c r="R13" s="16">
        <v>5929</v>
      </c>
      <c r="S13" s="22">
        <f t="shared" si="12"/>
        <v>6.6396927980218665E-3</v>
      </c>
      <c r="T13" s="16">
        <v>1108</v>
      </c>
      <c r="U13" s="22">
        <f t="shared" si="13"/>
        <v>1.5549829625512949E-3</v>
      </c>
      <c r="V13" s="16">
        <v>1820</v>
      </c>
      <c r="W13" s="22">
        <f t="shared" si="14"/>
        <v>5.3821154079318183E-3</v>
      </c>
      <c r="X13" s="16">
        <v>2427</v>
      </c>
      <c r="Y13" s="22">
        <f t="shared" si="15"/>
        <v>3.1644455570636761E-3</v>
      </c>
      <c r="Z13" s="16">
        <f t="shared" si="2"/>
        <v>14008</v>
      </c>
      <c r="AA13" s="16">
        <f t="shared" si="3"/>
        <v>1167.3333333333333</v>
      </c>
      <c r="AB13" s="16">
        <f t="shared" si="0"/>
        <v>1785</v>
      </c>
      <c r="AC13" s="16"/>
      <c r="AD13" s="45"/>
      <c r="AE13" s="16">
        <f>IFERROR(AVERAGE(R13,T13,V13),0)</f>
        <v>2952.3333333333335</v>
      </c>
      <c r="AF13" s="45"/>
      <c r="AG13" s="12"/>
      <c r="AH13" s="12"/>
      <c r="AI13" s="12"/>
      <c r="AJ13" s="12"/>
      <c r="AK13" s="56">
        <f t="shared" si="1"/>
        <v>21420</v>
      </c>
      <c r="AL13" s="66">
        <f>AK13/12</f>
        <v>1785</v>
      </c>
    </row>
    <row r="14" spans="1:39" ht="20" customHeight="1">
      <c r="A14" s="142" t="s">
        <v>42</v>
      </c>
      <c r="B14" s="16">
        <v>81066</v>
      </c>
      <c r="C14" s="22">
        <f t="shared" si="4"/>
        <v>0.28244516837099104</v>
      </c>
      <c r="D14" s="16">
        <v>442457</v>
      </c>
      <c r="E14" s="22">
        <f t="shared" si="5"/>
        <v>0.66389230245221387</v>
      </c>
      <c r="F14" s="16">
        <v>153161</v>
      </c>
      <c r="G14" s="22">
        <f t="shared" si="6"/>
        <v>0.39080955430752706</v>
      </c>
      <c r="H14" s="16">
        <v>405608</v>
      </c>
      <c r="I14" s="22">
        <f t="shared" si="7"/>
        <v>0.68879039516361851</v>
      </c>
      <c r="J14" s="16">
        <v>839117</v>
      </c>
      <c r="K14" s="22">
        <f t="shared" si="8"/>
        <v>0.81341708713206251</v>
      </c>
      <c r="L14" s="16">
        <v>296621</v>
      </c>
      <c r="M14" s="22">
        <f t="shared" si="9"/>
        <v>0.64208404947550257</v>
      </c>
      <c r="N14" s="16">
        <v>653222</v>
      </c>
      <c r="O14" s="22">
        <f t="shared" si="10"/>
        <v>0.76897323399331119</v>
      </c>
      <c r="P14" s="16">
        <v>911188</v>
      </c>
      <c r="Q14" s="22">
        <f t="shared" si="11"/>
        <v>0.79024153332466063</v>
      </c>
      <c r="R14" s="16">
        <v>685651</v>
      </c>
      <c r="S14" s="22">
        <f t="shared" si="12"/>
        <v>0.76783808511662854</v>
      </c>
      <c r="T14" s="16">
        <v>499231</v>
      </c>
      <c r="U14" s="22">
        <f t="shared" si="13"/>
        <v>0.70062788752477023</v>
      </c>
      <c r="V14" s="16">
        <v>187218</v>
      </c>
      <c r="W14" s="22">
        <f t="shared" si="14"/>
        <v>0.55364224310009846</v>
      </c>
      <c r="X14" s="16">
        <v>591430</v>
      </c>
      <c r="Y14" s="22">
        <f t="shared" si="15"/>
        <v>0.7711363971216193</v>
      </c>
      <c r="Z14" s="16">
        <f t="shared" si="2"/>
        <v>5745970</v>
      </c>
      <c r="AA14" s="16">
        <f t="shared" si="3"/>
        <v>478830.83333333331</v>
      </c>
      <c r="AB14" s="16">
        <f t="shared" si="0"/>
        <v>425959.66666666669</v>
      </c>
      <c r="AC14" s="16"/>
      <c r="AD14" s="45"/>
      <c r="AE14" s="16">
        <f>IFERROR(AVERAGE(R14,T14,V14),0)</f>
        <v>457366.66666666669</v>
      </c>
      <c r="AF14" s="45"/>
      <c r="AK14" s="56">
        <f t="shared" si="1"/>
        <v>5111516</v>
      </c>
      <c r="AL14" s="66">
        <f t="shared" ref="AL14:AL80" si="16">AK14/12</f>
        <v>425959.66666666669</v>
      </c>
    </row>
    <row r="15" spans="1:39" ht="20" customHeight="1">
      <c r="A15" s="142" t="s">
        <v>43</v>
      </c>
      <c r="B15" s="16">
        <v>0</v>
      </c>
      <c r="C15" s="22">
        <f t="shared" si="4"/>
        <v>0</v>
      </c>
      <c r="D15" s="16">
        <v>0</v>
      </c>
      <c r="E15" s="22">
        <f t="shared" si="5"/>
        <v>0</v>
      </c>
      <c r="F15" s="16">
        <v>0</v>
      </c>
      <c r="G15" s="22">
        <f t="shared" si="6"/>
        <v>0</v>
      </c>
      <c r="H15" s="16">
        <v>0</v>
      </c>
      <c r="I15" s="22">
        <f t="shared" si="7"/>
        <v>0</v>
      </c>
      <c r="J15" s="16">
        <v>0</v>
      </c>
      <c r="K15" s="22">
        <f t="shared" si="8"/>
        <v>0</v>
      </c>
      <c r="L15" s="16">
        <v>0</v>
      </c>
      <c r="M15" s="22">
        <f t="shared" si="9"/>
        <v>0</v>
      </c>
      <c r="N15" s="16">
        <v>0</v>
      </c>
      <c r="O15" s="22">
        <f t="shared" si="10"/>
        <v>0</v>
      </c>
      <c r="P15" s="16"/>
      <c r="Q15" s="22">
        <f t="shared" si="11"/>
        <v>0</v>
      </c>
      <c r="R15" s="16">
        <v>8627</v>
      </c>
      <c r="S15" s="22">
        <f t="shared" si="12"/>
        <v>9.6610945806265211E-3</v>
      </c>
      <c r="T15" s="16">
        <v>6711</v>
      </c>
      <c r="U15" s="22">
        <f t="shared" si="13"/>
        <v>9.4183128715539157E-3</v>
      </c>
      <c r="V15" s="16">
        <v>6981</v>
      </c>
      <c r="W15" s="22">
        <f t="shared" si="14"/>
        <v>2.0644256957567046E-2</v>
      </c>
      <c r="X15" s="16">
        <v>8616</v>
      </c>
      <c r="Y15" s="22">
        <f t="shared" si="15"/>
        <v>1.1233977305175374E-2</v>
      </c>
      <c r="Z15" s="16">
        <f t="shared" si="2"/>
        <v>30935</v>
      </c>
      <c r="AA15" s="16">
        <f t="shared" si="3"/>
        <v>2812.2727272727275</v>
      </c>
      <c r="AB15" s="16">
        <f t="shared" si="0"/>
        <v>7436</v>
      </c>
      <c r="AC15" s="16"/>
      <c r="AD15" s="45"/>
      <c r="AE15" s="16">
        <f>IFERROR(AVERAGE(R15,T15,V15),0)</f>
        <v>7439.666666666667</v>
      </c>
      <c r="AF15" s="45"/>
      <c r="AK15" s="56">
        <f t="shared" si="1"/>
        <v>89232</v>
      </c>
      <c r="AL15" s="66">
        <f t="shared" si="16"/>
        <v>7436</v>
      </c>
    </row>
    <row r="16" spans="1:39" ht="20" customHeight="1">
      <c r="A16" s="142" t="s">
        <v>44</v>
      </c>
      <c r="B16" s="16"/>
      <c r="C16" s="22">
        <f t="shared" si="4"/>
        <v>0</v>
      </c>
      <c r="D16" s="16"/>
      <c r="E16" s="22">
        <f t="shared" si="5"/>
        <v>0</v>
      </c>
      <c r="F16" s="16">
        <v>69</v>
      </c>
      <c r="G16" s="22">
        <f t="shared" si="6"/>
        <v>1.7606217801672335E-4</v>
      </c>
      <c r="H16" s="16">
        <v>0</v>
      </c>
      <c r="I16" s="22">
        <f t="shared" si="7"/>
        <v>0</v>
      </c>
      <c r="J16" s="16">
        <v>0</v>
      </c>
      <c r="K16" s="22">
        <f t="shared" si="8"/>
        <v>0</v>
      </c>
      <c r="L16" s="16">
        <v>0</v>
      </c>
      <c r="M16" s="22">
        <f t="shared" si="9"/>
        <v>0</v>
      </c>
      <c r="N16" s="16">
        <v>0</v>
      </c>
      <c r="O16" s="22">
        <f t="shared" si="10"/>
        <v>0</v>
      </c>
      <c r="P16" s="16"/>
      <c r="Q16" s="22">
        <f t="shared" si="11"/>
        <v>0</v>
      </c>
      <c r="R16" s="16">
        <v>0</v>
      </c>
      <c r="S16" s="22">
        <f t="shared" si="12"/>
        <v>0</v>
      </c>
      <c r="T16" s="16">
        <v>0</v>
      </c>
      <c r="U16" s="22">
        <f t="shared" si="13"/>
        <v>0</v>
      </c>
      <c r="V16" s="16">
        <v>0</v>
      </c>
      <c r="W16" s="22">
        <f t="shared" si="14"/>
        <v>0</v>
      </c>
      <c r="X16" s="16">
        <v>0</v>
      </c>
      <c r="Y16" s="22">
        <f t="shared" si="15"/>
        <v>0</v>
      </c>
      <c r="Z16" s="16">
        <f t="shared" si="2"/>
        <v>69</v>
      </c>
      <c r="AA16" s="16">
        <f t="shared" si="3"/>
        <v>7.666666666666667</v>
      </c>
      <c r="AB16" s="16">
        <f t="shared" si="0"/>
        <v>0</v>
      </c>
      <c r="AC16" s="16"/>
      <c r="AD16" s="45"/>
      <c r="AE16" s="16">
        <f>IFERROR(AVERAGE(R16,T16,V16),0)</f>
        <v>0</v>
      </c>
      <c r="AF16" s="45"/>
      <c r="AK16" s="56">
        <f t="shared" si="1"/>
        <v>0</v>
      </c>
      <c r="AL16" s="66">
        <f t="shared" si="16"/>
        <v>0</v>
      </c>
    </row>
    <row r="17" spans="1:39" s="24" customFormat="1" ht="19.5" customHeight="1">
      <c r="A17" s="143" t="s">
        <v>45</v>
      </c>
      <c r="B17" s="7">
        <v>287015</v>
      </c>
      <c r="C17" s="58">
        <f t="shared" si="4"/>
        <v>1</v>
      </c>
      <c r="D17" s="7">
        <v>666459</v>
      </c>
      <c r="E17" s="58">
        <f t="shared" si="5"/>
        <v>1</v>
      </c>
      <c r="F17" s="7">
        <v>391907</v>
      </c>
      <c r="G17" s="58">
        <f t="shared" si="6"/>
        <v>1</v>
      </c>
      <c r="H17" s="7">
        <v>588870</v>
      </c>
      <c r="I17" s="58">
        <f t="shared" si="7"/>
        <v>1</v>
      </c>
      <c r="J17" s="7">
        <f>SUM(J9:J16)</f>
        <v>1031595</v>
      </c>
      <c r="K17" s="58">
        <f t="shared" si="8"/>
        <v>1</v>
      </c>
      <c r="L17" s="7">
        <f>SUM(L9:L16)</f>
        <v>461966</v>
      </c>
      <c r="M17" s="58">
        <f t="shared" si="9"/>
        <v>1</v>
      </c>
      <c r="N17" s="7">
        <f>SUM(N9:N16)</f>
        <v>849473</v>
      </c>
      <c r="O17" s="58">
        <f t="shared" si="10"/>
        <v>1</v>
      </c>
      <c r="P17" s="7">
        <f>SUM(P9:P16)</f>
        <v>1153050</v>
      </c>
      <c r="Q17" s="58">
        <f t="shared" si="11"/>
        <v>1</v>
      </c>
      <c r="R17" s="7">
        <f>SUM(R9:R16)</f>
        <v>892963</v>
      </c>
      <c r="S17" s="58">
        <f t="shared" si="12"/>
        <v>1</v>
      </c>
      <c r="T17" s="7">
        <f>SUM(T9:T16)</f>
        <v>712548</v>
      </c>
      <c r="U17" s="58">
        <f t="shared" si="13"/>
        <v>1</v>
      </c>
      <c r="V17" s="7">
        <f>SUM(V9:V16)</f>
        <v>338157</v>
      </c>
      <c r="W17" s="58">
        <f t="shared" si="14"/>
        <v>1</v>
      </c>
      <c r="X17" s="7">
        <f>SUM(X9:X16)</f>
        <v>766959</v>
      </c>
      <c r="Y17" s="58">
        <f t="shared" si="15"/>
        <v>1</v>
      </c>
      <c r="Z17" s="7">
        <f t="shared" si="2"/>
        <v>8140962</v>
      </c>
      <c r="AA17" s="7">
        <f t="shared" si="3"/>
        <v>678413.5</v>
      </c>
      <c r="AB17" s="7">
        <f t="shared" si="0"/>
        <v>605888</v>
      </c>
      <c r="AC17" s="7"/>
      <c r="AD17" s="45"/>
      <c r="AE17" s="7">
        <f>IFERROR(AVERAGE(R17:V17),0)</f>
        <v>388734</v>
      </c>
      <c r="AF17" s="40"/>
      <c r="AK17" s="56">
        <f t="shared" si="1"/>
        <v>7270656</v>
      </c>
      <c r="AL17" s="66">
        <f t="shared" si="16"/>
        <v>605888</v>
      </c>
      <c r="AM17" s="135"/>
    </row>
    <row r="18" spans="1:39" s="53" customFormat="1" ht="20" customHeight="1">
      <c r="A18" s="144"/>
      <c r="B18" s="51"/>
      <c r="C18" s="59"/>
      <c r="D18" s="51"/>
      <c r="E18" s="59"/>
      <c r="F18" s="59"/>
      <c r="G18" s="59"/>
      <c r="H18" s="59"/>
      <c r="I18" s="59"/>
      <c r="J18" s="51"/>
      <c r="K18" s="59"/>
      <c r="L18" s="51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1"/>
      <c r="AD18" s="51"/>
      <c r="AE18" s="51"/>
      <c r="AF18" s="52"/>
      <c r="AK18" s="56"/>
      <c r="AL18" s="66"/>
      <c r="AM18" s="136"/>
    </row>
    <row r="19" spans="1:39" s="53" customFormat="1" ht="20" customHeight="1">
      <c r="A19" s="144"/>
      <c r="B19" s="51"/>
      <c r="C19" s="59"/>
      <c r="D19" s="51"/>
      <c r="E19" s="59"/>
      <c r="F19" s="51"/>
      <c r="G19" s="59"/>
      <c r="H19" s="51"/>
      <c r="I19" s="59"/>
      <c r="J19" s="51"/>
      <c r="K19" s="59"/>
      <c r="L19" s="51"/>
      <c r="M19" s="59"/>
      <c r="N19" s="51"/>
      <c r="O19" s="59"/>
      <c r="P19" s="51"/>
      <c r="Q19" s="59"/>
      <c r="R19" s="51"/>
      <c r="S19" s="59"/>
      <c r="T19" s="51"/>
      <c r="U19" s="59"/>
      <c r="V19" s="51"/>
      <c r="W19" s="59"/>
      <c r="X19" s="51"/>
      <c r="Y19" s="59"/>
      <c r="Z19" s="51"/>
      <c r="AA19" s="51"/>
      <c r="AB19" s="51"/>
      <c r="AC19" s="51"/>
      <c r="AD19" s="51"/>
      <c r="AE19" s="51"/>
      <c r="AF19" s="52"/>
      <c r="AK19" s="56"/>
      <c r="AL19" s="66"/>
      <c r="AM19" s="136"/>
    </row>
    <row r="20" spans="1:39" ht="20" customHeight="1">
      <c r="A20" s="141" t="s">
        <v>46</v>
      </c>
      <c r="B20" s="16"/>
      <c r="C20" s="22"/>
      <c r="D20" s="16"/>
      <c r="E20" s="22"/>
      <c r="F20" s="16"/>
      <c r="G20" s="22"/>
      <c r="H20" s="16"/>
      <c r="I20" s="22"/>
      <c r="J20" s="16"/>
      <c r="K20" s="22"/>
      <c r="L20" s="16"/>
      <c r="M20" s="22"/>
      <c r="N20" s="16"/>
      <c r="O20" s="22"/>
      <c r="P20" s="16"/>
      <c r="Q20" s="22"/>
      <c r="R20" s="16"/>
      <c r="S20" s="22"/>
      <c r="T20" s="16"/>
      <c r="U20" s="22"/>
      <c r="V20" s="16"/>
      <c r="W20" s="22"/>
      <c r="X20" s="16"/>
      <c r="Y20" s="22"/>
      <c r="Z20" s="16"/>
      <c r="AA20" s="16"/>
      <c r="AB20" s="16"/>
      <c r="AC20" s="16"/>
      <c r="AD20" s="16"/>
      <c r="AE20" s="16"/>
      <c r="AF20" s="12"/>
      <c r="AK20" s="56"/>
      <c r="AL20" s="66"/>
    </row>
    <row r="21" spans="1:39" ht="20" customHeight="1">
      <c r="A21" s="142" t="s">
        <v>47</v>
      </c>
      <c r="B21" s="16">
        <v>18619</v>
      </c>
      <c r="C21" s="22">
        <f t="shared" ref="C21:C27" si="17">B21/B$17</f>
        <v>6.4871173980453986E-2</v>
      </c>
      <c r="D21" s="16">
        <v>24994</v>
      </c>
      <c r="E21" s="22">
        <f t="shared" ref="E21:E27" si="18">D21/D$17</f>
        <v>3.7502682085469627E-2</v>
      </c>
      <c r="F21" s="16">
        <v>45087</v>
      </c>
      <c r="G21" s="22">
        <f t="shared" ref="G21:G27" si="19">F21/F$17</f>
        <v>0.1150451510179711</v>
      </c>
      <c r="H21" s="16">
        <v>6029</v>
      </c>
      <c r="I21" s="22">
        <f t="shared" ref="I21:I27" si="20">H21/H$17</f>
        <v>1.0238252925093824E-2</v>
      </c>
      <c r="J21" s="16">
        <v>6080</v>
      </c>
      <c r="K21" s="22">
        <f t="shared" ref="K21:K27" si="21">J21/J$17</f>
        <v>5.8937858364959119E-3</v>
      </c>
      <c r="L21" s="16">
        <v>1069</v>
      </c>
      <c r="M21" s="22">
        <f t="shared" ref="M21:M27" si="22">L21/L$17</f>
        <v>2.3140231099258385E-3</v>
      </c>
      <c r="N21" s="16">
        <v>6052</v>
      </c>
      <c r="O21" s="22">
        <f t="shared" ref="O21:O27" si="23">N21/N$17</f>
        <v>7.1244171386259485E-3</v>
      </c>
      <c r="P21" s="16">
        <v>11012</v>
      </c>
      <c r="Q21" s="22">
        <f t="shared" ref="Q21:Q27" si="24">P21/P$17</f>
        <v>9.5503230562421406E-3</v>
      </c>
      <c r="R21" s="16">
        <v>1382</v>
      </c>
      <c r="S21" s="22">
        <f t="shared" ref="S21:S27" si="25">R21/R$17</f>
        <v>1.5476565098441928E-3</v>
      </c>
      <c r="T21" s="16">
        <v>5640</v>
      </c>
      <c r="U21" s="22">
        <f t="shared" ref="U21:U27" si="26">T21/T$17</f>
        <v>7.915256235369407E-3</v>
      </c>
      <c r="V21" s="16">
        <v>6486</v>
      </c>
      <c r="W21" s="22">
        <f t="shared" ref="W21:W27" si="27">V21/V$17</f>
        <v>1.9180439854860315E-2</v>
      </c>
      <c r="X21" s="16">
        <v>5547</v>
      </c>
      <c r="Y21" s="22">
        <f t="shared" ref="Y21:Y27" si="28">X21/X$17</f>
        <v>7.2324596230046194E-3</v>
      </c>
      <c r="Z21" s="16">
        <f t="shared" ref="Z21:Z29" si="29">SUM(F21,H21,J21,L21,N21,P21,R21,T21,V21,X21)</f>
        <v>94384</v>
      </c>
      <c r="AA21" s="16">
        <f t="shared" ref="AA21:AA27" si="30">IFERROR(AVERAGE(B21,D21,F21,H21,J21,L21,N21,P21,R21,T21,V21,X21),0)</f>
        <v>11499.75</v>
      </c>
      <c r="AB21" s="16">
        <f t="shared" ref="AB21:AB29" si="31">IFERROR(AVERAGE(T21,V21,X21),0)</f>
        <v>5891</v>
      </c>
      <c r="AC21" s="16"/>
      <c r="AD21" s="33"/>
      <c r="AE21" s="16">
        <f>IFERROR(AVERAGE(R21:V21),0)</f>
        <v>2701.6018925825492</v>
      </c>
      <c r="AF21" s="33"/>
      <c r="AK21" s="56">
        <f t="shared" ref="AK21:AK27" si="32">SUM(T21,V21,X21)*4</f>
        <v>70692</v>
      </c>
      <c r="AL21" s="66">
        <f>AK21/12</f>
        <v>5891</v>
      </c>
    </row>
    <row r="22" spans="1:39" ht="20" customHeight="1">
      <c r="A22" s="142" t="s">
        <v>48</v>
      </c>
      <c r="B22" s="16">
        <v>4135</v>
      </c>
      <c r="C22" s="22">
        <f t="shared" si="17"/>
        <v>1.440691253070397E-2</v>
      </c>
      <c r="D22" s="16">
        <v>2185</v>
      </c>
      <c r="E22" s="22">
        <f t="shared" si="18"/>
        <v>3.2785212593722944E-3</v>
      </c>
      <c r="F22" s="16">
        <v>5390</v>
      </c>
      <c r="G22" s="22">
        <f t="shared" si="19"/>
        <v>1.3753262891451288E-2</v>
      </c>
      <c r="H22" s="16">
        <v>109</v>
      </c>
      <c r="I22" s="22">
        <f t="shared" si="20"/>
        <v>1.8510027680133137E-4</v>
      </c>
      <c r="J22" s="16">
        <v>407</v>
      </c>
      <c r="K22" s="22">
        <f t="shared" si="21"/>
        <v>3.9453467688385462E-4</v>
      </c>
      <c r="L22" s="16">
        <v>246</v>
      </c>
      <c r="M22" s="22">
        <f t="shared" si="22"/>
        <v>5.3250672127385995E-4</v>
      </c>
      <c r="N22" s="16">
        <v>105</v>
      </c>
      <c r="O22" s="22">
        <f t="shared" si="23"/>
        <v>1.2360604751416468E-4</v>
      </c>
      <c r="P22" s="16">
        <v>17</v>
      </c>
      <c r="Q22" s="22">
        <f t="shared" si="24"/>
        <v>1.4743506352716708E-5</v>
      </c>
      <c r="R22" s="16">
        <v>17</v>
      </c>
      <c r="S22" s="22">
        <f t="shared" si="25"/>
        <v>1.9037742885203529E-5</v>
      </c>
      <c r="T22" s="16">
        <v>17</v>
      </c>
      <c r="U22" s="22">
        <f t="shared" si="26"/>
        <v>2.3858041844198565E-5</v>
      </c>
      <c r="V22" s="16">
        <v>17</v>
      </c>
      <c r="W22" s="22">
        <f t="shared" si="27"/>
        <v>5.0272506557604899E-5</v>
      </c>
      <c r="X22" s="16">
        <v>17</v>
      </c>
      <c r="Y22" s="22">
        <f t="shared" si="28"/>
        <v>2.2165461256729499E-5</v>
      </c>
      <c r="Z22" s="16">
        <f t="shared" si="29"/>
        <v>6342</v>
      </c>
      <c r="AA22" s="16">
        <f t="shared" si="30"/>
        <v>1055.1666666666667</v>
      </c>
      <c r="AB22" s="16">
        <f t="shared" si="31"/>
        <v>17</v>
      </c>
      <c r="AC22" s="16"/>
      <c r="AD22" s="33"/>
      <c r="AE22" s="16">
        <f>IFERROR(AVERAGE(R22:V22),0)</f>
        <v>10.200008579156947</v>
      </c>
      <c r="AF22" s="33"/>
      <c r="AK22" s="56">
        <f t="shared" si="32"/>
        <v>204</v>
      </c>
      <c r="AL22" s="66">
        <f>AK22/12</f>
        <v>17</v>
      </c>
    </row>
    <row r="23" spans="1:39" ht="20" customHeight="1">
      <c r="A23" s="142" t="s">
        <v>49</v>
      </c>
      <c r="B23" s="16"/>
      <c r="C23" s="22">
        <f t="shared" si="17"/>
        <v>0</v>
      </c>
      <c r="D23" s="16"/>
      <c r="E23" s="22">
        <f t="shared" si="18"/>
        <v>0</v>
      </c>
      <c r="F23" s="16"/>
      <c r="G23" s="22">
        <f t="shared" si="19"/>
        <v>0</v>
      </c>
      <c r="H23" s="16">
        <v>5031</v>
      </c>
      <c r="I23" s="22">
        <f t="shared" si="20"/>
        <v>8.5434815833715424E-3</v>
      </c>
      <c r="J23" s="16">
        <v>6543</v>
      </c>
      <c r="K23" s="22">
        <f t="shared" si="21"/>
        <v>6.3426053829264391E-3</v>
      </c>
      <c r="L23" s="16">
        <v>7471</v>
      </c>
      <c r="M23" s="22">
        <f t="shared" si="22"/>
        <v>1.6172185831857755E-2</v>
      </c>
      <c r="N23" s="16">
        <v>4127</v>
      </c>
      <c r="O23" s="22">
        <f t="shared" si="23"/>
        <v>4.8583062675329296E-3</v>
      </c>
      <c r="P23" s="16">
        <v>5998</v>
      </c>
      <c r="Q23" s="22">
        <f t="shared" si="24"/>
        <v>5.2018559472702831E-3</v>
      </c>
      <c r="R23" s="16">
        <v>7779</v>
      </c>
      <c r="S23" s="22">
        <f t="shared" si="25"/>
        <v>8.7114471708234272E-3</v>
      </c>
      <c r="T23" s="16">
        <v>10243</v>
      </c>
      <c r="U23" s="22">
        <f t="shared" si="26"/>
        <v>1.4375171918242701E-2</v>
      </c>
      <c r="V23" s="16">
        <v>9387</v>
      </c>
      <c r="W23" s="22">
        <f t="shared" si="27"/>
        <v>2.7759295238602186E-2</v>
      </c>
      <c r="X23" s="16">
        <v>9666</v>
      </c>
      <c r="Y23" s="22">
        <f t="shared" si="28"/>
        <v>1.2603020500443962E-2</v>
      </c>
      <c r="Z23" s="16">
        <f t="shared" si="29"/>
        <v>66245</v>
      </c>
      <c r="AA23" s="16">
        <f t="shared" si="30"/>
        <v>7360.5555555555557</v>
      </c>
      <c r="AB23" s="16">
        <f t="shared" si="31"/>
        <v>9765.3333333333339</v>
      </c>
      <c r="AC23" s="16"/>
      <c r="AD23" s="33"/>
      <c r="AE23" s="16"/>
      <c r="AF23" s="33"/>
      <c r="AK23" s="56">
        <f>(X23*3)*4</f>
        <v>115992</v>
      </c>
      <c r="AL23" s="66">
        <f>AK23/12</f>
        <v>9666</v>
      </c>
      <c r="AM23" s="126" t="s">
        <v>114</v>
      </c>
    </row>
    <row r="24" spans="1:39" ht="20" customHeight="1">
      <c r="A24" s="142" t="s">
        <v>50</v>
      </c>
      <c r="B24" s="16"/>
      <c r="C24" s="22">
        <f t="shared" si="17"/>
        <v>0</v>
      </c>
      <c r="D24" s="16">
        <v>942</v>
      </c>
      <c r="E24" s="22">
        <f t="shared" si="18"/>
        <v>1.4134402866492913E-3</v>
      </c>
      <c r="F24" s="16">
        <v>1071</v>
      </c>
      <c r="G24" s="22">
        <f t="shared" si="19"/>
        <v>2.7327911979117495E-3</v>
      </c>
      <c r="H24" s="16">
        <v>0</v>
      </c>
      <c r="I24" s="22">
        <f t="shared" si="20"/>
        <v>0</v>
      </c>
      <c r="J24" s="16">
        <v>0</v>
      </c>
      <c r="K24" s="22">
        <f t="shared" si="21"/>
        <v>0</v>
      </c>
      <c r="L24" s="16">
        <v>0</v>
      </c>
      <c r="M24" s="22">
        <f t="shared" si="22"/>
        <v>0</v>
      </c>
      <c r="N24" s="16">
        <v>0</v>
      </c>
      <c r="O24" s="22">
        <f t="shared" si="23"/>
        <v>0</v>
      </c>
      <c r="P24" s="16">
        <v>525</v>
      </c>
      <c r="Q24" s="22">
        <f t="shared" si="24"/>
        <v>4.5531416677507483E-4</v>
      </c>
      <c r="R24" s="16">
        <v>5449</v>
      </c>
      <c r="S24" s="22">
        <f t="shared" si="25"/>
        <v>6.1021565283220025E-3</v>
      </c>
      <c r="T24" s="16">
        <v>877</v>
      </c>
      <c r="U24" s="22">
        <f t="shared" si="26"/>
        <v>1.2307942763154201E-3</v>
      </c>
      <c r="V24" s="16">
        <v>0</v>
      </c>
      <c r="W24" s="22">
        <f t="shared" si="27"/>
        <v>0</v>
      </c>
      <c r="X24" s="16">
        <v>0</v>
      </c>
      <c r="Y24" s="22">
        <f t="shared" si="28"/>
        <v>0</v>
      </c>
      <c r="Z24" s="16">
        <f t="shared" si="29"/>
        <v>7922</v>
      </c>
      <c r="AA24" s="16">
        <f t="shared" si="30"/>
        <v>805.81818181818187</v>
      </c>
      <c r="AB24" s="16">
        <f t="shared" si="31"/>
        <v>292.33333333333331</v>
      </c>
      <c r="AC24" s="16"/>
      <c r="AD24" s="33"/>
      <c r="AE24" s="16">
        <f>IFERROR(AVERAGE(R24:V24),0)</f>
        <v>1265.2014665901609</v>
      </c>
      <c r="AF24" s="33"/>
      <c r="AK24" s="56">
        <f t="shared" si="32"/>
        <v>3508</v>
      </c>
      <c r="AL24" s="66">
        <f>AK24/12</f>
        <v>292.33333333333331</v>
      </c>
    </row>
    <row r="25" spans="1:39" ht="20" customHeight="1">
      <c r="A25" s="142" t="s">
        <v>51</v>
      </c>
      <c r="B25" s="16">
        <v>795</v>
      </c>
      <c r="C25" s="22">
        <f t="shared" si="17"/>
        <v>2.7698900754315977E-3</v>
      </c>
      <c r="D25" s="16">
        <v>2816</v>
      </c>
      <c r="E25" s="22">
        <f t="shared" si="18"/>
        <v>4.2253161859919361E-3</v>
      </c>
      <c r="F25" s="16">
        <v>102</v>
      </c>
      <c r="G25" s="22">
        <f t="shared" si="19"/>
        <v>2.6026582837254756E-4</v>
      </c>
      <c r="H25" s="16">
        <v>871</v>
      </c>
      <c r="I25" s="22">
        <f t="shared" si="20"/>
        <v>1.4791040467335744E-3</v>
      </c>
      <c r="J25" s="16">
        <v>0</v>
      </c>
      <c r="K25" s="22">
        <f t="shared" si="21"/>
        <v>0</v>
      </c>
      <c r="L25" s="16">
        <v>0</v>
      </c>
      <c r="M25" s="22">
        <f t="shared" si="22"/>
        <v>0</v>
      </c>
      <c r="N25" s="16">
        <v>4</v>
      </c>
      <c r="O25" s="22">
        <f t="shared" si="23"/>
        <v>4.7088018100634158E-6</v>
      </c>
      <c r="P25" s="16">
        <v>0</v>
      </c>
      <c r="Q25" s="22">
        <f t="shared" si="24"/>
        <v>0</v>
      </c>
      <c r="R25" s="16">
        <v>3321</v>
      </c>
      <c r="S25" s="22">
        <f t="shared" si="25"/>
        <v>3.7190790659859369E-3</v>
      </c>
      <c r="T25" s="16">
        <v>450</v>
      </c>
      <c r="U25" s="22">
        <f t="shared" si="26"/>
        <v>6.3153640175819738E-4</v>
      </c>
      <c r="V25" s="16">
        <v>1400</v>
      </c>
      <c r="W25" s="22">
        <f t="shared" si="27"/>
        <v>4.1400887753321684E-3</v>
      </c>
      <c r="X25" s="16">
        <v>1290</v>
      </c>
      <c r="Y25" s="22">
        <f t="shared" si="28"/>
        <v>1.6819673541871207E-3</v>
      </c>
      <c r="Z25" s="16">
        <f t="shared" si="29"/>
        <v>7438</v>
      </c>
      <c r="AA25" s="16">
        <f t="shared" si="30"/>
        <v>920.75</v>
      </c>
      <c r="AB25" s="16">
        <f t="shared" si="31"/>
        <v>1046.6666666666667</v>
      </c>
      <c r="AC25" s="16"/>
      <c r="AD25" s="33"/>
      <c r="AE25" s="16">
        <f>IFERROR(AVERAGE(R25:V25),0)</f>
        <v>1034.2008701230934</v>
      </c>
      <c r="AF25" s="33"/>
      <c r="AK25" s="56">
        <f t="shared" si="32"/>
        <v>12560</v>
      </c>
      <c r="AL25" s="66">
        <f t="shared" si="16"/>
        <v>1046.6666666666667</v>
      </c>
    </row>
    <row r="26" spans="1:39" ht="20" customHeight="1">
      <c r="A26" s="142" t="s">
        <v>52</v>
      </c>
      <c r="B26" s="16">
        <v>68603</v>
      </c>
      <c r="C26" s="22">
        <f t="shared" si="17"/>
        <v>0.23902235074821873</v>
      </c>
      <c r="D26" s="16">
        <v>335871</v>
      </c>
      <c r="E26" s="22">
        <f t="shared" si="18"/>
        <v>0.50396348462546081</v>
      </c>
      <c r="F26" s="16">
        <v>128558</v>
      </c>
      <c r="G26" s="22">
        <f t="shared" si="19"/>
        <v>0.32803190552860756</v>
      </c>
      <c r="H26" s="16">
        <v>335659</v>
      </c>
      <c r="I26" s="22">
        <f t="shared" si="20"/>
        <v>0.57000526431979892</v>
      </c>
      <c r="J26" s="16">
        <v>707631</v>
      </c>
      <c r="K26" s="22">
        <f t="shared" si="21"/>
        <v>0.68595815218181555</v>
      </c>
      <c r="L26" s="16">
        <v>249562</v>
      </c>
      <c r="M26" s="22">
        <f t="shared" si="22"/>
        <v>0.54021724542498795</v>
      </c>
      <c r="N26" s="16">
        <v>567432</v>
      </c>
      <c r="O26" s="22">
        <f t="shared" si="23"/>
        <v>0.66798120717197607</v>
      </c>
      <c r="P26" s="16">
        <v>715251</v>
      </c>
      <c r="Q26" s="22">
        <f t="shared" si="24"/>
        <v>0.62031221542864579</v>
      </c>
      <c r="R26" s="16">
        <v>572663</v>
      </c>
      <c r="S26" s="22">
        <f t="shared" si="25"/>
        <v>0.64130652669819466</v>
      </c>
      <c r="T26" s="16">
        <v>400895</v>
      </c>
      <c r="U26" s="22">
        <f t="shared" si="26"/>
        <v>0.56262174618411676</v>
      </c>
      <c r="V26" s="16">
        <v>153639</v>
      </c>
      <c r="W26" s="22">
        <f t="shared" si="27"/>
        <v>0.45434221382375645</v>
      </c>
      <c r="X26" s="16">
        <v>493536</v>
      </c>
      <c r="Y26" s="22">
        <f t="shared" si="28"/>
        <v>0.6434972404000735</v>
      </c>
      <c r="Z26" s="16">
        <f t="shared" si="29"/>
        <v>4324826</v>
      </c>
      <c r="AA26" s="16">
        <f t="shared" si="30"/>
        <v>394108.33333333331</v>
      </c>
      <c r="AB26" s="16">
        <f t="shared" si="31"/>
        <v>349356.66666666669</v>
      </c>
      <c r="AC26" s="16"/>
      <c r="AD26" s="33"/>
      <c r="AE26" s="16">
        <f>IFERROR(AVERAGE(R26:V26),0)</f>
        <v>225439.6407856546</v>
      </c>
      <c r="AF26" s="33"/>
      <c r="AK26" s="56">
        <f t="shared" si="32"/>
        <v>4192280</v>
      </c>
      <c r="AL26" s="66">
        <f t="shared" si="16"/>
        <v>349356.66666666669</v>
      </c>
    </row>
    <row r="27" spans="1:39" s="24" customFormat="1" ht="20" customHeight="1">
      <c r="A27" s="145" t="s">
        <v>53</v>
      </c>
      <c r="B27" s="9">
        <v>92152</v>
      </c>
      <c r="C27" s="60">
        <f t="shared" si="17"/>
        <v>0.32107032733480828</v>
      </c>
      <c r="D27" s="9">
        <v>366808</v>
      </c>
      <c r="E27" s="60">
        <f t="shared" si="18"/>
        <v>0.55038344444294396</v>
      </c>
      <c r="F27" s="9">
        <v>180208</v>
      </c>
      <c r="G27" s="60">
        <f t="shared" si="19"/>
        <v>0.45982337646431426</v>
      </c>
      <c r="H27" s="9">
        <v>347699</v>
      </c>
      <c r="I27" s="60">
        <f t="shared" si="20"/>
        <v>0.59045120315179922</v>
      </c>
      <c r="J27" s="9">
        <f>SUM(J21:J26)</f>
        <v>720661</v>
      </c>
      <c r="K27" s="60">
        <f t="shared" si="21"/>
        <v>0.69858907807812176</v>
      </c>
      <c r="L27" s="9">
        <f>SUM(L21:L26)</f>
        <v>258348</v>
      </c>
      <c r="M27" s="60">
        <f t="shared" si="22"/>
        <v>0.55923596108804541</v>
      </c>
      <c r="N27" s="9">
        <f>SUM(N21:N26)</f>
        <v>577720</v>
      </c>
      <c r="O27" s="60">
        <f t="shared" si="23"/>
        <v>0.68009224542745916</v>
      </c>
      <c r="P27" s="9">
        <f>SUM(P21:P26)</f>
        <v>732803</v>
      </c>
      <c r="Q27" s="60">
        <f t="shared" si="24"/>
        <v>0.63553445210528603</v>
      </c>
      <c r="R27" s="9">
        <f>SUM(R21:R26)</f>
        <v>590611</v>
      </c>
      <c r="S27" s="60">
        <f t="shared" si="25"/>
        <v>0.66140590371605545</v>
      </c>
      <c r="T27" s="9">
        <f>SUM(T21:T26)</f>
        <v>418122</v>
      </c>
      <c r="U27" s="60">
        <f t="shared" si="26"/>
        <v>0.58679836305764665</v>
      </c>
      <c r="V27" s="9">
        <f>SUM(V21:V26)</f>
        <v>170929</v>
      </c>
      <c r="W27" s="60">
        <f t="shared" si="27"/>
        <v>0.50547231019910865</v>
      </c>
      <c r="X27" s="9">
        <f>SUM(X21:X26)</f>
        <v>510056</v>
      </c>
      <c r="Y27" s="60">
        <f t="shared" si="28"/>
        <v>0.66503685333896601</v>
      </c>
      <c r="Z27" s="9">
        <f t="shared" si="29"/>
        <v>4507157</v>
      </c>
      <c r="AA27" s="9">
        <f t="shared" si="30"/>
        <v>413843.08333333331</v>
      </c>
      <c r="AB27" s="9">
        <f t="shared" si="31"/>
        <v>366369</v>
      </c>
      <c r="AC27" s="9"/>
      <c r="AD27" s="36"/>
      <c r="AE27" s="9">
        <f>IFERROR(AVERAGE(R27:V27),0)</f>
        <v>235932.64964085334</v>
      </c>
      <c r="AF27" s="40"/>
      <c r="AK27" s="56">
        <f t="shared" si="32"/>
        <v>4396428</v>
      </c>
      <c r="AL27" s="66">
        <f t="shared" si="16"/>
        <v>366369</v>
      </c>
      <c r="AM27" s="135"/>
    </row>
    <row r="28" spans="1:39" ht="20" customHeight="1" thickBot="1">
      <c r="A28" s="144"/>
      <c r="B28" s="51"/>
      <c r="C28" s="59"/>
      <c r="D28" s="51"/>
      <c r="E28" s="59"/>
      <c r="F28" s="51"/>
      <c r="G28" s="59"/>
      <c r="H28" s="51"/>
      <c r="I28" s="59"/>
      <c r="J28" s="51"/>
      <c r="K28" s="59"/>
      <c r="L28" s="51"/>
      <c r="M28" s="59"/>
      <c r="N28" s="51"/>
      <c r="O28" s="59"/>
      <c r="P28" s="51"/>
      <c r="Q28" s="59"/>
      <c r="R28" s="51"/>
      <c r="S28" s="59"/>
      <c r="T28" s="51"/>
      <c r="U28" s="59"/>
      <c r="V28" s="51"/>
      <c r="W28" s="59"/>
      <c r="X28" s="51"/>
      <c r="Y28" s="59"/>
      <c r="Z28" s="51">
        <f t="shared" si="29"/>
        <v>0</v>
      </c>
      <c r="AA28" s="51">
        <f t="shared" ref="AA28" si="33">IFERROR(AVERAGE(F28,H28,J28,L28,N28,P28,R28,T28,V28,X28),0)</f>
        <v>0</v>
      </c>
      <c r="AB28" s="51">
        <f t="shared" si="31"/>
        <v>0</v>
      </c>
      <c r="AC28" s="59"/>
      <c r="AD28" s="51"/>
      <c r="AE28" s="51"/>
      <c r="AF28" s="54"/>
      <c r="AK28" s="56"/>
      <c r="AL28" s="66"/>
    </row>
    <row r="29" spans="1:39" s="24" customFormat="1" ht="20" customHeight="1" thickTop="1" thickBot="1">
      <c r="A29" s="146" t="s">
        <v>54</v>
      </c>
      <c r="B29" s="11">
        <v>194863</v>
      </c>
      <c r="C29" s="61">
        <f>B29/B$17</f>
        <v>0.67892967266519166</v>
      </c>
      <c r="D29" s="11">
        <v>299651</v>
      </c>
      <c r="E29" s="61">
        <f>D29/D$17</f>
        <v>0.44961655555705604</v>
      </c>
      <c r="F29" s="11">
        <v>211699</v>
      </c>
      <c r="G29" s="61">
        <f>F29/F$17</f>
        <v>0.54017662353568574</v>
      </c>
      <c r="H29" s="11">
        <v>241171</v>
      </c>
      <c r="I29" s="61">
        <f>H29/H$17</f>
        <v>0.40954879684820078</v>
      </c>
      <c r="J29" s="11">
        <f>+J17-J27</f>
        <v>310934</v>
      </c>
      <c r="K29" s="61">
        <f>J29/J$17</f>
        <v>0.30141092192187824</v>
      </c>
      <c r="L29" s="11">
        <f>+L17-L27</f>
        <v>203618</v>
      </c>
      <c r="M29" s="61">
        <f>L29/L$17</f>
        <v>0.44076403891195454</v>
      </c>
      <c r="N29" s="11">
        <f>+N17-N27</f>
        <v>271753</v>
      </c>
      <c r="O29" s="61">
        <f>N29/N$17</f>
        <v>0.31990775457254084</v>
      </c>
      <c r="P29" s="11">
        <f>+P17-P27</f>
        <v>420247</v>
      </c>
      <c r="Q29" s="61">
        <f>P29/P$17</f>
        <v>0.36446554789471403</v>
      </c>
      <c r="R29" s="11">
        <f>+R17-R27</f>
        <v>302352</v>
      </c>
      <c r="S29" s="61">
        <f>R29/R$17</f>
        <v>0.3385940962839446</v>
      </c>
      <c r="T29" s="11">
        <f>+T17-T27</f>
        <v>294426</v>
      </c>
      <c r="U29" s="61">
        <f>T29/T$17</f>
        <v>0.41320163694235335</v>
      </c>
      <c r="V29" s="11">
        <f>+V17-V27</f>
        <v>167228</v>
      </c>
      <c r="W29" s="61">
        <f>V29/V$17</f>
        <v>0.49452768980089129</v>
      </c>
      <c r="X29" s="11">
        <f>+X17-X27</f>
        <v>256903</v>
      </c>
      <c r="Y29" s="61">
        <f>X29/X$17</f>
        <v>0.33496314666103405</v>
      </c>
      <c r="Z29" s="11">
        <f t="shared" si="29"/>
        <v>2680331</v>
      </c>
      <c r="AA29" s="11">
        <f t="shared" ref="AA29" si="34">IFERROR(AVERAGE(B29,D29,F29,H29,J29,L29,N29,P29,R29,T29,V29,X29),0)</f>
        <v>264570.41666666669</v>
      </c>
      <c r="AB29" s="11">
        <f t="shared" si="31"/>
        <v>239519</v>
      </c>
      <c r="AC29" s="11"/>
      <c r="AD29" s="37"/>
      <c r="AE29" s="11">
        <f>IFERROR(AVERAGE(R29:V29),0)</f>
        <v>152801.35035914666</v>
      </c>
      <c r="AF29" s="39"/>
      <c r="AK29" s="56">
        <f>SUM(T29,V29,X29)*4</f>
        <v>2874228</v>
      </c>
      <c r="AL29" s="66">
        <f t="shared" si="16"/>
        <v>239519</v>
      </c>
      <c r="AM29" s="135"/>
    </row>
    <row r="30" spans="1:39" ht="20" customHeight="1" thickTop="1">
      <c r="A30" s="147" t="s">
        <v>55</v>
      </c>
      <c r="B30" s="22">
        <f t="shared" ref="B30:T30" si="35">B29/B17</f>
        <v>0.67892967266519166</v>
      </c>
      <c r="C30" s="22">
        <f t="shared" si="35"/>
        <v>0.67892967266519166</v>
      </c>
      <c r="D30" s="22">
        <f t="shared" si="35"/>
        <v>0.44961655555705604</v>
      </c>
      <c r="E30" s="22">
        <f t="shared" si="35"/>
        <v>0.44961655555705604</v>
      </c>
      <c r="F30" s="22">
        <f t="shared" si="35"/>
        <v>0.54017662353568574</v>
      </c>
      <c r="G30" s="22">
        <f t="shared" si="35"/>
        <v>0.54017662353568574</v>
      </c>
      <c r="H30" s="22">
        <f t="shared" si="35"/>
        <v>0.40954879684820078</v>
      </c>
      <c r="I30" s="22">
        <f t="shared" si="35"/>
        <v>0.40954879684820078</v>
      </c>
      <c r="J30" s="22">
        <f t="shared" si="35"/>
        <v>0.30141092192187824</v>
      </c>
      <c r="K30" s="22">
        <f t="shared" si="35"/>
        <v>0.30141092192187824</v>
      </c>
      <c r="L30" s="22">
        <f t="shared" si="35"/>
        <v>0.44076403891195454</v>
      </c>
      <c r="M30" s="22">
        <f t="shared" si="35"/>
        <v>0.44076403891195454</v>
      </c>
      <c r="N30" s="22">
        <f t="shared" si="35"/>
        <v>0.31990775457254084</v>
      </c>
      <c r="O30" s="22">
        <f t="shared" si="35"/>
        <v>0.31990775457254084</v>
      </c>
      <c r="P30" s="22">
        <f t="shared" si="35"/>
        <v>0.36446554789471403</v>
      </c>
      <c r="Q30" s="22">
        <f t="shared" si="35"/>
        <v>0.36446554789471403</v>
      </c>
      <c r="R30" s="22">
        <f t="shared" si="35"/>
        <v>0.3385940962839446</v>
      </c>
      <c r="S30" s="22">
        <f t="shared" si="35"/>
        <v>0.3385940962839446</v>
      </c>
      <c r="T30" s="22">
        <f t="shared" si="35"/>
        <v>0.41320163694235335</v>
      </c>
      <c r="U30" s="22">
        <f t="shared" ref="U30:V30" si="36">U29/U17</f>
        <v>0.41320163694235335</v>
      </c>
      <c r="V30" s="22">
        <f t="shared" si="36"/>
        <v>0.49452768980089129</v>
      </c>
      <c r="W30" s="22">
        <f t="shared" ref="W30:AB30" si="37">W29/W17</f>
        <v>0.49452768980089129</v>
      </c>
      <c r="X30" s="22">
        <f t="shared" si="37"/>
        <v>0.33496314666103405</v>
      </c>
      <c r="Y30" s="22">
        <f t="shared" si="37"/>
        <v>0.33496314666103405</v>
      </c>
      <c r="Z30" s="22">
        <f t="shared" si="37"/>
        <v>0.32924008243743186</v>
      </c>
      <c r="AA30" s="22">
        <f t="shared" si="37"/>
        <v>0.38998400926082205</v>
      </c>
      <c r="AB30" s="22">
        <f t="shared" si="37"/>
        <v>0.39531893683321012</v>
      </c>
      <c r="AC30" s="12"/>
      <c r="AD30" s="33"/>
      <c r="AE30" s="12"/>
      <c r="AF30" s="33"/>
      <c r="AH30" s="132">
        <v>0.55000000000000004</v>
      </c>
      <c r="AI30" s="132"/>
      <c r="AJ30" s="132"/>
      <c r="AK30" s="56"/>
    </row>
    <row r="31" spans="1:39" ht="20" customHeight="1">
      <c r="A31" s="142"/>
      <c r="B31" s="16"/>
      <c r="C31" s="22"/>
      <c r="D31" s="16"/>
      <c r="E31" s="22"/>
      <c r="F31" s="16"/>
      <c r="G31" s="22"/>
      <c r="H31" s="16"/>
      <c r="I31" s="22"/>
      <c r="J31" s="16"/>
      <c r="K31" s="22"/>
      <c r="L31" s="16"/>
      <c r="M31" s="22"/>
      <c r="N31" s="16"/>
      <c r="O31" s="22"/>
      <c r="P31" s="16"/>
      <c r="Q31" s="22"/>
      <c r="R31" s="16"/>
      <c r="S31" s="22"/>
      <c r="T31" s="16"/>
      <c r="U31" s="22"/>
      <c r="V31" s="16"/>
      <c r="W31" s="22"/>
      <c r="X31" s="16"/>
      <c r="Y31" s="22"/>
      <c r="Z31" s="16"/>
      <c r="AA31" s="16"/>
      <c r="AB31" s="16"/>
      <c r="AC31" s="16"/>
      <c r="AD31" s="16"/>
      <c r="AE31" s="16"/>
      <c r="AF31" s="16"/>
      <c r="AK31" s="56"/>
      <c r="AL31" s="66"/>
    </row>
    <row r="32" spans="1:39" ht="20" customHeight="1">
      <c r="A32" s="141" t="s">
        <v>56</v>
      </c>
      <c r="B32" s="16"/>
      <c r="C32" s="22"/>
      <c r="D32" s="16"/>
      <c r="E32" s="22"/>
      <c r="F32" s="16"/>
      <c r="G32" s="22"/>
      <c r="H32" s="16"/>
      <c r="I32" s="22"/>
      <c r="J32" s="16"/>
      <c r="K32" s="22"/>
      <c r="L32" s="16"/>
      <c r="M32" s="22"/>
      <c r="N32" s="16"/>
      <c r="O32" s="22"/>
      <c r="P32" s="16"/>
      <c r="Q32" s="22"/>
      <c r="R32" s="16"/>
      <c r="S32" s="22"/>
      <c r="T32" s="16"/>
      <c r="U32" s="22"/>
      <c r="V32" s="16"/>
      <c r="W32" s="22"/>
      <c r="X32" s="16"/>
      <c r="Y32" s="22"/>
      <c r="Z32" s="16"/>
      <c r="AA32" s="16"/>
      <c r="AB32" s="16"/>
      <c r="AC32" s="16"/>
      <c r="AD32" s="16"/>
      <c r="AE32" s="16"/>
      <c r="AF32" s="16"/>
      <c r="AK32" s="56"/>
      <c r="AL32" s="66"/>
    </row>
    <row r="33" spans="1:39" ht="20" customHeight="1">
      <c r="A33" s="141" t="s">
        <v>57</v>
      </c>
      <c r="B33" s="16"/>
      <c r="C33" s="22"/>
      <c r="D33" s="16"/>
      <c r="E33" s="22"/>
      <c r="F33" s="16"/>
      <c r="G33" s="22"/>
      <c r="H33" s="16"/>
      <c r="I33" s="22"/>
      <c r="J33" s="16"/>
      <c r="K33" s="22"/>
      <c r="L33" s="16"/>
      <c r="M33" s="22"/>
      <c r="N33" s="16"/>
      <c r="O33" s="22"/>
      <c r="P33" s="16"/>
      <c r="Q33" s="22"/>
      <c r="R33" s="16"/>
      <c r="S33" s="22"/>
      <c r="T33" s="16"/>
      <c r="U33" s="22"/>
      <c r="V33" s="16"/>
      <c r="W33" s="22"/>
      <c r="X33" s="16"/>
      <c r="Y33" s="22"/>
      <c r="Z33" s="16"/>
      <c r="AA33" s="16"/>
      <c r="AB33" s="16"/>
      <c r="AC33" s="16"/>
      <c r="AD33" s="16"/>
      <c r="AE33" s="16"/>
      <c r="AF33" s="16"/>
      <c r="AK33" s="56"/>
      <c r="AL33" s="66"/>
    </row>
    <row r="34" spans="1:39" ht="20" customHeight="1">
      <c r="A34" s="142" t="s">
        <v>58</v>
      </c>
      <c r="B34" s="16"/>
      <c r="C34" s="22">
        <f t="shared" ref="C34:C39" si="38">B34/B$17</f>
        <v>0</v>
      </c>
      <c r="D34" s="48"/>
      <c r="E34" s="22">
        <f t="shared" ref="E34:E39" si="39">D34/D$17</f>
        <v>0</v>
      </c>
      <c r="F34" s="48"/>
      <c r="G34" s="22">
        <f t="shared" ref="G34:G39" si="40">F34/F$17</f>
        <v>0</v>
      </c>
      <c r="H34" s="48">
        <v>0</v>
      </c>
      <c r="I34" s="22">
        <f t="shared" ref="I34:I39" si="41">H34/H$17</f>
        <v>0</v>
      </c>
      <c r="J34" s="16">
        <v>0</v>
      </c>
      <c r="K34" s="22">
        <f t="shared" ref="K34:K39" si="42">J34/J$17</f>
        <v>0</v>
      </c>
      <c r="L34" s="48">
        <v>0</v>
      </c>
      <c r="M34" s="22">
        <f t="shared" ref="M34:M39" si="43">L34/L$17</f>
        <v>0</v>
      </c>
      <c r="N34" s="160">
        <v>0</v>
      </c>
      <c r="O34" s="22">
        <f t="shared" ref="O34:O39" si="44">N34/N$17</f>
        <v>0</v>
      </c>
      <c r="P34" s="48">
        <v>0</v>
      </c>
      <c r="Q34" s="22">
        <f t="shared" ref="Q34:Q39" si="45">P34/P$17</f>
        <v>0</v>
      </c>
      <c r="R34" s="48">
        <v>0</v>
      </c>
      <c r="S34" s="22">
        <f t="shared" ref="S34:S39" si="46">R34/R$17</f>
        <v>0</v>
      </c>
      <c r="T34" s="48">
        <v>0</v>
      </c>
      <c r="U34" s="22">
        <f t="shared" ref="U34:U39" si="47">T34/T$17</f>
        <v>0</v>
      </c>
      <c r="V34" s="48">
        <v>0</v>
      </c>
      <c r="W34" s="22">
        <f t="shared" ref="W34:W39" si="48">V34/V$17</f>
        <v>0</v>
      </c>
      <c r="X34" s="48">
        <v>0</v>
      </c>
      <c r="Y34" s="22">
        <f t="shared" ref="Y34:Y39" si="49">X34/X$17</f>
        <v>0</v>
      </c>
      <c r="Z34" s="48">
        <f t="shared" ref="Z34:Z39" si="50">SUM(B34,D34,F34,H34,J34,L34,N34,P34,R34,T34,V34,X34)</f>
        <v>0</v>
      </c>
      <c r="AA34" s="48">
        <f t="shared" ref="AA34:AA39" si="51">IFERROR(AVERAGE(B34,D34,F34,H34,J34,L34,N34,P34,R34,T34,V34,X34),0)</f>
        <v>0</v>
      </c>
      <c r="AB34" s="48">
        <f t="shared" ref="AB34:AB39" si="52">IFERROR(AVERAGE(T34,V34,X34),0)</f>
        <v>0</v>
      </c>
      <c r="AC34" s="16"/>
      <c r="AD34" s="33"/>
      <c r="AE34" s="16">
        <f t="shared" ref="AE34:AE39" si="53">IFERROR(AVERAGE(R34:V34),0)</f>
        <v>0</v>
      </c>
      <c r="AF34" s="33"/>
      <c r="AK34" s="56">
        <f t="shared" ref="AK34:AK39" si="54">SUM(T34,V34,X34)*4</f>
        <v>0</v>
      </c>
      <c r="AL34" s="66">
        <f t="shared" si="16"/>
        <v>0</v>
      </c>
    </row>
    <row r="35" spans="1:39" ht="20" customHeight="1">
      <c r="A35" s="142" t="s">
        <v>59</v>
      </c>
      <c r="B35" s="16"/>
      <c r="C35" s="22">
        <f t="shared" si="38"/>
        <v>0</v>
      </c>
      <c r="D35" s="48"/>
      <c r="E35" s="22">
        <f t="shared" si="39"/>
        <v>0</v>
      </c>
      <c r="F35" s="48"/>
      <c r="G35" s="22">
        <f t="shared" si="40"/>
        <v>0</v>
      </c>
      <c r="H35" s="48">
        <v>0</v>
      </c>
      <c r="I35" s="22">
        <f t="shared" si="41"/>
        <v>0</v>
      </c>
      <c r="J35" s="16">
        <v>0</v>
      </c>
      <c r="K35" s="22">
        <f t="shared" si="42"/>
        <v>0</v>
      </c>
      <c r="L35" s="48">
        <v>0</v>
      </c>
      <c r="M35" s="22">
        <f t="shared" si="43"/>
        <v>0</v>
      </c>
      <c r="N35" s="160">
        <v>0</v>
      </c>
      <c r="O35" s="22">
        <f t="shared" si="44"/>
        <v>0</v>
      </c>
      <c r="P35" s="48">
        <v>150</v>
      </c>
      <c r="Q35" s="22">
        <f t="shared" si="45"/>
        <v>1.3008976193573565E-4</v>
      </c>
      <c r="R35" s="48">
        <v>0</v>
      </c>
      <c r="S35" s="22">
        <f t="shared" si="46"/>
        <v>0</v>
      </c>
      <c r="T35" s="48">
        <v>129</v>
      </c>
      <c r="U35" s="22">
        <f t="shared" si="47"/>
        <v>1.8104043517068325E-4</v>
      </c>
      <c r="V35" s="48">
        <v>471</v>
      </c>
      <c r="W35" s="22">
        <f t="shared" si="48"/>
        <v>1.3928441522724651E-3</v>
      </c>
      <c r="X35" s="48">
        <v>63</v>
      </c>
      <c r="Y35" s="22">
        <f t="shared" si="49"/>
        <v>8.2142591716115207E-5</v>
      </c>
      <c r="Z35" s="48">
        <f t="shared" si="50"/>
        <v>813</v>
      </c>
      <c r="AA35" s="48">
        <f t="shared" si="51"/>
        <v>90.333333333333329</v>
      </c>
      <c r="AB35" s="48">
        <f t="shared" si="52"/>
        <v>221</v>
      </c>
      <c r="AC35" s="16"/>
      <c r="AD35" s="33"/>
      <c r="AE35" s="16">
        <f t="shared" si="53"/>
        <v>120.00003620808702</v>
      </c>
      <c r="AF35" s="33"/>
      <c r="AK35" s="56">
        <f t="shared" si="54"/>
        <v>2652</v>
      </c>
      <c r="AL35" s="66">
        <f t="shared" si="16"/>
        <v>221</v>
      </c>
    </row>
    <row r="36" spans="1:39" ht="20" customHeight="1">
      <c r="A36" s="142" t="s">
        <v>60</v>
      </c>
      <c r="B36" s="16"/>
      <c r="C36" s="22">
        <f t="shared" si="38"/>
        <v>0</v>
      </c>
      <c r="D36" s="48"/>
      <c r="E36" s="22">
        <f t="shared" si="39"/>
        <v>0</v>
      </c>
      <c r="F36" s="48"/>
      <c r="G36" s="22">
        <f t="shared" si="40"/>
        <v>0</v>
      </c>
      <c r="H36" s="48">
        <v>0</v>
      </c>
      <c r="I36" s="22">
        <f t="shared" si="41"/>
        <v>0</v>
      </c>
      <c r="J36" s="16">
        <v>0</v>
      </c>
      <c r="K36" s="22">
        <f t="shared" si="42"/>
        <v>0</v>
      </c>
      <c r="L36" s="48">
        <v>775</v>
      </c>
      <c r="M36" s="22">
        <f t="shared" si="43"/>
        <v>1.6776126381595183E-3</v>
      </c>
      <c r="N36" s="160">
        <v>0</v>
      </c>
      <c r="O36" s="22">
        <f t="shared" si="44"/>
        <v>0</v>
      </c>
      <c r="P36" s="48">
        <v>0</v>
      </c>
      <c r="Q36" s="22">
        <f t="shared" si="45"/>
        <v>0</v>
      </c>
      <c r="R36" s="48">
        <v>0</v>
      </c>
      <c r="S36" s="22">
        <f t="shared" si="46"/>
        <v>0</v>
      </c>
      <c r="T36" s="48">
        <v>0</v>
      </c>
      <c r="U36" s="22">
        <f t="shared" si="47"/>
        <v>0</v>
      </c>
      <c r="V36" s="48">
        <v>0</v>
      </c>
      <c r="W36" s="22">
        <f t="shared" si="48"/>
        <v>0</v>
      </c>
      <c r="X36" s="48">
        <v>205</v>
      </c>
      <c r="Y36" s="22">
        <f t="shared" si="49"/>
        <v>2.6728938574291453E-4</v>
      </c>
      <c r="Z36" s="48">
        <f t="shared" si="50"/>
        <v>980</v>
      </c>
      <c r="AA36" s="48">
        <f t="shared" si="51"/>
        <v>108.88888888888889</v>
      </c>
      <c r="AB36" s="48">
        <f t="shared" si="52"/>
        <v>68.333333333333329</v>
      </c>
      <c r="AC36" s="16"/>
      <c r="AD36" s="33"/>
      <c r="AE36" s="16">
        <f t="shared" si="53"/>
        <v>0</v>
      </c>
      <c r="AF36" s="33"/>
      <c r="AK36" s="56">
        <f t="shared" si="54"/>
        <v>820</v>
      </c>
      <c r="AL36" s="66">
        <f t="shared" si="16"/>
        <v>68.333333333333329</v>
      </c>
    </row>
    <row r="37" spans="1:39" ht="20" customHeight="1">
      <c r="A37" s="142" t="s">
        <v>61</v>
      </c>
      <c r="B37" s="16"/>
      <c r="C37" s="22">
        <f t="shared" si="38"/>
        <v>0</v>
      </c>
      <c r="D37" s="48"/>
      <c r="E37" s="22">
        <f t="shared" si="39"/>
        <v>0</v>
      </c>
      <c r="F37" s="48"/>
      <c r="G37" s="22">
        <f t="shared" si="40"/>
        <v>0</v>
      </c>
      <c r="H37" s="48">
        <v>836</v>
      </c>
      <c r="I37" s="22">
        <f t="shared" si="41"/>
        <v>1.4196681780358992E-3</v>
      </c>
      <c r="J37" s="16">
        <v>1101</v>
      </c>
      <c r="K37" s="22">
        <f t="shared" si="42"/>
        <v>1.0672793101944077E-3</v>
      </c>
      <c r="L37" s="48">
        <v>993</v>
      </c>
      <c r="M37" s="22">
        <f t="shared" si="43"/>
        <v>2.1495088383127765E-3</v>
      </c>
      <c r="N37" s="160">
        <v>3856</v>
      </c>
      <c r="O37" s="22">
        <f t="shared" si="44"/>
        <v>4.5392849449011332E-3</v>
      </c>
      <c r="P37" s="48">
        <v>477</v>
      </c>
      <c r="Q37" s="22">
        <f t="shared" si="45"/>
        <v>4.1368544295563941E-4</v>
      </c>
      <c r="R37" s="48">
        <v>5504</v>
      </c>
      <c r="S37" s="22">
        <f t="shared" si="46"/>
        <v>6.163749225891778E-3</v>
      </c>
      <c r="T37" s="48">
        <v>1815</v>
      </c>
      <c r="U37" s="22">
        <f t="shared" si="47"/>
        <v>2.5471968204247293E-3</v>
      </c>
      <c r="V37" s="48">
        <v>6145</v>
      </c>
      <c r="W37" s="22">
        <f t="shared" si="48"/>
        <v>1.8172032517440123E-2</v>
      </c>
      <c r="X37" s="48">
        <v>766</v>
      </c>
      <c r="Y37" s="22">
        <f t="shared" si="49"/>
        <v>9.9874960721498809E-4</v>
      </c>
      <c r="Z37" s="48">
        <f t="shared" si="50"/>
        <v>21493</v>
      </c>
      <c r="AA37" s="48">
        <f t="shared" si="51"/>
        <v>2388.1111111111113</v>
      </c>
      <c r="AB37" s="48">
        <f t="shared" si="52"/>
        <v>2908.6666666666665</v>
      </c>
      <c r="AC37" s="16"/>
      <c r="AD37" s="33"/>
      <c r="AE37" s="16">
        <f t="shared" si="53"/>
        <v>2692.8017421892096</v>
      </c>
      <c r="AF37" s="33"/>
      <c r="AK37" s="56">
        <f t="shared" si="54"/>
        <v>34904</v>
      </c>
      <c r="AL37" s="66">
        <f t="shared" si="16"/>
        <v>2908.6666666666665</v>
      </c>
    </row>
    <row r="38" spans="1:39" ht="20" customHeight="1">
      <c r="A38" s="142" t="s">
        <v>62</v>
      </c>
      <c r="B38" s="16"/>
      <c r="C38" s="22">
        <f t="shared" si="38"/>
        <v>0</v>
      </c>
      <c r="D38" s="48"/>
      <c r="E38" s="22">
        <f t="shared" si="39"/>
        <v>0</v>
      </c>
      <c r="F38" s="48"/>
      <c r="G38" s="22">
        <f t="shared" si="40"/>
        <v>0</v>
      </c>
      <c r="H38" s="48">
        <v>1364</v>
      </c>
      <c r="I38" s="22">
        <f t="shared" si="41"/>
        <v>2.3163007115322566E-3</v>
      </c>
      <c r="J38" s="16">
        <v>2208</v>
      </c>
      <c r="K38" s="22">
        <f t="shared" si="42"/>
        <v>2.1403748564116734E-3</v>
      </c>
      <c r="L38" s="48">
        <v>1838</v>
      </c>
      <c r="M38" s="22">
        <f t="shared" si="43"/>
        <v>3.9786477792737992E-3</v>
      </c>
      <c r="N38" s="160">
        <v>680</v>
      </c>
      <c r="O38" s="22">
        <f t="shared" si="44"/>
        <v>8.0049630771078073E-4</v>
      </c>
      <c r="P38" s="48">
        <v>3809</v>
      </c>
      <c r="Q38" s="22">
        <f t="shared" si="45"/>
        <v>3.3034126880881142E-3</v>
      </c>
      <c r="R38" s="48">
        <v>1162</v>
      </c>
      <c r="S38" s="22">
        <f t="shared" si="46"/>
        <v>1.3012857195650884E-3</v>
      </c>
      <c r="T38" s="48">
        <v>2234</v>
      </c>
      <c r="U38" s="22">
        <f t="shared" si="47"/>
        <v>3.1352273811729174E-3</v>
      </c>
      <c r="V38" s="48">
        <v>4125</v>
      </c>
      <c r="W38" s="22">
        <f t="shared" si="48"/>
        <v>1.2198475855889424E-2</v>
      </c>
      <c r="X38" s="48">
        <v>1075</v>
      </c>
      <c r="Y38" s="22">
        <f t="shared" si="49"/>
        <v>1.4016394618226007E-3</v>
      </c>
      <c r="Z38" s="48">
        <f t="shared" si="50"/>
        <v>18495</v>
      </c>
      <c r="AA38" s="48">
        <f t="shared" si="51"/>
        <v>2055</v>
      </c>
      <c r="AB38" s="48">
        <f t="shared" si="52"/>
        <v>2478</v>
      </c>
      <c r="AC38" s="16"/>
      <c r="AD38" s="33"/>
      <c r="AE38" s="16">
        <f t="shared" si="53"/>
        <v>1504.2008873026202</v>
      </c>
      <c r="AF38" s="33"/>
      <c r="AK38" s="56">
        <f t="shared" si="54"/>
        <v>29736</v>
      </c>
      <c r="AL38" s="66">
        <f t="shared" si="16"/>
        <v>2478</v>
      </c>
    </row>
    <row r="39" spans="1:39" s="1" customFormat="1" ht="20" customHeight="1">
      <c r="A39" s="148" t="s">
        <v>63</v>
      </c>
      <c r="B39" s="18">
        <v>2124</v>
      </c>
      <c r="C39" s="62">
        <f t="shared" si="38"/>
        <v>7.40031008832291E-3</v>
      </c>
      <c r="D39" s="18">
        <v>6964</v>
      </c>
      <c r="E39" s="62">
        <f t="shared" si="39"/>
        <v>1.0449254942914718E-2</v>
      </c>
      <c r="F39" s="18">
        <v>14713</v>
      </c>
      <c r="G39" s="62">
        <f t="shared" si="40"/>
        <v>3.7542069929855808E-2</v>
      </c>
      <c r="H39" s="18">
        <v>2200</v>
      </c>
      <c r="I39" s="62">
        <f t="shared" si="41"/>
        <v>3.7359688895681558E-3</v>
      </c>
      <c r="J39" s="18">
        <v>3309</v>
      </c>
      <c r="K39" s="62">
        <f t="shared" si="42"/>
        <v>3.2076541666060808E-3</v>
      </c>
      <c r="L39" s="18">
        <f>SUM(L34:L38)</f>
        <v>3606</v>
      </c>
      <c r="M39" s="62">
        <f t="shared" si="43"/>
        <v>7.8057692557460942E-3</v>
      </c>
      <c r="N39" s="18">
        <f>SUM(N34:N38)</f>
        <v>4536</v>
      </c>
      <c r="O39" s="62">
        <f t="shared" si="44"/>
        <v>5.3397812526119132E-3</v>
      </c>
      <c r="P39" s="18">
        <f>SUM(P34:P38)</f>
        <v>4436</v>
      </c>
      <c r="Q39" s="62">
        <f t="shared" si="45"/>
        <v>3.8471878929794891E-3</v>
      </c>
      <c r="R39" s="18">
        <f>SUM(R34:R38)</f>
        <v>6666</v>
      </c>
      <c r="S39" s="62">
        <f t="shared" si="46"/>
        <v>7.465034945456867E-3</v>
      </c>
      <c r="T39" s="18">
        <v>4178</v>
      </c>
      <c r="U39" s="62">
        <f t="shared" si="47"/>
        <v>5.8634646367683296E-3</v>
      </c>
      <c r="V39" s="18">
        <v>10741</v>
      </c>
      <c r="W39" s="62">
        <f t="shared" si="48"/>
        <v>3.1763352525602015E-2</v>
      </c>
      <c r="X39" s="18">
        <v>2109</v>
      </c>
      <c r="Y39" s="62">
        <f t="shared" si="49"/>
        <v>2.7498210464966186E-3</v>
      </c>
      <c r="Z39" s="18">
        <f t="shared" si="50"/>
        <v>65582</v>
      </c>
      <c r="AA39" s="18">
        <f t="shared" si="51"/>
        <v>5465.166666666667</v>
      </c>
      <c r="AB39" s="18">
        <f t="shared" si="52"/>
        <v>5676</v>
      </c>
      <c r="AC39" s="18"/>
      <c r="AD39" s="33"/>
      <c r="AE39" s="18">
        <f t="shared" si="53"/>
        <v>4317.0026656999162</v>
      </c>
      <c r="AF39" s="71"/>
      <c r="AK39" s="56">
        <f t="shared" si="54"/>
        <v>68112</v>
      </c>
      <c r="AL39" s="69">
        <f t="shared" si="16"/>
        <v>5676</v>
      </c>
      <c r="AM39" s="137"/>
    </row>
    <row r="40" spans="1:39" s="1" customFormat="1" ht="20" customHeight="1">
      <c r="A40" s="149"/>
      <c r="B40" s="44"/>
      <c r="C40" s="80"/>
      <c r="D40" s="44"/>
      <c r="E40" s="80"/>
      <c r="F40" s="44"/>
      <c r="G40" s="80"/>
      <c r="H40" s="44"/>
      <c r="I40" s="80"/>
      <c r="J40" s="44"/>
      <c r="K40" s="80"/>
      <c r="L40" s="44"/>
      <c r="M40" s="80"/>
      <c r="N40" s="44"/>
      <c r="O40" s="80"/>
      <c r="P40" s="44"/>
      <c r="Q40" s="80"/>
      <c r="R40" s="44"/>
      <c r="S40" s="80"/>
      <c r="T40" s="44"/>
      <c r="U40" s="80"/>
      <c r="V40" s="44"/>
      <c r="W40" s="80"/>
      <c r="X40" s="44"/>
      <c r="Y40" s="80"/>
      <c r="Z40" s="44"/>
      <c r="AA40" s="44"/>
      <c r="AB40" s="44"/>
      <c r="AC40" s="44"/>
      <c r="AD40" s="44"/>
      <c r="AE40" s="44"/>
      <c r="AF40" s="44"/>
      <c r="AK40" s="56"/>
      <c r="AL40" s="69"/>
      <c r="AM40" s="137"/>
    </row>
    <row r="41" spans="1:39" ht="20" customHeight="1">
      <c r="A41" s="142" t="s">
        <v>64</v>
      </c>
      <c r="B41" s="16">
        <v>0</v>
      </c>
      <c r="C41" s="22">
        <f>B41/B$17</f>
        <v>0</v>
      </c>
      <c r="D41" s="16">
        <v>881</v>
      </c>
      <c r="E41" s="22">
        <f>D41/D$17</f>
        <v>1.3219117755180739E-3</v>
      </c>
      <c r="F41" s="16">
        <v>114</v>
      </c>
      <c r="G41" s="22">
        <f>F41/F$17</f>
        <v>2.9088533759284729E-4</v>
      </c>
      <c r="H41" s="16">
        <v>0</v>
      </c>
      <c r="I41" s="22">
        <f>H41/H$17</f>
        <v>0</v>
      </c>
      <c r="J41" s="16">
        <v>552</v>
      </c>
      <c r="K41" s="22">
        <f>J41/J$17</f>
        <v>5.3509371410291834E-4</v>
      </c>
      <c r="L41" s="16">
        <v>881</v>
      </c>
      <c r="M41" s="22">
        <f>L41/L$17</f>
        <v>1.9070667538303684E-3</v>
      </c>
      <c r="N41" s="16">
        <v>0</v>
      </c>
      <c r="O41" s="22">
        <f>N41/N$17</f>
        <v>0</v>
      </c>
      <c r="P41" s="16">
        <v>0</v>
      </c>
      <c r="Q41" s="22">
        <f>P41/P$17</f>
        <v>0</v>
      </c>
      <c r="R41" s="16">
        <v>704</v>
      </c>
      <c r="S41" s="22">
        <f>R41/R$17</f>
        <v>7.8838652889313444E-4</v>
      </c>
      <c r="T41" s="16">
        <v>0</v>
      </c>
      <c r="U41" s="22">
        <f>T41/T$17</f>
        <v>0</v>
      </c>
      <c r="V41" s="16">
        <v>1763</v>
      </c>
      <c r="W41" s="22">
        <f>V41/V$17</f>
        <v>5.2135546506504376E-3</v>
      </c>
      <c r="X41" s="16">
        <v>0</v>
      </c>
      <c r="Y41" s="22">
        <f>X41/X$17</f>
        <v>0</v>
      </c>
      <c r="Z41" s="16">
        <f t="shared" ref="Z41" si="55">SUM(B41,D41,F41,H41,J41,L41,N41,P41,R41,T41,V41,X41)</f>
        <v>4895</v>
      </c>
      <c r="AA41" s="16">
        <f t="shared" ref="AA41" si="56">IFERROR(AVERAGE(B41,D41,F41,H41,J41,L41,N41,P41,R41,T41,V41,X41),0)</f>
        <v>407.91666666666669</v>
      </c>
      <c r="AB41" s="16">
        <f>IFERROR(AVERAGE(T41,V41,X41),0)</f>
        <v>587.66666666666663</v>
      </c>
      <c r="AC41" s="16"/>
      <c r="AD41" s="33"/>
      <c r="AE41" s="16">
        <f>IFERROR(AVERAGE(R41:V41),0)</f>
        <v>493.40015767730586</v>
      </c>
      <c r="AF41" s="33"/>
      <c r="AK41" s="56">
        <f>SUM(T41,V41,X41)*4</f>
        <v>7052</v>
      </c>
      <c r="AL41" s="66">
        <f t="shared" si="16"/>
        <v>587.66666666666663</v>
      </c>
    </row>
    <row r="42" spans="1:39" ht="20" customHeight="1" thickBot="1">
      <c r="A42" s="142"/>
      <c r="B42" s="16"/>
      <c r="C42" s="22"/>
      <c r="D42" s="16"/>
      <c r="E42" s="22"/>
      <c r="F42" s="16"/>
      <c r="G42" s="22"/>
      <c r="H42" s="16"/>
      <c r="I42" s="22"/>
      <c r="J42" s="16"/>
      <c r="K42" s="22"/>
      <c r="L42" s="16"/>
      <c r="M42" s="22"/>
      <c r="N42" s="16"/>
      <c r="O42" s="22"/>
      <c r="P42" s="16"/>
      <c r="Q42" s="22"/>
      <c r="R42" s="16"/>
      <c r="S42" s="22"/>
      <c r="T42" s="16"/>
      <c r="U42" s="22"/>
      <c r="V42" s="16"/>
      <c r="W42" s="22"/>
      <c r="X42" s="16"/>
      <c r="Y42" s="22"/>
      <c r="Z42" s="16"/>
      <c r="AA42" s="16"/>
      <c r="AB42" s="16"/>
      <c r="AC42" s="16"/>
      <c r="AD42" s="33"/>
      <c r="AE42" s="16"/>
      <c r="AF42" s="33"/>
      <c r="AK42" s="56"/>
      <c r="AL42" s="66"/>
    </row>
    <row r="43" spans="1:39" s="24" customFormat="1" ht="20" customHeight="1" thickBot="1">
      <c r="A43" s="150" t="s">
        <v>65</v>
      </c>
      <c r="B43" s="27">
        <v>153559</v>
      </c>
      <c r="C43" s="63">
        <f>B43/B$17</f>
        <v>0.53502081772729648</v>
      </c>
      <c r="D43" s="27">
        <v>162014</v>
      </c>
      <c r="E43" s="63">
        <f>D43/D$17</f>
        <v>0.24309672462972215</v>
      </c>
      <c r="F43" s="27">
        <v>204141</v>
      </c>
      <c r="G43" s="63">
        <f>F43/F$17</f>
        <v>0.52089143597843368</v>
      </c>
      <c r="H43" s="27">
        <v>175391</v>
      </c>
      <c r="I43" s="63">
        <f>H43/H$17</f>
        <v>0.2978433270501129</v>
      </c>
      <c r="J43" s="27">
        <v>212999</v>
      </c>
      <c r="K43" s="63">
        <f>J43/J$17</f>
        <v>0.2064754094387817</v>
      </c>
      <c r="L43" s="27">
        <v>196658</v>
      </c>
      <c r="M43" s="63">
        <f>L43/L$17</f>
        <v>0.42569799509054779</v>
      </c>
      <c r="N43" s="27">
        <v>204141</v>
      </c>
      <c r="O43" s="63">
        <f>N43/N$17</f>
        <v>0.24031487757703895</v>
      </c>
      <c r="P43" s="27">
        <v>224572</v>
      </c>
      <c r="Q43" s="63">
        <f>P43/P$17</f>
        <v>0.19476345344954685</v>
      </c>
      <c r="R43" s="27">
        <v>171146</v>
      </c>
      <c r="S43" s="63">
        <f>R43/R$17</f>
        <v>0.19166079669594374</v>
      </c>
      <c r="T43" s="27">
        <v>186315</v>
      </c>
      <c r="U43" s="63">
        <f>T43/T$17</f>
        <v>0.26147712154128566</v>
      </c>
      <c r="V43" s="27">
        <v>159037</v>
      </c>
      <c r="W43" s="63">
        <f>V43/V$17</f>
        <v>0.47030521325893004</v>
      </c>
      <c r="X43" s="27">
        <v>228687</v>
      </c>
      <c r="Y43" s="63">
        <f>X43/X$17</f>
        <v>0.29817369637751173</v>
      </c>
      <c r="Z43" s="27">
        <f t="shared" ref="Z43" si="57">SUM(B43,D43,F43,H43,J43,L43,N43,P43,R43,T43,V43,X43)</f>
        <v>2278660</v>
      </c>
      <c r="AA43" s="27">
        <f t="shared" ref="AA43" si="58">IFERROR(AVERAGE(B43,D43,F43,H43,J43,L43,N43,P43,R43,T43,V43,X43),0)</f>
        <v>189888.33333333334</v>
      </c>
      <c r="AB43" s="27">
        <f>IFERROR(AVERAGE(T43,V43,X43),0)</f>
        <v>191346.33333333334</v>
      </c>
      <c r="AC43" s="27"/>
      <c r="AD43" s="38"/>
      <c r="AE43" s="27">
        <f>IFERROR(AVERAGE(R43:V43),0)</f>
        <v>103299.69062758365</v>
      </c>
      <c r="AF43" s="41"/>
      <c r="AK43" s="56">
        <f>SUM(T43,V43,X43)*4</f>
        <v>2296156</v>
      </c>
      <c r="AL43" s="66">
        <f t="shared" si="16"/>
        <v>191346.33333333334</v>
      </c>
      <c r="AM43" s="135"/>
    </row>
    <row r="44" spans="1:39" s="24" customFormat="1" ht="20" customHeight="1">
      <c r="A44" s="151"/>
      <c r="B44" s="75"/>
      <c r="C44" s="81"/>
      <c r="D44" s="75"/>
      <c r="E44" s="81"/>
      <c r="F44" s="75"/>
      <c r="G44" s="81"/>
      <c r="H44" s="75"/>
      <c r="I44" s="81"/>
      <c r="J44" s="75"/>
      <c r="K44" s="81"/>
      <c r="L44" s="75"/>
      <c r="M44" s="81"/>
      <c r="N44" s="75"/>
      <c r="O44" s="81"/>
      <c r="P44" s="75"/>
      <c r="Q44" s="81"/>
      <c r="R44" s="75"/>
      <c r="S44" s="81"/>
      <c r="T44" s="75"/>
      <c r="U44" s="81"/>
      <c r="V44" s="75"/>
      <c r="W44" s="81"/>
      <c r="X44" s="75"/>
      <c r="Y44" s="81"/>
      <c r="Z44" s="75"/>
      <c r="AA44" s="75"/>
      <c r="AB44" s="75"/>
      <c r="AC44" s="75"/>
      <c r="AD44" s="76"/>
      <c r="AE44" s="75"/>
      <c r="AF44" s="47"/>
      <c r="AK44" s="56"/>
      <c r="AL44" s="66"/>
      <c r="AM44" s="135"/>
    </row>
    <row r="45" spans="1:39">
      <c r="A45" s="142" t="s">
        <v>66</v>
      </c>
      <c r="B45" s="16">
        <v>11249</v>
      </c>
      <c r="C45" s="22">
        <f>B45/B$17</f>
        <v>3.9193073532742193E-2</v>
      </c>
      <c r="D45" s="16">
        <v>13838</v>
      </c>
      <c r="E45" s="22">
        <f>D45/D$17</f>
        <v>2.0763467820225999E-2</v>
      </c>
      <c r="F45" s="16">
        <v>11127</v>
      </c>
      <c r="G45" s="22">
        <f>F45/F$17</f>
        <v>2.8391939924522911E-2</v>
      </c>
      <c r="H45" s="16">
        <v>13009</v>
      </c>
      <c r="I45" s="22">
        <f>H45/H$17</f>
        <v>2.2091463311087335E-2</v>
      </c>
      <c r="J45" s="16">
        <v>11860</v>
      </c>
      <c r="K45" s="22">
        <f>J45/J$17</f>
        <v>1.1496759871848934E-2</v>
      </c>
      <c r="L45" s="16">
        <v>10344</v>
      </c>
      <c r="M45" s="22">
        <f>L45/L$17</f>
        <v>2.2391258231125234E-2</v>
      </c>
      <c r="N45" s="16">
        <v>5532</v>
      </c>
      <c r="O45" s="22">
        <f>N45/N$17</f>
        <v>6.512272903317704E-3</v>
      </c>
      <c r="P45" s="16">
        <v>11243</v>
      </c>
      <c r="Q45" s="22">
        <f>P45/P$17</f>
        <v>9.7506612896231734E-3</v>
      </c>
      <c r="R45" s="16">
        <v>16607</v>
      </c>
      <c r="S45" s="22">
        <f>R45/R$17</f>
        <v>1.8597635064386768E-2</v>
      </c>
      <c r="T45" s="16">
        <v>8996</v>
      </c>
      <c r="U45" s="22">
        <f>T45/T$17</f>
        <v>1.2625114378259429E-2</v>
      </c>
      <c r="V45" s="16">
        <v>14349</v>
      </c>
      <c r="W45" s="22">
        <f>V45/V$17</f>
        <v>4.2432952740886633E-2</v>
      </c>
      <c r="X45" s="16">
        <v>9891</v>
      </c>
      <c r="Y45" s="22">
        <f>X45/X$17</f>
        <v>1.2896386899430087E-2</v>
      </c>
      <c r="Z45" s="16">
        <f t="shared" ref="Z45" si="59">SUM(B45,D45,F45,H45,J45,L45,N45,P45,R45,T45,V45,X45)</f>
        <v>138045</v>
      </c>
      <c r="AA45" s="16">
        <f t="shared" ref="AA45" si="60">IFERROR(AVERAGE(B45,D45,F45,H45,J45,L45,N45,P45,R45,T45,V45,X45),0)</f>
        <v>11503.75</v>
      </c>
      <c r="AB45" s="16">
        <f>IFERROR(AVERAGE(T45,V45,X45),0)</f>
        <v>11078.666666666666</v>
      </c>
      <c r="AC45" s="16"/>
      <c r="AD45" s="33"/>
      <c r="AE45" s="16">
        <f>IFERROR(AVERAGE(R45:V45),0)</f>
        <v>7990.4062445498885</v>
      </c>
      <c r="AF45" s="33"/>
      <c r="AK45" s="56">
        <f>SUM(T45,V45,X45)*4</f>
        <v>132944</v>
      </c>
      <c r="AL45" s="66">
        <f t="shared" si="16"/>
        <v>11078.666666666666</v>
      </c>
    </row>
    <row r="46" spans="1:39" ht="20" customHeight="1">
      <c r="A46" s="142"/>
      <c r="B46" s="16"/>
      <c r="C46" s="22"/>
      <c r="D46" s="16"/>
      <c r="E46" s="22"/>
      <c r="F46" s="16"/>
      <c r="G46" s="22"/>
      <c r="H46" s="16"/>
      <c r="I46" s="22"/>
      <c r="J46" s="16"/>
      <c r="K46" s="22"/>
      <c r="L46" s="16"/>
      <c r="M46" s="22"/>
      <c r="N46" s="16"/>
      <c r="O46" s="22"/>
      <c r="P46" s="16"/>
      <c r="Q46" s="22"/>
      <c r="R46" s="16"/>
      <c r="S46" s="22"/>
      <c r="T46" s="16"/>
      <c r="U46" s="22"/>
      <c r="V46" s="16"/>
      <c r="W46" s="22"/>
      <c r="X46" s="16"/>
      <c r="Y46" s="22"/>
      <c r="Z46" s="16"/>
      <c r="AA46" s="16"/>
      <c r="AB46" s="16"/>
      <c r="AC46" s="16"/>
      <c r="AK46" s="56"/>
      <c r="AL46" s="66"/>
    </row>
    <row r="47" spans="1:39" ht="20" customHeight="1">
      <c r="A47" s="152" t="s">
        <v>67</v>
      </c>
      <c r="B47" s="16"/>
      <c r="C47" s="22"/>
      <c r="D47" s="16"/>
      <c r="E47" s="22"/>
      <c r="F47" s="16"/>
      <c r="G47" s="22"/>
      <c r="H47" s="16"/>
      <c r="I47" s="22"/>
      <c r="J47" s="16"/>
      <c r="K47" s="22"/>
      <c r="L47" s="16"/>
      <c r="M47" s="22"/>
      <c r="N47" s="16"/>
      <c r="O47" s="22"/>
      <c r="P47" s="16"/>
      <c r="Q47" s="22"/>
      <c r="R47" s="16"/>
      <c r="S47" s="22"/>
      <c r="T47" s="16"/>
      <c r="U47" s="22"/>
      <c r="V47" s="16"/>
      <c r="W47" s="22"/>
      <c r="X47" s="16"/>
      <c r="Y47" s="22"/>
      <c r="Z47" s="16"/>
      <c r="AA47" s="16"/>
      <c r="AB47" s="16"/>
      <c r="AC47" s="16"/>
      <c r="AK47" s="56"/>
      <c r="AL47" s="66"/>
    </row>
    <row r="48" spans="1:39" ht="20" customHeight="1">
      <c r="A48" s="142" t="s">
        <v>68</v>
      </c>
      <c r="B48" s="45"/>
      <c r="C48" s="22">
        <f>B48/B$17</f>
        <v>0</v>
      </c>
      <c r="D48" s="45"/>
      <c r="E48" s="22">
        <f>D48/D$17</f>
        <v>0</v>
      </c>
      <c r="F48" s="45"/>
      <c r="G48" s="22">
        <f>F48/F$17</f>
        <v>0</v>
      </c>
      <c r="H48" s="48">
        <v>7044</v>
      </c>
      <c r="I48" s="22">
        <f>H48/H$17</f>
        <v>1.1961893117326405E-2</v>
      </c>
      <c r="J48" s="45">
        <v>9102</v>
      </c>
      <c r="K48" s="22">
        <f>J48/J$17</f>
        <v>8.8232300466752935E-3</v>
      </c>
      <c r="L48" s="45"/>
      <c r="M48" s="22">
        <f>L48/L$17</f>
        <v>0</v>
      </c>
      <c r="N48" s="45"/>
      <c r="O48" s="22">
        <f>N48/N$17</f>
        <v>0</v>
      </c>
      <c r="P48" s="48">
        <v>9019</v>
      </c>
      <c r="Q48" s="22">
        <f>P48/P$17</f>
        <v>7.8218637526560001E-3</v>
      </c>
      <c r="R48" s="48">
        <v>7925</v>
      </c>
      <c r="S48" s="22">
        <f>R48/R$17</f>
        <v>8.8749477861904697E-3</v>
      </c>
      <c r="T48" s="48">
        <v>7783</v>
      </c>
      <c r="U48" s="22">
        <f>T48/T$17</f>
        <v>1.0922772921964556E-2</v>
      </c>
      <c r="V48" s="48">
        <v>8157</v>
      </c>
      <c r="W48" s="22">
        <f>V48/V$17</f>
        <v>2.4121931528846067E-2</v>
      </c>
      <c r="X48" s="48">
        <v>10770</v>
      </c>
      <c r="Y48" s="22">
        <f>X48/X$17</f>
        <v>1.4042471631469218E-2</v>
      </c>
      <c r="Z48" s="45">
        <f t="shared" ref="Z48:Z52" si="61">SUM(B48,D48,F48,H48,J48,L48,N48,P48,R48,T48,V48,X48)</f>
        <v>59800</v>
      </c>
      <c r="AA48" s="45">
        <f t="shared" ref="AA48:AA52" si="62">IFERROR(AVERAGE(B48,D48,F48,H48,J48,L48,N48,P48,R48,T48,V48,X48),0)</f>
        <v>8542.8571428571431</v>
      </c>
      <c r="AB48" s="48">
        <f>IFERROR(AVERAGE(T48,V48,X48),0)</f>
        <v>8903.3333333333339</v>
      </c>
      <c r="AC48" s="16"/>
      <c r="AD48" s="33"/>
      <c r="AE48" s="16">
        <f>IFERROR(AVERAGE(R48:V48),0)</f>
        <v>4773.0039595441422</v>
      </c>
      <c r="AF48" s="33"/>
      <c r="AK48" s="56">
        <f>SUM(T48,V48,X48)*4</f>
        <v>106840</v>
      </c>
      <c r="AL48" s="66">
        <f t="shared" si="16"/>
        <v>8903.3333333333339</v>
      </c>
    </row>
    <row r="49" spans="1:39" ht="20" customHeight="1">
      <c r="A49" s="142" t="s">
        <v>69</v>
      </c>
      <c r="B49" s="45"/>
      <c r="C49" s="22">
        <f>B49/B$17</f>
        <v>0</v>
      </c>
      <c r="D49" s="45"/>
      <c r="E49" s="22">
        <f>D49/D$17</f>
        <v>0</v>
      </c>
      <c r="F49" s="45"/>
      <c r="G49" s="22">
        <f>F49/F$17</f>
        <v>0</v>
      </c>
      <c r="H49" s="48">
        <v>2167</v>
      </c>
      <c r="I49" s="22">
        <f>H49/H$17</f>
        <v>3.6799293562246337E-3</v>
      </c>
      <c r="J49" s="45">
        <v>0</v>
      </c>
      <c r="K49" s="22">
        <f>J49/J$17</f>
        <v>0</v>
      </c>
      <c r="L49" s="45"/>
      <c r="M49" s="22">
        <f>L49/L$17</f>
        <v>0</v>
      </c>
      <c r="N49" s="45"/>
      <c r="O49" s="22">
        <f>N49/N$17</f>
        <v>0</v>
      </c>
      <c r="P49" s="48">
        <v>0</v>
      </c>
      <c r="Q49" s="22">
        <f>P49/P$17</f>
        <v>0</v>
      </c>
      <c r="R49" s="48">
        <v>0</v>
      </c>
      <c r="S49" s="22">
        <f>R49/R$17</f>
        <v>0</v>
      </c>
      <c r="T49" s="48">
        <v>11666</v>
      </c>
      <c r="U49" s="22">
        <f>T49/T$17</f>
        <v>1.6372230362024735E-2</v>
      </c>
      <c r="V49" s="48">
        <v>1292</v>
      </c>
      <c r="W49" s="22">
        <f>V49/V$17</f>
        <v>3.8207104983779723E-3</v>
      </c>
      <c r="X49" s="48">
        <v>1250</v>
      </c>
      <c r="Y49" s="22">
        <f>X49/X$17</f>
        <v>1.6298133277006985E-3</v>
      </c>
      <c r="Z49" s="45">
        <f t="shared" si="61"/>
        <v>16375</v>
      </c>
      <c r="AA49" s="45">
        <f t="shared" si="62"/>
        <v>2339.2857142857142</v>
      </c>
      <c r="AB49" s="48">
        <f>IFERROR(AVERAGE(T49,V49,X49),0)</f>
        <v>4736</v>
      </c>
      <c r="AC49" s="16"/>
      <c r="AD49" s="33"/>
      <c r="AE49" s="16">
        <f>IFERROR(AVERAGE(R49:V49),0)</f>
        <v>2591.6032744460726</v>
      </c>
      <c r="AF49" s="33"/>
      <c r="AK49" s="56">
        <f>SUM(T49,V49,X49)*4</f>
        <v>56832</v>
      </c>
      <c r="AL49" s="66">
        <f t="shared" si="16"/>
        <v>4736</v>
      </c>
    </row>
    <row r="50" spans="1:39" ht="20" customHeight="1">
      <c r="A50" s="142" t="s">
        <v>70</v>
      </c>
      <c r="B50" s="45"/>
      <c r="C50" s="22">
        <f>B50/B$17</f>
        <v>0</v>
      </c>
      <c r="D50" s="45"/>
      <c r="E50" s="22">
        <f>D50/D$17</f>
        <v>0</v>
      </c>
      <c r="F50" s="45"/>
      <c r="G50" s="22">
        <f>F50/F$17</f>
        <v>0</v>
      </c>
      <c r="H50" s="48">
        <v>397</v>
      </c>
      <c r="I50" s="22">
        <f>H50/H$17</f>
        <v>6.7417256779934455E-4</v>
      </c>
      <c r="J50" s="45">
        <v>2743</v>
      </c>
      <c r="K50" s="22">
        <f>J50/J$17</f>
        <v>2.6589892351164945E-3</v>
      </c>
      <c r="L50" s="45"/>
      <c r="M50" s="22">
        <f>L50/L$17</f>
        <v>0</v>
      </c>
      <c r="N50" s="45"/>
      <c r="O50" s="22">
        <f>N50/N$17</f>
        <v>0</v>
      </c>
      <c r="P50" s="48">
        <v>1702</v>
      </c>
      <c r="Q50" s="22">
        <f>P50/P$17</f>
        <v>1.4760851654308138E-3</v>
      </c>
      <c r="R50" s="48">
        <v>6455</v>
      </c>
      <c r="S50" s="22">
        <f>R50/R$17</f>
        <v>7.2287429602346347E-3</v>
      </c>
      <c r="T50" s="48">
        <v>3902</v>
      </c>
      <c r="U50" s="22">
        <f>T50/T$17</f>
        <v>5.4761223103566353E-3</v>
      </c>
      <c r="V50" s="48">
        <v>10604</v>
      </c>
      <c r="W50" s="22">
        <f>V50/V$17</f>
        <v>3.1358215266873081E-2</v>
      </c>
      <c r="X50" s="48">
        <v>5176</v>
      </c>
      <c r="Y50" s="22">
        <f>X50/X$17</f>
        <v>6.7487310273430523E-3</v>
      </c>
      <c r="Z50" s="45">
        <f t="shared" si="61"/>
        <v>30979</v>
      </c>
      <c r="AA50" s="45">
        <f t="shared" si="62"/>
        <v>4425.5714285714284</v>
      </c>
      <c r="AB50" s="48">
        <f>IFERROR(AVERAGE(T50,V50,X50),0)</f>
        <v>6560.666666666667</v>
      </c>
      <c r="AC50" s="16"/>
      <c r="AD50" s="33"/>
      <c r="AE50" s="16">
        <f>IFERROR(AVERAGE(R50:V50),0)</f>
        <v>4192.2025409730541</v>
      </c>
      <c r="AF50" s="33"/>
      <c r="AK50" s="56">
        <f>SUM(T50,V50,X50)*4</f>
        <v>78728</v>
      </c>
      <c r="AL50" s="66">
        <f t="shared" si="16"/>
        <v>6560.666666666667</v>
      </c>
    </row>
    <row r="51" spans="1:39" ht="20" customHeight="1">
      <c r="A51" s="142" t="s">
        <v>71</v>
      </c>
      <c r="B51" s="45"/>
      <c r="C51" s="22">
        <f>B51/B$17</f>
        <v>0</v>
      </c>
      <c r="D51" s="45"/>
      <c r="E51" s="22">
        <f>D51/D$17</f>
        <v>0</v>
      </c>
      <c r="F51" s="45"/>
      <c r="G51" s="22">
        <f>F51/F$17</f>
        <v>0</v>
      </c>
      <c r="H51" s="48">
        <v>0</v>
      </c>
      <c r="I51" s="22">
        <f>H51/H$17</f>
        <v>0</v>
      </c>
      <c r="J51" s="45">
        <v>0</v>
      </c>
      <c r="K51" s="22">
        <f>J51/J$17</f>
        <v>0</v>
      </c>
      <c r="L51" s="45"/>
      <c r="M51" s="22">
        <f>L51/L$17</f>
        <v>0</v>
      </c>
      <c r="N51" s="45"/>
      <c r="O51" s="22">
        <f>N51/N$17</f>
        <v>0</v>
      </c>
      <c r="P51" s="48">
        <v>0</v>
      </c>
      <c r="Q51" s="22">
        <f>P51/P$17</f>
        <v>0</v>
      </c>
      <c r="R51" s="48">
        <v>0</v>
      </c>
      <c r="S51" s="22">
        <f>R51/R$17</f>
        <v>0</v>
      </c>
      <c r="T51" s="48">
        <v>0</v>
      </c>
      <c r="U51" s="22">
        <f>T51/T$17</f>
        <v>0</v>
      </c>
      <c r="V51" s="48">
        <v>0</v>
      </c>
      <c r="W51" s="22">
        <f>V51/V$17</f>
        <v>0</v>
      </c>
      <c r="X51" s="48">
        <v>0</v>
      </c>
      <c r="Y51" s="22">
        <f>X51/X$17</f>
        <v>0</v>
      </c>
      <c r="Z51" s="45">
        <f t="shared" si="61"/>
        <v>0</v>
      </c>
      <c r="AA51" s="45">
        <f t="shared" si="62"/>
        <v>0</v>
      </c>
      <c r="AB51" s="48">
        <f>IFERROR(AVERAGE(T51,V51,X51),0)</f>
        <v>0</v>
      </c>
      <c r="AC51" s="16"/>
      <c r="AD51" s="33"/>
      <c r="AE51" s="16">
        <f>IFERROR(AVERAGE(R51:V51),0)</f>
        <v>0</v>
      </c>
      <c r="AF51" s="33"/>
      <c r="AK51" s="56">
        <f>SUM(T51,V51,X51)*4</f>
        <v>0</v>
      </c>
      <c r="AL51" s="66">
        <f t="shared" si="16"/>
        <v>0</v>
      </c>
    </row>
    <row r="52" spans="1:39" s="1" customFormat="1" ht="20" customHeight="1">
      <c r="A52" s="141" t="s">
        <v>72</v>
      </c>
      <c r="B52" s="13">
        <v>8846</v>
      </c>
      <c r="C52" s="22">
        <f>B52/B$17</f>
        <v>3.0820688814173474E-2</v>
      </c>
      <c r="D52" s="13">
        <v>6649</v>
      </c>
      <c r="E52" s="22">
        <f>D52/D$17</f>
        <v>9.9766077133026931E-3</v>
      </c>
      <c r="F52" s="13">
        <v>15522</v>
      </c>
      <c r="G52" s="22">
        <f>F52/F$17</f>
        <v>3.9606335176457681E-2</v>
      </c>
      <c r="H52" s="102">
        <v>9608</v>
      </c>
      <c r="I52" s="22">
        <f>H52/H$17</f>
        <v>1.6315995041350381E-2</v>
      </c>
      <c r="J52" s="13">
        <v>11845</v>
      </c>
      <c r="K52" s="22">
        <f>J52/J$17</f>
        <v>1.1482219281791788E-2</v>
      </c>
      <c r="L52" s="13">
        <v>3841</v>
      </c>
      <c r="M52" s="22">
        <f>L52/L$17</f>
        <v>8.3144647008654322E-3</v>
      </c>
      <c r="N52" s="13">
        <v>13605</v>
      </c>
      <c r="O52" s="22">
        <f>N52/N$17</f>
        <v>1.6015812156478192E-2</v>
      </c>
      <c r="P52" s="102">
        <v>10721</v>
      </c>
      <c r="Q52" s="22">
        <f>P52/P$17</f>
        <v>9.2979489180868135E-3</v>
      </c>
      <c r="R52" s="102">
        <v>14380</v>
      </c>
      <c r="S52" s="22">
        <f>R52/R$17</f>
        <v>1.6103690746425103E-2</v>
      </c>
      <c r="T52" s="102">
        <v>23351</v>
      </c>
      <c r="U52" s="22">
        <f>T52/T$17</f>
        <v>3.2771125594345925E-2</v>
      </c>
      <c r="V52" s="102">
        <v>20053</v>
      </c>
      <c r="W52" s="22">
        <f>V52/V$17</f>
        <v>5.930085729409712E-2</v>
      </c>
      <c r="X52" s="102">
        <v>17195</v>
      </c>
      <c r="Y52" s="22">
        <f>X52/X$17</f>
        <v>2.2419712135850808E-2</v>
      </c>
      <c r="Z52" s="13">
        <f t="shared" si="61"/>
        <v>155616</v>
      </c>
      <c r="AA52" s="13">
        <f t="shared" si="62"/>
        <v>12968</v>
      </c>
      <c r="AB52" s="102">
        <f>IFERROR(AVERAGE(T52,V52,X52),0)</f>
        <v>20199.666666666668</v>
      </c>
      <c r="AC52" s="13"/>
      <c r="AD52" s="33"/>
      <c r="AE52" s="13">
        <f>IFERROR(AVERAGE(R52:V52),0)</f>
        <v>11556.809774963269</v>
      </c>
      <c r="AF52" s="67"/>
      <c r="AK52" s="56">
        <f>SUM(T52,V52,X52)*4</f>
        <v>242396</v>
      </c>
      <c r="AL52" s="66">
        <f t="shared" si="16"/>
        <v>20199.666666666668</v>
      </c>
      <c r="AM52" s="137"/>
    </row>
    <row r="53" spans="1:39" s="1" customFormat="1" ht="20" customHeight="1">
      <c r="A53" s="141"/>
      <c r="B53" s="13"/>
      <c r="C53" s="22"/>
      <c r="D53" s="13"/>
      <c r="E53" s="22"/>
      <c r="F53" s="13"/>
      <c r="G53" s="22"/>
      <c r="H53" s="102"/>
      <c r="I53" s="22"/>
      <c r="J53" s="13"/>
      <c r="K53" s="22"/>
      <c r="L53" s="13"/>
      <c r="M53" s="22"/>
      <c r="N53" s="13"/>
      <c r="O53" s="22"/>
      <c r="P53" s="102"/>
      <c r="Q53" s="22"/>
      <c r="R53" s="102"/>
      <c r="S53" s="22"/>
      <c r="T53" s="102"/>
      <c r="U53" s="22"/>
      <c r="V53" s="102"/>
      <c r="W53" s="22"/>
      <c r="X53" s="102"/>
      <c r="Y53" s="22"/>
      <c r="Z53" s="13"/>
      <c r="AA53" s="13"/>
      <c r="AB53" s="102"/>
      <c r="AC53" s="13"/>
      <c r="AD53" s="33"/>
      <c r="AE53" s="13"/>
      <c r="AF53" s="67"/>
      <c r="AK53" s="56"/>
      <c r="AL53" s="69"/>
      <c r="AM53" s="137"/>
    </row>
    <row r="54" spans="1:39" ht="20" customHeight="1">
      <c r="A54" s="142" t="s">
        <v>73</v>
      </c>
      <c r="B54" s="16"/>
      <c r="C54" s="22"/>
      <c r="D54" s="16"/>
      <c r="E54" s="22"/>
      <c r="F54" s="16"/>
      <c r="G54" s="22"/>
      <c r="H54" s="48"/>
      <c r="I54" s="22"/>
      <c r="J54" s="16"/>
      <c r="K54" s="22"/>
      <c r="L54" s="16"/>
      <c r="M54" s="22"/>
      <c r="N54" s="16"/>
      <c r="O54" s="22"/>
      <c r="P54" s="48"/>
      <c r="Q54" s="22"/>
      <c r="R54" s="48"/>
      <c r="S54" s="22"/>
      <c r="T54" s="48"/>
      <c r="U54" s="22"/>
      <c r="V54" s="48"/>
      <c r="W54" s="22"/>
      <c r="X54" s="48"/>
      <c r="Y54" s="22"/>
      <c r="Z54" s="16"/>
      <c r="AA54" s="16"/>
      <c r="AB54" s="48"/>
      <c r="AC54" s="16"/>
      <c r="AD54" s="16"/>
      <c r="AE54" s="16"/>
      <c r="AF54" s="16"/>
      <c r="AK54" s="56"/>
      <c r="AL54" s="66"/>
    </row>
    <row r="55" spans="1:39" ht="20" customHeight="1">
      <c r="A55" s="142" t="s">
        <v>74</v>
      </c>
      <c r="B55" s="45"/>
      <c r="C55" s="22">
        <f>B55/B$17</f>
        <v>0</v>
      </c>
      <c r="D55" s="45"/>
      <c r="E55" s="22">
        <f>D55/D$17</f>
        <v>0</v>
      </c>
      <c r="F55" s="45"/>
      <c r="G55" s="22">
        <f>F55/F$17</f>
        <v>0</v>
      </c>
      <c r="H55" s="48">
        <v>1862</v>
      </c>
      <c r="I55" s="22">
        <f>H55/H$17</f>
        <v>3.1619882147163212E-3</v>
      </c>
      <c r="J55" s="45">
        <v>787</v>
      </c>
      <c r="K55" s="22">
        <f>J55/J$17</f>
        <v>7.6289629166484906E-4</v>
      </c>
      <c r="L55" s="45">
        <v>2201</v>
      </c>
      <c r="M55" s="22">
        <f>L55/L$17</f>
        <v>4.764419892373032E-3</v>
      </c>
      <c r="N55" s="45">
        <v>1298</v>
      </c>
      <c r="O55" s="22">
        <f>N55/N$17</f>
        <v>1.5280061873655785E-3</v>
      </c>
      <c r="P55" s="48">
        <v>1647</v>
      </c>
      <c r="Q55" s="22">
        <f>P55/P$17</f>
        <v>1.4283855860543775E-3</v>
      </c>
      <c r="R55" s="48">
        <v>1646</v>
      </c>
      <c r="S55" s="22">
        <f>R55/R$17</f>
        <v>1.8433014581791182E-3</v>
      </c>
      <c r="T55" s="48">
        <v>949</v>
      </c>
      <c r="U55" s="22">
        <f>T55/T$17</f>
        <v>1.3318401005967318E-3</v>
      </c>
      <c r="V55" s="48">
        <v>1646</v>
      </c>
      <c r="W55" s="22">
        <f>V55/V$17</f>
        <v>4.8675615172833918E-3</v>
      </c>
      <c r="X55" s="48">
        <v>2345</v>
      </c>
      <c r="Y55" s="22">
        <f>X55/X$17</f>
        <v>3.0575298027665102E-3</v>
      </c>
      <c r="Z55" s="45">
        <f t="shared" ref="Z55:Z58" si="63">SUM(B55,D55,F55,H55,J55,L55,N55,P55,R55,T55,V55,X55)</f>
        <v>14381</v>
      </c>
      <c r="AA55" s="45">
        <f t="shared" ref="AA55:AA58" si="64">IFERROR(AVERAGE(B55,D55,F55,H55,J55,L55,N55,P55,R55,T55,V55,X55),0)</f>
        <v>1597.8888888888889</v>
      </c>
      <c r="AB55" s="48">
        <f t="shared" ref="AB55:AB60" si="65">IFERROR(AVERAGE(T55,V55,X55),0)</f>
        <v>1646.6666666666667</v>
      </c>
      <c r="AC55" s="16"/>
      <c r="AD55" s="33"/>
      <c r="AE55" s="16">
        <f>IFERROR(AVERAGE(R55:V55),0)</f>
        <v>848.20063502831181</v>
      </c>
      <c r="AF55" s="33"/>
      <c r="AK55" s="56">
        <f>SUM(T55,V55,X55)*4</f>
        <v>19760</v>
      </c>
      <c r="AL55" s="66">
        <f t="shared" si="16"/>
        <v>1646.6666666666667</v>
      </c>
    </row>
    <row r="56" spans="1:39" ht="20" customHeight="1">
      <c r="A56" s="142" t="s">
        <v>75</v>
      </c>
      <c r="B56" s="45"/>
      <c r="C56" s="22"/>
      <c r="D56" s="45"/>
      <c r="E56" s="22"/>
      <c r="F56" s="45"/>
      <c r="G56" s="22"/>
      <c r="H56" s="48">
        <v>0</v>
      </c>
      <c r="I56" s="22"/>
      <c r="J56" s="45">
        <v>0</v>
      </c>
      <c r="K56" s="22"/>
      <c r="L56" s="45"/>
      <c r="M56" s="22"/>
      <c r="N56" s="45"/>
      <c r="O56" s="22"/>
      <c r="P56" s="48">
        <v>0</v>
      </c>
      <c r="Q56" s="22"/>
      <c r="R56" s="48">
        <v>0</v>
      </c>
      <c r="S56" s="22"/>
      <c r="T56" s="48">
        <v>0</v>
      </c>
      <c r="U56" s="22"/>
      <c r="V56" s="48"/>
      <c r="W56" s="22"/>
      <c r="X56" s="48"/>
      <c r="Y56" s="22"/>
      <c r="Z56" s="45">
        <f t="shared" si="63"/>
        <v>0</v>
      </c>
      <c r="AA56" s="45">
        <f t="shared" si="64"/>
        <v>0</v>
      </c>
      <c r="AB56" s="48">
        <f t="shared" si="65"/>
        <v>0</v>
      </c>
      <c r="AC56" s="16"/>
      <c r="AD56" s="33"/>
      <c r="AE56" s="16">
        <f>IFERROR(AVERAGE(R56:V56),0)</f>
        <v>0</v>
      </c>
      <c r="AF56" s="33"/>
      <c r="AK56" s="56">
        <f>SUM(T56,V56,X56)*4</f>
        <v>0</v>
      </c>
      <c r="AL56" s="66">
        <f t="shared" si="16"/>
        <v>0</v>
      </c>
    </row>
    <row r="57" spans="1:39" ht="20" customHeight="1">
      <c r="A57" s="153" t="s">
        <v>76</v>
      </c>
      <c r="B57" s="46">
        <v>1851</v>
      </c>
      <c r="C57" s="57">
        <f>B57/B$17</f>
        <v>6.4491402888350782E-3</v>
      </c>
      <c r="D57" s="46">
        <v>2678</v>
      </c>
      <c r="E57" s="57">
        <f>D57/D$17</f>
        <v>4.018251685400002E-3</v>
      </c>
      <c r="F57" s="46">
        <v>1851</v>
      </c>
      <c r="G57" s="57">
        <f>F57/F$17</f>
        <v>4.7230592972312309E-3</v>
      </c>
      <c r="H57" s="46">
        <v>1862</v>
      </c>
      <c r="I57" s="57">
        <f>H57/H$17</f>
        <v>3.1619882147163212E-3</v>
      </c>
      <c r="J57" s="46">
        <v>787</v>
      </c>
      <c r="K57" s="57">
        <f>J57/J$17</f>
        <v>7.6289629166484906E-4</v>
      </c>
      <c r="L57" s="46">
        <v>2201</v>
      </c>
      <c r="M57" s="57">
        <f>L57/L$17</f>
        <v>4.764419892373032E-3</v>
      </c>
      <c r="N57" s="46">
        <v>1298</v>
      </c>
      <c r="O57" s="57">
        <f>N57/N$17</f>
        <v>1.5280061873655785E-3</v>
      </c>
      <c r="P57" s="46">
        <v>1647</v>
      </c>
      <c r="Q57" s="57">
        <f>P57/P$17</f>
        <v>1.4283855860543775E-3</v>
      </c>
      <c r="R57" s="46">
        <v>1646</v>
      </c>
      <c r="S57" s="57">
        <f>R57/R$17</f>
        <v>1.8433014581791182E-3</v>
      </c>
      <c r="T57" s="46">
        <v>949</v>
      </c>
      <c r="U57" s="57">
        <f>T57/T$17</f>
        <v>1.3318401005967318E-3</v>
      </c>
      <c r="V57" s="46">
        <v>0</v>
      </c>
      <c r="W57" s="57">
        <f>V57/V$17</f>
        <v>0</v>
      </c>
      <c r="X57" s="46">
        <v>2345</v>
      </c>
      <c r="Y57" s="57">
        <f>X57/X$17</f>
        <v>3.0575298027665102E-3</v>
      </c>
      <c r="Z57" s="46">
        <f t="shared" si="63"/>
        <v>19115</v>
      </c>
      <c r="AA57" s="46">
        <f t="shared" si="64"/>
        <v>1592.9166666666667</v>
      </c>
      <c r="AB57" s="46">
        <f t="shared" si="65"/>
        <v>1098</v>
      </c>
      <c r="AC57" s="46"/>
      <c r="AD57" s="42"/>
      <c r="AE57" s="46">
        <f>IFERROR(AVERAGE(R57:V57),0)</f>
        <v>519.00063502831176</v>
      </c>
      <c r="AF57" s="42"/>
      <c r="AK57" s="56">
        <f>SUM(T57,V57,X57)*4</f>
        <v>13176</v>
      </c>
      <c r="AL57" s="66">
        <f t="shared" si="16"/>
        <v>1098</v>
      </c>
    </row>
    <row r="58" spans="1:39" ht="20" customHeight="1">
      <c r="A58" s="153" t="s">
        <v>77</v>
      </c>
      <c r="B58" s="19">
        <v>177629</v>
      </c>
      <c r="C58" s="57">
        <f>B58/B$17</f>
        <v>0.61888403045137019</v>
      </c>
      <c r="D58" s="19">
        <v>193024</v>
      </c>
      <c r="E58" s="57">
        <f>D58/D$17</f>
        <v>0.28962621856708365</v>
      </c>
      <c r="F58" s="19">
        <v>247468</v>
      </c>
      <c r="G58" s="57">
        <f>F58/F$17</f>
        <v>0.63144572564409418</v>
      </c>
      <c r="H58" s="19">
        <v>202070</v>
      </c>
      <c r="I58" s="57">
        <f>H58/H$17</f>
        <v>0.34314874250683514</v>
      </c>
      <c r="J58" s="19">
        <v>241352</v>
      </c>
      <c r="K58" s="57">
        <f>J58/J$17</f>
        <v>0.23396003276479627</v>
      </c>
      <c r="L58" s="19">
        <v>216650</v>
      </c>
      <c r="M58" s="57">
        <f>L58/L$17</f>
        <v>0.46897390717065757</v>
      </c>
      <c r="N58" s="19">
        <v>235628</v>
      </c>
      <c r="O58" s="57">
        <f>N58/N$17</f>
        <v>0.27738138822540565</v>
      </c>
      <c r="P58" s="19">
        <v>252619</v>
      </c>
      <c r="Q58" s="57">
        <f>P58/P$17</f>
        <v>0.2190876371362907</v>
      </c>
      <c r="R58" s="19">
        <v>211149</v>
      </c>
      <c r="S58" s="57">
        <f>R58/R$17</f>
        <v>0.23645884543928472</v>
      </c>
      <c r="T58" s="19">
        <v>223789</v>
      </c>
      <c r="U58" s="57">
        <f>T58/T$17</f>
        <v>0.31406866625125607</v>
      </c>
      <c r="V58" s="19">
        <v>207589</v>
      </c>
      <c r="W58" s="57">
        <f>V58/V$17</f>
        <v>0.61388349198744963</v>
      </c>
      <c r="X58" s="19">
        <v>260226</v>
      </c>
      <c r="Y58" s="57">
        <f>X58/X$17</f>
        <v>0.33929584241139354</v>
      </c>
      <c r="Z58" s="19">
        <f t="shared" si="63"/>
        <v>2669193</v>
      </c>
      <c r="AA58" s="19">
        <f t="shared" si="64"/>
        <v>222432.75</v>
      </c>
      <c r="AB58" s="19">
        <f t="shared" si="65"/>
        <v>230534.66666666666</v>
      </c>
      <c r="AC58" s="19"/>
      <c r="AD58" s="42"/>
      <c r="AE58" s="19">
        <f>IFERROR(AVERAGE(R58:V58),0)</f>
        <v>128505.51010550233</v>
      </c>
      <c r="AF58" s="42"/>
      <c r="AK58" s="56">
        <f>SUM(T58,V58,X58)*4</f>
        <v>2766416</v>
      </c>
      <c r="AL58" s="66">
        <f t="shared" si="16"/>
        <v>230534.66666666666</v>
      </c>
    </row>
    <row r="59" spans="1:39" ht="20" customHeight="1" thickBot="1">
      <c r="A59" s="154"/>
      <c r="B59" s="16"/>
      <c r="C59" s="22"/>
      <c r="D59" s="16"/>
      <c r="E59" s="22"/>
      <c r="F59" s="16"/>
      <c r="G59" s="22"/>
      <c r="H59" s="16"/>
      <c r="I59" s="22"/>
      <c r="J59" s="16"/>
      <c r="K59" s="22"/>
      <c r="L59" s="16"/>
      <c r="M59" s="22"/>
      <c r="N59" s="16"/>
      <c r="O59" s="22"/>
      <c r="P59" s="16"/>
      <c r="Q59" s="22"/>
      <c r="R59" s="16"/>
      <c r="S59" s="22"/>
      <c r="T59" s="16"/>
      <c r="U59" s="22"/>
      <c r="V59" s="16"/>
      <c r="W59" s="22"/>
      <c r="X59" s="16"/>
      <c r="Y59" s="22"/>
      <c r="Z59" s="16">
        <f t="shared" ref="Z59" si="66">SUM(F59,H59,J59,L59,N59,P59,R59,T59,V59,X59)</f>
        <v>0</v>
      </c>
      <c r="AA59" s="16">
        <f t="shared" ref="AA59:AA61" si="67">IFERROR(AVERAGE(F59,H59,J59,L59,N59,P59,R59,T59,V59,X59),0)</f>
        <v>0</v>
      </c>
      <c r="AB59" s="16">
        <f t="shared" si="65"/>
        <v>0</v>
      </c>
      <c r="AC59" s="16"/>
      <c r="AD59" s="16"/>
      <c r="AE59" s="16"/>
      <c r="AF59" s="16"/>
      <c r="AK59" s="56"/>
      <c r="AL59" s="66"/>
    </row>
    <row r="60" spans="1:39" s="24" customFormat="1" ht="20" customHeight="1" thickTop="1" thickBot="1">
      <c r="A60" s="155" t="s">
        <v>78</v>
      </c>
      <c r="B60" s="30">
        <f t="shared" ref="B60" si="68">B29-B58</f>
        <v>17234</v>
      </c>
      <c r="C60" s="64">
        <f>B60/B$17</f>
        <v>6.0045642213821575E-2</v>
      </c>
      <c r="D60" s="30">
        <f t="shared" ref="D60" si="69">D29-D58</f>
        <v>106627</v>
      </c>
      <c r="E60" s="64">
        <f>D60/D$17</f>
        <v>0.15999033698997236</v>
      </c>
      <c r="F60" s="30">
        <f t="shared" ref="F60" si="70">F29-F58</f>
        <v>-35769</v>
      </c>
      <c r="G60" s="64">
        <f>F60/F$17</f>
        <v>-9.126910210840837E-2</v>
      </c>
      <c r="H60" s="30">
        <f t="shared" ref="H60" si="71">H29-H58</f>
        <v>39101</v>
      </c>
      <c r="I60" s="64">
        <f>H60/H$17</f>
        <v>6.6400054341365672E-2</v>
      </c>
      <c r="J60" s="30">
        <f t="shared" ref="J60" si="72">J29-J58</f>
        <v>69582</v>
      </c>
      <c r="K60" s="64">
        <f>J60/J$17</f>
        <v>6.7450889157082E-2</v>
      </c>
      <c r="L60" s="30">
        <f t="shared" ref="L60" si="73">L29-L58</f>
        <v>-13032</v>
      </c>
      <c r="M60" s="64">
        <f>L60/L$17</f>
        <v>-2.820986825870302E-2</v>
      </c>
      <c r="N60" s="30">
        <f t="shared" ref="N60" si="74">N29-N58</f>
        <v>36125</v>
      </c>
      <c r="O60" s="64">
        <f>N60/N$17</f>
        <v>4.2526366347135226E-2</v>
      </c>
      <c r="P60" s="30">
        <f t="shared" ref="P60" si="75">P29-P58</f>
        <v>167628</v>
      </c>
      <c r="Q60" s="64">
        <f>P60/P$17</f>
        <v>0.14537791075842332</v>
      </c>
      <c r="R60" s="30">
        <f t="shared" ref="R60" si="76">R29-R58</f>
        <v>91203</v>
      </c>
      <c r="S60" s="64">
        <f>R60/R$17</f>
        <v>0.10213525084465985</v>
      </c>
      <c r="T60" s="30">
        <f t="shared" ref="T60" si="77">T29-T58</f>
        <v>70637</v>
      </c>
      <c r="U60" s="64">
        <f>T60/T$17</f>
        <v>9.9132970691097305E-2</v>
      </c>
      <c r="V60" s="30">
        <f t="shared" ref="V60:X60" si="78">V29-V58</f>
        <v>-40361</v>
      </c>
      <c r="W60" s="64">
        <f>V60/V$17</f>
        <v>-0.11935580218655832</v>
      </c>
      <c r="X60" s="30">
        <f t="shared" si="78"/>
        <v>-3323</v>
      </c>
      <c r="Y60" s="64">
        <f>X60/X$17</f>
        <v>-4.3326957503595368E-3</v>
      </c>
      <c r="Z60" s="30">
        <f t="shared" ref="Z60" si="79">SUM(B60,D60,F60,H60,J60,L60,N60,P60,R60,T60,V60,X60)</f>
        <v>505652</v>
      </c>
      <c r="AA60" s="30">
        <f t="shared" ref="AA60" si="80">IFERROR(AVERAGE(B60,D60,F60,H60,J60,L60,N60,P60,R60,T60,V60,X60),0)</f>
        <v>42137.666666666664</v>
      </c>
      <c r="AB60" s="30">
        <f t="shared" si="65"/>
        <v>8984.3333333333339</v>
      </c>
      <c r="AC60" s="30"/>
      <c r="AD60" s="39"/>
      <c r="AE60" s="30">
        <f>IFERROR(AVERAGE(R60:V60),0)</f>
        <v>24295.84025364431</v>
      </c>
      <c r="AF60" s="39"/>
      <c r="AK60" s="56">
        <f>SUM(T60,V60,X60)*4</f>
        <v>107812</v>
      </c>
      <c r="AL60" s="66">
        <f t="shared" si="16"/>
        <v>8984.3333333333339</v>
      </c>
      <c r="AM60" s="135"/>
    </row>
    <row r="61" spans="1:39" ht="20" customHeight="1" thickTop="1">
      <c r="A61" s="156" t="s">
        <v>79</v>
      </c>
      <c r="B61" s="22">
        <f t="shared" ref="B61:V61" si="81">B60/B17</f>
        <v>6.0045642213821575E-2</v>
      </c>
      <c r="C61" s="22">
        <f t="shared" si="81"/>
        <v>6.0045642213821575E-2</v>
      </c>
      <c r="D61" s="22">
        <f t="shared" si="81"/>
        <v>0.15999033698997236</v>
      </c>
      <c r="E61" s="22">
        <f t="shared" si="81"/>
        <v>0.15999033698997236</v>
      </c>
      <c r="F61" s="22">
        <f t="shared" si="81"/>
        <v>-9.126910210840837E-2</v>
      </c>
      <c r="G61" s="22">
        <f t="shared" si="81"/>
        <v>-9.126910210840837E-2</v>
      </c>
      <c r="H61" s="22">
        <f t="shared" si="81"/>
        <v>6.6400054341365672E-2</v>
      </c>
      <c r="I61" s="22">
        <f t="shared" si="81"/>
        <v>6.6400054341365672E-2</v>
      </c>
      <c r="J61" s="22">
        <f t="shared" si="81"/>
        <v>6.7450889157082E-2</v>
      </c>
      <c r="K61" s="22">
        <f t="shared" si="81"/>
        <v>6.7450889157082E-2</v>
      </c>
      <c r="L61" s="22">
        <f t="shared" si="81"/>
        <v>-2.820986825870302E-2</v>
      </c>
      <c r="M61" s="22">
        <f t="shared" si="81"/>
        <v>-2.820986825870302E-2</v>
      </c>
      <c r="N61" s="22">
        <f t="shared" si="81"/>
        <v>4.2526366347135226E-2</v>
      </c>
      <c r="O61" s="22">
        <f t="shared" si="81"/>
        <v>4.2526366347135226E-2</v>
      </c>
      <c r="P61" s="22">
        <f t="shared" si="81"/>
        <v>0.14537791075842332</v>
      </c>
      <c r="Q61" s="22">
        <f t="shared" si="81"/>
        <v>0.14537791075842332</v>
      </c>
      <c r="R61" s="22">
        <f t="shared" si="81"/>
        <v>0.10213525084465985</v>
      </c>
      <c r="S61" s="22">
        <f t="shared" si="81"/>
        <v>0.10213525084465985</v>
      </c>
      <c r="T61" s="22">
        <f t="shared" si="81"/>
        <v>9.9132970691097305E-2</v>
      </c>
      <c r="U61" s="22">
        <f t="shared" si="81"/>
        <v>9.9132970691097305E-2</v>
      </c>
      <c r="V61" s="22">
        <f t="shared" si="81"/>
        <v>-0.11935580218655832</v>
      </c>
      <c r="W61" s="22">
        <f t="shared" ref="W61" si="82">W60/W17</f>
        <v>-0.11935580218655832</v>
      </c>
      <c r="X61" s="22">
        <f t="shared" ref="X61:Z61" si="83">X60/X17</f>
        <v>-4.3326957503595368E-3</v>
      </c>
      <c r="Y61" s="22">
        <f t="shared" si="83"/>
        <v>-4.3326957503595368E-3</v>
      </c>
      <c r="Z61" s="22">
        <f t="shared" si="83"/>
        <v>6.2112069802070076E-2</v>
      </c>
      <c r="AA61" s="131">
        <f t="shared" si="67"/>
        <v>2.7985597383573407E-2</v>
      </c>
      <c r="AB61" s="131">
        <f>AVERAGE(T61,V61,X61)</f>
        <v>-8.1851757486068513E-3</v>
      </c>
      <c r="AC61" s="12"/>
      <c r="AD61" s="33"/>
      <c r="AE61" s="12"/>
      <c r="AF61" s="33"/>
      <c r="AK61" s="56"/>
    </row>
    <row r="62" spans="1:39" ht="20" customHeight="1">
      <c r="A62" s="142"/>
      <c r="B62" s="16"/>
      <c r="C62" s="22"/>
      <c r="D62" s="16"/>
      <c r="E62" s="22"/>
      <c r="F62" s="16"/>
      <c r="G62" s="22"/>
      <c r="H62" s="16"/>
      <c r="I62" s="22"/>
      <c r="J62" s="16"/>
      <c r="K62" s="22"/>
      <c r="L62" s="16"/>
      <c r="M62" s="22"/>
      <c r="N62" s="16"/>
      <c r="O62" s="22"/>
      <c r="P62" s="16"/>
      <c r="Q62" s="22"/>
      <c r="R62" s="16"/>
      <c r="S62" s="22"/>
      <c r="T62" s="16"/>
      <c r="U62" s="22"/>
      <c r="V62" s="16"/>
      <c r="W62" s="22"/>
      <c r="X62" s="16"/>
      <c r="Y62" s="22"/>
      <c r="Z62"/>
      <c r="AA62" s="16"/>
      <c r="AB62" s="16"/>
      <c r="AC62" s="16"/>
      <c r="AD62" s="16"/>
      <c r="AE62" s="16"/>
      <c r="AF62" s="16"/>
      <c r="AK62" s="56"/>
      <c r="AL62" s="66"/>
    </row>
    <row r="63" spans="1:39" ht="20" customHeight="1">
      <c r="A63" s="152" t="s">
        <v>80</v>
      </c>
      <c r="B63" s="16"/>
      <c r="C63" s="22"/>
      <c r="D63" s="16"/>
      <c r="E63" s="22"/>
      <c r="F63" s="16"/>
      <c r="G63" s="22"/>
      <c r="H63" s="16"/>
      <c r="I63" s="22"/>
      <c r="J63" s="16"/>
      <c r="K63" s="22"/>
      <c r="L63" s="16"/>
      <c r="M63" s="22"/>
      <c r="N63" s="16"/>
      <c r="O63" s="22"/>
      <c r="P63" s="16"/>
      <c r="Q63" s="22"/>
      <c r="R63" s="16"/>
      <c r="S63" s="22"/>
      <c r="T63" s="16"/>
      <c r="U63" s="22"/>
      <c r="V63" s="16"/>
      <c r="W63" s="22"/>
      <c r="X63" s="16"/>
      <c r="Y63" s="22"/>
      <c r="Z63"/>
      <c r="AA63" s="16"/>
      <c r="AB63" s="16"/>
      <c r="AC63" s="16"/>
      <c r="AD63" s="16"/>
      <c r="AE63" s="16"/>
      <c r="AF63" s="16"/>
      <c r="AK63" s="56"/>
      <c r="AL63" s="66"/>
    </row>
    <row r="64" spans="1:39" ht="20" customHeight="1">
      <c r="A64" s="152" t="s">
        <v>81</v>
      </c>
      <c r="B64" s="16"/>
      <c r="C64" s="22"/>
      <c r="D64" s="16"/>
      <c r="E64" s="22"/>
      <c r="F64" s="16"/>
      <c r="G64" s="22"/>
      <c r="H64" s="16"/>
      <c r="I64" s="22"/>
      <c r="J64" s="16"/>
      <c r="K64" s="22"/>
      <c r="L64" s="16"/>
      <c r="M64" s="22"/>
      <c r="N64" s="16"/>
      <c r="O64" s="22"/>
      <c r="P64" s="16"/>
      <c r="Q64" s="22"/>
      <c r="R64" s="16"/>
      <c r="S64" s="22"/>
      <c r="T64" s="16"/>
      <c r="U64" s="22"/>
      <c r="V64" s="16"/>
      <c r="W64" s="22"/>
      <c r="X64" s="16"/>
      <c r="Y64" s="22"/>
      <c r="Z64"/>
      <c r="AA64" s="16"/>
      <c r="AB64" s="16"/>
      <c r="AC64" s="16"/>
      <c r="AD64" s="16"/>
      <c r="AE64" s="16"/>
      <c r="AF64" s="16"/>
      <c r="AK64" s="56"/>
      <c r="AL64" s="66"/>
    </row>
    <row r="65" spans="1:39" ht="20" customHeight="1">
      <c r="A65" s="142" t="s">
        <v>82</v>
      </c>
      <c r="B65" s="16"/>
      <c r="C65" s="22"/>
      <c r="D65" s="16"/>
      <c r="E65" s="22"/>
      <c r="F65" s="16"/>
      <c r="G65" s="22"/>
      <c r="H65" s="16"/>
      <c r="I65" s="22"/>
      <c r="J65" s="16"/>
      <c r="K65" s="22"/>
      <c r="L65" s="16"/>
      <c r="M65" s="22"/>
      <c r="N65" s="16"/>
      <c r="O65" s="22"/>
      <c r="P65" s="16"/>
      <c r="Q65" s="22"/>
      <c r="R65" s="16"/>
      <c r="S65" s="22"/>
      <c r="T65" s="16"/>
      <c r="U65" s="22"/>
      <c r="V65" s="16"/>
      <c r="W65" s="22"/>
      <c r="X65" s="16"/>
      <c r="Y65" s="22"/>
      <c r="Z65">
        <f t="shared" ref="Z65:Z67" si="84">SUM(B65,D65,F65,H65,J65,L65,N65,P65,R65,T65,V65,X65)</f>
        <v>0</v>
      </c>
      <c r="AA65" s="16">
        <f t="shared" ref="AA65:AA67" si="85">IFERROR(AVERAGE(B65,D65,F65,H65,J65,L65,N65,P65,R65,T65,V65,X65),0)</f>
        <v>0</v>
      </c>
      <c r="AB65" s="16">
        <f>IFERROR(AVERAGE(T65,V65,X65),0)</f>
        <v>0</v>
      </c>
      <c r="AC65" s="16"/>
      <c r="AD65" s="33"/>
      <c r="AE65" s="16">
        <f>IFERROR(AVERAGE(R65:V65),0)</f>
        <v>0</v>
      </c>
      <c r="AF65" s="33"/>
      <c r="AK65" s="56">
        <f t="shared" ref="AK65:AK74" si="86">SUM(T65,V65,X65)*4</f>
        <v>0</v>
      </c>
      <c r="AL65" s="66">
        <f t="shared" si="16"/>
        <v>0</v>
      </c>
    </row>
    <row r="66" spans="1:39" ht="20" customHeight="1">
      <c r="A66" s="142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22"/>
      <c r="P66">
        <v>2256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2"/>
      <c r="Z66">
        <f t="shared" si="84"/>
        <v>2256</v>
      </c>
      <c r="AA66" s="16">
        <f t="shared" si="85"/>
        <v>188</v>
      </c>
      <c r="AB66" s="16">
        <f>IFERROR(AVERAGE(T66,V66,X66),0)</f>
        <v>0</v>
      </c>
      <c r="AC66" s="16"/>
      <c r="AD66" s="33"/>
      <c r="AE66" s="16">
        <f>IFERROR(AVERAGE(R66:V66),0)</f>
        <v>0</v>
      </c>
      <c r="AF66" s="33"/>
      <c r="AK66" s="56">
        <f t="shared" si="86"/>
        <v>0</v>
      </c>
      <c r="AL66" s="66">
        <f t="shared" si="16"/>
        <v>0</v>
      </c>
    </row>
    <row r="67" spans="1:39" ht="20" customHeight="1">
      <c r="A67" s="142" t="s">
        <v>83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22"/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2"/>
      <c r="Z67">
        <f t="shared" si="84"/>
        <v>0</v>
      </c>
      <c r="AA67" s="16">
        <f t="shared" si="85"/>
        <v>0</v>
      </c>
      <c r="AB67" s="16">
        <f>IFERROR(AVERAGE(T67,V67,X67),0)</f>
        <v>0</v>
      </c>
      <c r="AC67" s="16"/>
      <c r="AD67" s="33"/>
      <c r="AE67" s="16">
        <f>IFERROR(AVERAGE(R67:V67),0)</f>
        <v>0</v>
      </c>
      <c r="AF67" s="33"/>
      <c r="AK67" s="56">
        <f t="shared" si="86"/>
        <v>0</v>
      </c>
      <c r="AL67" s="66">
        <f t="shared" si="16"/>
        <v>0</v>
      </c>
    </row>
    <row r="68" spans="1:39" ht="20" customHeight="1">
      <c r="A68" s="142"/>
      <c r="B68" s="16"/>
      <c r="C68" s="22"/>
      <c r="D68" s="16"/>
      <c r="E68" s="22"/>
      <c r="F68" s="16"/>
      <c r="G68" s="22"/>
      <c r="H68" s="16"/>
      <c r="I68" s="22"/>
      <c r="J68" s="16"/>
      <c r="K68" s="22"/>
      <c r="L68" s="16"/>
      <c r="M68" s="22"/>
      <c r="N68" s="16"/>
      <c r="O68" s="22"/>
      <c r="P68" s="16"/>
      <c r="Q68" s="22"/>
      <c r="R68" s="16"/>
      <c r="S68" s="22"/>
      <c r="T68" s="16"/>
      <c r="U68" s="22"/>
      <c r="V68" s="16"/>
      <c r="W68" s="22"/>
      <c r="X68" s="16"/>
      <c r="Y68" s="22"/>
      <c r="Z68"/>
      <c r="AA68" s="16"/>
      <c r="AB68" s="16"/>
      <c r="AC68" s="16"/>
      <c r="AD68" s="33"/>
      <c r="AE68" s="16"/>
      <c r="AF68" s="33"/>
      <c r="AK68" s="56">
        <f t="shared" si="86"/>
        <v>0</v>
      </c>
      <c r="AL68" s="66"/>
    </row>
    <row r="69" spans="1:39" ht="20" customHeight="1">
      <c r="A69" s="141" t="s">
        <v>84</v>
      </c>
      <c r="B69" s="16"/>
      <c r="C69" s="22"/>
      <c r="D69" s="16"/>
      <c r="E69" s="22"/>
      <c r="F69" s="16"/>
      <c r="G69" s="22"/>
      <c r="H69" s="16"/>
      <c r="I69" s="22"/>
      <c r="J69" s="16"/>
      <c r="K69" s="22"/>
      <c r="L69" s="16"/>
      <c r="M69" s="22"/>
      <c r="N69" s="16"/>
      <c r="O69" s="22"/>
      <c r="P69" s="16"/>
      <c r="Q69" s="22"/>
      <c r="R69" s="16"/>
      <c r="S69" s="22"/>
      <c r="T69" s="16"/>
      <c r="U69" s="22"/>
      <c r="V69" s="16"/>
      <c r="W69" s="22"/>
      <c r="X69" s="16"/>
      <c r="Y69" s="22"/>
      <c r="Z69" s="16"/>
      <c r="AA69" s="16"/>
      <c r="AB69" s="16"/>
      <c r="AC69" s="16"/>
      <c r="AD69" s="17"/>
      <c r="AE69" s="16"/>
      <c r="AF69" s="12"/>
      <c r="AK69" s="56">
        <f t="shared" si="86"/>
        <v>0</v>
      </c>
      <c r="AL69" s="66">
        <f t="shared" si="16"/>
        <v>0</v>
      </c>
    </row>
    <row r="70" spans="1:39" ht="20" customHeight="1">
      <c r="A70" s="142" t="s">
        <v>85</v>
      </c>
      <c r="B70" s="16">
        <v>-9515</v>
      </c>
      <c r="C70" s="22"/>
      <c r="D70" s="16">
        <v>-17711</v>
      </c>
      <c r="E70" s="22"/>
      <c r="F70" s="16">
        <v>-1372</v>
      </c>
      <c r="G70" s="22"/>
      <c r="H70" s="16">
        <v>-9487</v>
      </c>
      <c r="I70" s="22"/>
      <c r="J70" s="16">
        <v>-9224</v>
      </c>
      <c r="K70" s="22"/>
      <c r="L70" s="16">
        <v>-9179</v>
      </c>
      <c r="M70" s="22"/>
      <c r="N70" s="16">
        <v>-9132</v>
      </c>
      <c r="O70" s="22"/>
      <c r="P70" s="16">
        <v>-9086</v>
      </c>
      <c r="Q70" s="22"/>
      <c r="R70" s="16">
        <v>-9441</v>
      </c>
      <c r="S70" s="22"/>
      <c r="T70" s="16">
        <v>-9541</v>
      </c>
      <c r="U70" s="22"/>
      <c r="V70" s="16">
        <v>-9745</v>
      </c>
      <c r="W70" s="22"/>
      <c r="X70" s="16">
        <v>-6862</v>
      </c>
      <c r="Y70" s="22"/>
      <c r="Z70" s="16">
        <f t="shared" ref="Z70:Z74" si="87">SUM(B70,D70,F70,H70,J70,L70,N70,P70,R70,T70,V70,X70)</f>
        <v>-110295</v>
      </c>
      <c r="AA70" s="16">
        <f t="shared" ref="AA70:AA74" si="88">IFERROR(AVERAGE(B70,D70,F70,H70,J70,L70,N70,P70,R70,T70,V70,X70),0)</f>
        <v>-9191.25</v>
      </c>
      <c r="AB70" s="16">
        <f>IFERROR(AVERAGE(T70,V70,X70),0)</f>
        <v>-8716</v>
      </c>
      <c r="AC70" s="16"/>
      <c r="AD70" s="33"/>
      <c r="AE70" s="16">
        <f>IFERROR(AVERAGE(R70:V70),0)</f>
        <v>-9575.6666666666661</v>
      </c>
      <c r="AF70" s="33"/>
      <c r="AK70" s="56">
        <f t="shared" si="86"/>
        <v>-104592</v>
      </c>
      <c r="AL70" s="66">
        <f t="shared" si="16"/>
        <v>-8716</v>
      </c>
    </row>
    <row r="71" spans="1:39" ht="20" customHeight="1">
      <c r="A71" s="142" t="s">
        <v>86</v>
      </c>
      <c r="B71" s="16"/>
      <c r="C71" s="22"/>
      <c r="D71" s="16"/>
      <c r="E71" s="22"/>
      <c r="F71" s="16"/>
      <c r="G71" s="22"/>
      <c r="H71" s="16"/>
      <c r="I71" s="22"/>
      <c r="J71" s="16"/>
      <c r="K71" s="22"/>
      <c r="L71" s="16"/>
      <c r="M71" s="22"/>
      <c r="N71" s="16"/>
      <c r="O71" s="22"/>
      <c r="P71" s="16"/>
      <c r="Q71" s="22"/>
      <c r="R71" s="16"/>
      <c r="S71" s="22"/>
      <c r="T71" s="16"/>
      <c r="U71" s="22"/>
      <c r="V71" s="16"/>
      <c r="W71" s="22"/>
      <c r="X71" s="16"/>
      <c r="Y71" s="22"/>
      <c r="Z71" s="16">
        <f t="shared" si="87"/>
        <v>0</v>
      </c>
      <c r="AA71" s="16">
        <f t="shared" si="88"/>
        <v>0</v>
      </c>
      <c r="AB71" s="16">
        <f>IFERROR(AVERAGE(T71,V71,X71),0)</f>
        <v>0</v>
      </c>
      <c r="AC71" s="16"/>
      <c r="AD71" s="33"/>
      <c r="AE71" s="16">
        <f>IFERROR(AVERAGE(R71:V71),0)</f>
        <v>0</v>
      </c>
      <c r="AF71" s="33"/>
      <c r="AK71" s="56">
        <f t="shared" si="86"/>
        <v>0</v>
      </c>
      <c r="AL71" s="66">
        <f t="shared" si="16"/>
        <v>0</v>
      </c>
    </row>
    <row r="72" spans="1:39" ht="20" customHeight="1">
      <c r="A72" s="142" t="s">
        <v>87</v>
      </c>
      <c r="B72" s="16"/>
      <c r="C72" s="22"/>
      <c r="D72" s="16"/>
      <c r="E72" s="22"/>
      <c r="F72" s="16"/>
      <c r="G72" s="22"/>
      <c r="H72" s="16"/>
      <c r="I72" s="22"/>
      <c r="J72" s="16"/>
      <c r="K72" s="22"/>
      <c r="L72" s="16"/>
      <c r="M72" s="22"/>
      <c r="N72" s="16"/>
      <c r="O72" s="22"/>
      <c r="P72" s="16"/>
      <c r="Q72" s="22"/>
      <c r="R72" s="16"/>
      <c r="S72" s="22"/>
      <c r="T72" s="16"/>
      <c r="U72" s="22"/>
      <c r="V72" s="16"/>
      <c r="W72" s="22"/>
      <c r="X72" s="16"/>
      <c r="Y72" s="22"/>
      <c r="Z72" s="16">
        <f t="shared" si="87"/>
        <v>0</v>
      </c>
      <c r="AA72" s="16">
        <f t="shared" si="88"/>
        <v>0</v>
      </c>
      <c r="AB72" s="16">
        <f>IFERROR(AVERAGE(T72,V72,X72),0)</f>
        <v>0</v>
      </c>
      <c r="AC72" s="16"/>
      <c r="AD72" s="33"/>
      <c r="AE72" s="16">
        <f>IFERROR(AVERAGE(R72:V72),0)</f>
        <v>0</v>
      </c>
      <c r="AF72" s="33"/>
      <c r="AK72" s="56">
        <f t="shared" si="86"/>
        <v>0</v>
      </c>
      <c r="AL72" s="66">
        <f t="shared" si="16"/>
        <v>0</v>
      </c>
    </row>
    <row r="73" spans="1:39" ht="20" customHeight="1">
      <c r="A73" s="153" t="s">
        <v>88</v>
      </c>
      <c r="B73" s="46"/>
      <c r="C73" s="62"/>
      <c r="D73" s="46"/>
      <c r="E73" s="62"/>
      <c r="F73" s="46"/>
      <c r="G73" s="62"/>
      <c r="H73" s="46"/>
      <c r="I73" s="62"/>
      <c r="J73" s="46"/>
      <c r="K73" s="62"/>
      <c r="L73" s="46"/>
      <c r="M73" s="62"/>
      <c r="N73" s="46"/>
      <c r="O73" s="62"/>
      <c r="P73" s="46"/>
      <c r="Q73" s="62"/>
      <c r="R73" s="46"/>
      <c r="S73" s="62"/>
      <c r="T73" s="46"/>
      <c r="U73" s="62"/>
      <c r="V73" s="46"/>
      <c r="W73" s="62"/>
      <c r="X73" s="46"/>
      <c r="Y73" s="62"/>
      <c r="Z73" s="46">
        <f t="shared" si="87"/>
        <v>0</v>
      </c>
      <c r="AA73" s="46">
        <f t="shared" si="88"/>
        <v>0</v>
      </c>
      <c r="AB73" s="46">
        <f>IFERROR(AVERAGE(T73,V73,X73),0)</f>
        <v>0</v>
      </c>
      <c r="AC73" s="46"/>
      <c r="AD73" s="42"/>
      <c r="AE73" s="46">
        <f>IFERROR(AVERAGE(R73:V73),0)</f>
        <v>0</v>
      </c>
      <c r="AF73" s="42"/>
      <c r="AK73" s="56">
        <f t="shared" si="86"/>
        <v>0</v>
      </c>
      <c r="AL73" s="66">
        <f t="shared" si="16"/>
        <v>0</v>
      </c>
    </row>
    <row r="74" spans="1:39" ht="20" customHeight="1">
      <c r="A74" s="153" t="s">
        <v>89</v>
      </c>
      <c r="B74" s="46">
        <v>-9515</v>
      </c>
      <c r="C74" s="62"/>
      <c r="D74" s="46">
        <v>-17711</v>
      </c>
      <c r="E74" s="62"/>
      <c r="F74" s="46">
        <v>-1372</v>
      </c>
      <c r="G74" s="62"/>
      <c r="H74" s="46">
        <v>-9487</v>
      </c>
      <c r="I74" s="62"/>
      <c r="J74" s="46">
        <v>-9224</v>
      </c>
      <c r="K74" s="62"/>
      <c r="L74" s="46">
        <v>-9179</v>
      </c>
      <c r="M74" s="62"/>
      <c r="N74" s="46">
        <v>-9132</v>
      </c>
      <c r="O74" s="62"/>
      <c r="P74" s="46">
        <v>-6830</v>
      </c>
      <c r="Q74" s="62"/>
      <c r="R74" s="46">
        <v>-9441</v>
      </c>
      <c r="S74" s="62"/>
      <c r="T74" s="46">
        <v>-9541</v>
      </c>
      <c r="U74" s="62"/>
      <c r="V74" s="46">
        <v>-9725</v>
      </c>
      <c r="W74" s="62"/>
      <c r="X74" s="46">
        <v>-6862</v>
      </c>
      <c r="Y74" s="62"/>
      <c r="Z74" s="128">
        <f t="shared" si="87"/>
        <v>-108019</v>
      </c>
      <c r="AA74" s="46">
        <f t="shared" si="88"/>
        <v>-9001.5833333333339</v>
      </c>
      <c r="AB74" s="46">
        <f>IFERROR(AVERAGE(T74,V74,X74),0)</f>
        <v>-8709.3333333333339</v>
      </c>
      <c r="AC74" s="46"/>
      <c r="AD74" s="46"/>
      <c r="AE74" s="46">
        <f>IFERROR(AVERAGE(R74:V74),0)</f>
        <v>-9569</v>
      </c>
      <c r="AF74" s="46"/>
      <c r="AK74" s="56">
        <f t="shared" si="86"/>
        <v>-104512</v>
      </c>
      <c r="AL74" s="66">
        <f t="shared" si="16"/>
        <v>-8709.3333333333339</v>
      </c>
    </row>
    <row r="75" spans="1:39" ht="20" customHeight="1">
      <c r="A75" s="142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/>
      <c r="AA75" s="16"/>
      <c r="AB75" s="16"/>
      <c r="AC75" s="16"/>
      <c r="AD75" s="47"/>
      <c r="AE75" s="20"/>
      <c r="AF75" s="47"/>
      <c r="AK75" s="56"/>
      <c r="AL75" s="66"/>
    </row>
    <row r="76" spans="1:39" ht="20" customHeight="1">
      <c r="A76" s="142" t="s">
        <v>90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/>
      <c r="AA76" s="16"/>
      <c r="AB76" s="16"/>
      <c r="AC76" s="16"/>
      <c r="AD76" s="16"/>
      <c r="AE76" s="16"/>
      <c r="AF76" s="16"/>
      <c r="AK76" s="56"/>
      <c r="AL76" s="66"/>
    </row>
    <row r="77" spans="1:39" ht="20" customHeight="1">
      <c r="A77" s="142" t="s">
        <v>91</v>
      </c>
      <c r="B77" s="16"/>
      <c r="C77" s="22"/>
      <c r="D77" s="16"/>
      <c r="E77" s="22"/>
      <c r="F77" s="16"/>
      <c r="G77" s="22"/>
      <c r="H77" s="16"/>
      <c r="I77" s="22"/>
      <c r="J77" s="16"/>
      <c r="K77" s="22"/>
      <c r="L77" s="16"/>
      <c r="M77" s="22"/>
      <c r="N77" s="16"/>
      <c r="O77" s="22"/>
      <c r="P77" s="16"/>
      <c r="Q77" s="22"/>
      <c r="R77" s="16"/>
      <c r="S77" s="22"/>
      <c r="T77" s="16">
        <v>0</v>
      </c>
      <c r="U77" s="22"/>
      <c r="V77" s="16">
        <v>7562</v>
      </c>
      <c r="W77" s="22"/>
      <c r="X77" s="16"/>
      <c r="Y77" s="22"/>
      <c r="Z77">
        <f t="shared" ref="Z77:Z78" si="89">SUM(B77,D77,F77,H77,J77,L77,N77,P77,R77,T77,V77,X77)</f>
        <v>7562</v>
      </c>
      <c r="AA77" s="16">
        <f t="shared" ref="AA77:AA78" si="90">IFERROR(AVERAGE(B77,D77,F77,H77,J77,L77,N77,P77,R77,T77,V77,X77),0)</f>
        <v>3781</v>
      </c>
      <c r="AB77" s="16">
        <f>IFERROR(AVERAGE(T77,V77,X77),0)</f>
        <v>3781</v>
      </c>
      <c r="AC77" s="16"/>
      <c r="AD77" s="33"/>
      <c r="AE77" s="16">
        <f>IFERROR(AVERAGE(R77:V77),0)</f>
        <v>3781</v>
      </c>
      <c r="AF77" s="33"/>
      <c r="AK77" s="56">
        <f>SUM(T77,V77,X77)*4</f>
        <v>30248</v>
      </c>
      <c r="AL77" s="66">
        <f t="shared" si="16"/>
        <v>2520.6666666666665</v>
      </c>
    </row>
    <row r="78" spans="1:39" ht="20" customHeight="1">
      <c r="A78" s="153" t="s">
        <v>92</v>
      </c>
      <c r="B78" s="46"/>
      <c r="C78" s="62"/>
      <c r="D78" s="46"/>
      <c r="E78" s="62"/>
      <c r="F78" s="46"/>
      <c r="G78" s="62"/>
      <c r="H78" s="46"/>
      <c r="I78" s="62"/>
      <c r="J78" s="46"/>
      <c r="K78" s="62"/>
      <c r="L78" s="46"/>
      <c r="M78" s="62"/>
      <c r="N78" s="46"/>
      <c r="O78" s="62"/>
      <c r="P78" s="46"/>
      <c r="Q78" s="62"/>
      <c r="R78" s="46"/>
      <c r="S78" s="62"/>
      <c r="T78" s="46">
        <v>0</v>
      </c>
      <c r="U78" s="62"/>
      <c r="V78" s="46">
        <v>7562</v>
      </c>
      <c r="W78" s="62"/>
      <c r="X78" s="46"/>
      <c r="Y78" s="62"/>
      <c r="Z78" s="129">
        <f t="shared" si="89"/>
        <v>7562</v>
      </c>
      <c r="AA78" s="46">
        <f t="shared" si="90"/>
        <v>3781</v>
      </c>
      <c r="AB78" s="46">
        <f>IFERROR(AVERAGE(T78,V78,X78),0)</f>
        <v>3781</v>
      </c>
      <c r="AC78" s="46"/>
      <c r="AD78" s="42"/>
      <c r="AE78" s="46">
        <f>IFERROR(AVERAGE(R78:V78),0)</f>
        <v>3781</v>
      </c>
      <c r="AF78" s="42"/>
      <c r="AK78" s="56">
        <f>SUM(T78,V78,X78)*4</f>
        <v>30248</v>
      </c>
      <c r="AL78" s="66">
        <f t="shared" si="16"/>
        <v>2520.6666666666665</v>
      </c>
    </row>
    <row r="79" spans="1:39" ht="20" customHeight="1" thickBot="1">
      <c r="A79" s="142"/>
      <c r="B79" s="16"/>
      <c r="C79" s="22"/>
      <c r="D79" s="16"/>
      <c r="E79" s="22"/>
      <c r="F79" s="16"/>
      <c r="G79" s="22"/>
      <c r="H79" s="16"/>
      <c r="I79" s="22"/>
      <c r="J79" s="16"/>
      <c r="K79" s="22"/>
      <c r="L79" s="16"/>
      <c r="M79" s="22"/>
      <c r="N79" s="16"/>
      <c r="O79" s="22"/>
      <c r="P79" s="16"/>
      <c r="Q79" s="22"/>
      <c r="R79" s="16"/>
      <c r="S79" s="22"/>
      <c r="T79" s="16"/>
      <c r="U79" s="22"/>
      <c r="V79" s="16"/>
      <c r="W79" s="22"/>
      <c r="X79" s="16"/>
      <c r="Y79" s="22"/>
      <c r="Z79" s="22"/>
      <c r="AA79" s="16">
        <f>IFERROR(AVERAGE(F79,H79,J79,L79,N79,P79,R79,T79,V79,X79),0)</f>
        <v>0</v>
      </c>
      <c r="AB79" s="16">
        <f>IFERROR(AVERAGE(T79,V79,X79),0)</f>
        <v>0</v>
      </c>
      <c r="AC79" s="16"/>
      <c r="AD79" s="17"/>
      <c r="AE79" s="16"/>
      <c r="AF79" s="12"/>
      <c r="AK79" s="56"/>
      <c r="AL79" s="66"/>
    </row>
    <row r="80" spans="1:39" s="24" customFormat="1" ht="20" customHeight="1" thickTop="1" thickBot="1">
      <c r="A80" s="157" t="s">
        <v>93</v>
      </c>
      <c r="B80" s="32">
        <v>37272</v>
      </c>
      <c r="C80" s="65"/>
      <c r="D80" s="32">
        <v>-59877</v>
      </c>
      <c r="E80" s="65"/>
      <c r="F80" s="32">
        <v>8984</v>
      </c>
      <c r="G80" s="65"/>
      <c r="H80" s="32">
        <v>7747</v>
      </c>
      <c r="I80" s="65"/>
      <c r="J80" s="32">
        <v>97403</v>
      </c>
      <c r="K80" s="65"/>
      <c r="L80" s="32">
        <v>-44948</v>
      </c>
      <c r="M80" s="65"/>
      <c r="N80" s="32">
        <v>29969</v>
      </c>
      <c r="O80" s="65"/>
      <c r="P80" s="32">
        <f>+P60+P74</f>
        <v>160798</v>
      </c>
      <c r="Q80" s="65"/>
      <c r="R80" s="32">
        <f>+R60+R74</f>
        <v>81762</v>
      </c>
      <c r="S80" s="65"/>
      <c r="T80" s="32">
        <f>+T60+T74</f>
        <v>61096</v>
      </c>
      <c r="U80" s="65"/>
      <c r="V80" s="32">
        <f>+V60+V74-V78</f>
        <v>-57648</v>
      </c>
      <c r="W80" s="65"/>
      <c r="X80" s="32">
        <f>+X60+X74-X78</f>
        <v>-10185</v>
      </c>
      <c r="Y80" s="65"/>
      <c r="Z80" s="32">
        <f t="shared" ref="Z80" si="91">SUM(B80,D80,F80,H80,J80,L80,N80,P80,R80,T80,V80,X80)</f>
        <v>312373</v>
      </c>
      <c r="AA80" s="32">
        <f t="shared" ref="AA80" si="92">IFERROR(AVERAGE(B80,D80,F80,H80,J80,L80,N80,P80,R80,T80,V80,X80),0)</f>
        <v>26031.083333333332</v>
      </c>
      <c r="AB80" s="32">
        <f>IFERROR(AVERAGE(T80,V80,X80),0)</f>
        <v>-2245.6666666666665</v>
      </c>
      <c r="AC80" s="43"/>
      <c r="AD80" s="39"/>
      <c r="AE80" s="43">
        <f>IFERROR(AVERAGE(R80:V80),0)</f>
        <v>28403.333333333332</v>
      </c>
      <c r="AF80" s="39"/>
      <c r="AK80" s="56">
        <f>SUM(T80,V80,X80)*4</f>
        <v>-26948</v>
      </c>
      <c r="AL80" s="66">
        <f t="shared" si="16"/>
        <v>-2245.6666666666665</v>
      </c>
      <c r="AM80" s="135"/>
    </row>
    <row r="81" spans="1:32" ht="20" customHeight="1" thickTop="1">
      <c r="A81" s="156" t="s">
        <v>94</v>
      </c>
      <c r="B81" s="22">
        <f t="shared" ref="B81:O81" si="93">B80/B17</f>
        <v>0.1298608086685365</v>
      </c>
      <c r="C81" s="22">
        <f t="shared" si="93"/>
        <v>0</v>
      </c>
      <c r="D81" s="22">
        <f t="shared" si="93"/>
        <v>-8.9843486245965623E-2</v>
      </c>
      <c r="E81" s="22">
        <f t="shared" si="93"/>
        <v>0</v>
      </c>
      <c r="F81" s="22">
        <f t="shared" si="93"/>
        <v>2.2923805902931051E-2</v>
      </c>
      <c r="G81" s="22">
        <f t="shared" si="93"/>
        <v>0</v>
      </c>
      <c r="H81" s="22">
        <f t="shared" si="93"/>
        <v>1.3155704994311138E-2</v>
      </c>
      <c r="I81" s="22">
        <f t="shared" si="93"/>
        <v>0</v>
      </c>
      <c r="J81" s="22">
        <f t="shared" si="93"/>
        <v>9.4419806222403174E-2</v>
      </c>
      <c r="K81" s="22">
        <f t="shared" si="93"/>
        <v>0</v>
      </c>
      <c r="L81" s="22">
        <f t="shared" si="93"/>
        <v>-9.7297203690314873E-2</v>
      </c>
      <c r="M81" s="22">
        <f t="shared" si="93"/>
        <v>0</v>
      </c>
      <c r="N81" s="22">
        <f t="shared" si="93"/>
        <v>3.5279520361447624E-2</v>
      </c>
      <c r="O81" s="22">
        <f t="shared" si="93"/>
        <v>0</v>
      </c>
      <c r="P81" s="22">
        <f t="shared" ref="P81" si="94">P80/P17</f>
        <v>0.13945449026494949</v>
      </c>
      <c r="Q81" s="22">
        <f t="shared" ref="Q81" si="95">Q80/Q17</f>
        <v>0</v>
      </c>
      <c r="R81" s="22">
        <f t="shared" ref="R81" si="96">R80/R17</f>
        <v>9.1562584340000655E-2</v>
      </c>
      <c r="S81" s="22">
        <f t="shared" ref="S81" si="97">S80/S17</f>
        <v>0</v>
      </c>
      <c r="T81" s="22">
        <f t="shared" ref="T81" si="98">T80/T17</f>
        <v>8.5742995559597385E-2</v>
      </c>
      <c r="U81" s="22">
        <f t="shared" ref="U81:W81" si="99">U80/U17</f>
        <v>0</v>
      </c>
      <c r="V81" s="22">
        <f t="shared" ref="V81:X81" si="100">V80/V17</f>
        <v>-0.17047702694310632</v>
      </c>
      <c r="W81" s="22">
        <f t="shared" si="99"/>
        <v>0</v>
      </c>
      <c r="X81" s="22">
        <f t="shared" si="100"/>
        <v>-1.3279718994105291E-2</v>
      </c>
      <c r="Y81" s="22">
        <f t="shared" ref="Y81" si="101">Y80/Y17</f>
        <v>0</v>
      </c>
      <c r="Z81" s="22">
        <f t="shared" ref="Z81" si="102">Z80/Z17</f>
        <v>3.8370526726448299E-2</v>
      </c>
      <c r="AA81" s="131">
        <f>IFERROR(AVERAGE(F81,H81,J81,L81,N81,P81,R81,T81,V81,X81),0)</f>
        <v>2.0148495801811404E-2</v>
      </c>
      <c r="AB81" s="131">
        <f>AVERAGE(T81,V81,X81)</f>
        <v>-3.2671250125871409E-2</v>
      </c>
      <c r="AC81" s="12"/>
      <c r="AD81" s="33"/>
      <c r="AE81" s="12"/>
      <c r="AF81" s="33"/>
    </row>
    <row r="82" spans="1:32">
      <c r="A82" s="158"/>
      <c r="B82" s="12"/>
      <c r="C82" s="22"/>
      <c r="D82" s="12"/>
      <c r="E82" s="22"/>
      <c r="F82" s="12"/>
      <c r="G82" s="22"/>
      <c r="H82" s="12"/>
      <c r="I82" s="22"/>
      <c r="J82" s="12"/>
      <c r="K82" s="22"/>
      <c r="L82" s="12"/>
      <c r="M82" s="22"/>
      <c r="N82" s="12"/>
      <c r="O82" s="22"/>
      <c r="P82" s="12"/>
      <c r="Q82" s="22"/>
      <c r="R82" s="12"/>
      <c r="S82" s="22"/>
      <c r="T82" s="12"/>
      <c r="U82" s="22"/>
      <c r="V82" s="12"/>
      <c r="W82" s="22"/>
      <c r="X82" s="12"/>
      <c r="Y82" s="22"/>
      <c r="Z82" s="13"/>
      <c r="AA82" s="130"/>
      <c r="AB82" s="12"/>
      <c r="AC82" s="12"/>
      <c r="AD82" s="12"/>
      <c r="AE82" s="12"/>
      <c r="AF82" s="12"/>
    </row>
    <row r="83" spans="1:32">
      <c r="A83" s="158"/>
      <c r="B83" s="12"/>
      <c r="C83" s="22"/>
      <c r="D83" s="12"/>
      <c r="E83" s="22"/>
      <c r="F83" s="12"/>
      <c r="G83" s="22"/>
      <c r="H83" s="12"/>
      <c r="I83" s="22"/>
      <c r="J83" s="12"/>
      <c r="K83" s="22"/>
      <c r="L83" s="12"/>
      <c r="M83" s="22"/>
      <c r="N83" s="12"/>
      <c r="O83" s="22"/>
      <c r="P83" s="12"/>
      <c r="Q83" s="22"/>
      <c r="R83" s="12"/>
      <c r="S83" s="22"/>
      <c r="T83" s="12"/>
      <c r="U83" s="22"/>
      <c r="V83" s="12"/>
      <c r="W83" s="22"/>
      <c r="X83" s="12"/>
      <c r="Y83" s="22"/>
      <c r="Z83" s="13"/>
      <c r="AA83" s="130"/>
      <c r="AB83" s="12"/>
      <c r="AC83" s="12"/>
      <c r="AD83" s="12"/>
      <c r="AE83" s="12"/>
      <c r="AF83" s="12"/>
    </row>
    <row r="84" spans="1:32">
      <c r="A84" s="158"/>
      <c r="B84" s="12"/>
      <c r="C84" s="22"/>
      <c r="D84" s="12"/>
      <c r="E84" s="22"/>
      <c r="F84" s="12"/>
      <c r="G84" s="22"/>
      <c r="H84" s="12"/>
      <c r="I84" s="22"/>
      <c r="J84" s="12"/>
      <c r="K84" s="22"/>
      <c r="L84" s="12"/>
      <c r="M84" s="22"/>
      <c r="N84" s="12"/>
      <c r="O84" s="22"/>
      <c r="P84" s="12"/>
      <c r="Q84" s="22"/>
      <c r="R84" s="12"/>
      <c r="S84" s="22"/>
      <c r="T84" s="12"/>
      <c r="U84" s="22"/>
      <c r="V84" s="12"/>
      <c r="W84" s="22"/>
      <c r="X84" s="12"/>
      <c r="Y84" s="22"/>
      <c r="Z84" s="13"/>
      <c r="AA84" s="130"/>
      <c r="AB84" s="12"/>
      <c r="AC84" s="12"/>
      <c r="AD84" s="12"/>
      <c r="AE84" s="12"/>
      <c r="AF84" s="12"/>
    </row>
    <row r="85" spans="1:32">
      <c r="A85" s="158"/>
      <c r="B85" s="12"/>
      <c r="C85" s="22"/>
      <c r="D85" s="12"/>
      <c r="E85" s="22"/>
      <c r="F85" s="12"/>
      <c r="G85" s="22"/>
      <c r="H85" s="12"/>
      <c r="I85" s="22"/>
      <c r="J85" s="12"/>
      <c r="K85" s="22"/>
      <c r="L85" s="12"/>
      <c r="M85" s="22"/>
      <c r="N85" s="12"/>
      <c r="O85" s="22"/>
      <c r="P85" s="12"/>
      <c r="Q85" s="22"/>
      <c r="R85" s="12"/>
      <c r="S85" s="22"/>
      <c r="T85" s="12"/>
      <c r="U85" s="22"/>
      <c r="V85" s="12"/>
      <c r="W85" s="22"/>
      <c r="X85" s="12"/>
      <c r="Y85" s="22"/>
      <c r="Z85" s="13"/>
      <c r="AA85" s="130"/>
      <c r="AB85" s="12"/>
      <c r="AC85" s="12"/>
      <c r="AD85" s="12"/>
      <c r="AE85" s="12"/>
      <c r="AF85" s="12"/>
    </row>
    <row r="86" spans="1:32" ht="14">
      <c r="A86" s="138" t="s">
        <v>115</v>
      </c>
      <c r="B86" s="159">
        <v>900000</v>
      </c>
      <c r="D86" s="159">
        <v>900000</v>
      </c>
      <c r="F86" s="159">
        <v>900000</v>
      </c>
      <c r="H86" s="159">
        <v>900000</v>
      </c>
      <c r="J86" s="159">
        <v>900000</v>
      </c>
      <c r="L86" s="159">
        <v>900000</v>
      </c>
      <c r="N86" s="159">
        <v>900000</v>
      </c>
      <c r="P86" s="159">
        <v>900000</v>
      </c>
      <c r="R86" s="159">
        <v>900000</v>
      </c>
      <c r="T86" s="159">
        <v>900000</v>
      </c>
      <c r="V86" s="159">
        <v>900000</v>
      </c>
      <c r="X86" s="159">
        <v>900000</v>
      </c>
      <c r="Z86" s="3">
        <f>SUM(F86,H86,J86,L86,N86,P86,R86,T86,V86,X86)</f>
        <v>9000000</v>
      </c>
    </row>
    <row r="87" spans="1:32" ht="14">
      <c r="A87" s="138" t="s">
        <v>116</v>
      </c>
      <c r="B87" s="159">
        <f t="shared" ref="B87:P87" si="103">B17</f>
        <v>287015</v>
      </c>
      <c r="C87" s="159">
        <f t="shared" si="103"/>
        <v>1</v>
      </c>
      <c r="D87" s="159">
        <f t="shared" si="103"/>
        <v>666459</v>
      </c>
      <c r="E87" s="159">
        <f t="shared" si="103"/>
        <v>1</v>
      </c>
      <c r="F87" s="159">
        <f t="shared" si="103"/>
        <v>391907</v>
      </c>
      <c r="G87" s="159">
        <f t="shared" si="103"/>
        <v>1</v>
      </c>
      <c r="H87" s="159">
        <f t="shared" si="103"/>
        <v>588870</v>
      </c>
      <c r="I87" s="159">
        <f t="shared" si="103"/>
        <v>1</v>
      </c>
      <c r="J87" s="159">
        <f t="shared" si="103"/>
        <v>1031595</v>
      </c>
      <c r="K87" s="159">
        <f t="shared" si="103"/>
        <v>1</v>
      </c>
      <c r="L87" s="159">
        <f t="shared" si="103"/>
        <v>461966</v>
      </c>
      <c r="M87" s="159">
        <f t="shared" si="103"/>
        <v>1</v>
      </c>
      <c r="N87" s="159">
        <f t="shared" si="103"/>
        <v>849473</v>
      </c>
      <c r="O87" s="159">
        <f t="shared" si="103"/>
        <v>1</v>
      </c>
      <c r="P87" s="159">
        <f t="shared" si="103"/>
        <v>1153050</v>
      </c>
      <c r="R87" s="159">
        <f t="shared" ref="R87:X87" si="104">R17</f>
        <v>892963</v>
      </c>
      <c r="S87" s="159">
        <f t="shared" si="104"/>
        <v>1</v>
      </c>
      <c r="T87" s="159">
        <f t="shared" si="104"/>
        <v>712548</v>
      </c>
      <c r="U87" s="159">
        <f t="shared" si="104"/>
        <v>1</v>
      </c>
      <c r="V87" s="159">
        <f t="shared" si="104"/>
        <v>338157</v>
      </c>
      <c r="W87" s="159">
        <f t="shared" si="104"/>
        <v>1</v>
      </c>
      <c r="X87" s="159">
        <f t="shared" si="104"/>
        <v>766959</v>
      </c>
      <c r="Z87" s="3">
        <f t="shared" ref="Z87:Z92" si="105">SUM(F87,H87,J87,L87,N87,P87,R87,T87,V87,X87)</f>
        <v>7187488</v>
      </c>
    </row>
    <row r="88" spans="1:32" ht="14">
      <c r="A88" s="138" t="s">
        <v>117</v>
      </c>
      <c r="B88" s="159">
        <f t="shared" ref="B88:P88" si="106">B87-B86</f>
        <v>-612985</v>
      </c>
      <c r="C88" s="159">
        <f t="shared" si="106"/>
        <v>1</v>
      </c>
      <c r="D88" s="159">
        <f t="shared" si="106"/>
        <v>-233541</v>
      </c>
      <c r="E88" s="159">
        <f t="shared" si="106"/>
        <v>1</v>
      </c>
      <c r="F88" s="159">
        <f t="shared" si="106"/>
        <v>-508093</v>
      </c>
      <c r="G88" s="159">
        <f t="shared" si="106"/>
        <v>1</v>
      </c>
      <c r="H88" s="159">
        <f t="shared" si="106"/>
        <v>-311130</v>
      </c>
      <c r="I88" s="159">
        <f t="shared" si="106"/>
        <v>1</v>
      </c>
      <c r="J88" s="159">
        <f t="shared" si="106"/>
        <v>131595</v>
      </c>
      <c r="K88" s="159">
        <f t="shared" si="106"/>
        <v>1</v>
      </c>
      <c r="L88" s="159">
        <f t="shared" si="106"/>
        <v>-438034</v>
      </c>
      <c r="M88" s="159">
        <f t="shared" si="106"/>
        <v>1</v>
      </c>
      <c r="N88" s="159">
        <f t="shared" si="106"/>
        <v>-50527</v>
      </c>
      <c r="O88" s="159">
        <f t="shared" si="106"/>
        <v>1</v>
      </c>
      <c r="P88" s="159">
        <f t="shared" si="106"/>
        <v>253050</v>
      </c>
      <c r="R88" s="159">
        <f t="shared" ref="R88:X88" si="107">R87-R86</f>
        <v>-7037</v>
      </c>
      <c r="S88" s="159">
        <f t="shared" si="107"/>
        <v>1</v>
      </c>
      <c r="T88" s="159">
        <f t="shared" si="107"/>
        <v>-187452</v>
      </c>
      <c r="U88" s="159">
        <f t="shared" si="107"/>
        <v>1</v>
      </c>
      <c r="V88" s="159">
        <f t="shared" si="107"/>
        <v>-561843</v>
      </c>
      <c r="W88" s="159">
        <f t="shared" si="107"/>
        <v>1</v>
      </c>
      <c r="X88" s="159">
        <f t="shared" si="107"/>
        <v>-133041</v>
      </c>
      <c r="Z88" s="3">
        <f t="shared" si="105"/>
        <v>-1812512</v>
      </c>
    </row>
    <row r="89" spans="1:32"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R89" s="159"/>
      <c r="S89" s="159"/>
      <c r="T89" s="159"/>
      <c r="U89" s="159"/>
      <c r="V89" s="159"/>
      <c r="W89" s="159"/>
      <c r="X89" s="159"/>
    </row>
    <row r="90" spans="1:32" ht="14">
      <c r="A90" s="138" t="s">
        <v>118</v>
      </c>
    </row>
    <row r="91" spans="1:32" ht="14">
      <c r="A91" s="138" t="s">
        <v>119</v>
      </c>
      <c r="B91" s="159">
        <v>75000</v>
      </c>
      <c r="C91" s="159">
        <v>75000</v>
      </c>
      <c r="D91" s="159">
        <v>75000</v>
      </c>
      <c r="E91" s="159">
        <v>75000</v>
      </c>
      <c r="F91" s="159">
        <v>75000</v>
      </c>
      <c r="G91" s="159">
        <v>75000</v>
      </c>
      <c r="H91" s="159">
        <v>75000</v>
      </c>
      <c r="I91" s="159">
        <v>75000</v>
      </c>
      <c r="J91" s="159">
        <v>75000</v>
      </c>
      <c r="K91" s="159">
        <v>75000</v>
      </c>
      <c r="L91" s="159">
        <v>75000</v>
      </c>
      <c r="M91" s="159">
        <v>75000</v>
      </c>
      <c r="N91" s="159">
        <v>75000</v>
      </c>
      <c r="O91" s="159">
        <v>75000</v>
      </c>
      <c r="P91" s="159">
        <v>75000</v>
      </c>
      <c r="R91" s="159">
        <v>75000</v>
      </c>
      <c r="S91" s="159">
        <v>75000</v>
      </c>
      <c r="T91" s="159">
        <v>75000</v>
      </c>
      <c r="U91" s="159">
        <v>75000</v>
      </c>
      <c r="V91" s="159">
        <v>75000</v>
      </c>
      <c r="W91" s="159">
        <v>75000</v>
      </c>
      <c r="X91" s="159">
        <v>75000</v>
      </c>
      <c r="Z91" s="3">
        <f t="shared" si="105"/>
        <v>750000</v>
      </c>
    </row>
    <row r="92" spans="1:32" ht="14">
      <c r="A92" s="138" t="s">
        <v>120</v>
      </c>
      <c r="B92" s="56">
        <f t="shared" ref="B92:P92" si="108">B60</f>
        <v>17234</v>
      </c>
      <c r="C92" s="56">
        <f t="shared" si="108"/>
        <v>6.0045642213821575E-2</v>
      </c>
      <c r="D92" s="56">
        <f t="shared" si="108"/>
        <v>106627</v>
      </c>
      <c r="E92" s="56">
        <f t="shared" si="108"/>
        <v>0.15999033698997236</v>
      </c>
      <c r="F92" s="56">
        <f t="shared" si="108"/>
        <v>-35769</v>
      </c>
      <c r="G92" s="56">
        <f t="shared" si="108"/>
        <v>-9.126910210840837E-2</v>
      </c>
      <c r="H92" s="56">
        <f t="shared" si="108"/>
        <v>39101</v>
      </c>
      <c r="I92" s="56">
        <f t="shared" si="108"/>
        <v>6.6400054341365672E-2</v>
      </c>
      <c r="J92" s="56">
        <f t="shared" si="108"/>
        <v>69582</v>
      </c>
      <c r="K92" s="56">
        <f t="shared" si="108"/>
        <v>6.7450889157082E-2</v>
      </c>
      <c r="L92" s="56">
        <f t="shared" si="108"/>
        <v>-13032</v>
      </c>
      <c r="M92" s="56">
        <f t="shared" si="108"/>
        <v>-2.820986825870302E-2</v>
      </c>
      <c r="N92" s="56">
        <f t="shared" si="108"/>
        <v>36125</v>
      </c>
      <c r="O92" s="56">
        <f t="shared" si="108"/>
        <v>4.2526366347135226E-2</v>
      </c>
      <c r="P92" s="56">
        <f t="shared" si="108"/>
        <v>167628</v>
      </c>
      <c r="R92" s="56">
        <f t="shared" ref="R92:X92" si="109">R60</f>
        <v>91203</v>
      </c>
      <c r="S92" s="56">
        <f t="shared" si="109"/>
        <v>0.10213525084465985</v>
      </c>
      <c r="T92" s="56">
        <f t="shared" si="109"/>
        <v>70637</v>
      </c>
      <c r="U92" s="56">
        <f t="shared" si="109"/>
        <v>9.9132970691097305E-2</v>
      </c>
      <c r="V92" s="56">
        <f t="shared" si="109"/>
        <v>-40361</v>
      </c>
      <c r="W92" s="56">
        <f t="shared" si="109"/>
        <v>-0.11935580218655832</v>
      </c>
      <c r="X92" s="56">
        <f t="shared" si="109"/>
        <v>-3323</v>
      </c>
      <c r="Z92" s="3">
        <f t="shared" si="105"/>
        <v>381791</v>
      </c>
    </row>
    <row r="93" spans="1:32" ht="14">
      <c r="A93" s="138" t="s">
        <v>117</v>
      </c>
      <c r="B93" s="56">
        <f t="shared" ref="B93:P93" si="110">B92-B91</f>
        <v>-57766</v>
      </c>
      <c r="C93" s="56">
        <f t="shared" si="110"/>
        <v>-74999.939954357789</v>
      </c>
      <c r="D93" s="56">
        <f t="shared" si="110"/>
        <v>31627</v>
      </c>
      <c r="E93" s="56">
        <f t="shared" si="110"/>
        <v>-74999.840009663007</v>
      </c>
      <c r="F93" s="56">
        <f t="shared" si="110"/>
        <v>-110769</v>
      </c>
      <c r="G93" s="56">
        <f t="shared" si="110"/>
        <v>-75000.091269102108</v>
      </c>
      <c r="H93" s="56">
        <f t="shared" si="110"/>
        <v>-35899</v>
      </c>
      <c r="I93" s="56">
        <f t="shared" si="110"/>
        <v>-74999.933599945653</v>
      </c>
      <c r="J93" s="56">
        <f t="shared" si="110"/>
        <v>-5418</v>
      </c>
      <c r="K93" s="56">
        <f t="shared" si="110"/>
        <v>-74999.932549110847</v>
      </c>
      <c r="L93" s="56">
        <f t="shared" si="110"/>
        <v>-88032</v>
      </c>
      <c r="M93" s="56">
        <f t="shared" si="110"/>
        <v>-75000.028209868266</v>
      </c>
      <c r="N93" s="56">
        <f t="shared" si="110"/>
        <v>-38875</v>
      </c>
      <c r="O93" s="56">
        <f t="shared" si="110"/>
        <v>-74999.957473633651</v>
      </c>
      <c r="P93" s="56">
        <f t="shared" si="110"/>
        <v>92628</v>
      </c>
      <c r="R93" s="56">
        <f t="shared" ref="R93:X93" si="111">R92-R91</f>
        <v>16203</v>
      </c>
      <c r="S93" s="56">
        <f t="shared" si="111"/>
        <v>-74999.89786474916</v>
      </c>
      <c r="T93" s="56">
        <f t="shared" si="111"/>
        <v>-4363</v>
      </c>
      <c r="U93" s="56">
        <f t="shared" si="111"/>
        <v>-74999.900867029311</v>
      </c>
      <c r="V93" s="56">
        <f t="shared" si="111"/>
        <v>-115361</v>
      </c>
      <c r="W93" s="56">
        <f t="shared" si="111"/>
        <v>-75000.119355802191</v>
      </c>
      <c r="X93" s="56">
        <f t="shared" si="111"/>
        <v>-78323</v>
      </c>
      <c r="Z93" s="3">
        <f>SUM(F93,H93,J93,L93,N93,P93,R93,T93,V93,X93)</f>
        <v>-368209</v>
      </c>
    </row>
    <row r="94" spans="1:32">
      <c r="A94" s="158"/>
      <c r="B94" s="12"/>
      <c r="C94" s="22"/>
      <c r="D94" s="12"/>
      <c r="E94" s="22"/>
      <c r="F94" s="12"/>
      <c r="G94" s="22"/>
      <c r="H94" s="12"/>
      <c r="I94" s="22"/>
      <c r="J94" s="12"/>
      <c r="K94" s="22"/>
      <c r="L94" s="12"/>
      <c r="M94" s="22"/>
      <c r="N94" s="12"/>
      <c r="O94" s="22"/>
      <c r="P94" s="12"/>
      <c r="Q94" s="22"/>
      <c r="R94" s="12"/>
      <c r="S94" s="22"/>
      <c r="T94" s="12"/>
      <c r="U94" s="22"/>
      <c r="V94" s="12"/>
      <c r="W94" s="22"/>
      <c r="X94" s="12"/>
      <c r="Y94" s="22"/>
      <c r="Z94" s="13"/>
      <c r="AA94" s="130"/>
      <c r="AB94" s="12"/>
      <c r="AC94" s="12"/>
      <c r="AD94" s="12"/>
      <c r="AE94" s="12"/>
      <c r="AF94" s="12"/>
    </row>
    <row r="95" spans="1:32" ht="20" customHeight="1">
      <c r="A95" s="156" t="s">
        <v>95</v>
      </c>
      <c r="B95" s="22">
        <f t="shared" ref="B95:Q95" si="112">B29/B17</f>
        <v>0.67892967266519166</v>
      </c>
      <c r="C95" s="22">
        <f t="shared" si="112"/>
        <v>0.67892967266519166</v>
      </c>
      <c r="D95" s="22">
        <f t="shared" si="112"/>
        <v>0.44961655555705604</v>
      </c>
      <c r="E95" s="22">
        <f t="shared" si="112"/>
        <v>0.44961655555705604</v>
      </c>
      <c r="F95" s="22">
        <f t="shared" si="112"/>
        <v>0.54017662353568574</v>
      </c>
      <c r="G95" s="22">
        <f t="shared" si="112"/>
        <v>0.54017662353568574</v>
      </c>
      <c r="H95" s="22">
        <f t="shared" si="112"/>
        <v>0.40954879684820078</v>
      </c>
      <c r="I95" s="22">
        <f t="shared" si="112"/>
        <v>0.40954879684820078</v>
      </c>
      <c r="J95" s="22">
        <f t="shared" si="112"/>
        <v>0.30141092192187824</v>
      </c>
      <c r="K95" s="22">
        <f t="shared" si="112"/>
        <v>0.30141092192187824</v>
      </c>
      <c r="L95" s="22">
        <f t="shared" si="112"/>
        <v>0.44076403891195454</v>
      </c>
      <c r="M95" s="22">
        <f t="shared" si="112"/>
        <v>0.44076403891195454</v>
      </c>
      <c r="N95" s="22">
        <f t="shared" si="112"/>
        <v>0.31990775457254084</v>
      </c>
      <c r="O95" s="22">
        <f t="shared" si="112"/>
        <v>0.31990775457254084</v>
      </c>
      <c r="P95" s="22">
        <f t="shared" si="112"/>
        <v>0.36446554789471403</v>
      </c>
      <c r="Q95" s="22">
        <f t="shared" si="112"/>
        <v>0.36446554789471403</v>
      </c>
      <c r="R95" s="22">
        <f t="shared" ref="R95:Z95" si="113">R29/R17</f>
        <v>0.3385940962839446</v>
      </c>
      <c r="S95" s="22">
        <f t="shared" si="113"/>
        <v>0.3385940962839446</v>
      </c>
      <c r="T95" s="22">
        <f t="shared" si="113"/>
        <v>0.41320163694235335</v>
      </c>
      <c r="U95" s="22">
        <f t="shared" si="113"/>
        <v>0.41320163694235335</v>
      </c>
      <c r="V95" s="22">
        <f t="shared" si="113"/>
        <v>0.49452768980089129</v>
      </c>
      <c r="W95" s="22">
        <f t="shared" si="113"/>
        <v>0.49452768980089129</v>
      </c>
      <c r="X95" s="22">
        <f t="shared" si="113"/>
        <v>0.33496314666103405</v>
      </c>
      <c r="Y95" s="22">
        <f t="shared" si="113"/>
        <v>0.33496314666103405</v>
      </c>
      <c r="Z95" s="22">
        <f t="shared" si="113"/>
        <v>0.32924008243743186</v>
      </c>
      <c r="AA95" s="131">
        <f>IFERROR(AVERAGE(F95,H95,J95,L95,N95,P95,R95,T95,V95,X95),0)</f>
        <v>0.39575602533731974</v>
      </c>
      <c r="AB95" s="131">
        <f>AVERAGE(T95,V95,X95)</f>
        <v>0.41423082446809295</v>
      </c>
      <c r="AC95" s="12"/>
      <c r="AD95" s="33"/>
      <c r="AE95" s="12"/>
      <c r="AF95" s="33"/>
    </row>
    <row r="96" spans="1:32" ht="20" customHeight="1">
      <c r="A96" s="156" t="s">
        <v>79</v>
      </c>
      <c r="B96" s="22">
        <f t="shared" ref="B96:Q96" si="114">B60/B17</f>
        <v>6.0045642213821575E-2</v>
      </c>
      <c r="C96" s="22">
        <f t="shared" si="114"/>
        <v>6.0045642213821575E-2</v>
      </c>
      <c r="D96" s="22">
        <f t="shared" si="114"/>
        <v>0.15999033698997236</v>
      </c>
      <c r="E96" s="22">
        <f t="shared" si="114"/>
        <v>0.15999033698997236</v>
      </c>
      <c r="F96" s="22">
        <f t="shared" si="114"/>
        <v>-9.126910210840837E-2</v>
      </c>
      <c r="G96" s="22">
        <f t="shared" si="114"/>
        <v>-9.126910210840837E-2</v>
      </c>
      <c r="H96" s="22">
        <f t="shared" si="114"/>
        <v>6.6400054341365672E-2</v>
      </c>
      <c r="I96" s="22">
        <f t="shared" si="114"/>
        <v>6.6400054341365672E-2</v>
      </c>
      <c r="J96" s="22">
        <f t="shared" si="114"/>
        <v>6.7450889157082E-2</v>
      </c>
      <c r="K96" s="22">
        <f t="shared" si="114"/>
        <v>6.7450889157082E-2</v>
      </c>
      <c r="L96" s="22">
        <f t="shared" si="114"/>
        <v>-2.820986825870302E-2</v>
      </c>
      <c r="M96" s="22">
        <f t="shared" si="114"/>
        <v>-2.820986825870302E-2</v>
      </c>
      <c r="N96" s="22">
        <f t="shared" si="114"/>
        <v>4.2526366347135226E-2</v>
      </c>
      <c r="O96" s="22">
        <f t="shared" si="114"/>
        <v>4.2526366347135226E-2</v>
      </c>
      <c r="P96" s="22">
        <f t="shared" si="114"/>
        <v>0.14537791075842332</v>
      </c>
      <c r="Q96" s="22">
        <f t="shared" si="114"/>
        <v>0.14537791075842332</v>
      </c>
      <c r="R96" s="22">
        <f t="shared" ref="R96:Z96" si="115">R60/R17</f>
        <v>0.10213525084465985</v>
      </c>
      <c r="S96" s="22">
        <f t="shared" si="115"/>
        <v>0.10213525084465985</v>
      </c>
      <c r="T96" s="22">
        <f t="shared" si="115"/>
        <v>9.9132970691097305E-2</v>
      </c>
      <c r="U96" s="22">
        <f t="shared" si="115"/>
        <v>9.9132970691097305E-2</v>
      </c>
      <c r="V96" s="22">
        <f t="shared" si="115"/>
        <v>-0.11935580218655832</v>
      </c>
      <c r="W96" s="22">
        <f t="shared" si="115"/>
        <v>-0.11935580218655832</v>
      </c>
      <c r="X96" s="22">
        <f t="shared" si="115"/>
        <v>-4.3326957503595368E-3</v>
      </c>
      <c r="Y96" s="22">
        <f t="shared" si="115"/>
        <v>-4.3326957503595368E-3</v>
      </c>
      <c r="Z96" s="22">
        <f t="shared" si="115"/>
        <v>6.2112069802070076E-2</v>
      </c>
      <c r="AA96" s="131">
        <f t="shared" ref="AA96:AA103" si="116">IFERROR(AVERAGE(F96,H96,J96,L96,N96,P96,R96,T96,V96,X96),0)</f>
        <v>2.7985597383573407E-2</v>
      </c>
      <c r="AB96" s="131">
        <f>AVERAGE(T96,V96,X96)</f>
        <v>-8.1851757486068513E-3</v>
      </c>
      <c r="AC96" s="12"/>
      <c r="AD96" s="33"/>
      <c r="AE96" s="12"/>
      <c r="AF96" s="33"/>
    </row>
    <row r="97" spans="1:32" ht="20" customHeight="1">
      <c r="A97" s="156" t="s">
        <v>96</v>
      </c>
      <c r="B97" s="22">
        <f t="shared" ref="B97:Q97" si="117">B80/B17</f>
        <v>0.1298608086685365</v>
      </c>
      <c r="C97" s="22">
        <f t="shared" si="117"/>
        <v>0</v>
      </c>
      <c r="D97" s="22">
        <f t="shared" si="117"/>
        <v>-8.9843486245965623E-2</v>
      </c>
      <c r="E97" s="22">
        <f t="shared" si="117"/>
        <v>0</v>
      </c>
      <c r="F97" s="22">
        <f t="shared" si="117"/>
        <v>2.2923805902931051E-2</v>
      </c>
      <c r="G97" s="22">
        <f t="shared" si="117"/>
        <v>0</v>
      </c>
      <c r="H97" s="22">
        <f t="shared" si="117"/>
        <v>1.3155704994311138E-2</v>
      </c>
      <c r="I97" s="22">
        <f t="shared" si="117"/>
        <v>0</v>
      </c>
      <c r="J97" s="22">
        <f t="shared" si="117"/>
        <v>9.4419806222403174E-2</v>
      </c>
      <c r="K97" s="22">
        <f t="shared" si="117"/>
        <v>0</v>
      </c>
      <c r="L97" s="22">
        <f t="shared" si="117"/>
        <v>-9.7297203690314873E-2</v>
      </c>
      <c r="M97" s="22">
        <f t="shared" si="117"/>
        <v>0</v>
      </c>
      <c r="N97" s="22">
        <f t="shared" si="117"/>
        <v>3.5279520361447624E-2</v>
      </c>
      <c r="O97" s="22">
        <f t="shared" si="117"/>
        <v>0</v>
      </c>
      <c r="P97" s="22">
        <f t="shared" si="117"/>
        <v>0.13945449026494949</v>
      </c>
      <c r="Q97" s="22">
        <f t="shared" si="117"/>
        <v>0</v>
      </c>
      <c r="R97" s="22">
        <f t="shared" ref="R97:Z97" si="118">R80/R17</f>
        <v>9.1562584340000655E-2</v>
      </c>
      <c r="S97" s="22">
        <f t="shared" si="118"/>
        <v>0</v>
      </c>
      <c r="T97" s="22">
        <f t="shared" si="118"/>
        <v>8.5742995559597385E-2</v>
      </c>
      <c r="U97" s="22">
        <f t="shared" si="118"/>
        <v>0</v>
      </c>
      <c r="V97" s="22">
        <f t="shared" si="118"/>
        <v>-0.17047702694310632</v>
      </c>
      <c r="W97" s="22">
        <f t="shared" si="118"/>
        <v>0</v>
      </c>
      <c r="X97" s="22">
        <f t="shared" si="118"/>
        <v>-1.3279718994105291E-2</v>
      </c>
      <c r="Y97" s="22">
        <f t="shared" si="118"/>
        <v>0</v>
      </c>
      <c r="Z97" s="22">
        <f t="shared" si="118"/>
        <v>3.8370526726448299E-2</v>
      </c>
      <c r="AA97" s="131">
        <f t="shared" si="116"/>
        <v>2.0148495801811404E-2</v>
      </c>
      <c r="AB97" s="131">
        <f t="shared" ref="AB97:AB101" si="119">AVERAGE(T97,V97,X97)</f>
        <v>-3.2671250125871409E-2</v>
      </c>
      <c r="AC97" s="12"/>
      <c r="AD97" s="33"/>
      <c r="AE97" s="12"/>
      <c r="AF97" s="33"/>
    </row>
    <row r="98" spans="1:32" ht="20" customHeight="1">
      <c r="A98" s="156" t="s">
        <v>97</v>
      </c>
      <c r="B98" s="22">
        <f t="shared" ref="B98:Q98" si="120">IFERROR(B43/B17,0)</f>
        <v>0.53502081772729648</v>
      </c>
      <c r="C98" s="22">
        <f t="shared" si="120"/>
        <v>0.53502081772729648</v>
      </c>
      <c r="D98" s="22">
        <f t="shared" si="120"/>
        <v>0.24309672462972215</v>
      </c>
      <c r="E98" s="22">
        <f t="shared" si="120"/>
        <v>0.24309672462972215</v>
      </c>
      <c r="F98" s="22">
        <f t="shared" si="120"/>
        <v>0.52089143597843368</v>
      </c>
      <c r="G98" s="22">
        <f t="shared" si="120"/>
        <v>0.52089143597843368</v>
      </c>
      <c r="H98" s="22">
        <f t="shared" si="120"/>
        <v>0.2978433270501129</v>
      </c>
      <c r="I98" s="22">
        <f t="shared" si="120"/>
        <v>0.2978433270501129</v>
      </c>
      <c r="J98" s="22">
        <f t="shared" si="120"/>
        <v>0.2064754094387817</v>
      </c>
      <c r="K98" s="22">
        <f t="shared" si="120"/>
        <v>0.2064754094387817</v>
      </c>
      <c r="L98" s="22">
        <f t="shared" si="120"/>
        <v>0.42569799509054779</v>
      </c>
      <c r="M98" s="22">
        <f t="shared" si="120"/>
        <v>0.42569799509054779</v>
      </c>
      <c r="N98" s="22">
        <f t="shared" si="120"/>
        <v>0.24031487757703895</v>
      </c>
      <c r="O98" s="22">
        <f t="shared" si="120"/>
        <v>0.24031487757703895</v>
      </c>
      <c r="P98" s="22">
        <f t="shared" si="120"/>
        <v>0.19476345344954685</v>
      </c>
      <c r="Q98" s="22">
        <f t="shared" si="120"/>
        <v>0.19476345344954685</v>
      </c>
      <c r="R98" s="22">
        <f t="shared" ref="R98:Z98" si="121">IFERROR(R43/R17,0)</f>
        <v>0.19166079669594374</v>
      </c>
      <c r="S98" s="22">
        <f t="shared" si="121"/>
        <v>0.19166079669594374</v>
      </c>
      <c r="T98" s="22">
        <f t="shared" si="121"/>
        <v>0.26147712154128566</v>
      </c>
      <c r="U98" s="22">
        <f t="shared" si="121"/>
        <v>0.26147712154128566</v>
      </c>
      <c r="V98" s="22">
        <f t="shared" si="121"/>
        <v>0.47030521325893004</v>
      </c>
      <c r="W98" s="22">
        <f t="shared" si="121"/>
        <v>0.47030521325893004</v>
      </c>
      <c r="X98" s="22">
        <f t="shared" si="121"/>
        <v>0.29817369637751173</v>
      </c>
      <c r="Y98" s="22">
        <f t="shared" si="121"/>
        <v>0.29817369637751173</v>
      </c>
      <c r="Z98" s="22">
        <f t="shared" si="121"/>
        <v>0.27990058177399674</v>
      </c>
      <c r="AA98" s="131">
        <f t="shared" si="116"/>
        <v>0.31076033264581332</v>
      </c>
      <c r="AB98" s="131">
        <f t="shared" si="119"/>
        <v>0.34331867705924246</v>
      </c>
      <c r="AC98" s="12"/>
      <c r="AD98" s="33"/>
      <c r="AE98" s="12"/>
      <c r="AF98" s="33"/>
    </row>
    <row r="99" spans="1:32" ht="20" customHeight="1">
      <c r="A99" s="156" t="s">
        <v>98</v>
      </c>
      <c r="B99" s="22">
        <f t="shared" ref="B99:Q99" si="122">IFERROR(B43/SUM(B9,B10,B11,B12),0)</f>
        <v>0.74561663324415273</v>
      </c>
      <c r="C99" s="22">
        <f t="shared" si="122"/>
        <v>0.74561663324415273</v>
      </c>
      <c r="D99" s="22">
        <f t="shared" si="122"/>
        <v>0.728447461894699</v>
      </c>
      <c r="E99" s="22">
        <f t="shared" si="122"/>
        <v>0.72844746189469889</v>
      </c>
      <c r="F99" s="22">
        <f t="shared" si="122"/>
        <v>0.85532743956089996</v>
      </c>
      <c r="G99" s="22">
        <f t="shared" si="122"/>
        <v>0.85532743956089996</v>
      </c>
      <c r="H99" s="22">
        <f t="shared" si="122"/>
        <v>0.96223288986421618</v>
      </c>
      <c r="I99" s="22">
        <f t="shared" si="122"/>
        <v>0.96223288986421607</v>
      </c>
      <c r="J99" s="22">
        <f t="shared" si="122"/>
        <v>1.1066147819491059</v>
      </c>
      <c r="K99" s="22">
        <f t="shared" si="122"/>
        <v>1.1066147819491059</v>
      </c>
      <c r="L99" s="22">
        <f t="shared" si="122"/>
        <v>1.1893797816686322</v>
      </c>
      <c r="M99" s="22">
        <f t="shared" si="122"/>
        <v>1.1893797816686325</v>
      </c>
      <c r="N99" s="22">
        <f t="shared" si="122"/>
        <v>1.0402036167968571</v>
      </c>
      <c r="O99" s="22">
        <f t="shared" si="122"/>
        <v>1.0402036167968571</v>
      </c>
      <c r="P99" s="22">
        <f t="shared" si="122"/>
        <v>0.92851295366779407</v>
      </c>
      <c r="Q99" s="22">
        <f t="shared" si="122"/>
        <v>0.92851295366779396</v>
      </c>
      <c r="R99" s="22">
        <f t="shared" ref="R99:Z99" si="123">IFERROR(R43/SUM(R9,R10,R11,R12),0)</f>
        <v>0.88788935234182076</v>
      </c>
      <c r="S99" s="22">
        <f t="shared" si="123"/>
        <v>0.88788935234182076</v>
      </c>
      <c r="T99" s="22">
        <f t="shared" si="123"/>
        <v>0.9066511596219915</v>
      </c>
      <c r="U99" s="22">
        <f t="shared" si="123"/>
        <v>0.9066511596219915</v>
      </c>
      <c r="V99" s="22">
        <f t="shared" si="123"/>
        <v>1.1188914998100437</v>
      </c>
      <c r="W99" s="22">
        <f t="shared" si="123"/>
        <v>1.1188914998100439</v>
      </c>
      <c r="X99" s="22">
        <f t="shared" si="123"/>
        <v>1.3903128533735394</v>
      </c>
      <c r="Y99" s="22">
        <f t="shared" si="123"/>
        <v>1.3903128533735396</v>
      </c>
      <c r="Z99" s="22">
        <f t="shared" si="123"/>
        <v>0.96959386720156182</v>
      </c>
      <c r="AA99" s="131">
        <f t="shared" si="116"/>
        <v>1.0386016328654901</v>
      </c>
      <c r="AB99" s="131">
        <f t="shared" si="119"/>
        <v>1.1386185042685248</v>
      </c>
      <c r="AC99" s="12"/>
      <c r="AD99" s="33"/>
      <c r="AE99" s="12"/>
      <c r="AF99" s="33"/>
    </row>
    <row r="100" spans="1:32" ht="20" customHeight="1">
      <c r="A100" s="156" t="s">
        <v>99</v>
      </c>
      <c r="B100" s="22">
        <f t="shared" ref="B100:Q100" si="124">IFERROR(B43/(SUM(B9,B10,B11,B12)+(B13+B14-B25-B26)),0)</f>
        <v>0.70563880579182692</v>
      </c>
      <c r="C100" s="22">
        <f t="shared" si="124"/>
        <v>0.70563880579182692</v>
      </c>
      <c r="D100" s="22">
        <f t="shared" si="124"/>
        <v>0.49428871288578646</v>
      </c>
      <c r="E100" s="22">
        <f t="shared" si="124"/>
        <v>0.49428871288578646</v>
      </c>
      <c r="F100" s="22">
        <f t="shared" si="124"/>
        <v>0.77527001777332183</v>
      </c>
      <c r="G100" s="22">
        <f t="shared" si="124"/>
        <v>0.77527001777332183</v>
      </c>
      <c r="H100" s="22">
        <f t="shared" si="124"/>
        <v>0.69505825473567406</v>
      </c>
      <c r="I100" s="22">
        <f t="shared" si="124"/>
        <v>0.69505825473567395</v>
      </c>
      <c r="J100" s="22">
        <f t="shared" si="124"/>
        <v>0.65747737402921314</v>
      </c>
      <c r="K100" s="22">
        <f t="shared" si="124"/>
        <v>0.65747737402921314</v>
      </c>
      <c r="L100" s="22">
        <f t="shared" si="124"/>
        <v>0.92586768610760628</v>
      </c>
      <c r="M100" s="22">
        <f t="shared" si="124"/>
        <v>0.92586768610760617</v>
      </c>
      <c r="N100" s="22">
        <f t="shared" si="124"/>
        <v>0.72380928743391826</v>
      </c>
      <c r="O100" s="22">
        <f t="shared" si="124"/>
        <v>0.72380928743391815</v>
      </c>
      <c r="P100" s="22">
        <f t="shared" si="124"/>
        <v>0.51295685919794243</v>
      </c>
      <c r="Q100" s="22">
        <f t="shared" si="124"/>
        <v>0.51295685919794254</v>
      </c>
      <c r="R100" s="22">
        <f t="shared" ref="R100:Z100" si="125">IFERROR(R43/(SUM(R9,R10,R11,R12)+(R13+R14-R25-R26)),0)</f>
        <v>0.5550345060190951</v>
      </c>
      <c r="S100" s="22">
        <f t="shared" si="125"/>
        <v>0.55503450601909499</v>
      </c>
      <c r="T100" s="22">
        <f t="shared" si="125"/>
        <v>0.61188799705739394</v>
      </c>
      <c r="U100" s="22">
        <f t="shared" si="125"/>
        <v>0.61188799705739405</v>
      </c>
      <c r="V100" s="22">
        <f t="shared" si="125"/>
        <v>0.9029164797856214</v>
      </c>
      <c r="W100" s="22">
        <f t="shared" si="125"/>
        <v>0.9029164797856214</v>
      </c>
      <c r="X100" s="22">
        <f t="shared" si="125"/>
        <v>0.86782636414348979</v>
      </c>
      <c r="Y100" s="22">
        <f t="shared" si="125"/>
        <v>0.86782636414348979</v>
      </c>
      <c r="Z100" s="22">
        <f t="shared" si="125"/>
        <v>0.60316604867553669</v>
      </c>
      <c r="AA100" s="131">
        <f t="shared" si="116"/>
        <v>0.7228104826283277</v>
      </c>
      <c r="AB100" s="131">
        <f t="shared" si="119"/>
        <v>0.79421028032883501</v>
      </c>
      <c r="AC100" s="12"/>
      <c r="AD100" s="33"/>
      <c r="AE100" s="12"/>
      <c r="AF100" s="33"/>
    </row>
    <row r="101" spans="1:32" ht="20" customHeight="1">
      <c r="A101" s="156" t="s">
        <v>100</v>
      </c>
      <c r="B101" s="22">
        <f t="shared" ref="B101:E101" si="126">(B14-B26)/B14</f>
        <v>0.15373892877408532</v>
      </c>
      <c r="C101" s="22">
        <f t="shared" si="126"/>
        <v>0.15373892877408527</v>
      </c>
      <c r="D101" s="22">
        <f t="shared" si="126"/>
        <v>0.24089572546032723</v>
      </c>
      <c r="E101" s="22">
        <f t="shared" si="126"/>
        <v>0.24089572546032725</v>
      </c>
      <c r="F101" s="22">
        <f>IFERROR(F44/(SUM(F10,F11,F12,F13)+(F14+F15-F26-F27)),0)</f>
        <v>0</v>
      </c>
      <c r="G101" s="22">
        <f t="shared" ref="G101:Q101" si="127">(G14-G26)/G14</f>
        <v>0.16063488747135371</v>
      </c>
      <c r="H101" s="22">
        <f t="shared" si="127"/>
        <v>0.17245468531192679</v>
      </c>
      <c r="I101" s="22">
        <f t="shared" si="127"/>
        <v>0.17245468531192687</v>
      </c>
      <c r="J101" s="22">
        <f t="shared" si="127"/>
        <v>0.156695669376261</v>
      </c>
      <c r="K101" s="22">
        <f t="shared" si="127"/>
        <v>0.156695669376261</v>
      </c>
      <c r="L101" s="22">
        <f t="shared" si="127"/>
        <v>0.15865026414178363</v>
      </c>
      <c r="M101" s="22">
        <f t="shared" si="127"/>
        <v>0.15865026414178374</v>
      </c>
      <c r="N101" s="22">
        <f t="shared" si="127"/>
        <v>0.13133360480816628</v>
      </c>
      <c r="O101" s="22">
        <f t="shared" si="127"/>
        <v>0.1313336048081663</v>
      </c>
      <c r="P101" s="22">
        <f t="shared" si="127"/>
        <v>0.2150346580508084</v>
      </c>
      <c r="Q101" s="22">
        <f t="shared" si="127"/>
        <v>0.21503465805080832</v>
      </c>
      <c r="R101" s="22">
        <f t="shared" ref="R101:Z101" si="128">(R14-R26)/R14</f>
        <v>0.16478937535276694</v>
      </c>
      <c r="S101" s="22">
        <f t="shared" si="128"/>
        <v>0.16478937535276691</v>
      </c>
      <c r="T101" s="22">
        <f t="shared" si="128"/>
        <v>0.19697494746920763</v>
      </c>
      <c r="U101" s="22">
        <f t="shared" si="128"/>
        <v>0.19697494746920755</v>
      </c>
      <c r="V101" s="22">
        <f t="shared" si="128"/>
        <v>0.17935775406210941</v>
      </c>
      <c r="W101" s="22">
        <f t="shared" si="128"/>
        <v>0.17935775406210935</v>
      </c>
      <c r="X101" s="22">
        <f t="shared" si="128"/>
        <v>0.16552085622981588</v>
      </c>
      <c r="Y101" s="22">
        <f t="shared" si="128"/>
        <v>0.16552085622981594</v>
      </c>
      <c r="Z101" s="22">
        <f t="shared" si="128"/>
        <v>0.24732882350586585</v>
      </c>
      <c r="AA101" s="131">
        <f t="shared" si="116"/>
        <v>0.1540811814802846</v>
      </c>
      <c r="AB101" s="131">
        <f t="shared" si="119"/>
        <v>0.18061785258704433</v>
      </c>
      <c r="AC101" s="12"/>
      <c r="AD101" s="33"/>
      <c r="AE101" s="12"/>
      <c r="AF101" s="33"/>
    </row>
    <row r="102" spans="1:32" ht="20" customHeight="1">
      <c r="A102" s="156" t="s">
        <v>101</v>
      </c>
      <c r="B102" s="23">
        <f t="shared" ref="B102:Q102" si="129">B14-B26</f>
        <v>12463</v>
      </c>
      <c r="C102" s="23">
        <f t="shared" si="129"/>
        <v>4.3422817622772308E-2</v>
      </c>
      <c r="D102" s="23">
        <f t="shared" si="129"/>
        <v>106586</v>
      </c>
      <c r="E102" s="23">
        <f t="shared" si="129"/>
        <v>0.15992881782675306</v>
      </c>
      <c r="F102" s="23">
        <f t="shared" si="129"/>
        <v>24603</v>
      </c>
      <c r="G102" s="23">
        <f t="shared" si="129"/>
        <v>6.2777648778919504E-2</v>
      </c>
      <c r="H102" s="23">
        <f t="shared" si="129"/>
        <v>69949</v>
      </c>
      <c r="I102" s="23">
        <f t="shared" si="129"/>
        <v>0.11878513084381959</v>
      </c>
      <c r="J102" s="23">
        <f t="shared" si="129"/>
        <v>131486</v>
      </c>
      <c r="K102" s="23">
        <f t="shared" si="129"/>
        <v>0.12745893495024696</v>
      </c>
      <c r="L102" s="23">
        <f t="shared" si="129"/>
        <v>47059</v>
      </c>
      <c r="M102" s="23">
        <f t="shared" si="129"/>
        <v>0.10186680405051463</v>
      </c>
      <c r="N102" s="23">
        <f t="shared" si="129"/>
        <v>85790</v>
      </c>
      <c r="O102" s="23">
        <f t="shared" si="129"/>
        <v>0.10099202682133512</v>
      </c>
      <c r="P102" s="23">
        <f t="shared" si="129"/>
        <v>195937</v>
      </c>
      <c r="Q102" s="23">
        <f t="shared" si="129"/>
        <v>0.16992931789601484</v>
      </c>
      <c r="R102" s="23">
        <f t="shared" ref="R102:Z102" si="130">R14-R26</f>
        <v>112988</v>
      </c>
      <c r="S102" s="23">
        <f t="shared" si="130"/>
        <v>0.12653155841843389</v>
      </c>
      <c r="T102" s="23">
        <f t="shared" si="130"/>
        <v>98336</v>
      </c>
      <c r="U102" s="23">
        <f t="shared" si="130"/>
        <v>0.13800614134065348</v>
      </c>
      <c r="V102" s="23">
        <f t="shared" si="130"/>
        <v>33579</v>
      </c>
      <c r="W102" s="23">
        <f t="shared" si="130"/>
        <v>9.9300029276342017E-2</v>
      </c>
      <c r="X102" s="23">
        <f t="shared" si="130"/>
        <v>97894</v>
      </c>
      <c r="Y102" s="23">
        <f t="shared" si="130"/>
        <v>0.1276391567215458</v>
      </c>
      <c r="Z102" s="23">
        <f t="shared" si="130"/>
        <v>1421144</v>
      </c>
      <c r="AA102" s="16">
        <f t="shared" si="116"/>
        <v>89762.1</v>
      </c>
      <c r="AB102" s="23">
        <f>AVERAGE(T102,V102,X102)</f>
        <v>76603</v>
      </c>
      <c r="AC102" s="12"/>
      <c r="AD102" s="33"/>
      <c r="AE102" s="12"/>
      <c r="AF102" s="33"/>
    </row>
    <row r="103" spans="1:32">
      <c r="A103" s="156" t="s">
        <v>102</v>
      </c>
      <c r="B103" s="2">
        <f t="shared" ref="B103:Q103" si="131">B14/B17</f>
        <v>0.28244516837099104</v>
      </c>
      <c r="C103" s="2">
        <f t="shared" si="131"/>
        <v>0.28244516837099104</v>
      </c>
      <c r="D103" s="2">
        <f t="shared" si="131"/>
        <v>0.66389230245221387</v>
      </c>
      <c r="E103" s="2">
        <f t="shared" si="131"/>
        <v>0.66389230245221387</v>
      </c>
      <c r="F103" s="2">
        <f t="shared" si="131"/>
        <v>0.39080955430752706</v>
      </c>
      <c r="G103" s="2">
        <f t="shared" si="131"/>
        <v>0.39080955430752706</v>
      </c>
      <c r="H103" s="2">
        <f t="shared" si="131"/>
        <v>0.68879039516361851</v>
      </c>
      <c r="I103" s="2">
        <f t="shared" si="131"/>
        <v>0.68879039516361851</v>
      </c>
      <c r="J103" s="2">
        <f t="shared" si="131"/>
        <v>0.81341708713206251</v>
      </c>
      <c r="K103" s="2">
        <f t="shared" si="131"/>
        <v>0.81341708713206251</v>
      </c>
      <c r="L103" s="2">
        <f t="shared" si="131"/>
        <v>0.64208404947550257</v>
      </c>
      <c r="M103" s="2">
        <f t="shared" si="131"/>
        <v>0.64208404947550257</v>
      </c>
      <c r="N103" s="2">
        <f t="shared" si="131"/>
        <v>0.76897323399331119</v>
      </c>
      <c r="O103" s="2">
        <f t="shared" si="131"/>
        <v>0.76897323399331119</v>
      </c>
      <c r="P103" s="2">
        <f t="shared" si="131"/>
        <v>0.79024153332466063</v>
      </c>
      <c r="Q103" s="2">
        <f t="shared" si="131"/>
        <v>0.79024153332466063</v>
      </c>
      <c r="R103" s="2">
        <f t="shared" ref="R103:Z103" si="132">R14/R17</f>
        <v>0.76783808511662854</v>
      </c>
      <c r="S103" s="2">
        <f t="shared" si="132"/>
        <v>0.76783808511662854</v>
      </c>
      <c r="T103" s="2">
        <f t="shared" si="132"/>
        <v>0.70062788752477023</v>
      </c>
      <c r="U103" s="2">
        <f t="shared" si="132"/>
        <v>0.70062788752477023</v>
      </c>
      <c r="V103" s="2">
        <f t="shared" si="132"/>
        <v>0.55364224310009846</v>
      </c>
      <c r="W103" s="2">
        <f t="shared" si="132"/>
        <v>0.55364224310009846</v>
      </c>
      <c r="X103" s="2">
        <f t="shared" si="132"/>
        <v>0.7711363971216193</v>
      </c>
      <c r="Y103" s="2">
        <f t="shared" si="132"/>
        <v>0.7711363971216193</v>
      </c>
      <c r="Z103" s="2">
        <f t="shared" si="132"/>
        <v>0.70580970651871366</v>
      </c>
      <c r="AA103" s="131">
        <f t="shared" si="116"/>
        <v>0.68875604662597989</v>
      </c>
      <c r="AB103" s="131">
        <f t="shared" ref="AB103" si="133">AVERAGE(T103,V103,X103)</f>
        <v>0.67513550924882937</v>
      </c>
    </row>
    <row r="106" spans="1:32">
      <c r="A106" s="156" t="s">
        <v>121</v>
      </c>
    </row>
    <row r="107" spans="1:32">
      <c r="A107" s="156" t="s">
        <v>122</v>
      </c>
    </row>
    <row r="108" spans="1:32">
      <c r="A108" s="156" t="s">
        <v>123</v>
      </c>
    </row>
    <row r="109" spans="1:32">
      <c r="A109" s="156" t="s">
        <v>124</v>
      </c>
    </row>
    <row r="111" spans="1:32">
      <c r="A111" s="156" t="s">
        <v>125</v>
      </c>
    </row>
    <row r="112" spans="1:32">
      <c r="A112" s="156" t="s">
        <v>126</v>
      </c>
      <c r="B112" s="56">
        <f t="shared" ref="B112:P112" si="134">SUM(B9:B11,B15)</f>
        <v>146184</v>
      </c>
      <c r="C112" s="56">
        <f t="shared" si="134"/>
        <v>0.50932529658728631</v>
      </c>
      <c r="D112" s="56">
        <f t="shared" si="134"/>
        <v>109320</v>
      </c>
      <c r="E112" s="56">
        <f t="shared" si="134"/>
        <v>0.16403109568630628</v>
      </c>
      <c r="F112" s="56">
        <f t="shared" si="134"/>
        <v>165874</v>
      </c>
      <c r="G112" s="56">
        <f t="shared" si="134"/>
        <v>0.42324837270066623</v>
      </c>
      <c r="H112" s="56">
        <f t="shared" si="134"/>
        <v>170541</v>
      </c>
      <c r="I112" s="56">
        <f t="shared" si="134"/>
        <v>0.28960721381629223</v>
      </c>
      <c r="J112" s="56">
        <f t="shared" si="134"/>
        <v>111872</v>
      </c>
      <c r="K112" s="56">
        <f t="shared" si="134"/>
        <v>0.10844565939152477</v>
      </c>
      <c r="L112" s="56">
        <f t="shared" si="134"/>
        <v>123078</v>
      </c>
      <c r="M112" s="56">
        <f t="shared" si="134"/>
        <v>0.26642220423148022</v>
      </c>
      <c r="N112" s="56">
        <f t="shared" si="134"/>
        <v>103339</v>
      </c>
      <c r="O112" s="56">
        <f t="shared" si="134"/>
        <v>0.12165071756253583</v>
      </c>
      <c r="P112" s="56">
        <f t="shared" si="134"/>
        <v>133366</v>
      </c>
      <c r="R112" s="56">
        <f t="shared" ref="R112:X112" si="135">SUM(R9:R11,R15)</f>
        <v>125917</v>
      </c>
      <c r="S112" s="56">
        <f t="shared" si="135"/>
        <v>0.14101032181624548</v>
      </c>
      <c r="T112" s="56">
        <f t="shared" si="135"/>
        <v>140361</v>
      </c>
      <c r="U112" s="56">
        <f t="shared" si="135"/>
        <v>0.19698462419373855</v>
      </c>
      <c r="V112" s="56">
        <f t="shared" si="135"/>
        <v>137874</v>
      </c>
      <c r="W112" s="56">
        <f t="shared" si="135"/>
        <v>0.40772185700724811</v>
      </c>
      <c r="X112" s="56">
        <f t="shared" si="135"/>
        <v>141954</v>
      </c>
      <c r="Z112" s="3">
        <f>SUM(F112:V112)</f>
        <v>1212223.5473691139</v>
      </c>
    </row>
    <row r="113" spans="1:27">
      <c r="A113" s="1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R113" s="56"/>
      <c r="S113" s="56"/>
      <c r="T113" s="56"/>
      <c r="U113" s="56"/>
      <c r="V113" s="56"/>
      <c r="W113" s="56"/>
      <c r="X113" s="56"/>
      <c r="Z113" s="3">
        <f t="shared" ref="Z113:Z114" si="136">SUM(F113:V113)</f>
        <v>0</v>
      </c>
    </row>
    <row r="114" spans="1:27">
      <c r="A114" s="156" t="s">
        <v>127</v>
      </c>
      <c r="B114" s="56">
        <f t="shared" ref="B114:P114" si="137">B23+B22+B21+B39+B41+B43+B45+B52+B57</f>
        <v>200383</v>
      </c>
      <c r="C114" s="56">
        <f t="shared" si="137"/>
        <v>0.69816211696252795</v>
      </c>
      <c r="D114" s="56">
        <f t="shared" si="137"/>
        <v>220203</v>
      </c>
      <c r="E114" s="56">
        <f t="shared" si="137"/>
        <v>0.33040742191192557</v>
      </c>
      <c r="F114" s="56">
        <f t="shared" si="137"/>
        <v>297945</v>
      </c>
      <c r="G114" s="56">
        <f t="shared" si="137"/>
        <v>0.76024413955351666</v>
      </c>
      <c r="H114" s="56">
        <f t="shared" si="137"/>
        <v>213239</v>
      </c>
      <c r="I114" s="56">
        <f t="shared" si="137"/>
        <v>0.36211557729210181</v>
      </c>
      <c r="J114" s="56">
        <f t="shared" si="137"/>
        <v>254382</v>
      </c>
      <c r="K114" s="56">
        <f t="shared" si="137"/>
        <v>0.24659095866110248</v>
      </c>
      <c r="L114" s="56">
        <f t="shared" si="137"/>
        <v>226317</v>
      </c>
      <c r="M114" s="56">
        <f t="shared" si="137"/>
        <v>0.48989968958754543</v>
      </c>
      <c r="N114" s="56">
        <f t="shared" si="137"/>
        <v>239396</v>
      </c>
      <c r="O114" s="56">
        <f t="shared" si="137"/>
        <v>0.28181707953048535</v>
      </c>
      <c r="P114" s="56">
        <f t="shared" si="137"/>
        <v>269646</v>
      </c>
      <c r="Q114" s="56">
        <f>Q23+Q22+Q21+Q39+Q41+Q43+Q45+Q52+Q57</f>
        <v>0.23385455964615584</v>
      </c>
      <c r="R114" s="56">
        <f t="shared" ref="R114:X114" si="138">R23+R22+R21+R39+R41+R43+R45+R52+R57</f>
        <v>220327</v>
      </c>
      <c r="S114" s="56">
        <f t="shared" si="138"/>
        <v>0.24673698686283757</v>
      </c>
      <c r="T114" s="56">
        <f t="shared" si="138"/>
        <v>239689</v>
      </c>
      <c r="U114" s="56">
        <f t="shared" si="138"/>
        <v>0.33638295244671235</v>
      </c>
      <c r="V114" s="56">
        <f t="shared" si="138"/>
        <v>221833</v>
      </c>
      <c r="W114" s="56">
        <f t="shared" si="138"/>
        <v>0.65600593807018637</v>
      </c>
      <c r="X114" s="56">
        <f t="shared" si="138"/>
        <v>275457</v>
      </c>
      <c r="Y114" s="56">
        <f>Y23+Y22+Y21+Y39+Y41+Y43+Y45+Y52+Y57</f>
        <v>0.35915479184676108</v>
      </c>
      <c r="Z114" s="3">
        <f t="shared" si="136"/>
        <v>2182776.9576419434</v>
      </c>
    </row>
    <row r="115" spans="1:27">
      <c r="A115" s="156" t="s">
        <v>128</v>
      </c>
      <c r="B115" s="56">
        <f t="shared" ref="B115" si="139">B112-B114</f>
        <v>-54199</v>
      </c>
      <c r="D115" s="56">
        <f t="shared" ref="D115" si="140">D112-D114</f>
        <v>-110883</v>
      </c>
      <c r="F115" s="56">
        <f t="shared" ref="F115" si="141">F112-F114</f>
        <v>-132071</v>
      </c>
      <c r="H115" s="56">
        <f t="shared" ref="H115" si="142">H112-H114</f>
        <v>-42698</v>
      </c>
      <c r="J115" s="56">
        <f t="shared" ref="J115" si="143">J112-J114</f>
        <v>-142510</v>
      </c>
      <c r="L115" s="56">
        <f t="shared" ref="L115" si="144">L112-L114</f>
        <v>-103239</v>
      </c>
      <c r="N115" s="56">
        <f t="shared" ref="N115" si="145">N112-N114</f>
        <v>-136057</v>
      </c>
      <c r="P115" s="56">
        <f>SUM(P11:P13,P17)</f>
        <v>1273437</v>
      </c>
      <c r="R115" s="56">
        <f t="shared" ref="R115:V115" si="146">R112-R114</f>
        <v>-94410</v>
      </c>
      <c r="T115" s="56">
        <f t="shared" si="146"/>
        <v>-99328</v>
      </c>
      <c r="V115" s="56">
        <f t="shared" si="146"/>
        <v>-83959</v>
      </c>
      <c r="X115" s="56">
        <f>SUM(X11:X13,X17)</f>
        <v>818521</v>
      </c>
      <c r="Z115" s="70">
        <f>Z112-Z114</f>
        <v>-970553.41027282947</v>
      </c>
    </row>
    <row r="116" spans="1:27">
      <c r="A116" s="156" t="s">
        <v>129</v>
      </c>
      <c r="B116" s="66">
        <f t="shared" ref="B116" si="147">B115/0.15</f>
        <v>-361326.66666666669</v>
      </c>
      <c r="D116" s="66">
        <f t="shared" ref="D116" si="148">D115/0.15</f>
        <v>-739220</v>
      </c>
      <c r="F116" s="66">
        <f t="shared" ref="F116" si="149">F115/0.15</f>
        <v>-880473.33333333337</v>
      </c>
      <c r="H116" s="66">
        <f t="shared" ref="H116" si="150">H115/0.15</f>
        <v>-284653.33333333337</v>
      </c>
      <c r="J116" s="66">
        <f t="shared" ref="J116" si="151">J115/0.15</f>
        <v>-950066.66666666674</v>
      </c>
      <c r="L116" s="66">
        <f t="shared" ref="L116" si="152">L115/0.15</f>
        <v>-688260</v>
      </c>
      <c r="N116" s="66">
        <f t="shared" ref="N116" si="153">N115/0.15</f>
        <v>-907046.66666666674</v>
      </c>
      <c r="P116" s="56">
        <f>SUM(P12:P14,P18)</f>
        <v>1019684</v>
      </c>
      <c r="R116" s="66">
        <f t="shared" ref="R116:V116" si="154">R115/0.15</f>
        <v>-629400</v>
      </c>
      <c r="T116" s="66">
        <f t="shared" si="154"/>
        <v>-662186.66666666674</v>
      </c>
      <c r="V116" s="66">
        <f t="shared" si="154"/>
        <v>-559726.66666666674</v>
      </c>
      <c r="X116" s="56">
        <f>SUM(X12:X14,X18)</f>
        <v>625005</v>
      </c>
    </row>
    <row r="117" spans="1:27">
      <c r="A117" s="156"/>
      <c r="B117" s="66"/>
      <c r="D117" s="66"/>
      <c r="F117" s="66"/>
      <c r="H117" s="66"/>
      <c r="J117" s="66"/>
      <c r="L117" s="66"/>
      <c r="N117" s="66"/>
      <c r="P117" s="56"/>
      <c r="R117" s="66"/>
      <c r="T117" s="66"/>
      <c r="V117" s="66"/>
      <c r="X117" s="56"/>
    </row>
    <row r="118" spans="1:27">
      <c r="A118" s="156" t="s">
        <v>130</v>
      </c>
      <c r="P118" s="3"/>
      <c r="X118" s="3"/>
    </row>
    <row r="119" spans="1:27">
      <c r="A119" s="156" t="s">
        <v>131</v>
      </c>
    </row>
    <row r="120" spans="1:27">
      <c r="A120" s="156" t="s">
        <v>132</v>
      </c>
    </row>
    <row r="121" spans="1:27">
      <c r="A121" s="156" t="s">
        <v>133</v>
      </c>
    </row>
    <row r="124" spans="1:27">
      <c r="A124" s="156" t="s">
        <v>134</v>
      </c>
      <c r="B124" s="5" t="e">
        <f>#REF!-#REF!</f>
        <v>#REF!</v>
      </c>
      <c r="C124" s="4"/>
      <c r="D124" s="5">
        <f>B60-B115</f>
        <v>71433</v>
      </c>
      <c r="E124" s="4"/>
      <c r="F124" s="5">
        <f>D60-D115</f>
        <v>217510</v>
      </c>
      <c r="G124" s="4"/>
      <c r="H124" s="5">
        <f>F60-F115</f>
        <v>96302</v>
      </c>
      <c r="I124" s="4"/>
      <c r="J124" s="5">
        <f>H60-H115</f>
        <v>81799</v>
      </c>
      <c r="K124" s="4"/>
      <c r="L124" s="5">
        <f>J60-J115</f>
        <v>212092</v>
      </c>
      <c r="M124" s="4"/>
      <c r="N124" s="5">
        <f>L60-L115</f>
        <v>90207</v>
      </c>
      <c r="O124" s="4"/>
      <c r="P124" s="5">
        <f>N60-N115</f>
        <v>172182</v>
      </c>
      <c r="Q124" s="4"/>
      <c r="R124" s="5">
        <f>P60-P115</f>
        <v>-1105809</v>
      </c>
      <c r="S124" s="4"/>
      <c r="T124" s="5">
        <f>R60-R115</f>
        <v>185613</v>
      </c>
      <c r="U124" s="4"/>
      <c r="V124" s="5">
        <f>T60-T115</f>
        <v>169965</v>
      </c>
      <c r="W124" s="4"/>
      <c r="X124" s="5">
        <f>V60-V115</f>
        <v>43598</v>
      </c>
      <c r="Y124" s="4"/>
      <c r="Z124" s="3">
        <f>Z60-Z115</f>
        <v>1476205.4102728295</v>
      </c>
      <c r="AA124" t="s">
        <v>135</v>
      </c>
    </row>
    <row r="125" spans="1:27">
      <c r="A125" s="156" t="s">
        <v>136</v>
      </c>
      <c r="B125" s="5" t="e">
        <f>#REF!</f>
        <v>#REF!</v>
      </c>
      <c r="C125" s="4"/>
      <c r="D125" s="5">
        <f>B12</f>
        <v>59765</v>
      </c>
      <c r="E125" s="4"/>
      <c r="F125" s="5">
        <f>D12</f>
        <v>113090</v>
      </c>
      <c r="G125" s="4"/>
      <c r="H125" s="5">
        <f>F12</f>
        <v>72796</v>
      </c>
      <c r="I125" s="4"/>
      <c r="J125" s="5">
        <f>H12</f>
        <v>11734</v>
      </c>
      <c r="K125" s="4"/>
      <c r="L125" s="5">
        <f>J12</f>
        <v>80606</v>
      </c>
      <c r="M125" s="4"/>
      <c r="N125" s="5">
        <f>L12</f>
        <v>42267</v>
      </c>
      <c r="O125" s="4"/>
      <c r="P125" s="5">
        <f>N12</f>
        <v>92912</v>
      </c>
      <c r="Q125" s="4"/>
      <c r="R125" s="5">
        <f>P12</f>
        <v>108496</v>
      </c>
      <c r="S125" s="4"/>
      <c r="T125" s="5">
        <f>R12</f>
        <v>75466</v>
      </c>
      <c r="U125" s="4"/>
      <c r="V125" s="5">
        <f>T12</f>
        <v>71848</v>
      </c>
      <c r="W125" s="4"/>
      <c r="X125" s="5">
        <f>V12</f>
        <v>11245</v>
      </c>
      <c r="Y125" s="4"/>
      <c r="Z125" s="3">
        <f>Z12</f>
        <v>771373</v>
      </c>
      <c r="AA125" t="s">
        <v>137</v>
      </c>
    </row>
    <row r="126" spans="1:27">
      <c r="A126" s="156" t="s">
        <v>138</v>
      </c>
      <c r="B126" s="5" t="e">
        <f t="shared" ref="B126" si="155">B124-B125</f>
        <v>#REF!</v>
      </c>
      <c r="C126" s="4"/>
      <c r="D126" s="5">
        <f t="shared" ref="D126" si="156">D124-D125</f>
        <v>11668</v>
      </c>
      <c r="E126" s="4"/>
      <c r="F126" s="5">
        <f t="shared" ref="F126" si="157">F124-F125</f>
        <v>104420</v>
      </c>
      <c r="G126" s="4"/>
      <c r="H126" s="5">
        <f t="shared" ref="H126" si="158">H124-H125</f>
        <v>23506</v>
      </c>
      <c r="I126" s="4"/>
      <c r="J126" s="5">
        <f t="shared" ref="J126" si="159">J124-J125</f>
        <v>70065</v>
      </c>
      <c r="K126" s="4"/>
      <c r="L126" s="5">
        <f t="shared" ref="L126" si="160">L124-L125</f>
        <v>131486</v>
      </c>
      <c r="M126" s="4"/>
      <c r="N126" s="5">
        <f t="shared" ref="N126" si="161">N124-N125</f>
        <v>47940</v>
      </c>
      <c r="O126" s="4"/>
      <c r="P126" s="5">
        <f t="shared" ref="P126" si="162">P124-P125</f>
        <v>79270</v>
      </c>
      <c r="Q126" s="4"/>
      <c r="R126" s="5">
        <f t="shared" ref="R126:X126" si="163">R124-R125</f>
        <v>-1214305</v>
      </c>
      <c r="S126" s="4"/>
      <c r="T126" s="5">
        <f t="shared" si="163"/>
        <v>110147</v>
      </c>
      <c r="U126" s="4"/>
      <c r="V126" s="5">
        <f t="shared" si="163"/>
        <v>98117</v>
      </c>
      <c r="W126" s="4"/>
      <c r="X126" s="5">
        <f t="shared" si="163"/>
        <v>32353</v>
      </c>
      <c r="Y126" s="4"/>
      <c r="Z126" s="3">
        <f>Z124-Z125</f>
        <v>704832.41027282947</v>
      </c>
      <c r="AA126" t="s">
        <v>139</v>
      </c>
    </row>
    <row r="128" spans="1:27">
      <c r="A128" s="156" t="s">
        <v>140</v>
      </c>
    </row>
    <row r="131" spans="1:39" ht="14">
      <c r="A131" s="138" t="s">
        <v>141</v>
      </c>
    </row>
    <row r="132" spans="1:39" ht="14">
      <c r="A132" s="138" t="s">
        <v>142</v>
      </c>
    </row>
    <row r="136" spans="1:39" ht="14">
      <c r="A136" s="138" t="s">
        <v>143</v>
      </c>
      <c r="B136" t="s">
        <v>144</v>
      </c>
      <c r="D136" t="s">
        <v>145</v>
      </c>
    </row>
    <row r="137" spans="1:39" ht="14">
      <c r="A137" s="138" t="s">
        <v>146</v>
      </c>
      <c r="B137" s="123">
        <v>250000</v>
      </c>
      <c r="C137" s="124"/>
      <c r="D137" s="123">
        <f>B137*12</f>
        <v>3000000</v>
      </c>
    </row>
    <row r="138" spans="1:39" s="2" customFormat="1" ht="14">
      <c r="A138" s="138" t="s">
        <v>113</v>
      </c>
      <c r="B138" s="123">
        <v>75000</v>
      </c>
      <c r="C138" s="124"/>
      <c r="D138" s="123">
        <f>B138*12</f>
        <v>900000</v>
      </c>
      <c r="F138"/>
      <c r="H138"/>
      <c r="J138"/>
      <c r="L138"/>
      <c r="N138"/>
      <c r="P138"/>
      <c r="R138"/>
      <c r="T138"/>
      <c r="V138"/>
      <c r="X138"/>
      <c r="Z138" s="3"/>
      <c r="AA138"/>
      <c r="AB138"/>
      <c r="AC138"/>
      <c r="AD138"/>
      <c r="AE138"/>
      <c r="AF138"/>
      <c r="AG138"/>
      <c r="AH138"/>
      <c r="AI138"/>
      <c r="AJ138"/>
      <c r="AK138"/>
      <c r="AL138"/>
      <c r="AM138" s="126"/>
    </row>
    <row r="139" spans="1:39" s="2" customFormat="1">
      <c r="A139" s="138"/>
      <c r="B139" s="123">
        <f>SUM(B137:B138)</f>
        <v>325000</v>
      </c>
      <c r="C139" s="123">
        <f t="shared" ref="C139:D139" si="164">SUM(C137:C138)</f>
        <v>0</v>
      </c>
      <c r="D139" s="123">
        <f t="shared" si="164"/>
        <v>3900000</v>
      </c>
      <c r="F139"/>
      <c r="H139"/>
      <c r="J139"/>
      <c r="L139"/>
      <c r="N139"/>
      <c r="P139"/>
      <c r="R139"/>
      <c r="T139"/>
      <c r="V139"/>
      <c r="X139"/>
      <c r="Z139" s="3"/>
      <c r="AA139"/>
      <c r="AB139"/>
      <c r="AC139"/>
      <c r="AD139"/>
      <c r="AE139"/>
      <c r="AF139"/>
      <c r="AG139"/>
      <c r="AH139"/>
      <c r="AI139"/>
      <c r="AJ139"/>
      <c r="AK139"/>
      <c r="AL139"/>
      <c r="AM139" s="126"/>
    </row>
    <row r="140" spans="1:39" s="2" customFormat="1" ht="14">
      <c r="A140" s="138" t="s">
        <v>147</v>
      </c>
      <c r="B140"/>
      <c r="D140"/>
      <c r="F140"/>
      <c r="H140"/>
      <c r="J140"/>
      <c r="L140"/>
      <c r="N140"/>
      <c r="P140"/>
      <c r="R140"/>
      <c r="T140"/>
      <c r="V140"/>
      <c r="X140"/>
      <c r="Z140" s="3"/>
      <c r="AA140"/>
      <c r="AB140"/>
      <c r="AC140"/>
      <c r="AD140"/>
      <c r="AE140"/>
      <c r="AF140"/>
      <c r="AG140"/>
      <c r="AH140"/>
      <c r="AI140"/>
      <c r="AJ140"/>
      <c r="AK140"/>
      <c r="AL140"/>
      <c r="AM140" s="126"/>
    </row>
    <row r="141" spans="1:39" s="2" customFormat="1" ht="14">
      <c r="A141" s="138" t="s">
        <v>148</v>
      </c>
      <c r="B141"/>
      <c r="D141"/>
      <c r="F141"/>
      <c r="H141"/>
      <c r="J141"/>
      <c r="L141"/>
      <c r="N141"/>
      <c r="P141"/>
      <c r="R141"/>
      <c r="T141"/>
      <c r="V141"/>
      <c r="X141"/>
      <c r="Z141" s="3"/>
      <c r="AA141"/>
      <c r="AB141"/>
      <c r="AC141"/>
      <c r="AD141"/>
      <c r="AE141"/>
      <c r="AF141"/>
      <c r="AG141"/>
      <c r="AH141"/>
      <c r="AI141"/>
      <c r="AJ141"/>
      <c r="AK141"/>
      <c r="AL141"/>
      <c r="AM141" s="126"/>
    </row>
    <row r="144" spans="1:39" s="2" customFormat="1" ht="14">
      <c r="A144" s="138" t="s">
        <v>149</v>
      </c>
      <c r="B144"/>
      <c r="D144"/>
      <c r="F144"/>
      <c r="H144"/>
      <c r="J144"/>
      <c r="L144"/>
      <c r="N144"/>
      <c r="P144"/>
      <c r="R144"/>
      <c r="T144"/>
      <c r="V144"/>
      <c r="X144"/>
      <c r="Z144" s="3"/>
      <c r="AA144"/>
      <c r="AB144"/>
      <c r="AC144"/>
      <c r="AD144"/>
      <c r="AE144"/>
      <c r="AF144"/>
      <c r="AG144"/>
      <c r="AH144"/>
      <c r="AI144"/>
      <c r="AJ144"/>
      <c r="AK144"/>
      <c r="AL144"/>
      <c r="AM144" s="126"/>
    </row>
    <row r="145" spans="1:39" s="2" customFormat="1" ht="42">
      <c r="A145" s="138" t="s">
        <v>150</v>
      </c>
      <c r="B145"/>
      <c r="D145"/>
      <c r="F145"/>
      <c r="H145"/>
      <c r="J145"/>
      <c r="L145"/>
      <c r="N145"/>
      <c r="P145"/>
      <c r="R145"/>
      <c r="T145"/>
      <c r="V145"/>
      <c r="X145"/>
      <c r="Z145" s="3"/>
      <c r="AA145"/>
      <c r="AB145"/>
      <c r="AC145"/>
      <c r="AD145"/>
      <c r="AE145"/>
      <c r="AF145"/>
      <c r="AG145"/>
      <c r="AH145"/>
      <c r="AI145"/>
      <c r="AJ145"/>
      <c r="AK145"/>
      <c r="AL145"/>
      <c r="AM145" s="126"/>
    </row>
    <row r="147" spans="1:39" s="2" customFormat="1" ht="14">
      <c r="A147" s="138" t="s">
        <v>151</v>
      </c>
      <c r="B147"/>
      <c r="D147"/>
      <c r="F147"/>
      <c r="H147"/>
      <c r="J147"/>
      <c r="L147"/>
      <c r="N147"/>
      <c r="P147"/>
      <c r="R147"/>
      <c r="T147"/>
      <c r="V147"/>
      <c r="X147"/>
      <c r="Z147" s="3"/>
      <c r="AA147"/>
      <c r="AB147"/>
      <c r="AC147"/>
      <c r="AD147"/>
      <c r="AE147"/>
      <c r="AF147"/>
      <c r="AG147"/>
      <c r="AH147"/>
      <c r="AI147"/>
      <c r="AJ147"/>
      <c r="AK147"/>
      <c r="AL147"/>
      <c r="AM147" s="126"/>
    </row>
    <row r="148" spans="1:39" s="2" customFormat="1" ht="14">
      <c r="A148" s="138" t="s">
        <v>152</v>
      </c>
      <c r="B148"/>
      <c r="D148"/>
      <c r="F148"/>
      <c r="H148"/>
      <c r="J148"/>
      <c r="L148"/>
      <c r="N148"/>
      <c r="P148"/>
      <c r="R148"/>
      <c r="T148"/>
      <c r="V148"/>
      <c r="X148"/>
      <c r="Z148" s="3"/>
      <c r="AA148"/>
      <c r="AB148"/>
      <c r="AC148"/>
      <c r="AD148"/>
      <c r="AE148"/>
      <c r="AF148"/>
      <c r="AG148"/>
      <c r="AH148"/>
      <c r="AI148"/>
      <c r="AJ148"/>
      <c r="AK148"/>
      <c r="AL148"/>
      <c r="AM148" s="126"/>
    </row>
  </sheetData>
  <conditionalFormatting sqref="C61">
    <cfRule type="colorScale" priority="10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23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E61">
    <cfRule type="colorScale" priority="9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22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G61">
    <cfRule type="colorScale" priority="8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21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I61">
    <cfRule type="colorScale" priority="7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20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K61">
    <cfRule type="colorScale" priority="6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19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M61">
    <cfRule type="colorScale" priority="5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18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O61">
    <cfRule type="colorScale" priority="4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17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Q61">
    <cfRule type="colorScale" priority="3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16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S61">
    <cfRule type="colorScale" priority="2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15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U61">
    <cfRule type="colorScale" priority="1">
      <colorScale>
        <cfvo type="percent" val="10"/>
        <cfvo type="percent" val="15"/>
        <cfvo type="percent" val="20"/>
        <color rgb="FFF8696B"/>
        <color rgb="FFFFEB84"/>
        <color rgb="FF63BE7B"/>
      </colorScale>
    </cfRule>
    <cfRule type="colorScale" priority="14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W61">
    <cfRule type="colorScale" priority="13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Y61">
    <cfRule type="colorScale" priority="12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Z61">
    <cfRule type="colorScale" priority="11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K11 AK23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C7EB2A1E-A585-4E43-9CC3-073545878B5A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Ohio!R80:V80</xm:f>
              <xm:sqref>AF80</xm:sqref>
            </x14:sparkline>
            <x14:sparkline>
              <xm:f>Ohio!R29:V29</xm:f>
              <xm:sqref>AF29</xm:sqref>
            </x14:sparkline>
            <x14:sparkline>
              <xm:f>Ohio!R17:V17</xm:f>
              <xm:sqref>AF17</xm:sqref>
            </x14:sparkline>
            <x14:sparkline>
              <xm:f>Ohio!R9:V9</xm:f>
              <xm:sqref>AF9</xm:sqref>
            </x14:sparkline>
            <x14:sparkline>
              <xm:f>Ohio!R12:V12</xm:f>
              <xm:sqref>AF12</xm:sqref>
            </x14:sparkline>
            <x14:sparkline>
              <xm:f>Ohio!R10:V10</xm:f>
              <xm:sqref>AF10</xm:sqref>
            </x14:sparkline>
            <x14:sparkline>
              <xm:f>Ohio!R11:V11</xm:f>
              <xm:sqref>AF11</xm:sqref>
            </x14:sparkline>
            <x14:sparkline>
              <xm:f>Ohio!R15:V15</xm:f>
              <xm:sqref>AF15</xm:sqref>
            </x14:sparkline>
            <x14:sparkline>
              <xm:f>Ohio!R14:V14</xm:f>
              <xm:sqref>AF14</xm:sqref>
            </x14:sparkline>
            <x14:sparkline>
              <xm:f>Ohio!R13:V13</xm:f>
              <xm:sqref>AF13</xm:sqref>
            </x14:sparkline>
            <x14:sparkline>
              <xm:f>Ohio!R65:V65</xm:f>
              <xm:sqref>AF65</xm:sqref>
            </x14:sparkline>
            <x14:sparkline>
              <xm:f>Ohio!R66:V66</xm:f>
              <xm:sqref>AF66</xm:sqref>
            </x14:sparkline>
            <x14:sparkline>
              <xm:f>Ohio!R67:V67</xm:f>
              <xm:sqref>AF67</xm:sqref>
            </x14:sparkline>
            <x14:sparkline>
              <xm:f>Ohio!R68:V68</xm:f>
              <xm:sqref>AF68</xm:sqref>
            </x14:sparkline>
            <x14:sparkline>
              <xm:f>Ohio!R60:V60</xm:f>
              <xm:sqref>AF60</xm:sqref>
            </x14:sparkline>
            <x14:sparkline>
              <xm:f>Ohio!R16:V16</xm:f>
              <xm:sqref>AF16</xm:sqref>
            </x14:sparkline>
            <x14:sparkline>
              <xm:f>Ohio!T95:X95</xm:f>
              <xm:sqref>AF95</xm:sqref>
            </x14:sparkline>
            <x14:sparkline>
              <xm:f>Ohio!T96:X96</xm:f>
              <xm:sqref>AF96</xm:sqref>
            </x14:sparkline>
            <x14:sparkline>
              <xm:f>Ohio!T97:X97</xm:f>
              <xm:sqref>AF97</xm:sqref>
            </x14:sparkline>
            <x14:sparkline>
              <xm:f>Ohio!T98:X98</xm:f>
              <xm:sqref>AF98</xm:sqref>
            </x14:sparkline>
            <x14:sparkline>
              <xm:f>Ohio!T99:X99</xm:f>
              <xm:sqref>AF99</xm:sqref>
            </x14:sparkline>
            <x14:sparkline>
              <xm:f>Ohio!T100:X100</xm:f>
              <xm:sqref>AF100</xm:sqref>
            </x14:sparkline>
            <x14:sparkline>
              <xm:f>Ohio!T101:X101</xm:f>
              <xm:sqref>AF101</xm:sqref>
            </x14:sparkline>
            <x14:sparkline>
              <xm:f>Ohio!T102:X102</xm:f>
              <xm:sqref>AF102</xm:sqref>
            </x14:sparkline>
          </x14:sparklines>
        </x14:sparklineGroup>
        <x14:sparklineGroup lineWeight="1" displayEmptyCellsAs="gap" high="1" low="1" xr2:uid="{BAA1C40C-75AA-4940-A3E5-70344CE97063}">
          <x14:colorSeries theme="9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FF0000"/>
          <x14:colorLow rgb="FF00B050"/>
          <x14:sparklines>
            <x14:sparkline>
              <xm:f>Ohio!R70:V70</xm:f>
              <xm:sqref>AF70</xm:sqref>
            </x14:sparkline>
            <x14:sparkline>
              <xm:f>Ohio!R25:V25</xm:f>
              <xm:sqref>AF25</xm:sqref>
            </x14:sparkline>
            <x14:sparkline>
              <xm:f>Ohio!R26:V26</xm:f>
              <xm:sqref>AF26</xm:sqref>
            </x14:sparkline>
            <x14:sparkline>
              <xm:f>Ohio!R22:V22</xm:f>
              <xm:sqref>AF22</xm:sqref>
            </x14:sparkline>
            <x14:sparkline>
              <xm:f>Ohio!R23:V23</xm:f>
              <xm:sqref>AF23</xm:sqref>
            </x14:sparkline>
            <x14:sparkline>
              <xm:f>Ohio!R24:V24</xm:f>
              <xm:sqref>AF24</xm:sqref>
            </x14:sparkline>
            <x14:sparkline>
              <xm:f>Ohio!R21:V21</xm:f>
              <xm:sqref>AF21</xm:sqref>
            </x14:sparkline>
            <x14:sparkline>
              <xm:f>Ohio!R27:V27</xm:f>
              <xm:sqref>AF27</xm:sqref>
            </x14:sparkline>
            <x14:sparkline>
              <xm:f>Ohio!R34:V34</xm:f>
              <xm:sqref>AF34</xm:sqref>
            </x14:sparkline>
            <x14:sparkline>
              <xm:f>Ohio!R35:V35</xm:f>
              <xm:sqref>AF35</xm:sqref>
            </x14:sparkline>
            <x14:sparkline>
              <xm:f>Ohio!R36:V36</xm:f>
              <xm:sqref>AF36</xm:sqref>
            </x14:sparkline>
            <x14:sparkline>
              <xm:f>Ohio!R37:V37</xm:f>
              <xm:sqref>AF37</xm:sqref>
            </x14:sparkline>
            <x14:sparkline>
              <xm:f>Ohio!R38:V38</xm:f>
              <xm:sqref>AF38</xm:sqref>
            </x14:sparkline>
            <x14:sparkline>
              <xm:f>Ohio!R39:V39</xm:f>
              <xm:sqref>AF39</xm:sqref>
            </x14:sparkline>
            <x14:sparkline>
              <xm:f>Ohio!R40:V40</xm:f>
              <xm:sqref>AF40</xm:sqref>
            </x14:sparkline>
            <x14:sparkline>
              <xm:f>Ohio!R41:V41</xm:f>
              <xm:sqref>AF41</xm:sqref>
            </x14:sparkline>
            <x14:sparkline>
              <xm:f>Ohio!R42:V42</xm:f>
              <xm:sqref>AF42</xm:sqref>
            </x14:sparkline>
            <x14:sparkline>
              <xm:f>Ohio!R43:V43</xm:f>
              <xm:sqref>AF43</xm:sqref>
            </x14:sparkline>
            <x14:sparkline>
              <xm:f>Ohio!R44:V44</xm:f>
              <xm:sqref>AF44</xm:sqref>
            </x14:sparkline>
            <x14:sparkline>
              <xm:f>Ohio!R45:V45</xm:f>
              <xm:sqref>AF45</xm:sqref>
            </x14:sparkline>
            <x14:sparkline>
              <xm:f>Ohio!R46:V46</xm:f>
              <xm:sqref>AF46</xm:sqref>
            </x14:sparkline>
            <x14:sparkline>
              <xm:f>Ohio!R48:V48</xm:f>
              <xm:sqref>AF48</xm:sqref>
            </x14:sparkline>
            <x14:sparkline>
              <xm:f>Ohio!R49:V49</xm:f>
              <xm:sqref>AF49</xm:sqref>
            </x14:sparkline>
            <x14:sparkline>
              <xm:f>Ohio!R50:V50</xm:f>
              <xm:sqref>AF50</xm:sqref>
            </x14:sparkline>
            <x14:sparkline>
              <xm:f>Ohio!R51:V51</xm:f>
              <xm:sqref>AF51</xm:sqref>
            </x14:sparkline>
            <x14:sparkline>
              <xm:f>Ohio!R52:V52</xm:f>
              <xm:sqref>AF52</xm:sqref>
            </x14:sparkline>
            <x14:sparkline>
              <xm:f>Ohio!R53:V53</xm:f>
              <xm:sqref>AF53</xm:sqref>
            </x14:sparkline>
            <x14:sparkline>
              <xm:f>Ohio!R55:V55</xm:f>
              <xm:sqref>AF55</xm:sqref>
            </x14:sparkline>
            <x14:sparkline>
              <xm:f>Ohio!R56:V56</xm:f>
              <xm:sqref>AF56</xm:sqref>
            </x14:sparkline>
            <x14:sparkline>
              <xm:f>Ohio!R57:V57</xm:f>
              <xm:sqref>AF57</xm:sqref>
            </x14:sparkline>
            <x14:sparkline>
              <xm:f>Ohio!R58:V58</xm:f>
              <xm:sqref>AF58</xm:sqref>
            </x14:sparkline>
            <x14:sparkline>
              <xm:f>Ohio!R71:V71</xm:f>
              <xm:sqref>AF71</xm:sqref>
            </x14:sparkline>
            <x14:sparkline>
              <xm:f>Ohio!R72:V72</xm:f>
              <xm:sqref>AF72</xm:sqref>
            </x14:sparkline>
            <x14:sparkline>
              <xm:f>Ohio!R73:V73</xm:f>
              <xm:sqref>AF73</xm:sqref>
            </x14:sparkline>
            <x14:sparkline>
              <xm:f>Ohio!R74:V74</xm:f>
              <xm:sqref>AF74</xm:sqref>
            </x14:sparkline>
            <x14:sparkline>
              <xm:f>Ohio!R75:V75</xm:f>
              <xm:sqref>AF75</xm:sqref>
            </x14:sparkline>
            <x14:sparkline>
              <xm:f>Ohio!R76:V76</xm:f>
              <xm:sqref>AF76</xm:sqref>
            </x14:sparkline>
            <x14:sparkline>
              <xm:f>Ohio!R77:V77</xm:f>
              <xm:sqref>AF77</xm:sqref>
            </x14:sparkline>
            <x14:sparkline>
              <xm:f>Ohio!R78:V78</xm:f>
              <xm:sqref>AF78</xm:sqref>
            </x14:sparkline>
          </x14:sparklines>
        </x14:sparklineGroup>
        <x14:sparklineGroup lineWeight="1" displayEmptyCellsAs="gap" high="1" low="1" xr2:uid="{49A5939D-41A5-486B-B38F-0AC0D0B90147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Ohio!H102:X102</xm:f>
              <xm:sqref>AD102</xm:sqref>
            </x14:sparkline>
            <x14:sparkline>
              <xm:f>Ohio!F9:X9</xm:f>
              <xm:sqref>AD9</xm:sqref>
            </x14:sparkline>
            <x14:sparkline>
              <xm:f>Ohio!F29:X29</xm:f>
              <xm:sqref>AD29</xm:sqref>
            </x14:sparkline>
            <x14:sparkline>
              <xm:f>Ohio!F60:V60</xm:f>
              <xm:sqref>AD60</xm:sqref>
            </x14:sparkline>
            <x14:sparkline>
              <xm:f>Ohio!F65:V65</xm:f>
              <xm:sqref>AD65</xm:sqref>
            </x14:sparkline>
            <x14:sparkline>
              <xm:f>Ohio!F66:V66</xm:f>
              <xm:sqref>AD66</xm:sqref>
            </x14:sparkline>
            <x14:sparkline>
              <xm:f>Ohio!F67:V67</xm:f>
              <xm:sqref>AD67</xm:sqref>
            </x14:sparkline>
            <x14:sparkline>
              <xm:f>Ohio!F68:V68</xm:f>
              <xm:sqref>AD68</xm:sqref>
            </x14:sparkline>
            <x14:sparkline>
              <xm:f>Ohio!F80:V80</xm:f>
              <xm:sqref>AD80</xm:sqref>
            </x14:sparkline>
            <x14:sparkline>
              <xm:f>Ohio!H95:X95</xm:f>
              <xm:sqref>AD95</xm:sqref>
            </x14:sparkline>
            <x14:sparkline>
              <xm:f>Ohio!H96:X96</xm:f>
              <xm:sqref>AD96</xm:sqref>
            </x14:sparkline>
            <x14:sparkline>
              <xm:f>Ohio!H97:X97</xm:f>
              <xm:sqref>AD97</xm:sqref>
            </x14:sparkline>
            <x14:sparkline>
              <xm:f>Ohio!H98:X98</xm:f>
              <xm:sqref>AD98</xm:sqref>
            </x14:sparkline>
            <x14:sparkline>
              <xm:f>Ohio!H99:X99</xm:f>
              <xm:sqref>AD99</xm:sqref>
            </x14:sparkline>
            <x14:sparkline>
              <xm:f>Ohio!H100:X100</xm:f>
              <xm:sqref>AD100</xm:sqref>
            </x14:sparkline>
            <x14:sparkline>
              <xm:f>Ohio!H101:X101</xm:f>
              <xm:sqref>AD101</xm:sqref>
            </x14:sparkline>
            <x14:sparkline>
              <xm:f>Ohio!F10:X10</xm:f>
              <xm:sqref>AD10</xm:sqref>
            </x14:sparkline>
            <x14:sparkline>
              <xm:f>Ohio!F11:X11</xm:f>
              <xm:sqref>AD11</xm:sqref>
            </x14:sparkline>
            <x14:sparkline>
              <xm:f>Ohio!F12:X12</xm:f>
              <xm:sqref>AD12</xm:sqref>
            </x14:sparkline>
            <x14:sparkline>
              <xm:f>Ohio!F13:X13</xm:f>
              <xm:sqref>AD13</xm:sqref>
            </x14:sparkline>
            <x14:sparkline>
              <xm:f>Ohio!F14:X14</xm:f>
              <xm:sqref>AD14</xm:sqref>
            </x14:sparkline>
            <x14:sparkline>
              <xm:f>Ohio!F15:X15</xm:f>
              <xm:sqref>AD15</xm:sqref>
            </x14:sparkline>
            <x14:sparkline>
              <xm:f>Ohio!F16:X16</xm:f>
              <xm:sqref>AD16</xm:sqref>
            </x14:sparkline>
            <x14:sparkline>
              <xm:f>Ohio!F17:X17</xm:f>
              <xm:sqref>AD17</xm:sqref>
            </x14:sparkline>
          </x14:sparklines>
        </x14:sparklineGroup>
        <x14:sparklineGroup lineWeight="1" displayEmptyCellsAs="gap" high="1" low="1" xr2:uid="{164A81EE-6120-4B8F-BA9B-2253AF8ED267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50"/>
          <x14:sparklines>
            <x14:sparkline>
              <xm:f>Ohio!F21:X21</xm:f>
              <xm:sqref>AD21</xm:sqref>
            </x14:sparkline>
            <x14:sparkline>
              <xm:f>Ohio!F27:X27</xm:f>
              <xm:sqref>AD27</xm:sqref>
            </x14:sparkline>
            <x14:sparkline>
              <xm:f>Ohio!F34:X34</xm:f>
              <xm:sqref>AD34</xm:sqref>
            </x14:sparkline>
            <x14:sparkline>
              <xm:f>Ohio!F40:V40</xm:f>
              <xm:sqref>AD40</xm:sqref>
            </x14:sparkline>
            <x14:sparkline>
              <xm:f>Ohio!F41:X41</xm:f>
              <xm:sqref>AD41</xm:sqref>
            </x14:sparkline>
            <x14:sparkline>
              <xm:f>Ohio!F42:V42</xm:f>
              <xm:sqref>AD42</xm:sqref>
            </x14:sparkline>
            <x14:sparkline>
              <xm:f>Ohio!F43:V43</xm:f>
              <xm:sqref>AD43</xm:sqref>
            </x14:sparkline>
            <x14:sparkline>
              <xm:f>Ohio!F44:V44</xm:f>
              <xm:sqref>AD44</xm:sqref>
            </x14:sparkline>
            <x14:sparkline>
              <xm:f>Ohio!F45:V45</xm:f>
              <xm:sqref>AD45</xm:sqref>
            </x14:sparkline>
            <x14:sparkline>
              <xm:f>Ohio!F46:V46</xm:f>
              <xm:sqref>AD46</xm:sqref>
            </x14:sparkline>
            <x14:sparkline>
              <xm:f>Ohio!F48:X48</xm:f>
              <xm:sqref>AD48</xm:sqref>
            </x14:sparkline>
            <x14:sparkline>
              <xm:f>Ohio!F55:X55</xm:f>
              <xm:sqref>AD55</xm:sqref>
            </x14:sparkline>
            <x14:sparkline>
              <xm:f>Ohio!F56:V56</xm:f>
              <xm:sqref>AD56</xm:sqref>
            </x14:sparkline>
            <x14:sparkline>
              <xm:f>Ohio!F57:V57</xm:f>
              <xm:sqref>AD57</xm:sqref>
            </x14:sparkline>
            <x14:sparkline>
              <xm:f>Ohio!F58:V58</xm:f>
              <xm:sqref>AD58</xm:sqref>
            </x14:sparkline>
            <x14:sparkline>
              <xm:f>Ohio!F70:V70</xm:f>
              <xm:sqref>AD70</xm:sqref>
            </x14:sparkline>
            <x14:sparkline>
              <xm:f>Ohio!F71:V71</xm:f>
              <xm:sqref>AD71</xm:sqref>
            </x14:sparkline>
            <x14:sparkline>
              <xm:f>Ohio!F72:V72</xm:f>
              <xm:sqref>AD72</xm:sqref>
            </x14:sparkline>
            <x14:sparkline>
              <xm:f>Ohio!F73:V73</xm:f>
              <xm:sqref>AD73</xm:sqref>
            </x14:sparkline>
            <x14:sparkline>
              <xm:f>Ohio!F74:V74</xm:f>
              <xm:sqref>AD74</xm:sqref>
            </x14:sparkline>
            <x14:sparkline>
              <xm:f>Ohio!F75:V75</xm:f>
              <xm:sqref>AD75</xm:sqref>
            </x14:sparkline>
            <x14:sparkline>
              <xm:f>Ohio!F76:V76</xm:f>
              <xm:sqref>AD76</xm:sqref>
            </x14:sparkline>
            <x14:sparkline>
              <xm:f>Ohio!F77:V77</xm:f>
              <xm:sqref>AD77</xm:sqref>
            </x14:sparkline>
            <x14:sparkline>
              <xm:f>Ohio!F78:V78</xm:f>
              <xm:sqref>AD78</xm:sqref>
            </x14:sparkline>
            <x14:sparkline>
              <xm:f>Ohio!F22:X22</xm:f>
              <xm:sqref>AD22</xm:sqref>
            </x14:sparkline>
            <x14:sparkline>
              <xm:f>Ohio!F23:X23</xm:f>
              <xm:sqref>AD23</xm:sqref>
            </x14:sparkline>
            <x14:sparkline>
              <xm:f>Ohio!F24:X24</xm:f>
              <xm:sqref>AD24</xm:sqref>
            </x14:sparkline>
            <x14:sparkline>
              <xm:f>Ohio!F25:X25</xm:f>
              <xm:sqref>AD25</xm:sqref>
            </x14:sparkline>
            <x14:sparkline>
              <xm:f>Ohio!F26:X26</xm:f>
              <xm:sqref>AD26</xm:sqref>
            </x14:sparkline>
            <x14:sparkline>
              <xm:f>Ohio!F35:X35</xm:f>
              <xm:sqref>AD35</xm:sqref>
            </x14:sparkline>
            <x14:sparkline>
              <xm:f>Ohio!F36:X36</xm:f>
              <xm:sqref>AD36</xm:sqref>
            </x14:sparkline>
            <x14:sparkline>
              <xm:f>Ohio!F37:X37</xm:f>
              <xm:sqref>AD37</xm:sqref>
            </x14:sparkline>
            <x14:sparkline>
              <xm:f>Ohio!F38:X38</xm:f>
              <xm:sqref>AD38</xm:sqref>
            </x14:sparkline>
            <x14:sparkline>
              <xm:f>Ohio!F39:X39</xm:f>
              <xm:sqref>AD39</xm:sqref>
            </x14:sparkline>
            <x14:sparkline>
              <xm:f>Ohio!F49:X49</xm:f>
              <xm:sqref>AD49</xm:sqref>
            </x14:sparkline>
            <x14:sparkline>
              <xm:f>Ohio!F50:X50</xm:f>
              <xm:sqref>AD50</xm:sqref>
            </x14:sparkline>
            <x14:sparkline>
              <xm:f>Ohio!F51:X51</xm:f>
              <xm:sqref>AD51</xm:sqref>
            </x14:sparkline>
            <x14:sparkline>
              <xm:f>Ohio!F52:X52</xm:f>
              <xm:sqref>AD52</xm:sqref>
            </x14:sparkline>
            <x14:sparkline>
              <xm:f>Ohio!F53:X53</xm:f>
              <xm:sqref>AD53</xm:sqref>
            </x14:sparkline>
          </x14:sparklines>
        </x14:sparklineGroup>
        <x14:sparklineGroup lineWeight="1" displayEmptyCellsAs="gap" high="1" low="1" xr2:uid="{CB0D0C86-A5F0-4445-B4E0-6D0CC0FCDCB4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Ohio!H30:X30</xm:f>
              <xm:sqref>AD30</xm:sqref>
            </x14:sparkline>
          </x14:sparklines>
        </x14:sparklineGroup>
        <x14:sparklineGroup lineWeight="1" displayEmptyCellsAs="gap" high="1" low="1" xr2:uid="{015C691E-45D3-41F0-AAA3-0A5F4015A672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Ohio!T30:X30</xm:f>
              <xm:sqref>AF30</xm:sqref>
            </x14:sparkline>
          </x14:sparklines>
        </x14:sparklineGroup>
        <x14:sparklineGroup lineWeight="1" displayEmptyCellsAs="gap" high="1" low="1" xr2:uid="{D2E9F622-1117-4D91-B59A-DFC3EA977803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Ohio!H61:X61</xm:f>
              <xm:sqref>AD61</xm:sqref>
            </x14:sparkline>
          </x14:sparklines>
        </x14:sparklineGroup>
        <x14:sparklineGroup lineWeight="1" displayEmptyCellsAs="gap" high="1" low="1" xr2:uid="{A25509A4-11AB-498E-85E6-B0BF69F327DE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Ohio!T61:X61</xm:f>
              <xm:sqref>AF61</xm:sqref>
            </x14:sparkline>
          </x14:sparklines>
        </x14:sparklineGroup>
        <x14:sparklineGroup lineWeight="1" displayEmptyCellsAs="gap" high="1" low="1" xr2:uid="{346CAD45-6788-4AE5-A8B2-B8A20A8CC712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Ohio!H81:X81</xm:f>
              <xm:sqref>AD81</xm:sqref>
            </x14:sparkline>
          </x14:sparklines>
        </x14:sparklineGroup>
        <x14:sparklineGroup lineWeight="1" displayEmptyCellsAs="gap" high="1" low="1" xr2:uid="{E174865B-95DE-459B-A605-E5607416C764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Ohio!T81:X81</xm:f>
              <xm:sqref>AF81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FB27-BA0F-447E-B723-C4070EF43626}">
  <dimension ref="A1:AM139"/>
  <sheetViews>
    <sheetView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H16" sqref="H16"/>
    </sheetView>
  </sheetViews>
  <sheetFormatPr baseColWidth="10" defaultColWidth="8.83203125" defaultRowHeight="13"/>
  <cols>
    <col min="1" max="1" width="49.33203125" style="138" bestFit="1" customWidth="1"/>
    <col min="2" max="2" width="12.6640625" customWidth="1"/>
    <col min="3" max="3" width="8" style="2" bestFit="1" customWidth="1"/>
    <col min="4" max="4" width="12.6640625" customWidth="1"/>
    <col min="5" max="5" width="12.33203125" style="2" customWidth="1"/>
    <col min="6" max="6" width="12.6640625" customWidth="1"/>
    <col min="7" max="7" width="9.5" style="2" customWidth="1"/>
    <col min="8" max="8" width="13.1640625" customWidth="1"/>
    <col min="9" max="9" width="8.33203125" style="2" customWidth="1"/>
    <col min="10" max="10" width="12.6640625" customWidth="1"/>
    <col min="11" max="11" width="8.33203125" style="2" customWidth="1"/>
    <col min="12" max="12" width="12.6640625" customWidth="1"/>
    <col min="13" max="13" width="8.33203125" style="2" customWidth="1"/>
    <col min="14" max="14" width="12.6640625" customWidth="1"/>
    <col min="15" max="15" width="8.33203125" style="2" customWidth="1"/>
    <col min="16" max="16" width="12.6640625" customWidth="1"/>
    <col min="17" max="17" width="8.33203125" style="2" customWidth="1"/>
    <col min="18" max="18" width="12.6640625" customWidth="1"/>
    <col min="19" max="19" width="8.33203125" style="2" customWidth="1"/>
    <col min="20" max="20" width="12.6640625" customWidth="1"/>
    <col min="21" max="21" width="8.33203125" style="2" customWidth="1"/>
    <col min="22" max="22" width="12.6640625" customWidth="1"/>
    <col min="23" max="23" width="8.33203125" style="2" customWidth="1"/>
    <col min="24" max="24" width="14.5" customWidth="1"/>
    <col min="25" max="25" width="8.33203125" style="2" customWidth="1"/>
    <col min="26" max="26" width="14.5" style="3" customWidth="1"/>
    <col min="27" max="29" width="13.5" customWidth="1"/>
    <col min="30" max="30" width="15.6640625" customWidth="1"/>
    <col min="31" max="31" width="13.5" bestFit="1" customWidth="1"/>
    <col min="32" max="32" width="18.33203125" customWidth="1"/>
    <col min="33" max="33" width="44" bestFit="1" customWidth="1"/>
    <col min="35" max="35" width="16.5" bestFit="1" customWidth="1"/>
    <col min="36" max="36" width="16.5" customWidth="1"/>
    <col min="37" max="37" width="12.5" customWidth="1"/>
    <col min="38" max="38" width="13.1640625" customWidth="1"/>
    <col min="39" max="39" width="74" style="126" customWidth="1"/>
  </cols>
  <sheetData>
    <row r="1" spans="1:39" ht="41.25" customHeight="1">
      <c r="B1" s="77" t="s">
        <v>0</v>
      </c>
      <c r="C1" s="78" t="s">
        <v>1</v>
      </c>
      <c r="D1" s="77" t="s">
        <v>2</v>
      </c>
      <c r="E1" s="78" t="s">
        <v>3</v>
      </c>
      <c r="F1" s="77" t="s">
        <v>4</v>
      </c>
      <c r="G1" s="78" t="s">
        <v>5</v>
      </c>
      <c r="H1" s="77" t="s">
        <v>6</v>
      </c>
      <c r="I1" s="78" t="s">
        <v>7</v>
      </c>
      <c r="J1" s="77" t="s">
        <v>8</v>
      </c>
      <c r="K1" s="78" t="s">
        <v>9</v>
      </c>
      <c r="L1" s="77" t="s">
        <v>10</v>
      </c>
      <c r="M1" s="78" t="s">
        <v>11</v>
      </c>
      <c r="N1" s="77" t="s">
        <v>12</v>
      </c>
      <c r="O1" s="78" t="s">
        <v>13</v>
      </c>
      <c r="P1" s="77" t="s">
        <v>14</v>
      </c>
      <c r="Q1" s="78" t="s">
        <v>15</v>
      </c>
      <c r="R1" s="77" t="s">
        <v>16</v>
      </c>
      <c r="S1" s="78" t="s">
        <v>17</v>
      </c>
      <c r="T1" s="77" t="s">
        <v>18</v>
      </c>
      <c r="U1" s="78" t="s">
        <v>19</v>
      </c>
      <c r="V1" s="77" t="s">
        <v>20</v>
      </c>
      <c r="W1" s="78" t="s">
        <v>21</v>
      </c>
      <c r="X1" s="77" t="s">
        <v>22</v>
      </c>
      <c r="Y1" s="78" t="s">
        <v>23</v>
      </c>
      <c r="Z1" s="87" t="s">
        <v>24</v>
      </c>
      <c r="AA1" s="88" t="s">
        <v>103</v>
      </c>
      <c r="AB1" s="88" t="s">
        <v>104</v>
      </c>
      <c r="AC1" s="88"/>
      <c r="AD1" s="88" t="s">
        <v>153</v>
      </c>
      <c r="AE1" s="77" t="s">
        <v>25</v>
      </c>
      <c r="AF1" s="77" t="s">
        <v>26</v>
      </c>
      <c r="AG1" s="89" t="s">
        <v>106</v>
      </c>
      <c r="AH1" s="89" t="s">
        <v>107</v>
      </c>
      <c r="AI1" s="89" t="s">
        <v>108</v>
      </c>
      <c r="AJ1" s="89" t="s">
        <v>109</v>
      </c>
      <c r="AK1" s="86" t="s">
        <v>110</v>
      </c>
      <c r="AL1" s="86" t="s">
        <v>111</v>
      </c>
      <c r="AM1" s="134" t="s">
        <v>112</v>
      </c>
    </row>
    <row r="2" spans="1:39">
      <c r="A2" s="139" t="s">
        <v>27</v>
      </c>
      <c r="B2" t="s">
        <v>146</v>
      </c>
      <c r="D2" t="s">
        <v>146</v>
      </c>
      <c r="F2" t="s">
        <v>146</v>
      </c>
      <c r="H2" t="s">
        <v>146</v>
      </c>
      <c r="J2" t="s">
        <v>146</v>
      </c>
      <c r="L2" t="s">
        <v>146</v>
      </c>
      <c r="N2" t="s">
        <v>146</v>
      </c>
      <c r="P2" t="s">
        <v>146</v>
      </c>
      <c r="Q2" s="2" t="s">
        <v>28</v>
      </c>
      <c r="R2" t="s">
        <v>146</v>
      </c>
      <c r="T2" t="s">
        <v>146</v>
      </c>
      <c r="V2" t="s">
        <v>146</v>
      </c>
      <c r="X2" t="s">
        <v>146</v>
      </c>
      <c r="Y2" t="s">
        <v>28</v>
      </c>
      <c r="Z2" t="s">
        <v>28</v>
      </c>
      <c r="AA2" t="s">
        <v>28</v>
      </c>
      <c r="AB2" t="s">
        <v>28</v>
      </c>
    </row>
    <row r="3" spans="1:39" ht="14">
      <c r="A3" s="140" t="s">
        <v>29</v>
      </c>
      <c r="B3" t="str">
        <f>+'Combined Company'!B3</f>
        <v>01/31/2023</v>
      </c>
      <c r="D3" t="str">
        <f>+'Combined Company'!D3</f>
        <v>02/28/2023</v>
      </c>
      <c r="F3" t="str">
        <f>+'Combined Company'!F3</f>
        <v>03/31/2023</v>
      </c>
      <c r="H3" s="127">
        <f>+'Combined Company'!H3</f>
        <v>45046</v>
      </c>
      <c r="J3" s="127">
        <f>+'Combined Company'!J3</f>
        <v>45077</v>
      </c>
      <c r="L3" s="127">
        <f>+'Combined Company'!L3</f>
        <v>45107</v>
      </c>
      <c r="N3" s="127">
        <f>+'Combined Company'!N3</f>
        <v>45138</v>
      </c>
      <c r="P3" s="127">
        <f>+'Combined Company'!P3</f>
        <v>45169</v>
      </c>
      <c r="R3" s="127">
        <f>+'Combined Company'!R3</f>
        <v>45199</v>
      </c>
      <c r="S3" s="162"/>
      <c r="T3" s="127">
        <f>+'Combined Company'!T3</f>
        <v>45230</v>
      </c>
      <c r="U3" s="162"/>
      <c r="V3" s="127">
        <f>+'Combined Company'!V3</f>
        <v>45260</v>
      </c>
      <c r="W3" s="162"/>
      <c r="X3" s="127">
        <f>+'Combined Company'!X3</f>
        <v>45291</v>
      </c>
      <c r="Z3"/>
    </row>
    <row r="4" spans="1:39" ht="14">
      <c r="A4" s="140" t="s">
        <v>33</v>
      </c>
      <c r="B4">
        <f>+'Combined Company'!B4</f>
        <v>31</v>
      </c>
      <c r="D4">
        <f>+'Combined Company'!D4</f>
        <v>28</v>
      </c>
      <c r="F4">
        <f>+'Combined Company'!F4</f>
        <v>31</v>
      </c>
      <c r="H4">
        <f>+'Combined Company'!H4</f>
        <v>30</v>
      </c>
      <c r="J4">
        <f>+'Combined Company'!J4</f>
        <v>31</v>
      </c>
      <c r="L4">
        <f>+'Combined Company'!L4</f>
        <v>30</v>
      </c>
      <c r="N4">
        <f>+'Combined Company'!N4</f>
        <v>31</v>
      </c>
      <c r="P4">
        <f>+'Combined Company'!P4</f>
        <v>31</v>
      </c>
      <c r="R4">
        <f>+'Combined Company'!R4</f>
        <v>30</v>
      </c>
      <c r="T4">
        <f>+'Combined Company'!T4</f>
        <v>31</v>
      </c>
      <c r="V4">
        <f>+'Combined Company'!V4</f>
        <v>30</v>
      </c>
      <c r="X4">
        <f>+'Combined Company'!X4</f>
        <v>31</v>
      </c>
      <c r="Z4"/>
    </row>
    <row r="5" spans="1:39" ht="14">
      <c r="A5" s="140" t="s">
        <v>34</v>
      </c>
      <c r="B5">
        <f>+'Combined Company'!B5</f>
        <v>1</v>
      </c>
      <c r="D5">
        <f>+'Combined Company'!D5</f>
        <v>1</v>
      </c>
      <c r="F5">
        <f>+'Combined Company'!F5</f>
        <v>1</v>
      </c>
      <c r="H5">
        <f>+'Combined Company'!H5</f>
        <v>2</v>
      </c>
      <c r="J5">
        <f>+'Combined Company'!J5</f>
        <v>2</v>
      </c>
      <c r="L5">
        <f>+'Combined Company'!L5</f>
        <v>2</v>
      </c>
      <c r="N5">
        <f>+'Combined Company'!N5</f>
        <v>3</v>
      </c>
      <c r="P5">
        <f>+'Combined Company'!P5</f>
        <v>3</v>
      </c>
      <c r="R5">
        <f>+'Combined Company'!R5</f>
        <v>3</v>
      </c>
      <c r="T5">
        <f>+'Combined Company'!T5</f>
        <v>4</v>
      </c>
      <c r="V5">
        <f>+'Combined Company'!V5</f>
        <v>4</v>
      </c>
      <c r="X5">
        <f>+'Combined Company'!X5</f>
        <v>4</v>
      </c>
      <c r="Z5"/>
    </row>
    <row r="6" spans="1:39" ht="14">
      <c r="A6" s="140" t="s">
        <v>35</v>
      </c>
      <c r="B6">
        <f>+'Combined Company'!B6</f>
        <v>2023</v>
      </c>
      <c r="D6">
        <f>+'Combined Company'!D6</f>
        <v>2023</v>
      </c>
      <c r="F6">
        <f>+'Combined Company'!F6</f>
        <v>2023</v>
      </c>
      <c r="H6">
        <f>+'Combined Company'!H6</f>
        <v>2023</v>
      </c>
      <c r="J6">
        <f>+'Combined Company'!J6</f>
        <v>2023</v>
      </c>
      <c r="L6">
        <f>+'Combined Company'!L6</f>
        <v>2023</v>
      </c>
      <c r="N6">
        <f>+'Combined Company'!N6</f>
        <v>2023</v>
      </c>
      <c r="P6">
        <f>+'Combined Company'!P6</f>
        <v>2023</v>
      </c>
      <c r="R6">
        <f>+'Combined Company'!R6</f>
        <v>2023</v>
      </c>
      <c r="T6">
        <f>+'Combined Company'!T6</f>
        <v>2023</v>
      </c>
      <c r="V6">
        <f>+'Combined Company'!V6</f>
        <v>2023</v>
      </c>
      <c r="X6">
        <f>+'Combined Company'!X6</f>
        <v>2023</v>
      </c>
      <c r="Z6"/>
    </row>
    <row r="7" spans="1:39">
      <c r="Z7"/>
    </row>
    <row r="8" spans="1:39">
      <c r="A8" s="141" t="s">
        <v>36</v>
      </c>
      <c r="B8" s="12"/>
      <c r="C8" s="22"/>
      <c r="D8" s="12"/>
      <c r="F8" s="16"/>
      <c r="G8" s="22"/>
      <c r="H8" s="16"/>
      <c r="I8" s="22"/>
      <c r="J8" s="16"/>
      <c r="K8" s="22"/>
      <c r="L8" s="16"/>
      <c r="M8" s="22"/>
      <c r="N8" s="16"/>
      <c r="O8" s="22"/>
      <c r="P8" s="16"/>
      <c r="Q8" s="22"/>
      <c r="R8" s="16"/>
      <c r="S8" s="22"/>
      <c r="T8" s="16"/>
      <c r="U8" s="22"/>
      <c r="V8" s="16"/>
      <c r="W8" s="22"/>
      <c r="X8" s="16"/>
      <c r="Y8" s="22"/>
      <c r="Z8" s="16"/>
      <c r="AA8" s="12"/>
      <c r="AB8" s="12"/>
      <c r="AC8" s="12"/>
      <c r="AD8" s="12"/>
      <c r="AE8" s="12"/>
      <c r="AF8" s="12"/>
    </row>
    <row r="9" spans="1:39" ht="20" customHeight="1">
      <c r="A9" s="142" t="s">
        <v>37</v>
      </c>
      <c r="B9" s="16">
        <f>+'Combined Company'!B9-Ohio!B9</f>
        <v>516340</v>
      </c>
      <c r="C9" s="22">
        <f>B9/B$17</f>
        <v>0.2093844662792631</v>
      </c>
      <c r="D9" s="16">
        <f>+'Combined Company'!D9-Ohio!D9</f>
        <v>521203</v>
      </c>
      <c r="E9" s="22">
        <f>D9/D$17</f>
        <v>0.38205621589130667</v>
      </c>
      <c r="F9" s="16">
        <f>+'Combined Company'!F9-Ohio!F9</f>
        <v>542420</v>
      </c>
      <c r="G9" s="22">
        <f>F9/F$17</f>
        <v>0.33064914323334166</v>
      </c>
      <c r="H9" s="16">
        <f>+'Combined Company'!H9-Ohio!H9</f>
        <v>647104</v>
      </c>
      <c r="I9" s="22">
        <f>H9/H$17</f>
        <v>0.4574003900355047</v>
      </c>
      <c r="J9" s="16">
        <f>+'Combined Company'!J9-Ohio!J9</f>
        <v>672447</v>
      </c>
      <c r="K9" s="22">
        <f>J9/J$17</f>
        <v>0.48507650024886928</v>
      </c>
      <c r="L9" s="16">
        <f>+'Combined Company'!L9-Ohio!L9</f>
        <v>706392</v>
      </c>
      <c r="M9" s="22">
        <f>L9/L$17</f>
        <v>0.42055478853844241</v>
      </c>
      <c r="N9" s="16">
        <f>+'Combined Company'!N9-Ohio!N9</f>
        <v>626764</v>
      </c>
      <c r="O9" s="22">
        <f>N9/N$17</f>
        <v>0.44227387555216846</v>
      </c>
      <c r="P9" s="16">
        <f>+'Combined Company'!P9-Ohio!P9</f>
        <v>594806</v>
      </c>
      <c r="Q9" s="22">
        <f>P9/P$17</f>
        <v>0.3075557219368576</v>
      </c>
      <c r="R9" s="16">
        <f>+'Combined Company'!R9-Ohio!R9</f>
        <v>529990</v>
      </c>
      <c r="S9" s="22">
        <f>R9/R$17</f>
        <v>0.30503671157313855</v>
      </c>
      <c r="T9" s="16">
        <f>+'Combined Company'!T9-Ohio!T9</f>
        <v>476197</v>
      </c>
      <c r="U9" s="22">
        <f>T9/T$17</f>
        <v>0.40408963005454651</v>
      </c>
      <c r="V9" s="16">
        <f>+'Combined Company'!V9-Ohio!V9</f>
        <v>521897</v>
      </c>
      <c r="W9" s="22">
        <f>V9/V$17</f>
        <v>0.22564479267279286</v>
      </c>
      <c r="X9" s="16">
        <f>+'Combined Company'!X9-Ohio!X9</f>
        <v>349170</v>
      </c>
      <c r="Y9" s="22">
        <f>X9/X$17</f>
        <v>0.30988797989282563</v>
      </c>
      <c r="Z9" s="16">
        <f>SUM(B9,D9,F9,H9,J9,L9,N9,P9,R9,T9,V9,X9)</f>
        <v>6704730</v>
      </c>
      <c r="AA9" s="16">
        <f>IFERROR(AVERAGE(B9,D9,F9,H9,J9,L9,N9,P9,R9,T9,V9,X9),0)</f>
        <v>558727.5</v>
      </c>
      <c r="AB9" s="16">
        <f t="shared" ref="AB9:AB17" si="0">IFERROR(AVERAGE(T9,V9,X9),0)</f>
        <v>449088</v>
      </c>
      <c r="AC9" s="16"/>
      <c r="AD9" s="45"/>
      <c r="AE9" s="16">
        <f t="shared" ref="AE9:AE16" si="1">IFERROR(AVERAGE(R9,T9,V9),0)</f>
        <v>509361.33333333331</v>
      </c>
      <c r="AF9" s="45"/>
      <c r="AK9" s="56">
        <f t="shared" ref="AK9:AK17" si="2">SUM(T9,V9,X9)*4</f>
        <v>5389056</v>
      </c>
      <c r="AL9" s="66">
        <f>AK9/12</f>
        <v>449088</v>
      </c>
    </row>
    <row r="10" spans="1:39" ht="20" customHeight="1">
      <c r="A10" s="142" t="s">
        <v>38</v>
      </c>
      <c r="B10" s="16">
        <f>+'Combined Company'!B10-Ohio!B10</f>
        <v>438849</v>
      </c>
      <c r="C10" s="22">
        <f>B10/B$17</f>
        <v>0.1779605756714342</v>
      </c>
      <c r="D10" s="16">
        <f>+'Combined Company'!D10-Ohio!D10</f>
        <v>470071</v>
      </c>
      <c r="E10" s="22">
        <f>D10/D$17</f>
        <v>0.34457504553934343</v>
      </c>
      <c r="F10" s="16">
        <f>+'Combined Company'!F10-Ohio!F10</f>
        <v>475934</v>
      </c>
      <c r="G10" s="22">
        <f>F10/F$17</f>
        <v>0.29012051424286944</v>
      </c>
      <c r="H10" s="16">
        <f>+'Combined Company'!H10-Ohio!H10</f>
        <v>70303</v>
      </c>
      <c r="I10" s="22">
        <f>H10/H$17</f>
        <v>4.9693124475611472E-2</v>
      </c>
      <c r="J10" s="16">
        <f>+'Combined Company'!J10-Ohio!J10</f>
        <v>70283</v>
      </c>
      <c r="K10" s="22">
        <f>J10/J$17</f>
        <v>5.0699358710785056E-2</v>
      </c>
      <c r="L10" s="16">
        <f>+'Combined Company'!L10-Ohio!L10</f>
        <v>68500</v>
      </c>
      <c r="M10" s="22">
        <f>L10/L$17</f>
        <v>4.0781893077615983E-2</v>
      </c>
      <c r="N10" s="16">
        <f>+'Combined Company'!N10-Ohio!N10</f>
        <v>63151</v>
      </c>
      <c r="O10" s="22">
        <f>N10/N$17</f>
        <v>4.4562287423966583E-2</v>
      </c>
      <c r="P10" s="16">
        <f>+'Combined Company'!P10-Ohio!P10</f>
        <v>58680</v>
      </c>
      <c r="Q10" s="22">
        <f>P10/P$17</f>
        <v>3.034160678146287E-2</v>
      </c>
      <c r="R10" s="16">
        <f>+'Combined Company'!R10-Ohio!R10</f>
        <v>49426</v>
      </c>
      <c r="S10" s="22">
        <f>R10/R$17</f>
        <v>2.8447224487658154E-2</v>
      </c>
      <c r="T10" s="16">
        <f>+'Combined Company'!T10-Ohio!T10</f>
        <v>33323</v>
      </c>
      <c r="U10" s="22">
        <f>T10/T$17</f>
        <v>2.8277117962329987E-2</v>
      </c>
      <c r="V10" s="16">
        <f>+'Combined Company'!V10-Ohio!V10</f>
        <v>34007</v>
      </c>
      <c r="W10" s="22">
        <f>V10/V$17</f>
        <v>1.4703097477900173E-2</v>
      </c>
      <c r="X10" s="16">
        <f>+'Combined Company'!X10-Ohio!X10</f>
        <v>19383</v>
      </c>
      <c r="Y10" s="22">
        <f>X10/X$17</f>
        <v>1.7202390566952028E-2</v>
      </c>
      <c r="Z10" s="16">
        <f t="shared" ref="Z10:Z17" si="3">SUM(B10,D10,F10,H10,J10,L10,N10,P10,R10,T10,V10,X10)</f>
        <v>1851910</v>
      </c>
      <c r="AA10" s="16">
        <f t="shared" ref="AA10:AA17" si="4">IFERROR(AVERAGE(B10,D10,F10,H10,J10,L10,N10,P10,R10,T10,V10,X10),0)</f>
        <v>154325.83333333334</v>
      </c>
      <c r="AB10" s="16">
        <f t="shared" si="0"/>
        <v>28904.333333333332</v>
      </c>
      <c r="AC10" s="16"/>
      <c r="AD10" s="45"/>
      <c r="AE10" s="16">
        <f t="shared" si="1"/>
        <v>38918.666666666664</v>
      </c>
      <c r="AF10" s="45"/>
      <c r="AK10" s="56">
        <f t="shared" si="2"/>
        <v>346852</v>
      </c>
      <c r="AL10" s="66">
        <f>AK10/12</f>
        <v>28904.333333333332</v>
      </c>
    </row>
    <row r="11" spans="1:39" ht="20" customHeight="1">
      <c r="A11" s="142" t="s">
        <v>39</v>
      </c>
      <c r="B11" s="16">
        <f>+'Combined Company'!B11-Ohio!B11</f>
        <v>0</v>
      </c>
      <c r="C11" s="22">
        <f>B11/B$17</f>
        <v>0</v>
      </c>
      <c r="D11" s="16">
        <f>+'Combined Company'!D11-Ohio!D11</f>
        <v>0</v>
      </c>
      <c r="E11" s="22">
        <f>D11/D$17</f>
        <v>0</v>
      </c>
      <c r="F11" s="16">
        <f>+'Combined Company'!F11-Ohio!F11</f>
        <v>0</v>
      </c>
      <c r="G11" s="22">
        <f>F11/F$17</f>
        <v>0</v>
      </c>
      <c r="H11" s="16">
        <f>+'Combined Company'!H11-Ohio!H11</f>
        <v>238415</v>
      </c>
      <c r="I11" s="22">
        <f>H11/H$17</f>
        <v>0.16852177391936204</v>
      </c>
      <c r="J11" s="16">
        <f>+'Combined Company'!J11-Ohio!J11</f>
        <v>286340</v>
      </c>
      <c r="K11" s="22">
        <f>J11/J$17</f>
        <v>0.20655427874800725</v>
      </c>
      <c r="L11" s="16">
        <f>+'Combined Company'!L11-Ohio!L11</f>
        <v>286731</v>
      </c>
      <c r="M11" s="22">
        <f>L11/L$17</f>
        <v>0.17070705086186727</v>
      </c>
      <c r="N11" s="16">
        <f>+'Combined Company'!N11-Ohio!N11</f>
        <v>283266</v>
      </c>
      <c r="O11" s="22">
        <f>N11/N$17</f>
        <v>0.1998856852533977</v>
      </c>
      <c r="P11" s="16">
        <f>+'Combined Company'!P11-Ohio!P11</f>
        <v>279894</v>
      </c>
      <c r="Q11" s="22">
        <f>P11/P$17</f>
        <v>0.14472450048552776</v>
      </c>
      <c r="R11" s="16">
        <f>+'Combined Company'!R11-Ohio!R11</f>
        <v>257232</v>
      </c>
      <c r="S11" s="22">
        <f>R11/R$17</f>
        <v>0.14805034697141753</v>
      </c>
      <c r="T11" s="16">
        <f>+'Combined Company'!T11-Ohio!T11</f>
        <v>249957</v>
      </c>
      <c r="U11" s="22">
        <f>T11/T$17</f>
        <v>0.21210766061009262</v>
      </c>
      <c r="V11" s="16">
        <f>+'Combined Company'!V11-Ohio!V11</f>
        <v>225316</v>
      </c>
      <c r="W11" s="22">
        <f>V11/V$17</f>
        <v>9.7416505758536637E-2</v>
      </c>
      <c r="X11" s="16">
        <f>+'Combined Company'!X11-Ohio!X11</f>
        <v>195594</v>
      </c>
      <c r="Y11" s="22">
        <f>X11/X$17</f>
        <v>0.17358945367344655</v>
      </c>
      <c r="Z11" s="16">
        <f t="shared" si="3"/>
        <v>2302745</v>
      </c>
      <c r="AA11" s="16">
        <f t="shared" si="4"/>
        <v>191895.41666666666</v>
      </c>
      <c r="AB11" s="16">
        <f t="shared" si="0"/>
        <v>223622.33333333334</v>
      </c>
      <c r="AC11" s="16"/>
      <c r="AD11" s="45"/>
      <c r="AE11" s="16">
        <f t="shared" si="1"/>
        <v>244168.33333333334</v>
      </c>
      <c r="AF11" s="45"/>
      <c r="AK11" s="70">
        <f t="shared" si="2"/>
        <v>2683468</v>
      </c>
      <c r="AL11" s="133">
        <f>AK11/12</f>
        <v>223622.33333333334</v>
      </c>
      <c r="AM11" s="126" t="s">
        <v>154</v>
      </c>
    </row>
    <row r="12" spans="1:39" ht="20" customHeight="1">
      <c r="A12" s="142" t="s">
        <v>40</v>
      </c>
      <c r="B12" s="16">
        <f>+'Combined Company'!B12-Ohio!B12</f>
        <v>38804</v>
      </c>
      <c r="C12" s="22">
        <f t="shared" ref="C12:W17" si="5">B12/B$17</f>
        <v>1.5735668027850883E-2</v>
      </c>
      <c r="D12" s="16">
        <f>+'Combined Company'!D12-Ohio!D12</f>
        <v>26321</v>
      </c>
      <c r="E12" s="22">
        <f t="shared" si="5"/>
        <v>1.9294021059884696E-2</v>
      </c>
      <c r="F12" s="16">
        <f>+'Combined Company'!F12-Ohio!F12</f>
        <v>34182</v>
      </c>
      <c r="G12" s="22">
        <f t="shared" si="5"/>
        <v>2.0836711430260838E-2</v>
      </c>
      <c r="H12" s="16">
        <f>+'Combined Company'!H12-Ohio!H12</f>
        <v>75466</v>
      </c>
      <c r="I12" s="22">
        <f t="shared" si="5"/>
        <v>5.3342550555118488E-2</v>
      </c>
      <c r="J12" s="16">
        <f>+'Combined Company'!J12-Ohio!J12</f>
        <v>76753</v>
      </c>
      <c r="K12" s="22">
        <f t="shared" si="5"/>
        <v>5.5366559183997348E-2</v>
      </c>
      <c r="L12" s="16">
        <f>+'Combined Company'!L12-Ohio!L12</f>
        <v>16700</v>
      </c>
      <c r="M12" s="22">
        <f t="shared" si="5"/>
        <v>9.9424469254917793E-3</v>
      </c>
      <c r="N12" s="16">
        <f>+'Combined Company'!N12-Ohio!N12</f>
        <v>87590</v>
      </c>
      <c r="O12" s="22">
        <f t="shared" si="5"/>
        <v>6.1807584289484456E-2</v>
      </c>
      <c r="P12" s="16">
        <f>+'Combined Company'!P12-Ohio!P12</f>
        <v>67523</v>
      </c>
      <c r="Q12" s="22">
        <f t="shared" si="5"/>
        <v>3.4914047626188098E-2</v>
      </c>
      <c r="R12" s="16">
        <f>+'Combined Company'!R12-Ohio!R12</f>
        <v>49407</v>
      </c>
      <c r="S12" s="22">
        <f t="shared" si="5"/>
        <v>2.8436289002988842E-2</v>
      </c>
      <c r="T12" s="16">
        <f>+'Combined Company'!T12-Ohio!T12</f>
        <v>12180</v>
      </c>
      <c r="U12" s="22">
        <f t="shared" si="5"/>
        <v>1.0335662958952652E-2</v>
      </c>
      <c r="V12" s="16">
        <f>+'Combined Company'!V12-Ohio!V12</f>
        <v>27982</v>
      </c>
      <c r="W12" s="22">
        <f t="shared" si="5"/>
        <v>1.2098158426988638E-2</v>
      </c>
      <c r="X12" s="16">
        <f>+'Combined Company'!X12-Ohio!X12</f>
        <v>25988</v>
      </c>
      <c r="Y12" s="22">
        <f t="shared" ref="Y12:Y17" si="6">X12/X$17</f>
        <v>2.3064320592991246E-2</v>
      </c>
      <c r="Z12" s="16">
        <f t="shared" si="3"/>
        <v>538896</v>
      </c>
      <c r="AA12" s="16">
        <f t="shared" si="4"/>
        <v>44908</v>
      </c>
      <c r="AB12" s="16">
        <f t="shared" si="0"/>
        <v>22050</v>
      </c>
      <c r="AC12" s="16"/>
      <c r="AD12" s="45"/>
      <c r="AE12" s="16">
        <f t="shared" si="1"/>
        <v>29856.333333333332</v>
      </c>
      <c r="AF12" s="45"/>
      <c r="AK12" s="56">
        <f t="shared" si="2"/>
        <v>264600</v>
      </c>
      <c r="AL12" s="66">
        <f>AK12/12</f>
        <v>22050</v>
      </c>
    </row>
    <row r="13" spans="1:39" ht="20" customHeight="1">
      <c r="A13" s="142" t="s">
        <v>41</v>
      </c>
      <c r="B13" s="16">
        <f>+'Combined Company'!B13-Ohio!B13</f>
        <v>63823</v>
      </c>
      <c r="C13" s="22">
        <f t="shared" si="5"/>
        <v>2.5881289056322206E-2</v>
      </c>
      <c r="D13" s="16">
        <f>+'Combined Company'!D13-Ohio!D13</f>
        <v>76877</v>
      </c>
      <c r="E13" s="22">
        <f t="shared" si="5"/>
        <v>5.6352967479227828E-2</v>
      </c>
      <c r="F13" s="16">
        <f>+'Combined Company'!F13-Ohio!F13</f>
        <v>40660</v>
      </c>
      <c r="G13" s="22">
        <f t="shared" si="5"/>
        <v>2.4785579742390901E-2</v>
      </c>
      <c r="H13" s="16">
        <f>+'Combined Company'!H13-Ohio!H13</f>
        <v>29046</v>
      </c>
      <c r="I13" s="22">
        <f t="shared" si="5"/>
        <v>2.0530937421142922E-2</v>
      </c>
      <c r="J13" s="16">
        <f>+'Combined Company'!J13-Ohio!J13</f>
        <v>36525</v>
      </c>
      <c r="K13" s="22">
        <f t="shared" si="5"/>
        <v>2.6347681187647427E-2</v>
      </c>
      <c r="L13" s="16">
        <f>+'Combined Company'!L13-Ohio!L13</f>
        <v>26588</v>
      </c>
      <c r="M13" s="22">
        <f t="shared" si="5"/>
        <v>1.5829328075148228E-2</v>
      </c>
      <c r="N13" s="16">
        <f>+'Combined Company'!N13-Ohio!N13</f>
        <v>162366</v>
      </c>
      <c r="O13" s="22">
        <f t="shared" si="5"/>
        <v>0.11457301325204285</v>
      </c>
      <c r="P13" s="16">
        <f>+'Combined Company'!P13-Ohio!P13</f>
        <v>60247</v>
      </c>
      <c r="Q13" s="22">
        <f t="shared" si="5"/>
        <v>3.1151853847355037E-2</v>
      </c>
      <c r="R13" s="16">
        <f>+'Combined Company'!R13-Ohio!R13</f>
        <v>22361</v>
      </c>
      <c r="S13" s="22">
        <f t="shared" si="5"/>
        <v>1.2869914352132967E-2</v>
      </c>
      <c r="T13" s="16">
        <f>+'Combined Company'!T13-Ohio!T13</f>
        <v>29054</v>
      </c>
      <c r="U13" s="22">
        <f t="shared" si="5"/>
        <v>2.4654544467110868E-2</v>
      </c>
      <c r="V13" s="16">
        <f>+'Combined Company'!V13-Ohio!V13</f>
        <v>17170</v>
      </c>
      <c r="W13" s="22">
        <f t="shared" si="5"/>
        <v>7.4235358513113758E-3</v>
      </c>
      <c r="X13" s="16">
        <f>+'Combined Company'!X13-Ohio!X13</f>
        <v>0</v>
      </c>
      <c r="Y13" s="22">
        <f t="shared" si="6"/>
        <v>0</v>
      </c>
      <c r="Z13" s="16">
        <f t="shared" si="3"/>
        <v>564717</v>
      </c>
      <c r="AA13" s="16">
        <f t="shared" si="4"/>
        <v>47059.75</v>
      </c>
      <c r="AB13" s="16">
        <f t="shared" si="0"/>
        <v>15408</v>
      </c>
      <c r="AC13" s="16"/>
      <c r="AD13" s="45"/>
      <c r="AE13" s="16">
        <f t="shared" si="1"/>
        <v>22861.666666666668</v>
      </c>
      <c r="AF13" s="45"/>
      <c r="AG13" s="12"/>
      <c r="AH13" s="12"/>
      <c r="AI13" s="12"/>
      <c r="AJ13" s="12"/>
      <c r="AK13" s="56">
        <f t="shared" si="2"/>
        <v>184896</v>
      </c>
      <c r="AL13" s="66">
        <f>AK13/12</f>
        <v>15408</v>
      </c>
    </row>
    <row r="14" spans="1:39" ht="20" customHeight="1">
      <c r="A14" s="142" t="s">
        <v>42</v>
      </c>
      <c r="B14" s="16">
        <f>+'Combined Company'!B14-Ohio!B14</f>
        <v>1384028</v>
      </c>
      <c r="C14" s="22">
        <f t="shared" si="5"/>
        <v>0.56124639597078663</v>
      </c>
      <c r="D14" s="16">
        <f>+'Combined Company'!D14-Ohio!D14</f>
        <v>239027</v>
      </c>
      <c r="E14" s="22">
        <f t="shared" si="5"/>
        <v>0.17521340267775004</v>
      </c>
      <c r="F14" s="16">
        <f>+'Combined Company'!F14-Ohio!F14</f>
        <v>518838</v>
      </c>
      <c r="G14" s="22">
        <f t="shared" si="5"/>
        <v>0.31627399464787531</v>
      </c>
      <c r="H14" s="16">
        <f>+'Combined Company'!H14-Ohio!H14</f>
        <v>340677</v>
      </c>
      <c r="I14" s="22">
        <f t="shared" si="5"/>
        <v>0.24080486703238679</v>
      </c>
      <c r="J14" s="16">
        <f>+'Combined Company'!J14-Ohio!J14</f>
        <v>233041</v>
      </c>
      <c r="K14" s="22">
        <f t="shared" si="5"/>
        <v>0.16810650161945365</v>
      </c>
      <c r="L14" s="16">
        <f>+'Combined Company'!L14-Ohio!L14</f>
        <v>557722</v>
      </c>
      <c r="M14" s="22">
        <f t="shared" si="5"/>
        <v>0.3320431966574327</v>
      </c>
      <c r="N14" s="16">
        <f>+'Combined Company'!N14-Ohio!N14</f>
        <v>182086</v>
      </c>
      <c r="O14" s="22">
        <f t="shared" si="5"/>
        <v>0.12848836388783041</v>
      </c>
      <c r="P14" s="16">
        <f>+'Combined Company'!P14-Ohio!P14</f>
        <v>861975</v>
      </c>
      <c r="Q14" s="22">
        <f t="shared" si="5"/>
        <v>0.44570051986113596</v>
      </c>
      <c r="R14" s="16">
        <f>+'Combined Company'!R14-Ohio!R14</f>
        <v>814518</v>
      </c>
      <c r="S14" s="22">
        <f t="shared" si="5"/>
        <v>0.46879732115158712</v>
      </c>
      <c r="T14" s="16">
        <f>+'Combined Company'!T14-Ohio!T14</f>
        <v>374164</v>
      </c>
      <c r="U14" s="22">
        <f t="shared" si="5"/>
        <v>0.31750681407007886</v>
      </c>
      <c r="V14" s="16">
        <f>+'Combined Company'!V14-Ohio!V14</f>
        <v>1472258</v>
      </c>
      <c r="W14" s="22">
        <f t="shared" si="5"/>
        <v>0.63653815057542129</v>
      </c>
      <c r="X14" s="16">
        <f>+'Combined Company'!X14-Ohio!X14</f>
        <v>532176</v>
      </c>
      <c r="Y14" s="22">
        <f t="shared" si="6"/>
        <v>0.4723055978103628</v>
      </c>
      <c r="Z14" s="16">
        <f t="shared" si="3"/>
        <v>7510510</v>
      </c>
      <c r="AA14" s="16">
        <f t="shared" si="4"/>
        <v>625875.83333333337</v>
      </c>
      <c r="AB14" s="16">
        <f t="shared" si="0"/>
        <v>792866</v>
      </c>
      <c r="AC14" s="16"/>
      <c r="AD14" s="45"/>
      <c r="AE14" s="16">
        <f t="shared" si="1"/>
        <v>886980</v>
      </c>
      <c r="AF14" s="45"/>
      <c r="AK14" s="56">
        <f t="shared" si="2"/>
        <v>9514392</v>
      </c>
      <c r="AL14" s="66">
        <f t="shared" ref="AL14:AL80" si="7">AK14/12</f>
        <v>792866</v>
      </c>
    </row>
    <row r="15" spans="1:39" ht="20" customHeight="1">
      <c r="A15" s="142" t="s">
        <v>43</v>
      </c>
      <c r="B15" s="16">
        <f>+'Combined Company'!B15-Ohio!B15</f>
        <v>24146</v>
      </c>
      <c r="C15" s="22">
        <f t="shared" si="5"/>
        <v>9.7916049943430426E-3</v>
      </c>
      <c r="D15" s="16">
        <f>+'Combined Company'!D15-Ohio!D15</f>
        <v>30706</v>
      </c>
      <c r="E15" s="22">
        <f t="shared" si="5"/>
        <v>2.2508347352487346E-2</v>
      </c>
      <c r="F15" s="16">
        <f>+'Combined Company'!F15-Ohio!F15</f>
        <v>28436</v>
      </c>
      <c r="G15" s="22">
        <f t="shared" si="5"/>
        <v>1.7334056703261869E-2</v>
      </c>
      <c r="H15" s="16">
        <f>+'Combined Company'!H15-Ohio!H15</f>
        <v>13732</v>
      </c>
      <c r="I15" s="22">
        <f t="shared" si="5"/>
        <v>9.7063565608736004E-3</v>
      </c>
      <c r="J15" s="16">
        <f>+'Combined Company'!J15-Ohio!J15</f>
        <v>10881</v>
      </c>
      <c r="K15" s="22">
        <f t="shared" si="5"/>
        <v>7.8491203012400184E-3</v>
      </c>
      <c r="L15" s="16">
        <f>+'Combined Company'!L15-Ohio!L15</f>
        <v>17034</v>
      </c>
      <c r="M15" s="22">
        <f t="shared" si="5"/>
        <v>1.0141295864001615E-2</v>
      </c>
      <c r="N15" s="16">
        <f>+'Combined Company'!N15-Ohio!N15</f>
        <v>11917</v>
      </c>
      <c r="O15" s="22">
        <f t="shared" si="5"/>
        <v>8.4091903411095594E-3</v>
      </c>
      <c r="P15" s="16">
        <f>+'Combined Company'!P15-Ohio!P15</f>
        <v>10853</v>
      </c>
      <c r="Q15" s="22">
        <f t="shared" si="5"/>
        <v>5.6117494614726744E-3</v>
      </c>
      <c r="R15" s="16">
        <f>+'Combined Company'!R15-Ohio!R15</f>
        <v>14529</v>
      </c>
      <c r="S15" s="22">
        <f t="shared" si="5"/>
        <v>8.3621924610768686E-3</v>
      </c>
      <c r="T15" s="16">
        <f>+'Combined Company'!T15-Ohio!T15</f>
        <v>3569</v>
      </c>
      <c r="U15" s="22">
        <f t="shared" si="5"/>
        <v>3.0285698768885072E-3</v>
      </c>
      <c r="V15" s="16">
        <f>+'Combined Company'!V15-Ohio!V15</f>
        <v>14284</v>
      </c>
      <c r="W15" s="22">
        <f t="shared" si="5"/>
        <v>6.1757592370490213E-3</v>
      </c>
      <c r="X15" s="16">
        <f>+'Combined Company'!X15-Ohio!X15</f>
        <v>4451</v>
      </c>
      <c r="Y15" s="22">
        <f t="shared" si="6"/>
        <v>3.9502574634217346E-3</v>
      </c>
      <c r="Z15" s="16">
        <f t="shared" si="3"/>
        <v>184538</v>
      </c>
      <c r="AA15" s="16">
        <f t="shared" si="4"/>
        <v>15378.166666666666</v>
      </c>
      <c r="AB15" s="16">
        <f t="shared" si="0"/>
        <v>7434.666666666667</v>
      </c>
      <c r="AC15" s="16"/>
      <c r="AD15" s="45"/>
      <c r="AE15" s="16">
        <f t="shared" si="1"/>
        <v>10794</v>
      </c>
      <c r="AF15" s="45"/>
      <c r="AK15" s="56">
        <f t="shared" si="2"/>
        <v>89216</v>
      </c>
      <c r="AL15" s="66">
        <f t="shared" si="7"/>
        <v>7434.666666666667</v>
      </c>
    </row>
    <row r="16" spans="1:39" ht="20" customHeight="1">
      <c r="A16" s="142" t="s">
        <v>44</v>
      </c>
      <c r="B16" s="16">
        <f>+'Combined Company'!B16-Ohio!B16</f>
        <v>0</v>
      </c>
      <c r="C16" s="22">
        <f t="shared" si="5"/>
        <v>0</v>
      </c>
      <c r="D16" s="16">
        <f>+'Combined Company'!D16-Ohio!D16</f>
        <v>0</v>
      </c>
      <c r="E16" s="22">
        <f t="shared" si="5"/>
        <v>0</v>
      </c>
      <c r="F16" s="16">
        <f>+'Combined Company'!F16-Ohio!F16</f>
        <v>0</v>
      </c>
      <c r="G16" s="22">
        <f t="shared" si="5"/>
        <v>0</v>
      </c>
      <c r="H16" s="16">
        <f>+'Combined Company'!H16-Ohio!H16</f>
        <v>0</v>
      </c>
      <c r="I16" s="22">
        <f t="shared" si="5"/>
        <v>0</v>
      </c>
      <c r="J16" s="16">
        <f>+'Combined Company'!J16-Ohio!J16</f>
        <v>0</v>
      </c>
      <c r="K16" s="22">
        <f t="shared" si="5"/>
        <v>0</v>
      </c>
      <c r="L16" s="16">
        <f>+'Combined Company'!L16-Ohio!L16</f>
        <v>0</v>
      </c>
      <c r="M16" s="22">
        <f t="shared" si="5"/>
        <v>0</v>
      </c>
      <c r="N16" s="16">
        <f>+'Combined Company'!N16-Ohio!N16</f>
        <v>0</v>
      </c>
      <c r="O16" s="22">
        <f t="shared" si="5"/>
        <v>0</v>
      </c>
      <c r="P16" s="16">
        <f>+'Combined Company'!P16-Ohio!P16</f>
        <v>0</v>
      </c>
      <c r="Q16" s="22">
        <f t="shared" si="5"/>
        <v>0</v>
      </c>
      <c r="R16" s="16">
        <f>+'Combined Company'!R16-Ohio!R16</f>
        <v>0</v>
      </c>
      <c r="S16" s="22">
        <f t="shared" si="5"/>
        <v>0</v>
      </c>
      <c r="T16" s="16">
        <f>+'Combined Company'!T16-Ohio!T16</f>
        <v>0</v>
      </c>
      <c r="U16" s="22">
        <f t="shared" si="5"/>
        <v>0</v>
      </c>
      <c r="V16" s="16">
        <f>+'Combined Company'!V16-Ohio!V16</f>
        <v>0</v>
      </c>
      <c r="W16" s="22">
        <f t="shared" si="5"/>
        <v>0</v>
      </c>
      <c r="X16" s="16">
        <f>+'Combined Company'!X16-Ohio!X16</f>
        <v>0</v>
      </c>
      <c r="Y16" s="22">
        <f t="shared" si="6"/>
        <v>0</v>
      </c>
      <c r="Z16" s="16">
        <f t="shared" si="3"/>
        <v>0</v>
      </c>
      <c r="AA16" s="16">
        <f t="shared" si="4"/>
        <v>0</v>
      </c>
      <c r="AB16" s="16">
        <f t="shared" si="0"/>
        <v>0</v>
      </c>
      <c r="AC16" s="16"/>
      <c r="AD16" s="45"/>
      <c r="AE16" s="16">
        <f t="shared" si="1"/>
        <v>0</v>
      </c>
      <c r="AF16" s="45"/>
      <c r="AK16" s="56">
        <f t="shared" si="2"/>
        <v>0</v>
      </c>
      <c r="AL16" s="66">
        <f t="shared" si="7"/>
        <v>0</v>
      </c>
    </row>
    <row r="17" spans="1:39" s="24" customFormat="1" ht="19.5" customHeight="1">
      <c r="A17" s="143" t="s">
        <v>45</v>
      </c>
      <c r="B17" s="7">
        <f>SUM(B9:B16)</f>
        <v>2465990</v>
      </c>
      <c r="C17" s="58">
        <f t="shared" si="5"/>
        <v>1</v>
      </c>
      <c r="D17" s="7">
        <f>SUM(D9:D16)</f>
        <v>1364205</v>
      </c>
      <c r="E17" s="58">
        <f t="shared" si="5"/>
        <v>1</v>
      </c>
      <c r="F17" s="7">
        <f>SUM(F9:F16)</f>
        <v>1640470</v>
      </c>
      <c r="G17" s="58">
        <f t="shared" si="5"/>
        <v>1</v>
      </c>
      <c r="H17" s="7">
        <f>SUM(H9:H16)</f>
        <v>1414743</v>
      </c>
      <c r="I17" s="58">
        <f t="shared" si="5"/>
        <v>1</v>
      </c>
      <c r="J17" s="7">
        <f>SUM(J9:J16)</f>
        <v>1386270</v>
      </c>
      <c r="K17" s="58">
        <f t="shared" si="5"/>
        <v>1</v>
      </c>
      <c r="L17" s="7">
        <f>SUM(L9:L16)</f>
        <v>1679667</v>
      </c>
      <c r="M17" s="58">
        <f t="shared" si="5"/>
        <v>1</v>
      </c>
      <c r="N17" s="7">
        <f>SUM(N9:N16)</f>
        <v>1417140</v>
      </c>
      <c r="O17" s="58">
        <f t="shared" si="5"/>
        <v>1</v>
      </c>
      <c r="P17" s="7">
        <f>SUM(P9:P16)</f>
        <v>1933978</v>
      </c>
      <c r="Q17" s="58">
        <f t="shared" si="5"/>
        <v>1</v>
      </c>
      <c r="R17" s="7">
        <f>SUM(R9:R16)</f>
        <v>1737463</v>
      </c>
      <c r="S17" s="58">
        <f t="shared" si="5"/>
        <v>1</v>
      </c>
      <c r="T17" s="7">
        <f>SUM(T9:T16)</f>
        <v>1178444</v>
      </c>
      <c r="U17" s="58">
        <f t="shared" si="5"/>
        <v>1</v>
      </c>
      <c r="V17" s="7">
        <f>SUM(V9:V16)</f>
        <v>2312914</v>
      </c>
      <c r="W17" s="58">
        <f t="shared" si="5"/>
        <v>1</v>
      </c>
      <c r="X17" s="7">
        <f>SUM(X9:X16)</f>
        <v>1126762</v>
      </c>
      <c r="Y17" s="58">
        <f t="shared" si="6"/>
        <v>1</v>
      </c>
      <c r="Z17" s="7">
        <f t="shared" si="3"/>
        <v>19658046</v>
      </c>
      <c r="AA17" s="7">
        <f t="shared" si="4"/>
        <v>1638170.5</v>
      </c>
      <c r="AB17" s="7">
        <f t="shared" si="0"/>
        <v>1539373.3333333333</v>
      </c>
      <c r="AC17" s="7"/>
      <c r="AD17" s="35"/>
      <c r="AE17" s="7">
        <f>IFERROR(AVERAGE(R17:V17),0)</f>
        <v>1045764.6</v>
      </c>
      <c r="AF17" s="40"/>
      <c r="AG17" s="24" t="s">
        <v>155</v>
      </c>
      <c r="AI17" s="24" t="s">
        <v>156</v>
      </c>
      <c r="AK17" s="56">
        <f t="shared" si="2"/>
        <v>18472480</v>
      </c>
      <c r="AL17" s="66">
        <f t="shared" si="7"/>
        <v>1539373.3333333333</v>
      </c>
      <c r="AM17" s="135"/>
    </row>
    <row r="18" spans="1:39" s="53" customFormat="1" ht="20" customHeight="1">
      <c r="A18" s="144"/>
      <c r="B18" s="51"/>
      <c r="C18" s="59"/>
      <c r="D18" s="51"/>
      <c r="E18" s="59"/>
      <c r="F18" s="51"/>
      <c r="G18" s="59"/>
      <c r="H18" s="51"/>
      <c r="I18" s="59"/>
      <c r="J18" s="51"/>
      <c r="K18" s="59"/>
      <c r="L18" s="51"/>
      <c r="M18" s="59"/>
      <c r="N18" s="51"/>
      <c r="O18" s="59"/>
      <c r="P18" s="51"/>
      <c r="Q18" s="59"/>
      <c r="R18" s="51"/>
      <c r="S18" s="59"/>
      <c r="T18" s="51"/>
      <c r="U18" s="59"/>
      <c r="V18" s="51"/>
      <c r="W18" s="59"/>
      <c r="X18" s="51"/>
      <c r="Y18" s="59"/>
      <c r="Z18" s="59"/>
      <c r="AA18" s="59"/>
      <c r="AB18" s="59"/>
      <c r="AC18" s="51"/>
      <c r="AD18" s="51"/>
      <c r="AE18" s="51"/>
      <c r="AF18" s="52"/>
      <c r="AK18" s="56"/>
      <c r="AL18" s="66"/>
      <c r="AM18" s="136"/>
    </row>
    <row r="19" spans="1:39" s="53" customFormat="1" ht="20" customHeight="1">
      <c r="A19" s="144"/>
      <c r="B19" s="51"/>
      <c r="C19" s="59"/>
      <c r="D19" s="51"/>
      <c r="E19" s="59"/>
      <c r="F19" s="51"/>
      <c r="G19" s="59"/>
      <c r="H19" s="51"/>
      <c r="I19" s="59"/>
      <c r="J19" s="51"/>
      <c r="K19" s="59"/>
      <c r="L19" s="51"/>
      <c r="M19" s="59"/>
      <c r="N19" s="51"/>
      <c r="O19" s="59"/>
      <c r="P19" s="51"/>
      <c r="Q19" s="59"/>
      <c r="R19" s="51"/>
      <c r="S19" s="59"/>
      <c r="T19" s="51"/>
      <c r="U19" s="59"/>
      <c r="V19" s="51"/>
      <c r="W19" s="59"/>
      <c r="X19" s="51"/>
      <c r="Y19" s="59"/>
      <c r="Z19" s="51"/>
      <c r="AA19" s="51"/>
      <c r="AB19" s="51"/>
      <c r="AC19" s="51"/>
      <c r="AD19" s="51"/>
      <c r="AE19" s="51"/>
      <c r="AF19" s="52"/>
      <c r="AK19" s="56"/>
      <c r="AL19" s="66"/>
      <c r="AM19" s="136"/>
    </row>
    <row r="20" spans="1:39" ht="20" customHeight="1">
      <c r="A20" s="141" t="s">
        <v>46</v>
      </c>
      <c r="B20" s="16"/>
      <c r="C20" s="22"/>
      <c r="D20" s="16"/>
      <c r="E20" s="22"/>
      <c r="F20" s="16"/>
      <c r="G20" s="22"/>
      <c r="H20" s="16"/>
      <c r="I20" s="22"/>
      <c r="J20" s="16"/>
      <c r="K20" s="22"/>
      <c r="L20" s="16"/>
      <c r="M20" s="22"/>
      <c r="N20" s="16"/>
      <c r="O20" s="22"/>
      <c r="P20" s="16"/>
      <c r="Q20" s="22"/>
      <c r="R20" s="16"/>
      <c r="S20" s="22"/>
      <c r="T20" s="16"/>
      <c r="U20" s="22"/>
      <c r="V20" s="16"/>
      <c r="W20" s="22"/>
      <c r="X20" s="16"/>
      <c r="Y20" s="22"/>
      <c r="Z20" s="16"/>
      <c r="AA20" s="16"/>
      <c r="AB20" s="16"/>
      <c r="AC20" s="16"/>
      <c r="AD20" s="16"/>
      <c r="AE20" s="16"/>
      <c r="AF20" s="12"/>
      <c r="AK20" s="56"/>
      <c r="AL20" s="66"/>
    </row>
    <row r="21" spans="1:39" ht="20" customHeight="1">
      <c r="A21" s="142" t="s">
        <v>47</v>
      </c>
      <c r="B21" s="16">
        <f>+'Combined Company'!B21-Ohio!B21</f>
        <v>42862</v>
      </c>
      <c r="C21" s="22">
        <f>B21/B$17</f>
        <v>1.7381254587407087E-2</v>
      </c>
      <c r="D21" s="16">
        <f>+'Combined Company'!D21-Ohio!D21</f>
        <v>62729</v>
      </c>
      <c r="E21" s="22">
        <f>D21/D$17</f>
        <v>4.5982092134246685E-2</v>
      </c>
      <c r="F21" s="16">
        <f>+'Combined Company'!F21-Ohio!F21</f>
        <v>54143</v>
      </c>
      <c r="G21" s="22">
        <f>F21/F$17</f>
        <v>3.3004565764689388E-2</v>
      </c>
      <c r="H21" s="16">
        <f>+'Combined Company'!H21-Ohio!H21</f>
        <v>21639</v>
      </c>
      <c r="I21" s="22">
        <f>H21/H$17</f>
        <v>1.5295357531367888E-2</v>
      </c>
      <c r="J21" s="16">
        <f>+'Combined Company'!J21-Ohio!J21</f>
        <v>23577</v>
      </c>
      <c r="K21" s="22">
        <f>J21/J$17</f>
        <v>1.7007509359648555E-2</v>
      </c>
      <c r="L21" s="16">
        <f>+'Combined Company'!L21-Ohio!L21</f>
        <v>19641</v>
      </c>
      <c r="M21" s="22">
        <f>L21/L$17</f>
        <v>1.1693389225364312E-2</v>
      </c>
      <c r="N21" s="16">
        <f>+'Combined Company'!N21-Ohio!N21</f>
        <v>19527</v>
      </c>
      <c r="O21" s="22">
        <f>N21/N$17</f>
        <v>1.3779160845082348E-2</v>
      </c>
      <c r="P21" s="16">
        <f>+'Combined Company'!P21-Ohio!P21</f>
        <v>29057</v>
      </c>
      <c r="Q21" s="22">
        <f>P21/P$17</f>
        <v>1.5024472874045102E-2</v>
      </c>
      <c r="R21" s="16">
        <f>+'Combined Company'!R21-Ohio!R21</f>
        <v>7697</v>
      </c>
      <c r="S21" s="22">
        <f>R21/R$17</f>
        <v>4.430022394721499E-3</v>
      </c>
      <c r="T21" s="16">
        <f>+'Combined Company'!T21-Ohio!T21</f>
        <v>13074</v>
      </c>
      <c r="U21" s="22">
        <f>T21/T$17</f>
        <v>1.1094290437220607E-2</v>
      </c>
      <c r="V21" s="16">
        <f>+'Combined Company'!V21-Ohio!V21</f>
        <v>12943</v>
      </c>
      <c r="W21" s="22">
        <f>V21/V$17</f>
        <v>5.5959711428959311E-3</v>
      </c>
      <c r="X21" s="16">
        <f>+'Combined Company'!X21-Ohio!X21</f>
        <v>14293</v>
      </c>
      <c r="Y21" s="22">
        <f t="shared" ref="Y21:Y27" si="8">X21/X$17</f>
        <v>1.2685021326597809E-2</v>
      </c>
      <c r="Z21" s="16">
        <f t="shared" ref="Z21:Z29" si="9">SUM(F21,H21,J21,L21,N21,P21,R21,T21,V21,X21)</f>
        <v>215591</v>
      </c>
      <c r="AA21" s="16">
        <f t="shared" ref="AA21:AA27" si="10">IFERROR(AVERAGE(B21,D21,F21,H21,J21,L21,N21,P21,R21,T21,V21,X21),0)</f>
        <v>26765.166666666668</v>
      </c>
      <c r="AB21" s="16">
        <f t="shared" ref="AB21:AB29" si="11">IFERROR(AVERAGE(T21,V21,X21),0)</f>
        <v>13436.666666666666</v>
      </c>
      <c r="AC21" s="16"/>
      <c r="AD21" s="33"/>
      <c r="AE21" s="16">
        <f>IFERROR(AVERAGE(R21:V21),0)</f>
        <v>6742.8031048625662</v>
      </c>
      <c r="AF21" s="33"/>
      <c r="AK21" s="56">
        <f t="shared" ref="AK21:AK27" si="12">SUM(T21,V21,X21)*4</f>
        <v>161240</v>
      </c>
      <c r="AL21" s="66">
        <f>AK21/12</f>
        <v>13436.666666666666</v>
      </c>
    </row>
    <row r="22" spans="1:39" ht="20" customHeight="1">
      <c r="A22" s="142" t="s">
        <v>48</v>
      </c>
      <c r="B22" s="16">
        <f>+'Combined Company'!B22-Ohio!B22</f>
        <v>143457</v>
      </c>
      <c r="C22" s="22">
        <f>B22/B$17</f>
        <v>5.8174201841856614E-2</v>
      </c>
      <c r="D22" s="16">
        <f>+'Combined Company'!D22-Ohio!D22</f>
        <v>150427</v>
      </c>
      <c r="E22" s="22">
        <f>D22/D$17</f>
        <v>0.11026715193097812</v>
      </c>
      <c r="F22" s="16">
        <f>+'Combined Company'!F22-Ohio!F22</f>
        <v>147642</v>
      </c>
      <c r="G22" s="22">
        <f>F22/F$17</f>
        <v>8.9999817125579862E-2</v>
      </c>
      <c r="H22" s="16">
        <f>+'Combined Company'!H22-Ohio!H22</f>
        <v>39759</v>
      </c>
      <c r="I22" s="22">
        <f>H22/H$17</f>
        <v>2.8103337496633664E-2</v>
      </c>
      <c r="J22" s="16">
        <f>+'Combined Company'!J22-Ohio!J22</f>
        <v>40214</v>
      </c>
      <c r="K22" s="22">
        <f>J22/J$17</f>
        <v>2.90087789535949E-2</v>
      </c>
      <c r="L22" s="16">
        <f>+'Combined Company'!L22-Ohio!L22</f>
        <v>51921</v>
      </c>
      <c r="M22" s="22">
        <f>L22/L$17</f>
        <v>3.0911484240626268E-2</v>
      </c>
      <c r="N22" s="16">
        <f>+'Combined Company'!N22-Ohio!N22</f>
        <v>42593</v>
      </c>
      <c r="O22" s="22">
        <f>N22/N$17</f>
        <v>3.0055604950816432E-2</v>
      </c>
      <c r="P22" s="16">
        <f>+'Combined Company'!P22-Ohio!P22</f>
        <v>26873</v>
      </c>
      <c r="Q22" s="22">
        <f>P22/P$17</f>
        <v>1.3895194257638918E-2</v>
      </c>
      <c r="R22" s="16">
        <f>+'Combined Company'!R22-Ohio!R22</f>
        <v>42882</v>
      </c>
      <c r="S22" s="22">
        <f>R22/R$17</f>
        <v>2.4680813346816596E-2</v>
      </c>
      <c r="T22" s="16">
        <f>+'Combined Company'!T22-Ohio!T22</f>
        <v>12606</v>
      </c>
      <c r="U22" s="22">
        <f>T22/T$17</f>
        <v>1.069715658953671E-2</v>
      </c>
      <c r="V22" s="16">
        <f>+'Combined Company'!V22-Ohio!V22</f>
        <v>17882</v>
      </c>
      <c r="W22" s="22">
        <f>V22/V$17</f>
        <v>7.7313726320995943E-3</v>
      </c>
      <c r="X22" s="16">
        <f>+'Combined Company'!X22-Ohio!X22</f>
        <v>13304</v>
      </c>
      <c r="Y22" s="22">
        <f t="shared" si="8"/>
        <v>1.1807284945711694E-2</v>
      </c>
      <c r="Z22" s="16">
        <f t="shared" si="9"/>
        <v>435676</v>
      </c>
      <c r="AA22" s="16">
        <f t="shared" si="10"/>
        <v>60796.666666666664</v>
      </c>
      <c r="AB22" s="16">
        <f t="shared" si="11"/>
        <v>14597.333333333334</v>
      </c>
      <c r="AC22" s="16"/>
      <c r="AD22" s="33"/>
      <c r="AE22" s="16">
        <f>IFERROR(AVERAGE(R22:V22),0)</f>
        <v>14674.007075593987</v>
      </c>
      <c r="AF22" s="33"/>
      <c r="AK22" s="56">
        <f t="shared" si="12"/>
        <v>175168</v>
      </c>
      <c r="AL22" s="66">
        <f>AK22/12</f>
        <v>14597.333333333334</v>
      </c>
    </row>
    <row r="23" spans="1:39" ht="20" customHeight="1">
      <c r="A23" s="142" t="s">
        <v>49</v>
      </c>
      <c r="B23" s="16">
        <f>+'Combined Company'!B23-Ohio!B23</f>
        <v>0</v>
      </c>
      <c r="C23" s="22"/>
      <c r="D23" s="16">
        <f>+'Combined Company'!D23-Ohio!D23</f>
        <v>0</v>
      </c>
      <c r="E23" s="22"/>
      <c r="F23" s="16">
        <f>+'Combined Company'!F23-Ohio!F23</f>
        <v>0</v>
      </c>
      <c r="G23" s="22"/>
      <c r="H23" s="16">
        <f>+'Combined Company'!H23-Ohio!H23</f>
        <v>185759</v>
      </c>
      <c r="I23" s="22"/>
      <c r="J23" s="16">
        <f>+'Combined Company'!J23-Ohio!J23</f>
        <v>172602</v>
      </c>
      <c r="K23" s="22"/>
      <c r="L23" s="16">
        <f>+'Combined Company'!L23-Ohio!L23</f>
        <v>204537</v>
      </c>
      <c r="M23" s="22"/>
      <c r="N23" s="16">
        <f>+'Combined Company'!N23-Ohio!N23</f>
        <v>142090</v>
      </c>
      <c r="O23" s="22"/>
      <c r="P23" s="16">
        <f>+'Combined Company'!P23-Ohio!P23</f>
        <v>198711</v>
      </c>
      <c r="Q23" s="22"/>
      <c r="R23" s="16">
        <f>+'Combined Company'!R23-Ohio!R23</f>
        <v>172077</v>
      </c>
      <c r="S23" s="22"/>
      <c r="T23" s="16">
        <f>+'Combined Company'!T23-Ohio!T23</f>
        <v>171019</v>
      </c>
      <c r="U23" s="22"/>
      <c r="V23" s="16">
        <f>+'Combined Company'!V23-Ohio!V23</f>
        <v>157708</v>
      </c>
      <c r="W23" s="22"/>
      <c r="X23" s="16">
        <f>+'Combined Company'!X23-Ohio!X23</f>
        <v>138529</v>
      </c>
      <c r="Y23" s="22">
        <f t="shared" si="8"/>
        <v>0.1229443307459783</v>
      </c>
      <c r="Z23" s="16">
        <f t="shared" si="9"/>
        <v>1543032</v>
      </c>
      <c r="AA23" s="16">
        <f t="shared" si="10"/>
        <v>128586</v>
      </c>
      <c r="AB23" s="16">
        <f t="shared" si="11"/>
        <v>155752</v>
      </c>
      <c r="AC23" s="16"/>
      <c r="AD23" s="33"/>
      <c r="AE23" s="16"/>
      <c r="AF23" s="33"/>
      <c r="AK23" s="56">
        <f t="shared" si="12"/>
        <v>1869024</v>
      </c>
      <c r="AL23" s="66"/>
    </row>
    <row r="24" spans="1:39" ht="20" customHeight="1">
      <c r="A24" s="142" t="s">
        <v>50</v>
      </c>
      <c r="B24" s="16">
        <f>+'Combined Company'!B24-Ohio!B24</f>
        <v>0</v>
      </c>
      <c r="C24" s="22">
        <f>B24/B$17</f>
        <v>0</v>
      </c>
      <c r="D24" s="16">
        <f>+'Combined Company'!D24-Ohio!D24</f>
        <v>0</v>
      </c>
      <c r="E24" s="22">
        <f>D24/D$17</f>
        <v>0</v>
      </c>
      <c r="F24" s="16">
        <f>+'Combined Company'!F24-Ohio!F24</f>
        <v>0</v>
      </c>
      <c r="G24" s="22">
        <f>F24/F$17</f>
        <v>0</v>
      </c>
      <c r="H24" s="16">
        <f>+'Combined Company'!H24-Ohio!H24</f>
        <v>0</v>
      </c>
      <c r="I24" s="22">
        <f>H24/H$17</f>
        <v>0</v>
      </c>
      <c r="J24" s="16">
        <f>+'Combined Company'!J24-Ohio!J24</f>
        <v>0</v>
      </c>
      <c r="K24" s="22">
        <f>J24/J$17</f>
        <v>0</v>
      </c>
      <c r="L24" s="16">
        <f>+'Combined Company'!L24-Ohio!L24</f>
        <v>0</v>
      </c>
      <c r="M24" s="22">
        <f>L24/L$17</f>
        <v>0</v>
      </c>
      <c r="N24" s="16">
        <f>+'Combined Company'!N24-Ohio!N24</f>
        <v>0</v>
      </c>
      <c r="O24" s="22">
        <f>N24/N$17</f>
        <v>0</v>
      </c>
      <c r="P24" s="16">
        <f>+'Combined Company'!P24-Ohio!P24</f>
        <v>0</v>
      </c>
      <c r="Q24" s="22">
        <f>P24/P$17</f>
        <v>0</v>
      </c>
      <c r="R24" s="16">
        <f>+'Combined Company'!R24-Ohio!R24</f>
        <v>0</v>
      </c>
      <c r="S24" s="22">
        <f>R24/R$17</f>
        <v>0</v>
      </c>
      <c r="T24" s="16">
        <f>+'Combined Company'!T24-Ohio!T24</f>
        <v>2039</v>
      </c>
      <c r="U24" s="22">
        <f>T24/T$17</f>
        <v>1.7302476825373119E-3</v>
      </c>
      <c r="V24" s="16">
        <f>+'Combined Company'!V24-Ohio!V24</f>
        <v>0</v>
      </c>
      <c r="W24" s="22">
        <f>V24/V$17</f>
        <v>0</v>
      </c>
      <c r="X24" s="16">
        <f>+'Combined Company'!X24-Ohio!X24</f>
        <v>0</v>
      </c>
      <c r="Y24" s="22">
        <f t="shared" si="8"/>
        <v>0</v>
      </c>
      <c r="Z24" s="16">
        <f t="shared" si="9"/>
        <v>2039</v>
      </c>
      <c r="AA24" s="16">
        <f t="shared" si="10"/>
        <v>169.91666666666666</v>
      </c>
      <c r="AB24" s="16">
        <f t="shared" si="11"/>
        <v>679.66666666666663</v>
      </c>
      <c r="AC24" s="16"/>
      <c r="AD24" s="33"/>
      <c r="AE24" s="16">
        <f>IFERROR(AVERAGE(R24:V24),0)</f>
        <v>407.80034604953653</v>
      </c>
      <c r="AF24" s="33"/>
      <c r="AK24" s="56">
        <f t="shared" si="12"/>
        <v>8156</v>
      </c>
      <c r="AL24" s="66">
        <f>AK24/12</f>
        <v>679.66666666666663</v>
      </c>
    </row>
    <row r="25" spans="1:39" ht="20" customHeight="1">
      <c r="A25" s="142" t="s">
        <v>51</v>
      </c>
      <c r="B25" s="16">
        <f>+'Combined Company'!B25-Ohio!B25</f>
        <v>53187</v>
      </c>
      <c r="C25" s="22">
        <f>B25/B$17</f>
        <v>2.1568213983025074E-2</v>
      </c>
      <c r="D25" s="16">
        <f>+'Combined Company'!D25-Ohio!D25</f>
        <v>63451</v>
      </c>
      <c r="E25" s="22">
        <f>D25/D$17</f>
        <v>4.6511338105343407E-2</v>
      </c>
      <c r="F25" s="16">
        <f>+'Combined Company'!F25-Ohio!F25</f>
        <v>33469</v>
      </c>
      <c r="G25" s="22">
        <f>F25/F$17</f>
        <v>2.0402079891738343E-2</v>
      </c>
      <c r="H25" s="16">
        <f>+'Combined Company'!H25-Ohio!H25</f>
        <v>24206</v>
      </c>
      <c r="I25" s="22">
        <f>H25/H$17</f>
        <v>1.7109821359780539E-2</v>
      </c>
      <c r="J25" s="16">
        <f>+'Combined Company'!J25-Ohio!J25</f>
        <v>30438</v>
      </c>
      <c r="K25" s="22">
        <f>J25/J$17</f>
        <v>2.1956761669804585E-2</v>
      </c>
      <c r="L25" s="16">
        <f>+'Combined Company'!L25-Ohio!L25</f>
        <v>22057</v>
      </c>
      <c r="M25" s="22">
        <f>L25/L$17</f>
        <v>1.3131769570992345E-2</v>
      </c>
      <c r="N25" s="16">
        <f>+'Combined Company'!N25-Ohio!N25</f>
        <v>138130</v>
      </c>
      <c r="O25" s="22">
        <f>N25/N$17</f>
        <v>9.7470962643069842E-2</v>
      </c>
      <c r="P25" s="16">
        <f>+'Combined Company'!P25-Ohio!P25</f>
        <v>50205</v>
      </c>
      <c r="Q25" s="22">
        <f>P25/P$17</f>
        <v>2.5959447315326234E-2</v>
      </c>
      <c r="R25" s="16">
        <f>+'Combined Company'!R25-Ohio!R25</f>
        <v>26684</v>
      </c>
      <c r="S25" s="22">
        <f>R25/R$17</f>
        <v>1.5358024890314211E-2</v>
      </c>
      <c r="T25" s="16">
        <f>+'Combined Company'!T25-Ohio!T25</f>
        <v>24212</v>
      </c>
      <c r="U25" s="22">
        <f>T25/T$17</f>
        <v>2.0545736581458262E-2</v>
      </c>
      <c r="V25" s="16">
        <f>+'Combined Company'!V25-Ohio!V25</f>
        <v>14381</v>
      </c>
      <c r="W25" s="22">
        <f>V25/V$17</f>
        <v>6.2176976748811244E-3</v>
      </c>
      <c r="X25" s="16">
        <f>+'Combined Company'!X25-Ohio!X25</f>
        <v>0</v>
      </c>
      <c r="Y25" s="22">
        <f t="shared" si="8"/>
        <v>0</v>
      </c>
      <c r="Z25" s="16">
        <f t="shared" si="9"/>
        <v>363782</v>
      </c>
      <c r="AA25" s="16">
        <f t="shared" si="10"/>
        <v>40035</v>
      </c>
      <c r="AB25" s="16">
        <f t="shared" si="11"/>
        <v>12864.333333333334</v>
      </c>
      <c r="AC25" s="16"/>
      <c r="AD25" s="34"/>
      <c r="AE25" s="16">
        <f>IFERROR(AVERAGE(R25:V25),0)</f>
        <v>13055.407180752294</v>
      </c>
      <c r="AF25" s="33"/>
      <c r="AK25" s="56">
        <f t="shared" si="12"/>
        <v>154372</v>
      </c>
      <c r="AL25" s="66">
        <f t="shared" si="7"/>
        <v>12864.333333333334</v>
      </c>
    </row>
    <row r="26" spans="1:39" ht="20" customHeight="1">
      <c r="A26" s="142" t="s">
        <v>52</v>
      </c>
      <c r="B26" s="16">
        <f>+'Combined Company'!B26-Ohio!B26</f>
        <v>1161366</v>
      </c>
      <c r="C26" s="22">
        <f>B26/B$17</f>
        <v>0.47095324798559607</v>
      </c>
      <c r="D26" s="16">
        <f>+'Combined Company'!D26-Ohio!D26</f>
        <v>208251</v>
      </c>
      <c r="E26" s="22">
        <f>D26/D$17</f>
        <v>0.15265374338900678</v>
      </c>
      <c r="F26" s="16">
        <f>+'Combined Company'!F26-Ohio!F26</f>
        <v>415849</v>
      </c>
      <c r="G26" s="22">
        <f>F26/F$17</f>
        <v>0.25349381579669239</v>
      </c>
      <c r="H26" s="16">
        <f>+'Combined Company'!H26-Ohio!H26</f>
        <v>296207</v>
      </c>
      <c r="I26" s="22">
        <f>H26/H$17</f>
        <v>0.20937159611321632</v>
      </c>
      <c r="J26" s="16">
        <f>+'Combined Company'!J26-Ohio!J26</f>
        <v>197915</v>
      </c>
      <c r="K26" s="22">
        <f>J26/J$17</f>
        <v>0.14276800334711132</v>
      </c>
      <c r="L26" s="16">
        <f>+'Combined Company'!L26-Ohio!L26</f>
        <v>477771</v>
      </c>
      <c r="M26" s="22">
        <f>L26/L$17</f>
        <v>0.28444388084066663</v>
      </c>
      <c r="N26" s="16">
        <f>+'Combined Company'!N26-Ohio!N26</f>
        <v>163858</v>
      </c>
      <c r="O26" s="22">
        <f>N26/N$17</f>
        <v>0.11562583795531846</v>
      </c>
      <c r="P26" s="16">
        <f>+'Combined Company'!P26-Ohio!P26</f>
        <v>747057</v>
      </c>
      <c r="Q26" s="22">
        <f>P26/P$17</f>
        <v>0.38627998870721386</v>
      </c>
      <c r="R26" s="16">
        <f>+'Combined Company'!R26-Ohio!R26</f>
        <v>696978</v>
      </c>
      <c r="S26" s="22">
        <f>R26/R$17</f>
        <v>0.40114695967626363</v>
      </c>
      <c r="T26" s="16">
        <f>+'Combined Company'!T26-Ohio!T26</f>
        <v>302038</v>
      </c>
      <c r="U26" s="22">
        <f>T26/T$17</f>
        <v>0.25630237839048781</v>
      </c>
      <c r="V26" s="16">
        <f>+'Combined Company'!V26-Ohio!V26</f>
        <v>1247100</v>
      </c>
      <c r="W26" s="22">
        <f>V26/V$17</f>
        <v>0.53918995691149774</v>
      </c>
      <c r="X26" s="16">
        <f>+'Combined Company'!X26-Ohio!X26</f>
        <v>450151</v>
      </c>
      <c r="Y26" s="22">
        <f t="shared" si="8"/>
        <v>0.39950850312665853</v>
      </c>
      <c r="Z26" s="16">
        <f t="shared" si="9"/>
        <v>4994924</v>
      </c>
      <c r="AA26" s="16">
        <f t="shared" si="10"/>
        <v>530378.41666666663</v>
      </c>
      <c r="AB26" s="16">
        <f t="shared" si="11"/>
        <v>666429.66666666663</v>
      </c>
      <c r="AC26" s="16"/>
      <c r="AD26" s="33"/>
      <c r="AE26" s="16">
        <f>IFERROR(AVERAGE(R26:V26),0)</f>
        <v>449223.33148986765</v>
      </c>
      <c r="AF26" s="33"/>
      <c r="AK26" s="56">
        <f t="shared" si="12"/>
        <v>7997156</v>
      </c>
      <c r="AL26" s="66">
        <f t="shared" si="7"/>
        <v>666429.66666666663</v>
      </c>
    </row>
    <row r="27" spans="1:39" s="24" customFormat="1" ht="20" customHeight="1">
      <c r="A27" s="145" t="s">
        <v>53</v>
      </c>
      <c r="B27" s="9">
        <f>SUM(B21:B26)</f>
        <v>1400872</v>
      </c>
      <c r="C27" s="60">
        <f>B27/B$17</f>
        <v>0.56807691839788488</v>
      </c>
      <c r="D27" s="9">
        <f>SUM(D21:D26)</f>
        <v>484858</v>
      </c>
      <c r="E27" s="60">
        <f>D27/D$17</f>
        <v>0.35541432555957497</v>
      </c>
      <c r="F27" s="9">
        <f>SUM(F21:F26)</f>
        <v>651103</v>
      </c>
      <c r="G27" s="60">
        <f>F27/F$17</f>
        <v>0.39690027857870003</v>
      </c>
      <c r="H27" s="9">
        <f>SUM(H21:H26)</f>
        <v>567570</v>
      </c>
      <c r="I27" s="60">
        <f>H27/H$17</f>
        <v>0.40118240556765433</v>
      </c>
      <c r="J27" s="9">
        <f>SUM(J21:J26)</f>
        <v>464746</v>
      </c>
      <c r="K27" s="60">
        <f>J27/J$17</f>
        <v>0.33524926601599975</v>
      </c>
      <c r="L27" s="9">
        <f>SUM(L21:L26)</f>
        <v>775927</v>
      </c>
      <c r="M27" s="60">
        <f>L27/L$17</f>
        <v>0.4619528751829976</v>
      </c>
      <c r="N27" s="9">
        <f>SUM(N21:N26)</f>
        <v>506198</v>
      </c>
      <c r="O27" s="60">
        <f>N27/N$17</f>
        <v>0.3571968895098579</v>
      </c>
      <c r="P27" s="9">
        <f>SUM(P21:P26)</f>
        <v>1051903</v>
      </c>
      <c r="Q27" s="60">
        <f>P27/P$17</f>
        <v>0.54390639397138951</v>
      </c>
      <c r="R27" s="9">
        <f>SUM(R21:R26)</f>
        <v>946318</v>
      </c>
      <c r="S27" s="60">
        <f>R27/R$17</f>
        <v>0.54465505164714301</v>
      </c>
      <c r="T27" s="9">
        <f>SUM(T21:T26)</f>
        <v>524988</v>
      </c>
      <c r="U27" s="60">
        <f>T27/T$17</f>
        <v>0.44549253082878781</v>
      </c>
      <c r="V27" s="9">
        <f>SUM(V21:V26)</f>
        <v>1450014</v>
      </c>
      <c r="W27" s="60">
        <f>V27/V$17</f>
        <v>0.6269208453059647</v>
      </c>
      <c r="X27" s="9">
        <f>SUM(X21:X26)</f>
        <v>616277</v>
      </c>
      <c r="Y27" s="60">
        <f t="shared" si="8"/>
        <v>0.54694514014494633</v>
      </c>
      <c r="Z27" s="9">
        <f t="shared" si="9"/>
        <v>7555044</v>
      </c>
      <c r="AA27" s="9">
        <f t="shared" si="10"/>
        <v>786731.16666666663</v>
      </c>
      <c r="AB27" s="9">
        <f t="shared" si="11"/>
        <v>863759.66666666663</v>
      </c>
      <c r="AC27" s="9"/>
      <c r="AD27" s="36"/>
      <c r="AE27" s="9">
        <f>IFERROR(AVERAGE(R27:V27),0)</f>
        <v>584264.1980295165</v>
      </c>
      <c r="AF27" s="40"/>
      <c r="AK27" s="56">
        <f t="shared" si="12"/>
        <v>10365116</v>
      </c>
      <c r="AL27" s="66">
        <f t="shared" si="7"/>
        <v>863759.66666666663</v>
      </c>
      <c r="AM27" s="135"/>
    </row>
    <row r="28" spans="1:39" ht="20" customHeight="1" thickBot="1">
      <c r="A28" s="144"/>
      <c r="B28" s="51"/>
      <c r="C28" s="59"/>
      <c r="D28" s="51"/>
      <c r="E28" s="59"/>
      <c r="F28" s="51"/>
      <c r="G28" s="59"/>
      <c r="H28" s="51"/>
      <c r="I28" s="59"/>
      <c r="J28" s="51"/>
      <c r="K28" s="59"/>
      <c r="L28" s="51"/>
      <c r="M28" s="59"/>
      <c r="N28" s="51"/>
      <c r="O28" s="59"/>
      <c r="P28" s="51"/>
      <c r="Q28" s="59"/>
      <c r="R28" s="51"/>
      <c r="S28" s="59"/>
      <c r="T28" s="51"/>
      <c r="U28" s="59"/>
      <c r="V28" s="51"/>
      <c r="W28" s="59"/>
      <c r="X28" s="51"/>
      <c r="Y28" s="59"/>
      <c r="Z28" s="51">
        <f t="shared" si="9"/>
        <v>0</v>
      </c>
      <c r="AA28" s="51">
        <f t="shared" ref="AA28" si="13">IFERROR(AVERAGE(F28,H28,J28,L28,N28,P28,R28,T28,V28,X28),0)</f>
        <v>0</v>
      </c>
      <c r="AB28" s="51">
        <f t="shared" si="11"/>
        <v>0</v>
      </c>
      <c r="AC28" s="59"/>
      <c r="AD28" s="51"/>
      <c r="AE28" s="51"/>
      <c r="AF28" s="54"/>
      <c r="AK28" s="56"/>
      <c r="AL28" s="66"/>
    </row>
    <row r="29" spans="1:39" s="24" customFormat="1" ht="20" customHeight="1" thickTop="1" thickBot="1">
      <c r="A29" s="146" t="s">
        <v>54</v>
      </c>
      <c r="B29" s="11">
        <f>+B17-B27</f>
        <v>1065118</v>
      </c>
      <c r="C29" s="61">
        <f>B29/B$17</f>
        <v>0.43192308160211518</v>
      </c>
      <c r="D29" s="11">
        <f>+D17-D27</f>
        <v>879347</v>
      </c>
      <c r="E29" s="61">
        <f>D29/D$17</f>
        <v>0.64458567444042503</v>
      </c>
      <c r="F29" s="11">
        <f>+F17-F27</f>
        <v>989367</v>
      </c>
      <c r="G29" s="61">
        <f>F29/F$17</f>
        <v>0.60309972142129997</v>
      </c>
      <c r="H29" s="11">
        <f>+H17-H27</f>
        <v>847173</v>
      </c>
      <c r="I29" s="61">
        <f>H29/H$17</f>
        <v>0.59881759443234561</v>
      </c>
      <c r="J29" s="11">
        <f>+J17-J27</f>
        <v>921524</v>
      </c>
      <c r="K29" s="61">
        <f>J29/J$17</f>
        <v>0.6647507339840002</v>
      </c>
      <c r="L29" s="11">
        <f>+L17-L27</f>
        <v>903740</v>
      </c>
      <c r="M29" s="61">
        <f>L29/L$17</f>
        <v>0.53804712481700245</v>
      </c>
      <c r="N29" s="11">
        <f>+N17-N27</f>
        <v>910942</v>
      </c>
      <c r="O29" s="61">
        <f>N29/N$17</f>
        <v>0.64280311049014216</v>
      </c>
      <c r="P29" s="11">
        <f>+P17-P27</f>
        <v>882075</v>
      </c>
      <c r="Q29" s="61">
        <f>P29/P$17</f>
        <v>0.45609360602861049</v>
      </c>
      <c r="R29" s="11">
        <f>+R17-R27</f>
        <v>791145</v>
      </c>
      <c r="S29" s="61">
        <f>R29/R$17</f>
        <v>0.45534494835285699</v>
      </c>
      <c r="T29" s="11">
        <f>+T17-T27</f>
        <v>653456</v>
      </c>
      <c r="U29" s="61">
        <f>T29/T$17</f>
        <v>0.55450746917121219</v>
      </c>
      <c r="V29" s="11">
        <f>+V17-V27</f>
        <v>862900</v>
      </c>
      <c r="W29" s="61">
        <f>V29/V$17</f>
        <v>0.3730791546940353</v>
      </c>
      <c r="X29" s="11">
        <f>+X17-X27</f>
        <v>510485</v>
      </c>
      <c r="Y29" s="61">
        <f>X29/X$17</f>
        <v>0.45305485985505367</v>
      </c>
      <c r="Z29" s="11">
        <f t="shared" si="9"/>
        <v>8272807</v>
      </c>
      <c r="AA29" s="11">
        <f t="shared" ref="AA29" si="14">IFERROR(AVERAGE(B29,D29,F29,H29,J29,L29,N29,P29,R29,T29,V29,X29),0)</f>
        <v>851439.33333333337</v>
      </c>
      <c r="AB29" s="11">
        <f t="shared" si="11"/>
        <v>675613.66666666663</v>
      </c>
      <c r="AC29" s="11"/>
      <c r="AD29" s="37"/>
      <c r="AE29" s="11">
        <f>IFERROR(AVERAGE(R29:V29),0)</f>
        <v>461500.40197048354</v>
      </c>
      <c r="AF29" s="39"/>
      <c r="AK29" s="56">
        <f>SUM(T29,V29,X29)*4</f>
        <v>8107364</v>
      </c>
      <c r="AL29" s="66">
        <f t="shared" si="7"/>
        <v>675613.66666666663</v>
      </c>
      <c r="AM29" s="135"/>
    </row>
    <row r="30" spans="1:39" ht="20" customHeight="1" thickTop="1">
      <c r="A30" s="147" t="s">
        <v>55</v>
      </c>
      <c r="B30" s="22">
        <v>0.58670020822367763</v>
      </c>
      <c r="C30" s="22">
        <f t="shared" ref="C30" si="15">C29/C17</f>
        <v>0.43192308160211518</v>
      </c>
      <c r="D30" s="22">
        <v>0.58670020822367763</v>
      </c>
      <c r="E30" s="22">
        <f t="shared" ref="E30" si="16">E29/E17</f>
        <v>0.64458567444042503</v>
      </c>
      <c r="F30" s="22">
        <v>0.58670020822367763</v>
      </c>
      <c r="G30" s="22">
        <f t="shared" ref="G30" si="17">G29/G17</f>
        <v>0.60309972142129997</v>
      </c>
      <c r="H30" s="22">
        <v>0.58670020822367763</v>
      </c>
      <c r="I30" s="22">
        <f t="shared" ref="I30" si="18">I29/I17</f>
        <v>0.59881759443234561</v>
      </c>
      <c r="J30" s="22">
        <v>0.58670020822367763</v>
      </c>
      <c r="K30" s="22">
        <f t="shared" ref="K30" si="19">K29/K17</f>
        <v>0.6647507339840002</v>
      </c>
      <c r="L30" s="22">
        <v>0.58670020822367763</v>
      </c>
      <c r="M30" s="22">
        <f t="shared" ref="M30" si="20">M29/M17</f>
        <v>0.53804712481700245</v>
      </c>
      <c r="N30" s="22">
        <v>0.58670020822367763</v>
      </c>
      <c r="O30" s="22">
        <f t="shared" ref="O30" si="21">O29/O17</f>
        <v>0.64280311049014216</v>
      </c>
      <c r="P30" s="22">
        <v>0.58670020822367763</v>
      </c>
      <c r="Q30" s="22">
        <f t="shared" ref="Q30" si="22">Q29/Q17</f>
        <v>0.45609360602861049</v>
      </c>
      <c r="R30" s="22">
        <v>0.58670020822367763</v>
      </c>
      <c r="S30" s="22">
        <f t="shared" ref="S30" si="23">S29/S17</f>
        <v>0.45534494835285699</v>
      </c>
      <c r="T30" s="22">
        <v>0.58670020822367763</v>
      </c>
      <c r="U30" s="22">
        <f t="shared" ref="U30" si="24">U29/U17</f>
        <v>0.55450746917121219</v>
      </c>
      <c r="V30" s="22">
        <v>0.58670020822367763</v>
      </c>
      <c r="W30" s="22">
        <f t="shared" ref="W30:AB30" si="25">W29/W17</f>
        <v>0.3730791546940353</v>
      </c>
      <c r="X30" s="22">
        <v>0.58670020822367763</v>
      </c>
      <c r="Y30" s="22">
        <f t="shared" si="25"/>
        <v>0.45305485985505367</v>
      </c>
      <c r="Z30" s="22">
        <f t="shared" si="25"/>
        <v>0.42083567207035733</v>
      </c>
      <c r="AA30" s="22">
        <f t="shared" si="25"/>
        <v>0.51975013182897223</v>
      </c>
      <c r="AB30" s="22">
        <f t="shared" si="25"/>
        <v>0.43888876858981579</v>
      </c>
      <c r="AC30" s="12"/>
      <c r="AD30" s="33"/>
      <c r="AE30" s="12"/>
      <c r="AF30" s="33"/>
      <c r="AH30" s="132">
        <v>0.55000000000000004</v>
      </c>
      <c r="AI30" s="132"/>
      <c r="AJ30" s="132"/>
      <c r="AK30" s="56"/>
    </row>
    <row r="31" spans="1:39" ht="20" customHeight="1">
      <c r="A31" s="142"/>
      <c r="B31" s="16"/>
      <c r="C31" s="22"/>
      <c r="D31" s="16"/>
      <c r="E31" s="22"/>
      <c r="F31" s="16"/>
      <c r="G31" s="22"/>
      <c r="H31" s="16"/>
      <c r="I31" s="22"/>
      <c r="J31" s="16"/>
      <c r="K31" s="22"/>
      <c r="L31" s="16"/>
      <c r="M31" s="22"/>
      <c r="N31" s="16"/>
      <c r="O31" s="22"/>
      <c r="P31" s="16"/>
      <c r="Q31" s="22"/>
      <c r="R31" s="16"/>
      <c r="S31" s="22"/>
      <c r="T31" s="16"/>
      <c r="U31" s="22"/>
      <c r="V31" s="16"/>
      <c r="W31" s="22"/>
      <c r="X31" s="16"/>
      <c r="Y31" s="22"/>
      <c r="Z31" s="16"/>
      <c r="AA31" s="16"/>
      <c r="AB31" s="16"/>
      <c r="AC31" s="16"/>
      <c r="AD31" s="16"/>
      <c r="AE31" s="16"/>
      <c r="AF31" s="16"/>
      <c r="AK31" s="56"/>
      <c r="AL31" s="66"/>
    </row>
    <row r="32" spans="1:39" ht="20" customHeight="1">
      <c r="A32" s="141" t="s">
        <v>56</v>
      </c>
      <c r="B32" s="16"/>
      <c r="C32" s="22"/>
      <c r="D32" s="16"/>
      <c r="E32" s="22"/>
      <c r="F32" s="16"/>
      <c r="G32" s="22"/>
      <c r="H32" s="16"/>
      <c r="I32" s="22"/>
      <c r="J32" s="16"/>
      <c r="K32" s="22"/>
      <c r="L32" s="16"/>
      <c r="M32" s="22"/>
      <c r="N32" s="16"/>
      <c r="O32" s="22"/>
      <c r="P32" s="16"/>
      <c r="Q32" s="22"/>
      <c r="R32" s="16"/>
      <c r="S32" s="22"/>
      <c r="T32" s="16"/>
      <c r="U32" s="22"/>
      <c r="V32" s="16"/>
      <c r="W32" s="22"/>
      <c r="X32" s="16"/>
      <c r="Y32" s="22"/>
      <c r="Z32" s="16"/>
      <c r="AA32" s="16"/>
      <c r="AB32" s="16"/>
      <c r="AC32" s="16"/>
      <c r="AD32" s="16"/>
      <c r="AE32" s="16"/>
      <c r="AF32" s="16"/>
      <c r="AK32" s="56"/>
      <c r="AL32" s="66"/>
    </row>
    <row r="33" spans="1:39" ht="20" customHeight="1">
      <c r="A33" s="141" t="s">
        <v>57</v>
      </c>
      <c r="B33" s="16"/>
      <c r="C33" s="22"/>
      <c r="D33" s="16"/>
      <c r="E33" s="22"/>
      <c r="F33" s="16"/>
      <c r="G33" s="22"/>
      <c r="H33" s="16"/>
      <c r="I33" s="22"/>
      <c r="J33" s="16"/>
      <c r="K33" s="22"/>
      <c r="L33" s="16"/>
      <c r="M33" s="22"/>
      <c r="N33" s="16"/>
      <c r="O33" s="22"/>
      <c r="P33" s="16"/>
      <c r="Q33" s="22"/>
      <c r="R33" s="16"/>
      <c r="S33" s="22"/>
      <c r="T33" s="16"/>
      <c r="U33" s="22"/>
      <c r="V33" s="16"/>
      <c r="W33" s="22"/>
      <c r="X33" s="16"/>
      <c r="Y33" s="22"/>
      <c r="Z33" s="16"/>
      <c r="AA33" s="16"/>
      <c r="AB33" s="16"/>
      <c r="AC33" s="16"/>
      <c r="AD33" s="16"/>
      <c r="AE33" s="16"/>
      <c r="AF33" s="16"/>
      <c r="AK33" s="56"/>
      <c r="AL33" s="66"/>
    </row>
    <row r="34" spans="1:39" ht="20" customHeight="1">
      <c r="A34" s="142" t="s">
        <v>58</v>
      </c>
      <c r="B34" s="16">
        <f>+'Combined Company'!B34-Ohio!B34</f>
        <v>1000</v>
      </c>
      <c r="C34" s="22">
        <f t="shared" ref="C34:W39" si="26">B34/B$17</f>
        <v>4.0551664848600358E-4</v>
      </c>
      <c r="D34" s="16">
        <f>+'Combined Company'!D34-Ohio!D34</f>
        <v>1515</v>
      </c>
      <c r="E34" s="22">
        <f t="shared" si="26"/>
        <v>1.110536906110152E-3</v>
      </c>
      <c r="F34" s="16">
        <f>+'Combined Company'!F34-Ohio!F34</f>
        <v>2250</v>
      </c>
      <c r="G34" s="22">
        <f t="shared" si="26"/>
        <v>1.3715581510176961E-3</v>
      </c>
      <c r="H34" s="16">
        <f>+'Combined Company'!H34-Ohio!H34</f>
        <v>5500</v>
      </c>
      <c r="I34" s="22">
        <f t="shared" si="26"/>
        <v>3.8876318879117974E-3</v>
      </c>
      <c r="J34" s="16">
        <f>+'Combined Company'!J34-Ohio!J34</f>
        <v>3195</v>
      </c>
      <c r="K34" s="22">
        <f t="shared" si="26"/>
        <v>2.304745828734662E-3</v>
      </c>
      <c r="L34" s="16">
        <f>+'Combined Company'!L34-Ohio!L34</f>
        <v>5733</v>
      </c>
      <c r="M34" s="22">
        <f t="shared" si="26"/>
        <v>3.4131765403499622E-3</v>
      </c>
      <c r="N34" s="16">
        <f>+'Combined Company'!N34-Ohio!N34</f>
        <v>2000</v>
      </c>
      <c r="O34" s="22">
        <f t="shared" si="26"/>
        <v>1.4112931679297741E-3</v>
      </c>
      <c r="P34" s="16">
        <f>+'Combined Company'!P34-Ohio!P34</f>
        <v>2906</v>
      </c>
      <c r="Q34" s="22">
        <f t="shared" si="26"/>
        <v>1.5026024080935772E-3</v>
      </c>
      <c r="R34" s="16">
        <f>+'Combined Company'!R34-Ohio!R34</f>
        <v>1990</v>
      </c>
      <c r="S34" s="22">
        <f t="shared" si="26"/>
        <v>1.1453481311544476E-3</v>
      </c>
      <c r="T34" s="16">
        <f>+'Combined Company'!T34-Ohio!T34</f>
        <v>4549</v>
      </c>
      <c r="U34" s="22">
        <f t="shared" si="26"/>
        <v>3.8601749425513643E-3</v>
      </c>
      <c r="V34" s="16">
        <f>+'Combined Company'!V34-Ohio!V34</f>
        <v>0</v>
      </c>
      <c r="W34" s="22">
        <f t="shared" si="26"/>
        <v>0</v>
      </c>
      <c r="X34" s="16">
        <f>+'Combined Company'!X34-Ohio!X34</f>
        <v>2120</v>
      </c>
      <c r="Y34" s="22">
        <f t="shared" ref="Y34:Y39" si="27">X34/X$17</f>
        <v>1.8814976010905586E-3</v>
      </c>
      <c r="Z34" s="48">
        <f t="shared" ref="Z34:Z39" si="28">SUM(B34,D34,F34,H34,J34,L34,N34,P34,R34,T34,V34,X34)</f>
        <v>32758</v>
      </c>
      <c r="AA34" s="48">
        <f t="shared" ref="AA34:AA39" si="29">IFERROR(AVERAGE(B34,D34,F34,H34,J34,L34,N34,P34,R34,T34,V34,X34),0)</f>
        <v>2729.8333333333335</v>
      </c>
      <c r="AB34" s="48">
        <f t="shared" ref="AB34:AB39" si="30">IFERROR(AVERAGE(T34,V34,X34),0)</f>
        <v>2223</v>
      </c>
      <c r="AC34" s="16"/>
      <c r="AD34" s="33"/>
      <c r="AE34" s="16">
        <f t="shared" ref="AE34:AE39" si="31">IFERROR(AVERAGE(R34:V34),0)</f>
        <v>1307.8010011046149</v>
      </c>
      <c r="AF34" s="33"/>
      <c r="AK34" s="56">
        <f t="shared" ref="AK34:AK39" si="32">SUM(T34,V34,X34)*4</f>
        <v>26676</v>
      </c>
      <c r="AL34" s="66">
        <f t="shared" si="7"/>
        <v>2223</v>
      </c>
    </row>
    <row r="35" spans="1:39" ht="20" customHeight="1">
      <c r="A35" s="142" t="s">
        <v>59</v>
      </c>
      <c r="B35" s="16">
        <f>+'Combined Company'!B35-Ohio!B35</f>
        <v>384</v>
      </c>
      <c r="C35" s="22">
        <f t="shared" si="26"/>
        <v>1.5571839301862538E-4</v>
      </c>
      <c r="D35" s="16">
        <f>+'Combined Company'!D35-Ohio!D35</f>
        <v>747</v>
      </c>
      <c r="E35" s="22">
        <f t="shared" si="26"/>
        <v>5.4757166261668879E-4</v>
      </c>
      <c r="F35" s="16">
        <f>+'Combined Company'!F35-Ohio!F35</f>
        <v>551</v>
      </c>
      <c r="G35" s="22">
        <f t="shared" si="26"/>
        <v>3.3587935164922246E-4</v>
      </c>
      <c r="H35" s="16">
        <f>+'Combined Company'!H35-Ohio!H35</f>
        <v>30</v>
      </c>
      <c r="I35" s="22">
        <f t="shared" si="26"/>
        <v>2.1205264843155257E-5</v>
      </c>
      <c r="J35" s="16">
        <f>+'Combined Company'!J35-Ohio!J35</f>
        <v>195</v>
      </c>
      <c r="K35" s="22">
        <f t="shared" si="26"/>
        <v>1.4066523837347704E-4</v>
      </c>
      <c r="L35" s="16">
        <f>+'Combined Company'!L35-Ohio!L35</f>
        <v>3530</v>
      </c>
      <c r="M35" s="22">
        <f t="shared" si="26"/>
        <v>2.1016070447296992E-3</v>
      </c>
      <c r="N35" s="16">
        <f>+'Combined Company'!N35-Ohio!N35</f>
        <v>580</v>
      </c>
      <c r="O35" s="22">
        <f t="shared" si="26"/>
        <v>4.0927501869963447E-4</v>
      </c>
      <c r="P35" s="16">
        <f>+'Combined Company'!P35-Ohio!P35</f>
        <v>591</v>
      </c>
      <c r="Q35" s="22">
        <f t="shared" si="26"/>
        <v>3.055877574615637E-4</v>
      </c>
      <c r="R35" s="16">
        <f>+'Combined Company'!R35-Ohio!R35</f>
        <v>288</v>
      </c>
      <c r="S35" s="22">
        <f t="shared" si="26"/>
        <v>1.6575892551380951E-4</v>
      </c>
      <c r="T35" s="16">
        <f>+'Combined Company'!T35-Ohio!T35</f>
        <v>264</v>
      </c>
      <c r="U35" s="22">
        <f t="shared" si="26"/>
        <v>2.2402422177040233E-4</v>
      </c>
      <c r="V35" s="16">
        <f>+'Combined Company'!V35-Ohio!V35</f>
        <v>142</v>
      </c>
      <c r="W35" s="22">
        <f t="shared" si="26"/>
        <v>6.1394414145964784E-5</v>
      </c>
      <c r="X35" s="16">
        <f>+'Combined Company'!X35-Ohio!X35</f>
        <v>323</v>
      </c>
      <c r="Y35" s="22">
        <f t="shared" si="27"/>
        <v>2.866621345057785E-4</v>
      </c>
      <c r="Z35" s="48">
        <f t="shared" si="28"/>
        <v>7625</v>
      </c>
      <c r="AA35" s="48">
        <f t="shared" si="29"/>
        <v>635.41666666666663</v>
      </c>
      <c r="AB35" s="48">
        <f t="shared" si="30"/>
        <v>243</v>
      </c>
      <c r="AC35" s="16"/>
      <c r="AD35" s="33"/>
      <c r="AE35" s="16">
        <f t="shared" si="31"/>
        <v>138.80007795662945</v>
      </c>
      <c r="AF35" s="33"/>
      <c r="AK35" s="56">
        <f t="shared" si="32"/>
        <v>2916</v>
      </c>
      <c r="AL35" s="66">
        <f t="shared" si="7"/>
        <v>243</v>
      </c>
    </row>
    <row r="36" spans="1:39" ht="20" customHeight="1">
      <c r="A36" s="142" t="s">
        <v>60</v>
      </c>
      <c r="B36" s="16">
        <f>+'Combined Company'!B36-Ohio!B36</f>
        <v>5925</v>
      </c>
      <c r="C36" s="22">
        <f t="shared" si="26"/>
        <v>2.4026861422795712E-3</v>
      </c>
      <c r="D36" s="16">
        <f>+'Combined Company'!D36-Ohio!D36</f>
        <v>10413</v>
      </c>
      <c r="E36" s="22">
        <f t="shared" si="26"/>
        <v>7.6330170318976986E-3</v>
      </c>
      <c r="F36" s="16">
        <f>+'Combined Company'!F36-Ohio!F36</f>
        <v>5218</v>
      </c>
      <c r="G36" s="22">
        <f t="shared" si="26"/>
        <v>3.1807957475601507E-3</v>
      </c>
      <c r="H36" s="16">
        <f>+'Combined Company'!H36-Ohio!H36</f>
        <v>5293</v>
      </c>
      <c r="I36" s="22">
        <f t="shared" si="26"/>
        <v>3.741315560494026E-3</v>
      </c>
      <c r="J36" s="16">
        <f>+'Combined Company'!J36-Ohio!J36</f>
        <v>4211</v>
      </c>
      <c r="K36" s="22">
        <f t="shared" si="26"/>
        <v>3.0376477886703166E-3</v>
      </c>
      <c r="L36" s="16">
        <f>+'Combined Company'!L36-Ohio!L36</f>
        <v>5556</v>
      </c>
      <c r="M36" s="22">
        <f t="shared" si="26"/>
        <v>3.3077985100618159E-3</v>
      </c>
      <c r="N36" s="16">
        <f>+'Combined Company'!N36-Ohio!N36</f>
        <v>3452</v>
      </c>
      <c r="O36" s="22">
        <f t="shared" si="26"/>
        <v>2.4358920078467899E-3</v>
      </c>
      <c r="P36" s="16">
        <f>+'Combined Company'!P36-Ohio!P36</f>
        <v>6117</v>
      </c>
      <c r="Q36" s="22">
        <f t="shared" si="26"/>
        <v>3.1629108500717176E-3</v>
      </c>
      <c r="R36" s="16">
        <f>+'Combined Company'!R36-Ohio!R36</f>
        <v>3960</v>
      </c>
      <c r="S36" s="22">
        <f t="shared" si="26"/>
        <v>2.2791852258148807E-3</v>
      </c>
      <c r="T36" s="16">
        <f>+'Combined Company'!T36-Ohio!T36</f>
        <v>4108</v>
      </c>
      <c r="U36" s="22">
        <f t="shared" si="26"/>
        <v>3.4859526630030787E-3</v>
      </c>
      <c r="V36" s="16">
        <f>+'Combined Company'!V36-Ohio!V36</f>
        <v>7324</v>
      </c>
      <c r="W36" s="22">
        <f t="shared" si="26"/>
        <v>3.166568233838353E-3</v>
      </c>
      <c r="X36" s="16">
        <f>+'Combined Company'!X36-Ohio!X36</f>
        <v>3977</v>
      </c>
      <c r="Y36" s="22">
        <f t="shared" si="27"/>
        <v>3.5295829997816753E-3</v>
      </c>
      <c r="Z36" s="48">
        <f t="shared" si="28"/>
        <v>65554</v>
      </c>
      <c r="AA36" s="48">
        <f t="shared" si="29"/>
        <v>5462.833333333333</v>
      </c>
      <c r="AB36" s="48">
        <f t="shared" si="30"/>
        <v>5136.333333333333</v>
      </c>
      <c r="AC36" s="16"/>
      <c r="AD36" s="33"/>
      <c r="AE36" s="16">
        <f t="shared" si="31"/>
        <v>3078.4011530275775</v>
      </c>
      <c r="AF36" s="33"/>
      <c r="AK36" s="56">
        <f t="shared" si="32"/>
        <v>61636</v>
      </c>
      <c r="AL36" s="66">
        <f t="shared" si="7"/>
        <v>5136.333333333333</v>
      </c>
    </row>
    <row r="37" spans="1:39" ht="20" customHeight="1">
      <c r="A37" s="142" t="s">
        <v>61</v>
      </c>
      <c r="B37" s="16">
        <f>+'Combined Company'!B37-Ohio!B37</f>
        <v>6909</v>
      </c>
      <c r="C37" s="22">
        <f t="shared" si="26"/>
        <v>2.8017145243897988E-3</v>
      </c>
      <c r="D37" s="16">
        <f>+'Combined Company'!D37-Ohio!D37</f>
        <v>22230</v>
      </c>
      <c r="E37" s="22">
        <f t="shared" si="26"/>
        <v>1.6295204899556884E-2</v>
      </c>
      <c r="F37" s="16">
        <f>+'Combined Company'!F37-Ohio!F37</f>
        <v>23841</v>
      </c>
      <c r="G37" s="22">
        <f t="shared" si="26"/>
        <v>1.4533030168183508E-2</v>
      </c>
      <c r="H37" s="16">
        <f>+'Combined Company'!H37-Ohio!H37</f>
        <v>8385</v>
      </c>
      <c r="I37" s="22">
        <f t="shared" si="26"/>
        <v>5.9268715236618945E-3</v>
      </c>
      <c r="J37" s="16">
        <f>+'Combined Company'!J37-Ohio!J37</f>
        <v>13095</v>
      </c>
      <c r="K37" s="22">
        <f t="shared" si="26"/>
        <v>9.4462117769265729E-3</v>
      </c>
      <c r="L37" s="16">
        <f>+'Combined Company'!L37-Ohio!L37</f>
        <v>11589</v>
      </c>
      <c r="M37" s="22">
        <f t="shared" si="26"/>
        <v>6.8995818814086363E-3</v>
      </c>
      <c r="N37" s="16">
        <f>+'Combined Company'!N37-Ohio!N37</f>
        <v>4361</v>
      </c>
      <c r="O37" s="22">
        <f t="shared" si="26"/>
        <v>3.0773247526708724E-3</v>
      </c>
      <c r="P37" s="16">
        <f>+'Combined Company'!P37-Ohio!P37</f>
        <v>7884</v>
      </c>
      <c r="Q37" s="22">
        <f t="shared" si="26"/>
        <v>4.0765717086750728E-3</v>
      </c>
      <c r="R37" s="16">
        <f>+'Combined Company'!R37-Ohio!R37</f>
        <v>11388</v>
      </c>
      <c r="S37" s="22">
        <f t="shared" si="26"/>
        <v>6.5543841796918837E-3</v>
      </c>
      <c r="T37" s="16">
        <f>+'Combined Company'!T37-Ohio!T37</f>
        <v>15171</v>
      </c>
      <c r="U37" s="22">
        <f t="shared" si="26"/>
        <v>1.2873755562419598E-2</v>
      </c>
      <c r="V37" s="16">
        <f>+'Combined Company'!V37-Ohio!V37</f>
        <v>16529</v>
      </c>
      <c r="W37" s="22">
        <f t="shared" si="26"/>
        <v>7.1463962775961407E-3</v>
      </c>
      <c r="X37" s="16">
        <f>+'Combined Company'!X37-Ohio!X37</f>
        <v>8905</v>
      </c>
      <c r="Y37" s="22">
        <f t="shared" si="27"/>
        <v>7.9031774234487855E-3</v>
      </c>
      <c r="Z37" s="48">
        <f t="shared" si="28"/>
        <v>150287</v>
      </c>
      <c r="AA37" s="48">
        <f t="shared" si="29"/>
        <v>12523.916666666666</v>
      </c>
      <c r="AB37" s="48">
        <f t="shared" si="30"/>
        <v>13535</v>
      </c>
      <c r="AC37" s="16"/>
      <c r="AD37" s="33"/>
      <c r="AE37" s="16">
        <f t="shared" si="31"/>
        <v>8617.6038856279483</v>
      </c>
      <c r="AF37" s="33"/>
      <c r="AK37" s="56">
        <f t="shared" si="32"/>
        <v>162420</v>
      </c>
      <c r="AL37" s="66">
        <f t="shared" si="7"/>
        <v>13535</v>
      </c>
    </row>
    <row r="38" spans="1:39" ht="20" customHeight="1">
      <c r="A38" s="142" t="s">
        <v>62</v>
      </c>
      <c r="B38" s="16">
        <f>+'Combined Company'!B38-Ohio!B38</f>
        <v>11061</v>
      </c>
      <c r="C38" s="22">
        <f t="shared" si="26"/>
        <v>4.485419648903686E-3</v>
      </c>
      <c r="D38" s="16">
        <f>+'Combined Company'!D38-Ohio!D38</f>
        <v>15433</v>
      </c>
      <c r="E38" s="22">
        <f t="shared" si="26"/>
        <v>1.1312815889107576E-2</v>
      </c>
      <c r="F38" s="16">
        <f>+'Combined Company'!F38-Ohio!F38</f>
        <v>25552</v>
      </c>
      <c r="G38" s="22">
        <f t="shared" si="26"/>
        <v>1.557602394435741E-2</v>
      </c>
      <c r="H38" s="16">
        <f>+'Combined Company'!H38-Ohio!H38</f>
        <v>4509</v>
      </c>
      <c r="I38" s="22">
        <f t="shared" si="26"/>
        <v>3.1871513059262353E-3</v>
      </c>
      <c r="J38" s="16">
        <f>+'Combined Company'!J38-Ohio!J38</f>
        <v>8763</v>
      </c>
      <c r="K38" s="22">
        <f t="shared" si="26"/>
        <v>6.3212794044450217E-3</v>
      </c>
      <c r="L38" s="16">
        <f>+'Combined Company'!L38-Ohio!L38</f>
        <v>7291</v>
      </c>
      <c r="M38" s="22">
        <f t="shared" si="26"/>
        <v>4.3407413493269801E-3</v>
      </c>
      <c r="N38" s="16">
        <f>+'Combined Company'!N38-Ohio!N38</f>
        <v>5820</v>
      </c>
      <c r="O38" s="22">
        <f t="shared" si="26"/>
        <v>4.1068631186756428E-3</v>
      </c>
      <c r="P38" s="16">
        <f>+'Combined Company'!P38-Ohio!P38</f>
        <v>8797</v>
      </c>
      <c r="Q38" s="22">
        <f t="shared" si="26"/>
        <v>4.5486556724016513E-3</v>
      </c>
      <c r="R38" s="16">
        <f>+'Combined Company'!R38-Ohio!R38</f>
        <v>9338</v>
      </c>
      <c r="S38" s="22">
        <f t="shared" si="26"/>
        <v>5.3745029390553931E-3</v>
      </c>
      <c r="T38" s="16">
        <f>+'Combined Company'!T38-Ohio!T38</f>
        <v>6617</v>
      </c>
      <c r="U38" s="22">
        <f t="shared" si="26"/>
        <v>5.6150313464195158E-3</v>
      </c>
      <c r="V38" s="16">
        <f>+'Combined Company'!V38-Ohio!V38</f>
        <v>5259</v>
      </c>
      <c r="W38" s="22">
        <f t="shared" si="26"/>
        <v>2.2737550985466818E-3</v>
      </c>
      <c r="X38" s="16">
        <f>+'Combined Company'!X38-Ohio!X38</f>
        <v>11315</v>
      </c>
      <c r="Y38" s="22">
        <f t="shared" si="27"/>
        <v>1.0042049696386637E-2</v>
      </c>
      <c r="Z38" s="48">
        <f t="shared" si="28"/>
        <v>119755</v>
      </c>
      <c r="AA38" s="48">
        <f t="shared" si="29"/>
        <v>9979.5833333333339</v>
      </c>
      <c r="AB38" s="48">
        <f t="shared" si="30"/>
        <v>7730.333333333333</v>
      </c>
      <c r="AC38" s="16"/>
      <c r="AD38" s="33"/>
      <c r="AE38" s="16">
        <f t="shared" si="31"/>
        <v>4242.8021979068571</v>
      </c>
      <c r="AF38" s="33"/>
      <c r="AK38" s="56">
        <f t="shared" si="32"/>
        <v>92764</v>
      </c>
      <c r="AL38" s="66">
        <f t="shared" si="7"/>
        <v>7730.333333333333</v>
      </c>
    </row>
    <row r="39" spans="1:39" s="1" customFormat="1" ht="20" customHeight="1">
      <c r="A39" s="148" t="s">
        <v>63</v>
      </c>
      <c r="B39" s="18">
        <f>+'Combined Company'!B39-Ohio!B39</f>
        <v>23155</v>
      </c>
      <c r="C39" s="62">
        <f t="shared" si="26"/>
        <v>9.3897379956934136E-3</v>
      </c>
      <c r="D39" s="18">
        <f>+'Combined Company'!D39-Ohio!D39</f>
        <v>43374</v>
      </c>
      <c r="E39" s="62">
        <f t="shared" si="26"/>
        <v>3.1794341759486297E-2</v>
      </c>
      <c r="F39" s="18">
        <f>+'Combined Company'!F39-Ohio!F39</f>
        <v>42699</v>
      </c>
      <c r="G39" s="62">
        <f t="shared" si="26"/>
        <v>2.6028516217913158E-2</v>
      </c>
      <c r="H39" s="18">
        <f>+'Combined Company'!H39-Ohio!H39</f>
        <v>23717</v>
      </c>
      <c r="I39" s="62">
        <f t="shared" si="26"/>
        <v>1.6764175542837108E-2</v>
      </c>
      <c r="J39" s="18">
        <f>+'Combined Company'!J39-Ohio!J39</f>
        <v>29459</v>
      </c>
      <c r="K39" s="62">
        <f t="shared" si="26"/>
        <v>2.125055003715005E-2</v>
      </c>
      <c r="L39" s="18">
        <f>+'Combined Company'!L39-Ohio!L39</f>
        <v>33699</v>
      </c>
      <c r="M39" s="62">
        <f t="shared" si="26"/>
        <v>2.0062905325877095E-2</v>
      </c>
      <c r="N39" s="18">
        <f>+'Combined Company'!N39-Ohio!N39</f>
        <v>16213</v>
      </c>
      <c r="O39" s="62">
        <f t="shared" si="26"/>
        <v>1.1440648065822713E-2</v>
      </c>
      <c r="P39" s="18">
        <f>+'Combined Company'!P39-Ohio!P39</f>
        <v>26295</v>
      </c>
      <c r="Q39" s="62">
        <f t="shared" si="26"/>
        <v>1.3596328396703583E-2</v>
      </c>
      <c r="R39" s="18">
        <f>+'Combined Company'!R39-Ohio!R39</f>
        <v>26964</v>
      </c>
      <c r="S39" s="62">
        <f t="shared" si="26"/>
        <v>1.5519179401230414E-2</v>
      </c>
      <c r="T39" s="18">
        <f>+'Combined Company'!T39-Ohio!T39</f>
        <v>30708</v>
      </c>
      <c r="U39" s="62">
        <f t="shared" si="26"/>
        <v>2.6058090159566342E-2</v>
      </c>
      <c r="V39" s="18">
        <f>+'Combined Company'!V39-Ohio!V39</f>
        <v>29254</v>
      </c>
      <c r="W39" s="62">
        <f t="shared" si="26"/>
        <v>1.264811402412714E-2</v>
      </c>
      <c r="X39" s="18">
        <f>+'Combined Company'!X39-Ohio!X39</f>
        <v>26640</v>
      </c>
      <c r="Y39" s="62">
        <f t="shared" si="27"/>
        <v>2.3642969855213435E-2</v>
      </c>
      <c r="Z39" s="18">
        <f t="shared" si="28"/>
        <v>352177</v>
      </c>
      <c r="AA39" s="18">
        <f t="shared" si="29"/>
        <v>29348.083333333332</v>
      </c>
      <c r="AB39" s="18">
        <f t="shared" si="30"/>
        <v>28867.333333333332</v>
      </c>
      <c r="AC39" s="18"/>
      <c r="AD39" s="71"/>
      <c r="AE39" s="18">
        <f t="shared" si="31"/>
        <v>17385.20831545391</v>
      </c>
      <c r="AF39" s="71"/>
      <c r="AK39" s="56">
        <f t="shared" si="32"/>
        <v>346408</v>
      </c>
      <c r="AL39" s="69">
        <f t="shared" si="7"/>
        <v>28867.333333333332</v>
      </c>
      <c r="AM39" s="137"/>
    </row>
    <row r="40" spans="1:39" s="1" customFormat="1" ht="20" customHeight="1">
      <c r="A40" s="149"/>
      <c r="B40" s="44"/>
      <c r="C40" s="80"/>
      <c r="D40" s="44"/>
      <c r="E40" s="80"/>
      <c r="F40" s="44"/>
      <c r="G40" s="80"/>
      <c r="H40" s="44"/>
      <c r="I40" s="80"/>
      <c r="J40" s="44"/>
      <c r="K40" s="80"/>
      <c r="L40" s="44"/>
      <c r="M40" s="80"/>
      <c r="N40" s="44"/>
      <c r="O40" s="80"/>
      <c r="P40" s="44"/>
      <c r="Q40" s="80"/>
      <c r="R40" s="44"/>
      <c r="S40" s="80"/>
      <c r="T40" s="44"/>
      <c r="U40" s="80"/>
      <c r="V40" s="44"/>
      <c r="W40" s="80"/>
      <c r="X40" s="44"/>
      <c r="Y40" s="80"/>
      <c r="Z40" s="44"/>
      <c r="AA40" s="44"/>
      <c r="AB40" s="44"/>
      <c r="AC40" s="44"/>
      <c r="AD40" s="72"/>
      <c r="AE40" s="44"/>
      <c r="AF40" s="72"/>
      <c r="AK40" s="56"/>
      <c r="AL40" s="69"/>
      <c r="AM40" s="137"/>
    </row>
    <row r="41" spans="1:39" ht="20" customHeight="1">
      <c r="A41" s="142" t="s">
        <v>64</v>
      </c>
      <c r="B41" s="16">
        <f>+'Combined Company'!B41-Ohio!B41</f>
        <v>430</v>
      </c>
      <c r="C41" s="22">
        <f>B41/B$17</f>
        <v>1.7437215884898155E-4</v>
      </c>
      <c r="D41" s="16">
        <f>+'Combined Company'!D41-Ohio!D41</f>
        <v>5536</v>
      </c>
      <c r="E41" s="22">
        <f>D41/D$17</f>
        <v>4.0580411301820475E-3</v>
      </c>
      <c r="F41" s="16">
        <f>+'Combined Company'!F41-Ohio!F41</f>
        <v>1796</v>
      </c>
      <c r="G41" s="22">
        <f>F41/F$17</f>
        <v>1.0948081952123477E-3</v>
      </c>
      <c r="H41" s="16">
        <f>+'Combined Company'!H41-Ohio!H41</f>
        <v>4000</v>
      </c>
      <c r="I41" s="22">
        <f>H41/H$17</f>
        <v>2.8273686457540347E-3</v>
      </c>
      <c r="J41" s="16">
        <f>+'Combined Company'!J41-Ohio!J41</f>
        <v>5344</v>
      </c>
      <c r="K41" s="22">
        <f>J41/J$17</f>
        <v>3.8549488916300575E-3</v>
      </c>
      <c r="L41" s="16">
        <f>+'Combined Company'!L41-Ohio!L41</f>
        <v>4839</v>
      </c>
      <c r="M41" s="22">
        <f>L41/L$17</f>
        <v>2.8809281839793244E-3</v>
      </c>
      <c r="N41" s="16">
        <f>+'Combined Company'!N41-Ohio!N41</f>
        <v>7191</v>
      </c>
      <c r="O41" s="22">
        <f>N41/N$17</f>
        <v>5.0743045852915027E-3</v>
      </c>
      <c r="P41" s="16">
        <f>+'Combined Company'!P41-Ohio!P41</f>
        <v>7283</v>
      </c>
      <c r="Q41" s="22">
        <f>P41/P$17</f>
        <v>3.7658132615779496E-3</v>
      </c>
      <c r="R41" s="16">
        <f>+'Combined Company'!R41-Ohio!R41</f>
        <v>8248</v>
      </c>
      <c r="S41" s="22">
        <f>R41/R$17</f>
        <v>4.7471514501316002E-3</v>
      </c>
      <c r="T41" s="16">
        <f>+'Combined Company'!T41-Ohio!T41</f>
        <v>15252</v>
      </c>
      <c r="U41" s="22">
        <f>T41/T$17</f>
        <v>1.2942490266826425E-2</v>
      </c>
      <c r="V41" s="16">
        <f>+'Combined Company'!V41-Ohio!V41</f>
        <v>5099</v>
      </c>
      <c r="W41" s="22">
        <f>V41/V$17</f>
        <v>2.204578293875172E-3</v>
      </c>
      <c r="X41" s="16">
        <f>+'Combined Company'!X41-Ohio!X41</f>
        <v>5872</v>
      </c>
      <c r="Y41" s="22">
        <f>X41/X$17</f>
        <v>5.2113933554734718E-3</v>
      </c>
      <c r="Z41" s="16">
        <f t="shared" ref="Z41" si="33">SUM(B41,D41,F41,H41,J41,L41,N41,P41,R41,T41,V41,X41)</f>
        <v>70890</v>
      </c>
      <c r="AA41" s="16">
        <f t="shared" ref="AA41" si="34">IFERROR(AVERAGE(B41,D41,F41,H41,J41,L41,N41,P41,R41,T41,V41,X41),0)</f>
        <v>5907.5</v>
      </c>
      <c r="AB41" s="16">
        <f>IFERROR(AVERAGE(T41,V41,X41),0)</f>
        <v>8741</v>
      </c>
      <c r="AC41" s="16"/>
      <c r="AD41" s="33"/>
      <c r="AE41" s="16">
        <f>IFERROR(AVERAGE(R41:V41),0)</f>
        <v>5719.8035379283428</v>
      </c>
      <c r="AF41" s="33"/>
      <c r="AK41" s="56">
        <f>SUM(T41,V41,X41)*4</f>
        <v>104892</v>
      </c>
      <c r="AL41" s="66">
        <f t="shared" si="7"/>
        <v>8741</v>
      </c>
    </row>
    <row r="42" spans="1:39" ht="20" customHeight="1" thickBot="1">
      <c r="A42" s="142"/>
      <c r="B42" s="16"/>
      <c r="C42" s="22"/>
      <c r="D42" s="16"/>
      <c r="E42" s="22"/>
      <c r="F42" s="16"/>
      <c r="G42" s="22"/>
      <c r="H42" s="16"/>
      <c r="I42" s="22"/>
      <c r="J42" s="16"/>
      <c r="K42" s="22"/>
      <c r="L42" s="16"/>
      <c r="M42" s="22"/>
      <c r="N42" s="16"/>
      <c r="O42" s="22"/>
      <c r="P42" s="16"/>
      <c r="Q42" s="22"/>
      <c r="R42" s="16"/>
      <c r="S42" s="22"/>
      <c r="T42" s="16"/>
      <c r="U42" s="22"/>
      <c r="V42" s="16"/>
      <c r="W42" s="22"/>
      <c r="X42" s="16"/>
      <c r="Y42" s="22"/>
      <c r="Z42" s="16"/>
      <c r="AA42" s="16"/>
      <c r="AB42" s="16"/>
      <c r="AC42" s="16"/>
      <c r="AD42" s="33"/>
      <c r="AE42" s="16"/>
      <c r="AF42" s="33"/>
      <c r="AK42" s="56"/>
      <c r="AL42" s="66"/>
    </row>
    <row r="43" spans="1:39" s="24" customFormat="1" ht="20" customHeight="1" thickBot="1">
      <c r="A43" s="150" t="s">
        <v>65</v>
      </c>
      <c r="B43" s="26">
        <f>+'Combined Company'!B43-Ohio!B43</f>
        <v>387670</v>
      </c>
      <c r="C43" s="63">
        <f>B43/B$17</f>
        <v>0.15720663911856902</v>
      </c>
      <c r="D43" s="26">
        <f>+'Combined Company'!D43-Ohio!D43</f>
        <v>418242</v>
      </c>
      <c r="E43" s="63">
        <f>D43/D$17</f>
        <v>0.30658295490780346</v>
      </c>
      <c r="F43" s="26">
        <f>+'Combined Company'!F43-Ohio!F43</f>
        <v>492116</v>
      </c>
      <c r="G43" s="63">
        <f>F43/F$17</f>
        <v>0.29998476046498868</v>
      </c>
      <c r="H43" s="26">
        <f>+'Combined Company'!H43-Ohio!H43</f>
        <v>429313</v>
      </c>
      <c r="I43" s="63">
        <f>H43/H$17</f>
        <v>0.30345652885365043</v>
      </c>
      <c r="J43" s="26">
        <f>+'Combined Company'!J43-Ohio!J43</f>
        <v>440762</v>
      </c>
      <c r="K43" s="63">
        <f>J43/J$17</f>
        <v>0.31794816305625889</v>
      </c>
      <c r="L43" s="26">
        <f>+'Combined Company'!L43-Ohio!L43</f>
        <v>457081</v>
      </c>
      <c r="M43" s="63">
        <f>L43/L$17</f>
        <v>0.27212596306291664</v>
      </c>
      <c r="N43" s="26">
        <f>+'Combined Company'!N43-Ohio!N43</f>
        <v>422197</v>
      </c>
      <c r="O43" s="63">
        <f>N43/N$17</f>
        <v>0.29792187081022342</v>
      </c>
      <c r="P43" s="26">
        <f>+'Combined Company'!P43-Ohio!P43</f>
        <v>397127</v>
      </c>
      <c r="Q43" s="63">
        <f>P43/P$17</f>
        <v>0.2053420462900819</v>
      </c>
      <c r="R43" s="26">
        <f>+'Combined Company'!R43-Ohio!R43</f>
        <v>430699</v>
      </c>
      <c r="S43" s="63">
        <f>R43/R$17</f>
        <v>0.2478895953467786</v>
      </c>
      <c r="T43" s="26">
        <f>+'Combined Company'!T43-Ohio!T43</f>
        <v>394791</v>
      </c>
      <c r="U43" s="63">
        <f>T43/T$17</f>
        <v>0.33501040354908679</v>
      </c>
      <c r="V43" s="26">
        <f>+'Combined Company'!V43-Ohio!V43</f>
        <v>418177</v>
      </c>
      <c r="W43" s="63">
        <f>V43/V$17</f>
        <v>0.18080092904448675</v>
      </c>
      <c r="X43" s="26">
        <f>+'Combined Company'!X43-Ohio!X43</f>
        <v>0</v>
      </c>
      <c r="Y43" s="63">
        <f>X43/X$17</f>
        <v>0</v>
      </c>
      <c r="Z43" s="27">
        <f t="shared" ref="Z43" si="35">SUM(B43,D43,F43,H43,J43,L43,N43,P43,R43,T43,V43,X43)</f>
        <v>4688175</v>
      </c>
      <c r="AA43" s="27">
        <f t="shared" ref="AA43" si="36">IFERROR(AVERAGE(B43,D43,F43,H43,J43,L43,N43,P43,R43,T43,V43,X43),0)</f>
        <v>390681.25</v>
      </c>
      <c r="AB43" s="27">
        <f>IFERROR(AVERAGE(T43,V43,X43),0)</f>
        <v>270989.33333333331</v>
      </c>
      <c r="AC43" s="27"/>
      <c r="AD43" s="38"/>
      <c r="AE43" s="27">
        <f>IFERROR(AVERAGE(R43:V43),0)</f>
        <v>248733.51657999976</v>
      </c>
      <c r="AF43" s="41"/>
      <c r="AK43" s="56">
        <f>SUM(T43,V43,X43)*4</f>
        <v>3251872</v>
      </c>
      <c r="AL43" s="66">
        <f t="shared" si="7"/>
        <v>270989.33333333331</v>
      </c>
      <c r="AM43" s="135"/>
    </row>
    <row r="44" spans="1:39" s="24" customFormat="1" ht="20" customHeight="1">
      <c r="A44" s="151"/>
      <c r="B44" s="74"/>
      <c r="C44" s="81"/>
      <c r="D44" s="74"/>
      <c r="E44" s="81"/>
      <c r="F44" s="74"/>
      <c r="G44" s="81"/>
      <c r="H44" s="74"/>
      <c r="I44" s="81"/>
      <c r="J44" s="74"/>
      <c r="K44" s="81"/>
      <c r="L44" s="74"/>
      <c r="M44" s="81"/>
      <c r="N44" s="74"/>
      <c r="O44" s="81"/>
      <c r="P44" s="74"/>
      <c r="Q44" s="81"/>
      <c r="R44" s="74"/>
      <c r="S44" s="81"/>
      <c r="T44" s="74"/>
      <c r="U44" s="81"/>
      <c r="V44" s="74"/>
      <c r="W44" s="81"/>
      <c r="X44" s="74"/>
      <c r="Y44" s="81"/>
      <c r="Z44" s="75"/>
      <c r="AA44" s="75"/>
      <c r="AB44" s="75"/>
      <c r="AC44" s="75"/>
      <c r="AD44" s="76"/>
      <c r="AE44" s="75"/>
      <c r="AF44" s="47"/>
      <c r="AK44" s="56"/>
      <c r="AL44" s="66"/>
      <c r="AM44" s="135"/>
    </row>
    <row r="45" spans="1:39" ht="20" customHeight="1">
      <c r="A45" s="142" t="s">
        <v>66</v>
      </c>
      <c r="B45" s="16">
        <f>+'Combined Company'!B45-Ohio!B45</f>
        <v>25063</v>
      </c>
      <c r="C45" s="22">
        <f>B45/B$17</f>
        <v>1.0163463761004708E-2</v>
      </c>
      <c r="D45" s="16">
        <f>+'Combined Company'!D45-Ohio!D45</f>
        <v>24325</v>
      </c>
      <c r="E45" s="22">
        <f>D45/D$17</f>
        <v>1.7830897848930331E-2</v>
      </c>
      <c r="F45" s="16">
        <f>+'Combined Company'!F45-Ohio!F45</f>
        <v>23375</v>
      </c>
      <c r="G45" s="22">
        <f>F45/F$17</f>
        <v>1.4248965235572732E-2</v>
      </c>
      <c r="H45" s="16">
        <f>+'Combined Company'!H45-Ohio!H45</f>
        <v>22769</v>
      </c>
      <c r="I45" s="22">
        <f>H45/H$17</f>
        <v>1.6094089173793402E-2</v>
      </c>
      <c r="J45" s="16">
        <f>+'Combined Company'!J45-Ohio!J45</f>
        <v>-11860</v>
      </c>
      <c r="K45" s="22">
        <f>J45/J$17</f>
        <v>-8.5553319338945513E-3</v>
      </c>
      <c r="L45" s="16">
        <f>+'Combined Company'!L45-Ohio!L45</f>
        <v>27819</v>
      </c>
      <c r="M45" s="22">
        <f>L45/L$17</f>
        <v>1.6562211438338671E-2</v>
      </c>
      <c r="N45" s="16">
        <f>+'Combined Company'!N45-Ohio!N45</f>
        <v>23402</v>
      </c>
      <c r="O45" s="22">
        <f>N45/N$17</f>
        <v>1.6513541357946287E-2</v>
      </c>
      <c r="P45" s="16">
        <f>+'Combined Company'!P45-Ohio!P45</f>
        <v>26423</v>
      </c>
      <c r="Q45" s="22">
        <f>P45/P$17</f>
        <v>1.3662513224038744E-2</v>
      </c>
      <c r="R45" s="16">
        <f>+'Combined Company'!R45-Ohio!R45</f>
        <v>29052</v>
      </c>
      <c r="S45" s="22">
        <f>R45/R$17</f>
        <v>1.6720931611205532E-2</v>
      </c>
      <c r="T45" s="16">
        <f>+'Combined Company'!T45-Ohio!T45</f>
        <v>27693</v>
      </c>
      <c r="U45" s="22">
        <f>T45/T$17</f>
        <v>2.3499631717756635E-2</v>
      </c>
      <c r="V45" s="16">
        <f>+'Combined Company'!V45-Ohio!V45</f>
        <v>6929</v>
      </c>
      <c r="W45" s="22">
        <f>V45/V$17</f>
        <v>2.9957879973055634E-3</v>
      </c>
      <c r="X45" s="16">
        <f>+'Combined Company'!X45-Ohio!X45</f>
        <v>0</v>
      </c>
      <c r="Y45" s="22">
        <f>X45/X$17</f>
        <v>0</v>
      </c>
      <c r="Z45" s="16">
        <f t="shared" ref="Z45" si="37">SUM(B45,D45,F45,H45,J45,L45,N45,P45,R45,T45,V45,X45)</f>
        <v>224990</v>
      </c>
      <c r="AA45" s="16">
        <f t="shared" ref="AA45" si="38">IFERROR(AVERAGE(B45,D45,F45,H45,J45,L45,N45,P45,R45,T45,V45,X45),0)</f>
        <v>18749.166666666668</v>
      </c>
      <c r="AB45" s="16">
        <f>IFERROR(AVERAGE(T45,V45,X45),0)</f>
        <v>11540.666666666666</v>
      </c>
      <c r="AC45" s="16"/>
      <c r="AD45" s="33"/>
      <c r="AE45" s="16">
        <f>IFERROR(AVERAGE(R45:V45),0)</f>
        <v>12734.808044112666</v>
      </c>
      <c r="AF45" s="33"/>
      <c r="AK45" s="56">
        <f>SUM(T45,V45,X45)*4</f>
        <v>138488</v>
      </c>
      <c r="AL45" s="66">
        <f t="shared" si="7"/>
        <v>11540.666666666666</v>
      </c>
    </row>
    <row r="46" spans="1:39" ht="20" customHeight="1">
      <c r="A46" s="142"/>
      <c r="B46" s="16"/>
      <c r="C46" s="22"/>
      <c r="D46" s="16"/>
      <c r="E46" s="22"/>
      <c r="F46" s="16"/>
      <c r="G46" s="22"/>
      <c r="H46" s="16"/>
      <c r="I46" s="22"/>
      <c r="J46" s="16"/>
      <c r="K46" s="22"/>
      <c r="L46" s="16"/>
      <c r="M46" s="22"/>
      <c r="N46" s="16"/>
      <c r="O46" s="22"/>
      <c r="P46" s="16"/>
      <c r="Q46" s="22"/>
      <c r="R46" s="16"/>
      <c r="S46" s="22"/>
      <c r="T46" s="16"/>
      <c r="U46" s="22"/>
      <c r="V46" s="16"/>
      <c r="W46" s="22"/>
      <c r="X46" s="16"/>
      <c r="Y46" s="22"/>
      <c r="Z46" s="16"/>
      <c r="AA46" s="16"/>
      <c r="AB46" s="16"/>
      <c r="AC46" s="16"/>
      <c r="AK46" s="56"/>
      <c r="AL46" s="66"/>
    </row>
    <row r="47" spans="1:39" ht="20" customHeight="1">
      <c r="A47" s="152" t="s">
        <v>67</v>
      </c>
      <c r="B47" s="16"/>
      <c r="C47" s="22"/>
      <c r="D47" s="16"/>
      <c r="E47" s="22"/>
      <c r="F47" s="16"/>
      <c r="G47" s="22"/>
      <c r="H47" s="16"/>
      <c r="I47" s="22"/>
      <c r="J47" s="16"/>
      <c r="K47" s="22"/>
      <c r="L47" s="16"/>
      <c r="M47" s="22"/>
      <c r="N47" s="16"/>
      <c r="O47" s="22"/>
      <c r="P47" s="16"/>
      <c r="Q47" s="22"/>
      <c r="R47" s="16"/>
      <c r="S47" s="22"/>
      <c r="T47" s="16"/>
      <c r="U47" s="22"/>
      <c r="V47" s="16"/>
      <c r="W47" s="22"/>
      <c r="X47" s="16"/>
      <c r="Y47" s="22"/>
      <c r="Z47" s="16"/>
      <c r="AA47" s="16"/>
      <c r="AB47" s="16"/>
      <c r="AC47" s="16"/>
      <c r="AK47" s="56"/>
      <c r="AL47" s="66"/>
    </row>
    <row r="48" spans="1:39" ht="20" customHeight="1">
      <c r="A48" s="142" t="s">
        <v>68</v>
      </c>
      <c r="B48" s="16">
        <f>+'Combined Company'!B48-Ohio!B48</f>
        <v>0</v>
      </c>
      <c r="C48" s="22">
        <f>B48/B$17</f>
        <v>0</v>
      </c>
      <c r="D48" s="16">
        <f>+'Combined Company'!D48-Ohio!D48</f>
        <v>0</v>
      </c>
      <c r="E48" s="22">
        <f>D48/D$17</f>
        <v>0</v>
      </c>
      <c r="F48" s="16">
        <f>+'Combined Company'!F48-Ohio!F48</f>
        <v>0</v>
      </c>
      <c r="G48" s="22">
        <f>F48/F$17</f>
        <v>0</v>
      </c>
      <c r="H48" s="16">
        <f>+'Combined Company'!H48-Ohio!H48</f>
        <v>6536</v>
      </c>
      <c r="I48" s="22">
        <f>H48/H$17</f>
        <v>4.619920367162092E-3</v>
      </c>
      <c r="J48" s="16">
        <f>+'Combined Company'!J48-Ohio!J48</f>
        <v>-9102</v>
      </c>
      <c r="K48" s="22">
        <f>J48/J$17</f>
        <v>-6.5658205111558355E-3</v>
      </c>
      <c r="L48" s="16">
        <f>+'Combined Company'!L48-Ohio!L48</f>
        <v>0</v>
      </c>
      <c r="M48" s="22">
        <f>L48/L$17</f>
        <v>0</v>
      </c>
      <c r="N48" s="16">
        <f>+'Combined Company'!N48-Ohio!N48</f>
        <v>0</v>
      </c>
      <c r="O48" s="22">
        <f>N48/N$17</f>
        <v>0</v>
      </c>
      <c r="P48" s="16"/>
      <c r="Q48" s="22">
        <f>P48/P$17</f>
        <v>0</v>
      </c>
      <c r="R48" s="16"/>
      <c r="S48" s="22">
        <f>R48/R$17</f>
        <v>0</v>
      </c>
      <c r="T48" s="16"/>
      <c r="U48" s="22">
        <f>T48/T$17</f>
        <v>0</v>
      </c>
      <c r="V48" s="16">
        <f>+'Combined Company'!V48-Ohio!V48</f>
        <v>7394</v>
      </c>
      <c r="W48" s="22">
        <f>V48/V$17</f>
        <v>3.1968330858821383E-3</v>
      </c>
      <c r="X48" s="16">
        <f>+'Combined Company'!X48-Ohio!X48</f>
        <v>7995</v>
      </c>
      <c r="Y48" s="22">
        <f>X48/X$17</f>
        <v>7.0955534531693476E-3</v>
      </c>
      <c r="Z48" s="45">
        <f t="shared" ref="Z48:Z52" si="39">SUM(B48,D48,F48,H48,J48,L48,N48,P48,R48,T48,V48,X48)</f>
        <v>12823</v>
      </c>
      <c r="AA48" s="45">
        <f t="shared" ref="AA48:AA52" si="40">IFERROR(AVERAGE(B48,D48,F48,H48,J48,L48,N48,P48,R48,T48,V48,X48),0)</f>
        <v>1424.7777777777778</v>
      </c>
      <c r="AB48" s="45">
        <f>IFERROR(AVERAGE(T48,V48,X48),0)</f>
        <v>7694.5</v>
      </c>
      <c r="AC48" s="16"/>
      <c r="AD48" s="33"/>
      <c r="AE48" s="16">
        <f>IFERROR(AVERAGE(R48:V48),0)</f>
        <v>2464.6666666666665</v>
      </c>
      <c r="AF48" s="33"/>
      <c r="AK48" s="56">
        <f>SUM(T48,V48,X48)*4</f>
        <v>61556</v>
      </c>
      <c r="AL48" s="66">
        <f t="shared" si="7"/>
        <v>5129.666666666667</v>
      </c>
    </row>
    <row r="49" spans="1:39" ht="20" customHeight="1">
      <c r="A49" s="142" t="s">
        <v>69</v>
      </c>
      <c r="B49" s="16">
        <f>+'Combined Company'!B49-Ohio!B49</f>
        <v>0</v>
      </c>
      <c r="C49" s="22">
        <f>B49/B$17</f>
        <v>0</v>
      </c>
      <c r="D49" s="16">
        <f>+'Combined Company'!D49-Ohio!D49</f>
        <v>0</v>
      </c>
      <c r="E49" s="22">
        <f>D49/D$17</f>
        <v>0</v>
      </c>
      <c r="F49" s="16">
        <f>+'Combined Company'!F49-Ohio!F49</f>
        <v>0</v>
      </c>
      <c r="G49" s="22">
        <f>F49/F$17</f>
        <v>0</v>
      </c>
      <c r="H49" s="16">
        <f>+'Combined Company'!H49-Ohio!H49</f>
        <v>42711</v>
      </c>
      <c r="I49" s="22">
        <f>H49/H$17</f>
        <v>3.0189935557200141E-2</v>
      </c>
      <c r="J49" s="16">
        <f>+'Combined Company'!J49-Ohio!J49</f>
        <v>0</v>
      </c>
      <c r="K49" s="22">
        <f>J49/J$17</f>
        <v>0</v>
      </c>
      <c r="L49" s="16">
        <f>+'Combined Company'!L49-Ohio!L49</f>
        <v>0</v>
      </c>
      <c r="M49" s="22">
        <f>L49/L$17</f>
        <v>0</v>
      </c>
      <c r="N49" s="16">
        <f>+'Combined Company'!N49-Ohio!N49</f>
        <v>0</v>
      </c>
      <c r="O49" s="22">
        <f>N49/N$17</f>
        <v>0</v>
      </c>
      <c r="P49" s="16"/>
      <c r="Q49" s="22">
        <f>P49/P$17</f>
        <v>0</v>
      </c>
      <c r="R49" s="16"/>
      <c r="S49" s="22">
        <f>R49/R$17</f>
        <v>0</v>
      </c>
      <c r="T49" s="16"/>
      <c r="U49" s="22">
        <f>T49/T$17</f>
        <v>0</v>
      </c>
      <c r="V49" s="16">
        <f>+'Combined Company'!V49-Ohio!V49</f>
        <v>38442</v>
      </c>
      <c r="W49" s="22">
        <f>V49/V$17</f>
        <v>1.6620592032388581E-2</v>
      </c>
      <c r="X49" s="16">
        <f>+'Combined Company'!X49-Ohio!X49</f>
        <v>20648</v>
      </c>
      <c r="Y49" s="22">
        <f>X49/X$17</f>
        <v>1.832507663552729E-2</v>
      </c>
      <c r="Z49" s="45">
        <f t="shared" si="39"/>
        <v>101801</v>
      </c>
      <c r="AA49" s="45">
        <f t="shared" si="40"/>
        <v>11311.222222222223</v>
      </c>
      <c r="AB49" s="45">
        <f>IFERROR(AVERAGE(T49,V49,X49),0)</f>
        <v>29545</v>
      </c>
      <c r="AC49" s="16"/>
      <c r="AD49" s="33"/>
      <c r="AE49" s="16">
        <f>IFERROR(AVERAGE(R49:V49),0)</f>
        <v>12814</v>
      </c>
      <c r="AF49" s="33"/>
      <c r="AK49" s="56">
        <f>SUM(T49,V49,X49)*4</f>
        <v>236360</v>
      </c>
      <c r="AL49" s="66">
        <f t="shared" si="7"/>
        <v>19696.666666666668</v>
      </c>
    </row>
    <row r="50" spans="1:39" ht="20" customHeight="1">
      <c r="A50" s="142" t="s">
        <v>70</v>
      </c>
      <c r="B50" s="16">
        <f>+'Combined Company'!B50-Ohio!B50</f>
        <v>0</v>
      </c>
      <c r="C50" s="22">
        <f>B50/B$17</f>
        <v>0</v>
      </c>
      <c r="D50" s="16">
        <f>+'Combined Company'!D50-Ohio!D50</f>
        <v>0</v>
      </c>
      <c r="E50" s="22">
        <f>D50/D$17</f>
        <v>0</v>
      </c>
      <c r="F50" s="16">
        <f>+'Combined Company'!F50-Ohio!F50</f>
        <v>0</v>
      </c>
      <c r="G50" s="22">
        <f>F50/F$17</f>
        <v>0</v>
      </c>
      <c r="H50" s="16">
        <f>+'Combined Company'!H50-Ohio!H50</f>
        <v>11132</v>
      </c>
      <c r="I50" s="22">
        <f>H50/H$17</f>
        <v>7.8685669411334772E-3</v>
      </c>
      <c r="J50" s="16">
        <f>+'Combined Company'!J50-Ohio!J50</f>
        <v>-2743</v>
      </c>
      <c r="K50" s="22">
        <f>J50/J$17</f>
        <v>-1.9786910197869103E-3</v>
      </c>
      <c r="L50" s="16">
        <f>+'Combined Company'!L50-Ohio!L50</f>
        <v>0</v>
      </c>
      <c r="M50" s="22">
        <f>L50/L$17</f>
        <v>0</v>
      </c>
      <c r="N50" s="16">
        <f>+'Combined Company'!N50-Ohio!N50</f>
        <v>0</v>
      </c>
      <c r="O50" s="22">
        <f>N50/N$17</f>
        <v>0</v>
      </c>
      <c r="P50" s="16"/>
      <c r="Q50" s="22">
        <f>P50/P$17</f>
        <v>0</v>
      </c>
      <c r="R50" s="16"/>
      <c r="S50" s="22">
        <f>R50/R$17</f>
        <v>0</v>
      </c>
      <c r="T50" s="16"/>
      <c r="U50" s="22">
        <f>T50/T$17</f>
        <v>0</v>
      </c>
      <c r="V50" s="16">
        <f>+'Combined Company'!V50-Ohio!V50</f>
        <v>24348</v>
      </c>
      <c r="W50" s="22">
        <f>V50/V$17</f>
        <v>1.0526980250886976E-2</v>
      </c>
      <c r="X50" s="16">
        <f>+'Combined Company'!X50-Ohio!X50</f>
        <v>20099</v>
      </c>
      <c r="Y50" s="22">
        <f>X50/X$17</f>
        <v>1.783783975675431E-2</v>
      </c>
      <c r="Z50" s="45">
        <f t="shared" si="39"/>
        <v>52836</v>
      </c>
      <c r="AA50" s="45">
        <f t="shared" si="40"/>
        <v>5870.666666666667</v>
      </c>
      <c r="AB50" s="45">
        <f>IFERROR(AVERAGE(T50,V50,X50),0)</f>
        <v>22223.5</v>
      </c>
      <c r="AC50" s="16"/>
      <c r="AD50" s="33"/>
      <c r="AE50" s="16">
        <f>IFERROR(AVERAGE(R50:V50),0)</f>
        <v>8116</v>
      </c>
      <c r="AF50" s="33"/>
      <c r="AK50" s="56">
        <f>SUM(T50,V50,X50)*4</f>
        <v>177788</v>
      </c>
      <c r="AL50" s="66">
        <f t="shared" si="7"/>
        <v>14815.666666666666</v>
      </c>
    </row>
    <row r="51" spans="1:39" ht="20" customHeight="1">
      <c r="A51" s="142" t="s">
        <v>71</v>
      </c>
      <c r="B51" s="16">
        <f>+'Combined Company'!B51-Ohio!B51</f>
        <v>0</v>
      </c>
      <c r="C51" s="22">
        <f>B51/B$17</f>
        <v>0</v>
      </c>
      <c r="D51" s="16">
        <f>+'Combined Company'!D51-Ohio!D51</f>
        <v>0</v>
      </c>
      <c r="E51" s="22">
        <f>D51/D$17</f>
        <v>0</v>
      </c>
      <c r="F51" s="16">
        <f>+'Combined Company'!F51-Ohio!F51</f>
        <v>0</v>
      </c>
      <c r="G51" s="22">
        <f>F51/F$17</f>
        <v>0</v>
      </c>
      <c r="H51" s="16">
        <f>+'Combined Company'!H51-Ohio!H51</f>
        <v>0</v>
      </c>
      <c r="I51" s="22">
        <f>H51/H$17</f>
        <v>0</v>
      </c>
      <c r="J51" s="16">
        <f>+'Combined Company'!J51-Ohio!J51</f>
        <v>0</v>
      </c>
      <c r="K51" s="22">
        <f>J51/J$17</f>
        <v>0</v>
      </c>
      <c r="L51" s="16">
        <f>+'Combined Company'!L51-Ohio!L51</f>
        <v>0</v>
      </c>
      <c r="M51" s="22">
        <f>L51/L$17</f>
        <v>0</v>
      </c>
      <c r="N51" s="16">
        <f>+'Combined Company'!N51-Ohio!N51</f>
        <v>0</v>
      </c>
      <c r="O51" s="22">
        <f>N51/N$17</f>
        <v>0</v>
      </c>
      <c r="P51" s="16"/>
      <c r="Q51" s="22">
        <f>P51/P$17</f>
        <v>0</v>
      </c>
      <c r="R51" s="16"/>
      <c r="S51" s="22">
        <f>R51/R$17</f>
        <v>0</v>
      </c>
      <c r="T51" s="16"/>
      <c r="U51" s="22">
        <f>T51/T$17</f>
        <v>0</v>
      </c>
      <c r="V51" s="16">
        <f>+'Combined Company'!V51-Ohio!V51</f>
        <v>0</v>
      </c>
      <c r="W51" s="22">
        <f>V51/V$17</f>
        <v>0</v>
      </c>
      <c r="X51" s="16">
        <f>+'Combined Company'!X51-Ohio!X51</f>
        <v>0</v>
      </c>
      <c r="Y51" s="22">
        <f>X51/X$17</f>
        <v>0</v>
      </c>
      <c r="Z51" s="45">
        <f t="shared" si="39"/>
        <v>0</v>
      </c>
      <c r="AA51" s="45">
        <f t="shared" si="40"/>
        <v>0</v>
      </c>
      <c r="AB51" s="45">
        <f>IFERROR(AVERAGE(T51,V51,X51),0)</f>
        <v>0</v>
      </c>
      <c r="AC51" s="16"/>
      <c r="AD51" s="33"/>
      <c r="AE51" s="16">
        <f>IFERROR(AVERAGE(R51:V51),0)</f>
        <v>0</v>
      </c>
      <c r="AF51" s="33"/>
      <c r="AK51" s="56">
        <f>SUM(T51,V51,X51)*4</f>
        <v>0</v>
      </c>
      <c r="AL51" s="66">
        <f t="shared" si="7"/>
        <v>0</v>
      </c>
    </row>
    <row r="52" spans="1:39" s="1" customFormat="1" ht="20" customHeight="1">
      <c r="A52" s="141" t="s">
        <v>72</v>
      </c>
      <c r="B52" s="13">
        <f>+'Combined Company'!B52-Ohio!B52</f>
        <v>36209</v>
      </c>
      <c r="C52" s="22">
        <f>B52/B$17</f>
        <v>1.4683352325029705E-2</v>
      </c>
      <c r="D52" s="13">
        <f>+'Combined Company'!D52-Ohio!D52</f>
        <v>57508</v>
      </c>
      <c r="E52" s="22">
        <f>D52/D$17</f>
        <v>4.2154954717216253E-2</v>
      </c>
      <c r="F52" s="13">
        <f>+'Combined Company'!F52-Ohio!F52</f>
        <v>36092</v>
      </c>
      <c r="G52" s="22">
        <f>F52/F$17</f>
        <v>2.200101190512475E-2</v>
      </c>
      <c r="H52" s="13">
        <f>+'Combined Company'!H52-Ohio!H52</f>
        <v>60379</v>
      </c>
      <c r="I52" s="22">
        <f>H52/H$17</f>
        <v>4.267842286549571E-2</v>
      </c>
      <c r="J52" s="13">
        <f>+'Combined Company'!J52-Ohio!J52</f>
        <v>23025</v>
      </c>
      <c r="K52" s="22">
        <f>J52/J$17</f>
        <v>1.6609318531022096E-2</v>
      </c>
      <c r="L52" s="13">
        <f>+'Combined Company'!L52-Ohio!L52</f>
        <v>27917</v>
      </c>
      <c r="M52" s="22">
        <f>L52/L$17</f>
        <v>1.6620556336464309E-2</v>
      </c>
      <c r="N52" s="13">
        <f>+'Combined Company'!N52-Ohio!N52</f>
        <v>47609</v>
      </c>
      <c r="O52" s="22">
        <f>N52/N$17</f>
        <v>3.3595128215984309E-2</v>
      </c>
      <c r="P52" s="13">
        <f>+'Combined Company'!P52-Ohio!P52</f>
        <v>49608</v>
      </c>
      <c r="Q52" s="22">
        <f>P52/P$17</f>
        <v>2.5650757144083335E-2</v>
      </c>
      <c r="R52" s="13">
        <f>+'Combined Company'!R52-Ohio!R52</f>
        <v>45781</v>
      </c>
      <c r="S52" s="22">
        <f>R52/R$17</f>
        <v>2.6349338086624003E-2</v>
      </c>
      <c r="T52" s="13">
        <f>+'Combined Company'!T52-Ohio!T52</f>
        <v>61048</v>
      </c>
      <c r="U52" s="22">
        <f>T52/T$17</f>
        <v>5.1803904131210311E-2</v>
      </c>
      <c r="V52" s="13">
        <f>+'Combined Company'!V52-Ohio!V52</f>
        <v>70184</v>
      </c>
      <c r="W52" s="22">
        <f>V52/V$17</f>
        <v>3.0344405369157695E-2</v>
      </c>
      <c r="X52" s="13">
        <f>+'Combined Company'!X52-Ohio!X52</f>
        <v>48743</v>
      </c>
      <c r="Y52" s="22">
        <f>X52/X$17</f>
        <v>4.3259357344319384E-2</v>
      </c>
      <c r="Z52" s="13">
        <f t="shared" si="39"/>
        <v>564103</v>
      </c>
      <c r="AA52" s="13">
        <f t="shared" si="40"/>
        <v>47008.583333333336</v>
      </c>
      <c r="AB52" s="13">
        <f>IFERROR(AVERAGE(T52,V52,X52),0)</f>
        <v>59991.666666666664</v>
      </c>
      <c r="AC52" s="13"/>
      <c r="AD52" s="67"/>
      <c r="AE52" s="13">
        <f>IFERROR(AVERAGE(R52:V52),0)</f>
        <v>35402.615630648448</v>
      </c>
      <c r="AF52" s="67"/>
      <c r="AK52" s="56">
        <f>SUM(T52,V52,X52)*4</f>
        <v>719900</v>
      </c>
      <c r="AL52" s="66">
        <f t="shared" si="7"/>
        <v>59991.666666666664</v>
      </c>
      <c r="AM52" s="137"/>
    </row>
    <row r="53" spans="1:39" s="1" customFormat="1" ht="20" customHeight="1">
      <c r="A53" s="141"/>
      <c r="B53" s="13"/>
      <c r="C53" s="22"/>
      <c r="D53" s="13"/>
      <c r="E53" s="22"/>
      <c r="F53" s="13"/>
      <c r="G53" s="22"/>
      <c r="H53" s="13"/>
      <c r="I53" s="22"/>
      <c r="J53" s="13"/>
      <c r="K53" s="22"/>
      <c r="L53" s="13"/>
      <c r="M53" s="22"/>
      <c r="N53" s="13"/>
      <c r="O53" s="22"/>
      <c r="P53" s="13"/>
      <c r="Q53" s="22"/>
      <c r="R53" s="13"/>
      <c r="S53" s="22"/>
      <c r="T53" s="13"/>
      <c r="U53" s="22"/>
      <c r="V53" s="13"/>
      <c r="W53" s="22"/>
      <c r="X53" s="13"/>
      <c r="Y53" s="22"/>
      <c r="Z53" s="13"/>
      <c r="AA53" s="13"/>
      <c r="AB53" s="13"/>
      <c r="AC53" s="13"/>
      <c r="AD53" s="67"/>
      <c r="AE53" s="13"/>
      <c r="AF53" s="67"/>
      <c r="AK53" s="56"/>
      <c r="AL53" s="69"/>
      <c r="AM53" s="137"/>
    </row>
    <row r="54" spans="1:39" ht="20" customHeight="1">
      <c r="A54" s="142" t="s">
        <v>73</v>
      </c>
      <c r="B54" s="16"/>
      <c r="C54" s="22"/>
      <c r="D54" s="16"/>
      <c r="E54" s="22"/>
      <c r="F54" s="16"/>
      <c r="G54" s="22"/>
      <c r="H54" s="16"/>
      <c r="I54" s="22"/>
      <c r="J54" s="16"/>
      <c r="K54" s="22"/>
      <c r="L54" s="16"/>
      <c r="M54" s="22"/>
      <c r="N54" s="16"/>
      <c r="O54" s="22"/>
      <c r="P54" s="16"/>
      <c r="Q54" s="22"/>
      <c r="R54" s="16"/>
      <c r="S54" s="22"/>
      <c r="T54" s="16"/>
      <c r="U54" s="22"/>
      <c r="V54" s="16"/>
      <c r="W54" s="22"/>
      <c r="X54" s="16"/>
      <c r="Y54" s="22"/>
      <c r="Z54" s="16"/>
      <c r="AA54" s="16"/>
      <c r="AB54" s="16"/>
      <c r="AC54" s="16"/>
      <c r="AD54" s="16"/>
      <c r="AE54" s="16"/>
      <c r="AF54" s="16"/>
      <c r="AK54" s="56"/>
      <c r="AL54" s="66"/>
    </row>
    <row r="55" spans="1:39" ht="20" customHeight="1">
      <c r="A55" s="142" t="s">
        <v>74</v>
      </c>
      <c r="B55" s="16">
        <f>+'Combined Company'!B55-Ohio!B55</f>
        <v>0</v>
      </c>
      <c r="C55" s="22">
        <f>B55/B$17</f>
        <v>0</v>
      </c>
      <c r="D55" s="16">
        <f>+'Combined Company'!D55-Ohio!D55</f>
        <v>0</v>
      </c>
      <c r="E55" s="22">
        <f>D55/D$17</f>
        <v>0</v>
      </c>
      <c r="F55" s="16">
        <f>+'Combined Company'!F55-Ohio!F55</f>
        <v>0</v>
      </c>
      <c r="G55" s="22">
        <f>F55/F$17</f>
        <v>0</v>
      </c>
      <c r="H55" s="16">
        <f>+'Combined Company'!H55-Ohio!H55</f>
        <v>2410</v>
      </c>
      <c r="I55" s="22">
        <f>H55/H$17</f>
        <v>1.7034896090668058E-3</v>
      </c>
      <c r="J55" s="16">
        <f>+'Combined Company'!J55-Ohio!J55</f>
        <v>5825</v>
      </c>
      <c r="K55" s="22">
        <f>J55/J$17</f>
        <v>4.2019231462846343E-3</v>
      </c>
      <c r="L55" s="16">
        <f>+'Combined Company'!L55-Ohio!L55</f>
        <v>3718</v>
      </c>
      <c r="M55" s="22">
        <f>L55/L$17</f>
        <v>2.2135339921543974E-3</v>
      </c>
      <c r="N55" s="16">
        <f>+'Combined Company'!N55-Ohio!N55</f>
        <v>5229</v>
      </c>
      <c r="O55" s="22">
        <f>N55/N$17</f>
        <v>3.6898259875523943E-3</v>
      </c>
      <c r="P55" s="16">
        <f>+'Combined Company'!P55-Ohio!P55</f>
        <v>6014</v>
      </c>
      <c r="Q55" s="22">
        <f>P55/P$17</f>
        <v>3.1096527468254553E-3</v>
      </c>
      <c r="R55" s="16">
        <f>+'Combined Company'!R55-Ohio!R55</f>
        <v>9612</v>
      </c>
      <c r="S55" s="22">
        <f>R55/R$17</f>
        <v>5.5322041390233924E-3</v>
      </c>
      <c r="T55" s="16">
        <f>+'Combined Company'!T55-Ohio!T55</f>
        <v>4740</v>
      </c>
      <c r="U55" s="22">
        <f>T55/T$17</f>
        <v>4.0222530726958597E-3</v>
      </c>
      <c r="V55" s="16">
        <f>+'Combined Company'!V55-Ohio!V55</f>
        <v>2750</v>
      </c>
      <c r="W55" s="22">
        <f>V55/V$17</f>
        <v>1.1889763302915717E-3</v>
      </c>
      <c r="X55" s="16">
        <f>+'Combined Company'!X55-Ohio!X55</f>
        <v>3972</v>
      </c>
      <c r="Y55" s="22">
        <f>X55/X$17</f>
        <v>3.5251455054394806E-3</v>
      </c>
      <c r="Z55" s="45">
        <f t="shared" ref="Z55:Z58" si="41">SUM(B55,D55,F55,H55,J55,L55,N55,P55,R55,T55,V55,X55)</f>
        <v>44270</v>
      </c>
      <c r="AA55" s="45">
        <f t="shared" ref="AA55:AA58" si="42">IFERROR(AVERAGE(B55,D55,F55,H55,J55,L55,N55,P55,R55,T55,V55,X55),0)</f>
        <v>3689.1666666666665</v>
      </c>
      <c r="AB55" s="45">
        <f t="shared" ref="AB55:AB60" si="43">IFERROR(AVERAGE(T55,V55,X55),0)</f>
        <v>3820.6666666666665</v>
      </c>
      <c r="AC55" s="16"/>
      <c r="AD55" s="33"/>
      <c r="AE55" s="16">
        <f>IFERROR(AVERAGE(R55:V55),0)</f>
        <v>3420.4019108914422</v>
      </c>
      <c r="AF55" s="33"/>
      <c r="AK55" s="56">
        <f>SUM(T55,V55,X55)*4</f>
        <v>45848</v>
      </c>
      <c r="AL55" s="66">
        <f t="shared" si="7"/>
        <v>3820.6666666666665</v>
      </c>
    </row>
    <row r="56" spans="1:39" ht="20" customHeight="1">
      <c r="A56" s="142" t="s">
        <v>75</v>
      </c>
      <c r="B56" s="16">
        <f>+'Combined Company'!B56-Ohio!B56</f>
        <v>0</v>
      </c>
      <c r="C56" s="22"/>
      <c r="D56" s="16">
        <f>+'Combined Company'!D56-Ohio!D56</f>
        <v>0</v>
      </c>
      <c r="E56" s="22"/>
      <c r="F56" s="16">
        <f>+'Combined Company'!F56-Ohio!F56</f>
        <v>0</v>
      </c>
      <c r="G56" s="22"/>
      <c r="H56" s="16">
        <f>+'Combined Company'!H56-Ohio!H56</f>
        <v>0</v>
      </c>
      <c r="I56" s="22"/>
      <c r="J56" s="16">
        <f>+'Combined Company'!J56-Ohio!J56</f>
        <v>0</v>
      </c>
      <c r="K56" s="22"/>
      <c r="L56" s="16">
        <f>+'Combined Company'!L56-Ohio!L56</f>
        <v>0</v>
      </c>
      <c r="M56" s="22"/>
      <c r="N56" s="16">
        <f>+'Combined Company'!N56-Ohio!N56</f>
        <v>6442</v>
      </c>
      <c r="O56" s="22"/>
      <c r="P56" s="16">
        <f>+'Combined Company'!P56-Ohio!P56</f>
        <v>0</v>
      </c>
      <c r="Q56" s="22"/>
      <c r="R56" s="16">
        <f>+'Combined Company'!R56-Ohio!R56</f>
        <v>0</v>
      </c>
      <c r="S56" s="22"/>
      <c r="T56" s="16">
        <f>+'Combined Company'!T56-Ohio!T56</f>
        <v>0</v>
      </c>
      <c r="U56" s="22"/>
      <c r="V56" s="16">
        <f>+'Combined Company'!V56-Ohio!V56</f>
        <v>2</v>
      </c>
      <c r="W56" s="22"/>
      <c r="X56" s="16">
        <f>+'Combined Company'!X56-Ohio!X56</f>
        <v>0</v>
      </c>
      <c r="Y56" s="22"/>
      <c r="Z56" s="45">
        <f t="shared" si="41"/>
        <v>6444</v>
      </c>
      <c r="AA56" s="45">
        <f t="shared" si="42"/>
        <v>537</v>
      </c>
      <c r="AB56" s="45">
        <f t="shared" si="43"/>
        <v>0.66666666666666663</v>
      </c>
      <c r="AC56" s="16"/>
      <c r="AD56" s="33"/>
      <c r="AE56" s="16">
        <f>IFERROR(AVERAGE(R56:V56),0)</f>
        <v>0.66666666666666663</v>
      </c>
      <c r="AF56" s="33"/>
      <c r="AK56" s="56">
        <f>SUM(T56,V56,X56)*4</f>
        <v>8</v>
      </c>
      <c r="AL56" s="66">
        <f t="shared" si="7"/>
        <v>0.66666666666666663</v>
      </c>
    </row>
    <row r="57" spans="1:39" ht="20" customHeight="1">
      <c r="A57" s="153" t="s">
        <v>76</v>
      </c>
      <c r="B57" s="46">
        <f>+'Combined Company'!B57-Ohio!B57</f>
        <v>25477</v>
      </c>
      <c r="C57" s="57">
        <f>B57/B$17</f>
        <v>1.0331347653477914E-2</v>
      </c>
      <c r="D57" s="46">
        <f>+'Combined Company'!D57-Ohio!D57</f>
        <v>8387</v>
      </c>
      <c r="E57" s="57">
        <f>D57/D$17</f>
        <v>6.14790299111937E-3</v>
      </c>
      <c r="F57" s="46">
        <f>+'Combined Company'!F57-Ohio!F57</f>
        <v>17203</v>
      </c>
      <c r="G57" s="57">
        <f>F57/F$17</f>
        <v>1.0486628831981079E-2</v>
      </c>
      <c r="H57" s="46">
        <f>+'Combined Company'!H57-Ohio!H57</f>
        <v>2410</v>
      </c>
      <c r="I57" s="57">
        <f>H57/H$17</f>
        <v>1.7034896090668058E-3</v>
      </c>
      <c r="J57" s="46">
        <f>+'Combined Company'!J57-Ohio!J57</f>
        <v>5825</v>
      </c>
      <c r="K57" s="57">
        <f>J57/J$17</f>
        <v>4.2019231462846343E-3</v>
      </c>
      <c r="L57" s="46">
        <f>+'Combined Company'!L57-Ohio!L57</f>
        <v>718</v>
      </c>
      <c r="M57" s="57">
        <f>L57/L$17</f>
        <v>4.2746568218581421E-4</v>
      </c>
      <c r="N57" s="46">
        <f>+'Combined Company'!N57-Ohio!N57</f>
        <v>11671</v>
      </c>
      <c r="O57" s="57">
        <f>N57/N$17</f>
        <v>8.2356012814541971E-3</v>
      </c>
      <c r="P57" s="46">
        <f>+'Combined Company'!P57-Ohio!P57</f>
        <v>6014</v>
      </c>
      <c r="Q57" s="57">
        <f>P57/P$17</f>
        <v>3.1096527468254553E-3</v>
      </c>
      <c r="R57" s="46">
        <f>+'Combined Company'!R57-Ohio!R57</f>
        <v>9612</v>
      </c>
      <c r="S57" s="57">
        <f>R57/R$17</f>
        <v>5.5322041390233924E-3</v>
      </c>
      <c r="T57" s="46">
        <f>+'Combined Company'!T57-Ohio!T57</f>
        <v>4740</v>
      </c>
      <c r="U57" s="57">
        <f>T57/T$17</f>
        <v>4.0222530726958597E-3</v>
      </c>
      <c r="V57" s="46">
        <f>+'Combined Company'!V57-Ohio!V57</f>
        <v>4398</v>
      </c>
      <c r="W57" s="57">
        <f>V57/V$17</f>
        <v>1.9014974184081207E-3</v>
      </c>
      <c r="X57" s="46">
        <f>+'Combined Company'!X57-Ohio!X57</f>
        <v>3972</v>
      </c>
      <c r="Y57" s="57">
        <f>X57/X$17</f>
        <v>3.5251455054394806E-3</v>
      </c>
      <c r="Z57" s="46">
        <f t="shared" si="41"/>
        <v>100427</v>
      </c>
      <c r="AA57" s="46">
        <f t="shared" si="42"/>
        <v>8368.9166666666661</v>
      </c>
      <c r="AB57" s="46">
        <f t="shared" si="43"/>
        <v>4370</v>
      </c>
      <c r="AC57" s="46"/>
      <c r="AD57" s="42"/>
      <c r="AE57" s="46">
        <f>IFERROR(AVERAGE(R57:V57),0)</f>
        <v>3750.0019108914421</v>
      </c>
      <c r="AF57" s="42"/>
      <c r="AK57" s="56">
        <f>SUM(T57,V57,X57)*4</f>
        <v>52440</v>
      </c>
      <c r="AL57" s="66">
        <f t="shared" si="7"/>
        <v>4370</v>
      </c>
    </row>
    <row r="58" spans="1:39" ht="20" customHeight="1">
      <c r="A58" s="153" t="s">
        <v>77</v>
      </c>
      <c r="B58" s="46">
        <f>+'Combined Company'!B58-Ohio!B58</f>
        <v>498004</v>
      </c>
      <c r="C58" s="57">
        <f>B58/B$17</f>
        <v>0.20194891301262374</v>
      </c>
      <c r="D58" s="46">
        <f>+'Combined Company'!D58-Ohio!D58</f>
        <v>557372</v>
      </c>
      <c r="E58" s="57">
        <f>D58/D$17</f>
        <v>0.40856909335473773</v>
      </c>
      <c r="F58" s="46">
        <f>+'Combined Company'!F58-Ohio!F58</f>
        <v>613281</v>
      </c>
      <c r="G58" s="57">
        <f>F58/F$17</f>
        <v>0.37384469085079275</v>
      </c>
      <c r="H58" s="46">
        <f>+'Combined Company'!H58-Ohio!H58</f>
        <v>542588</v>
      </c>
      <c r="I58" s="57">
        <f>H58/H$17</f>
        <v>0.38352407469059752</v>
      </c>
      <c r="J58" s="46">
        <f>+'Combined Company'!J58-Ohio!J58</f>
        <v>549101</v>
      </c>
      <c r="K58" s="57">
        <f>J58/J$17</f>
        <v>0.39609960541597233</v>
      </c>
      <c r="L58" s="46">
        <f>+'Combined Company'!L58-Ohio!L58</f>
        <v>551524</v>
      </c>
      <c r="M58" s="57">
        <f>L58/L$17</f>
        <v>0.32835317952903759</v>
      </c>
      <c r="N58" s="46">
        <f>+'Combined Company'!N58-Ohio!N58</f>
        <v>521767</v>
      </c>
      <c r="O58" s="57">
        <f>N58/N$17</f>
        <v>0.36818310117560721</v>
      </c>
      <c r="P58" s="46">
        <f>+'Combined Company'!P58-Ohio!P58</f>
        <v>512749</v>
      </c>
      <c r="Q58" s="57">
        <f>P58/P$17</f>
        <v>0.2651265939943474</v>
      </c>
      <c r="R58" s="46">
        <f>+'Combined Company'!R58-Ohio!R58</f>
        <v>520356</v>
      </c>
      <c r="S58" s="57">
        <f>R58/R$17</f>
        <v>0.29949184529397171</v>
      </c>
      <c r="T58" s="46">
        <f>+'Combined Company'!T58-Ohio!T58</f>
        <v>534232</v>
      </c>
      <c r="U58" s="57">
        <f>T58/T$17</f>
        <v>0.45333677289714236</v>
      </c>
      <c r="V58" s="46">
        <f>+'Combined Company'!V58-Ohio!V58</f>
        <v>548067</v>
      </c>
      <c r="W58" s="57">
        <f>V58/V$17</f>
        <v>0.23695952378687665</v>
      </c>
      <c r="X58" s="46">
        <f>+'Combined Company'!X58-Ohio!X58</f>
        <v>641555</v>
      </c>
      <c r="Y58" s="57">
        <f>X58/X$17</f>
        <v>0.56937933654134587</v>
      </c>
      <c r="Z58" s="19">
        <f t="shared" si="41"/>
        <v>6590596</v>
      </c>
      <c r="AA58" s="19">
        <f t="shared" si="42"/>
        <v>549216.33333333337</v>
      </c>
      <c r="AB58" s="19">
        <f t="shared" si="43"/>
        <v>574618</v>
      </c>
      <c r="AC58" s="19"/>
      <c r="AD58" s="42"/>
      <c r="AE58" s="19">
        <f>IFERROR(AVERAGE(R58:V58),0)</f>
        <v>320531.15056572366</v>
      </c>
      <c r="AF58" s="42"/>
      <c r="AK58" s="56">
        <f>SUM(T58,V58,X58)*4</f>
        <v>6895416</v>
      </c>
      <c r="AL58" s="66">
        <f t="shared" si="7"/>
        <v>574618</v>
      </c>
    </row>
    <row r="59" spans="1:39" ht="20" customHeight="1" thickBot="1">
      <c r="A59" s="154"/>
      <c r="B59" s="16"/>
      <c r="C59" s="22"/>
      <c r="D59" s="16"/>
      <c r="E59" s="22"/>
      <c r="F59" s="16"/>
      <c r="G59" s="22"/>
      <c r="H59" s="16"/>
      <c r="I59" s="22"/>
      <c r="J59" s="16"/>
      <c r="K59" s="22"/>
      <c r="L59" s="16"/>
      <c r="M59" s="22"/>
      <c r="N59" s="16"/>
      <c r="O59" s="22"/>
      <c r="P59" s="16"/>
      <c r="Q59" s="22"/>
      <c r="R59" s="16"/>
      <c r="S59" s="22"/>
      <c r="T59" s="16"/>
      <c r="U59" s="22"/>
      <c r="V59" s="16"/>
      <c r="W59" s="22"/>
      <c r="X59" s="16"/>
      <c r="Y59" s="22"/>
      <c r="Z59" s="16">
        <f t="shared" ref="Z59" si="44">SUM(F59,H59,J59,L59,N59,P59,R59,T59,V59,X59)</f>
        <v>0</v>
      </c>
      <c r="AA59" s="16">
        <f t="shared" ref="AA59:AA61" si="45">IFERROR(AVERAGE(F59,H59,J59,L59,N59,P59,R59,T59,V59,X59),0)</f>
        <v>0</v>
      </c>
      <c r="AB59" s="16">
        <f t="shared" si="43"/>
        <v>0</v>
      </c>
      <c r="AC59" s="16"/>
      <c r="AD59" s="16"/>
      <c r="AE59" s="16"/>
      <c r="AF59" s="16"/>
      <c r="AK59" s="56"/>
      <c r="AL59" s="66"/>
    </row>
    <row r="60" spans="1:39" s="24" customFormat="1" ht="20" customHeight="1" thickTop="1" thickBot="1">
      <c r="A60" s="155" t="s">
        <v>78</v>
      </c>
      <c r="B60" s="29">
        <f>+'Combined Company'!B60-Ohio!B60</f>
        <v>567114</v>
      </c>
      <c r="C60" s="64">
        <f>B60/B$17</f>
        <v>0.22997416858949143</v>
      </c>
      <c r="D60" s="29">
        <f>+'Combined Company'!D60-Ohio!D60</f>
        <v>321975</v>
      </c>
      <c r="E60" s="64">
        <f>D60/D$17</f>
        <v>0.23601658108568727</v>
      </c>
      <c r="F60" s="29">
        <f>+'Combined Company'!F60-Ohio!F60</f>
        <v>376086</v>
      </c>
      <c r="G60" s="64">
        <f>F60/F$17</f>
        <v>0.22925503057050722</v>
      </c>
      <c r="H60" s="29">
        <f>+'Combined Company'!H60-Ohio!H60</f>
        <v>304585</v>
      </c>
      <c r="I60" s="64">
        <f>H60/H$17</f>
        <v>0.21529351974174815</v>
      </c>
      <c r="J60" s="29">
        <f>+'Combined Company'!J60-Ohio!J60</f>
        <v>372423</v>
      </c>
      <c r="K60" s="64">
        <f>J60/J$17</f>
        <v>0.26865112856802786</v>
      </c>
      <c r="L60" s="29">
        <f>+'Combined Company'!L60-Ohio!L60</f>
        <v>352216</v>
      </c>
      <c r="M60" s="64">
        <f>L60/L$17</f>
        <v>0.20969394528796481</v>
      </c>
      <c r="N60" s="29">
        <f>+'Combined Company'!N60-Ohio!N60</f>
        <v>389175</v>
      </c>
      <c r="O60" s="64">
        <f>N60/N$17</f>
        <v>0.2746200093145349</v>
      </c>
      <c r="P60" s="29">
        <f>+'Combined Company'!P60-Ohio!P60</f>
        <v>369326</v>
      </c>
      <c r="Q60" s="64">
        <f>P60/P$17</f>
        <v>0.19096701203426306</v>
      </c>
      <c r="R60" s="29">
        <f>+'Combined Company'!R60-Ohio!R60</f>
        <v>270789</v>
      </c>
      <c r="S60" s="64">
        <f>R60/R$17</f>
        <v>0.15585310305888528</v>
      </c>
      <c r="T60" s="29">
        <f>+'Combined Company'!T60-Ohio!T60</f>
        <v>119224</v>
      </c>
      <c r="U60" s="64">
        <f>T60/T$17</f>
        <v>0.10117069627406987</v>
      </c>
      <c r="V60" s="29">
        <f>+'Combined Company'!V60-Ohio!V60</f>
        <v>314833</v>
      </c>
      <c r="W60" s="64">
        <f>V60/V$17</f>
        <v>0.13611963090715867</v>
      </c>
      <c r="X60" s="29">
        <f>+'Combined Company'!X60-Ohio!X60</f>
        <v>-131070</v>
      </c>
      <c r="Y60" s="64">
        <f>X60/X$17</f>
        <v>-0.11632447668629223</v>
      </c>
      <c r="Z60" s="30">
        <f t="shared" ref="Z60" si="46">SUM(B60,D60,F60,H60,J60,L60,N60,P60,R60,T60,V60,X60)</f>
        <v>3626676</v>
      </c>
      <c r="AA60" s="30">
        <f t="shared" ref="AA60" si="47">IFERROR(AVERAGE(B60,D60,F60,H60,J60,L60,N60,P60,R60,T60,V60,X60),0)</f>
        <v>302223</v>
      </c>
      <c r="AB60" s="30">
        <f t="shared" si="43"/>
        <v>100995.66666666667</v>
      </c>
      <c r="AC60" s="30"/>
      <c r="AD60" s="39"/>
      <c r="AE60" s="30">
        <f>IFERROR(AVERAGE(R60:V60),0)</f>
        <v>140969.25140475985</v>
      </c>
      <c r="AF60" s="39"/>
      <c r="AK60" s="56">
        <f>SUM(T60,V60,X60)*4</f>
        <v>1211948</v>
      </c>
      <c r="AL60" s="66">
        <f t="shared" si="7"/>
        <v>100995.66666666667</v>
      </c>
      <c r="AM60" s="135"/>
    </row>
    <row r="61" spans="1:39" ht="20" customHeight="1" thickTop="1">
      <c r="A61" s="156" t="s">
        <v>79</v>
      </c>
      <c r="B61" s="22">
        <v>0.13475409344349867</v>
      </c>
      <c r="C61" s="22">
        <f t="shared" ref="C61" si="48">C60/C17</f>
        <v>0.22997416858949143</v>
      </c>
      <c r="D61" s="22">
        <v>0.13475409344349867</v>
      </c>
      <c r="E61" s="22">
        <f t="shared" ref="E61" si="49">E60/E17</f>
        <v>0.23601658108568727</v>
      </c>
      <c r="F61" s="22">
        <v>0.13475409344349867</v>
      </c>
      <c r="G61" s="22">
        <f t="shared" ref="G61" si="50">G60/G17</f>
        <v>0.22925503057050722</v>
      </c>
      <c r="H61" s="22">
        <v>0.13475409344349867</v>
      </c>
      <c r="I61" s="22">
        <f t="shared" ref="I61" si="51">I60/I17</f>
        <v>0.21529351974174815</v>
      </c>
      <c r="J61" s="22">
        <v>0.13475409344349867</v>
      </c>
      <c r="K61" s="22">
        <f t="shared" ref="K61" si="52">K60/K17</f>
        <v>0.26865112856802786</v>
      </c>
      <c r="L61" s="22">
        <v>0.13475409344349867</v>
      </c>
      <c r="M61" s="22">
        <f t="shared" ref="M61" si="53">M60/M17</f>
        <v>0.20969394528796481</v>
      </c>
      <c r="N61" s="22">
        <v>0.13475409344349867</v>
      </c>
      <c r="O61" s="22">
        <f t="shared" ref="O61" si="54">O60/O17</f>
        <v>0.2746200093145349</v>
      </c>
      <c r="P61" s="22">
        <v>0.13475409344349867</v>
      </c>
      <c r="Q61" s="22">
        <f t="shared" ref="Q61" si="55">Q60/Q17</f>
        <v>0.19096701203426306</v>
      </c>
      <c r="R61" s="22">
        <v>0.13475409344349867</v>
      </c>
      <c r="S61" s="22">
        <f t="shared" ref="S61" si="56">S60/S17</f>
        <v>0.15585310305888528</v>
      </c>
      <c r="T61" s="22">
        <v>0.13475409344349867</v>
      </c>
      <c r="U61" s="22">
        <f t="shared" ref="U61" si="57">U60/U17</f>
        <v>0.10117069627406987</v>
      </c>
      <c r="V61" s="22">
        <v>0.13475409344349867</v>
      </c>
      <c r="W61" s="22">
        <f t="shared" ref="W61:Z61" si="58">W60/W17</f>
        <v>0.13611963090715867</v>
      </c>
      <c r="X61" s="22">
        <v>0.13475409344349867</v>
      </c>
      <c r="Y61" s="22">
        <f t="shared" si="58"/>
        <v>-0.11632447668629223</v>
      </c>
      <c r="Z61" s="22">
        <f t="shared" si="58"/>
        <v>0.18448812257332189</v>
      </c>
      <c r="AA61" s="131">
        <f t="shared" si="45"/>
        <v>0.1347540934434987</v>
      </c>
      <c r="AB61" s="131">
        <f>AVERAGE(T61,V61,X61)</f>
        <v>0.13475409344349867</v>
      </c>
      <c r="AC61" s="12"/>
      <c r="AD61" s="33"/>
      <c r="AE61" s="12"/>
      <c r="AF61" s="33"/>
      <c r="AK61" s="56"/>
    </row>
    <row r="62" spans="1:39" ht="20" customHeight="1">
      <c r="A62" s="142"/>
      <c r="B62" s="16"/>
      <c r="C62" s="22"/>
      <c r="D62" s="16"/>
      <c r="E62" s="22"/>
      <c r="F62" s="16"/>
      <c r="G62" s="22"/>
      <c r="H62" s="16"/>
      <c r="I62" s="22"/>
      <c r="J62" s="16"/>
      <c r="K62" s="22"/>
      <c r="L62" s="16"/>
      <c r="M62" s="22"/>
      <c r="N62" s="16"/>
      <c r="O62" s="22"/>
      <c r="P62" s="16"/>
      <c r="Q62" s="22"/>
      <c r="R62" s="16"/>
      <c r="S62" s="22"/>
      <c r="T62" s="16"/>
      <c r="U62" s="22"/>
      <c r="V62" s="16"/>
      <c r="W62" s="22"/>
      <c r="X62" s="16"/>
      <c r="Y62" s="22"/>
      <c r="Z62"/>
      <c r="AA62" s="16"/>
      <c r="AB62" s="16"/>
      <c r="AC62" s="16"/>
      <c r="AD62" s="16"/>
      <c r="AE62" s="16"/>
      <c r="AF62" s="16"/>
      <c r="AK62" s="56"/>
      <c r="AL62" s="66"/>
    </row>
    <row r="63" spans="1:39" ht="20" customHeight="1">
      <c r="A63" s="152" t="s">
        <v>80</v>
      </c>
      <c r="B63" s="16"/>
      <c r="C63" s="22"/>
      <c r="D63" s="16"/>
      <c r="E63" s="22"/>
      <c r="F63" s="16"/>
      <c r="G63" s="22"/>
      <c r="H63" s="16"/>
      <c r="I63" s="22"/>
      <c r="J63" s="16"/>
      <c r="K63" s="22"/>
      <c r="L63" s="16"/>
      <c r="M63" s="22"/>
      <c r="N63" s="16"/>
      <c r="O63" s="22"/>
      <c r="P63" s="16"/>
      <c r="Q63" s="22"/>
      <c r="R63" s="16"/>
      <c r="S63" s="22"/>
      <c r="T63" s="16"/>
      <c r="U63" s="22"/>
      <c r="V63" s="16"/>
      <c r="W63" s="22"/>
      <c r="X63" s="16"/>
      <c r="Y63" s="22"/>
      <c r="Z63"/>
      <c r="AA63" s="16"/>
      <c r="AB63" s="16"/>
      <c r="AC63" s="16"/>
      <c r="AD63" s="16"/>
      <c r="AE63" s="16"/>
      <c r="AF63" s="16"/>
      <c r="AK63" s="56"/>
      <c r="AL63" s="66"/>
    </row>
    <row r="64" spans="1:39" ht="20" customHeight="1">
      <c r="A64" s="152" t="s">
        <v>81</v>
      </c>
      <c r="B64" s="16"/>
      <c r="C64" s="22"/>
      <c r="D64" s="16"/>
      <c r="E64" s="22"/>
      <c r="F64" s="16"/>
      <c r="G64" s="22"/>
      <c r="H64" s="16"/>
      <c r="I64" s="22"/>
      <c r="J64" s="16"/>
      <c r="K64" s="22"/>
      <c r="L64" s="16"/>
      <c r="M64" s="22"/>
      <c r="N64" s="16"/>
      <c r="O64" s="22"/>
      <c r="P64" s="16"/>
      <c r="Q64" s="22"/>
      <c r="R64" s="16"/>
      <c r="S64" s="22"/>
      <c r="T64" s="16"/>
      <c r="U64" s="22"/>
      <c r="V64" s="16"/>
      <c r="W64" s="22"/>
      <c r="X64" s="16"/>
      <c r="Y64" s="22"/>
      <c r="Z64"/>
      <c r="AA64" s="16"/>
      <c r="AB64" s="16"/>
      <c r="AC64" s="16"/>
      <c r="AD64" s="16"/>
      <c r="AE64" s="16"/>
      <c r="AF64" s="16"/>
      <c r="AK64" s="56"/>
      <c r="AL64" s="66"/>
    </row>
    <row r="65" spans="1:39" ht="20" customHeight="1">
      <c r="A65" s="142" t="s">
        <v>82</v>
      </c>
      <c r="B65" s="16">
        <f>+'Combined Company'!B65-Ohio!B65</f>
        <v>0</v>
      </c>
      <c r="C65" s="22"/>
      <c r="D65" s="16">
        <v>0</v>
      </c>
      <c r="E65" s="22"/>
      <c r="F65" s="16">
        <v>0</v>
      </c>
      <c r="G65" s="22"/>
      <c r="H65" s="16">
        <v>0</v>
      </c>
      <c r="I65" s="22"/>
      <c r="J65" s="16">
        <v>0</v>
      </c>
      <c r="K65" s="22"/>
      <c r="L65" s="16">
        <v>0</v>
      </c>
      <c r="M65" s="22"/>
      <c r="N65" s="16">
        <v>0</v>
      </c>
      <c r="O65" s="22"/>
      <c r="P65" s="16"/>
      <c r="Q65" s="22"/>
      <c r="R65" s="16">
        <f>+'Combined Company'!R65-Ohio!R65</f>
        <v>0</v>
      </c>
      <c r="S65" s="22"/>
      <c r="T65" s="16">
        <f>+'Combined Company'!T65-Ohio!T65</f>
        <v>0</v>
      </c>
      <c r="U65" s="22"/>
      <c r="V65" s="16">
        <f>+'Combined Company'!V65-Ohio!V65</f>
        <v>0</v>
      </c>
      <c r="W65" s="22"/>
      <c r="X65" s="16">
        <f>+'Combined Company'!X65-Ohio!X65</f>
        <v>468</v>
      </c>
      <c r="Y65" s="22"/>
      <c r="Z65">
        <f t="shared" ref="Z65:Z67" si="59">SUM(B65,D65,F65,H65,J65,L65,N65,P65,R65,T65,V65,X65)</f>
        <v>468</v>
      </c>
      <c r="AA65" s="16">
        <f t="shared" ref="AA65:AA67" si="60">IFERROR(AVERAGE(B65,D65,F65,H65,J65,L65,N65,P65,R65,T65,V65,X65),0)</f>
        <v>42.545454545454547</v>
      </c>
      <c r="AB65" s="16">
        <f>IFERROR(AVERAGE(T65,V65,X65),0)</f>
        <v>156</v>
      </c>
      <c r="AC65" s="16"/>
      <c r="AD65" s="33"/>
      <c r="AE65" s="16">
        <f>IFERROR(AVERAGE(R65:V65),0)</f>
        <v>0</v>
      </c>
      <c r="AF65" s="33"/>
      <c r="AK65" s="56">
        <f t="shared" ref="AK65:AK74" si="61">SUM(T65,V65,X65)*4</f>
        <v>1872</v>
      </c>
      <c r="AL65" s="66">
        <f t="shared" si="7"/>
        <v>156</v>
      </c>
    </row>
    <row r="66" spans="1:39" ht="20" customHeight="1">
      <c r="A66" s="142" t="s">
        <v>81</v>
      </c>
      <c r="B66" s="16">
        <f>+'Combined Company'!B66-Ohio!B66</f>
        <v>0</v>
      </c>
      <c r="C66" s="22">
        <f>B66/B$17</f>
        <v>0</v>
      </c>
      <c r="D66" s="16">
        <v>57624</v>
      </c>
      <c r="E66" s="22">
        <f>D66/D$17</f>
        <v>4.223998592586891E-2</v>
      </c>
      <c r="F66" s="16">
        <v>0</v>
      </c>
      <c r="G66" s="22">
        <f>F66/F$17</f>
        <v>0</v>
      </c>
      <c r="H66" s="16">
        <v>20</v>
      </c>
      <c r="I66" s="22">
        <f>H66/H$17</f>
        <v>1.4136843228770173E-5</v>
      </c>
      <c r="J66" s="16">
        <v>0</v>
      </c>
      <c r="K66" s="22">
        <f>J66/J$17</f>
        <v>0</v>
      </c>
      <c r="L66" s="16">
        <v>0</v>
      </c>
      <c r="M66" s="22">
        <f>L66/L$17</f>
        <v>0</v>
      </c>
      <c r="N66" s="16">
        <v>504</v>
      </c>
      <c r="O66" s="22">
        <f>N66/N$17</f>
        <v>3.5564587831830304E-4</v>
      </c>
      <c r="P66" s="16"/>
      <c r="Q66" s="22">
        <f>P66/P$17</f>
        <v>0</v>
      </c>
      <c r="R66" s="16">
        <f>+'Combined Company'!R66-Ohio!R66</f>
        <v>1433</v>
      </c>
      <c r="S66" s="22">
        <f>R66/R$17</f>
        <v>8.2476576479614241E-4</v>
      </c>
      <c r="T66" s="16">
        <f>+'Combined Company'!T66-Ohio!T66</f>
        <v>0</v>
      </c>
      <c r="U66" s="22">
        <f>T66/T$17</f>
        <v>0</v>
      </c>
      <c r="V66" s="16">
        <f>+'Combined Company'!V66-Ohio!V66</f>
        <v>0</v>
      </c>
      <c r="W66" s="22">
        <f>V66/V$17</f>
        <v>0</v>
      </c>
      <c r="X66" s="16">
        <f>+'Combined Company'!X66-Ohio!X66</f>
        <v>454000</v>
      </c>
      <c r="Y66" s="22">
        <f>X66/X$17</f>
        <v>0.40292448627128002</v>
      </c>
      <c r="Z66">
        <f t="shared" si="59"/>
        <v>513581</v>
      </c>
      <c r="AA66" s="16">
        <f t="shared" si="60"/>
        <v>46689.181818181816</v>
      </c>
      <c r="AB66" s="16">
        <f>IFERROR(AVERAGE(T66,V66,X66),0)</f>
        <v>151333.33333333334</v>
      </c>
      <c r="AC66" s="16"/>
      <c r="AD66" s="33"/>
      <c r="AE66" s="16">
        <f>IFERROR(AVERAGE(R66:V66),0)</f>
        <v>286.60016495315296</v>
      </c>
      <c r="AF66" s="33"/>
      <c r="AK66" s="56">
        <f t="shared" si="61"/>
        <v>1816000</v>
      </c>
      <c r="AL66" s="66">
        <f t="shared" si="7"/>
        <v>151333.33333333334</v>
      </c>
    </row>
    <row r="67" spans="1:39" ht="20" customHeight="1">
      <c r="A67" s="142" t="s">
        <v>83</v>
      </c>
      <c r="B67" s="16">
        <f>+'Combined Company'!B67-Ohio!B67</f>
        <v>0</v>
      </c>
      <c r="C67" s="22">
        <f>B67/B$17</f>
        <v>0</v>
      </c>
      <c r="D67" s="16">
        <v>57624</v>
      </c>
      <c r="E67" s="22">
        <f>D67/D$17</f>
        <v>4.223998592586891E-2</v>
      </c>
      <c r="F67" s="16">
        <v>0</v>
      </c>
      <c r="G67" s="22">
        <f>F67/F$17</f>
        <v>0</v>
      </c>
      <c r="H67" s="16">
        <v>20</v>
      </c>
      <c r="I67" s="22">
        <f>H67/H$17</f>
        <v>1.4136843228770173E-5</v>
      </c>
      <c r="J67" s="16">
        <v>0</v>
      </c>
      <c r="K67" s="22">
        <f>J67/J$17</f>
        <v>0</v>
      </c>
      <c r="L67" s="16">
        <v>0</v>
      </c>
      <c r="M67" s="22">
        <f>L67/L$17</f>
        <v>0</v>
      </c>
      <c r="N67" s="16">
        <v>504</v>
      </c>
      <c r="O67" s="22">
        <f>N67/N$17</f>
        <v>3.5564587831830304E-4</v>
      </c>
      <c r="P67" s="16"/>
      <c r="Q67" s="22">
        <f>P67/P$17</f>
        <v>0</v>
      </c>
      <c r="R67" s="16">
        <f>+'Combined Company'!R67-Ohio!R67</f>
        <v>1433</v>
      </c>
      <c r="S67" s="22">
        <f>R67/R$17</f>
        <v>8.2476576479614241E-4</v>
      </c>
      <c r="T67" s="16">
        <f>+'Combined Company'!T67-Ohio!T67</f>
        <v>0</v>
      </c>
      <c r="U67" s="22">
        <f>T67/T$17</f>
        <v>0</v>
      </c>
      <c r="V67" s="16">
        <f>+'Combined Company'!V67-Ohio!V67</f>
        <v>916</v>
      </c>
      <c r="W67" s="22">
        <f>V67/V$17</f>
        <v>3.9603720674439256E-4</v>
      </c>
      <c r="X67" s="16">
        <f>+'Combined Company'!X67-Ohio!X67</f>
        <v>454468</v>
      </c>
      <c r="Y67" s="22">
        <f>X67/X$17</f>
        <v>0.40333983574170945</v>
      </c>
      <c r="Z67">
        <f t="shared" si="59"/>
        <v>514965</v>
      </c>
      <c r="AA67" s="16">
        <f t="shared" si="60"/>
        <v>46815</v>
      </c>
      <c r="AB67" s="16">
        <f>IFERROR(AVERAGE(T67,V67,X67),0)</f>
        <v>151794.66666666666</v>
      </c>
      <c r="AC67" s="16"/>
      <c r="AD67" s="33"/>
      <c r="AE67" s="16">
        <f>IFERROR(AVERAGE(R67:V67),0)</f>
        <v>469.80016495315294</v>
      </c>
      <c r="AF67" s="33"/>
      <c r="AK67" s="56">
        <f t="shared" si="61"/>
        <v>1821536</v>
      </c>
      <c r="AL67" s="66">
        <f t="shared" si="7"/>
        <v>151794.66666666666</v>
      </c>
    </row>
    <row r="68" spans="1:39" ht="20" customHeight="1">
      <c r="A68" s="142"/>
      <c r="B68" s="16"/>
      <c r="C68" s="22"/>
      <c r="D68" s="16"/>
      <c r="E68" s="22"/>
      <c r="F68" s="16"/>
      <c r="G68" s="22"/>
      <c r="H68" s="16"/>
      <c r="I68" s="22"/>
      <c r="J68" s="16"/>
      <c r="K68" s="22"/>
      <c r="L68" s="16"/>
      <c r="M68" s="22"/>
      <c r="N68" s="16"/>
      <c r="O68" s="22"/>
      <c r="P68" s="16"/>
      <c r="Q68" s="22"/>
      <c r="R68" s="16"/>
      <c r="S68" s="22"/>
      <c r="T68" s="16"/>
      <c r="U68" s="22"/>
      <c r="V68" s="16"/>
      <c r="W68" s="22"/>
      <c r="X68" s="16"/>
      <c r="Y68" s="22"/>
      <c r="Z68"/>
      <c r="AA68" s="16"/>
      <c r="AB68" s="16"/>
      <c r="AC68" s="16"/>
      <c r="AD68" s="33"/>
      <c r="AE68" s="16"/>
      <c r="AF68" s="33"/>
      <c r="AK68" s="56">
        <f t="shared" si="61"/>
        <v>0</v>
      </c>
      <c r="AL68" s="66"/>
    </row>
    <row r="69" spans="1:39" ht="20" customHeight="1">
      <c r="A69" s="141" t="s">
        <v>84</v>
      </c>
      <c r="B69" s="16"/>
      <c r="C69" s="22"/>
      <c r="D69" s="16"/>
      <c r="E69" s="22"/>
      <c r="F69" s="16"/>
      <c r="G69" s="22"/>
      <c r="H69" s="16"/>
      <c r="I69" s="22"/>
      <c r="J69" s="16"/>
      <c r="K69" s="22"/>
      <c r="L69" s="16"/>
      <c r="M69" s="22"/>
      <c r="N69" s="16"/>
      <c r="O69" s="22"/>
      <c r="P69" s="16"/>
      <c r="Q69" s="22"/>
      <c r="R69" s="16"/>
      <c r="S69" s="22"/>
      <c r="T69" s="16"/>
      <c r="U69" s="22"/>
      <c r="V69" s="16"/>
      <c r="W69" s="22"/>
      <c r="X69" s="16"/>
      <c r="Y69" s="22"/>
      <c r="Z69" s="16"/>
      <c r="AA69" s="16"/>
      <c r="AB69" s="16"/>
      <c r="AC69" s="16"/>
      <c r="AD69" s="17"/>
      <c r="AE69" s="16"/>
      <c r="AF69" s="12"/>
      <c r="AK69" s="56">
        <f t="shared" si="61"/>
        <v>0</v>
      </c>
      <c r="AL69" s="66">
        <f t="shared" si="7"/>
        <v>0</v>
      </c>
    </row>
    <row r="70" spans="1:39" ht="20" customHeight="1">
      <c r="A70" s="142" t="s">
        <v>85</v>
      </c>
      <c r="B70" s="16">
        <f>+'Combined Company'!B70-Ohio!B70</f>
        <v>-1467</v>
      </c>
      <c r="C70" s="22">
        <f>B70/B$17</f>
        <v>-5.9489292332896729E-4</v>
      </c>
      <c r="D70" s="16">
        <v>-9919</v>
      </c>
      <c r="E70" s="22">
        <f>D70/D$17</f>
        <v>-7.2709013674631014E-3</v>
      </c>
      <c r="F70" s="16">
        <v>-28403</v>
      </c>
      <c r="G70" s="22">
        <f>F70/F$17</f>
        <v>-1.7313940517046943E-2</v>
      </c>
      <c r="H70" s="16">
        <v>-2758</v>
      </c>
      <c r="I70" s="22">
        <f>H70/H$17</f>
        <v>-1.9494706812474068E-3</v>
      </c>
      <c r="J70" s="16">
        <v>-10982</v>
      </c>
      <c r="K70" s="22">
        <f>J70/J$17</f>
        <v>-7.9219776811155114E-3</v>
      </c>
      <c r="L70" s="16">
        <v>-11178</v>
      </c>
      <c r="M70" s="22">
        <f>L70/L$17</f>
        <v>-6.6548905229429408E-3</v>
      </c>
      <c r="N70" s="16">
        <v>-11489</v>
      </c>
      <c r="O70" s="22">
        <f>N70/N$17</f>
        <v>-8.107173603172587E-3</v>
      </c>
      <c r="P70" s="16">
        <v>-11541</v>
      </c>
      <c r="Q70" s="22">
        <f>P70/P$17</f>
        <v>-5.9674929083991645E-3</v>
      </c>
      <c r="R70" s="16">
        <f>+'Combined Company'!R70-Ohio!R70</f>
        <v>-1704</v>
      </c>
      <c r="S70" s="22">
        <f>R70/R$17</f>
        <v>-9.8074030929003945E-4</v>
      </c>
      <c r="T70" s="16">
        <f>+'Combined Company'!T70-Ohio!T70</f>
        <v>-789</v>
      </c>
      <c r="U70" s="22">
        <f>T70/T$17</f>
        <v>-6.6952693551836149E-4</v>
      </c>
      <c r="V70" s="16">
        <f>+'Combined Company'!V70-Ohio!V70</f>
        <v>-1432</v>
      </c>
      <c r="W70" s="22">
        <f>V70/V$17</f>
        <v>-6.1913240181001115E-4</v>
      </c>
      <c r="X70" s="16">
        <f>+'Combined Company'!X70-Ohio!X70</f>
        <v>-4216</v>
      </c>
      <c r="Y70" s="22">
        <f>X70/X$17</f>
        <v>-3.7416952293385826E-3</v>
      </c>
      <c r="Z70" s="16">
        <f t="shared" ref="Z70:Z74" si="62">SUM(B70,D70,F70,H70,J70,L70,N70,P70,R70,T70,V70,X70)</f>
        <v>-95878</v>
      </c>
      <c r="AA70" s="16">
        <f t="shared" ref="AA70:AA74" si="63">IFERROR(AVERAGE(B70,D70,F70,H70,J70,L70,N70,P70,R70,T70,V70,X70),0)</f>
        <v>-7989.833333333333</v>
      </c>
      <c r="AB70" s="16">
        <f>IFERROR(AVERAGE(T70,V70,X70),0)</f>
        <v>-2145.6666666666665</v>
      </c>
      <c r="AC70" s="16"/>
      <c r="AD70" s="33"/>
      <c r="AE70" s="16">
        <f>IFERROR(AVERAGE(R70:V70),0)</f>
        <v>-785.00033005344892</v>
      </c>
      <c r="AF70" s="33"/>
      <c r="AK70" s="56">
        <f t="shared" si="61"/>
        <v>-25748</v>
      </c>
      <c r="AL70" s="66">
        <f t="shared" si="7"/>
        <v>-2145.6666666666665</v>
      </c>
    </row>
    <row r="71" spans="1:39" ht="20" customHeight="1">
      <c r="A71" s="142" t="s">
        <v>86</v>
      </c>
      <c r="B71" s="16">
        <f>+'Combined Company'!B71-Ohio!B71</f>
        <v>-9822</v>
      </c>
      <c r="C71" s="22">
        <f>B71/B$17</f>
        <v>-3.9829845214295273E-3</v>
      </c>
      <c r="D71" s="16">
        <v>-18678</v>
      </c>
      <c r="E71" s="22">
        <f>D71/D$17</f>
        <v>-1.3691490648399618E-2</v>
      </c>
      <c r="F71" s="16">
        <v>-21179</v>
      </c>
      <c r="G71" s="22">
        <f>F71/F$17</f>
        <v>-1.2910324480179461E-2</v>
      </c>
      <c r="H71" s="16">
        <v>-19616</v>
      </c>
      <c r="I71" s="22">
        <f>H71/H$17</f>
        <v>-1.3865415838777786E-2</v>
      </c>
      <c r="J71" s="16">
        <v>-9917</v>
      </c>
      <c r="K71" s="22">
        <f>J71/J$17</f>
        <v>-7.153729071537291E-3</v>
      </c>
      <c r="L71" s="16">
        <v>-17067</v>
      </c>
      <c r="M71" s="22">
        <f>L71/L$17</f>
        <v>-1.016094261541127E-2</v>
      </c>
      <c r="N71" s="16">
        <v>-18300</v>
      </c>
      <c r="O71" s="22">
        <f>N71/N$17</f>
        <v>-1.2913332486557433E-2</v>
      </c>
      <c r="P71" s="16">
        <v>-14252</v>
      </c>
      <c r="Q71" s="22">
        <f>P71/P$17</f>
        <v>-7.3692668685993324E-3</v>
      </c>
      <c r="R71" s="16">
        <f>+'Combined Company'!R71-Ohio!R71</f>
        <v>-14497</v>
      </c>
      <c r="S71" s="22">
        <f>R71/R$17</f>
        <v>-8.3437748026864451E-3</v>
      </c>
      <c r="T71" s="16">
        <f>+'Combined Company'!T71-Ohio!T71</f>
        <v>-16176</v>
      </c>
      <c r="U71" s="22">
        <f>T71/T$17</f>
        <v>-1.3726575043022833E-2</v>
      </c>
      <c r="V71" s="16">
        <f>+'Combined Company'!V71-Ohio!V71</f>
        <v>-22239</v>
      </c>
      <c r="W71" s="22">
        <f>V71/V$17</f>
        <v>-9.6151434943106406E-3</v>
      </c>
      <c r="X71" s="16">
        <f>+'Combined Company'!X71-Ohio!X71</f>
        <v>-33345</v>
      </c>
      <c r="Y71" s="22">
        <f>X71/X$17</f>
        <v>-2.9593649768096544E-2</v>
      </c>
      <c r="Z71" s="16">
        <f t="shared" si="62"/>
        <v>-215088</v>
      </c>
      <c r="AA71" s="16">
        <f t="shared" si="63"/>
        <v>-17924</v>
      </c>
      <c r="AB71" s="16">
        <f>IFERROR(AVERAGE(T71,V71,X71),0)</f>
        <v>-23920</v>
      </c>
      <c r="AC71" s="16"/>
      <c r="AD71" s="33"/>
      <c r="AE71" s="16">
        <f>IFERROR(AVERAGE(R71:V71),0)</f>
        <v>-10582.40441406997</v>
      </c>
      <c r="AF71" s="33"/>
      <c r="AK71" s="56">
        <f t="shared" si="61"/>
        <v>-287040</v>
      </c>
      <c r="AL71" s="66">
        <f t="shared" si="7"/>
        <v>-23920</v>
      </c>
    </row>
    <row r="72" spans="1:39" ht="20" customHeight="1">
      <c r="A72" s="142" t="s">
        <v>87</v>
      </c>
      <c r="B72" s="16">
        <f>+'Combined Company'!B72-Ohio!B72</f>
        <v>-1</v>
      </c>
      <c r="C72" s="22">
        <f>B72/B$17</f>
        <v>-4.0551664848600359E-7</v>
      </c>
      <c r="D72" s="16">
        <v>0</v>
      </c>
      <c r="E72" s="22">
        <f>D72/D$17</f>
        <v>0</v>
      </c>
      <c r="F72" s="16">
        <v>0</v>
      </c>
      <c r="G72" s="22">
        <f>F72/F$17</f>
        <v>0</v>
      </c>
      <c r="H72" s="16">
        <v>-12</v>
      </c>
      <c r="I72" s="22">
        <f>H72/H$17</f>
        <v>-8.4821059372621037E-6</v>
      </c>
      <c r="J72" s="16">
        <v>-2</v>
      </c>
      <c r="K72" s="22">
        <f>J72/J$17</f>
        <v>-1.4427203935741233E-6</v>
      </c>
      <c r="L72" s="16">
        <v>0</v>
      </c>
      <c r="M72" s="22">
        <f>L72/L$17</f>
        <v>0</v>
      </c>
      <c r="N72" s="16">
        <v>0</v>
      </c>
      <c r="O72" s="22">
        <f>N72/N$17</f>
        <v>0</v>
      </c>
      <c r="P72" s="16">
        <v>0</v>
      </c>
      <c r="Q72" s="22">
        <f>P72/P$17</f>
        <v>0</v>
      </c>
      <c r="R72" s="16">
        <f>+'Combined Company'!R72-Ohio!R72</f>
        <v>0</v>
      </c>
      <c r="S72" s="22">
        <f>R72/R$17</f>
        <v>0</v>
      </c>
      <c r="T72" s="16">
        <f>+'Combined Company'!T72-Ohio!T72</f>
        <v>0</v>
      </c>
      <c r="U72" s="22">
        <f>T72/T$17</f>
        <v>0</v>
      </c>
      <c r="V72" s="16">
        <f>+'Combined Company'!V72-Ohio!V72</f>
        <v>0</v>
      </c>
      <c r="W72" s="22">
        <f>V72/V$17</f>
        <v>0</v>
      </c>
      <c r="X72" s="16">
        <f>+'Combined Company'!X72-Ohio!X72</f>
        <v>0</v>
      </c>
      <c r="Y72" s="22">
        <f>X72/X$17</f>
        <v>0</v>
      </c>
      <c r="Z72" s="16">
        <f t="shared" si="62"/>
        <v>-15</v>
      </c>
      <c r="AA72" s="16">
        <f t="shared" si="63"/>
        <v>-1.25</v>
      </c>
      <c r="AB72" s="16">
        <f>IFERROR(AVERAGE(T72,V72,X72),0)</f>
        <v>0</v>
      </c>
      <c r="AC72" s="16"/>
      <c r="AD72" s="33"/>
      <c r="AE72" s="16">
        <f>IFERROR(AVERAGE(R72:V72),0)</f>
        <v>0</v>
      </c>
      <c r="AF72" s="33"/>
      <c r="AK72" s="56">
        <f t="shared" si="61"/>
        <v>0</v>
      </c>
      <c r="AL72" s="66">
        <f t="shared" si="7"/>
        <v>0</v>
      </c>
    </row>
    <row r="73" spans="1:39" ht="20" customHeight="1">
      <c r="A73" s="153" t="s">
        <v>88</v>
      </c>
      <c r="B73" s="46">
        <f>+'Combined Company'!B73-Ohio!B73</f>
        <v>-20805</v>
      </c>
      <c r="C73" s="62">
        <f>B73/B$17</f>
        <v>-8.4367738717513047E-3</v>
      </c>
      <c r="D73" s="46">
        <v>29027</v>
      </c>
      <c r="E73" s="62">
        <f>D73/D$17</f>
        <v>2.1277593910006193E-2</v>
      </c>
      <c r="F73" s="46">
        <v>-49582</v>
      </c>
      <c r="G73" s="62">
        <f>F73/F$17</f>
        <v>-3.0224264997226406E-2</v>
      </c>
      <c r="H73" s="46">
        <v>-22366</v>
      </c>
      <c r="I73" s="62">
        <f>H73/H$17</f>
        <v>-1.5809231782733683E-2</v>
      </c>
      <c r="J73" s="46">
        <v>-20901</v>
      </c>
      <c r="K73" s="62">
        <f>J73/J$17</f>
        <v>-1.5077149473046376E-2</v>
      </c>
      <c r="L73" s="46">
        <v>-28245</v>
      </c>
      <c r="M73" s="62">
        <f>L73/L$17</f>
        <v>-1.6815833138354209E-2</v>
      </c>
      <c r="N73" s="46">
        <v>-29285</v>
      </c>
      <c r="O73" s="62">
        <f>N73/N$17</f>
        <v>-2.0664860211411718E-2</v>
      </c>
      <c r="P73" s="46">
        <v>-25793</v>
      </c>
      <c r="Q73" s="62">
        <f>P73/P$17</f>
        <v>-1.3336759776998497E-2</v>
      </c>
      <c r="R73" s="46">
        <f>+'Combined Company'!R73-Ohio!R73</f>
        <v>-25642</v>
      </c>
      <c r="S73" s="62">
        <f>R73/R$17</f>
        <v>-1.4758299888976053E-2</v>
      </c>
      <c r="T73" s="46">
        <f>+'Combined Company'!T73-Ohio!T73</f>
        <v>-26506</v>
      </c>
      <c r="U73" s="62">
        <f>T73/T$17</f>
        <v>-2.2492371296387439E-2</v>
      </c>
      <c r="V73" s="46">
        <f>+'Combined Company'!V73-Ohio!V73</f>
        <v>-33416</v>
      </c>
      <c r="W73" s="62">
        <f>V73/V$17</f>
        <v>-1.4447575655644784E-2</v>
      </c>
      <c r="X73" s="46">
        <f>+'Combined Company'!X73-Ohio!X73</f>
        <v>-44423</v>
      </c>
      <c r="Y73" s="62">
        <f>X73/X$17</f>
        <v>-3.9425362232663151E-2</v>
      </c>
      <c r="Z73" s="46">
        <f t="shared" si="62"/>
        <v>-297937</v>
      </c>
      <c r="AA73" s="46">
        <f t="shared" si="63"/>
        <v>-24828.083333333332</v>
      </c>
      <c r="AB73" s="46">
        <f>IFERROR(AVERAGE(T73,V73,X73),0)</f>
        <v>-34781.666666666664</v>
      </c>
      <c r="AC73" s="46"/>
      <c r="AD73" s="42"/>
      <c r="AE73" s="46">
        <f>IFERROR(AVERAGE(R73:V73),0)</f>
        <v>-17112.807450134238</v>
      </c>
      <c r="AF73" s="42"/>
      <c r="AK73" s="56">
        <f t="shared" si="61"/>
        <v>-417380</v>
      </c>
      <c r="AL73" s="66">
        <f t="shared" si="7"/>
        <v>-34781.666666666664</v>
      </c>
    </row>
    <row r="74" spans="1:39" ht="20" customHeight="1">
      <c r="A74" s="153" t="s">
        <v>89</v>
      </c>
      <c r="B74" s="46">
        <f>+'Combined Company'!B74-Ohio!B74</f>
        <v>-11290</v>
      </c>
      <c r="C74" s="62">
        <f>B74/B$17</f>
        <v>-4.5782829614069804E-3</v>
      </c>
      <c r="D74" s="46">
        <v>29027</v>
      </c>
      <c r="E74" s="62">
        <f>D74/D$17</f>
        <v>2.1277593910006193E-2</v>
      </c>
      <c r="F74" s="46">
        <v>-49582</v>
      </c>
      <c r="G74" s="62">
        <f>F74/F$17</f>
        <v>-3.0224264997226406E-2</v>
      </c>
      <c r="H74" s="46">
        <v>-22366</v>
      </c>
      <c r="I74" s="62">
        <f>H74/H$17</f>
        <v>-1.5809231782733683E-2</v>
      </c>
      <c r="J74" s="46">
        <v>-20901</v>
      </c>
      <c r="K74" s="62">
        <f>J74/J$17</f>
        <v>-1.5077149473046376E-2</v>
      </c>
      <c r="L74" s="46">
        <v>-28245</v>
      </c>
      <c r="M74" s="62">
        <f>L74/L$17</f>
        <v>-1.6815833138354209E-2</v>
      </c>
      <c r="N74" s="46">
        <v>-29285</v>
      </c>
      <c r="O74" s="62">
        <f>N74/N$17</f>
        <v>-2.0664860211411718E-2</v>
      </c>
      <c r="P74" s="46">
        <v>-25793</v>
      </c>
      <c r="Q74" s="62">
        <f>P74/P$17</f>
        <v>-1.3336759776998497E-2</v>
      </c>
      <c r="R74" s="46">
        <f>+'Combined Company'!R74-Ohio!R74</f>
        <v>-14768</v>
      </c>
      <c r="S74" s="62">
        <f>R74/R$17</f>
        <v>-8.4997493471803427E-3</v>
      </c>
      <c r="T74" s="46">
        <f>+'Combined Company'!T74-Ohio!T74</f>
        <v>-16965</v>
      </c>
      <c r="U74" s="62">
        <f>T74/T$17</f>
        <v>-1.4396101978541196E-2</v>
      </c>
      <c r="V74" s="46">
        <f>+'Combined Company'!V74-Ohio!V74</f>
        <v>-22775</v>
      </c>
      <c r="W74" s="62">
        <f>V74/V$17</f>
        <v>-9.8468857899601976E-3</v>
      </c>
      <c r="X74" s="46">
        <f>+'Combined Company'!X74-Ohio!X74</f>
        <v>415459</v>
      </c>
      <c r="Y74" s="62">
        <f>X74/X$17</f>
        <v>0.36871939238277474</v>
      </c>
      <c r="Z74" s="128">
        <f t="shared" si="62"/>
        <v>202516</v>
      </c>
      <c r="AA74" s="46">
        <f t="shared" si="63"/>
        <v>16876.333333333332</v>
      </c>
      <c r="AB74" s="46">
        <f>IFERROR(AVERAGE(T74,V74,X74),0)</f>
        <v>125239.66666666667</v>
      </c>
      <c r="AC74" s="46"/>
      <c r="AD74" s="46"/>
      <c r="AE74" s="46">
        <f>IFERROR(AVERAGE(R74:V74),0)</f>
        <v>-10901.604579170265</v>
      </c>
      <c r="AF74" s="46"/>
      <c r="AK74" s="56">
        <f t="shared" si="61"/>
        <v>1502876</v>
      </c>
      <c r="AL74" s="66">
        <f t="shared" si="7"/>
        <v>125239.66666666667</v>
      </c>
    </row>
    <row r="75" spans="1:39" ht="20" customHeight="1">
      <c r="A75" s="142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/>
      <c r="AA75" s="16"/>
      <c r="AB75" s="16"/>
      <c r="AC75" s="16"/>
      <c r="AD75" s="47"/>
      <c r="AE75" s="20"/>
      <c r="AF75" s="47"/>
      <c r="AK75" s="56"/>
      <c r="AL75" s="66"/>
    </row>
    <row r="76" spans="1:39" ht="20" customHeight="1">
      <c r="A76" s="142" t="s">
        <v>90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/>
      <c r="AA76" s="16"/>
      <c r="AB76" s="16"/>
      <c r="AC76" s="16"/>
      <c r="AD76" s="16"/>
      <c r="AE76" s="16"/>
      <c r="AF76" s="16"/>
      <c r="AK76" s="56"/>
      <c r="AL76" s="66"/>
    </row>
    <row r="77" spans="1:39" ht="20" customHeight="1">
      <c r="A77" s="142" t="s">
        <v>91</v>
      </c>
      <c r="B77" s="16">
        <f>+'Combined Company'!B77-Ohio!B77</f>
        <v>7548</v>
      </c>
      <c r="C77" s="22">
        <f>B77/B$17</f>
        <v>3.0608396627723553E-3</v>
      </c>
      <c r="D77" s="16">
        <v>2641</v>
      </c>
      <c r="E77" s="22">
        <f>D77/D$17</f>
        <v>1.9359260521695787E-3</v>
      </c>
      <c r="F77" s="16">
        <v>7548</v>
      </c>
      <c r="G77" s="22">
        <f>F77/F$17</f>
        <v>4.6011204106140317E-3</v>
      </c>
      <c r="H77" s="16">
        <v>1516</v>
      </c>
      <c r="I77" s="22">
        <f>H77/H$17</f>
        <v>1.0715727167407792E-3</v>
      </c>
      <c r="J77" s="16">
        <v>0</v>
      </c>
      <c r="K77" s="22">
        <f>J77/J$17</f>
        <v>0</v>
      </c>
      <c r="L77" s="16">
        <v>94</v>
      </c>
      <c r="M77" s="22">
        <f>L77/L$17</f>
        <v>5.5963473712348935E-5</v>
      </c>
      <c r="N77" s="16">
        <v>441</v>
      </c>
      <c r="O77" s="22">
        <f>N77/N$17</f>
        <v>3.1119014352851517E-4</v>
      </c>
      <c r="P77" s="16"/>
      <c r="Q77" s="22">
        <f>P77/P$17</f>
        <v>0</v>
      </c>
      <c r="R77" s="16">
        <f>+'Combined Company'!R77-Ohio!R77</f>
        <v>6689</v>
      </c>
      <c r="S77" s="22">
        <f>R77/R$17</f>
        <v>3.8498661554231661E-3</v>
      </c>
      <c r="T77" s="16">
        <f>+'Combined Company'!T77-Ohio!T77</f>
        <v>0</v>
      </c>
      <c r="U77" s="22">
        <f>T77/T$17</f>
        <v>0</v>
      </c>
      <c r="V77" s="16">
        <f>+'Combined Company'!V77-Ohio!V77</f>
        <v>0</v>
      </c>
      <c r="W77" s="22">
        <f>V77/V$17</f>
        <v>0</v>
      </c>
      <c r="X77" s="16">
        <f>+'Combined Company'!X77-Ohio!X77</f>
        <v>0</v>
      </c>
      <c r="Y77" s="22">
        <f>X77/X$17</f>
        <v>0</v>
      </c>
      <c r="Z77">
        <f t="shared" ref="Z77:Z78" si="64">SUM(B77,D77,F77,H77,J77,L77,N77,P77,R77,T77,V77,X77)</f>
        <v>26477</v>
      </c>
      <c r="AA77" s="16">
        <f t="shared" ref="AA77:AA78" si="65">IFERROR(AVERAGE(B77,D77,F77,H77,J77,L77,N77,P77,R77,T77,V77,X77),0)</f>
        <v>2407</v>
      </c>
      <c r="AB77" s="16">
        <f>IFERROR(AVERAGE(T77,V77,X77),0)</f>
        <v>0</v>
      </c>
      <c r="AC77" s="16"/>
      <c r="AD77" s="33"/>
      <c r="AE77" s="16">
        <f>IFERROR(AVERAGE(R77:V77),0)</f>
        <v>1337.8007699732311</v>
      </c>
      <c r="AF77" s="33"/>
      <c r="AK77" s="56">
        <f>SUM(T77,V77,X77)*4</f>
        <v>0</v>
      </c>
      <c r="AL77" s="66">
        <f t="shared" si="7"/>
        <v>0</v>
      </c>
    </row>
    <row r="78" spans="1:39" ht="20" customHeight="1">
      <c r="A78" s="153" t="s">
        <v>92</v>
      </c>
      <c r="B78" s="46">
        <f>+'Combined Company'!B78-Ohio!B78</f>
        <v>7548</v>
      </c>
      <c r="C78" s="62">
        <f>B78/B$17</f>
        <v>3.0608396627723553E-3</v>
      </c>
      <c r="D78" s="46">
        <v>2641</v>
      </c>
      <c r="E78" s="62">
        <f>D78/D$17</f>
        <v>1.9359260521695787E-3</v>
      </c>
      <c r="F78" s="46">
        <v>7548</v>
      </c>
      <c r="G78" s="62">
        <f>F78/F$17</f>
        <v>4.6011204106140317E-3</v>
      </c>
      <c r="H78" s="46">
        <v>1516</v>
      </c>
      <c r="I78" s="62">
        <f>H78/H$17</f>
        <v>1.0715727167407792E-3</v>
      </c>
      <c r="J78" s="46">
        <v>0</v>
      </c>
      <c r="K78" s="62">
        <f>J78/J$17</f>
        <v>0</v>
      </c>
      <c r="L78" s="46">
        <v>94</v>
      </c>
      <c r="M78" s="62">
        <f>L78/L$17</f>
        <v>5.5963473712348935E-5</v>
      </c>
      <c r="N78" s="46">
        <v>441</v>
      </c>
      <c r="O78" s="62">
        <f>N78/N$17</f>
        <v>3.1119014352851517E-4</v>
      </c>
      <c r="P78" s="46">
        <v>3419</v>
      </c>
      <c r="Q78" s="62">
        <f>P78/P$17</f>
        <v>1.7678587863977769E-3</v>
      </c>
      <c r="R78" s="46">
        <f>+'Combined Company'!R78-Ohio!R78</f>
        <v>6689</v>
      </c>
      <c r="S78" s="62">
        <f>R78/R$17</f>
        <v>3.8498661554231661E-3</v>
      </c>
      <c r="T78" s="46">
        <f>+'Combined Company'!T78-Ohio!T78</f>
        <v>0</v>
      </c>
      <c r="U78" s="62">
        <f>T78/T$17</f>
        <v>0</v>
      </c>
      <c r="V78" s="46">
        <f>+'Combined Company'!V78-Ohio!V78</f>
        <v>0</v>
      </c>
      <c r="W78" s="62">
        <f>V78/V$17</f>
        <v>0</v>
      </c>
      <c r="X78" s="46">
        <f>+'Combined Company'!X78-Ohio!X78</f>
        <v>0</v>
      </c>
      <c r="Y78" s="62">
        <f>X78/X$17</f>
        <v>0</v>
      </c>
      <c r="Z78" s="129">
        <f t="shared" si="64"/>
        <v>29896</v>
      </c>
      <c r="AA78" s="46">
        <f t="shared" si="65"/>
        <v>2491.3333333333335</v>
      </c>
      <c r="AB78" s="46">
        <f>IFERROR(AVERAGE(T78,V78,X78),0)</f>
        <v>0</v>
      </c>
      <c r="AC78" s="46"/>
      <c r="AD78" s="42"/>
      <c r="AE78" s="46">
        <f>IFERROR(AVERAGE(R78:V78),0)</f>
        <v>1337.8007699732311</v>
      </c>
      <c r="AF78" s="42"/>
      <c r="AK78" s="56">
        <f>SUM(T78,V78,X78)*4</f>
        <v>0</v>
      </c>
      <c r="AL78" s="66">
        <f t="shared" si="7"/>
        <v>0</v>
      </c>
    </row>
    <row r="79" spans="1:39" ht="20" customHeight="1" thickBot="1">
      <c r="A79" s="142"/>
      <c r="B79" s="16"/>
      <c r="C79" s="22"/>
      <c r="D79" s="16"/>
      <c r="E79" s="22"/>
      <c r="F79" s="16"/>
      <c r="G79" s="22"/>
      <c r="H79" s="16"/>
      <c r="I79" s="22"/>
      <c r="J79" s="16"/>
      <c r="K79" s="22"/>
      <c r="L79" s="16"/>
      <c r="M79" s="22"/>
      <c r="N79" s="16"/>
      <c r="O79" s="22"/>
      <c r="P79" s="16"/>
      <c r="Q79" s="22"/>
      <c r="R79" s="16">
        <f>+'Combined Company'!R79-Ohio!R79</f>
        <v>0</v>
      </c>
      <c r="S79" s="22"/>
      <c r="T79" s="16">
        <f>+'Combined Company'!T79-Ohio!T79</f>
        <v>0</v>
      </c>
      <c r="U79" s="22"/>
      <c r="V79" s="16">
        <f>+'Combined Company'!V79-Ohio!V79</f>
        <v>0</v>
      </c>
      <c r="W79" s="22"/>
      <c r="X79" s="16">
        <f>+'Combined Company'!X79-Ohio!X79</f>
        <v>0</v>
      </c>
      <c r="Y79" s="22"/>
      <c r="Z79" s="22"/>
      <c r="AA79" s="16">
        <f>IFERROR(AVERAGE(F79,H79,J79,L79,N79,P79,R79,T79,V79,X79),0)</f>
        <v>0</v>
      </c>
      <c r="AB79" s="16">
        <f>IFERROR(AVERAGE(T79,V79,X79),0)</f>
        <v>0</v>
      </c>
      <c r="AC79" s="16"/>
      <c r="AD79" s="17"/>
      <c r="AE79" s="16"/>
      <c r="AF79" s="12"/>
      <c r="AK79" s="56"/>
      <c r="AL79" s="66"/>
    </row>
    <row r="80" spans="1:39" s="24" customFormat="1" ht="20" customHeight="1" thickTop="1" thickBot="1">
      <c r="A80" s="157" t="s">
        <v>93</v>
      </c>
      <c r="B80" s="32">
        <f>+'Combined Company'!B80-Ohio!B80</f>
        <v>518723</v>
      </c>
      <c r="C80" s="65">
        <f>B80/B$17</f>
        <v>0.21035081245260523</v>
      </c>
      <c r="D80" s="32">
        <v>164095</v>
      </c>
      <c r="E80" s="65">
        <f>D80/D$17</f>
        <v>0.12028617399877585</v>
      </c>
      <c r="F80" s="32">
        <v>70493</v>
      </c>
      <c r="G80" s="65">
        <f>F80/F$17</f>
        <v>4.2971221662084648E-2</v>
      </c>
      <c r="H80" s="32">
        <v>163431</v>
      </c>
      <c r="I80" s="65">
        <f>H80/H$17</f>
        <v>0.1155199212860569</v>
      </c>
      <c r="J80" s="32">
        <v>563447</v>
      </c>
      <c r="K80" s="65">
        <f>J80/J$17</f>
        <v>0.40644823879907954</v>
      </c>
      <c r="L80" s="32">
        <v>400263</v>
      </c>
      <c r="M80" s="65">
        <f>L80/L$17</f>
        <v>0.23829901998431832</v>
      </c>
      <c r="N80" s="32">
        <v>310591</v>
      </c>
      <c r="O80" s="65">
        <f>N80/N$17</f>
        <v>0.21916747816023824</v>
      </c>
      <c r="P80" s="32">
        <v>314474</v>
      </c>
      <c r="Q80" s="65">
        <f>P80/P$17</f>
        <v>0.16260474524529234</v>
      </c>
      <c r="R80" s="32">
        <f>+'Combined Company'!R80-Ohio!R80</f>
        <v>249332</v>
      </c>
      <c r="S80" s="65">
        <f>R80/R$17</f>
        <v>0.14350348755628178</v>
      </c>
      <c r="T80" s="32">
        <f>+'Combined Company'!T80-Ohio!T80</f>
        <v>102259</v>
      </c>
      <c r="U80" s="65">
        <f>T80/T$17</f>
        <v>8.6774594295528681E-2</v>
      </c>
      <c r="V80" s="32">
        <f>+'Combined Company'!V80-Ohio!V80</f>
        <v>292058</v>
      </c>
      <c r="W80" s="65">
        <f>V80/V$17</f>
        <v>0.12627274511719846</v>
      </c>
      <c r="X80" s="32">
        <f>+'Combined Company'!X80-Ohio!X80</f>
        <v>284389</v>
      </c>
      <c r="Y80" s="65">
        <f>X80/X$17</f>
        <v>0.25239491569648248</v>
      </c>
      <c r="Z80" s="32">
        <f t="shared" ref="Z80" si="66">SUM(B80,D80,F80,H80,J80,L80,N80,P80,R80,T80,V80,X80)</f>
        <v>3433555</v>
      </c>
      <c r="AA80" s="32">
        <f t="shared" ref="AA80" si="67">IFERROR(AVERAGE(B80,D80,F80,H80,J80,L80,N80,P80,R80,T80,V80,X80),0)</f>
        <v>286129.58333333331</v>
      </c>
      <c r="AB80" s="32">
        <f>IFERROR(AVERAGE(T80,V80,X80),0)</f>
        <v>226235.33333333334</v>
      </c>
      <c r="AC80" s="43"/>
      <c r="AD80" s="39"/>
      <c r="AE80" s="43">
        <f>IFERROR(AVERAGE(R80:V80),0)</f>
        <v>128729.84605561636</v>
      </c>
      <c r="AF80" s="39"/>
      <c r="AK80" s="56">
        <f>SUM(T80,V80,X80)*4</f>
        <v>2714824</v>
      </c>
      <c r="AL80" s="66">
        <f t="shared" si="7"/>
        <v>226235.33333333334</v>
      </c>
      <c r="AM80" s="135"/>
    </row>
    <row r="81" spans="1:32" ht="20" customHeight="1" thickTop="1">
      <c r="A81" s="156" t="s">
        <v>94</v>
      </c>
      <c r="B81" s="22">
        <v>9.9004239188385038E-2</v>
      </c>
      <c r="C81" s="22">
        <f t="shared" ref="C81" si="68">C80/C17</f>
        <v>0.21035081245260523</v>
      </c>
      <c r="D81">
        <v>9.9256251035841001E-2</v>
      </c>
      <c r="E81" s="22">
        <f t="shared" ref="E81" si="69">E80/E17</f>
        <v>0.12028617399877585</v>
      </c>
      <c r="F81" s="22">
        <v>5.7803179080551194E-2</v>
      </c>
      <c r="G81" s="22">
        <f t="shared" ref="G81" si="70">G80/G17</f>
        <v>4.2971221662084648E-2</v>
      </c>
      <c r="H81" s="22">
        <v>8.8640686601795152E-2</v>
      </c>
      <c r="I81" s="22">
        <f t="shared" ref="I81" si="71">I80/I17</f>
        <v>0.1155199212860569</v>
      </c>
      <c r="J81" s="22">
        <v>0.2046661738718237</v>
      </c>
      <c r="K81" s="22">
        <f t="shared" ref="K81" si="72">K80/K17</f>
        <v>0.40644823879907954</v>
      </c>
      <c r="L81" s="22">
        <v>0.19710941839713511</v>
      </c>
      <c r="M81" s="22">
        <f t="shared" ref="M81" si="73">M80/M17</f>
        <v>0.23829901998431832</v>
      </c>
      <c r="N81" s="22">
        <v>0.15282154836430445</v>
      </c>
      <c r="O81" s="22">
        <f t="shared" ref="O81" si="74">O80/O17</f>
        <v>0.21916747816023824</v>
      </c>
      <c r="P81" s="22">
        <v>0.15695346356806431</v>
      </c>
      <c r="Q81" s="22">
        <f t="shared" ref="Q81" si="75">Q80/Q17</f>
        <v>0.16260474524529234</v>
      </c>
      <c r="R81" s="22">
        <f t="shared" ref="R81:Z81" si="76">R80/R17</f>
        <v>0.14350348755628178</v>
      </c>
      <c r="S81" s="22">
        <f t="shared" ref="S81" si="77">S80/S17</f>
        <v>0.14350348755628178</v>
      </c>
      <c r="T81" s="22">
        <f t="shared" si="76"/>
        <v>8.6774594295528681E-2</v>
      </c>
      <c r="U81" s="22">
        <f t="shared" ref="U81" si="78">U80/U17</f>
        <v>8.6774594295528681E-2</v>
      </c>
      <c r="V81" s="22">
        <f t="shared" si="76"/>
        <v>0.12627274511719846</v>
      </c>
      <c r="W81" s="22">
        <f t="shared" si="76"/>
        <v>0.12627274511719846</v>
      </c>
      <c r="X81" s="22">
        <f t="shared" si="76"/>
        <v>0.25239491569648248</v>
      </c>
      <c r="Y81" s="22">
        <f t="shared" si="76"/>
        <v>0.25239491569648248</v>
      </c>
      <c r="Z81" s="22">
        <f t="shared" si="76"/>
        <v>0.17466410445880531</v>
      </c>
      <c r="AA81" s="131">
        <f>IFERROR(AVERAGE(F81,H81,J81,L81,N81,P81,R81,T81,V81,X81),0)</f>
        <v>0.14669402125491654</v>
      </c>
      <c r="AB81" s="131">
        <f>AVERAGE(T81,V81,X81)</f>
        <v>0.15514741836973653</v>
      </c>
      <c r="AC81" s="12"/>
      <c r="AD81" s="33"/>
      <c r="AE81" s="12"/>
      <c r="AF81" s="33"/>
    </row>
    <row r="82" spans="1:32">
      <c r="A82" s="158"/>
      <c r="B82" s="12"/>
      <c r="C82" s="22"/>
      <c r="D82" s="12"/>
      <c r="E82" s="22"/>
      <c r="F82" s="12"/>
      <c r="G82" s="22"/>
      <c r="H82" s="12"/>
      <c r="I82" s="22"/>
      <c r="J82" s="12"/>
      <c r="K82" s="22"/>
      <c r="L82" s="12"/>
      <c r="M82" s="22"/>
      <c r="N82" s="12"/>
      <c r="O82" s="22"/>
      <c r="P82" s="12"/>
      <c r="Q82" s="22"/>
      <c r="R82" s="12"/>
      <c r="S82" s="22"/>
      <c r="T82" s="12"/>
      <c r="U82" s="22"/>
      <c r="V82" s="12"/>
      <c r="W82" s="22"/>
      <c r="X82" s="12"/>
      <c r="Y82" s="22"/>
      <c r="Z82" s="13"/>
      <c r="AA82" s="130"/>
      <c r="AB82" s="12"/>
      <c r="AC82" s="12"/>
      <c r="AD82" s="12"/>
      <c r="AE82" s="12"/>
      <c r="AF82" s="12"/>
    </row>
    <row r="83" spans="1:32">
      <c r="A83" s="158"/>
      <c r="B83" s="12"/>
      <c r="C83" s="22"/>
      <c r="D83" s="12"/>
      <c r="E83" s="22"/>
      <c r="F83" s="12"/>
      <c r="G83" s="22"/>
      <c r="H83" s="12"/>
      <c r="I83" s="22"/>
      <c r="J83" s="12"/>
      <c r="K83" s="22"/>
      <c r="L83" s="12"/>
      <c r="M83" s="22"/>
      <c r="N83" s="12"/>
      <c r="O83" s="22"/>
      <c r="P83" s="12"/>
      <c r="Q83" s="22"/>
      <c r="R83" s="12"/>
      <c r="S83" s="22"/>
      <c r="T83" s="12"/>
      <c r="U83" s="22"/>
      <c r="V83" s="12"/>
      <c r="W83" s="22"/>
      <c r="X83" s="12"/>
      <c r="Y83" s="22"/>
      <c r="Z83" s="13"/>
      <c r="AA83" s="130"/>
      <c r="AB83" s="12"/>
      <c r="AC83" s="12"/>
      <c r="AD83" s="12"/>
      <c r="AE83" s="12"/>
      <c r="AF83" s="12"/>
    </row>
    <row r="84" spans="1:32">
      <c r="A84" s="158"/>
      <c r="B84" s="12"/>
      <c r="C84" s="22"/>
      <c r="D84" s="12"/>
      <c r="E84" s="22"/>
      <c r="F84" s="12"/>
      <c r="G84" s="22"/>
      <c r="H84" s="12"/>
      <c r="I84" s="22"/>
      <c r="J84" s="12"/>
      <c r="K84" s="22"/>
      <c r="L84" s="12"/>
      <c r="M84" s="22"/>
      <c r="N84" s="12"/>
      <c r="O84" s="22"/>
      <c r="P84" s="12"/>
      <c r="Q84" s="22"/>
      <c r="R84" s="12"/>
      <c r="S84" s="22"/>
      <c r="T84" s="12"/>
      <c r="U84" s="22"/>
      <c r="V84" s="12"/>
      <c r="W84" s="22"/>
      <c r="X84" s="12"/>
      <c r="Y84" s="22"/>
      <c r="Z84" s="13"/>
      <c r="AA84" s="130"/>
      <c r="AB84" s="12"/>
      <c r="AC84" s="12"/>
      <c r="AD84" s="12"/>
      <c r="AE84" s="12"/>
      <c r="AF84" s="12"/>
    </row>
    <row r="85" spans="1:32">
      <c r="A85" s="158"/>
      <c r="B85" s="12"/>
      <c r="C85" s="22"/>
      <c r="D85" s="12"/>
      <c r="E85" s="22"/>
      <c r="F85" s="12"/>
      <c r="G85" s="22"/>
      <c r="H85" s="12"/>
      <c r="I85" s="22"/>
      <c r="J85" s="12"/>
      <c r="K85" s="22"/>
      <c r="L85" s="12"/>
      <c r="M85" s="22"/>
      <c r="N85" s="12"/>
      <c r="O85" s="22"/>
      <c r="P85" s="12"/>
      <c r="Q85" s="22"/>
      <c r="R85" s="12"/>
      <c r="S85" s="22"/>
      <c r="T85" s="12"/>
      <c r="U85" s="22"/>
      <c r="V85" s="12"/>
      <c r="W85" s="22"/>
      <c r="X85" s="12"/>
      <c r="Y85" s="22"/>
      <c r="Z85" s="13"/>
      <c r="AA85" s="130"/>
      <c r="AB85" s="12"/>
      <c r="AC85" s="12"/>
      <c r="AD85" s="12"/>
      <c r="AE85" s="12"/>
      <c r="AF85" s="12"/>
    </row>
    <row r="86" spans="1:32">
      <c r="A86" s="158"/>
      <c r="B86" s="12"/>
      <c r="C86" s="22"/>
      <c r="D86" s="12"/>
      <c r="E86" s="22"/>
      <c r="F86" s="12"/>
      <c r="G86" s="22"/>
      <c r="H86" s="12"/>
      <c r="I86" s="22"/>
      <c r="J86" s="12"/>
      <c r="K86" s="22"/>
      <c r="L86" s="12"/>
      <c r="M86" s="22"/>
      <c r="N86" s="12"/>
      <c r="O86" s="22"/>
      <c r="P86" s="12"/>
      <c r="Q86" s="22"/>
      <c r="R86" s="12"/>
      <c r="S86" s="22"/>
      <c r="T86" s="12"/>
      <c r="U86" s="22"/>
      <c r="V86" s="12"/>
      <c r="W86" s="22"/>
      <c r="X86" s="12"/>
      <c r="Y86" s="22"/>
      <c r="Z86" s="13"/>
      <c r="AA86" s="130"/>
      <c r="AB86" s="12"/>
      <c r="AC86" s="12"/>
      <c r="AD86" s="12"/>
      <c r="AE86" s="12"/>
      <c r="AF86" s="12"/>
    </row>
    <row r="87" spans="1:32" ht="20" customHeight="1">
      <c r="A87" s="156" t="s">
        <v>95</v>
      </c>
      <c r="B87" s="22">
        <v>0.58670020822367763</v>
      </c>
      <c r="C87" s="22">
        <v>0.58670020822367763</v>
      </c>
      <c r="D87" s="22">
        <v>0.50251444733572626</v>
      </c>
      <c r="E87" s="22">
        <v>0.50251444733572626</v>
      </c>
      <c r="F87" s="22">
        <v>0.66234589413177969</v>
      </c>
      <c r="G87" s="22">
        <v>0.66234589413177969</v>
      </c>
      <c r="H87" s="22">
        <v>0.50223593584152271</v>
      </c>
      <c r="I87" s="22">
        <v>0.50223593584152271</v>
      </c>
      <c r="J87" s="22">
        <v>0.45767479535997935</v>
      </c>
      <c r="K87" s="22">
        <v>0.45767479535997935</v>
      </c>
      <c r="L87" s="22">
        <v>0.58059728246524289</v>
      </c>
      <c r="M87" s="22">
        <v>0.58059728246524289</v>
      </c>
      <c r="N87" s="22">
        <v>0.59096614456865038</v>
      </c>
      <c r="O87" s="22">
        <v>0.59096614456865038</v>
      </c>
      <c r="P87" s="22">
        <v>0.54319072595356488</v>
      </c>
      <c r="Q87" s="22">
        <v>0.54319072595356488</v>
      </c>
      <c r="R87" s="22">
        <f t="shared" ref="R87:Z87" si="79">R29/R17</f>
        <v>0.45534494835285699</v>
      </c>
      <c r="S87" s="22">
        <f t="shared" si="79"/>
        <v>0.45534494835285699</v>
      </c>
      <c r="T87" s="22">
        <f t="shared" si="79"/>
        <v>0.55450746917121219</v>
      </c>
      <c r="U87" s="22">
        <f t="shared" si="79"/>
        <v>0.55450746917121219</v>
      </c>
      <c r="V87" s="22">
        <f t="shared" si="79"/>
        <v>0.3730791546940353</v>
      </c>
      <c r="W87" s="22">
        <f t="shared" si="79"/>
        <v>0.3730791546940353</v>
      </c>
      <c r="X87" s="161">
        <f t="shared" si="79"/>
        <v>0.45305485985505367</v>
      </c>
      <c r="Y87" s="22">
        <f t="shared" si="79"/>
        <v>0.45305485985505367</v>
      </c>
      <c r="Z87" s="22">
        <f t="shared" si="79"/>
        <v>0.42083567207035733</v>
      </c>
      <c r="AA87" s="131">
        <f>IFERROR(AVERAGE(F87,H87,J87,L87,N87,P87,R87,T87,V87,X87),0)</f>
        <v>0.5172997210393897</v>
      </c>
      <c r="AB87" s="131">
        <f>AVERAGE(T87,V87,X87)</f>
        <v>0.46021382790676707</v>
      </c>
      <c r="AC87" s="12"/>
      <c r="AD87" s="33"/>
      <c r="AE87" s="12"/>
      <c r="AF87" s="33"/>
    </row>
    <row r="88" spans="1:32" ht="20" customHeight="1">
      <c r="A88" s="156" t="s">
        <v>79</v>
      </c>
      <c r="B88" s="22">
        <v>0.13475409344349867</v>
      </c>
      <c r="C88" s="22">
        <v>0.13475409344349867</v>
      </c>
      <c r="D88" s="22">
        <v>8.3296133787712168E-2</v>
      </c>
      <c r="E88" s="22">
        <v>8.3296133787712168E-2</v>
      </c>
      <c r="F88" s="22">
        <v>0.10464890306551268</v>
      </c>
      <c r="G88" s="22">
        <v>0.10464890306551268</v>
      </c>
      <c r="H88" s="22">
        <v>0.10159365683035687</v>
      </c>
      <c r="I88" s="22">
        <v>0.10159365683035687</v>
      </c>
      <c r="J88" s="22">
        <v>0.2122582414488895</v>
      </c>
      <c r="K88" s="22">
        <v>0.2122582414488895</v>
      </c>
      <c r="L88" s="22">
        <v>0.21106495215358129</v>
      </c>
      <c r="M88" s="22">
        <v>0.21106495215358129</v>
      </c>
      <c r="N88" s="22">
        <v>0.16744777174707251</v>
      </c>
      <c r="O88" s="22">
        <v>0.16744777174707251</v>
      </c>
      <c r="P88" s="22">
        <v>0.17153312540894874</v>
      </c>
      <c r="Q88" s="22">
        <v>0.17153312540894874</v>
      </c>
      <c r="R88" s="22">
        <f t="shared" ref="R88:Z88" si="80">R60/R17</f>
        <v>0.15585310305888528</v>
      </c>
      <c r="S88" s="22">
        <f t="shared" si="80"/>
        <v>0.15585310305888528</v>
      </c>
      <c r="T88" s="22">
        <f t="shared" si="80"/>
        <v>0.10117069627406987</v>
      </c>
      <c r="U88" s="22">
        <f t="shared" si="80"/>
        <v>0.10117069627406987</v>
      </c>
      <c r="V88" s="22">
        <f t="shared" si="80"/>
        <v>0.13611963090715867</v>
      </c>
      <c r="W88" s="22">
        <f t="shared" si="80"/>
        <v>0.13611963090715867</v>
      </c>
      <c r="X88" s="22">
        <f t="shared" si="80"/>
        <v>-0.11632447668629223</v>
      </c>
      <c r="Y88" s="22">
        <f t="shared" si="80"/>
        <v>-0.11632447668629223</v>
      </c>
      <c r="Z88" s="22">
        <f t="shared" si="80"/>
        <v>0.18448812257332189</v>
      </c>
      <c r="AA88" s="131">
        <f t="shared" ref="AA88:AA95" si="81">IFERROR(AVERAGE(F88,H88,J88,L88,N88,P88,R88,T88,V88,X88),0)</f>
        <v>0.12453656042081832</v>
      </c>
      <c r="AB88" s="131">
        <f>AVERAGE(T88,V88,X88)</f>
        <v>4.0321950164978776E-2</v>
      </c>
      <c r="AC88" s="12"/>
      <c r="AD88" s="33"/>
      <c r="AE88" s="12"/>
      <c r="AF88" s="33"/>
    </row>
    <row r="89" spans="1:32" ht="20" customHeight="1">
      <c r="A89" s="156" t="s">
        <v>96</v>
      </c>
      <c r="B89" s="22">
        <v>9.9004239188385038E-2</v>
      </c>
      <c r="C89" s="22">
        <v>9.9004239188385038E-2</v>
      </c>
      <c r="D89" s="22">
        <v>9.9256251035841001E-2</v>
      </c>
      <c r="E89" s="22">
        <v>9.9256251035841001E-2</v>
      </c>
      <c r="F89" s="22">
        <v>5.7803179080551194E-2</v>
      </c>
      <c r="G89" s="22">
        <v>5.7803179080551194E-2</v>
      </c>
      <c r="H89" s="22">
        <v>8.8640686601795152E-2</v>
      </c>
      <c r="I89" s="22">
        <v>8.8640686601795152E-2</v>
      </c>
      <c r="J89" s="22">
        <v>0.2046661738718237</v>
      </c>
      <c r="K89" s="22">
        <v>0.2046661738718237</v>
      </c>
      <c r="L89" s="22">
        <v>0.19710941839713511</v>
      </c>
      <c r="M89" s="22">
        <v>0.19710941839713511</v>
      </c>
      <c r="N89" s="22">
        <v>0.15282154836430445</v>
      </c>
      <c r="O89" s="22">
        <v>0.15282154836430445</v>
      </c>
      <c r="P89" s="22">
        <v>0.15695346356806431</v>
      </c>
      <c r="Q89" s="22">
        <v>0.15695346356806431</v>
      </c>
      <c r="R89" s="22">
        <f t="shared" ref="R89:Z89" si="82">R80/R17</f>
        <v>0.14350348755628178</v>
      </c>
      <c r="S89" s="22">
        <f t="shared" si="82"/>
        <v>0.14350348755628178</v>
      </c>
      <c r="T89" s="22">
        <f t="shared" si="82"/>
        <v>8.6774594295528681E-2</v>
      </c>
      <c r="U89" s="22">
        <f t="shared" si="82"/>
        <v>8.6774594295528681E-2</v>
      </c>
      <c r="V89" s="22">
        <f t="shared" si="82"/>
        <v>0.12627274511719846</v>
      </c>
      <c r="W89" s="22">
        <f t="shared" si="82"/>
        <v>0.12627274511719846</v>
      </c>
      <c r="X89" s="22">
        <f t="shared" si="82"/>
        <v>0.25239491569648248</v>
      </c>
      <c r="Y89" s="22">
        <f t="shared" si="82"/>
        <v>0.25239491569648248</v>
      </c>
      <c r="Z89" s="22">
        <f t="shared" si="82"/>
        <v>0.17466410445880531</v>
      </c>
      <c r="AA89" s="131">
        <f t="shared" si="81"/>
        <v>0.14669402125491654</v>
      </c>
      <c r="AB89" s="131">
        <f t="shared" ref="AB89:AB93" si="83">AVERAGE(T89,V89,X89)</f>
        <v>0.15514741836973653</v>
      </c>
      <c r="AC89" s="12"/>
      <c r="AD89" s="33"/>
      <c r="AE89" s="12"/>
      <c r="AF89" s="33"/>
    </row>
    <row r="90" spans="1:32" ht="20" customHeight="1">
      <c r="A90" s="156" t="s">
        <v>97</v>
      </c>
      <c r="B90" s="22">
        <v>0.34376694185984019</v>
      </c>
      <c r="C90" s="22">
        <v>0.34376694185984019</v>
      </c>
      <c r="D90" s="22">
        <v>0.30355131662196672</v>
      </c>
      <c r="E90" s="22">
        <v>0.30355131662196672</v>
      </c>
      <c r="F90" s="22">
        <v>0.43798578966573326</v>
      </c>
      <c r="G90" s="22">
        <v>0.43798578966573326</v>
      </c>
      <c r="H90" s="22">
        <v>0.28628710989089068</v>
      </c>
      <c r="I90" s="22">
        <v>0.28628710989089068</v>
      </c>
      <c r="J90" s="22">
        <v>0.19659571994965502</v>
      </c>
      <c r="K90" s="22">
        <v>0.19659571994965502</v>
      </c>
      <c r="L90" s="22">
        <v>0.28574692809839541</v>
      </c>
      <c r="M90" s="22">
        <v>0.28574692809839541</v>
      </c>
      <c r="N90" s="22">
        <v>0.34258260155473125</v>
      </c>
      <c r="O90" s="22">
        <v>0.34258260155473125</v>
      </c>
      <c r="P90" s="22">
        <v>0.30180678604101691</v>
      </c>
      <c r="Q90" s="22">
        <v>0.30180678604101691</v>
      </c>
      <c r="R90" s="22">
        <f t="shared" ref="R90:Z90" si="84">IFERROR(R43/R17,0)</f>
        <v>0.2478895953467786</v>
      </c>
      <c r="S90" s="22">
        <f t="shared" si="84"/>
        <v>0.2478895953467786</v>
      </c>
      <c r="T90" s="22">
        <f t="shared" si="84"/>
        <v>0.33501040354908679</v>
      </c>
      <c r="U90" s="22">
        <f t="shared" si="84"/>
        <v>0.33501040354908679</v>
      </c>
      <c r="V90" s="22">
        <f t="shared" si="84"/>
        <v>0.18080092904448675</v>
      </c>
      <c r="W90" s="22">
        <f t="shared" si="84"/>
        <v>0.18080092904448675</v>
      </c>
      <c r="X90" s="22">
        <f t="shared" si="84"/>
        <v>0</v>
      </c>
      <c r="Y90" s="22">
        <f t="shared" si="84"/>
        <v>0</v>
      </c>
      <c r="Z90" s="22">
        <f t="shared" si="84"/>
        <v>0.23848631751090621</v>
      </c>
      <c r="AA90" s="131">
        <f t="shared" si="81"/>
        <v>0.26147058631407749</v>
      </c>
      <c r="AB90" s="131">
        <f t="shared" si="83"/>
        <v>0.17193711086452454</v>
      </c>
      <c r="AC90" s="12"/>
      <c r="AD90" s="33"/>
      <c r="AE90" s="12"/>
      <c r="AF90" s="33"/>
    </row>
    <row r="91" spans="1:32" ht="20" customHeight="1">
      <c r="A91" s="156" t="s">
        <v>98</v>
      </c>
      <c r="B91" s="22">
        <v>0.55633928139979805</v>
      </c>
      <c r="C91" s="22">
        <v>0.55633928139979816</v>
      </c>
      <c r="D91" s="22">
        <v>0.55244206373319593</v>
      </c>
      <c r="E91" s="22">
        <v>0.55244206373319604</v>
      </c>
      <c r="F91" s="22">
        <v>0.54513213462688581</v>
      </c>
      <c r="G91" s="22">
        <v>0.54513213462688581</v>
      </c>
      <c r="H91" s="22">
        <v>0.46804373270908706</v>
      </c>
      <c r="I91" s="22">
        <v>0.46804373270908706</v>
      </c>
      <c r="J91" s="22">
        <v>0.45104596722174906</v>
      </c>
      <c r="K91" s="22">
        <v>0.45104596722174906</v>
      </c>
      <c r="L91" s="22">
        <v>0.46794650021572493</v>
      </c>
      <c r="M91" s="22">
        <v>0.46794650021572498</v>
      </c>
      <c r="N91" s="22">
        <v>0.53922999118653414</v>
      </c>
      <c r="O91" s="22">
        <v>0.53922999118653414</v>
      </c>
      <c r="P91" s="22">
        <v>0.49828809876372304</v>
      </c>
      <c r="Q91" s="22">
        <v>0.4982880987637231</v>
      </c>
      <c r="R91" s="22">
        <f t="shared" ref="R91:Z91" si="85">IFERROR(R43/SUM(R9,R10,R11,R12),0)</f>
        <v>0.48608607817799121</v>
      </c>
      <c r="S91" s="22">
        <f t="shared" si="85"/>
        <v>0.4860860781779911</v>
      </c>
      <c r="T91" s="22">
        <f t="shared" si="85"/>
        <v>0.51161461633860639</v>
      </c>
      <c r="U91" s="22">
        <f t="shared" si="85"/>
        <v>0.5116146163386065</v>
      </c>
      <c r="V91" s="22">
        <f t="shared" si="85"/>
        <v>0.51677702230098299</v>
      </c>
      <c r="W91" s="22">
        <f t="shared" si="85"/>
        <v>0.51677702230098288</v>
      </c>
      <c r="X91" s="22">
        <f t="shared" si="85"/>
        <v>0</v>
      </c>
      <c r="Y91" s="22">
        <f t="shared" si="85"/>
        <v>0</v>
      </c>
      <c r="Z91" s="22">
        <f t="shared" si="85"/>
        <v>0.41130544158369142</v>
      </c>
      <c r="AA91" s="131">
        <f t="shared" si="81"/>
        <v>0.44841641415412842</v>
      </c>
      <c r="AB91" s="131">
        <f t="shared" si="83"/>
        <v>0.34279721287986309</v>
      </c>
      <c r="AC91" s="12"/>
      <c r="AD91" s="33"/>
      <c r="AE91" s="12"/>
      <c r="AF91" s="33"/>
    </row>
    <row r="92" spans="1:32" ht="20" customHeight="1">
      <c r="A92" s="156" t="s">
        <v>99</v>
      </c>
      <c r="B92" s="22">
        <v>0.46836963373663781</v>
      </c>
      <c r="C92" s="22">
        <v>0.46836963373663792</v>
      </c>
      <c r="D92" s="22">
        <v>0.48012969419112383</v>
      </c>
      <c r="E92" s="22">
        <v>0.48012969419112395</v>
      </c>
      <c r="F92" s="22">
        <v>0.52483627699034607</v>
      </c>
      <c r="G92" s="22">
        <v>0.52483627699034618</v>
      </c>
      <c r="H92" s="22">
        <v>0.43873702094270428</v>
      </c>
      <c r="I92" s="22">
        <v>0.43873702094270434</v>
      </c>
      <c r="J92" s="22">
        <v>0.374576789664117</v>
      </c>
      <c r="K92" s="22">
        <v>0.37457678966411695</v>
      </c>
      <c r="L92" s="22">
        <v>0.41757983950419159</v>
      </c>
      <c r="M92" s="22">
        <v>0.41757983950419159</v>
      </c>
      <c r="N92" s="22">
        <v>0.48824780930582201</v>
      </c>
      <c r="O92" s="22">
        <v>0.48824780930582207</v>
      </c>
      <c r="P92" s="22">
        <v>0.45366251093449206</v>
      </c>
      <c r="Q92" s="22">
        <v>0.45366251093449211</v>
      </c>
      <c r="R92" s="22">
        <f t="shared" ref="R92:Z92" si="86">IFERROR(R43/(SUM(R9,R10,R11,R12)+(R13+R14-R25-R26)),0)</f>
        <v>0.43101277730187576</v>
      </c>
      <c r="S92" s="22">
        <f t="shared" si="86"/>
        <v>0.4310127773018757</v>
      </c>
      <c r="T92" s="22">
        <f t="shared" si="86"/>
        <v>0.46521254971277065</v>
      </c>
      <c r="U92" s="22">
        <f t="shared" si="86"/>
        <v>0.46521254971277071</v>
      </c>
      <c r="V92" s="22">
        <f t="shared" si="86"/>
        <v>0.40319857609658788</v>
      </c>
      <c r="W92" s="22">
        <f t="shared" si="86"/>
        <v>0.40319857609658782</v>
      </c>
      <c r="X92" s="22">
        <f t="shared" si="86"/>
        <v>0</v>
      </c>
      <c r="Y92" s="22">
        <f t="shared" si="86"/>
        <v>0</v>
      </c>
      <c r="Z92" s="22">
        <f t="shared" si="86"/>
        <v>0.33214599822229174</v>
      </c>
      <c r="AA92" s="131">
        <f t="shared" si="81"/>
        <v>0.39970641504529075</v>
      </c>
      <c r="AB92" s="131">
        <f t="shared" si="83"/>
        <v>0.2894703752697862</v>
      </c>
      <c r="AC92" s="12"/>
      <c r="AD92" s="33"/>
      <c r="AE92" s="12"/>
      <c r="AF92" s="33"/>
    </row>
    <row r="93" spans="1:32" ht="20" customHeight="1">
      <c r="A93" s="156" t="s">
        <v>100</v>
      </c>
      <c r="B93" s="22">
        <v>0.33445891880681111</v>
      </c>
      <c r="C93" s="22">
        <v>0.33445891880681106</v>
      </c>
      <c r="D93" s="12">
        <v>0.19345428209306537</v>
      </c>
      <c r="E93" s="22">
        <v>0.19345428209306534</v>
      </c>
      <c r="F93" s="22">
        <v>0.17797511071704838</v>
      </c>
      <c r="G93" s="22">
        <v>0.17797511071704841</v>
      </c>
      <c r="H93" s="22">
        <v>0.10358038824447111</v>
      </c>
      <c r="I93" s="22">
        <v>0.10358038824447113</v>
      </c>
      <c r="J93" s="22">
        <v>0.16048458324175788</v>
      </c>
      <c r="K93" s="22">
        <v>0.16048458324175788</v>
      </c>
      <c r="L93" s="22">
        <v>0.20156305944086728</v>
      </c>
      <c r="M93" s="22">
        <v>0.20156305944086725</v>
      </c>
      <c r="N93" s="22">
        <v>0.18986933016269369</v>
      </c>
      <c r="O93" s="22">
        <v>0.18986933016269358</v>
      </c>
      <c r="P93" s="22">
        <v>0.15331810233355889</v>
      </c>
      <c r="Q93" s="22">
        <v>0.15331810233355894</v>
      </c>
      <c r="R93" s="22">
        <f t="shared" ref="R93:Z93" si="87">(R14-R26)/R14</f>
        <v>0.14430620317783033</v>
      </c>
      <c r="S93" s="22">
        <f t="shared" si="87"/>
        <v>0.1443062031778303</v>
      </c>
      <c r="T93" s="22">
        <f t="shared" si="87"/>
        <v>0.19276573908767278</v>
      </c>
      <c r="U93" s="22">
        <f t="shared" si="87"/>
        <v>0.19276573908767278</v>
      </c>
      <c r="V93" s="22">
        <f t="shared" si="87"/>
        <v>0.15293379285424158</v>
      </c>
      <c r="W93" s="22">
        <f t="shared" si="87"/>
        <v>0.15293379285424163</v>
      </c>
      <c r="X93" s="22">
        <f t="shared" si="87"/>
        <v>0.15413134000781697</v>
      </c>
      <c r="Y93" s="22">
        <f t="shared" si="87"/>
        <v>0.15413134000781695</v>
      </c>
      <c r="Z93" s="22">
        <f t="shared" si="87"/>
        <v>0.33494210113560863</v>
      </c>
      <c r="AA93" s="131">
        <f t="shared" si="81"/>
        <v>0.16309276492679589</v>
      </c>
      <c r="AB93" s="131">
        <f t="shared" si="83"/>
        <v>0.16661029064991045</v>
      </c>
      <c r="AC93" s="12"/>
      <c r="AD93" s="33"/>
      <c r="AE93" s="12"/>
      <c r="AF93" s="33"/>
    </row>
    <row r="94" spans="1:32" ht="20" customHeight="1">
      <c r="A94" s="156" t="s">
        <v>101</v>
      </c>
      <c r="B94" s="22">
        <v>160569.69</v>
      </c>
      <c r="C94" s="22">
        <v>0.10911266321801485</v>
      </c>
      <c r="D94" s="23">
        <v>133556</v>
      </c>
      <c r="E94" s="22">
        <v>8.0784105934627981E-2</v>
      </c>
      <c r="F94" s="23">
        <v>39343</v>
      </c>
      <c r="G94" s="23">
        <v>3.2260656725719233E-2</v>
      </c>
      <c r="H94" s="23">
        <v>67589</v>
      </c>
      <c r="I94" s="23">
        <v>3.6658500325695453E-2</v>
      </c>
      <c r="J94" s="23">
        <v>235125</v>
      </c>
      <c r="K94" s="23">
        <v>8.5406673798267718E-2</v>
      </c>
      <c r="L94" s="23">
        <v>137362</v>
      </c>
      <c r="M94" s="23">
        <v>6.7643883970957275E-2</v>
      </c>
      <c r="N94" s="23">
        <v>127592</v>
      </c>
      <c r="O94" s="23">
        <v>6.2779690972688595E-2</v>
      </c>
      <c r="P94" s="23">
        <v>114419</v>
      </c>
      <c r="Q94" s="23">
        <v>5.7106337401484242E-2</v>
      </c>
      <c r="R94" s="23">
        <f t="shared" ref="R94:Z94" si="88">R14-R26</f>
        <v>117540</v>
      </c>
      <c r="S94" s="23">
        <f t="shared" si="88"/>
        <v>6.7650361475323495E-2</v>
      </c>
      <c r="T94" s="23">
        <f t="shared" si="88"/>
        <v>72126</v>
      </c>
      <c r="U94" s="23">
        <f t="shared" si="88"/>
        <v>6.1204435679591052E-2</v>
      </c>
      <c r="V94" s="23">
        <f t="shared" si="88"/>
        <v>225158</v>
      </c>
      <c r="W94" s="23">
        <f t="shared" si="88"/>
        <v>9.7348193663923555E-2</v>
      </c>
      <c r="X94" s="23">
        <f t="shared" si="88"/>
        <v>82025</v>
      </c>
      <c r="Y94" s="23">
        <f t="shared" si="88"/>
        <v>7.2797094683704267E-2</v>
      </c>
      <c r="Z94" s="23">
        <f t="shared" si="88"/>
        <v>2515586</v>
      </c>
      <c r="AA94" s="16">
        <f t="shared" si="81"/>
        <v>121827.9</v>
      </c>
      <c r="AB94" s="23">
        <f>AVERAGE(T94,V94,X94)</f>
        <v>126436.33333333333</v>
      </c>
      <c r="AC94" s="12"/>
      <c r="AD94" s="33"/>
      <c r="AE94" s="12"/>
      <c r="AF94" s="33"/>
    </row>
    <row r="95" spans="1:32">
      <c r="A95" s="156" t="s">
        <v>102</v>
      </c>
      <c r="B95" s="22">
        <v>0.32623636890078006</v>
      </c>
      <c r="C95" s="2">
        <v>0.32623636890078006</v>
      </c>
      <c r="D95">
        <v>0.41758758224728804</v>
      </c>
      <c r="E95" s="2">
        <v>0.41758758224728804</v>
      </c>
      <c r="F95" s="2">
        <v>0.18126499034468055</v>
      </c>
      <c r="G95" s="2">
        <v>0.18126499034468055</v>
      </c>
      <c r="H95" s="2">
        <v>0.35391352501183732</v>
      </c>
      <c r="I95" s="2">
        <v>0.35391352501183732</v>
      </c>
      <c r="J95" s="2">
        <v>0.53217992702519612</v>
      </c>
      <c r="K95" s="2">
        <v>0.53217992702519612</v>
      </c>
      <c r="L95" s="2">
        <v>0.33559663243155935</v>
      </c>
      <c r="M95" s="2">
        <v>0.33559663243155935</v>
      </c>
      <c r="N95" s="2">
        <v>0.33064682389143352</v>
      </c>
      <c r="O95" s="2">
        <v>0.33064682389143352</v>
      </c>
      <c r="P95" s="2">
        <v>0.37246963360688917</v>
      </c>
      <c r="Q95" s="2">
        <v>0.37246963360688917</v>
      </c>
      <c r="R95" s="2">
        <f t="shared" ref="R95:Z95" si="89">R14/R17</f>
        <v>0.46879732115158712</v>
      </c>
      <c r="S95" s="2">
        <f t="shared" si="89"/>
        <v>0.46879732115158712</v>
      </c>
      <c r="T95" s="2">
        <f t="shared" si="89"/>
        <v>0.31750681407007886</v>
      </c>
      <c r="U95" s="2">
        <f t="shared" si="89"/>
        <v>0.31750681407007886</v>
      </c>
      <c r="V95" s="2">
        <f t="shared" si="89"/>
        <v>0.63653815057542129</v>
      </c>
      <c r="W95" s="2">
        <f t="shared" si="89"/>
        <v>0.63653815057542129</v>
      </c>
      <c r="X95" s="2">
        <f t="shared" si="89"/>
        <v>0.4723055978103628</v>
      </c>
      <c r="Y95" s="2">
        <f t="shared" si="89"/>
        <v>0.4723055978103628</v>
      </c>
      <c r="Z95" s="2">
        <f t="shared" si="89"/>
        <v>0.38205780981487175</v>
      </c>
      <c r="AA95" s="131">
        <f t="shared" si="81"/>
        <v>0.40012194159190456</v>
      </c>
      <c r="AB95" s="131">
        <f t="shared" ref="AB95" si="90">AVERAGE(T95,V95,X95)</f>
        <v>0.47545018748528767</v>
      </c>
    </row>
    <row r="98" spans="1:26">
      <c r="A98" s="156" t="s">
        <v>121</v>
      </c>
    </row>
    <row r="99" spans="1:26">
      <c r="A99" s="156" t="s">
        <v>122</v>
      </c>
    </row>
    <row r="100" spans="1:26">
      <c r="A100" s="156" t="s">
        <v>123</v>
      </c>
    </row>
    <row r="101" spans="1:26">
      <c r="A101" s="156" t="s">
        <v>124</v>
      </c>
    </row>
    <row r="103" spans="1:26">
      <c r="A103" s="156" t="s">
        <v>125</v>
      </c>
    </row>
    <row r="104" spans="1:26">
      <c r="A104" s="156" t="s">
        <v>126</v>
      </c>
      <c r="B104">
        <v>884632.5</v>
      </c>
      <c r="C104" s="2">
        <v>0.60113840939850194</v>
      </c>
      <c r="D104">
        <v>893609</v>
      </c>
      <c r="E104" s="2">
        <v>0.54051786606469931</v>
      </c>
      <c r="F104" s="56">
        <v>947637</v>
      </c>
      <c r="G104" s="56">
        <v>0.77704780920596783</v>
      </c>
      <c r="H104" s="56">
        <v>1092495</v>
      </c>
      <c r="I104" s="56">
        <v>0.59254062515084771</v>
      </c>
      <c r="J104" s="56">
        <v>1125519</v>
      </c>
      <c r="K104" s="56">
        <v>0.40883289351090901</v>
      </c>
      <c r="L104" s="56">
        <v>1131300</v>
      </c>
      <c r="M104" s="56">
        <v>0.55710841379962417</v>
      </c>
      <c r="N104" s="56">
        <v>1212664</v>
      </c>
      <c r="O104" s="56">
        <v>0.59667276297655403</v>
      </c>
      <c r="P104" s="56">
        <v>1140095</v>
      </c>
      <c r="Q104" s="56"/>
      <c r="R104" s="56">
        <f t="shared" ref="R104:X104" si="91">SUM(R9:R11,R15)</f>
        <v>851177</v>
      </c>
      <c r="S104" s="56">
        <f t="shared" si="91"/>
        <v>0.48989647549329113</v>
      </c>
      <c r="T104" s="56">
        <f t="shared" si="91"/>
        <v>763046</v>
      </c>
      <c r="U104" s="56">
        <f t="shared" si="91"/>
        <v>0.64750297850385763</v>
      </c>
      <c r="V104" s="56">
        <f t="shared" si="91"/>
        <v>795504</v>
      </c>
      <c r="W104" s="56">
        <f t="shared" si="91"/>
        <v>0.34394015514627868</v>
      </c>
      <c r="X104" s="56">
        <f t="shared" si="91"/>
        <v>568598</v>
      </c>
      <c r="Z104" s="3">
        <f>SUM(F104:V104)</f>
        <v>9059441.0696019586</v>
      </c>
    </row>
    <row r="105" spans="1:26">
      <c r="A105" s="1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</row>
    <row r="106" spans="1:26">
      <c r="A106" s="156" t="s">
        <v>157</v>
      </c>
      <c r="B106" s="125">
        <v>892436.4</v>
      </c>
      <c r="D106">
        <v>911286</v>
      </c>
      <c r="F106" s="56">
        <v>889247</v>
      </c>
      <c r="H106" s="56">
        <v>1018342</v>
      </c>
      <c r="J106" s="56">
        <v>857378</v>
      </c>
      <c r="L106" s="56">
        <v>979666</v>
      </c>
      <c r="N106" s="56">
        <v>1093957</v>
      </c>
      <c r="P106" s="56">
        <v>409246</v>
      </c>
      <c r="R106" s="56">
        <f>R22+R21+R39+R41+R43+R45+R52+R55</f>
        <v>600935</v>
      </c>
      <c r="T106" s="56">
        <f>T22+T21+T39+T41+T43+T45+T52+T55</f>
        <v>559912</v>
      </c>
      <c r="V106" s="56">
        <f>V22+V21+V39+V41+V43+V45+V52+V55</f>
        <v>563218</v>
      </c>
      <c r="X106" s="56">
        <f>SUM(X10:X12,X16)</f>
        <v>240965</v>
      </c>
      <c r="Z106" s="3">
        <f>SUM(F106:V106)</f>
        <v>6971901</v>
      </c>
    </row>
    <row r="107" spans="1:26">
      <c r="A107" s="156" t="s">
        <v>128</v>
      </c>
      <c r="B107">
        <v>-7803.9000000000233</v>
      </c>
      <c r="D107">
        <v>-17677</v>
      </c>
      <c r="F107" s="56">
        <v>58390</v>
      </c>
      <c r="H107" s="56">
        <v>74153</v>
      </c>
      <c r="J107" s="56">
        <v>268141</v>
      </c>
      <c r="L107" s="56">
        <v>151634</v>
      </c>
      <c r="N107" s="56">
        <v>118707</v>
      </c>
      <c r="P107" s="56">
        <v>2372428</v>
      </c>
      <c r="R107" s="56">
        <f t="shared" ref="R107:V107" si="92">R104-R106</f>
        <v>250242</v>
      </c>
      <c r="T107" s="56">
        <f t="shared" si="92"/>
        <v>203134</v>
      </c>
      <c r="V107" s="56">
        <f t="shared" si="92"/>
        <v>232286</v>
      </c>
      <c r="X107" s="56">
        <f>SUM(X11:X13,X17)</f>
        <v>1348344</v>
      </c>
      <c r="Z107" s="70">
        <f>Z104-Z106</f>
        <v>2087540.0696019586</v>
      </c>
    </row>
    <row r="108" spans="1:26">
      <c r="A108" s="156" t="s">
        <v>129</v>
      </c>
      <c r="B108">
        <v>-52026.00000000016</v>
      </c>
      <c r="D108">
        <v>-117846.66666666667</v>
      </c>
      <c r="F108" s="66">
        <v>389266.66666666669</v>
      </c>
      <c r="H108" s="66">
        <v>494353.33333333337</v>
      </c>
      <c r="J108" s="66">
        <v>1787606.6666666667</v>
      </c>
      <c r="L108" s="66">
        <v>1010893.3333333334</v>
      </c>
      <c r="N108" s="66">
        <v>791380</v>
      </c>
      <c r="P108" s="66">
        <v>863518</v>
      </c>
      <c r="R108" s="66">
        <f t="shared" ref="R108:V108" si="93">R107/0.15</f>
        <v>1668280</v>
      </c>
      <c r="T108" s="66">
        <f t="shared" si="93"/>
        <v>1354226.6666666667</v>
      </c>
      <c r="V108" s="66">
        <f t="shared" si="93"/>
        <v>1548573.3333333335</v>
      </c>
      <c r="X108" s="56">
        <f>SUM(X12:X14,X18)</f>
        <v>558164</v>
      </c>
    </row>
    <row r="109" spans="1:26">
      <c r="A109" s="156" t="s">
        <v>130</v>
      </c>
      <c r="F109" s="66"/>
      <c r="X109" s="3"/>
    </row>
    <row r="110" spans="1:26">
      <c r="A110" s="156" t="s">
        <v>131</v>
      </c>
    </row>
    <row r="111" spans="1:26">
      <c r="A111" s="156" t="s">
        <v>132</v>
      </c>
    </row>
    <row r="112" spans="1:26">
      <c r="A112" s="156" t="s">
        <v>133</v>
      </c>
    </row>
    <row r="115" spans="1:27">
      <c r="A115" s="156" t="s">
        <v>134</v>
      </c>
      <c r="B115">
        <v>343980.79000000004</v>
      </c>
      <c r="D115">
        <v>206107.40000000002</v>
      </c>
      <c r="F115">
        <v>155386</v>
      </c>
      <c r="H115" s="5">
        <v>69233</v>
      </c>
      <c r="I115" s="4"/>
      <c r="J115" s="5">
        <v>113160</v>
      </c>
      <c r="K115" s="4"/>
      <c r="L115" s="5">
        <v>316207</v>
      </c>
      <c r="M115" s="4"/>
      <c r="N115" s="5">
        <v>276968</v>
      </c>
      <c r="O115" s="4"/>
      <c r="P115" s="5">
        <v>221610</v>
      </c>
      <c r="Q115" s="4"/>
      <c r="R115" s="5">
        <f>P60-P107</f>
        <v>-2003102</v>
      </c>
      <c r="S115" s="4"/>
      <c r="T115" s="5">
        <f>R60-R107</f>
        <v>20547</v>
      </c>
      <c r="U115" s="4"/>
      <c r="V115" s="5">
        <f>T60-T107</f>
        <v>-83910</v>
      </c>
      <c r="W115" s="4"/>
      <c r="X115" s="5">
        <f>V60-V107</f>
        <v>82547</v>
      </c>
      <c r="Y115" s="4"/>
      <c r="Z115" s="3">
        <f>Z60-Z107</f>
        <v>1539135.9303980414</v>
      </c>
      <c r="AA115" t="s">
        <v>135</v>
      </c>
    </row>
    <row r="116" spans="1:27">
      <c r="A116" s="156" t="s">
        <v>136</v>
      </c>
      <c r="B116">
        <v>64037.919999999998</v>
      </c>
      <c r="D116">
        <v>43186.080000000002</v>
      </c>
      <c r="F116">
        <v>27190</v>
      </c>
      <c r="H116" s="5">
        <v>43417</v>
      </c>
      <c r="I116" s="4"/>
      <c r="J116" s="5">
        <v>53573</v>
      </c>
      <c r="K116" s="4"/>
      <c r="L116" s="5">
        <v>98569</v>
      </c>
      <c r="M116" s="4"/>
      <c r="N116" s="5">
        <v>139411</v>
      </c>
      <c r="O116" s="4"/>
      <c r="P116" s="5">
        <v>106978</v>
      </c>
      <c r="Q116" s="4"/>
      <c r="R116" s="5">
        <f>P12</f>
        <v>67523</v>
      </c>
      <c r="S116" s="4"/>
      <c r="T116" s="5">
        <f>R12</f>
        <v>49407</v>
      </c>
      <c r="U116" s="4"/>
      <c r="V116" s="5">
        <f>T12</f>
        <v>12180</v>
      </c>
      <c r="W116" s="4"/>
      <c r="X116" s="5">
        <f>V12</f>
        <v>27982</v>
      </c>
      <c r="Y116" s="4"/>
      <c r="Z116" s="3">
        <f>Z12</f>
        <v>538896</v>
      </c>
      <c r="AA116" t="s">
        <v>137</v>
      </c>
    </row>
    <row r="117" spans="1:27">
      <c r="A117" s="156" t="s">
        <v>138</v>
      </c>
      <c r="B117">
        <v>279942.87000000005</v>
      </c>
      <c r="D117">
        <v>162921.32</v>
      </c>
      <c r="F117">
        <v>128196</v>
      </c>
      <c r="H117" s="5">
        <v>25816</v>
      </c>
      <c r="I117" s="4"/>
      <c r="J117" s="5">
        <v>59587</v>
      </c>
      <c r="K117" s="4"/>
      <c r="L117" s="5">
        <v>217638</v>
      </c>
      <c r="M117" s="4"/>
      <c r="N117" s="5">
        <v>137557</v>
      </c>
      <c r="O117" s="4"/>
      <c r="P117" s="5">
        <v>114632</v>
      </c>
      <c r="Q117" s="4"/>
      <c r="R117" s="5">
        <f t="shared" ref="R117:X117" si="94">R115-R116</f>
        <v>-2070625</v>
      </c>
      <c r="S117" s="4"/>
      <c r="T117" s="5">
        <f t="shared" si="94"/>
        <v>-28860</v>
      </c>
      <c r="U117" s="4"/>
      <c r="V117" s="5">
        <f t="shared" si="94"/>
        <v>-96090</v>
      </c>
      <c r="W117" s="4"/>
      <c r="X117" s="5">
        <f t="shared" si="94"/>
        <v>54565</v>
      </c>
      <c r="Y117" s="4"/>
      <c r="Z117" s="3">
        <f>Z115-Z116</f>
        <v>1000239.9303980414</v>
      </c>
      <c r="AA117" t="s">
        <v>139</v>
      </c>
    </row>
    <row r="119" spans="1:27">
      <c r="A119" s="156" t="s">
        <v>140</v>
      </c>
    </row>
    <row r="122" spans="1:27" ht="14">
      <c r="A122" s="138" t="s">
        <v>141</v>
      </c>
    </row>
    <row r="123" spans="1:27" ht="14">
      <c r="A123" s="138" t="s">
        <v>142</v>
      </c>
    </row>
    <row r="127" spans="1:27" ht="14">
      <c r="A127" s="138" t="s">
        <v>143</v>
      </c>
      <c r="B127" t="s">
        <v>144</v>
      </c>
      <c r="D127" t="s">
        <v>145</v>
      </c>
    </row>
    <row r="128" spans="1:27" ht="14">
      <c r="A128" s="138" t="s">
        <v>146</v>
      </c>
      <c r="B128" s="123">
        <v>250000</v>
      </c>
      <c r="C128" s="124"/>
      <c r="D128" s="123">
        <f>B128*12</f>
        <v>3000000</v>
      </c>
    </row>
    <row r="129" spans="1:4" ht="14">
      <c r="A129" s="138" t="s">
        <v>113</v>
      </c>
      <c r="B129" s="123">
        <v>75000</v>
      </c>
      <c r="C129" s="124"/>
      <c r="D129" s="123">
        <f>B129*12</f>
        <v>900000</v>
      </c>
    </row>
    <row r="130" spans="1:4">
      <c r="B130" s="123">
        <f>SUM(B128:B129)</f>
        <v>325000</v>
      </c>
      <c r="C130" s="123">
        <f t="shared" ref="C130:D130" si="95">SUM(C128:C129)</f>
        <v>0</v>
      </c>
      <c r="D130" s="123">
        <f t="shared" si="95"/>
        <v>3900000</v>
      </c>
    </row>
    <row r="131" spans="1:4" ht="14">
      <c r="A131" s="138" t="s">
        <v>147</v>
      </c>
    </row>
    <row r="132" spans="1:4" ht="14">
      <c r="A132" s="138" t="s">
        <v>148</v>
      </c>
    </row>
    <row r="135" spans="1:4" ht="14">
      <c r="A135" s="138" t="s">
        <v>149</v>
      </c>
    </row>
    <row r="136" spans="1:4" ht="42">
      <c r="A136" s="138" t="s">
        <v>150</v>
      </c>
    </row>
    <row r="138" spans="1:4" ht="14">
      <c r="A138" s="138" t="s">
        <v>151</v>
      </c>
    </row>
    <row r="139" spans="1:4" ht="14">
      <c r="A139" s="138" t="s">
        <v>152</v>
      </c>
    </row>
  </sheetData>
  <conditionalFormatting sqref="C61">
    <cfRule type="colorScale" priority="1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E61">
    <cfRule type="colorScale" priority="2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conditionalFormatting sqref="Y61:Z61 W61 U61 S61 Q61 O61 M61 K61 I61 G61">
    <cfRule type="colorScale" priority="3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AA27757A-AFBF-40CC-9AC7-1CFCA0D68584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'California Calculated'!R80:V80</xm:f>
              <xm:sqref>AF80</xm:sqref>
            </x14:sparkline>
            <x14:sparkline>
              <xm:f>'California Calculated'!R29:V29</xm:f>
              <xm:sqref>AF29</xm:sqref>
            </x14:sparkline>
            <x14:sparkline>
              <xm:f>'California Calculated'!R17:V17</xm:f>
              <xm:sqref>AF17</xm:sqref>
            </x14:sparkline>
            <x14:sparkline>
              <xm:f>'California Calculated'!R9:V9</xm:f>
              <xm:sqref>AF9</xm:sqref>
            </x14:sparkline>
            <x14:sparkline>
              <xm:f>'California Calculated'!R12:V12</xm:f>
              <xm:sqref>AF12</xm:sqref>
            </x14:sparkline>
            <x14:sparkline>
              <xm:f>'California Calculated'!R10:V10</xm:f>
              <xm:sqref>AF10</xm:sqref>
            </x14:sparkline>
            <x14:sparkline>
              <xm:f>'California Calculated'!R11:V11</xm:f>
              <xm:sqref>AF11</xm:sqref>
            </x14:sparkline>
            <x14:sparkline>
              <xm:f>'California Calculated'!R15:V15</xm:f>
              <xm:sqref>AF15</xm:sqref>
            </x14:sparkline>
            <x14:sparkline>
              <xm:f>'California Calculated'!R14:V14</xm:f>
              <xm:sqref>AF14</xm:sqref>
            </x14:sparkline>
            <x14:sparkline>
              <xm:f>'California Calculated'!R13:V13</xm:f>
              <xm:sqref>AF13</xm:sqref>
            </x14:sparkline>
            <x14:sparkline>
              <xm:f>'California Calculated'!R65:V65</xm:f>
              <xm:sqref>AF65</xm:sqref>
            </x14:sparkline>
            <x14:sparkline>
              <xm:f>'California Calculated'!R66:V66</xm:f>
              <xm:sqref>AF66</xm:sqref>
            </x14:sparkline>
            <x14:sparkline>
              <xm:f>'California Calculated'!R67:V67</xm:f>
              <xm:sqref>AF67</xm:sqref>
            </x14:sparkline>
            <x14:sparkline>
              <xm:f>'California Calculated'!R68:V68</xm:f>
              <xm:sqref>AF68</xm:sqref>
            </x14:sparkline>
            <x14:sparkline>
              <xm:f>'California Calculated'!R60:V60</xm:f>
              <xm:sqref>AF60</xm:sqref>
            </x14:sparkline>
            <x14:sparkline>
              <xm:f>'California Calculated'!R16:V16</xm:f>
              <xm:sqref>AF16</xm:sqref>
            </x14:sparkline>
            <x14:sparkline>
              <xm:f>'California Calculated'!T87:X87</xm:f>
              <xm:sqref>AF87</xm:sqref>
            </x14:sparkline>
            <x14:sparkline>
              <xm:f>'California Calculated'!T88:X88</xm:f>
              <xm:sqref>AF88</xm:sqref>
            </x14:sparkline>
            <x14:sparkline>
              <xm:f>'California Calculated'!T89:X89</xm:f>
              <xm:sqref>AF89</xm:sqref>
            </x14:sparkline>
            <x14:sparkline>
              <xm:f>'California Calculated'!T90:X90</xm:f>
              <xm:sqref>AF90</xm:sqref>
            </x14:sparkline>
            <x14:sparkline>
              <xm:f>'California Calculated'!T91:X91</xm:f>
              <xm:sqref>AF91</xm:sqref>
            </x14:sparkline>
            <x14:sparkline>
              <xm:f>'California Calculated'!T92:X92</xm:f>
              <xm:sqref>AF92</xm:sqref>
            </x14:sparkline>
            <x14:sparkline>
              <xm:f>'California Calculated'!T93:X93</xm:f>
              <xm:sqref>AF93</xm:sqref>
            </x14:sparkline>
            <x14:sparkline>
              <xm:f>'California Calculated'!T94:X94</xm:f>
              <xm:sqref>AF94</xm:sqref>
            </x14:sparkline>
          </x14:sparklines>
        </x14:sparklineGroup>
        <x14:sparklineGroup lineWeight="1" displayEmptyCellsAs="gap" high="1" low="1" xr2:uid="{E1F1133D-6141-4405-A275-889C4311C8CA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'California Calculated'!F11:V11</xm:f>
              <xm:sqref>AD11</xm:sqref>
            </x14:sparkline>
          </x14:sparklines>
        </x14:sparklineGroup>
        <x14:sparklineGroup lineWeight="1" displayEmptyCellsAs="gap" high="1" low="1" xr2:uid="{084E79D5-267B-4DBE-A933-AC1400123C51}">
          <x14:colorSeries theme="9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FF0000"/>
          <x14:colorLow rgb="FF00B050"/>
          <x14:sparklines>
            <x14:sparkline>
              <xm:f>'California Calculated'!R70:V70</xm:f>
              <xm:sqref>AF70</xm:sqref>
            </x14:sparkline>
            <x14:sparkline>
              <xm:f>'California Calculated'!R25:V25</xm:f>
              <xm:sqref>AF25</xm:sqref>
            </x14:sparkline>
            <x14:sparkline>
              <xm:f>'California Calculated'!R26:V26</xm:f>
              <xm:sqref>AF26</xm:sqref>
            </x14:sparkline>
            <x14:sparkline>
              <xm:f>'California Calculated'!R22:V22</xm:f>
              <xm:sqref>AF22</xm:sqref>
            </x14:sparkline>
            <x14:sparkline>
              <xm:f>'California Calculated'!R23:V23</xm:f>
              <xm:sqref>AF23</xm:sqref>
            </x14:sparkline>
            <x14:sparkline>
              <xm:f>'California Calculated'!R24:V24</xm:f>
              <xm:sqref>AF24</xm:sqref>
            </x14:sparkline>
            <x14:sparkline>
              <xm:f>'California Calculated'!R21:V21</xm:f>
              <xm:sqref>AF21</xm:sqref>
            </x14:sparkline>
            <x14:sparkline>
              <xm:f>'California Calculated'!R27:V27</xm:f>
              <xm:sqref>AF27</xm:sqref>
            </x14:sparkline>
            <x14:sparkline>
              <xm:f>'California Calculated'!R34:V34</xm:f>
              <xm:sqref>AF34</xm:sqref>
            </x14:sparkline>
            <x14:sparkline>
              <xm:f>'California Calculated'!R35:V35</xm:f>
              <xm:sqref>AF35</xm:sqref>
            </x14:sparkline>
            <x14:sparkline>
              <xm:f>'California Calculated'!R36:V36</xm:f>
              <xm:sqref>AF36</xm:sqref>
            </x14:sparkline>
            <x14:sparkline>
              <xm:f>'California Calculated'!R37:V37</xm:f>
              <xm:sqref>AF37</xm:sqref>
            </x14:sparkline>
            <x14:sparkline>
              <xm:f>'California Calculated'!R38:V38</xm:f>
              <xm:sqref>AF38</xm:sqref>
            </x14:sparkline>
            <x14:sparkline>
              <xm:f>'California Calculated'!R39:V39</xm:f>
              <xm:sqref>AF39</xm:sqref>
            </x14:sparkline>
            <x14:sparkline>
              <xm:f>'California Calculated'!R40:V40</xm:f>
              <xm:sqref>AF40</xm:sqref>
            </x14:sparkline>
            <x14:sparkline>
              <xm:f>'California Calculated'!R41:V41</xm:f>
              <xm:sqref>AF41</xm:sqref>
            </x14:sparkline>
            <x14:sparkline>
              <xm:f>'California Calculated'!R42:V42</xm:f>
              <xm:sqref>AF42</xm:sqref>
            </x14:sparkline>
            <x14:sparkline>
              <xm:f>'California Calculated'!R43:V43</xm:f>
              <xm:sqref>AF43</xm:sqref>
            </x14:sparkline>
            <x14:sparkline>
              <xm:f>'California Calculated'!R44:V44</xm:f>
              <xm:sqref>AF44</xm:sqref>
            </x14:sparkline>
            <x14:sparkline>
              <xm:f>'California Calculated'!R45:V45</xm:f>
              <xm:sqref>AF45</xm:sqref>
            </x14:sparkline>
            <x14:sparkline>
              <xm:f>'California Calculated'!R46:V46</xm:f>
              <xm:sqref>AF46</xm:sqref>
            </x14:sparkline>
            <x14:sparkline>
              <xm:f>'California Calculated'!R48:V48</xm:f>
              <xm:sqref>AF48</xm:sqref>
            </x14:sparkline>
            <x14:sparkline>
              <xm:f>'California Calculated'!R49:V49</xm:f>
              <xm:sqref>AF49</xm:sqref>
            </x14:sparkline>
            <x14:sparkline>
              <xm:f>'California Calculated'!R50:V50</xm:f>
              <xm:sqref>AF50</xm:sqref>
            </x14:sparkline>
            <x14:sparkline>
              <xm:f>'California Calculated'!R51:V51</xm:f>
              <xm:sqref>AF51</xm:sqref>
            </x14:sparkline>
            <x14:sparkline>
              <xm:f>'California Calculated'!R52:V52</xm:f>
              <xm:sqref>AF52</xm:sqref>
            </x14:sparkline>
            <x14:sparkline>
              <xm:f>'California Calculated'!R53:V53</xm:f>
              <xm:sqref>AF53</xm:sqref>
            </x14:sparkline>
            <x14:sparkline>
              <xm:f>'California Calculated'!R55:V55</xm:f>
              <xm:sqref>AF55</xm:sqref>
            </x14:sparkline>
            <x14:sparkline>
              <xm:f>'California Calculated'!R56:V56</xm:f>
              <xm:sqref>AF56</xm:sqref>
            </x14:sparkline>
            <x14:sparkline>
              <xm:f>'California Calculated'!R57:V57</xm:f>
              <xm:sqref>AF57</xm:sqref>
            </x14:sparkline>
            <x14:sparkline>
              <xm:f>'California Calculated'!R58:V58</xm:f>
              <xm:sqref>AF58</xm:sqref>
            </x14:sparkline>
            <x14:sparkline>
              <xm:f>'California Calculated'!R71:V71</xm:f>
              <xm:sqref>AF71</xm:sqref>
            </x14:sparkline>
            <x14:sparkline>
              <xm:f>'California Calculated'!R72:V72</xm:f>
              <xm:sqref>AF72</xm:sqref>
            </x14:sparkline>
            <x14:sparkline>
              <xm:f>'California Calculated'!R73:V73</xm:f>
              <xm:sqref>AF73</xm:sqref>
            </x14:sparkline>
            <x14:sparkline>
              <xm:f>'California Calculated'!R74:V74</xm:f>
              <xm:sqref>AF74</xm:sqref>
            </x14:sparkline>
            <x14:sparkline>
              <xm:f>'California Calculated'!R75:V75</xm:f>
              <xm:sqref>AF75</xm:sqref>
            </x14:sparkline>
            <x14:sparkline>
              <xm:f>'California Calculated'!R76:V76</xm:f>
              <xm:sqref>AF76</xm:sqref>
            </x14:sparkline>
            <x14:sparkline>
              <xm:f>'California Calculated'!R77:V77</xm:f>
              <xm:sqref>AF77</xm:sqref>
            </x14:sparkline>
            <x14:sparkline>
              <xm:f>'California Calculated'!R78:V78</xm:f>
              <xm:sqref>AF78</xm:sqref>
            </x14:sparkline>
          </x14:sparklines>
        </x14:sparklineGroup>
        <x14:sparklineGroup lineWeight="1" displayEmptyCellsAs="gap" high="1" low="1" xr2:uid="{34EB9E24-B7BC-411D-A1A3-4C8D025CF768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'California Calculated'!H94:X94</xm:f>
              <xm:sqref>AD94</xm:sqref>
            </x14:sparkline>
            <x14:sparkline>
              <xm:f>'California Calculated'!F13:V13</xm:f>
              <xm:sqref>AD13</xm:sqref>
            </x14:sparkline>
            <x14:sparkline>
              <xm:f>'California Calculated'!F14:V14</xm:f>
              <xm:sqref>AD14</xm:sqref>
            </x14:sparkline>
            <x14:sparkline>
              <xm:f>'California Calculated'!F15:V15</xm:f>
              <xm:sqref>AD15</xm:sqref>
            </x14:sparkline>
            <x14:sparkline>
              <xm:f>'California Calculated'!F10:V10</xm:f>
              <xm:sqref>AD10</xm:sqref>
            </x14:sparkline>
            <x14:sparkline>
              <xm:f>'California Calculated'!F12:V12</xm:f>
              <xm:sqref>AD12</xm:sqref>
            </x14:sparkline>
            <x14:sparkline>
              <xm:f>'California Calculated'!F9:V9</xm:f>
              <xm:sqref>AD9</xm:sqref>
            </x14:sparkline>
            <x14:sparkline>
              <xm:f>'California Calculated'!F16:V16</xm:f>
              <xm:sqref>AD16</xm:sqref>
            </x14:sparkline>
            <x14:sparkline>
              <xm:f>'California Calculated'!F17:V17</xm:f>
              <xm:sqref>AD17</xm:sqref>
            </x14:sparkline>
            <x14:sparkline>
              <xm:f>'California Calculated'!F29:V29</xm:f>
              <xm:sqref>AD29</xm:sqref>
            </x14:sparkline>
            <x14:sparkline>
              <xm:f>'California Calculated'!F60:V60</xm:f>
              <xm:sqref>AD60</xm:sqref>
            </x14:sparkline>
            <x14:sparkline>
              <xm:f>'California Calculated'!F65:V65</xm:f>
              <xm:sqref>AD65</xm:sqref>
            </x14:sparkline>
            <x14:sparkline>
              <xm:f>'California Calculated'!F66:V66</xm:f>
              <xm:sqref>AD66</xm:sqref>
            </x14:sparkline>
            <x14:sparkline>
              <xm:f>'California Calculated'!F67:V67</xm:f>
              <xm:sqref>AD67</xm:sqref>
            </x14:sparkline>
            <x14:sparkline>
              <xm:f>'California Calculated'!F68:V68</xm:f>
              <xm:sqref>AD68</xm:sqref>
            </x14:sparkline>
            <x14:sparkline>
              <xm:f>'California Calculated'!F80:V80</xm:f>
              <xm:sqref>AD80</xm:sqref>
            </x14:sparkline>
            <x14:sparkline>
              <xm:f>'California Calculated'!H87:X87</xm:f>
              <xm:sqref>AD87</xm:sqref>
            </x14:sparkline>
            <x14:sparkline>
              <xm:f>'California Calculated'!H88:X88</xm:f>
              <xm:sqref>AD88</xm:sqref>
            </x14:sparkline>
            <x14:sparkline>
              <xm:f>'California Calculated'!H89:X89</xm:f>
              <xm:sqref>AD89</xm:sqref>
            </x14:sparkline>
            <x14:sparkline>
              <xm:f>'California Calculated'!H90:X90</xm:f>
              <xm:sqref>AD90</xm:sqref>
            </x14:sparkline>
            <x14:sparkline>
              <xm:f>'California Calculated'!H91:X91</xm:f>
              <xm:sqref>AD91</xm:sqref>
            </x14:sparkline>
            <x14:sparkline>
              <xm:f>'California Calculated'!H92:X92</xm:f>
              <xm:sqref>AD92</xm:sqref>
            </x14:sparkline>
            <x14:sparkline>
              <xm:f>'California Calculated'!H93:X93</xm:f>
              <xm:sqref>AD93</xm:sqref>
            </x14:sparkline>
          </x14:sparklines>
        </x14:sparklineGroup>
        <x14:sparklineGroup lineWeight="1" displayEmptyCellsAs="gap" high="1" low="1" xr2:uid="{7E01E85A-FC33-44F5-B3A5-CCC0D81AAC2F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50"/>
          <x14:sparklines>
            <x14:sparkline>
              <xm:f>'California Calculated'!F25:V25</xm:f>
              <xm:sqref>AD25</xm:sqref>
            </x14:sparkline>
            <x14:sparkline>
              <xm:f>'California Calculated'!F26:V26</xm:f>
              <xm:sqref>AD26</xm:sqref>
            </x14:sparkline>
            <x14:sparkline>
              <xm:f>'California Calculated'!F22:V22</xm:f>
              <xm:sqref>AD22</xm:sqref>
            </x14:sparkline>
            <x14:sparkline>
              <xm:f>'California Calculated'!F23:V23</xm:f>
              <xm:sqref>AD23</xm:sqref>
            </x14:sparkline>
            <x14:sparkline>
              <xm:f>'California Calculated'!F24:V24</xm:f>
              <xm:sqref>AD24</xm:sqref>
            </x14:sparkline>
            <x14:sparkline>
              <xm:f>'California Calculated'!F21:V21</xm:f>
              <xm:sqref>AD21</xm:sqref>
            </x14:sparkline>
            <x14:sparkline>
              <xm:f>'California Calculated'!F27:V27</xm:f>
              <xm:sqref>AD27</xm:sqref>
            </x14:sparkline>
            <x14:sparkline>
              <xm:f>'California Calculated'!F34:V34</xm:f>
              <xm:sqref>AD34</xm:sqref>
            </x14:sparkline>
            <x14:sparkline>
              <xm:f>'California Calculated'!F35:V35</xm:f>
              <xm:sqref>AD35</xm:sqref>
            </x14:sparkline>
            <x14:sparkline>
              <xm:f>'California Calculated'!F36:V36</xm:f>
              <xm:sqref>AD36</xm:sqref>
            </x14:sparkline>
            <x14:sparkline>
              <xm:f>'California Calculated'!F37:V37</xm:f>
              <xm:sqref>AD37</xm:sqref>
            </x14:sparkline>
            <x14:sparkline>
              <xm:f>'California Calculated'!F38:V38</xm:f>
              <xm:sqref>AD38</xm:sqref>
            </x14:sparkline>
            <x14:sparkline>
              <xm:f>'California Calculated'!F39:V39</xm:f>
              <xm:sqref>AD39</xm:sqref>
            </x14:sparkline>
            <x14:sparkline>
              <xm:f>'California Calculated'!F40:V40</xm:f>
              <xm:sqref>AD40</xm:sqref>
            </x14:sparkline>
            <x14:sparkline>
              <xm:f>'California Calculated'!F41:V41</xm:f>
              <xm:sqref>AD41</xm:sqref>
            </x14:sparkline>
            <x14:sparkline>
              <xm:f>'California Calculated'!F42:V42</xm:f>
              <xm:sqref>AD42</xm:sqref>
            </x14:sparkline>
            <x14:sparkline>
              <xm:f>'California Calculated'!F43:V43</xm:f>
              <xm:sqref>AD43</xm:sqref>
            </x14:sparkline>
            <x14:sparkline>
              <xm:f>'California Calculated'!F44:V44</xm:f>
              <xm:sqref>AD44</xm:sqref>
            </x14:sparkline>
            <x14:sparkline>
              <xm:f>'California Calculated'!F45:V45</xm:f>
              <xm:sqref>AD45</xm:sqref>
            </x14:sparkline>
            <x14:sparkline>
              <xm:f>'California Calculated'!F46:V46</xm:f>
              <xm:sqref>AD46</xm:sqref>
            </x14:sparkline>
            <x14:sparkline>
              <xm:f>'California Calculated'!F48:V48</xm:f>
              <xm:sqref>AD48</xm:sqref>
            </x14:sparkline>
            <x14:sparkline>
              <xm:f>'California Calculated'!F49:V49</xm:f>
              <xm:sqref>AD49</xm:sqref>
            </x14:sparkline>
            <x14:sparkline>
              <xm:f>'California Calculated'!F50:V50</xm:f>
              <xm:sqref>AD50</xm:sqref>
            </x14:sparkline>
            <x14:sparkline>
              <xm:f>'California Calculated'!F51:V51</xm:f>
              <xm:sqref>AD51</xm:sqref>
            </x14:sparkline>
            <x14:sparkline>
              <xm:f>'California Calculated'!F52:V52</xm:f>
              <xm:sqref>AD52</xm:sqref>
            </x14:sparkline>
            <x14:sparkline>
              <xm:f>'California Calculated'!F53:V53</xm:f>
              <xm:sqref>AD53</xm:sqref>
            </x14:sparkline>
            <x14:sparkline>
              <xm:f>'California Calculated'!F55:V55</xm:f>
              <xm:sqref>AD55</xm:sqref>
            </x14:sparkline>
            <x14:sparkline>
              <xm:f>'California Calculated'!F56:V56</xm:f>
              <xm:sqref>AD56</xm:sqref>
            </x14:sparkline>
            <x14:sparkline>
              <xm:f>'California Calculated'!F57:V57</xm:f>
              <xm:sqref>AD57</xm:sqref>
            </x14:sparkline>
            <x14:sparkline>
              <xm:f>'California Calculated'!F58:V58</xm:f>
              <xm:sqref>AD58</xm:sqref>
            </x14:sparkline>
            <x14:sparkline>
              <xm:f>'California Calculated'!F70:V70</xm:f>
              <xm:sqref>AD70</xm:sqref>
            </x14:sparkline>
            <x14:sparkline>
              <xm:f>'California Calculated'!F71:V71</xm:f>
              <xm:sqref>AD71</xm:sqref>
            </x14:sparkline>
            <x14:sparkline>
              <xm:f>'California Calculated'!F72:V72</xm:f>
              <xm:sqref>AD72</xm:sqref>
            </x14:sparkline>
            <x14:sparkline>
              <xm:f>'California Calculated'!F73:V73</xm:f>
              <xm:sqref>AD73</xm:sqref>
            </x14:sparkline>
            <x14:sparkline>
              <xm:f>'California Calculated'!F74:V74</xm:f>
              <xm:sqref>AD74</xm:sqref>
            </x14:sparkline>
            <x14:sparkline>
              <xm:f>'California Calculated'!F75:V75</xm:f>
              <xm:sqref>AD75</xm:sqref>
            </x14:sparkline>
            <x14:sparkline>
              <xm:f>'California Calculated'!F76:V76</xm:f>
              <xm:sqref>AD76</xm:sqref>
            </x14:sparkline>
            <x14:sparkline>
              <xm:f>'California Calculated'!F77:V77</xm:f>
              <xm:sqref>AD77</xm:sqref>
            </x14:sparkline>
            <x14:sparkline>
              <xm:f>'California Calculated'!F78:V78</xm:f>
              <xm:sqref>AD78</xm:sqref>
            </x14:sparkline>
          </x14:sparklines>
        </x14:sparklineGroup>
        <x14:sparklineGroup lineWeight="1" displayEmptyCellsAs="gap" high="1" low="1" xr2:uid="{57E2DE06-27D7-4CF5-9A3D-2134C8FBB253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'California Calculated'!H30:X30</xm:f>
              <xm:sqref>AD30</xm:sqref>
            </x14:sparkline>
          </x14:sparklines>
        </x14:sparklineGroup>
        <x14:sparklineGroup lineWeight="1" displayEmptyCellsAs="gap" high="1" low="1" xr2:uid="{2E0DFE50-E618-4C7E-BC3B-9B582D28BA7E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'California Calculated'!T30:X30</xm:f>
              <xm:sqref>AF30</xm:sqref>
            </x14:sparkline>
          </x14:sparklines>
        </x14:sparklineGroup>
        <x14:sparklineGroup lineWeight="1" displayEmptyCellsAs="gap" high="1" low="1" xr2:uid="{7F4C50EB-90A3-4D5F-90AE-2AF6187C13B6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'California Calculated'!H61:X61</xm:f>
              <xm:sqref>AD61</xm:sqref>
            </x14:sparkline>
          </x14:sparklines>
        </x14:sparklineGroup>
        <x14:sparklineGroup lineWeight="1" displayEmptyCellsAs="gap" high="1" low="1" xr2:uid="{E13E46B9-E1E8-4C93-A250-62962D0A3090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'California Calculated'!T61:X61</xm:f>
              <xm:sqref>AF61</xm:sqref>
            </x14:sparkline>
          </x14:sparklines>
        </x14:sparklineGroup>
        <x14:sparklineGroup lineWeight="1" displayEmptyCellsAs="gap" high="1" low="1" xr2:uid="{A1D02CA5-8A2E-4A50-A807-C8DD8A6220D4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'California Calculated'!H81:X81</xm:f>
              <xm:sqref>AD81</xm:sqref>
            </x14:sparkline>
          </x14:sparklines>
        </x14:sparklineGroup>
        <x14:sparklineGroup lineWeight="1" displayEmptyCellsAs="gap" high="1" low="1" xr2:uid="{64DE9FAA-35B9-49A4-A1E3-2E7ED0E10133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'California Calculated'!T81:X81</xm:f>
              <xm:sqref>AF81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4C15-438E-4A29-8145-718B4AC8BF21}">
  <dimension ref="A1:AJ125"/>
  <sheetViews>
    <sheetView zoomScale="115" zoomScaleNormal="115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L12" sqref="L12"/>
    </sheetView>
  </sheetViews>
  <sheetFormatPr baseColWidth="10" defaultColWidth="8.83203125" defaultRowHeight="13"/>
  <cols>
    <col min="1" max="1" width="49.33203125" bestFit="1" customWidth="1"/>
    <col min="2" max="2" width="12.6640625" customWidth="1"/>
    <col min="3" max="3" width="6.5" style="2" hidden="1" customWidth="1"/>
    <col min="4" max="4" width="12.6640625" customWidth="1"/>
    <col min="5" max="5" width="6.5" style="2" hidden="1" customWidth="1"/>
    <col min="6" max="6" width="12.6640625" customWidth="1"/>
    <col min="7" max="7" width="6.5" style="2" hidden="1" customWidth="1"/>
    <col min="8" max="8" width="12.6640625" customWidth="1"/>
    <col min="9" max="9" width="8.33203125" style="2" hidden="1" customWidth="1"/>
    <col min="10" max="10" width="12.6640625" customWidth="1"/>
    <col min="11" max="11" width="8.33203125" style="2" hidden="1" customWidth="1"/>
    <col min="12" max="12" width="12.6640625" customWidth="1"/>
    <col min="13" max="13" width="8.33203125" style="2" hidden="1" customWidth="1"/>
    <col min="14" max="14" width="12.6640625" customWidth="1"/>
    <col min="15" max="15" width="8.33203125" style="2" hidden="1" customWidth="1"/>
    <col min="16" max="16" width="12.6640625" customWidth="1"/>
    <col min="17" max="17" width="8.33203125" style="2" hidden="1" customWidth="1"/>
    <col min="18" max="18" width="12.6640625" customWidth="1"/>
    <col min="19" max="19" width="8.33203125" style="2" hidden="1" customWidth="1"/>
    <col min="20" max="20" width="12.6640625" customWidth="1"/>
    <col min="21" max="21" width="8.33203125" style="2" hidden="1" customWidth="1"/>
    <col min="22" max="22" width="12.6640625" customWidth="1"/>
    <col min="23" max="23" width="8.33203125" style="2" hidden="1" customWidth="1"/>
    <col min="24" max="24" width="12.6640625" customWidth="1"/>
    <col min="25" max="25" width="8.33203125" style="2" hidden="1" customWidth="1"/>
    <col min="26" max="26" width="14.33203125" style="3" bestFit="1" customWidth="1"/>
    <col min="27" max="29" width="13.5" customWidth="1"/>
    <col min="30" max="30" width="15.6640625" customWidth="1"/>
    <col min="31" max="31" width="13.5" bestFit="1" customWidth="1"/>
    <col min="32" max="32" width="18.33203125" customWidth="1"/>
    <col min="35" max="35" width="12.5" customWidth="1"/>
    <col min="36" max="36" width="13.1640625" customWidth="1"/>
  </cols>
  <sheetData>
    <row r="1" spans="1:36" ht="41.25" customHeight="1">
      <c r="B1" s="77" t="s">
        <v>0</v>
      </c>
      <c r="C1" s="78" t="s">
        <v>1</v>
      </c>
      <c r="D1" s="77" t="s">
        <v>2</v>
      </c>
      <c r="E1" s="78" t="s">
        <v>3</v>
      </c>
      <c r="F1" s="77" t="s">
        <v>4</v>
      </c>
      <c r="G1" s="78" t="s">
        <v>5</v>
      </c>
      <c r="H1" s="77" t="s">
        <v>6</v>
      </c>
      <c r="I1" s="78" t="s">
        <v>7</v>
      </c>
      <c r="J1" s="77" t="s">
        <v>8</v>
      </c>
      <c r="K1" s="78" t="s">
        <v>9</v>
      </c>
      <c r="L1" s="77" t="s">
        <v>10</v>
      </c>
      <c r="M1" s="78" t="s">
        <v>11</v>
      </c>
      <c r="N1" s="77" t="s">
        <v>12</v>
      </c>
      <c r="O1" s="78" t="s">
        <v>13</v>
      </c>
      <c r="P1" s="77" t="s">
        <v>14</v>
      </c>
      <c r="Q1" s="78" t="s">
        <v>15</v>
      </c>
      <c r="R1" s="77" t="s">
        <v>16</v>
      </c>
      <c r="S1" s="78" t="s">
        <v>17</v>
      </c>
      <c r="T1" s="77" t="s">
        <v>18</v>
      </c>
      <c r="U1" s="78" t="s">
        <v>19</v>
      </c>
      <c r="V1" s="77" t="s">
        <v>20</v>
      </c>
      <c r="W1" s="78" t="s">
        <v>21</v>
      </c>
      <c r="X1" s="77" t="s">
        <v>22</v>
      </c>
      <c r="Y1" s="78" t="s">
        <v>23</v>
      </c>
      <c r="Z1" s="87" t="s">
        <v>158</v>
      </c>
      <c r="AA1" s="88" t="s">
        <v>159</v>
      </c>
      <c r="AB1" s="122" t="s">
        <v>104</v>
      </c>
      <c r="AC1" s="88"/>
      <c r="AD1" s="88" t="s">
        <v>153</v>
      </c>
      <c r="AE1" s="77" t="s">
        <v>25</v>
      </c>
      <c r="AF1" s="77" t="s">
        <v>26</v>
      </c>
      <c r="AG1" s="89" t="s">
        <v>106</v>
      </c>
      <c r="AH1" s="89" t="s">
        <v>107</v>
      </c>
      <c r="AI1" s="86" t="s">
        <v>110</v>
      </c>
      <c r="AJ1" s="86" t="s">
        <v>111</v>
      </c>
    </row>
    <row r="2" spans="1:36">
      <c r="A2" s="90" t="s">
        <v>27</v>
      </c>
      <c r="B2" t="s">
        <v>28</v>
      </c>
      <c r="D2" t="s">
        <v>28</v>
      </c>
      <c r="F2" t="s">
        <v>28</v>
      </c>
      <c r="H2" t="s">
        <v>28</v>
      </c>
      <c r="J2" t="s">
        <v>28</v>
      </c>
      <c r="L2" t="s">
        <v>28</v>
      </c>
      <c r="N2" t="s">
        <v>28</v>
      </c>
      <c r="P2" t="s">
        <v>28</v>
      </c>
      <c r="R2" t="s">
        <v>28</v>
      </c>
      <c r="T2" t="s">
        <v>28</v>
      </c>
      <c r="V2" t="s">
        <v>28</v>
      </c>
      <c r="X2" t="s">
        <v>28</v>
      </c>
      <c r="Z2"/>
    </row>
    <row r="3" spans="1:36">
      <c r="A3" s="91" t="s">
        <v>29</v>
      </c>
      <c r="H3" t="s">
        <v>160</v>
      </c>
      <c r="J3" t="s">
        <v>161</v>
      </c>
      <c r="L3" t="s">
        <v>162</v>
      </c>
      <c r="N3" t="s">
        <v>163</v>
      </c>
      <c r="P3" t="s">
        <v>164</v>
      </c>
      <c r="R3" t="s">
        <v>165</v>
      </c>
      <c r="T3" t="s">
        <v>30</v>
      </c>
      <c r="V3" t="s">
        <v>31</v>
      </c>
      <c r="X3" t="s">
        <v>32</v>
      </c>
      <c r="Z3"/>
    </row>
    <row r="4" spans="1:36">
      <c r="A4" s="91" t="s">
        <v>33</v>
      </c>
      <c r="H4">
        <v>31</v>
      </c>
      <c r="J4">
        <v>31</v>
      </c>
      <c r="L4">
        <v>30</v>
      </c>
      <c r="N4">
        <v>31</v>
      </c>
      <c r="P4">
        <v>30</v>
      </c>
      <c r="R4">
        <v>31</v>
      </c>
      <c r="T4">
        <v>31</v>
      </c>
      <c r="V4">
        <v>28</v>
      </c>
      <c r="X4">
        <v>31</v>
      </c>
      <c r="Z4"/>
    </row>
    <row r="5" spans="1:36">
      <c r="A5" s="91" t="s">
        <v>34</v>
      </c>
      <c r="H5">
        <v>3</v>
      </c>
      <c r="J5">
        <v>3</v>
      </c>
      <c r="L5">
        <v>3</v>
      </c>
      <c r="N5">
        <v>4</v>
      </c>
      <c r="P5">
        <v>4</v>
      </c>
      <c r="R5">
        <v>4</v>
      </c>
      <c r="T5">
        <v>1</v>
      </c>
      <c r="V5">
        <v>1</v>
      </c>
      <c r="X5">
        <v>1</v>
      </c>
      <c r="Z5"/>
    </row>
    <row r="6" spans="1:36">
      <c r="A6" s="91" t="s">
        <v>35</v>
      </c>
      <c r="H6">
        <v>2022</v>
      </c>
      <c r="J6">
        <v>2022</v>
      </c>
      <c r="L6">
        <v>2022</v>
      </c>
      <c r="N6">
        <v>2022</v>
      </c>
      <c r="P6">
        <v>2022</v>
      </c>
      <c r="R6">
        <v>2022</v>
      </c>
      <c r="T6">
        <v>2023</v>
      </c>
      <c r="V6">
        <v>2023</v>
      </c>
      <c r="X6">
        <v>2023</v>
      </c>
      <c r="Z6"/>
    </row>
    <row r="7" spans="1:36">
      <c r="Z7"/>
    </row>
    <row r="8" spans="1:36">
      <c r="A8" s="13" t="s">
        <v>36</v>
      </c>
      <c r="B8" s="12"/>
      <c r="C8" s="22"/>
      <c r="D8" s="16"/>
      <c r="E8" s="22"/>
      <c r="F8" s="16"/>
      <c r="G8" s="22"/>
      <c r="H8" s="16"/>
      <c r="I8" s="22"/>
      <c r="J8" s="16"/>
      <c r="K8" s="22"/>
      <c r="L8" s="16"/>
      <c r="M8" s="22"/>
      <c r="N8" s="16"/>
      <c r="O8" s="22"/>
      <c r="P8" s="16"/>
      <c r="Q8" s="22"/>
      <c r="R8" s="16"/>
      <c r="S8" s="22"/>
      <c r="T8" s="16"/>
      <c r="U8" s="22"/>
      <c r="V8" s="16"/>
      <c r="W8" s="22"/>
      <c r="X8" s="16"/>
      <c r="Y8" s="22"/>
      <c r="Z8" s="16"/>
      <c r="AA8" s="12"/>
      <c r="AB8" s="12"/>
      <c r="AC8" s="12"/>
      <c r="AD8" s="12"/>
      <c r="AE8" s="12"/>
      <c r="AF8" s="12"/>
    </row>
    <row r="9" spans="1:36" ht="20" customHeight="1">
      <c r="A9" s="16" t="s">
        <v>41</v>
      </c>
      <c r="B9" s="16"/>
      <c r="C9" s="22"/>
      <c r="D9" s="16"/>
      <c r="E9" s="22"/>
      <c r="F9" s="16"/>
      <c r="G9" s="22"/>
      <c r="H9" s="16">
        <v>57205.93</v>
      </c>
      <c r="I9" s="22">
        <f t="shared" ref="I9:I16" si="0">H9/H$16</f>
        <v>4.4008621164500036E-2</v>
      </c>
      <c r="J9" s="16">
        <v>38877.21</v>
      </c>
      <c r="K9" s="22">
        <f t="shared" ref="K9:K16" si="1">J9/J$16</f>
        <v>1.7734630651408984E-2</v>
      </c>
      <c r="L9" s="16">
        <v>63688.86</v>
      </c>
      <c r="M9" s="22">
        <f t="shared" ref="M9:M16" si="2">L9/L$16</f>
        <v>4.3278785254672276E-2</v>
      </c>
      <c r="N9" s="16">
        <v>42072</v>
      </c>
      <c r="O9" s="22">
        <f t="shared" ref="O9:O16" si="3">N9/N$16</f>
        <v>2.5448118428836361E-2</v>
      </c>
      <c r="P9" s="16">
        <v>7422</v>
      </c>
      <c r="Q9" s="22">
        <f t="shared" ref="Q9:Q16" si="4">P9/P$16</f>
        <v>6.0859261931801873E-3</v>
      </c>
      <c r="R9" s="16">
        <v>45152</v>
      </c>
      <c r="S9" s="22">
        <f t="shared" ref="S9:S16" si="5">R9/R$16</f>
        <v>2.448926018591488E-2</v>
      </c>
      <c r="T9" s="16">
        <v>63823</v>
      </c>
      <c r="U9" s="22">
        <f t="shared" ref="U9:U16" si="6">T9/T$16</f>
        <v>2.3183030906227923E-2</v>
      </c>
      <c r="V9" s="16">
        <v>78469</v>
      </c>
      <c r="W9" s="22">
        <f t="shared" ref="W9:W16" si="7">V9/V$16</f>
        <v>3.8642040239054813E-2</v>
      </c>
      <c r="X9" s="16">
        <v>40805</v>
      </c>
      <c r="Y9" s="22">
        <f t="shared" ref="Y9:Y16" si="8">X9/X$16</f>
        <v>2.0077475783282332E-2</v>
      </c>
      <c r="Z9" s="16">
        <f t="shared" ref="Z9:Z14" si="9">SUM(H9:X9)</f>
        <v>437515.22287041298</v>
      </c>
      <c r="AA9" s="16">
        <f t="shared" ref="AA9:AA16" si="10">IFERROR(AVERAGE(B9:X9),0)</f>
        <v>25736.189580612529</v>
      </c>
      <c r="AB9" s="16"/>
      <c r="AC9" s="16"/>
      <c r="AD9" s="45"/>
      <c r="AE9" s="16">
        <f>IFERROR(AVERAGE(T9,V9,X9),0)</f>
        <v>61032.333333333336</v>
      </c>
      <c r="AF9" s="45"/>
      <c r="AG9" s="12"/>
      <c r="AH9" s="12"/>
      <c r="AI9" s="56">
        <f t="shared" ref="AI9:AI17" si="11">SUM(T9:X9)*4</f>
        <v>732388.24730028457</v>
      </c>
      <c r="AJ9" s="66">
        <f>AI9/12</f>
        <v>61032.35394169038</v>
      </c>
    </row>
    <row r="10" spans="1:36" ht="20" customHeight="1">
      <c r="A10" s="16" t="s">
        <v>42</v>
      </c>
      <c r="B10" s="16"/>
      <c r="C10" s="22"/>
      <c r="D10" s="16"/>
      <c r="E10" s="22"/>
      <c r="F10" s="16"/>
      <c r="G10" s="22"/>
      <c r="H10" s="16">
        <v>404466.23</v>
      </c>
      <c r="I10" s="22">
        <f t="shared" si="0"/>
        <v>0.31115657222780119</v>
      </c>
      <c r="J10" s="16">
        <v>1250315.19</v>
      </c>
      <c r="K10" s="22">
        <f t="shared" si="1"/>
        <v>0.57035672293604012</v>
      </c>
      <c r="L10" s="16">
        <v>480087.93</v>
      </c>
      <c r="M10" s="22">
        <f t="shared" si="2"/>
        <v>0.32623636890078006</v>
      </c>
      <c r="N10" s="16">
        <v>690375</v>
      </c>
      <c r="O10" s="22">
        <f t="shared" si="3"/>
        <v>0.41758758224728804</v>
      </c>
      <c r="P10" s="16">
        <v>221059</v>
      </c>
      <c r="Q10" s="22">
        <f t="shared" si="4"/>
        <v>0.18126499034468055</v>
      </c>
      <c r="R10" s="16">
        <v>652527</v>
      </c>
      <c r="S10" s="22">
        <f t="shared" si="5"/>
        <v>0.35391352501183732</v>
      </c>
      <c r="T10" s="16">
        <v>1465094</v>
      </c>
      <c r="U10" s="22">
        <f t="shared" si="6"/>
        <v>0.53217992702519612</v>
      </c>
      <c r="V10" s="16">
        <v>681484</v>
      </c>
      <c r="W10" s="22">
        <f t="shared" si="7"/>
        <v>0.33559663243155935</v>
      </c>
      <c r="X10" s="16">
        <v>671999</v>
      </c>
      <c r="Y10" s="22">
        <f t="shared" si="8"/>
        <v>0.33064682389143352</v>
      </c>
      <c r="Z10" s="16">
        <f t="shared" si="9"/>
        <v>6517410.3782923222</v>
      </c>
      <c r="AA10" s="16">
        <f t="shared" si="10"/>
        <v>383377.08107601898</v>
      </c>
      <c r="AB10" s="16"/>
      <c r="AC10" s="16"/>
      <c r="AD10" s="45"/>
      <c r="AE10" s="16">
        <f t="shared" ref="AE10:AE15" si="12">IFERROR(AVERAGE(T10,V10,X10),0)</f>
        <v>939525.66666666663</v>
      </c>
      <c r="AF10" s="45"/>
      <c r="AI10" s="56">
        <f t="shared" si="11"/>
        <v>11274311.471106237</v>
      </c>
      <c r="AJ10" s="66">
        <f t="shared" ref="AJ10:AJ76" si="13">AI10/12</f>
        <v>939525.95592551969</v>
      </c>
    </row>
    <row r="11" spans="1:36" ht="20" customHeight="1">
      <c r="A11" s="16" t="s">
        <v>43</v>
      </c>
      <c r="B11" s="16"/>
      <c r="C11" s="22"/>
      <c r="D11" s="16"/>
      <c r="E11" s="22"/>
      <c r="F11" s="16"/>
      <c r="G11" s="22"/>
      <c r="H11" s="16">
        <v>5609.51</v>
      </c>
      <c r="I11" s="22">
        <f t="shared" si="0"/>
        <v>4.315405771892435E-3</v>
      </c>
      <c r="J11" s="16">
        <v>23356.27</v>
      </c>
      <c r="K11" s="22">
        <f t="shared" si="1"/>
        <v>1.0654437955928013E-2</v>
      </c>
      <c r="L11" s="16">
        <v>18506.84</v>
      </c>
      <c r="M11" s="22">
        <f t="shared" si="2"/>
        <v>1.2576038479925361E-2</v>
      </c>
      <c r="N11" s="16">
        <v>12387</v>
      </c>
      <c r="O11" s="22">
        <f t="shared" si="3"/>
        <v>7.4925328716960449E-3</v>
      </c>
      <c r="P11" s="16">
        <v>11220</v>
      </c>
      <c r="Q11" s="22">
        <f t="shared" si="4"/>
        <v>9.2002279557372273E-3</v>
      </c>
      <c r="R11" s="16">
        <v>18308</v>
      </c>
      <c r="S11" s="22">
        <f t="shared" si="5"/>
        <v>9.9297788687927359E-3</v>
      </c>
      <c r="T11" s="16">
        <v>24146</v>
      </c>
      <c r="U11" s="22">
        <f t="shared" si="6"/>
        <v>8.7707795663284297E-3</v>
      </c>
      <c r="V11" s="16">
        <v>30706</v>
      </c>
      <c r="W11" s="22">
        <f t="shared" si="7"/>
        <v>1.5121162339018173E-2</v>
      </c>
      <c r="X11" s="16">
        <v>28436</v>
      </c>
      <c r="Y11" s="22">
        <f t="shared" si="8"/>
        <v>1.3991498624517006E-2</v>
      </c>
      <c r="Z11" s="16">
        <f t="shared" si="9"/>
        <v>172675.69806036382</v>
      </c>
      <c r="AA11" s="16">
        <f t="shared" si="10"/>
        <v>10157.394003550813</v>
      </c>
      <c r="AB11" s="16"/>
      <c r="AC11" s="16"/>
      <c r="AD11" s="45"/>
      <c r="AE11" s="16">
        <f t="shared" si="12"/>
        <v>27762.666666666668</v>
      </c>
      <c r="AF11" s="45"/>
      <c r="AI11" s="56">
        <f t="shared" si="11"/>
        <v>333152.09556776762</v>
      </c>
      <c r="AJ11" s="66">
        <f t="shared" si="13"/>
        <v>27762.674630647303</v>
      </c>
    </row>
    <row r="12" spans="1:36" ht="20" customHeight="1">
      <c r="A12" s="16" t="s">
        <v>166</v>
      </c>
      <c r="B12" s="16"/>
      <c r="C12" s="22"/>
      <c r="D12" s="16"/>
      <c r="E12" s="22"/>
      <c r="F12" s="16"/>
      <c r="G12" s="22"/>
      <c r="H12" s="16">
        <v>173821.47</v>
      </c>
      <c r="I12" s="22">
        <f t="shared" si="0"/>
        <v>0.13372115833946774</v>
      </c>
      <c r="J12" s="16">
        <v>325936.92</v>
      </c>
      <c r="K12" s="22">
        <f t="shared" si="1"/>
        <v>0.14868276020470186</v>
      </c>
      <c r="L12" s="16">
        <v>362592.58</v>
      </c>
      <c r="M12" s="22">
        <f t="shared" si="2"/>
        <v>0.24639421093041355</v>
      </c>
      <c r="N12" s="16">
        <v>258324</v>
      </c>
      <c r="O12" s="22">
        <f t="shared" si="3"/>
        <v>0.15625260850472344</v>
      </c>
      <c r="P12" s="16">
        <v>439597</v>
      </c>
      <c r="Q12" s="22">
        <f t="shared" si="4"/>
        <v>0.36046279934565223</v>
      </c>
      <c r="R12" s="16">
        <v>330044</v>
      </c>
      <c r="S12" s="22">
        <f t="shared" si="5"/>
        <v>0.17900720652020044</v>
      </c>
      <c r="T12" s="16">
        <v>482810</v>
      </c>
      <c r="U12" s="22">
        <f t="shared" si="6"/>
        <v>0.17537563498794953</v>
      </c>
      <c r="V12" s="16">
        <v>477754</v>
      </c>
      <c r="W12" s="22">
        <f t="shared" si="7"/>
        <v>0.23526984277064053</v>
      </c>
      <c r="X12" s="16">
        <v>507829</v>
      </c>
      <c r="Y12" s="22">
        <f t="shared" si="8"/>
        <v>0.24986948779680149</v>
      </c>
      <c r="Z12" s="16">
        <f t="shared" si="9"/>
        <v>3358710.6051662215</v>
      </c>
      <c r="AA12" s="16">
        <f t="shared" si="10"/>
        <v>197571.21206860128</v>
      </c>
      <c r="AB12" s="16"/>
      <c r="AC12" s="16"/>
      <c r="AD12" s="45"/>
      <c r="AE12" s="16">
        <f t="shared" si="12"/>
        <v>489464.33333333331</v>
      </c>
      <c r="AF12" s="45"/>
      <c r="AI12" s="56">
        <f t="shared" si="11"/>
        <v>5873573.6425819118</v>
      </c>
      <c r="AJ12" s="66">
        <f t="shared" si="13"/>
        <v>489464.47021515929</v>
      </c>
    </row>
    <row r="13" spans="1:36" ht="20" customHeight="1">
      <c r="A13" s="16" t="s">
        <v>40</v>
      </c>
      <c r="B13" s="16"/>
      <c r="C13" s="22"/>
      <c r="D13" s="16"/>
      <c r="E13" s="22"/>
      <c r="F13" s="16"/>
      <c r="G13" s="22"/>
      <c r="H13" s="16">
        <v>60454.51</v>
      </c>
      <c r="I13" s="22">
        <f t="shared" si="0"/>
        <v>4.6507759392697211E-2</v>
      </c>
      <c r="J13" s="16">
        <v>64037.919999999998</v>
      </c>
      <c r="K13" s="22">
        <f t="shared" si="1"/>
        <v>2.9212200641056198E-2</v>
      </c>
      <c r="L13" s="16">
        <v>43186.080000000002</v>
      </c>
      <c r="M13" s="22">
        <f t="shared" si="2"/>
        <v>2.9346436446045628E-2</v>
      </c>
      <c r="N13" s="16">
        <v>27190</v>
      </c>
      <c r="O13" s="22">
        <f t="shared" si="3"/>
        <v>1.6446433259176191E-2</v>
      </c>
      <c r="P13" s="16">
        <v>43417</v>
      </c>
      <c r="Q13" s="22">
        <f t="shared" si="4"/>
        <v>3.5601274256171413E-2</v>
      </c>
      <c r="R13" s="16">
        <v>53573</v>
      </c>
      <c r="S13" s="22">
        <f t="shared" si="5"/>
        <v>2.9056589651400112E-2</v>
      </c>
      <c r="T13" s="16">
        <v>98569</v>
      </c>
      <c r="U13" s="22">
        <f t="shared" si="6"/>
        <v>3.5804148557666983E-2</v>
      </c>
      <c r="V13" s="16">
        <v>139411</v>
      </c>
      <c r="W13" s="22">
        <f t="shared" si="7"/>
        <v>6.8652913529761689E-2</v>
      </c>
      <c r="X13" s="16">
        <v>106978</v>
      </c>
      <c r="Y13" s="22">
        <f t="shared" si="8"/>
        <v>5.263688774277607E-2</v>
      </c>
      <c r="Z13" s="16">
        <f t="shared" si="9"/>
        <v>636816.80062775582</v>
      </c>
      <c r="AA13" s="16">
        <f t="shared" si="10"/>
        <v>37459.811801632692</v>
      </c>
      <c r="AB13" s="16"/>
      <c r="AC13" s="16"/>
      <c r="AD13" s="45"/>
      <c r="AE13" s="16">
        <f t="shared" si="12"/>
        <v>114986</v>
      </c>
      <c r="AF13" s="45"/>
      <c r="AI13" s="56">
        <f t="shared" si="11"/>
        <v>1379832.4178282483</v>
      </c>
      <c r="AJ13" s="66">
        <f t="shared" si="13"/>
        <v>114986.0348190207</v>
      </c>
    </row>
    <row r="14" spans="1:36" ht="20" customHeight="1">
      <c r="A14" s="16" t="s">
        <v>167</v>
      </c>
      <c r="B14" s="16"/>
      <c r="C14" s="22"/>
      <c r="D14" s="16"/>
      <c r="E14" s="22"/>
      <c r="F14" s="16"/>
      <c r="G14" s="22"/>
      <c r="H14" s="16">
        <v>598322.43000000005</v>
      </c>
      <c r="I14" s="22">
        <f t="shared" si="0"/>
        <v>0.4602904831036414</v>
      </c>
      <c r="J14" s="16">
        <v>489639.99</v>
      </c>
      <c r="K14" s="22">
        <f t="shared" si="1"/>
        <v>0.22335924761086479</v>
      </c>
      <c r="L14" s="16">
        <v>503533.08</v>
      </c>
      <c r="M14" s="22">
        <f t="shared" si="2"/>
        <v>0.34216815998816302</v>
      </c>
      <c r="N14" s="16">
        <v>622898</v>
      </c>
      <c r="O14" s="22">
        <f t="shared" si="3"/>
        <v>0.37677272468827988</v>
      </c>
      <c r="P14" s="16">
        <v>496820</v>
      </c>
      <c r="Q14" s="22">
        <f t="shared" si="4"/>
        <v>0.40738478190457839</v>
      </c>
      <c r="R14" s="16">
        <v>744143</v>
      </c>
      <c r="S14" s="22">
        <f t="shared" si="5"/>
        <v>0.40360363976185454</v>
      </c>
      <c r="T14" s="16">
        <v>618563</v>
      </c>
      <c r="U14" s="22">
        <f t="shared" si="6"/>
        <v>0.22468647895663102</v>
      </c>
      <c r="V14" s="16">
        <v>622840</v>
      </c>
      <c r="W14" s="22">
        <f t="shared" si="7"/>
        <v>0.30671740868996544</v>
      </c>
      <c r="X14" s="16">
        <v>676399</v>
      </c>
      <c r="Y14" s="22">
        <f t="shared" si="8"/>
        <v>0.33281177655523558</v>
      </c>
      <c r="Z14" s="16">
        <f t="shared" si="9"/>
        <v>5373161.2449829243</v>
      </c>
      <c r="AA14" s="16">
        <f t="shared" si="10"/>
        <v>316068.3085284073</v>
      </c>
      <c r="AB14" s="16"/>
      <c r="AC14" s="16"/>
      <c r="AD14" s="45"/>
      <c r="AE14" s="16">
        <f t="shared" si="12"/>
        <v>639267.33333333337</v>
      </c>
      <c r="AF14" s="45"/>
      <c r="AI14" s="56">
        <f t="shared" si="11"/>
        <v>7671210.1256155502</v>
      </c>
      <c r="AJ14" s="66">
        <f t="shared" si="13"/>
        <v>639267.51046796248</v>
      </c>
    </row>
    <row r="15" spans="1:36" ht="20" customHeight="1">
      <c r="A15" s="16" t="s">
        <v>44</v>
      </c>
      <c r="B15" s="16"/>
      <c r="C15" s="22"/>
      <c r="D15" s="16"/>
      <c r="E15" s="22"/>
      <c r="F15" s="16"/>
      <c r="G15" s="22"/>
      <c r="H15" s="16">
        <v>0</v>
      </c>
      <c r="I15" s="22">
        <f t="shared" si="0"/>
        <v>0</v>
      </c>
      <c r="J15" s="16">
        <v>0</v>
      </c>
      <c r="K15" s="22">
        <f t="shared" si="1"/>
        <v>0</v>
      </c>
      <c r="L15" s="16">
        <v>0</v>
      </c>
      <c r="M15" s="22">
        <f t="shared" si="2"/>
        <v>0</v>
      </c>
      <c r="N15" s="16">
        <v>0</v>
      </c>
      <c r="O15" s="22">
        <f t="shared" si="3"/>
        <v>0</v>
      </c>
      <c r="P15" s="16">
        <v>0</v>
      </c>
      <c r="Q15" s="22">
        <f t="shared" si="4"/>
        <v>0</v>
      </c>
      <c r="R15" s="16">
        <v>0</v>
      </c>
      <c r="S15" s="22">
        <f t="shared" si="5"/>
        <v>0</v>
      </c>
      <c r="T15" s="16">
        <v>0</v>
      </c>
      <c r="U15" s="22">
        <f t="shared" si="6"/>
        <v>0</v>
      </c>
      <c r="V15" s="16">
        <v>0</v>
      </c>
      <c r="W15" s="22">
        <f t="shared" si="7"/>
        <v>0</v>
      </c>
      <c r="X15" s="16">
        <v>69</v>
      </c>
      <c r="Y15" s="22">
        <f t="shared" si="8"/>
        <v>3.3950394045986547E-5</v>
      </c>
      <c r="Z15" s="16"/>
      <c r="AA15" s="16">
        <f t="shared" si="10"/>
        <v>4.0588235294117645</v>
      </c>
      <c r="AB15" s="16"/>
      <c r="AC15" s="16"/>
      <c r="AD15" s="45"/>
      <c r="AE15" s="16">
        <f t="shared" si="12"/>
        <v>23</v>
      </c>
      <c r="AF15" s="45"/>
      <c r="AI15" s="56">
        <f t="shared" si="11"/>
        <v>276</v>
      </c>
      <c r="AJ15" s="66">
        <f t="shared" si="13"/>
        <v>23</v>
      </c>
    </row>
    <row r="16" spans="1:36" s="24" customFormat="1" ht="19.5" customHeight="1">
      <c r="A16" s="6" t="s">
        <v>45</v>
      </c>
      <c r="B16" s="7"/>
      <c r="C16" s="58"/>
      <c r="D16" s="7"/>
      <c r="E16" s="58"/>
      <c r="F16" s="7"/>
      <c r="G16" s="58"/>
      <c r="H16" s="7">
        <v>1299880.08</v>
      </c>
      <c r="I16" s="58">
        <f t="shared" si="0"/>
        <v>1</v>
      </c>
      <c r="J16" s="7">
        <v>2192163.5</v>
      </c>
      <c r="K16" s="58">
        <f t="shared" si="1"/>
        <v>1</v>
      </c>
      <c r="L16" s="7">
        <v>1471595.37</v>
      </c>
      <c r="M16" s="58">
        <f t="shared" si="2"/>
        <v>1</v>
      </c>
      <c r="N16" s="7">
        <v>1653246</v>
      </c>
      <c r="O16" s="58">
        <f t="shared" si="3"/>
        <v>1</v>
      </c>
      <c r="P16" s="7">
        <v>1219535</v>
      </c>
      <c r="Q16" s="58">
        <f t="shared" si="4"/>
        <v>1</v>
      </c>
      <c r="R16" s="7">
        <v>1843747</v>
      </c>
      <c r="S16" s="58">
        <f t="shared" si="5"/>
        <v>1</v>
      </c>
      <c r="T16" s="7">
        <v>2753005</v>
      </c>
      <c r="U16" s="58">
        <f t="shared" si="6"/>
        <v>1</v>
      </c>
      <c r="V16" s="7">
        <v>2030664</v>
      </c>
      <c r="W16" s="58">
        <f t="shared" si="7"/>
        <v>1</v>
      </c>
      <c r="X16" s="7">
        <v>2032377</v>
      </c>
      <c r="Y16" s="58">
        <f t="shared" si="8"/>
        <v>1</v>
      </c>
      <c r="Z16" s="7">
        <f>SUM(H16:X16)</f>
        <v>16496220.949999999</v>
      </c>
      <c r="AA16" s="7">
        <f t="shared" si="10"/>
        <v>970365.93823529407</v>
      </c>
      <c r="AB16" s="7"/>
      <c r="AC16" s="7"/>
      <c r="AD16" s="35"/>
      <c r="AE16" s="7">
        <f>IFERROR(AVERAGE(T16:X16),0)</f>
        <v>1363209.6</v>
      </c>
      <c r="AF16" s="40"/>
      <c r="AI16" s="56">
        <f t="shared" si="11"/>
        <v>27264192</v>
      </c>
      <c r="AJ16" s="66">
        <f t="shared" si="13"/>
        <v>2272016</v>
      </c>
    </row>
    <row r="17" spans="1:36" s="53" customFormat="1" ht="20" customHeight="1">
      <c r="A17" s="50" t="s">
        <v>168</v>
      </c>
      <c r="B17" s="51"/>
      <c r="C17" s="59"/>
      <c r="D17" s="51"/>
      <c r="E17" s="59"/>
      <c r="F17" s="51"/>
      <c r="G17" s="59"/>
      <c r="H17" s="51"/>
      <c r="I17" s="59"/>
      <c r="J17" s="51"/>
      <c r="K17" s="59"/>
      <c r="L17" s="51"/>
      <c r="M17" s="59"/>
      <c r="N17" s="51"/>
      <c r="O17" s="59"/>
      <c r="P17" s="51"/>
      <c r="Q17" s="59"/>
      <c r="R17" s="51"/>
      <c r="S17" s="59"/>
      <c r="T17" s="51"/>
      <c r="U17" s="59"/>
      <c r="V17" s="51"/>
      <c r="W17" s="59"/>
      <c r="X17" s="55">
        <f>SUM(X9:X15)</f>
        <v>2032515</v>
      </c>
      <c r="Y17" s="59"/>
      <c r="Z17" s="51"/>
      <c r="AA17" s="51"/>
      <c r="AB17" s="51"/>
      <c r="AC17" s="51"/>
      <c r="AD17" s="51"/>
      <c r="AE17" s="51"/>
      <c r="AF17" s="52"/>
      <c r="AI17" s="56">
        <f t="shared" si="11"/>
        <v>8130060</v>
      </c>
      <c r="AJ17" s="66">
        <f t="shared" si="13"/>
        <v>677505</v>
      </c>
    </row>
    <row r="18" spans="1:36" s="53" customFormat="1" ht="20" customHeight="1">
      <c r="A18" s="50"/>
      <c r="B18" s="51"/>
      <c r="C18" s="59"/>
      <c r="D18" s="51"/>
      <c r="E18" s="59"/>
      <c r="F18" s="51"/>
      <c r="G18" s="59"/>
      <c r="H18" s="51"/>
      <c r="I18" s="59"/>
      <c r="J18" s="51"/>
      <c r="K18" s="59"/>
      <c r="L18" s="51"/>
      <c r="M18" s="59"/>
      <c r="N18" s="51"/>
      <c r="O18" s="59"/>
      <c r="P18" s="51"/>
      <c r="Q18" s="59"/>
      <c r="R18" s="51"/>
      <c r="S18" s="59"/>
      <c r="T18" s="51"/>
      <c r="U18" s="59"/>
      <c r="V18" s="51"/>
      <c r="W18" s="59"/>
      <c r="X18" s="51"/>
      <c r="Y18" s="59"/>
      <c r="Z18" s="51"/>
      <c r="AA18" s="51"/>
      <c r="AB18" s="51"/>
      <c r="AC18" s="51"/>
      <c r="AD18" s="51"/>
      <c r="AE18" s="51"/>
      <c r="AF18" s="52"/>
      <c r="AI18" s="56"/>
      <c r="AJ18" s="66"/>
    </row>
    <row r="19" spans="1:36" ht="20" customHeight="1">
      <c r="A19" s="13" t="s">
        <v>46</v>
      </c>
      <c r="B19" s="16"/>
      <c r="C19" s="22"/>
      <c r="D19" s="16"/>
      <c r="E19" s="22"/>
      <c r="F19" s="16"/>
      <c r="G19" s="22"/>
      <c r="H19" s="16"/>
      <c r="I19" s="22"/>
      <c r="J19" s="16"/>
      <c r="K19" s="22"/>
      <c r="L19" s="16"/>
      <c r="M19" s="22"/>
      <c r="N19" s="16"/>
      <c r="O19" s="22"/>
      <c r="P19" s="16"/>
      <c r="Q19" s="22"/>
      <c r="R19" s="16"/>
      <c r="S19" s="22"/>
      <c r="T19" s="16"/>
      <c r="U19" s="22"/>
      <c r="V19" s="16"/>
      <c r="W19" s="22"/>
      <c r="X19" s="16"/>
      <c r="Y19" s="22"/>
      <c r="Z19" s="16"/>
      <c r="AA19" s="16"/>
      <c r="AB19" s="16"/>
      <c r="AC19" s="16"/>
      <c r="AD19" s="16"/>
      <c r="AE19" s="16"/>
      <c r="AF19" s="12"/>
      <c r="AI19" s="56"/>
      <c r="AJ19" s="66"/>
    </row>
    <row r="20" spans="1:36" ht="20" customHeight="1">
      <c r="A20" s="16" t="s">
        <v>51</v>
      </c>
      <c r="B20" s="16"/>
      <c r="C20" s="22"/>
      <c r="D20" s="16"/>
      <c r="E20" s="22"/>
      <c r="F20" s="16"/>
      <c r="G20" s="22"/>
      <c r="H20" s="16">
        <v>48054.94</v>
      </c>
      <c r="I20" s="22">
        <f t="shared" ref="I20:I25" si="14">H20/H$16</f>
        <v>3.6968748686417287E-2</v>
      </c>
      <c r="J20" s="16">
        <v>36085.33</v>
      </c>
      <c r="K20" s="22">
        <f t="shared" ref="K20:K25" si="15">J20/J$16</f>
        <v>1.6461057763255342E-2</v>
      </c>
      <c r="L20" s="16">
        <v>53470.720000000001</v>
      </c>
      <c r="M20" s="22">
        <f t="shared" ref="M20:M25" si="16">L20/L$16</f>
        <v>3.63352053764616E-2</v>
      </c>
      <c r="N20" s="16">
        <v>38812</v>
      </c>
      <c r="O20" s="22">
        <f t="shared" ref="O20:O25" si="17">N20/N$16</f>
        <v>2.3476240075584638E-2</v>
      </c>
      <c r="P20" s="16">
        <v>8874</v>
      </c>
      <c r="Q20" s="22">
        <f t="shared" ref="Q20:Q25" si="18">P20/P$16</f>
        <v>7.2765439286285351E-3</v>
      </c>
      <c r="R20" s="16">
        <v>37409</v>
      </c>
      <c r="S20" s="22">
        <f t="shared" ref="S20:S25" si="19">R20/R$16</f>
        <v>2.0289660132328351E-2</v>
      </c>
      <c r="T20" s="16">
        <v>53982</v>
      </c>
      <c r="U20" s="22">
        <f t="shared" ref="U20:U25" si="20">T20/T$16</f>
        <v>1.9608391557588888E-2</v>
      </c>
      <c r="V20" s="16">
        <v>66267</v>
      </c>
      <c r="W20" s="22">
        <f t="shared" ref="W20:W25" si="21">V20/V$16</f>
        <v>3.2633168264173687E-2</v>
      </c>
      <c r="X20" s="16">
        <v>33571</v>
      </c>
      <c r="Y20" s="22">
        <f t="shared" ref="Y20:Y25" si="22">X20/X$16</f>
        <v>1.6518096790113252E-2</v>
      </c>
      <c r="Z20" s="16">
        <f t="shared" ref="Z20:Z25" si="23">SUM(H20:X20)</f>
        <v>376526.18304901582</v>
      </c>
      <c r="AA20" s="16">
        <f t="shared" ref="AA20:AA25" si="24">IFERROR(AVERAGE(B20:X20),0)</f>
        <v>22148.599002883282</v>
      </c>
      <c r="AB20" s="16"/>
      <c r="AC20" s="16"/>
      <c r="AD20" s="34"/>
      <c r="AE20" s="16">
        <f t="shared" ref="AE20:AE25" si="25">IFERROR(AVERAGE(T20:X20),0)</f>
        <v>30764.010448311969</v>
      </c>
      <c r="AF20" s="33"/>
      <c r="AI20" s="56">
        <f t="shared" ref="AI20:AI25" si="26">SUM(T20:X20)*4</f>
        <v>615280.20896623936</v>
      </c>
      <c r="AJ20" s="66">
        <f t="shared" si="13"/>
        <v>51273.350747186611</v>
      </c>
    </row>
    <row r="21" spans="1:36" ht="20" customHeight="1">
      <c r="A21" s="16" t="s">
        <v>169</v>
      </c>
      <c r="B21" s="16"/>
      <c r="C21" s="22"/>
      <c r="D21" s="16"/>
      <c r="E21" s="22"/>
      <c r="F21" s="16"/>
      <c r="G21" s="22"/>
      <c r="H21" s="16">
        <v>244231.98</v>
      </c>
      <c r="I21" s="22">
        <f t="shared" si="14"/>
        <v>0.18788808579942234</v>
      </c>
      <c r="J21" s="16">
        <v>977075.5</v>
      </c>
      <c r="K21" s="22">
        <f t="shared" si="15"/>
        <v>0.44571287679956356</v>
      </c>
      <c r="L21" s="16">
        <v>319518.24</v>
      </c>
      <c r="M21" s="22">
        <f t="shared" si="16"/>
        <v>0.21712370568276521</v>
      </c>
      <c r="N21" s="16">
        <v>556819</v>
      </c>
      <c r="O21" s="22">
        <f t="shared" si="17"/>
        <v>0.33680347631266006</v>
      </c>
      <c r="P21" s="16">
        <v>181716</v>
      </c>
      <c r="Q21" s="22">
        <f t="shared" si="18"/>
        <v>0.14900433361896132</v>
      </c>
      <c r="R21" s="16">
        <v>584938</v>
      </c>
      <c r="S21" s="22">
        <f t="shared" si="19"/>
        <v>0.31725502468614186</v>
      </c>
      <c r="T21" s="16">
        <v>1229969</v>
      </c>
      <c r="U21" s="22">
        <f t="shared" si="20"/>
        <v>0.4467732532269284</v>
      </c>
      <c r="V21" s="16">
        <v>544122</v>
      </c>
      <c r="W21" s="22">
        <f t="shared" si="21"/>
        <v>0.26795274846060207</v>
      </c>
      <c r="X21" s="16">
        <v>544407</v>
      </c>
      <c r="Y21" s="22">
        <f t="shared" si="22"/>
        <v>0.26786713291874492</v>
      </c>
      <c r="Z21" s="16">
        <f t="shared" si="23"/>
        <v>5182799.0885135047</v>
      </c>
      <c r="AA21" s="16">
        <f t="shared" si="24"/>
        <v>304870.53461844148</v>
      </c>
      <c r="AB21" s="16"/>
      <c r="AC21" s="16"/>
      <c r="AD21" s="33"/>
      <c r="AE21" s="16">
        <f t="shared" si="25"/>
        <v>463699.74294520041</v>
      </c>
      <c r="AF21" s="33"/>
      <c r="AI21" s="56">
        <f t="shared" si="26"/>
        <v>9273994.8589040078</v>
      </c>
      <c r="AJ21" s="66">
        <f t="shared" si="13"/>
        <v>772832.90490866732</v>
      </c>
    </row>
    <row r="22" spans="1:36" ht="20" customHeight="1">
      <c r="A22" s="16" t="s">
        <v>48</v>
      </c>
      <c r="B22" s="16"/>
      <c r="C22" s="22"/>
      <c r="D22" s="16"/>
      <c r="E22" s="22"/>
      <c r="F22" s="16"/>
      <c r="G22" s="22"/>
      <c r="H22" s="16">
        <v>117860.58</v>
      </c>
      <c r="I22" s="22">
        <f t="shared" si="14"/>
        <v>9.0670348606311429E-2</v>
      </c>
      <c r="J22" s="16">
        <v>134209.51</v>
      </c>
      <c r="K22" s="22">
        <f t="shared" si="15"/>
        <v>6.1222399697832761E-2</v>
      </c>
      <c r="L22" s="16">
        <v>124169.95</v>
      </c>
      <c r="M22" s="22">
        <f t="shared" si="16"/>
        <v>8.4377779742538864E-2</v>
      </c>
      <c r="N22" s="16">
        <v>130483</v>
      </c>
      <c r="O22" s="22">
        <f t="shared" si="17"/>
        <v>7.892533839489102E-2</v>
      </c>
      <c r="P22" s="16">
        <v>146907</v>
      </c>
      <c r="Q22" s="22">
        <f t="shared" si="18"/>
        <v>0.12046148737018618</v>
      </c>
      <c r="R22" s="16">
        <v>129852</v>
      </c>
      <c r="S22" s="22">
        <f t="shared" si="19"/>
        <v>7.0428317985059774E-2</v>
      </c>
      <c r="T22" s="16">
        <v>147592</v>
      </c>
      <c r="U22" s="22">
        <f t="shared" si="20"/>
        <v>5.361123572241968E-2</v>
      </c>
      <c r="V22" s="16">
        <v>152612</v>
      </c>
      <c r="W22" s="22">
        <f t="shared" si="21"/>
        <v>7.5153742815157992E-2</v>
      </c>
      <c r="X22" s="16">
        <v>153032</v>
      </c>
      <c r="Y22" s="22">
        <f t="shared" si="22"/>
        <v>7.529705364703497E-2</v>
      </c>
      <c r="Z22" s="16">
        <f t="shared" si="23"/>
        <v>1236718.6748506504</v>
      </c>
      <c r="AA22" s="16">
        <f t="shared" si="24"/>
        <v>72748.157344155901</v>
      </c>
      <c r="AB22" s="16"/>
      <c r="AC22" s="16"/>
      <c r="AD22" s="33"/>
      <c r="AE22" s="16">
        <f t="shared" si="25"/>
        <v>90647.225752995699</v>
      </c>
      <c r="AF22" s="33"/>
      <c r="AI22" s="56">
        <f t="shared" si="26"/>
        <v>1812944.515059914</v>
      </c>
      <c r="AJ22" s="66">
        <f t="shared" si="13"/>
        <v>151078.70958832616</v>
      </c>
    </row>
    <row r="23" spans="1:36" ht="20" customHeight="1">
      <c r="A23" s="16" t="s">
        <v>50</v>
      </c>
      <c r="B23" s="16"/>
      <c r="C23" s="22"/>
      <c r="D23" s="16"/>
      <c r="E23" s="22"/>
      <c r="F23" s="16"/>
      <c r="G23" s="22"/>
      <c r="H23" s="16"/>
      <c r="I23" s="22">
        <f t="shared" si="14"/>
        <v>0</v>
      </c>
      <c r="J23" s="16">
        <v>137.34</v>
      </c>
      <c r="K23" s="22">
        <f t="shared" si="15"/>
        <v>6.2650436429582013E-5</v>
      </c>
      <c r="L23" s="16">
        <v>0</v>
      </c>
      <c r="M23" s="22">
        <f t="shared" si="16"/>
        <v>0</v>
      </c>
      <c r="N23" s="16">
        <v>1359</v>
      </c>
      <c r="O23" s="22">
        <f t="shared" si="17"/>
        <v>8.220192276285562E-4</v>
      </c>
      <c r="P23" s="16">
        <v>2600</v>
      </c>
      <c r="Q23" s="22">
        <f t="shared" si="18"/>
        <v>2.1319601323455252E-3</v>
      </c>
      <c r="R23" s="16">
        <v>749</v>
      </c>
      <c r="S23" s="22">
        <f t="shared" si="19"/>
        <v>4.0623794913293419E-4</v>
      </c>
      <c r="T23" s="16">
        <v>0</v>
      </c>
      <c r="U23" s="22">
        <f t="shared" si="20"/>
        <v>0</v>
      </c>
      <c r="V23" s="16">
        <v>942</v>
      </c>
      <c r="W23" s="22">
        <f t="shared" si="21"/>
        <v>4.6388767417948021E-4</v>
      </c>
      <c r="X23" s="16">
        <v>1071</v>
      </c>
      <c r="Y23" s="22">
        <f t="shared" si="22"/>
        <v>5.2696915975726944E-4</v>
      </c>
      <c r="Z23" s="16">
        <f t="shared" si="23"/>
        <v>6858.3438867554196</v>
      </c>
      <c r="AA23" s="16">
        <f t="shared" si="24"/>
        <v>428.64649292221372</v>
      </c>
      <c r="AB23" s="16"/>
      <c r="AC23" s="16"/>
      <c r="AD23" s="33"/>
      <c r="AE23" s="16">
        <f t="shared" si="25"/>
        <v>402.60009277753483</v>
      </c>
      <c r="AF23" s="33"/>
      <c r="AI23" s="56">
        <f t="shared" si="26"/>
        <v>8052.0018555506967</v>
      </c>
      <c r="AJ23" s="66">
        <f t="shared" si="13"/>
        <v>671.00015462922477</v>
      </c>
    </row>
    <row r="24" spans="1:36" ht="20" customHeight="1">
      <c r="A24" s="16" t="s">
        <v>47</v>
      </c>
      <c r="B24" s="16"/>
      <c r="C24" s="22"/>
      <c r="D24" s="16"/>
      <c r="E24" s="22"/>
      <c r="F24" s="16"/>
      <c r="G24" s="22"/>
      <c r="H24" s="16">
        <v>108088.48</v>
      </c>
      <c r="I24" s="22">
        <f t="shared" si="14"/>
        <v>8.3152655128002267E-2</v>
      </c>
      <c r="J24" s="16">
        <v>94927</v>
      </c>
      <c r="K24" s="22">
        <f t="shared" si="15"/>
        <v>4.3302883201914458E-2</v>
      </c>
      <c r="L24" s="16">
        <v>111051.15</v>
      </c>
      <c r="M24" s="22">
        <f t="shared" si="16"/>
        <v>7.5463100974556607E-2</v>
      </c>
      <c r="N24" s="16">
        <v>94993</v>
      </c>
      <c r="O24" s="22">
        <f t="shared" si="17"/>
        <v>5.7458478653509518E-2</v>
      </c>
      <c r="P24" s="16">
        <v>71684</v>
      </c>
      <c r="Q24" s="22">
        <f t="shared" si="18"/>
        <v>5.8779780818098704E-2</v>
      </c>
      <c r="R24" s="16">
        <v>164803</v>
      </c>
      <c r="S24" s="22">
        <f t="shared" si="19"/>
        <v>8.9384823405814356E-2</v>
      </c>
      <c r="T24" s="16">
        <v>61481</v>
      </c>
      <c r="U24" s="22">
        <f t="shared" si="20"/>
        <v>2.2332324133083666E-2</v>
      </c>
      <c r="V24" s="16">
        <v>87723</v>
      </c>
      <c r="W24" s="22">
        <f t="shared" si="21"/>
        <v>4.3199170320643888E-2</v>
      </c>
      <c r="X24" s="16">
        <v>99230</v>
      </c>
      <c r="Y24" s="22">
        <f t="shared" si="22"/>
        <v>4.8824602915699206E-2</v>
      </c>
      <c r="Z24" s="16">
        <f t="shared" si="23"/>
        <v>893981.10307321674</v>
      </c>
      <c r="AA24" s="16">
        <f t="shared" si="24"/>
        <v>52587.123710189218</v>
      </c>
      <c r="AB24" s="16"/>
      <c r="AC24" s="16"/>
      <c r="AD24" s="33"/>
      <c r="AE24" s="16">
        <f t="shared" si="25"/>
        <v>49686.81310629889</v>
      </c>
      <c r="AF24" s="33"/>
      <c r="AI24" s="56">
        <f t="shared" si="26"/>
        <v>993736.26212597778</v>
      </c>
      <c r="AJ24" s="66">
        <f t="shared" si="13"/>
        <v>82811.35517716482</v>
      </c>
    </row>
    <row r="25" spans="1:36" s="24" customFormat="1" ht="20" customHeight="1">
      <c r="A25" s="8" t="s">
        <v>53</v>
      </c>
      <c r="B25" s="9"/>
      <c r="C25" s="60"/>
      <c r="D25" s="9"/>
      <c r="E25" s="60"/>
      <c r="F25" s="9"/>
      <c r="G25" s="60"/>
      <c r="H25" s="9">
        <v>518235.98</v>
      </c>
      <c r="I25" s="60">
        <f t="shared" si="14"/>
        <v>0.39867983822015329</v>
      </c>
      <c r="J25" s="9">
        <v>1242434.68</v>
      </c>
      <c r="K25" s="60">
        <f t="shared" si="15"/>
        <v>0.56676186789899563</v>
      </c>
      <c r="L25" s="9">
        <v>608210.06000000006</v>
      </c>
      <c r="M25" s="60">
        <f t="shared" si="16"/>
        <v>0.41329979177632231</v>
      </c>
      <c r="N25" s="9">
        <v>822466</v>
      </c>
      <c r="O25" s="60">
        <f t="shared" si="17"/>
        <v>0.4974855526642738</v>
      </c>
      <c r="P25" s="9">
        <v>411781</v>
      </c>
      <c r="Q25" s="60">
        <f t="shared" si="18"/>
        <v>0.33765410586822026</v>
      </c>
      <c r="R25" s="9">
        <v>917751</v>
      </c>
      <c r="S25" s="60">
        <f t="shared" si="19"/>
        <v>0.49776406415847729</v>
      </c>
      <c r="T25" s="9">
        <v>1493024</v>
      </c>
      <c r="U25" s="60">
        <f t="shared" si="20"/>
        <v>0.54232520464002065</v>
      </c>
      <c r="V25" s="9">
        <v>851666</v>
      </c>
      <c r="W25" s="60">
        <f t="shared" si="21"/>
        <v>0.41940271753475711</v>
      </c>
      <c r="X25" s="9">
        <v>831311</v>
      </c>
      <c r="Y25" s="60">
        <f t="shared" si="22"/>
        <v>0.40903385543134962</v>
      </c>
      <c r="Z25" s="9">
        <f t="shared" si="23"/>
        <v>7696883.393373142</v>
      </c>
      <c r="AA25" s="9">
        <f t="shared" si="24"/>
        <v>452757.84666900837</v>
      </c>
      <c r="AB25" s="9"/>
      <c r="AC25" s="9"/>
      <c r="AD25" s="36"/>
      <c r="AE25" s="9">
        <f t="shared" si="25"/>
        <v>635200.39234558446</v>
      </c>
      <c r="AF25" s="40"/>
      <c r="AI25" s="56">
        <f t="shared" si="26"/>
        <v>12704007.846911689</v>
      </c>
      <c r="AJ25" s="66">
        <f t="shared" si="13"/>
        <v>1058667.3205759742</v>
      </c>
    </row>
    <row r="26" spans="1:36" ht="20" customHeight="1" thickBot="1">
      <c r="A26" s="50"/>
      <c r="B26" s="51"/>
      <c r="C26" s="59"/>
      <c r="D26" s="51"/>
      <c r="E26" s="59"/>
      <c r="F26" s="51"/>
      <c r="G26" s="59"/>
      <c r="H26" s="51"/>
      <c r="I26" s="59"/>
      <c r="J26" s="51"/>
      <c r="K26" s="59"/>
      <c r="L26" s="51"/>
      <c r="M26" s="59"/>
      <c r="N26" s="51"/>
      <c r="O26" s="59"/>
      <c r="P26" s="51"/>
      <c r="Q26" s="59"/>
      <c r="R26" s="51"/>
      <c r="S26" s="59"/>
      <c r="T26" s="51"/>
      <c r="U26" s="59"/>
      <c r="V26" s="51"/>
      <c r="W26" s="59"/>
      <c r="X26" s="51"/>
      <c r="Y26" s="59"/>
      <c r="Z26" s="51"/>
      <c r="AA26" s="59"/>
      <c r="AB26" s="59"/>
      <c r="AC26" s="59"/>
      <c r="AD26" s="51"/>
      <c r="AE26" s="51"/>
      <c r="AF26" s="54"/>
      <c r="AI26" s="56"/>
      <c r="AJ26" s="66"/>
    </row>
    <row r="27" spans="1:36" s="24" customFormat="1" ht="20" customHeight="1" thickTop="1" thickBot="1">
      <c r="A27" s="10" t="s">
        <v>54</v>
      </c>
      <c r="B27" s="11"/>
      <c r="C27" s="61"/>
      <c r="D27" s="11"/>
      <c r="E27" s="61"/>
      <c r="F27" s="11"/>
      <c r="G27" s="61"/>
      <c r="H27" s="11">
        <v>781644.1</v>
      </c>
      <c r="I27" s="61">
        <f>H27/H$16</f>
        <v>0.6013201617798466</v>
      </c>
      <c r="J27" s="11">
        <v>949728.82</v>
      </c>
      <c r="K27" s="61">
        <f>J27/J$16</f>
        <v>0.43323813210100431</v>
      </c>
      <c r="L27" s="11">
        <v>863385.31</v>
      </c>
      <c r="M27" s="61">
        <f>L27/L$16</f>
        <v>0.58670020822367763</v>
      </c>
      <c r="N27" s="11">
        <v>830780</v>
      </c>
      <c r="O27" s="61">
        <f>N27/N$16</f>
        <v>0.50251444733572626</v>
      </c>
      <c r="P27" s="11">
        <v>807754</v>
      </c>
      <c r="Q27" s="61">
        <f>P27/P$16</f>
        <v>0.66234589413177969</v>
      </c>
      <c r="R27" s="11">
        <v>925996</v>
      </c>
      <c r="S27" s="61">
        <f>R27/R$16</f>
        <v>0.50223593584152271</v>
      </c>
      <c r="T27" s="11">
        <v>1259981</v>
      </c>
      <c r="U27" s="61">
        <f>T27/T$16</f>
        <v>0.45767479535997935</v>
      </c>
      <c r="V27" s="11">
        <v>1178998</v>
      </c>
      <c r="W27" s="61">
        <f>V27/V$16</f>
        <v>0.58059728246524289</v>
      </c>
      <c r="X27" s="11">
        <v>1201066</v>
      </c>
      <c r="Y27" s="61">
        <f>X27/X$16</f>
        <v>0.59096614456865038</v>
      </c>
      <c r="Z27" s="11">
        <f>SUM(H27:X27)</f>
        <v>8799337.5566268563</v>
      </c>
      <c r="AA27" s="11">
        <f>IFERROR(AVERAGE(B27:X27),0)</f>
        <v>517608.09156628564</v>
      </c>
      <c r="AB27" s="11"/>
      <c r="AC27" s="11"/>
      <c r="AD27" s="37"/>
      <c r="AE27" s="11">
        <f>IFERROR(AVERAGE(T27:X27),0)</f>
        <v>728009.20765441551</v>
      </c>
      <c r="AF27" s="39"/>
      <c r="AI27" s="56">
        <f>SUM(T27:X27)*4</f>
        <v>14560184.153088311</v>
      </c>
      <c r="AJ27" s="66">
        <f t="shared" si="13"/>
        <v>1213348.6794240258</v>
      </c>
    </row>
    <row r="28" spans="1:36" ht="20" customHeight="1" thickTop="1">
      <c r="A28" s="16"/>
      <c r="B28" s="16"/>
      <c r="C28" s="22"/>
      <c r="D28" s="16"/>
      <c r="E28" s="22"/>
      <c r="F28" s="16"/>
      <c r="G28" s="22"/>
      <c r="H28" s="16"/>
      <c r="I28" s="22"/>
      <c r="J28" s="16"/>
      <c r="K28" s="22"/>
      <c r="L28" s="16"/>
      <c r="M28" s="22"/>
      <c r="N28" s="16"/>
      <c r="O28" s="22"/>
      <c r="P28" s="16"/>
      <c r="Q28" s="22"/>
      <c r="R28" s="16"/>
      <c r="S28" s="22"/>
      <c r="T28" s="16"/>
      <c r="U28" s="22"/>
      <c r="V28" s="16"/>
      <c r="W28" s="22"/>
      <c r="X28" s="16"/>
      <c r="Y28" s="22"/>
      <c r="Z28" s="16"/>
      <c r="AA28" s="16"/>
      <c r="AB28" s="16"/>
      <c r="AC28" s="16"/>
      <c r="AD28" s="16"/>
      <c r="AE28" s="16"/>
      <c r="AF28" s="16"/>
      <c r="AI28" s="56"/>
      <c r="AJ28" s="66">
        <f t="shared" si="13"/>
        <v>0</v>
      </c>
    </row>
    <row r="29" spans="1:36" ht="20" customHeight="1">
      <c r="A29" s="13" t="s">
        <v>56</v>
      </c>
      <c r="B29" s="16"/>
      <c r="C29" s="22"/>
      <c r="D29" s="16"/>
      <c r="E29" s="22"/>
      <c r="F29" s="16"/>
      <c r="G29" s="22"/>
      <c r="H29" s="16"/>
      <c r="I29" s="22"/>
      <c r="J29" s="16"/>
      <c r="K29" s="22"/>
      <c r="L29" s="16"/>
      <c r="M29" s="22"/>
      <c r="N29" s="16"/>
      <c r="O29" s="22"/>
      <c r="P29" s="16"/>
      <c r="Q29" s="22"/>
      <c r="R29" s="16"/>
      <c r="S29" s="22"/>
      <c r="T29" s="16"/>
      <c r="U29" s="22"/>
      <c r="V29" s="16"/>
      <c r="W29" s="22"/>
      <c r="X29" s="16"/>
      <c r="Y29" s="22"/>
      <c r="Z29" s="16"/>
      <c r="AA29" s="16"/>
      <c r="AB29" s="16"/>
      <c r="AC29" s="16"/>
      <c r="AD29" s="16"/>
      <c r="AE29" s="16"/>
      <c r="AF29" s="16"/>
      <c r="AI29" s="56"/>
      <c r="AJ29" s="66">
        <f t="shared" si="13"/>
        <v>0</v>
      </c>
    </row>
    <row r="30" spans="1:36" ht="20" customHeight="1">
      <c r="A30" s="13" t="s">
        <v>57</v>
      </c>
      <c r="B30" s="16"/>
      <c r="C30" s="22"/>
      <c r="D30" s="16"/>
      <c r="E30" s="22"/>
      <c r="F30" s="16"/>
      <c r="G30" s="22"/>
      <c r="H30" s="16"/>
      <c r="I30" s="22"/>
      <c r="J30" s="16"/>
      <c r="K30" s="22"/>
      <c r="L30" s="16"/>
      <c r="M30" s="22"/>
      <c r="N30" s="16"/>
      <c r="O30" s="22"/>
      <c r="P30" s="16"/>
      <c r="Q30" s="22"/>
      <c r="R30" s="16"/>
      <c r="S30" s="22"/>
      <c r="T30" s="16"/>
      <c r="U30" s="22"/>
      <c r="V30" s="16"/>
      <c r="W30" s="22"/>
      <c r="X30" s="16"/>
      <c r="Y30" s="22"/>
      <c r="Z30" s="16"/>
      <c r="AA30" s="16"/>
      <c r="AB30" s="16"/>
      <c r="AC30" s="16"/>
      <c r="AD30" s="16"/>
      <c r="AE30" s="16"/>
      <c r="AF30" s="16"/>
      <c r="AI30" s="56"/>
      <c r="AJ30" s="66">
        <f t="shared" si="13"/>
        <v>0</v>
      </c>
    </row>
    <row r="31" spans="1:36" ht="20" customHeight="1">
      <c r="A31" s="16" t="s">
        <v>58</v>
      </c>
      <c r="B31" s="16"/>
      <c r="C31" s="22"/>
      <c r="D31" s="16"/>
      <c r="E31" s="22"/>
      <c r="F31" s="16"/>
      <c r="G31" s="22"/>
      <c r="H31" s="16">
        <v>2980</v>
      </c>
      <c r="I31" s="22">
        <f t="shared" ref="I31:I36" si="27">H31/H$16</f>
        <v>2.2925191683835942E-3</v>
      </c>
      <c r="J31" s="16">
        <v>2180</v>
      </c>
      <c r="K31" s="22">
        <f t="shared" ref="K31:K36" si="28">J31/J$16</f>
        <v>9.9445137189812702E-4</v>
      </c>
      <c r="L31" s="16">
        <v>970</v>
      </c>
      <c r="M31" s="22">
        <f t="shared" ref="M31:M36" si="29">L31/L$16</f>
        <v>6.5914858103963722E-4</v>
      </c>
      <c r="N31" s="48">
        <v>1990</v>
      </c>
      <c r="O31" s="22">
        <f t="shared" ref="O31:O36" si="30">N31/N$16</f>
        <v>1.2036926144082612E-3</v>
      </c>
      <c r="P31" s="49">
        <v>1300</v>
      </c>
      <c r="Q31" s="22">
        <f t="shared" ref="Q31:Q36" si="31">P31/P$16</f>
        <v>1.0659800661727626E-3</v>
      </c>
      <c r="R31" s="48">
        <v>1000</v>
      </c>
      <c r="S31" s="22">
        <f t="shared" ref="S31:S36" si="32">R31/R$16</f>
        <v>5.4237376386239539E-4</v>
      </c>
      <c r="T31" s="49">
        <v>1000</v>
      </c>
      <c r="U31" s="22">
        <f t="shared" ref="U31:U36" si="33">T31/T$16</f>
        <v>3.6323944199156922E-4</v>
      </c>
      <c r="V31" s="48">
        <v>1515</v>
      </c>
      <c r="W31" s="22">
        <f t="shared" ref="W31:W36" si="34">V31/V$16</f>
        <v>7.460613868173169E-4</v>
      </c>
      <c r="X31" s="48">
        <v>2250</v>
      </c>
      <c r="Y31" s="22">
        <f t="shared" ref="Y31:Y36" si="35">X31/X$16</f>
        <v>1.1070780667169525E-3</v>
      </c>
      <c r="Z31" s="16">
        <f t="shared" ref="Z31:Z36" si="36">SUM(H31:X31)</f>
        <v>15185.007867466395</v>
      </c>
      <c r="AA31" s="16">
        <f t="shared" ref="AA31:AA36" si="37">IFERROR(AVERAGE(B31:X31),0)</f>
        <v>893.23575690978794</v>
      </c>
      <c r="AB31" s="16"/>
      <c r="AC31" s="16"/>
      <c r="AD31" s="33"/>
      <c r="AE31" s="16">
        <f t="shared" ref="AE31:AE36" si="38">IFERROR(AVERAGE(T31:X31),0)</f>
        <v>953.00022186016577</v>
      </c>
      <c r="AF31" s="33"/>
      <c r="AI31" s="56">
        <f t="shared" ref="AI31:AI36" si="39">SUM(T31:X31)*4</f>
        <v>19060.004437203315</v>
      </c>
      <c r="AJ31" s="66">
        <f t="shared" si="13"/>
        <v>1588.3337031002764</v>
      </c>
    </row>
    <row r="32" spans="1:36" ht="20" customHeight="1">
      <c r="A32" s="16" t="s">
        <v>59</v>
      </c>
      <c r="B32" s="16"/>
      <c r="C32" s="22"/>
      <c r="D32" s="16"/>
      <c r="E32" s="22"/>
      <c r="F32" s="16"/>
      <c r="G32" s="22"/>
      <c r="H32" s="16">
        <v>910.9</v>
      </c>
      <c r="I32" s="22">
        <f t="shared" si="27"/>
        <v>7.0075694982571002E-4</v>
      </c>
      <c r="J32" s="16">
        <v>398.9</v>
      </c>
      <c r="K32" s="22">
        <f t="shared" si="28"/>
        <v>1.8196635424319398E-4</v>
      </c>
      <c r="L32" s="16">
        <v>383.95</v>
      </c>
      <c r="M32" s="22">
        <f t="shared" si="29"/>
        <v>2.6090731720635949E-4</v>
      </c>
      <c r="N32" s="48">
        <v>1814</v>
      </c>
      <c r="O32" s="22">
        <f t="shared" si="30"/>
        <v>1.0972353781590883E-3</v>
      </c>
      <c r="P32" s="49">
        <v>2570</v>
      </c>
      <c r="Q32" s="22">
        <f t="shared" si="31"/>
        <v>2.107360592356923E-3</v>
      </c>
      <c r="R32" s="48">
        <v>3191</v>
      </c>
      <c r="S32" s="22">
        <f t="shared" si="32"/>
        <v>1.7307146804849038E-3</v>
      </c>
      <c r="T32" s="49">
        <v>384</v>
      </c>
      <c r="U32" s="22">
        <f t="shared" si="33"/>
        <v>1.3948394572476259E-4</v>
      </c>
      <c r="V32" s="48">
        <v>747</v>
      </c>
      <c r="W32" s="22">
        <f t="shared" si="34"/>
        <v>3.6785997092576617E-4</v>
      </c>
      <c r="X32" s="48">
        <v>551</v>
      </c>
      <c r="Y32" s="22">
        <f t="shared" si="35"/>
        <v>2.7111111767157375E-4</v>
      </c>
      <c r="Z32" s="16">
        <f t="shared" si="36"/>
        <v>10950.756586285188</v>
      </c>
      <c r="AA32" s="16">
        <f t="shared" si="37"/>
        <v>644.16215213442285</v>
      </c>
      <c r="AB32" s="16"/>
      <c r="AC32" s="16"/>
      <c r="AD32" s="33"/>
      <c r="AE32" s="16">
        <f t="shared" si="38"/>
        <v>336.40010146878336</v>
      </c>
      <c r="AF32" s="33"/>
      <c r="AI32" s="56">
        <f t="shared" si="39"/>
        <v>6728.002029375667</v>
      </c>
      <c r="AJ32" s="66">
        <f t="shared" si="13"/>
        <v>560.66683578130562</v>
      </c>
    </row>
    <row r="33" spans="1:36" ht="20" customHeight="1">
      <c r="A33" s="16" t="s">
        <v>60</v>
      </c>
      <c r="B33" s="16"/>
      <c r="C33" s="22"/>
      <c r="D33" s="16"/>
      <c r="E33" s="22"/>
      <c r="F33" s="16"/>
      <c r="G33" s="22"/>
      <c r="H33" s="16">
        <v>26956.98</v>
      </c>
      <c r="I33" s="22">
        <f t="shared" si="27"/>
        <v>2.0738051467024558E-2</v>
      </c>
      <c r="J33" s="16">
        <v>7084.93</v>
      </c>
      <c r="K33" s="22">
        <f t="shared" si="28"/>
        <v>3.2319350267441278E-3</v>
      </c>
      <c r="L33" s="16">
        <v>16412.63</v>
      </c>
      <c r="M33" s="22">
        <f t="shared" si="29"/>
        <v>1.1152950284153177E-2</v>
      </c>
      <c r="N33" s="48">
        <v>8068</v>
      </c>
      <c r="O33" s="22">
        <f t="shared" si="30"/>
        <v>4.8800964889677643E-3</v>
      </c>
      <c r="P33" s="49">
        <v>5771</v>
      </c>
      <c r="Q33" s="22">
        <f t="shared" si="31"/>
        <v>4.7321315091407787E-3</v>
      </c>
      <c r="R33" s="48">
        <v>8438</v>
      </c>
      <c r="S33" s="22">
        <f t="shared" si="32"/>
        <v>4.5765498194708931E-3</v>
      </c>
      <c r="T33" s="49">
        <v>5925</v>
      </c>
      <c r="U33" s="22">
        <f t="shared" si="33"/>
        <v>2.1521936938000475E-3</v>
      </c>
      <c r="V33" s="48">
        <v>10413</v>
      </c>
      <c r="W33" s="22">
        <f t="shared" si="34"/>
        <v>5.1278793537483302E-3</v>
      </c>
      <c r="X33" s="48">
        <v>5218</v>
      </c>
      <c r="Y33" s="22">
        <f t="shared" si="35"/>
        <v>2.5674370453906926E-3</v>
      </c>
      <c r="Z33" s="16">
        <f t="shared" si="36"/>
        <v>94287.596591787631</v>
      </c>
      <c r="AA33" s="16">
        <f t="shared" si="37"/>
        <v>5546.3292112816252</v>
      </c>
      <c r="AB33" s="16"/>
      <c r="AC33" s="16"/>
      <c r="AD33" s="33"/>
      <c r="AE33" s="16">
        <f t="shared" si="38"/>
        <v>4311.2014560146099</v>
      </c>
      <c r="AF33" s="33"/>
      <c r="AI33" s="56">
        <f t="shared" si="39"/>
        <v>86224.029120292194</v>
      </c>
      <c r="AJ33" s="66">
        <f t="shared" si="13"/>
        <v>7185.3357600243498</v>
      </c>
    </row>
    <row r="34" spans="1:36" ht="20" customHeight="1">
      <c r="A34" s="16" t="s">
        <v>61</v>
      </c>
      <c r="B34" s="16"/>
      <c r="C34" s="22"/>
      <c r="D34" s="16"/>
      <c r="E34" s="22"/>
      <c r="F34" s="16"/>
      <c r="G34" s="22"/>
      <c r="H34" s="16">
        <v>96.14</v>
      </c>
      <c r="I34" s="22">
        <f t="shared" si="27"/>
        <v>7.3960668741073399E-5</v>
      </c>
      <c r="J34" s="16">
        <v>13096.32</v>
      </c>
      <c r="K34" s="22">
        <f t="shared" si="28"/>
        <v>5.9741529315673761E-3</v>
      </c>
      <c r="L34" s="16">
        <v>10074.700000000001</v>
      </c>
      <c r="M34" s="22">
        <f t="shared" si="29"/>
        <v>6.846107432371169E-3</v>
      </c>
      <c r="N34" s="48">
        <v>10074</v>
      </c>
      <c r="O34" s="22">
        <f t="shared" si="30"/>
        <v>6.0934670339441313E-3</v>
      </c>
      <c r="P34" s="49">
        <v>7478</v>
      </c>
      <c r="Q34" s="22">
        <f t="shared" si="31"/>
        <v>6.131845334492245E-3</v>
      </c>
      <c r="R34" s="48">
        <v>12377</v>
      </c>
      <c r="S34" s="22">
        <f t="shared" si="32"/>
        <v>6.7129600753248683E-3</v>
      </c>
      <c r="T34" s="49">
        <v>6909</v>
      </c>
      <c r="U34" s="22">
        <f t="shared" si="33"/>
        <v>2.5096213047197517E-3</v>
      </c>
      <c r="V34" s="48">
        <v>22230</v>
      </c>
      <c r="W34" s="22">
        <f t="shared" si="34"/>
        <v>1.0947158170923402E-2</v>
      </c>
      <c r="X34" s="48">
        <v>23841</v>
      </c>
      <c r="Y34" s="22">
        <f t="shared" si="35"/>
        <v>1.173059919493283E-2</v>
      </c>
      <c r="Z34" s="16">
        <f t="shared" si="36"/>
        <v>106176.20528927296</v>
      </c>
      <c r="AA34" s="16">
        <f t="shared" si="37"/>
        <v>6245.6591346631149</v>
      </c>
      <c r="AB34" s="16"/>
      <c r="AC34" s="16"/>
      <c r="AD34" s="33"/>
      <c r="AE34" s="16">
        <f t="shared" si="38"/>
        <v>10596.002691355894</v>
      </c>
      <c r="AF34" s="33"/>
      <c r="AI34" s="56">
        <f t="shared" si="39"/>
        <v>211920.0538271179</v>
      </c>
      <c r="AJ34" s="66">
        <f t="shared" si="13"/>
        <v>17660.004485593159</v>
      </c>
    </row>
    <row r="35" spans="1:36" ht="20" customHeight="1">
      <c r="A35" s="16" t="s">
        <v>62</v>
      </c>
      <c r="B35" s="16"/>
      <c r="C35" s="22"/>
      <c r="D35" s="16"/>
      <c r="E35" s="22"/>
      <c r="F35" s="16"/>
      <c r="G35" s="22"/>
      <c r="H35" s="16">
        <v>3556.19</v>
      </c>
      <c r="I35" s="22">
        <f t="shared" si="27"/>
        <v>2.7357831347027024E-3</v>
      </c>
      <c r="J35" s="16">
        <v>64334.01</v>
      </c>
      <c r="K35" s="22">
        <f t="shared" si="28"/>
        <v>2.9347268121196254E-2</v>
      </c>
      <c r="L35" s="16">
        <v>28913.68</v>
      </c>
      <c r="M35" s="22">
        <f t="shared" si="29"/>
        <v>1.9647846540859937E-2</v>
      </c>
      <c r="N35" s="48">
        <v>28645</v>
      </c>
      <c r="O35" s="22">
        <f t="shared" si="30"/>
        <v>1.7326520070213385E-2</v>
      </c>
      <c r="P35" s="49">
        <v>22933</v>
      </c>
      <c r="Q35" s="22">
        <f t="shared" si="31"/>
        <v>1.880470835195382E-2</v>
      </c>
      <c r="R35" s="48">
        <v>51599</v>
      </c>
      <c r="S35" s="22">
        <f t="shared" si="32"/>
        <v>2.7985943841535743E-2</v>
      </c>
      <c r="T35" s="49">
        <v>11061</v>
      </c>
      <c r="U35" s="22">
        <f t="shared" si="33"/>
        <v>4.0177914678687469E-3</v>
      </c>
      <c r="V35" s="48">
        <v>15433</v>
      </c>
      <c r="W35" s="22">
        <f t="shared" si="34"/>
        <v>7.5999771503311234E-3</v>
      </c>
      <c r="X35" s="48">
        <v>25552</v>
      </c>
      <c r="Y35" s="22">
        <f t="shared" si="35"/>
        <v>1.2572470560334033E-2</v>
      </c>
      <c r="Z35" s="16">
        <f t="shared" si="36"/>
        <v>252027.00746583866</v>
      </c>
      <c r="AA35" s="16">
        <f t="shared" si="37"/>
        <v>14825.118086225804</v>
      </c>
      <c r="AB35" s="16"/>
      <c r="AC35" s="16"/>
      <c r="AD35" s="33"/>
      <c r="AE35" s="16">
        <f t="shared" si="38"/>
        <v>10409.202323553724</v>
      </c>
      <c r="AF35" s="33"/>
      <c r="AI35" s="56">
        <f t="shared" si="39"/>
        <v>208184.04647107446</v>
      </c>
      <c r="AJ35" s="66">
        <f t="shared" si="13"/>
        <v>17348.670539256203</v>
      </c>
    </row>
    <row r="36" spans="1:36" s="1" customFormat="1" ht="20" customHeight="1">
      <c r="A36" s="18" t="s">
        <v>63</v>
      </c>
      <c r="B36" s="18"/>
      <c r="C36" s="79"/>
      <c r="D36" s="18"/>
      <c r="E36" s="79"/>
      <c r="F36" s="18"/>
      <c r="G36" s="79"/>
      <c r="H36" s="18">
        <v>34500.21</v>
      </c>
      <c r="I36" s="22">
        <f t="shared" si="27"/>
        <v>2.6541071388677638E-2</v>
      </c>
      <c r="J36" s="18">
        <v>87094.16</v>
      </c>
      <c r="K36" s="22">
        <f t="shared" si="28"/>
        <v>3.9729773805649078E-2</v>
      </c>
      <c r="L36" s="18">
        <v>56754.96</v>
      </c>
      <c r="M36" s="22">
        <f t="shared" si="29"/>
        <v>3.8566960155630277E-2</v>
      </c>
      <c r="N36" s="18">
        <v>50591</v>
      </c>
      <c r="O36" s="22">
        <f t="shared" si="30"/>
        <v>3.0601011585692631E-2</v>
      </c>
      <c r="P36" s="18">
        <v>40052</v>
      </c>
      <c r="Q36" s="22">
        <f t="shared" si="31"/>
        <v>3.2842025854116531E-2</v>
      </c>
      <c r="R36" s="18">
        <v>76705</v>
      </c>
      <c r="S36" s="22">
        <f t="shared" si="32"/>
        <v>4.1602779557065039E-2</v>
      </c>
      <c r="T36" s="18">
        <v>25279</v>
      </c>
      <c r="U36" s="22">
        <f t="shared" si="33"/>
        <v>9.1823298541048783E-3</v>
      </c>
      <c r="V36" s="18">
        <v>50338</v>
      </c>
      <c r="W36" s="22">
        <f t="shared" si="34"/>
        <v>2.4788936032745939E-2</v>
      </c>
      <c r="X36" s="18">
        <v>57412</v>
      </c>
      <c r="Y36" s="22">
        <f t="shared" si="35"/>
        <v>2.824869598504608E-2</v>
      </c>
      <c r="Z36" s="18">
        <f t="shared" si="36"/>
        <v>478726.57385488821</v>
      </c>
      <c r="AA36" s="18">
        <f t="shared" si="37"/>
        <v>28160.386697346366</v>
      </c>
      <c r="AB36" s="18"/>
      <c r="AC36" s="18"/>
      <c r="AD36" s="71"/>
      <c r="AE36" s="18">
        <f t="shared" si="38"/>
        <v>26605.806794253178</v>
      </c>
      <c r="AF36" s="71"/>
      <c r="AI36" s="68">
        <f t="shared" si="39"/>
        <v>532116.13588506356</v>
      </c>
      <c r="AJ36" s="69">
        <f t="shared" si="13"/>
        <v>44343.011323755294</v>
      </c>
    </row>
    <row r="37" spans="1:36" s="1" customFormat="1" ht="20" customHeight="1">
      <c r="A37" s="44"/>
      <c r="B37" s="44"/>
      <c r="C37" s="80"/>
      <c r="D37" s="44"/>
      <c r="E37" s="80"/>
      <c r="F37" s="44"/>
      <c r="G37" s="80"/>
      <c r="H37" s="44"/>
      <c r="I37" s="80"/>
      <c r="J37" s="44"/>
      <c r="K37" s="80"/>
      <c r="L37" s="44"/>
      <c r="M37" s="80"/>
      <c r="N37" s="44"/>
      <c r="O37" s="80"/>
      <c r="P37" s="44"/>
      <c r="Q37" s="80"/>
      <c r="R37" s="44"/>
      <c r="S37" s="80"/>
      <c r="T37" s="44"/>
      <c r="U37" s="80"/>
      <c r="V37" s="44"/>
      <c r="W37" s="80"/>
      <c r="X37" s="44"/>
      <c r="Y37" s="80"/>
      <c r="Z37" s="44"/>
      <c r="AA37" s="44"/>
      <c r="AB37" s="44"/>
      <c r="AC37" s="44"/>
      <c r="AD37" s="72"/>
      <c r="AE37" s="44"/>
      <c r="AF37" s="72"/>
      <c r="AI37" s="68"/>
      <c r="AJ37" s="69"/>
    </row>
    <row r="38" spans="1:36" ht="20" customHeight="1">
      <c r="A38" s="16" t="s">
        <v>64</v>
      </c>
      <c r="B38" s="16"/>
      <c r="C38" s="22"/>
      <c r="D38" s="16"/>
      <c r="E38" s="22"/>
      <c r="F38" s="16"/>
      <c r="G38" s="22"/>
      <c r="H38" s="16">
        <v>1452</v>
      </c>
      <c r="I38" s="22">
        <f>H38/H$16</f>
        <v>1.1170261182862345E-3</v>
      </c>
      <c r="J38" s="16">
        <v>10366.09</v>
      </c>
      <c r="K38" s="22">
        <f>J38/J$16</f>
        <v>4.7287029457428699E-3</v>
      </c>
      <c r="L38" s="16">
        <v>7135</v>
      </c>
      <c r="M38" s="22">
        <f>L38/L$16</f>
        <v>4.8484795110492907E-3</v>
      </c>
      <c r="N38" s="16">
        <v>1662</v>
      </c>
      <c r="O38" s="22">
        <f>N38/N$16</f>
        <v>1.0052950377620754E-3</v>
      </c>
      <c r="P38" s="16">
        <v>2602</v>
      </c>
      <c r="Q38" s="22">
        <f>P38/P$16</f>
        <v>2.1336001016780985E-3</v>
      </c>
      <c r="R38" s="16">
        <v>2202</v>
      </c>
      <c r="S38" s="22">
        <f>R38/R$16</f>
        <v>1.1943070280249948E-3</v>
      </c>
      <c r="T38" s="16">
        <v>430</v>
      </c>
      <c r="U38" s="22">
        <f>T38/T$16</f>
        <v>1.5619296005637477E-4</v>
      </c>
      <c r="V38" s="16">
        <v>6417</v>
      </c>
      <c r="W38" s="22">
        <f>V38/V$16</f>
        <v>3.1600501116876055E-3</v>
      </c>
      <c r="X38" s="16">
        <v>1910</v>
      </c>
      <c r="Y38" s="22">
        <f>X38/X$16</f>
        <v>9.3978626996861307E-4</v>
      </c>
      <c r="Z38" s="16">
        <f>SUM(H38:X38)</f>
        <v>34176.108343653817</v>
      </c>
      <c r="AA38" s="16">
        <f>IFERROR(AVERAGE(B38:X38),0)</f>
        <v>2010.3593143325775</v>
      </c>
      <c r="AB38" s="16"/>
      <c r="AC38" s="16"/>
      <c r="AD38" s="33"/>
      <c r="AE38" s="16">
        <f>IFERROR(AVERAGE(T38:X38),0)</f>
        <v>1751.4006632486144</v>
      </c>
      <c r="AF38" s="33"/>
      <c r="AI38" s="56">
        <f>SUM(T38:X38)*4</f>
        <v>35028.013264972287</v>
      </c>
      <c r="AJ38" s="66">
        <f t="shared" si="13"/>
        <v>2919.0011054143574</v>
      </c>
    </row>
    <row r="39" spans="1:36" ht="20" customHeight="1" thickBot="1">
      <c r="A39" s="16"/>
      <c r="B39" s="16"/>
      <c r="C39" s="22"/>
      <c r="D39" s="16"/>
      <c r="E39" s="22"/>
      <c r="F39" s="16"/>
      <c r="G39" s="22"/>
      <c r="H39" s="16"/>
      <c r="I39" s="22"/>
      <c r="J39" s="16"/>
      <c r="K39" s="22"/>
      <c r="L39" s="16"/>
      <c r="M39" s="22"/>
      <c r="N39" s="16"/>
      <c r="O39" s="22"/>
      <c r="P39" s="16"/>
      <c r="Q39" s="22"/>
      <c r="R39" s="16"/>
      <c r="S39" s="22"/>
      <c r="T39" s="16"/>
      <c r="U39" s="22"/>
      <c r="V39" s="16"/>
      <c r="W39" s="22"/>
      <c r="X39" s="16"/>
      <c r="Y39" s="22"/>
      <c r="Z39" s="16"/>
      <c r="AA39" s="16"/>
      <c r="AB39" s="16"/>
      <c r="AC39" s="16"/>
      <c r="AD39" s="33"/>
      <c r="AE39" s="16"/>
      <c r="AF39" s="33"/>
      <c r="AI39" s="56"/>
      <c r="AJ39" s="66"/>
    </row>
    <row r="40" spans="1:36" s="24" customFormat="1" ht="20" customHeight="1" thickBot="1">
      <c r="A40" s="25" t="s">
        <v>65</v>
      </c>
      <c r="B40" s="26"/>
      <c r="C40" s="83"/>
      <c r="D40" s="26"/>
      <c r="E40" s="83"/>
      <c r="F40" s="26"/>
      <c r="G40" s="83"/>
      <c r="H40" s="27">
        <v>525978.17000000004</v>
      </c>
      <c r="I40" s="63">
        <f>H40/H$16</f>
        <v>0.40463591841487412</v>
      </c>
      <c r="J40" s="27">
        <v>497007.2</v>
      </c>
      <c r="K40" s="63">
        <f>J40/J$16</f>
        <v>0.2267199504051591</v>
      </c>
      <c r="L40" s="27">
        <v>505885.84</v>
      </c>
      <c r="M40" s="63">
        <f>L40/L$16</f>
        <v>0.34376694185984019</v>
      </c>
      <c r="N40" s="27">
        <v>501845</v>
      </c>
      <c r="O40" s="63">
        <f>N40/N$16</f>
        <v>0.30355131662196672</v>
      </c>
      <c r="P40" s="27">
        <v>534139</v>
      </c>
      <c r="Q40" s="63">
        <f>P40/P$16</f>
        <v>0.43798578966573326</v>
      </c>
      <c r="R40" s="27">
        <v>527841</v>
      </c>
      <c r="S40" s="63">
        <f>R40/R$16</f>
        <v>0.28628710989089068</v>
      </c>
      <c r="T40" s="27">
        <v>541229</v>
      </c>
      <c r="U40" s="63">
        <f>T40/T$16</f>
        <v>0.19659571994965502</v>
      </c>
      <c r="V40" s="27">
        <v>580256</v>
      </c>
      <c r="W40" s="63">
        <f>V40/V$16</f>
        <v>0.28574692809839541</v>
      </c>
      <c r="X40" s="27">
        <v>696257</v>
      </c>
      <c r="Y40" s="63">
        <f>X40/X$16</f>
        <v>0.34258260155473125</v>
      </c>
      <c r="Z40" s="26">
        <f>SUM(H40:X40)</f>
        <v>4910440.6952896751</v>
      </c>
      <c r="AA40" s="27">
        <f>IFERROR(AVERAGE(B40:X40),0)</f>
        <v>288849.45266409853</v>
      </c>
      <c r="AB40" s="27"/>
      <c r="AC40" s="27"/>
      <c r="AD40" s="38"/>
      <c r="AE40" s="27">
        <f>IFERROR(AVERAGE(T40:X40),0)</f>
        <v>363548.49646852963</v>
      </c>
      <c r="AF40" s="41"/>
      <c r="AI40" s="56">
        <f>SUM(T40:X40)*4</f>
        <v>7270969.9293705923</v>
      </c>
      <c r="AJ40" s="66">
        <f t="shared" si="13"/>
        <v>605914.1607808827</v>
      </c>
    </row>
    <row r="41" spans="1:36" s="24" customFormat="1" ht="20" customHeight="1">
      <c r="A41" s="73"/>
      <c r="B41" s="74"/>
      <c r="C41" s="84"/>
      <c r="D41" s="74"/>
      <c r="E41" s="84"/>
      <c r="F41" s="74"/>
      <c r="G41" s="84"/>
      <c r="H41" s="75"/>
      <c r="I41" s="81"/>
      <c r="J41" s="75"/>
      <c r="K41" s="81"/>
      <c r="L41" s="75"/>
      <c r="M41" s="81"/>
      <c r="N41" s="75"/>
      <c r="O41" s="81"/>
      <c r="P41" s="75"/>
      <c r="Q41" s="81"/>
      <c r="R41" s="75"/>
      <c r="S41" s="81"/>
      <c r="T41" s="75"/>
      <c r="U41" s="81"/>
      <c r="V41" s="75"/>
      <c r="W41" s="81"/>
      <c r="X41" s="75"/>
      <c r="Y41" s="81"/>
      <c r="Z41" s="74"/>
      <c r="AA41" s="75"/>
      <c r="AB41" s="75"/>
      <c r="AC41" s="75"/>
      <c r="AD41" s="76"/>
      <c r="AE41" s="75"/>
      <c r="AF41" s="47"/>
      <c r="AI41" s="56"/>
      <c r="AJ41" s="66"/>
    </row>
    <row r="42" spans="1:36" ht="20" customHeight="1">
      <c r="A42" s="16" t="s">
        <v>66</v>
      </c>
      <c r="B42" s="16"/>
      <c r="C42" s="22"/>
      <c r="D42" s="16"/>
      <c r="E42" s="22"/>
      <c r="F42" s="16"/>
      <c r="G42" s="22"/>
      <c r="H42" s="16">
        <v>36113.67</v>
      </c>
      <c r="I42" s="22">
        <f>H42/H$16</f>
        <v>2.7782308964993136E-2</v>
      </c>
      <c r="J42" s="16">
        <v>43831.79</v>
      </c>
      <c r="K42" s="22">
        <f>J42/J$16</f>
        <v>1.9994763164335141E-2</v>
      </c>
      <c r="L42" s="16">
        <v>44707.15</v>
      </c>
      <c r="M42" s="22">
        <f>L42/L$16</f>
        <v>3.0380056169923935E-2</v>
      </c>
      <c r="N42" s="16">
        <v>51232</v>
      </c>
      <c r="O42" s="22">
        <f>N42/N$16</f>
        <v>3.0988733679077403E-2</v>
      </c>
      <c r="P42" s="16">
        <v>42505</v>
      </c>
      <c r="Q42" s="22">
        <f>P42/P$16</f>
        <v>3.4853448240517899E-2</v>
      </c>
      <c r="R42" s="16">
        <v>34135</v>
      </c>
      <c r="S42" s="22">
        <f>R42/R$16</f>
        <v>1.8513928429442869E-2</v>
      </c>
      <c r="T42" s="16">
        <v>36312</v>
      </c>
      <c r="U42" s="22">
        <f>T42/T$16</f>
        <v>1.3189950617597861E-2</v>
      </c>
      <c r="V42" s="16">
        <v>38163</v>
      </c>
      <c r="W42" s="22">
        <f>V42/V$16</f>
        <v>1.8793360201392256E-2</v>
      </c>
      <c r="X42" s="16">
        <v>34502</v>
      </c>
      <c r="Y42" s="22">
        <f>X42/X$16</f>
        <v>1.6976181092385911E-2</v>
      </c>
      <c r="Z42" s="16">
        <f>SUM(H42:X42)</f>
        <v>361501.80449654948</v>
      </c>
      <c r="AA42" s="16">
        <f>IFERROR(AVERAGE(B42:X42),0)</f>
        <v>21264.812029208792</v>
      </c>
      <c r="AB42" s="16"/>
      <c r="AC42" s="16"/>
      <c r="AD42" s="33"/>
      <c r="AE42" s="16">
        <f>IFERROR(AVERAGE(T42:X42),0)</f>
        <v>21795.406396662162</v>
      </c>
      <c r="AF42" s="33"/>
      <c r="AI42" s="56">
        <f>SUM(T42:X42)*4</f>
        <v>435908.12793324323</v>
      </c>
      <c r="AJ42" s="66">
        <f t="shared" si="13"/>
        <v>36325.677327770267</v>
      </c>
    </row>
    <row r="43" spans="1:36" ht="20" customHeight="1">
      <c r="A43" s="16"/>
      <c r="B43" s="16"/>
      <c r="C43" s="22"/>
      <c r="D43" s="16"/>
      <c r="E43" s="22"/>
      <c r="F43" s="16"/>
      <c r="G43" s="22"/>
      <c r="H43" s="16"/>
      <c r="I43" s="22"/>
      <c r="J43" s="16"/>
      <c r="K43" s="22"/>
      <c r="L43" s="16"/>
      <c r="M43" s="22"/>
      <c r="N43" s="16"/>
      <c r="O43" s="22"/>
      <c r="P43" s="16"/>
      <c r="Q43" s="22"/>
      <c r="R43" s="16"/>
      <c r="S43" s="22"/>
      <c r="T43" s="16"/>
      <c r="U43" s="22"/>
      <c r="V43" s="16"/>
      <c r="W43" s="22"/>
      <c r="X43" s="16"/>
      <c r="Y43" s="22"/>
      <c r="Z43" s="16"/>
      <c r="AA43" s="16"/>
      <c r="AB43" s="16"/>
      <c r="AC43" s="16"/>
      <c r="AD43" s="33"/>
      <c r="AE43" s="16"/>
      <c r="AF43" s="33"/>
      <c r="AI43" s="56"/>
      <c r="AJ43" s="66"/>
    </row>
    <row r="44" spans="1:36" ht="20" customHeight="1">
      <c r="A44" s="14" t="s">
        <v>67</v>
      </c>
      <c r="B44" s="16"/>
      <c r="C44" s="22"/>
      <c r="D44" s="16"/>
      <c r="E44" s="22"/>
      <c r="F44" s="16"/>
      <c r="G44" s="22"/>
      <c r="H44" s="16"/>
      <c r="I44" s="22"/>
      <c r="J44" s="16"/>
      <c r="K44" s="22"/>
      <c r="L44" s="16"/>
      <c r="M44" s="22"/>
      <c r="N44" s="16"/>
      <c r="O44" s="22"/>
      <c r="P44" s="16"/>
      <c r="Q44" s="22"/>
      <c r="R44" s="16"/>
      <c r="S44" s="22"/>
      <c r="T44" s="16"/>
      <c r="U44" s="22"/>
      <c r="V44" s="16"/>
      <c r="W44" s="22"/>
      <c r="X44" s="16"/>
      <c r="Y44" s="22"/>
      <c r="Z44" s="16"/>
      <c r="AA44" s="16"/>
      <c r="AB44" s="16"/>
      <c r="AC44" s="16"/>
      <c r="AD44" s="17"/>
      <c r="AE44" s="16"/>
      <c r="AF44" s="12"/>
      <c r="AI44" s="56"/>
      <c r="AJ44" s="66">
        <f t="shared" si="13"/>
        <v>0</v>
      </c>
    </row>
    <row r="45" spans="1:36" ht="20" customHeight="1">
      <c r="A45" s="16" t="s">
        <v>68</v>
      </c>
      <c r="B45" s="16"/>
      <c r="C45" s="22"/>
      <c r="D45" s="16"/>
      <c r="E45" s="22"/>
      <c r="F45" s="16"/>
      <c r="G45" s="22"/>
      <c r="H45" s="16">
        <v>14064.75</v>
      </c>
      <c r="I45" s="22">
        <f>H45/H$16</f>
        <v>1.0820036568296361E-2</v>
      </c>
      <c r="J45" s="45"/>
      <c r="K45" s="22">
        <f>J45/J$16</f>
        <v>0</v>
      </c>
      <c r="L45" s="45"/>
      <c r="M45" s="22">
        <f>L45/L$16</f>
        <v>0</v>
      </c>
      <c r="N45" s="45"/>
      <c r="O45" s="22">
        <f>N45/N$16</f>
        <v>0</v>
      </c>
      <c r="P45" s="45"/>
      <c r="Q45" s="22">
        <f>P45/P$16</f>
        <v>0</v>
      </c>
      <c r="R45" s="45"/>
      <c r="S45" s="22">
        <f>R45/R$16</f>
        <v>0</v>
      </c>
      <c r="T45" s="45"/>
      <c r="U45" s="22">
        <f>T45/T$16</f>
        <v>0</v>
      </c>
      <c r="V45" s="45"/>
      <c r="W45" s="22">
        <f>V45/V$16</f>
        <v>0</v>
      </c>
      <c r="X45" s="45"/>
      <c r="Y45" s="22">
        <f>X45/X$16</f>
        <v>0</v>
      </c>
      <c r="Z45" s="16">
        <f>SUM(H45:X45)</f>
        <v>14064.760820036568</v>
      </c>
      <c r="AA45" s="16">
        <f>IFERROR(AVERAGE(B45:X45),0)</f>
        <v>1562.7512022262854</v>
      </c>
      <c r="AB45" s="16"/>
      <c r="AC45" s="16"/>
      <c r="AD45" s="33"/>
      <c r="AE45" s="16">
        <f>IFERROR(AVERAGE(T45:X45),0)</f>
        <v>0</v>
      </c>
      <c r="AF45" s="33"/>
      <c r="AI45" s="56">
        <f>SUM(T45:X45)*4</f>
        <v>0</v>
      </c>
      <c r="AJ45" s="66">
        <f t="shared" si="13"/>
        <v>0</v>
      </c>
    </row>
    <row r="46" spans="1:36" ht="20" customHeight="1">
      <c r="A46" s="16" t="s">
        <v>69</v>
      </c>
      <c r="B46" s="16"/>
      <c r="C46" s="22"/>
      <c r="D46" s="16"/>
      <c r="E46" s="22"/>
      <c r="F46" s="16"/>
      <c r="G46" s="22"/>
      <c r="H46" s="16">
        <v>9525.56</v>
      </c>
      <c r="I46" s="22">
        <f>H46/H$16</f>
        <v>7.3280298287208149E-3</v>
      </c>
      <c r="J46" s="45"/>
      <c r="K46" s="22">
        <f>J46/J$16</f>
        <v>0</v>
      </c>
      <c r="L46" s="45"/>
      <c r="M46" s="22">
        <f>L46/L$16</f>
        <v>0</v>
      </c>
      <c r="N46" s="45"/>
      <c r="O46" s="22">
        <f>N46/N$16</f>
        <v>0</v>
      </c>
      <c r="P46" s="45"/>
      <c r="Q46" s="22">
        <f>P46/P$16</f>
        <v>0</v>
      </c>
      <c r="R46" s="45"/>
      <c r="S46" s="22">
        <f>R46/R$16</f>
        <v>0</v>
      </c>
      <c r="T46" s="45"/>
      <c r="U46" s="22">
        <f>T46/T$16</f>
        <v>0</v>
      </c>
      <c r="V46" s="45"/>
      <c r="W46" s="22">
        <f>V46/V$16</f>
        <v>0</v>
      </c>
      <c r="X46" s="45"/>
      <c r="Y46" s="22">
        <f>X46/X$16</f>
        <v>0</v>
      </c>
      <c r="Z46" s="16">
        <f>SUM(H46:X46)</f>
        <v>9525.5673280298288</v>
      </c>
      <c r="AA46" s="16">
        <f>IFERROR(AVERAGE(B46:X46),0)</f>
        <v>1058.3963697810921</v>
      </c>
      <c r="AB46" s="16"/>
      <c r="AC46" s="16"/>
      <c r="AD46" s="33"/>
      <c r="AE46" s="16">
        <f>IFERROR(AVERAGE(T46:X46),0)</f>
        <v>0</v>
      </c>
      <c r="AF46" s="33"/>
      <c r="AI46" s="56">
        <f>SUM(T46:X46)*4</f>
        <v>0</v>
      </c>
      <c r="AJ46" s="66">
        <f t="shared" si="13"/>
        <v>0</v>
      </c>
    </row>
    <row r="47" spans="1:36" ht="20" customHeight="1">
      <c r="A47" s="16" t="s">
        <v>70</v>
      </c>
      <c r="B47" s="16"/>
      <c r="C47" s="22"/>
      <c r="D47" s="16"/>
      <c r="E47" s="22"/>
      <c r="F47" s="16"/>
      <c r="G47" s="22"/>
      <c r="H47" s="16">
        <v>12615.7</v>
      </c>
      <c r="I47" s="22">
        <f>H47/H$16</f>
        <v>9.7052798901264802E-3</v>
      </c>
      <c r="J47" s="45"/>
      <c r="K47" s="22">
        <f>J47/J$16</f>
        <v>0</v>
      </c>
      <c r="L47" s="45"/>
      <c r="M47" s="22">
        <f>L47/L$16</f>
        <v>0</v>
      </c>
      <c r="N47" s="45"/>
      <c r="O47" s="22">
        <f>N47/N$16</f>
        <v>0</v>
      </c>
      <c r="P47" s="45"/>
      <c r="Q47" s="22">
        <f>P47/P$16</f>
        <v>0</v>
      </c>
      <c r="R47" s="45"/>
      <c r="S47" s="22">
        <f>R47/R$16</f>
        <v>0</v>
      </c>
      <c r="T47" s="45"/>
      <c r="U47" s="22">
        <f>T47/T$16</f>
        <v>0</v>
      </c>
      <c r="V47" s="45"/>
      <c r="W47" s="22">
        <f>V47/V$16</f>
        <v>0</v>
      </c>
      <c r="X47" s="45"/>
      <c r="Y47" s="22">
        <f>X47/X$16</f>
        <v>0</v>
      </c>
      <c r="Z47" s="16">
        <f>SUM(H47:X47)</f>
        <v>12615.709705279891</v>
      </c>
      <c r="AA47" s="16">
        <f>IFERROR(AVERAGE(B47:X47),0)</f>
        <v>1401.7455228088768</v>
      </c>
      <c r="AB47" s="16"/>
      <c r="AC47" s="16"/>
      <c r="AD47" s="33"/>
      <c r="AE47" s="16">
        <f>IFERROR(AVERAGE(T47:X47),0)</f>
        <v>0</v>
      </c>
      <c r="AF47" s="33"/>
      <c r="AI47" s="56">
        <f>SUM(T47:X47)*4</f>
        <v>0</v>
      </c>
      <c r="AJ47" s="66">
        <f t="shared" si="13"/>
        <v>0</v>
      </c>
    </row>
    <row r="48" spans="1:36" ht="20" customHeight="1">
      <c r="A48" s="16" t="s">
        <v>71</v>
      </c>
      <c r="B48" s="16"/>
      <c r="C48" s="22"/>
      <c r="D48" s="16"/>
      <c r="E48" s="22"/>
      <c r="F48" s="16"/>
      <c r="G48" s="22"/>
      <c r="H48" s="16">
        <v>4293.91</v>
      </c>
      <c r="I48" s="22">
        <f>H48/H$16</f>
        <v>3.3033124101724829E-3</v>
      </c>
      <c r="J48" s="45"/>
      <c r="K48" s="22">
        <f>J48/J$16</f>
        <v>0</v>
      </c>
      <c r="L48" s="45"/>
      <c r="M48" s="22">
        <f>L48/L$16</f>
        <v>0</v>
      </c>
      <c r="N48" s="45"/>
      <c r="O48" s="22">
        <f>N48/N$16</f>
        <v>0</v>
      </c>
      <c r="P48" s="45"/>
      <c r="Q48" s="22">
        <f>P48/P$16</f>
        <v>0</v>
      </c>
      <c r="R48" s="45"/>
      <c r="S48" s="22">
        <f>R48/R$16</f>
        <v>0</v>
      </c>
      <c r="T48" s="45"/>
      <c r="U48" s="22">
        <f>T48/T$16</f>
        <v>0</v>
      </c>
      <c r="V48" s="45"/>
      <c r="W48" s="22">
        <f>V48/V$16</f>
        <v>0</v>
      </c>
      <c r="X48" s="45"/>
      <c r="Y48" s="22">
        <f>X48/X$16</f>
        <v>0</v>
      </c>
      <c r="Z48" s="16">
        <f>SUM(H48:X48)</f>
        <v>4293.9133033124099</v>
      </c>
      <c r="AA48" s="16">
        <f>IFERROR(AVERAGE(B48:X48),0)</f>
        <v>477.10147814582331</v>
      </c>
      <c r="AB48" s="16"/>
      <c r="AC48" s="16"/>
      <c r="AD48" s="33"/>
      <c r="AE48" s="16">
        <f>IFERROR(AVERAGE(T48:X48),0)</f>
        <v>0</v>
      </c>
      <c r="AF48" s="33"/>
      <c r="AI48" s="56">
        <f>SUM(T48:X48)*4</f>
        <v>0</v>
      </c>
      <c r="AJ48" s="66">
        <f t="shared" si="13"/>
        <v>0</v>
      </c>
    </row>
    <row r="49" spans="1:36" s="1" customFormat="1" ht="20" customHeight="1">
      <c r="A49" s="13" t="s">
        <v>72</v>
      </c>
      <c r="B49" s="13"/>
      <c r="C49" s="82"/>
      <c r="D49" s="13"/>
      <c r="E49" s="82"/>
      <c r="F49" s="13"/>
      <c r="G49" s="82"/>
      <c r="H49" s="13">
        <v>40499.919999999998</v>
      </c>
      <c r="I49" s="22">
        <f>H49/H$16</f>
        <v>3.1156658697316136E-2</v>
      </c>
      <c r="J49" s="13">
        <v>30441.46</v>
      </c>
      <c r="K49" s="22">
        <f>J49/J$16</f>
        <v>1.3886491586964202E-2</v>
      </c>
      <c r="L49" s="13">
        <v>42732.35</v>
      </c>
      <c r="M49" s="22">
        <f>L49/L$16</f>
        <v>2.9038111203081588E-2</v>
      </c>
      <c r="N49" s="13">
        <v>80480</v>
      </c>
      <c r="O49" s="22">
        <f>N49/N$16</f>
        <v>4.8679990757576307E-2</v>
      </c>
      <c r="P49" s="13">
        <v>51358</v>
      </c>
      <c r="Q49" s="22">
        <f>P49/P$16</f>
        <v>4.2112772491154415E-2</v>
      </c>
      <c r="R49" s="13">
        <v>82804</v>
      </c>
      <c r="S49" s="22">
        <f>R49/R$16</f>
        <v>4.4910717142861795E-2</v>
      </c>
      <c r="T49" s="13">
        <v>45055</v>
      </c>
      <c r="U49" s="22">
        <f>T49/T$16</f>
        <v>1.6365753058930149E-2</v>
      </c>
      <c r="V49" s="13">
        <v>64157</v>
      </c>
      <c r="W49" s="22">
        <f>V49/V$16</f>
        <v>3.1594099269992473E-2</v>
      </c>
      <c r="X49" s="13">
        <v>51614</v>
      </c>
      <c r="Y49" s="22">
        <f>X49/X$16</f>
        <v>2.5395878815790574E-2</v>
      </c>
      <c r="Z49" s="13">
        <f>SUM(H49:X49)</f>
        <v>489141.98774459423</v>
      </c>
      <c r="AA49" s="13">
        <f>IFERROR(AVERAGE(B49:X49),0)</f>
        <v>28773.058102623188</v>
      </c>
      <c r="AB49" s="13"/>
      <c r="AC49" s="13"/>
      <c r="AD49" s="67"/>
      <c r="AE49" s="13">
        <f>IFERROR(AVERAGE(T49:X49),0)</f>
        <v>32165.209591970466</v>
      </c>
      <c r="AF49" s="67"/>
      <c r="AI49" s="68">
        <f>SUM(T49:X49)*4</f>
        <v>643304.19183940929</v>
      </c>
      <c r="AJ49" s="69">
        <f t="shared" si="13"/>
        <v>53608.682653284108</v>
      </c>
    </row>
    <row r="50" spans="1:36" s="1" customFormat="1" ht="20" customHeight="1">
      <c r="A50" s="13"/>
      <c r="B50" s="13"/>
      <c r="C50" s="82"/>
      <c r="D50" s="13"/>
      <c r="E50" s="82"/>
      <c r="F50" s="13"/>
      <c r="G50" s="82"/>
      <c r="H50" s="13"/>
      <c r="I50" s="22"/>
      <c r="J50" s="13"/>
      <c r="K50" s="22"/>
      <c r="L50" s="13"/>
      <c r="M50" s="22"/>
      <c r="N50" s="13"/>
      <c r="O50" s="22"/>
      <c r="P50" s="13"/>
      <c r="Q50" s="22"/>
      <c r="R50" s="13"/>
      <c r="S50" s="22"/>
      <c r="T50" s="13"/>
      <c r="U50" s="22"/>
      <c r="V50" s="13"/>
      <c r="W50" s="22"/>
      <c r="X50" s="13"/>
      <c r="Y50" s="22"/>
      <c r="Z50" s="13"/>
      <c r="AA50" s="13"/>
      <c r="AB50" s="13"/>
      <c r="AC50" s="13"/>
      <c r="AD50" s="67"/>
      <c r="AE50" s="13"/>
      <c r="AF50" s="67"/>
      <c r="AI50" s="68"/>
      <c r="AJ50" s="69"/>
    </row>
    <row r="51" spans="1:36" ht="20" customHeight="1">
      <c r="A51" s="16" t="s">
        <v>73</v>
      </c>
      <c r="B51" s="16"/>
      <c r="C51" s="22"/>
      <c r="D51" s="16"/>
      <c r="E51" s="22"/>
      <c r="F51" s="16"/>
      <c r="G51" s="22"/>
      <c r="H51" s="16"/>
      <c r="I51" s="22"/>
      <c r="J51" s="16"/>
      <c r="K51" s="22"/>
      <c r="L51" s="16"/>
      <c r="M51" s="22"/>
      <c r="N51" s="16"/>
      <c r="O51" s="22"/>
      <c r="P51" s="16"/>
      <c r="Q51" s="22"/>
      <c r="R51" s="16"/>
      <c r="S51" s="22"/>
      <c r="T51" s="16"/>
      <c r="U51" s="22"/>
      <c r="V51" s="16"/>
      <c r="W51" s="22"/>
      <c r="X51" s="16"/>
      <c r="Y51" s="22"/>
      <c r="Z51" s="16"/>
      <c r="AA51" s="16"/>
      <c r="AB51" s="16"/>
      <c r="AC51" s="16"/>
      <c r="AD51" s="16"/>
      <c r="AE51" s="16"/>
      <c r="AF51" s="16"/>
      <c r="AI51" s="56"/>
      <c r="AJ51" s="66">
        <f t="shared" si="13"/>
        <v>0</v>
      </c>
    </row>
    <row r="52" spans="1:36" ht="20" customHeight="1">
      <c r="A52" s="16" t="s">
        <v>74</v>
      </c>
      <c r="B52" s="16"/>
      <c r="C52" s="22"/>
      <c r="D52" s="16"/>
      <c r="E52" s="22"/>
      <c r="F52" s="16"/>
      <c r="G52" s="22"/>
      <c r="H52" s="16">
        <v>15838.92</v>
      </c>
      <c r="I52" s="22">
        <f>H52/H$16</f>
        <v>1.2184908626340361E-2</v>
      </c>
      <c r="J52" s="45"/>
      <c r="K52" s="22">
        <f>J52/J$16</f>
        <v>0</v>
      </c>
      <c r="L52" s="45"/>
      <c r="M52" s="22">
        <f>L52/L$16</f>
        <v>0</v>
      </c>
      <c r="N52" s="45"/>
      <c r="O52" s="22">
        <f>N52/N$16</f>
        <v>0</v>
      </c>
      <c r="P52" s="45"/>
      <c r="Q52" s="22">
        <f>P52/P$16</f>
        <v>0</v>
      </c>
      <c r="R52" s="45"/>
      <c r="S52" s="22">
        <f>R52/R$16</f>
        <v>0</v>
      </c>
      <c r="T52" s="45"/>
      <c r="U52" s="22">
        <f>T52/T$16</f>
        <v>0</v>
      </c>
      <c r="V52" s="45"/>
      <c r="W52" s="22">
        <f>V52/V$16</f>
        <v>0</v>
      </c>
      <c r="X52" s="45"/>
      <c r="Y52" s="22">
        <f>X52/X$16</f>
        <v>0</v>
      </c>
      <c r="Z52" s="16">
        <f>SUM(H52:X52)</f>
        <v>15838.932184908626</v>
      </c>
      <c r="AA52" s="16">
        <f>IFERROR(AVERAGE(B52:X52),0)</f>
        <v>1759.8813538787363</v>
      </c>
      <c r="AB52" s="16"/>
      <c r="AC52" s="16"/>
      <c r="AD52" s="33"/>
      <c r="AE52" s="16">
        <f>IFERROR(AVERAGE(T52:X52),0)</f>
        <v>0</v>
      </c>
      <c r="AF52" s="33"/>
      <c r="AI52" s="56">
        <f t="shared" ref="AI52:AI57" si="40">SUM(T52:X52)*4</f>
        <v>0</v>
      </c>
      <c r="AJ52" s="66">
        <f t="shared" si="13"/>
        <v>0</v>
      </c>
    </row>
    <row r="53" spans="1:36" ht="20" customHeight="1">
      <c r="A53" s="16" t="s">
        <v>75</v>
      </c>
      <c r="B53" s="16"/>
      <c r="C53" s="22"/>
      <c r="D53" s="16"/>
      <c r="E53" s="22"/>
      <c r="F53" s="16"/>
      <c r="G53" s="22"/>
      <c r="H53" s="16">
        <v>0</v>
      </c>
      <c r="I53" s="22"/>
      <c r="J53" s="45"/>
      <c r="K53" s="22"/>
      <c r="L53" s="45"/>
      <c r="M53" s="22"/>
      <c r="N53" s="45"/>
      <c r="O53" s="22"/>
      <c r="P53" s="45"/>
      <c r="Q53" s="22"/>
      <c r="R53" s="45"/>
      <c r="S53" s="22"/>
      <c r="T53" s="45"/>
      <c r="U53" s="22"/>
      <c r="V53" s="45"/>
      <c r="W53" s="22"/>
      <c r="X53" s="45"/>
      <c r="Y53" s="22"/>
      <c r="Z53" s="16"/>
      <c r="AA53" s="16"/>
      <c r="AB53" s="16"/>
      <c r="AC53" s="16"/>
      <c r="AD53" s="33"/>
      <c r="AE53" s="16">
        <f>IFERROR(AVERAGE(T53:X53),0)</f>
        <v>0</v>
      </c>
      <c r="AF53" s="33"/>
      <c r="AI53" s="56">
        <f t="shared" si="40"/>
        <v>0</v>
      </c>
      <c r="AJ53" s="66">
        <f t="shared" si="13"/>
        <v>0</v>
      </c>
    </row>
    <row r="54" spans="1:36" ht="20" customHeight="1">
      <c r="A54" s="46" t="s">
        <v>76</v>
      </c>
      <c r="B54" s="46"/>
      <c r="C54" s="62"/>
      <c r="D54" s="46"/>
      <c r="E54" s="62"/>
      <c r="F54" s="46"/>
      <c r="G54" s="62"/>
      <c r="H54" s="46">
        <v>15838.92</v>
      </c>
      <c r="I54" s="57">
        <f>H54/H$16</f>
        <v>1.2184908626340361E-2</v>
      </c>
      <c r="J54" s="46">
        <v>-4048.64</v>
      </c>
      <c r="K54" s="57">
        <f>J54/J$16</f>
        <v>-1.846869542349373E-3</v>
      </c>
      <c r="L54" s="46">
        <v>7866.51</v>
      </c>
      <c r="M54" s="57">
        <f>L54/L$16</f>
        <v>5.3455658806537288E-3</v>
      </c>
      <c r="N54" s="46">
        <v>7261</v>
      </c>
      <c r="O54" s="57">
        <f>N54/N$16</f>
        <v>4.391965865938886E-3</v>
      </c>
      <c r="P54" s="46">
        <v>9475</v>
      </c>
      <c r="Q54" s="57">
        <f>P54/P$16</f>
        <v>7.769354713066866E-3</v>
      </c>
      <c r="R54" s="46">
        <v>14996</v>
      </c>
      <c r="S54" s="57">
        <f>R54/R$16</f>
        <v>8.1334369628804828E-3</v>
      </c>
      <c r="T54" s="46">
        <v>27328</v>
      </c>
      <c r="U54" s="57">
        <f>T54/T$16</f>
        <v>9.9266074707456027E-3</v>
      </c>
      <c r="V54" s="46">
        <v>11065</v>
      </c>
      <c r="W54" s="57">
        <f>V54/V$16</f>
        <v>5.4489565974479284E-3</v>
      </c>
      <c r="X54" s="46">
        <v>19054</v>
      </c>
      <c r="Y54" s="57">
        <f>X54/X$16</f>
        <v>9.3752291036554736E-3</v>
      </c>
      <c r="Z54" s="46">
        <f>SUM(H54:X54)</f>
        <v>108835.84135392657</v>
      </c>
      <c r="AA54" s="46">
        <f>IFERROR(AVERAGE(B54:X54),0)</f>
        <v>6402.1083149368569</v>
      </c>
      <c r="AB54" s="46"/>
      <c r="AC54" s="46"/>
      <c r="AD54" s="42"/>
      <c r="AE54" s="46">
        <f>IFERROR(AVERAGE(T54:X54),0)</f>
        <v>11489.403075112812</v>
      </c>
      <c r="AF54" s="42"/>
      <c r="AI54" s="56">
        <f t="shared" si="40"/>
        <v>229788.06150225626</v>
      </c>
      <c r="AJ54" s="66">
        <f t="shared" si="13"/>
        <v>19149.005125188021</v>
      </c>
    </row>
    <row r="55" spans="1:36" ht="20" customHeight="1">
      <c r="A55" s="46" t="s">
        <v>77</v>
      </c>
      <c r="B55" s="46"/>
      <c r="C55" s="62"/>
      <c r="D55" s="46"/>
      <c r="E55" s="62"/>
      <c r="F55" s="46"/>
      <c r="G55" s="62"/>
      <c r="H55" s="19">
        <v>654382.89</v>
      </c>
      <c r="I55" s="57">
        <f>H55/H$16</f>
        <v>0.50341789221048761</v>
      </c>
      <c r="J55" s="19">
        <v>664692.06000000006</v>
      </c>
      <c r="K55" s="57">
        <f>J55/J$16</f>
        <v>0.30321281236550107</v>
      </c>
      <c r="L55" s="19">
        <v>665081.81000000006</v>
      </c>
      <c r="M55" s="57">
        <f>L55/L$16</f>
        <v>0.45194611478017899</v>
      </c>
      <c r="N55" s="19">
        <v>693071</v>
      </c>
      <c r="O55" s="57">
        <f>N55/N$16</f>
        <v>0.41921831354801403</v>
      </c>
      <c r="P55" s="19">
        <v>680131</v>
      </c>
      <c r="Q55" s="57">
        <f>P55/P$16</f>
        <v>0.55769699106626702</v>
      </c>
      <c r="R55" s="19">
        <v>738683</v>
      </c>
      <c r="S55" s="57">
        <f>R55/R$16</f>
        <v>0.40064227901116584</v>
      </c>
      <c r="T55" s="19">
        <v>675633</v>
      </c>
      <c r="U55" s="57">
        <f>T55/T$16</f>
        <v>0.24541655391108988</v>
      </c>
      <c r="V55" s="19">
        <v>750396</v>
      </c>
      <c r="W55" s="57">
        <f>V55/V$16</f>
        <v>0.36953233031166161</v>
      </c>
      <c r="X55" s="19">
        <v>860749</v>
      </c>
      <c r="Y55" s="57">
        <f>X55/X$16</f>
        <v>0.42351837282157789</v>
      </c>
      <c r="Z55" s="18">
        <f>SUM(H55:X55)</f>
        <v>6382823.0110832863</v>
      </c>
      <c r="AA55" s="19">
        <f>IFERROR(AVERAGE(B55:X55),0)</f>
        <v>375460.17712254624</v>
      </c>
      <c r="AB55" s="19"/>
      <c r="AC55" s="19"/>
      <c r="AD55" s="42"/>
      <c r="AE55" s="19">
        <f>IFERROR(AVERAGE(T55:X55),0)</f>
        <v>457355.72298977693</v>
      </c>
      <c r="AF55" s="42"/>
      <c r="AI55" s="56">
        <f t="shared" si="40"/>
        <v>9147114.4597955383</v>
      </c>
      <c r="AJ55" s="66">
        <f t="shared" si="13"/>
        <v>762259.5383162949</v>
      </c>
    </row>
    <row r="56" spans="1:36" ht="20" customHeight="1" thickBot="1">
      <c r="A56" s="15"/>
      <c r="B56" s="16"/>
      <c r="C56" s="22"/>
      <c r="D56" s="16"/>
      <c r="E56" s="22"/>
      <c r="F56" s="16"/>
      <c r="G56" s="22"/>
      <c r="H56" s="16"/>
      <c r="I56" s="22"/>
      <c r="J56" s="16"/>
      <c r="K56" s="22"/>
      <c r="L56" s="16"/>
      <c r="M56" s="22"/>
      <c r="N56" s="16"/>
      <c r="O56" s="22"/>
      <c r="P56" s="16"/>
      <c r="Q56" s="22"/>
      <c r="R56" s="16"/>
      <c r="S56" s="22"/>
      <c r="T56" s="16"/>
      <c r="U56" s="22"/>
      <c r="V56" s="16"/>
      <c r="W56" s="22"/>
      <c r="X56" s="16"/>
      <c r="Y56" s="22"/>
      <c r="Z56" s="16"/>
      <c r="AA56" s="16"/>
      <c r="AB56" s="16"/>
      <c r="AC56" s="16"/>
      <c r="AD56" s="16"/>
      <c r="AE56" s="16"/>
      <c r="AF56" s="16"/>
      <c r="AI56" s="56">
        <f t="shared" si="40"/>
        <v>0</v>
      </c>
      <c r="AJ56" s="66">
        <f t="shared" si="13"/>
        <v>0</v>
      </c>
    </row>
    <row r="57" spans="1:36" s="24" customFormat="1" ht="20" customHeight="1" thickTop="1" thickBot="1">
      <c r="A57" s="28" t="s">
        <v>78</v>
      </c>
      <c r="B57" s="29"/>
      <c r="C57" s="85"/>
      <c r="D57" s="29"/>
      <c r="E57" s="85"/>
      <c r="F57" s="29"/>
      <c r="G57" s="85"/>
      <c r="H57" s="30">
        <f>H27-H55</f>
        <v>127261.20999999996</v>
      </c>
      <c r="I57" s="64">
        <f>H57/H$16</f>
        <v>9.7902269569359004E-2</v>
      </c>
      <c r="J57" s="30">
        <f>J27-J55</f>
        <v>285036.75999999989</v>
      </c>
      <c r="K57" s="64">
        <f>J57/J$16</f>
        <v>0.13002531973550327</v>
      </c>
      <c r="L57" s="30">
        <f>L27-L55</f>
        <v>198303.5</v>
      </c>
      <c r="M57" s="64">
        <f>L57/L$16</f>
        <v>0.13475409344349867</v>
      </c>
      <c r="N57" s="30">
        <f>N27-N55</f>
        <v>137709</v>
      </c>
      <c r="O57" s="64">
        <f>N57/N$16</f>
        <v>8.3296133787712168E-2</v>
      </c>
      <c r="P57" s="30">
        <f>P27-P55</f>
        <v>127623</v>
      </c>
      <c r="Q57" s="64">
        <f>P57/P$16</f>
        <v>0.10464890306551268</v>
      </c>
      <c r="R57" s="30">
        <f>R27-R55</f>
        <v>187313</v>
      </c>
      <c r="S57" s="64">
        <f>R57/R$16</f>
        <v>0.10159365683035687</v>
      </c>
      <c r="T57" s="30">
        <f>T27-T55</f>
        <v>584348</v>
      </c>
      <c r="U57" s="64">
        <f>T57/T$16</f>
        <v>0.2122582414488895</v>
      </c>
      <c r="V57" s="30">
        <f>V27-V55</f>
        <v>428602</v>
      </c>
      <c r="W57" s="64">
        <f>V57/V$16</f>
        <v>0.21106495215358129</v>
      </c>
      <c r="X57" s="30">
        <f>X27-X55</f>
        <v>340317</v>
      </c>
      <c r="Y57" s="64">
        <f>X57/X$16</f>
        <v>0.16744777174707251</v>
      </c>
      <c r="Z57" s="29">
        <f>SUM(H57:X57)</f>
        <v>2416514.5455435701</v>
      </c>
      <c r="AA57" s="30">
        <f>IFERROR(AVERAGE(B57:X57),0)</f>
        <v>142147.91444373943</v>
      </c>
      <c r="AB57" s="30"/>
      <c r="AC57" s="30"/>
      <c r="AD57" s="39"/>
      <c r="AE57" s="30">
        <f>IFERROR(AVERAGE(T57:X57),0)</f>
        <v>270653.4846646387</v>
      </c>
      <c r="AF57" s="39"/>
      <c r="AI57" s="56">
        <f t="shared" si="40"/>
        <v>5413069.6932927743</v>
      </c>
      <c r="AJ57" s="66">
        <f t="shared" si="13"/>
        <v>451089.14110773121</v>
      </c>
    </row>
    <row r="58" spans="1:36" ht="20" customHeight="1" thickTop="1">
      <c r="A58" s="16"/>
      <c r="B58" s="16"/>
      <c r="C58" s="22"/>
      <c r="D58" s="16"/>
      <c r="E58" s="22"/>
      <c r="F58" s="16"/>
      <c r="G58" s="22"/>
      <c r="H58" s="16"/>
      <c r="I58" s="22"/>
      <c r="J58" s="16"/>
      <c r="K58" s="22"/>
      <c r="L58" s="16"/>
      <c r="M58" s="22"/>
      <c r="N58" s="16"/>
      <c r="O58" s="22"/>
      <c r="P58" s="16"/>
      <c r="Q58" s="22"/>
      <c r="R58" s="16"/>
      <c r="S58" s="22"/>
      <c r="T58" s="16"/>
      <c r="U58" s="22"/>
      <c r="V58" s="16"/>
      <c r="W58" s="22"/>
      <c r="X58" s="16"/>
      <c r="Y58" s="22"/>
      <c r="Z58" s="16"/>
      <c r="AA58" s="16"/>
      <c r="AB58" s="16"/>
      <c r="AC58" s="16"/>
      <c r="AD58" s="16"/>
      <c r="AE58" s="16"/>
      <c r="AF58" s="16"/>
      <c r="AI58" s="56"/>
      <c r="AJ58" s="66">
        <f t="shared" si="13"/>
        <v>0</v>
      </c>
    </row>
    <row r="59" spans="1:36" ht="20" customHeight="1">
      <c r="A59" s="14" t="s">
        <v>80</v>
      </c>
      <c r="B59" s="16"/>
      <c r="C59" s="22"/>
      <c r="D59" s="16"/>
      <c r="E59" s="22"/>
      <c r="F59" s="16"/>
      <c r="G59" s="22"/>
      <c r="H59" s="16"/>
      <c r="I59" s="22"/>
      <c r="J59" s="16"/>
      <c r="K59" s="22"/>
      <c r="L59" s="16"/>
      <c r="M59" s="22"/>
      <c r="N59" s="16"/>
      <c r="O59" s="22"/>
      <c r="P59" s="16"/>
      <c r="Q59" s="22"/>
      <c r="R59" s="16"/>
      <c r="S59" s="22"/>
      <c r="T59" s="16"/>
      <c r="U59" s="22"/>
      <c r="V59" s="16"/>
      <c r="W59" s="22"/>
      <c r="X59" s="16"/>
      <c r="Y59" s="22"/>
      <c r="Z59" s="16"/>
      <c r="AA59" s="16"/>
      <c r="AB59" s="16"/>
      <c r="AC59" s="16"/>
      <c r="AD59" s="16"/>
      <c r="AE59" s="16"/>
      <c r="AF59" s="16"/>
      <c r="AI59" s="56"/>
      <c r="AJ59" s="66">
        <f t="shared" si="13"/>
        <v>0</v>
      </c>
    </row>
    <row r="60" spans="1:36" ht="20" customHeight="1">
      <c r="A60" s="14" t="s">
        <v>81</v>
      </c>
      <c r="B60" s="16"/>
      <c r="C60" s="22"/>
      <c r="D60" s="16"/>
      <c r="E60" s="22"/>
      <c r="F60" s="16"/>
      <c r="G60" s="22"/>
      <c r="H60" s="16"/>
      <c r="I60" s="22"/>
      <c r="J60" s="16"/>
      <c r="K60" s="22"/>
      <c r="L60" s="16"/>
      <c r="M60" s="22"/>
      <c r="N60" s="16"/>
      <c r="O60" s="22"/>
      <c r="P60" s="16"/>
      <c r="Q60" s="22"/>
      <c r="R60" s="16"/>
      <c r="S60" s="22"/>
      <c r="T60" s="16"/>
      <c r="U60" s="22"/>
      <c r="V60" s="16"/>
      <c r="W60" s="22"/>
      <c r="X60" s="16"/>
      <c r="Y60" s="22"/>
      <c r="Z60" s="16"/>
      <c r="AA60" s="16"/>
      <c r="AB60" s="16"/>
      <c r="AC60" s="16"/>
      <c r="AD60" s="16"/>
      <c r="AE60" s="16"/>
      <c r="AF60" s="16"/>
      <c r="AI60" s="56"/>
      <c r="AJ60" s="66">
        <f t="shared" si="13"/>
        <v>0</v>
      </c>
    </row>
    <row r="61" spans="1:36" ht="20" customHeight="1">
      <c r="A61" s="16" t="s">
        <v>82</v>
      </c>
      <c r="B61" s="16"/>
      <c r="C61" s="22"/>
      <c r="D61" s="16"/>
      <c r="E61" s="22"/>
      <c r="F61" s="16"/>
      <c r="G61" s="22"/>
      <c r="H61" s="16">
        <v>0</v>
      </c>
      <c r="I61" s="22"/>
      <c r="J61" s="16">
        <v>0</v>
      </c>
      <c r="K61" s="22"/>
      <c r="L61" s="16">
        <v>0</v>
      </c>
      <c r="M61" s="22"/>
      <c r="N61" s="16">
        <v>0</v>
      </c>
      <c r="O61" s="22"/>
      <c r="P61" s="16">
        <v>0</v>
      </c>
      <c r="Q61" s="22"/>
      <c r="R61" s="16">
        <v>0</v>
      </c>
      <c r="S61" s="22"/>
      <c r="T61" s="16">
        <v>0</v>
      </c>
      <c r="U61" s="22"/>
      <c r="V61" s="16">
        <v>0</v>
      </c>
      <c r="W61" s="22"/>
      <c r="X61" s="16">
        <v>0</v>
      </c>
      <c r="Y61" s="22"/>
      <c r="Z61" s="16">
        <f>SUM(H61:X61)</f>
        <v>0</v>
      </c>
      <c r="AA61" s="16">
        <f>IFERROR(AVERAGE(B61:X61),0)</f>
        <v>0</v>
      </c>
      <c r="AB61" s="16"/>
      <c r="AC61" s="16"/>
      <c r="AD61" s="33"/>
      <c r="AE61" s="16">
        <f>IFERROR(AVERAGE(T61:X61),0)</f>
        <v>0</v>
      </c>
      <c r="AF61" s="33"/>
      <c r="AI61" s="56">
        <f>SUM(T61:X61)*4</f>
        <v>0</v>
      </c>
      <c r="AJ61" s="66">
        <f t="shared" si="13"/>
        <v>0</v>
      </c>
    </row>
    <row r="62" spans="1:36" ht="20" customHeight="1">
      <c r="A62" s="16" t="s">
        <v>81</v>
      </c>
      <c r="B62" s="16"/>
      <c r="C62" s="22"/>
      <c r="D62" s="16"/>
      <c r="E62" s="22"/>
      <c r="F62" s="16"/>
      <c r="G62" s="22"/>
      <c r="H62" s="16">
        <v>270.5</v>
      </c>
      <c r="I62" s="22">
        <f>H62/H$16</f>
        <v>2.0809611914354438E-4</v>
      </c>
      <c r="J62" s="16">
        <v>0.02</v>
      </c>
      <c r="K62" s="22">
        <f>J62/J$16</f>
        <v>9.123407081634194E-9</v>
      </c>
      <c r="L62" s="16">
        <v>0.01</v>
      </c>
      <c r="M62" s="22">
        <f>L62/L$16</f>
        <v>6.7953461962849203E-9</v>
      </c>
      <c r="N62" s="16">
        <v>57624</v>
      </c>
      <c r="O62" s="22">
        <f>N62/N$16</f>
        <v>3.4855066941035996E-2</v>
      </c>
      <c r="P62" s="16">
        <v>0</v>
      </c>
      <c r="Q62" s="22">
        <f>P62/P$16</f>
        <v>0</v>
      </c>
      <c r="R62" s="16">
        <v>20</v>
      </c>
      <c r="S62" s="22">
        <f>R62/R$16</f>
        <v>1.084747527724791E-5</v>
      </c>
      <c r="T62" s="16">
        <v>0</v>
      </c>
      <c r="U62" s="22">
        <f>T62/T$16</f>
        <v>0</v>
      </c>
      <c r="V62" s="16">
        <v>0</v>
      </c>
      <c r="W62" s="22">
        <f>V62/V$16</f>
        <v>0</v>
      </c>
      <c r="X62" s="16">
        <v>504</v>
      </c>
      <c r="Y62" s="22">
        <f>X62/X$16</f>
        <v>2.4798548694459737E-4</v>
      </c>
      <c r="Z62" s="16">
        <f>SUM(H62:X62)</f>
        <v>58418.565074026461</v>
      </c>
      <c r="AA62" s="16">
        <f>IFERROR(AVERAGE(B62:X62),0)</f>
        <v>3436.3861808250858</v>
      </c>
      <c r="AB62" s="16"/>
      <c r="AC62" s="16"/>
      <c r="AD62" s="33"/>
      <c r="AE62" s="16">
        <f>IFERROR(AVERAGE(T62:X62),0)</f>
        <v>100.8</v>
      </c>
      <c r="AF62" s="33"/>
      <c r="AI62" s="56">
        <f>SUM(T62:X62)*4</f>
        <v>2016</v>
      </c>
      <c r="AJ62" s="66">
        <f t="shared" si="13"/>
        <v>168</v>
      </c>
    </row>
    <row r="63" spans="1:36" ht="20" customHeight="1">
      <c r="A63" s="16" t="s">
        <v>83</v>
      </c>
      <c r="B63" s="16"/>
      <c r="C63" s="22"/>
      <c r="D63" s="16"/>
      <c r="E63" s="22"/>
      <c r="F63" s="16"/>
      <c r="G63" s="22"/>
      <c r="H63" s="16">
        <v>270.5</v>
      </c>
      <c r="I63" s="22">
        <f>H63/H$16</f>
        <v>2.0809611914354438E-4</v>
      </c>
      <c r="J63" s="16">
        <v>0.02</v>
      </c>
      <c r="K63" s="22">
        <f>J63/J$16</f>
        <v>9.123407081634194E-9</v>
      </c>
      <c r="L63" s="16">
        <v>0.01</v>
      </c>
      <c r="M63" s="22">
        <f>L63/L$16</f>
        <v>6.7953461962849203E-9</v>
      </c>
      <c r="N63" s="16">
        <v>57624</v>
      </c>
      <c r="O63" s="22">
        <f>N63/N$16</f>
        <v>3.4855066941035996E-2</v>
      </c>
      <c r="P63" s="16">
        <v>0</v>
      </c>
      <c r="Q63" s="22">
        <f>P63/P$16</f>
        <v>0</v>
      </c>
      <c r="R63" s="16">
        <v>20</v>
      </c>
      <c r="S63" s="22">
        <f>R63/R$16</f>
        <v>1.084747527724791E-5</v>
      </c>
      <c r="T63" s="16">
        <v>0</v>
      </c>
      <c r="U63" s="22">
        <f>T63/T$16</f>
        <v>0</v>
      </c>
      <c r="V63" s="16">
        <v>0</v>
      </c>
      <c r="W63" s="22">
        <f>V63/V$16</f>
        <v>0</v>
      </c>
      <c r="X63" s="16">
        <v>504</v>
      </c>
      <c r="Y63" s="22">
        <f>X63/X$16</f>
        <v>2.4798548694459737E-4</v>
      </c>
      <c r="Z63" s="16">
        <f>SUM(H63:X63)</f>
        <v>58418.565074026461</v>
      </c>
      <c r="AA63" s="16">
        <f>IFERROR(AVERAGE(B63:X63),0)</f>
        <v>3436.3861808250858</v>
      </c>
      <c r="AB63" s="16"/>
      <c r="AC63" s="16"/>
      <c r="AD63" s="33"/>
      <c r="AE63" s="16">
        <f>IFERROR(AVERAGE(T63:X63),0)</f>
        <v>100.8</v>
      </c>
      <c r="AF63" s="33"/>
      <c r="AI63" s="56">
        <f>SUM(T63:X63)*4</f>
        <v>2016</v>
      </c>
      <c r="AJ63" s="66">
        <f t="shared" si="13"/>
        <v>168</v>
      </c>
    </row>
    <row r="64" spans="1:36" ht="20" customHeight="1">
      <c r="A64" s="16"/>
      <c r="B64" s="16"/>
      <c r="C64" s="22"/>
      <c r="D64" s="16"/>
      <c r="E64" s="22"/>
      <c r="F64" s="16"/>
      <c r="G64" s="22"/>
      <c r="H64" s="16"/>
      <c r="I64" s="22"/>
      <c r="J64" s="16"/>
      <c r="K64" s="22"/>
      <c r="L64" s="16"/>
      <c r="M64" s="22"/>
      <c r="N64" s="16"/>
      <c r="O64" s="22"/>
      <c r="P64" s="16"/>
      <c r="Q64" s="22"/>
      <c r="R64" s="16"/>
      <c r="S64" s="22"/>
      <c r="T64" s="16"/>
      <c r="U64" s="22"/>
      <c r="V64" s="16"/>
      <c r="W64" s="22"/>
      <c r="X64" s="16"/>
      <c r="Y64" s="22"/>
      <c r="Z64" s="16"/>
      <c r="AA64" s="16"/>
      <c r="AB64" s="16"/>
      <c r="AC64" s="16"/>
      <c r="AD64" s="33"/>
      <c r="AE64" s="16"/>
      <c r="AF64" s="33"/>
      <c r="AI64" s="56"/>
      <c r="AJ64" s="66"/>
    </row>
    <row r="65" spans="1:36" ht="20" customHeight="1">
      <c r="A65" s="13" t="s">
        <v>84</v>
      </c>
      <c r="B65" s="16"/>
      <c r="C65" s="22"/>
      <c r="D65" s="16"/>
      <c r="E65" s="22"/>
      <c r="F65" s="16"/>
      <c r="G65" s="22"/>
      <c r="H65" s="16"/>
      <c r="I65" s="22"/>
      <c r="J65" s="16"/>
      <c r="K65" s="22"/>
      <c r="L65" s="16"/>
      <c r="M65" s="22"/>
      <c r="N65" s="16"/>
      <c r="O65" s="22"/>
      <c r="P65" s="16"/>
      <c r="Q65" s="22"/>
      <c r="R65" s="16"/>
      <c r="S65" s="22"/>
      <c r="T65" s="16"/>
      <c r="U65" s="22"/>
      <c r="V65" s="16"/>
      <c r="W65" s="22"/>
      <c r="X65" s="16"/>
      <c r="Y65" s="22"/>
      <c r="Z65" s="16"/>
      <c r="AA65" s="16"/>
      <c r="AB65" s="16"/>
      <c r="AC65" s="16"/>
      <c r="AD65" s="17"/>
      <c r="AE65" s="16"/>
      <c r="AF65" s="12"/>
      <c r="AI65" s="56">
        <f t="shared" ref="AI65:AI70" si="41">SUM(T65:X65)*4</f>
        <v>0</v>
      </c>
      <c r="AJ65" s="66">
        <f t="shared" si="13"/>
        <v>0</v>
      </c>
    </row>
    <row r="66" spans="1:36" ht="20" customHeight="1">
      <c r="A66" s="16" t="s">
        <v>85</v>
      </c>
      <c r="B66" s="16"/>
      <c r="C66" s="22"/>
      <c r="D66" s="16"/>
      <c r="E66" s="22"/>
      <c r="F66" s="16"/>
      <c r="G66" s="22"/>
      <c r="H66" s="16"/>
      <c r="I66" s="22">
        <f>H66/H$16</f>
        <v>0</v>
      </c>
      <c r="J66" s="16">
        <v>-25387.29</v>
      </c>
      <c r="K66" s="22">
        <f>J66/J$16</f>
        <v>-1.1580929068475049E-2</v>
      </c>
      <c r="L66" s="16">
        <v>-19810.34</v>
      </c>
      <c r="M66" s="22">
        <f>L66/L$16</f>
        <v>-1.34618118566111E-2</v>
      </c>
      <c r="N66" s="16">
        <v>-9919</v>
      </c>
      <c r="O66" s="22">
        <f>N66/N$16</f>
        <v>-5.9997120815655988E-3</v>
      </c>
      <c r="P66" s="16">
        <v>-28403</v>
      </c>
      <c r="Q66" s="22">
        <f>P66/P$16</f>
        <v>-2.3290024476542288E-2</v>
      </c>
      <c r="R66" s="16">
        <v>-2758</v>
      </c>
      <c r="S66" s="22">
        <f>R66/R$16</f>
        <v>-1.4958668407324867E-3</v>
      </c>
      <c r="T66" s="16">
        <v>-10982</v>
      </c>
      <c r="U66" s="22">
        <f>T66/T$16</f>
        <v>-3.9890955519514132E-3</v>
      </c>
      <c r="V66" s="16">
        <v>-11178</v>
      </c>
      <c r="W66" s="22">
        <f>V66/V$16</f>
        <v>-5.5046034203590551E-3</v>
      </c>
      <c r="X66" s="16">
        <v>-11489</v>
      </c>
      <c r="Y66" s="22">
        <f>X66/X$16</f>
        <v>-5.6529866260049194E-3</v>
      </c>
      <c r="Z66" s="16">
        <f>SUM(H66:X66)</f>
        <v>-119926.69532204331</v>
      </c>
      <c r="AA66" s="16">
        <f>IFERROR(AVERAGE(B66:X66),0)</f>
        <v>-7495.4184576277066</v>
      </c>
      <c r="AB66" s="16"/>
      <c r="AC66" s="16"/>
      <c r="AD66" s="33"/>
      <c r="AE66" s="16">
        <f>IFERROR(AVERAGE(T66:X66),0)</f>
        <v>-6729.8018987397954</v>
      </c>
      <c r="AF66" s="33"/>
      <c r="AI66" s="56">
        <f t="shared" si="41"/>
        <v>-134596.03797479591</v>
      </c>
      <c r="AJ66" s="66">
        <f t="shared" si="13"/>
        <v>-11216.33649789966</v>
      </c>
    </row>
    <row r="67" spans="1:36" ht="20" customHeight="1">
      <c r="A67" s="16" t="s">
        <v>86</v>
      </c>
      <c r="B67" s="16"/>
      <c r="C67" s="22"/>
      <c r="D67" s="16"/>
      <c r="E67" s="22"/>
      <c r="F67" s="16"/>
      <c r="G67" s="22"/>
      <c r="H67" s="16"/>
      <c r="I67" s="22">
        <f>H67/H$16</f>
        <v>0</v>
      </c>
      <c r="J67" s="16">
        <v>-15036.06</v>
      </c>
      <c r="K67" s="22">
        <f>J67/J$16</f>
        <v>-6.8590048141938314E-3</v>
      </c>
      <c r="L67" s="16">
        <v>-32798.99</v>
      </c>
      <c r="M67" s="22">
        <f>L67/L$16</f>
        <v>-2.2288049193848712E-2</v>
      </c>
      <c r="N67" s="16">
        <v>-18678</v>
      </c>
      <c r="O67" s="22">
        <f>N67/N$16</f>
        <v>-1.1297774196943467E-2</v>
      </c>
      <c r="P67" s="16">
        <v>-21179</v>
      </c>
      <c r="Q67" s="22">
        <f>P67/P$16</f>
        <v>-1.7366455247286874E-2</v>
      </c>
      <c r="R67" s="16">
        <v>-19616</v>
      </c>
      <c r="S67" s="22">
        <f>R67/R$16</f>
        <v>-1.063920375192475E-2</v>
      </c>
      <c r="T67" s="16">
        <v>-9917</v>
      </c>
      <c r="U67" s="22">
        <f>T67/T$16</f>
        <v>-3.6022455462303921E-3</v>
      </c>
      <c r="V67" s="16">
        <v>-17067</v>
      </c>
      <c r="W67" s="22">
        <f>V67/V$16</f>
        <v>-8.4046400586212187E-3</v>
      </c>
      <c r="X67" s="16">
        <v>-18300</v>
      </c>
      <c r="Y67" s="22">
        <f>X67/X$16</f>
        <v>-9.0042349426312143E-3</v>
      </c>
      <c r="Z67" s="16">
        <f>SUM(H67:X67)</f>
        <v>-152592.13045737278</v>
      </c>
      <c r="AA67" s="16">
        <f>IFERROR(AVERAGE(B67:X67),0)</f>
        <v>-9537.0081535857989</v>
      </c>
      <c r="AB67" s="16"/>
      <c r="AC67" s="16"/>
      <c r="AD67" s="33"/>
      <c r="AE67" s="16">
        <f>IFERROR(AVERAGE(T67:X67),0)</f>
        <v>-9056.802401377121</v>
      </c>
      <c r="AF67" s="33"/>
      <c r="AI67" s="56">
        <f t="shared" si="41"/>
        <v>-181136.04802754242</v>
      </c>
      <c r="AJ67" s="66">
        <f t="shared" si="13"/>
        <v>-15094.670668961868</v>
      </c>
    </row>
    <row r="68" spans="1:36" ht="20" customHeight="1">
      <c r="A68" s="16" t="s">
        <v>87</v>
      </c>
      <c r="B68" s="16"/>
      <c r="C68" s="22"/>
      <c r="D68" s="16"/>
      <c r="E68" s="22"/>
      <c r="F68" s="16"/>
      <c r="G68" s="22"/>
      <c r="H68" s="16">
        <v>-42400.66</v>
      </c>
      <c r="I68" s="22">
        <f>H68/H$16</f>
        <v>-3.2618901275877694E-2</v>
      </c>
      <c r="J68" s="16">
        <v>-1313.01</v>
      </c>
      <c r="K68" s="22">
        <f>J68/J$16</f>
        <v>-5.9895623661282568E-4</v>
      </c>
      <c r="L68" s="16">
        <v>0</v>
      </c>
      <c r="M68" s="22">
        <f>L68/L$16</f>
        <v>0</v>
      </c>
      <c r="N68" s="16">
        <v>0</v>
      </c>
      <c r="O68" s="22">
        <f>N68/N$16</f>
        <v>0</v>
      </c>
      <c r="P68" s="16">
        <v>0</v>
      </c>
      <c r="Q68" s="22">
        <f>P68/P$16</f>
        <v>0</v>
      </c>
      <c r="R68" s="16">
        <v>-12</v>
      </c>
      <c r="S68" s="22">
        <f>R68/R$16</f>
        <v>-6.5084851663487449E-6</v>
      </c>
      <c r="T68" s="16">
        <v>-2</v>
      </c>
      <c r="U68" s="22">
        <f>T68/T$16</f>
        <v>-7.2647888398313844E-7</v>
      </c>
      <c r="V68" s="16">
        <v>0</v>
      </c>
      <c r="W68" s="22">
        <f>V68/V$16</f>
        <v>0</v>
      </c>
      <c r="X68" s="16">
        <v>0</v>
      </c>
      <c r="Y68" s="22">
        <f>X68/X$16</f>
        <v>0</v>
      </c>
      <c r="Z68" s="16">
        <f>SUM(H68:X68)</f>
        <v>-43727.703225092475</v>
      </c>
      <c r="AA68" s="16">
        <f>IFERROR(AVERAGE(B68:X68),0)</f>
        <v>-2572.2178367701454</v>
      </c>
      <c r="AB68" s="16"/>
      <c r="AC68" s="16"/>
      <c r="AD68" s="33"/>
      <c r="AE68" s="16">
        <f>IFERROR(AVERAGE(T68:X68),0)</f>
        <v>-0.40000014529577682</v>
      </c>
      <c r="AF68" s="33"/>
      <c r="AI68" s="56">
        <f t="shared" si="41"/>
        <v>-8.0000029059155366</v>
      </c>
      <c r="AJ68" s="66">
        <f t="shared" si="13"/>
        <v>-0.66666690882629476</v>
      </c>
    </row>
    <row r="69" spans="1:36" ht="20" customHeight="1">
      <c r="A69" s="46" t="s">
        <v>88</v>
      </c>
      <c r="B69" s="46"/>
      <c r="C69" s="62"/>
      <c r="D69" s="46"/>
      <c r="E69" s="62"/>
      <c r="F69" s="46"/>
      <c r="G69" s="62"/>
      <c r="H69" s="46">
        <v>-42400.66</v>
      </c>
      <c r="I69" s="62">
        <f>H69/H$16</f>
        <v>-3.2618901275877694E-2</v>
      </c>
      <c r="J69" s="46">
        <v>-41736.36</v>
      </c>
      <c r="K69" s="62">
        <f>J69/J$16</f>
        <v>-1.9038890119281705E-2</v>
      </c>
      <c r="L69" s="46">
        <v>-52609.33</v>
      </c>
      <c r="M69" s="62">
        <f>L69/L$16</f>
        <v>-3.5749861050459811E-2</v>
      </c>
      <c r="N69" s="46">
        <v>29027</v>
      </c>
      <c r="O69" s="62">
        <f>N69/N$16</f>
        <v>1.7557580662526932E-2</v>
      </c>
      <c r="P69" s="46">
        <v>-49582</v>
      </c>
      <c r="Q69" s="62">
        <f>P69/P$16</f>
        <v>-4.0656479723829166E-2</v>
      </c>
      <c r="R69" s="46">
        <v>-22366</v>
      </c>
      <c r="S69" s="62">
        <f>R69/R$16</f>
        <v>-1.2130731602546336E-2</v>
      </c>
      <c r="T69" s="46">
        <v>-20901</v>
      </c>
      <c r="U69" s="62">
        <f>T69/T$16</f>
        <v>-7.5920675770657885E-3</v>
      </c>
      <c r="V69" s="46">
        <v>-28245</v>
      </c>
      <c r="W69" s="62">
        <f>V69/V$16</f>
        <v>-1.3909243478980274E-2</v>
      </c>
      <c r="X69" s="46">
        <v>-29285</v>
      </c>
      <c r="Y69" s="62">
        <f>X69/X$16</f>
        <v>-1.4409236081691536E-2</v>
      </c>
      <c r="Z69" s="46">
        <f>SUM(H69:X69)</f>
        <v>-258098.49413859416</v>
      </c>
      <c r="AA69" s="46">
        <f>IFERROR(AVERAGE(B69:X69),0)</f>
        <v>-15182.264361093774</v>
      </c>
      <c r="AB69" s="46"/>
      <c r="AC69" s="46"/>
      <c r="AD69" s="42"/>
      <c r="AE69" s="46">
        <f>IFERROR(AVERAGE(T69:X69),0)</f>
        <v>-15686.204300262209</v>
      </c>
      <c r="AF69" s="42"/>
      <c r="AI69" s="56">
        <f t="shared" si="41"/>
        <v>-313724.08600524417</v>
      </c>
      <c r="AJ69" s="66">
        <f t="shared" si="13"/>
        <v>-26143.673833770346</v>
      </c>
    </row>
    <row r="70" spans="1:36" ht="20" customHeight="1">
      <c r="A70" s="46" t="s">
        <v>89</v>
      </c>
      <c r="B70" s="46"/>
      <c r="C70" s="46"/>
      <c r="D70" s="46"/>
      <c r="E70" s="46"/>
      <c r="F70" s="46"/>
      <c r="G70" s="46"/>
      <c r="H70" s="46">
        <v>-42130.16</v>
      </c>
      <c r="I70" s="62">
        <f>H70/H$16</f>
        <v>-3.2410805156734154E-2</v>
      </c>
      <c r="J70" s="46">
        <v>-41736.339999999997</v>
      </c>
      <c r="K70" s="62">
        <f>J70/J$16</f>
        <v>-1.9038880995874623E-2</v>
      </c>
      <c r="L70" s="46">
        <v>-52609.32</v>
      </c>
      <c r="M70" s="62">
        <f>L70/L$16</f>
        <v>-3.5749854255113615E-2</v>
      </c>
      <c r="N70" s="46">
        <v>29027</v>
      </c>
      <c r="O70" s="62">
        <f>N70/N$16</f>
        <v>1.7557580662526932E-2</v>
      </c>
      <c r="P70" s="46">
        <v>-49582</v>
      </c>
      <c r="Q70" s="62">
        <f>P70/P$16</f>
        <v>-4.0656479723829166E-2</v>
      </c>
      <c r="R70" s="46">
        <v>-22366</v>
      </c>
      <c r="S70" s="62">
        <f>R70/R$16</f>
        <v>-1.2130731602546336E-2</v>
      </c>
      <c r="T70" s="46">
        <v>-20901</v>
      </c>
      <c r="U70" s="62">
        <f>T70/T$16</f>
        <v>-7.5920675770657885E-3</v>
      </c>
      <c r="V70" s="46">
        <v>-28245</v>
      </c>
      <c r="W70" s="62">
        <f>V70/V$16</f>
        <v>-1.3909243478980274E-2</v>
      </c>
      <c r="X70" s="46">
        <v>-29285</v>
      </c>
      <c r="Y70" s="62">
        <f>X70/X$16</f>
        <v>-1.4409236081691536E-2</v>
      </c>
      <c r="Z70" s="46">
        <f>SUM(H70:X70)</f>
        <v>-257827.96393048213</v>
      </c>
      <c r="AA70" s="46">
        <f>IFERROR(AVERAGE(B70:X70),0)</f>
        <v>-15166.350819440126</v>
      </c>
      <c r="AB70" s="46"/>
      <c r="AC70" s="46"/>
      <c r="AD70" s="46"/>
      <c r="AE70" s="46">
        <f>IFERROR(AVERAGE(T70:X70),0)</f>
        <v>-15686.204300262209</v>
      </c>
      <c r="AF70" s="46"/>
      <c r="AI70" s="56">
        <f t="shared" si="41"/>
        <v>-313724.08600524417</v>
      </c>
      <c r="AJ70" s="66">
        <f t="shared" si="13"/>
        <v>-26143.673833770346</v>
      </c>
    </row>
    <row r="71" spans="1:36" ht="2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47"/>
      <c r="AE71" s="20"/>
      <c r="AF71" s="47"/>
      <c r="AI71" s="56"/>
      <c r="AJ71" s="66"/>
    </row>
    <row r="72" spans="1:36" ht="20" customHeight="1">
      <c r="A72" s="16" t="s">
        <v>90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I72" s="56">
        <f>SUM(T72:X72)*4</f>
        <v>0</v>
      </c>
      <c r="AJ72" s="66">
        <f t="shared" si="13"/>
        <v>0</v>
      </c>
    </row>
    <row r="73" spans="1:36" ht="20" customHeight="1">
      <c r="A73" s="16" t="s">
        <v>91</v>
      </c>
      <c r="B73" s="16"/>
      <c r="C73" s="22"/>
      <c r="D73" s="16"/>
      <c r="E73" s="22"/>
      <c r="F73" s="16"/>
      <c r="G73" s="22"/>
      <c r="H73" s="16">
        <v>0</v>
      </c>
      <c r="I73" s="22">
        <f>H73/H$16</f>
        <v>0</v>
      </c>
      <c r="J73" s="16">
        <v>-25.77</v>
      </c>
      <c r="K73" s="22">
        <f>J73/J$16</f>
        <v>-1.1755510024685659E-5</v>
      </c>
      <c r="L73" s="16">
        <v>0</v>
      </c>
      <c r="M73" s="22">
        <f>L73/L$16</f>
        <v>0</v>
      </c>
      <c r="N73" s="16">
        <v>2641</v>
      </c>
      <c r="O73" s="22">
        <f>N73/N$16</f>
        <v>1.5974634143980993E-3</v>
      </c>
      <c r="P73" s="16">
        <v>7548</v>
      </c>
      <c r="Q73" s="22">
        <f>P73/P$16</f>
        <v>6.1892442611323172E-3</v>
      </c>
      <c r="R73" s="16">
        <v>1516</v>
      </c>
      <c r="S73" s="22">
        <f>R73/R$16</f>
        <v>8.2223862601539153E-4</v>
      </c>
      <c r="T73" s="16">
        <v>0</v>
      </c>
      <c r="U73" s="22">
        <f>T73/T$16</f>
        <v>0</v>
      </c>
      <c r="V73" s="16">
        <v>94</v>
      </c>
      <c r="W73" s="22">
        <f>V73/V$16</f>
        <v>4.6290277465892932E-5</v>
      </c>
      <c r="X73" s="16">
        <v>441</v>
      </c>
      <c r="Y73" s="22">
        <f>X73/X$16</f>
        <v>2.1698730107652271E-4</v>
      </c>
      <c r="Z73" s="16"/>
      <c r="AA73" s="16">
        <f>IFERROR(AVERAGE(B73:X73),0)</f>
        <v>718.48462608712168</v>
      </c>
      <c r="AB73" s="16"/>
      <c r="AC73" s="16"/>
      <c r="AD73" s="33"/>
      <c r="AE73" s="16">
        <f>IFERROR(AVERAGE(T73:X73),0)</f>
        <v>107.0000092580555</v>
      </c>
      <c r="AF73" s="33"/>
      <c r="AI73" s="56">
        <f>SUM(T73:X73)*4</f>
        <v>2140.00018516111</v>
      </c>
      <c r="AJ73" s="66">
        <f t="shared" si="13"/>
        <v>178.33334876342585</v>
      </c>
    </row>
    <row r="74" spans="1:36" ht="20" customHeight="1">
      <c r="A74" s="46" t="s">
        <v>92</v>
      </c>
      <c r="B74" s="46"/>
      <c r="C74" s="62"/>
      <c r="D74" s="46"/>
      <c r="E74" s="62"/>
      <c r="F74" s="46"/>
      <c r="G74" s="62"/>
      <c r="H74" s="46">
        <v>0</v>
      </c>
      <c r="I74" s="62">
        <f>H74/H$16</f>
        <v>0</v>
      </c>
      <c r="J74" s="46">
        <v>-25.77</v>
      </c>
      <c r="K74" s="62">
        <f>J74/J$16</f>
        <v>-1.1755510024685659E-5</v>
      </c>
      <c r="L74" s="46">
        <v>0</v>
      </c>
      <c r="M74" s="62">
        <f>L74/L$16</f>
        <v>0</v>
      </c>
      <c r="N74" s="46">
        <v>2641</v>
      </c>
      <c r="O74" s="62">
        <f>N74/N$16</f>
        <v>1.5974634143980993E-3</v>
      </c>
      <c r="P74" s="46">
        <v>7548</v>
      </c>
      <c r="Q74" s="62">
        <f>P74/P$16</f>
        <v>6.1892442611323172E-3</v>
      </c>
      <c r="R74" s="46">
        <v>1516</v>
      </c>
      <c r="S74" s="62">
        <f>R74/R$16</f>
        <v>8.2223862601539153E-4</v>
      </c>
      <c r="T74" s="46">
        <v>0</v>
      </c>
      <c r="U74" s="62">
        <f>T74/T$16</f>
        <v>0</v>
      </c>
      <c r="V74" s="46">
        <v>94</v>
      </c>
      <c r="W74" s="62">
        <f>V74/V$16</f>
        <v>4.6290277465892932E-5</v>
      </c>
      <c r="X74" s="46">
        <v>441</v>
      </c>
      <c r="Y74" s="62">
        <f>X74/X$16</f>
        <v>2.1698730107652271E-4</v>
      </c>
      <c r="Z74" s="46"/>
      <c r="AA74" s="46">
        <f>IFERROR(AVERAGE(B74:X74),0)</f>
        <v>718.48462608712168</v>
      </c>
      <c r="AB74" s="46"/>
      <c r="AC74" s="46"/>
      <c r="AD74" s="42"/>
      <c r="AE74" s="46">
        <f>IFERROR(AVERAGE(T74:X74),0)</f>
        <v>107.0000092580555</v>
      </c>
      <c r="AF74" s="42"/>
      <c r="AI74" s="56">
        <f>SUM(T74:X74)*4</f>
        <v>2140.00018516111</v>
      </c>
      <c r="AJ74" s="66">
        <f t="shared" si="13"/>
        <v>178.33334876342585</v>
      </c>
    </row>
    <row r="75" spans="1:36" ht="20" customHeight="1" thickBot="1">
      <c r="A75" s="16"/>
      <c r="B75" s="16"/>
      <c r="C75" s="22"/>
      <c r="D75" s="16"/>
      <c r="E75" s="22"/>
      <c r="F75" s="16"/>
      <c r="G75" s="22"/>
      <c r="H75" s="16"/>
      <c r="I75" s="22"/>
      <c r="J75" s="16"/>
      <c r="K75" s="22"/>
      <c r="L75" s="16"/>
      <c r="M75" s="22"/>
      <c r="N75" s="16"/>
      <c r="O75" s="22"/>
      <c r="P75" s="16"/>
      <c r="Q75" s="22"/>
      <c r="R75" s="16"/>
      <c r="S75" s="22"/>
      <c r="T75" s="16"/>
      <c r="U75" s="22"/>
      <c r="V75" s="16"/>
      <c r="W75" s="22"/>
      <c r="X75" s="16"/>
      <c r="Y75" s="22"/>
      <c r="Z75" s="16"/>
      <c r="AA75" s="16"/>
      <c r="AB75" s="16"/>
      <c r="AC75" s="16"/>
      <c r="AD75" s="17"/>
      <c r="AE75" s="16"/>
      <c r="AF75" s="12"/>
      <c r="AI75" s="56">
        <f>SUM(T75:X75)*4</f>
        <v>0</v>
      </c>
      <c r="AJ75" s="66">
        <f t="shared" si="13"/>
        <v>0</v>
      </c>
    </row>
    <row r="76" spans="1:36" s="24" customFormat="1" ht="20" customHeight="1" thickTop="1" thickBot="1">
      <c r="A76" s="31" t="s">
        <v>93</v>
      </c>
      <c r="B76" s="32"/>
      <c r="C76" s="65"/>
      <c r="D76" s="32"/>
      <c r="E76" s="65"/>
      <c r="F76" s="32"/>
      <c r="G76" s="65"/>
      <c r="H76" s="32">
        <v>85131.05</v>
      </c>
      <c r="I76" s="65">
        <f>H76/H$16</f>
        <v>6.5491464412624892E-2</v>
      </c>
      <c r="J76" s="32">
        <v>243326.19</v>
      </c>
      <c r="K76" s="65">
        <f>J76/J$16</f>
        <v>0.11099819424965336</v>
      </c>
      <c r="L76" s="32">
        <v>145694.18</v>
      </c>
      <c r="M76" s="65">
        <f>L76/L$16</f>
        <v>9.9004239188385038E-2</v>
      </c>
      <c r="N76" s="32">
        <v>164095</v>
      </c>
      <c r="O76" s="65">
        <f>N76/N$16</f>
        <v>9.9256251035841001E-2</v>
      </c>
      <c r="P76" s="32">
        <v>70493</v>
      </c>
      <c r="Q76" s="65">
        <f>P76/P$16</f>
        <v>5.7803179080551194E-2</v>
      </c>
      <c r="R76" s="32">
        <v>163431</v>
      </c>
      <c r="S76" s="65">
        <f>R76/R$16</f>
        <v>8.8640686601795152E-2</v>
      </c>
      <c r="T76" s="32">
        <v>563447</v>
      </c>
      <c r="U76" s="65">
        <f>T76/T$16</f>
        <v>0.2046661738718237</v>
      </c>
      <c r="V76" s="32">
        <v>400263</v>
      </c>
      <c r="W76" s="65">
        <f>V76/V$16</f>
        <v>0.19710941839713511</v>
      </c>
      <c r="X76" s="32">
        <v>310591</v>
      </c>
      <c r="Y76" s="65">
        <f>X76/X$16</f>
        <v>0.15282154836430445</v>
      </c>
      <c r="Z76" s="32">
        <f>SUM(H76:X76)</f>
        <v>2146472.3429696066</v>
      </c>
      <c r="AA76" s="43">
        <f>IFERROR(AVERAGE(B76:X76),0)</f>
        <v>126263.07899821215</v>
      </c>
      <c r="AB76" s="43"/>
      <c r="AC76" s="43"/>
      <c r="AD76" s="39"/>
      <c r="AE76" s="43">
        <f>IFERROR(AVERAGE(T76:X76),0)</f>
        <v>254860.28035511845</v>
      </c>
      <c r="AF76" s="39"/>
      <c r="AI76" s="56">
        <f>SUM(T76:X76)*4</f>
        <v>5097205.607102369</v>
      </c>
      <c r="AJ76" s="66">
        <f t="shared" si="13"/>
        <v>424767.13392519741</v>
      </c>
    </row>
    <row r="77" spans="1:36" ht="14" thickTop="1">
      <c r="A77" s="12"/>
      <c r="B77" s="12"/>
      <c r="C77" s="22"/>
      <c r="D77" s="12"/>
      <c r="E77" s="22"/>
      <c r="F77" s="12"/>
      <c r="G77" s="22"/>
      <c r="H77" s="12"/>
      <c r="I77" s="22"/>
      <c r="J77" s="12"/>
      <c r="K77" s="22"/>
      <c r="L77" s="12"/>
      <c r="M77" s="22"/>
      <c r="N77" s="12"/>
      <c r="O77" s="22"/>
      <c r="P77" s="12"/>
      <c r="Q77" s="22"/>
      <c r="R77" s="12"/>
      <c r="S77" s="22"/>
      <c r="T77" s="12"/>
      <c r="U77" s="22"/>
      <c r="V77" s="12"/>
      <c r="W77" s="22"/>
      <c r="X77" s="12"/>
      <c r="Y77" s="22"/>
      <c r="Z77" s="13"/>
      <c r="AA77" s="12"/>
      <c r="AB77" s="12"/>
      <c r="AC77" s="12"/>
      <c r="AD77" s="12"/>
      <c r="AE77" s="12"/>
      <c r="AF77" s="12"/>
    </row>
    <row r="78" spans="1:36">
      <c r="A78" s="12"/>
      <c r="B78" s="12"/>
      <c r="C78" s="22"/>
      <c r="D78" s="12"/>
      <c r="E78" s="22"/>
      <c r="F78" s="12"/>
      <c r="G78" s="22"/>
      <c r="H78" s="12"/>
      <c r="I78" s="22"/>
      <c r="J78" s="12"/>
      <c r="K78" s="22"/>
      <c r="L78" s="12"/>
      <c r="M78" s="22"/>
      <c r="N78" s="12"/>
      <c r="O78" s="22"/>
      <c r="P78" s="12"/>
      <c r="Q78" s="22"/>
      <c r="R78" s="12"/>
      <c r="S78" s="22"/>
      <c r="T78" s="12"/>
      <c r="U78" s="22"/>
      <c r="V78" s="12"/>
      <c r="W78" s="22"/>
      <c r="X78" s="12"/>
      <c r="Y78" s="22"/>
      <c r="Z78" s="13"/>
      <c r="AA78" s="12"/>
      <c r="AB78" s="12"/>
      <c r="AC78" s="12"/>
      <c r="AD78" s="12"/>
      <c r="AE78" s="12"/>
      <c r="AF78" s="12"/>
    </row>
    <row r="79" spans="1:36">
      <c r="A79" s="12"/>
      <c r="B79" s="12"/>
      <c r="C79" s="22"/>
      <c r="D79" s="12"/>
      <c r="E79" s="22"/>
      <c r="F79" s="12"/>
      <c r="G79" s="22"/>
      <c r="H79" s="12"/>
      <c r="I79" s="22"/>
      <c r="J79" s="12"/>
      <c r="K79" s="22"/>
      <c r="L79" s="12"/>
      <c r="M79" s="22"/>
      <c r="N79" s="12"/>
      <c r="O79" s="22"/>
      <c r="P79" s="12"/>
      <c r="Q79" s="22"/>
      <c r="R79" s="12"/>
      <c r="S79" s="22"/>
      <c r="T79" s="12"/>
      <c r="U79" s="22"/>
      <c r="V79" s="12"/>
      <c r="W79" s="22"/>
      <c r="X79" s="12"/>
      <c r="Y79" s="22"/>
      <c r="Z79" s="13"/>
      <c r="AA79" s="12"/>
      <c r="AB79" s="12"/>
      <c r="AC79" s="12"/>
      <c r="AD79" s="12"/>
      <c r="AE79" s="12"/>
      <c r="AF79" s="12"/>
    </row>
    <row r="80" spans="1:36" ht="20" customHeight="1">
      <c r="A80" s="21" t="s">
        <v>95</v>
      </c>
      <c r="B80" s="22"/>
      <c r="C80" s="22"/>
      <c r="D80" s="22"/>
      <c r="E80" s="22"/>
      <c r="F80" s="22"/>
      <c r="G80" s="22"/>
      <c r="H80" s="22">
        <f>IFERROR(H27/H16,0)</f>
        <v>0.6013201617798466</v>
      </c>
      <c r="I80" s="22"/>
      <c r="J80" s="22">
        <f>IFERROR(J27/J16,0)</f>
        <v>0.43323813210100431</v>
      </c>
      <c r="K80" s="22"/>
      <c r="L80" s="22">
        <f>IFERROR(L27/L16,0)</f>
        <v>0.58670020822367763</v>
      </c>
      <c r="M80" s="22"/>
      <c r="N80" s="22">
        <f>IFERROR(N27/N16,0)</f>
        <v>0.50251444733572626</v>
      </c>
      <c r="O80" s="22"/>
      <c r="P80" s="22">
        <f>IFERROR(P27/P16,0)</f>
        <v>0.66234589413177969</v>
      </c>
      <c r="Q80" s="22"/>
      <c r="R80" s="22">
        <f>IFERROR(R27/R16,0)</f>
        <v>0.50223593584152271</v>
      </c>
      <c r="S80" s="22"/>
      <c r="T80" s="22">
        <f>IFERROR(T27/T16,0)</f>
        <v>0.45767479535997935</v>
      </c>
      <c r="U80" s="22"/>
      <c r="V80" s="22">
        <f>IFERROR(V27/V16,0)</f>
        <v>0.58059728246524289</v>
      </c>
      <c r="W80" s="22"/>
      <c r="X80" s="22">
        <f>IFERROR(X27/X16,0)</f>
        <v>0.59096614456865038</v>
      </c>
      <c r="Y80" s="22"/>
      <c r="Z80" s="22">
        <f>IFERROR(Z27/Z16,0)</f>
        <v>0.53341535514695304</v>
      </c>
      <c r="AA80" s="12"/>
      <c r="AB80" s="12"/>
      <c r="AC80" s="12"/>
      <c r="AD80" s="33"/>
      <c r="AE80" s="12"/>
      <c r="AF80" s="33"/>
    </row>
    <row r="81" spans="1:32" ht="20" customHeight="1">
      <c r="A81" s="21" t="s">
        <v>79</v>
      </c>
      <c r="B81" s="22"/>
      <c r="C81" s="22"/>
      <c r="D81" s="22"/>
      <c r="E81" s="22"/>
      <c r="F81" s="22"/>
      <c r="G81" s="22"/>
      <c r="H81" s="22">
        <f>H57/H16</f>
        <v>9.7902269569359004E-2</v>
      </c>
      <c r="I81" s="22"/>
      <c r="J81" s="22">
        <f>J57/J16</f>
        <v>0.13002531973550327</v>
      </c>
      <c r="K81" s="22"/>
      <c r="L81" s="22">
        <f>L57/L16</f>
        <v>0.13475409344349867</v>
      </c>
      <c r="M81" s="22"/>
      <c r="N81" s="22">
        <f>N57/N16</f>
        <v>8.3296133787712168E-2</v>
      </c>
      <c r="O81" s="22"/>
      <c r="P81" s="22">
        <f>P57/P16</f>
        <v>0.10464890306551268</v>
      </c>
      <c r="Q81" s="22"/>
      <c r="R81" s="22">
        <f>R57/R16</f>
        <v>0.10159365683035687</v>
      </c>
      <c r="S81" s="22"/>
      <c r="T81" s="22">
        <f>T57/T16</f>
        <v>0.2122582414488895</v>
      </c>
      <c r="U81" s="22"/>
      <c r="V81" s="22">
        <f>V57/V16</f>
        <v>0.21106495215358129</v>
      </c>
      <c r="W81" s="22"/>
      <c r="X81" s="22">
        <f>X57/X16</f>
        <v>0.16744777174707251</v>
      </c>
      <c r="Y81" s="22"/>
      <c r="Z81" s="22">
        <f>Z57/Z16</f>
        <v>0.14648897786153683</v>
      </c>
      <c r="AA81" s="12"/>
      <c r="AB81" s="12"/>
      <c r="AC81" s="12"/>
      <c r="AD81" s="33"/>
      <c r="AE81" s="12"/>
      <c r="AF81" s="33"/>
    </row>
    <row r="82" spans="1:32" ht="20" customHeight="1">
      <c r="A82" s="21" t="s">
        <v>96</v>
      </c>
      <c r="B82" s="22"/>
      <c r="C82" s="22"/>
      <c r="D82" s="22"/>
      <c r="E82" s="22"/>
      <c r="F82" s="22"/>
      <c r="G82" s="22"/>
      <c r="H82" s="22">
        <f>IFERROR(H76/H16,0)</f>
        <v>6.5491464412624892E-2</v>
      </c>
      <c r="I82" s="22"/>
      <c r="J82" s="22">
        <f>IFERROR(J76/J16,0)</f>
        <v>0.11099819424965336</v>
      </c>
      <c r="K82" s="22"/>
      <c r="L82" s="22">
        <f>IFERROR(L76/L16,0)</f>
        <v>9.9004239188385038E-2</v>
      </c>
      <c r="M82" s="22"/>
      <c r="N82" s="22">
        <f>IFERROR(N76/N16,0)</f>
        <v>9.9256251035841001E-2</v>
      </c>
      <c r="O82" s="22"/>
      <c r="P82" s="22">
        <f>IFERROR(P76/P16,0)</f>
        <v>5.7803179080551194E-2</v>
      </c>
      <c r="Q82" s="22"/>
      <c r="R82" s="22">
        <f>IFERROR(R76/R16,0)</f>
        <v>8.8640686601795152E-2</v>
      </c>
      <c r="S82" s="22"/>
      <c r="T82" s="22">
        <f>IFERROR(T76/T16,0)</f>
        <v>0.2046661738718237</v>
      </c>
      <c r="U82" s="22"/>
      <c r="V82" s="22">
        <f>IFERROR(V76/V16,0)</f>
        <v>0.19710941839713511</v>
      </c>
      <c r="W82" s="22"/>
      <c r="X82" s="22">
        <f>IFERROR(X76/X16,0)</f>
        <v>0.15282154836430445</v>
      </c>
      <c r="Y82" s="22"/>
      <c r="Z82" s="22">
        <f>IFERROR(Z76/Z16,0)</f>
        <v>0.13011903450345133</v>
      </c>
      <c r="AA82" s="12"/>
      <c r="AB82" s="12"/>
      <c r="AC82" s="12"/>
      <c r="AD82" s="33"/>
      <c r="AE82" s="12"/>
      <c r="AF82" s="33"/>
    </row>
    <row r="83" spans="1:32" ht="20" customHeight="1">
      <c r="A83" s="21" t="s">
        <v>97</v>
      </c>
      <c r="B83" s="22"/>
      <c r="C83" s="22"/>
      <c r="D83" s="22"/>
      <c r="E83" s="22"/>
      <c r="F83" s="22"/>
      <c r="G83" s="22"/>
      <c r="H83" s="22">
        <f>IFERROR(H40/H16,0)</f>
        <v>0.40463591841487412</v>
      </c>
      <c r="I83" s="22"/>
      <c r="J83" s="22">
        <f>IFERROR(J40/J16,0)</f>
        <v>0.2267199504051591</v>
      </c>
      <c r="K83" s="22"/>
      <c r="L83" s="22">
        <f>IFERROR(L40/L16,0)</f>
        <v>0.34376694185984019</v>
      </c>
      <c r="M83" s="22"/>
      <c r="N83" s="22">
        <f>IFERROR(N40/N16,0)</f>
        <v>0.30355131662196672</v>
      </c>
      <c r="O83" s="22"/>
      <c r="P83" s="22">
        <f>IFERROR(P40/P16,0)</f>
        <v>0.43798578966573326</v>
      </c>
      <c r="Q83" s="22"/>
      <c r="R83" s="22">
        <f>IFERROR(R40/R16,0)</f>
        <v>0.28628710989089068</v>
      </c>
      <c r="S83" s="22"/>
      <c r="T83" s="22">
        <f>IFERROR(T40/T16,0)</f>
        <v>0.19659571994965502</v>
      </c>
      <c r="U83" s="22"/>
      <c r="V83" s="22">
        <f>IFERROR(V40/V16,0)</f>
        <v>0.28574692809839541</v>
      </c>
      <c r="W83" s="22"/>
      <c r="X83" s="22">
        <f>IFERROR(X40/X16,0)</f>
        <v>0.34258260155473125</v>
      </c>
      <c r="Y83" s="22"/>
      <c r="Z83" s="22">
        <f>IFERROR(Z40/Z16,0)</f>
        <v>0.29767064288076689</v>
      </c>
      <c r="AA83" s="12"/>
      <c r="AB83" s="12"/>
      <c r="AC83" s="12"/>
      <c r="AD83" s="33"/>
      <c r="AE83" s="12"/>
      <c r="AF83" s="33"/>
    </row>
    <row r="84" spans="1:32" ht="20" customHeight="1">
      <c r="A84" s="21" t="s">
        <v>98</v>
      </c>
      <c r="B84" s="22"/>
      <c r="C84" s="22"/>
      <c r="D84" s="22"/>
      <c r="E84" s="22"/>
      <c r="F84" s="22"/>
      <c r="G84" s="22"/>
      <c r="H84" s="22">
        <f>IFERROR(H40/SUM(H12,H14),0)</f>
        <v>0.68119189959280912</v>
      </c>
      <c r="I84" s="22"/>
      <c r="J84" s="22">
        <f>IFERROR(J40/SUM(J12,J14),0)</f>
        <v>0.6093934169862657</v>
      </c>
      <c r="K84" s="22"/>
      <c r="L84" s="22">
        <f>IFERROR(L40/SUM(L12,L14),0)</f>
        <v>0.58407903536768557</v>
      </c>
      <c r="M84" s="22"/>
      <c r="N84" s="22">
        <f>IFERROR(N40/SUM(N12,N14),0)</f>
        <v>0.56948759790381998</v>
      </c>
      <c r="O84" s="22"/>
      <c r="P84" s="22">
        <f>IFERROR(P40/SUM(P12,P14),0)</f>
        <v>0.57040720106533738</v>
      </c>
      <c r="Q84" s="22"/>
      <c r="R84" s="22">
        <f>IFERROR(R40/SUM(R12,R14),0)</f>
        <v>0.49138650905289305</v>
      </c>
      <c r="S84" s="22"/>
      <c r="T84" s="22">
        <f>IFERROR(T40/SUM(T12,T14),0)</f>
        <v>0.49141299087593393</v>
      </c>
      <c r="U84" s="22"/>
      <c r="V84" s="22">
        <f>IFERROR(V40/SUM(V12,V14),0)</f>
        <v>0.52722075533757229</v>
      </c>
      <c r="W84" s="22"/>
      <c r="X84" s="22">
        <f>IFERROR(X40/SUM(X12,X14),0)</f>
        <v>0.58794168014943071</v>
      </c>
      <c r="Y84" s="22"/>
      <c r="Z84" s="22">
        <f>IFERROR(Z40/SUM(Z12,Z14),0)</f>
        <v>0.56235830982858526</v>
      </c>
      <c r="AA84" s="12"/>
      <c r="AB84" s="12"/>
      <c r="AC84" s="12"/>
      <c r="AD84" s="33"/>
      <c r="AE84" s="12"/>
      <c r="AF84" s="33"/>
    </row>
    <row r="85" spans="1:32" ht="20" customHeight="1">
      <c r="A85" s="21" t="s">
        <v>99</v>
      </c>
      <c r="B85" s="22"/>
      <c r="C85" s="22"/>
      <c r="D85" s="22"/>
      <c r="E85" s="22"/>
      <c r="F85" s="22"/>
      <c r="G85" s="22"/>
      <c r="H85" s="22">
        <f>H40/(H16-H20-H21)</f>
        <v>0.52201443090383814</v>
      </c>
      <c r="I85" s="22"/>
      <c r="J85" s="22">
        <f>J40/(J16-J20-J21)</f>
        <v>0.42154883330332071</v>
      </c>
      <c r="K85" s="22"/>
      <c r="L85" s="22">
        <f>L40/(L16-L20-L21)</f>
        <v>0.46047959978678804</v>
      </c>
      <c r="M85" s="22"/>
      <c r="N85" s="22">
        <f>N40/(N16-N20-N21)</f>
        <v>0.47450631846182212</v>
      </c>
      <c r="O85" s="22"/>
      <c r="P85" s="22">
        <f>P40/(P16-P20-P21)</f>
        <v>0.51911326650112499</v>
      </c>
      <c r="Q85" s="22"/>
      <c r="R85" s="22">
        <f>R40/(R16-R20-R21)</f>
        <v>0.43216063533649912</v>
      </c>
      <c r="S85" s="22"/>
      <c r="T85" s="22">
        <f>T40/(T16-T20-T21)</f>
        <v>0.36842008530659864</v>
      </c>
      <c r="U85" s="22"/>
      <c r="V85" s="22">
        <f>V40/(V16-V20-V21)</f>
        <v>0.40855186495573043</v>
      </c>
      <c r="W85" s="22"/>
      <c r="X85" s="22">
        <f>X40/(X16-X20-X21)</f>
        <v>0.47872488911227251</v>
      </c>
      <c r="Y85" s="22"/>
      <c r="Z85" s="22">
        <f>Z40/(Z16-Z20-Z21)</f>
        <v>0.44897938497948758</v>
      </c>
      <c r="AA85" s="12"/>
      <c r="AB85" s="12"/>
      <c r="AC85" s="12"/>
      <c r="AD85" s="33"/>
      <c r="AE85" s="12"/>
      <c r="AF85" s="33"/>
    </row>
    <row r="86" spans="1:32" ht="20" customHeight="1">
      <c r="A86" s="21" t="s">
        <v>100</v>
      </c>
      <c r="B86" s="12"/>
      <c r="C86" s="22"/>
      <c r="D86" s="12"/>
      <c r="E86" s="22"/>
      <c r="F86" s="12"/>
      <c r="G86" s="22"/>
      <c r="H86" s="22">
        <f>H87/H10</f>
        <v>0.39616224573309861</v>
      </c>
      <c r="I86" s="22"/>
      <c r="J86" s="22">
        <f>J87/J10</f>
        <v>0.21853664754724764</v>
      </c>
      <c r="K86" s="22"/>
      <c r="L86" s="22">
        <f>L87/L10</f>
        <v>0.33445891880681111</v>
      </c>
      <c r="M86" s="22"/>
      <c r="N86" s="22">
        <f>N87/N10</f>
        <v>0.19345428209306537</v>
      </c>
      <c r="O86" s="22"/>
      <c r="P86" s="22">
        <f>P87/P10</f>
        <v>0.17797511071704838</v>
      </c>
      <c r="Q86" s="22"/>
      <c r="R86" s="22">
        <f>R87/R10</f>
        <v>0.10358038824447111</v>
      </c>
      <c r="S86" s="22"/>
      <c r="T86" s="22">
        <f>T87/T10</f>
        <v>0.16048458324175788</v>
      </c>
      <c r="U86" s="22"/>
      <c r="V86" s="22">
        <f>V87/V10</f>
        <v>0.20156305944086728</v>
      </c>
      <c r="W86" s="22"/>
      <c r="X86" s="22">
        <f>X87/X10</f>
        <v>0.18986933016269369</v>
      </c>
      <c r="Y86" s="22"/>
      <c r="Z86" s="22">
        <f>Z87/Z10</f>
        <v>0.2047763164069023</v>
      </c>
      <c r="AA86" s="12"/>
      <c r="AB86" s="12"/>
      <c r="AC86" s="12"/>
      <c r="AD86" s="33"/>
      <c r="AE86" s="12"/>
      <c r="AF86" s="33"/>
    </row>
    <row r="87" spans="1:32" ht="20" customHeight="1">
      <c r="A87" s="21" t="s">
        <v>101</v>
      </c>
      <c r="B87" s="23"/>
      <c r="C87" s="22"/>
      <c r="D87" s="23"/>
      <c r="E87" s="22"/>
      <c r="F87" s="23"/>
      <c r="G87" s="22"/>
      <c r="H87" s="23">
        <f>H10-H21</f>
        <v>160234.24999999997</v>
      </c>
      <c r="I87" s="22"/>
      <c r="J87" s="23">
        <f>J10-J21</f>
        <v>273239.68999999994</v>
      </c>
      <c r="K87" s="22"/>
      <c r="L87" s="23">
        <f>L10-L21</f>
        <v>160569.69</v>
      </c>
      <c r="M87" s="22"/>
      <c r="N87" s="23">
        <f>N10-N21</f>
        <v>133556</v>
      </c>
      <c r="O87" s="22"/>
      <c r="P87" s="23">
        <f>P10-P21</f>
        <v>39343</v>
      </c>
      <c r="Q87" s="22"/>
      <c r="R87" s="23">
        <f>R10-R21</f>
        <v>67589</v>
      </c>
      <c r="S87" s="22"/>
      <c r="T87" s="23">
        <f>T10-T21</f>
        <v>235125</v>
      </c>
      <c r="U87" s="22"/>
      <c r="V87" s="23">
        <f>V10-V21</f>
        <v>137362</v>
      </c>
      <c r="W87" s="22"/>
      <c r="X87" s="23">
        <f>X10-X21</f>
        <v>127592</v>
      </c>
      <c r="Y87" s="22"/>
      <c r="Z87" s="23">
        <f>Z10-Z21</f>
        <v>1334611.2897788174</v>
      </c>
      <c r="AA87" s="12"/>
      <c r="AB87" s="12"/>
      <c r="AC87" s="12"/>
      <c r="AD87" s="33"/>
      <c r="AE87" s="12"/>
      <c r="AF87" s="33"/>
    </row>
    <row r="88" spans="1:32">
      <c r="A88" s="21" t="s">
        <v>102</v>
      </c>
    </row>
    <row r="91" spans="1:32">
      <c r="A91" s="21" t="s">
        <v>121</v>
      </c>
    </row>
    <row r="92" spans="1:32">
      <c r="A92" s="21" t="s">
        <v>122</v>
      </c>
    </row>
    <row r="93" spans="1:32">
      <c r="A93" s="21" t="s">
        <v>123</v>
      </c>
    </row>
    <row r="94" spans="1:32">
      <c r="A94" s="21" t="s">
        <v>124</v>
      </c>
    </row>
    <row r="96" spans="1:32">
      <c r="A96" s="21" t="s">
        <v>125</v>
      </c>
    </row>
    <row r="97" spans="1:27">
      <c r="A97" s="21" t="s">
        <v>126</v>
      </c>
      <c r="H97" s="56">
        <f>SUM(H11:H14)</f>
        <v>838207.92</v>
      </c>
      <c r="J97" s="56">
        <f>SUM(J11:J14)</f>
        <v>902971.1</v>
      </c>
      <c r="L97" s="56">
        <f>SUM(L11:L14)</f>
        <v>927818.58000000007</v>
      </c>
      <c r="N97" s="56">
        <f>SUM(N11:N14)</f>
        <v>920799</v>
      </c>
      <c r="P97" s="56">
        <f>SUM(P11:P14)</f>
        <v>991054</v>
      </c>
      <c r="R97" s="56">
        <f>SUM(R11:R14)</f>
        <v>1146068</v>
      </c>
      <c r="T97" s="56">
        <f>SUM(T11:T14)</f>
        <v>1224088</v>
      </c>
      <c r="V97" s="56">
        <f>SUM(V11:V14)</f>
        <v>1270711</v>
      </c>
      <c r="X97" s="56">
        <f>SUM(X11:X14)</f>
        <v>1319642</v>
      </c>
      <c r="Z97" s="3">
        <f>SUM(H97:X97)</f>
        <v>9541359.5999999996</v>
      </c>
    </row>
    <row r="98" spans="1:27">
      <c r="A98" s="21" t="s">
        <v>157</v>
      </c>
      <c r="B98" s="125" t="s">
        <v>170</v>
      </c>
      <c r="H98" s="56">
        <f>H22+H24+H36+H38+H40+H42+H49+H52</f>
        <v>880331.95000000019</v>
      </c>
      <c r="J98" s="56">
        <f>J22+J24+J36+J38+J40+J42+J49+J52</f>
        <v>897877.21000000008</v>
      </c>
      <c r="L98" s="56">
        <f>L22+L24+L36+L38+L40+L42+L49+L52</f>
        <v>892436.4</v>
      </c>
      <c r="N98" s="56">
        <f>N22+N24+N36+N38+N40+N42+N49+N52</f>
        <v>911286</v>
      </c>
      <c r="P98" s="56">
        <f>P22+P24+P36+P38+P40+P42+P49+P52</f>
        <v>889247</v>
      </c>
      <c r="R98" s="56">
        <f>R22+R24+R36+R38+R40+R42+R49+R52</f>
        <v>1018342</v>
      </c>
      <c r="T98" s="56">
        <f>T22+T24+T36+T38+T40+T42+T49+T52</f>
        <v>857378</v>
      </c>
      <c r="V98" s="56">
        <f>V22+V24+V36+V38+V40+V42+V49+V52</f>
        <v>979666</v>
      </c>
      <c r="X98" s="56">
        <f>X22+X24+X36+X38+X40+X42+X49+X52</f>
        <v>1093957</v>
      </c>
      <c r="Z98" s="3">
        <f>SUM(H98:X98)</f>
        <v>8420521.5600000005</v>
      </c>
    </row>
    <row r="99" spans="1:27">
      <c r="A99" s="21" t="s">
        <v>128</v>
      </c>
      <c r="H99" s="56">
        <f>H97-H98</f>
        <v>-42124.030000000144</v>
      </c>
      <c r="J99" s="56">
        <f t="shared" ref="J99:Z99" si="42">J97-J98</f>
        <v>5093.8899999998976</v>
      </c>
      <c r="L99" s="56">
        <f t="shared" si="42"/>
        <v>35382.180000000051</v>
      </c>
      <c r="N99" s="56">
        <f t="shared" si="42"/>
        <v>9513</v>
      </c>
      <c r="P99" s="56">
        <f t="shared" si="42"/>
        <v>101807</v>
      </c>
      <c r="R99" s="56">
        <f t="shared" si="42"/>
        <v>127726</v>
      </c>
      <c r="T99" s="56">
        <f t="shared" si="42"/>
        <v>366710</v>
      </c>
      <c r="V99" s="56">
        <f t="shared" si="42"/>
        <v>291045</v>
      </c>
      <c r="X99" s="56">
        <f t="shared" si="42"/>
        <v>225685</v>
      </c>
      <c r="Z99" s="70">
        <f t="shared" si="42"/>
        <v>1120838.0399999991</v>
      </c>
    </row>
    <row r="100" spans="1:27">
      <c r="A100" s="21" t="s">
        <v>129</v>
      </c>
      <c r="H100" s="66">
        <f>H99/0.15</f>
        <v>-280826.86666666763</v>
      </c>
      <c r="J100" s="66">
        <f t="shared" ref="J100:X100" si="43">J99/0.15</f>
        <v>33959.266666665986</v>
      </c>
      <c r="L100" s="66">
        <f t="shared" si="43"/>
        <v>235881.20000000036</v>
      </c>
      <c r="N100" s="66">
        <f t="shared" si="43"/>
        <v>63420</v>
      </c>
      <c r="P100" s="66">
        <f t="shared" si="43"/>
        <v>678713.33333333337</v>
      </c>
      <c r="R100" s="66">
        <f t="shared" si="43"/>
        <v>851506.66666666674</v>
      </c>
      <c r="T100" s="66">
        <f t="shared" si="43"/>
        <v>2444733.3333333335</v>
      </c>
      <c r="V100" s="66">
        <f t="shared" si="43"/>
        <v>1940300</v>
      </c>
      <c r="X100" s="66">
        <f t="shared" si="43"/>
        <v>1504566.6666666667</v>
      </c>
    </row>
    <row r="101" spans="1:27">
      <c r="A101" s="21" t="s">
        <v>130</v>
      </c>
      <c r="H101" s="66">
        <f>H16*0.15</f>
        <v>194982.01200000002</v>
      </c>
    </row>
    <row r="102" spans="1:27">
      <c r="A102" s="21" t="s">
        <v>131</v>
      </c>
    </row>
    <row r="103" spans="1:27">
      <c r="A103" s="21" t="s">
        <v>132</v>
      </c>
    </row>
    <row r="104" spans="1:27">
      <c r="A104" s="21" t="s">
        <v>133</v>
      </c>
    </row>
    <row r="107" spans="1:27">
      <c r="A107" s="21" t="s">
        <v>134</v>
      </c>
      <c r="H107" s="5">
        <f>H57-H99</f>
        <v>169385.24000000011</v>
      </c>
      <c r="I107" s="4"/>
      <c r="J107" s="5">
        <f>J57-J99</f>
        <v>279942.87</v>
      </c>
      <c r="K107" s="4"/>
      <c r="L107" s="5">
        <f>L57-L99</f>
        <v>162921.31999999995</v>
      </c>
      <c r="M107" s="4"/>
      <c r="N107" s="5">
        <f>N57-N99</f>
        <v>128196</v>
      </c>
      <c r="O107" s="4"/>
      <c r="P107" s="5">
        <f>P57-P99</f>
        <v>25816</v>
      </c>
      <c r="Q107" s="4"/>
      <c r="R107" s="5">
        <f>R57-R99</f>
        <v>59587</v>
      </c>
      <c r="S107" s="4"/>
      <c r="T107" s="5">
        <f>T57-T99</f>
        <v>217638</v>
      </c>
      <c r="U107" s="4"/>
      <c r="V107" s="5">
        <f>V57-V99</f>
        <v>137557</v>
      </c>
      <c r="W107" s="4"/>
      <c r="X107" s="5">
        <f>X57-X99</f>
        <v>114632</v>
      </c>
      <c r="Y107" s="4"/>
      <c r="Z107" s="3">
        <f>Z57-Z99</f>
        <v>1295676.505543571</v>
      </c>
      <c r="AA107" t="s">
        <v>135</v>
      </c>
    </row>
    <row r="108" spans="1:27">
      <c r="A108" s="21" t="s">
        <v>136</v>
      </c>
      <c r="H108" s="5">
        <f>H13</f>
        <v>60454.51</v>
      </c>
      <c r="I108" s="4"/>
      <c r="J108" s="5">
        <f>J13</f>
        <v>64037.919999999998</v>
      </c>
      <c r="K108" s="4"/>
      <c r="L108" s="5">
        <f>L13</f>
        <v>43186.080000000002</v>
      </c>
      <c r="M108" s="4"/>
      <c r="N108" s="5">
        <f>N13</f>
        <v>27190</v>
      </c>
      <c r="O108" s="4"/>
      <c r="P108" s="5">
        <f>P13</f>
        <v>43417</v>
      </c>
      <c r="Q108" s="4"/>
      <c r="R108" s="5">
        <f>R13</f>
        <v>53573</v>
      </c>
      <c r="S108" s="4"/>
      <c r="T108" s="5">
        <f>T13</f>
        <v>98569</v>
      </c>
      <c r="U108" s="4"/>
      <c r="V108" s="5">
        <f>V13</f>
        <v>139411</v>
      </c>
      <c r="W108" s="4"/>
      <c r="X108" s="5">
        <f>X13</f>
        <v>106978</v>
      </c>
      <c r="Y108" s="4"/>
      <c r="Z108" s="3">
        <f>Z13</f>
        <v>636816.80062775582</v>
      </c>
      <c r="AA108" t="s">
        <v>137</v>
      </c>
    </row>
    <row r="109" spans="1:27">
      <c r="A109" s="21" t="s">
        <v>138</v>
      </c>
      <c r="H109" s="5">
        <f t="shared" ref="H109:X109" si="44">H107-H108</f>
        <v>108930.7300000001</v>
      </c>
      <c r="I109" s="4"/>
      <c r="J109" s="5">
        <f t="shared" si="44"/>
        <v>215904.95</v>
      </c>
      <c r="K109" s="4"/>
      <c r="L109" s="5">
        <f t="shared" si="44"/>
        <v>119735.23999999995</v>
      </c>
      <c r="M109" s="4"/>
      <c r="N109" s="5">
        <f t="shared" si="44"/>
        <v>101006</v>
      </c>
      <c r="O109" s="4"/>
      <c r="P109" s="5">
        <f t="shared" si="44"/>
        <v>-17601</v>
      </c>
      <c r="Q109" s="4"/>
      <c r="R109" s="5">
        <f t="shared" si="44"/>
        <v>6014</v>
      </c>
      <c r="S109" s="4"/>
      <c r="T109" s="5">
        <f t="shared" si="44"/>
        <v>119069</v>
      </c>
      <c r="U109" s="4"/>
      <c r="V109" s="5">
        <f t="shared" si="44"/>
        <v>-1854</v>
      </c>
      <c r="W109" s="4"/>
      <c r="X109" s="5">
        <f t="shared" si="44"/>
        <v>7654</v>
      </c>
      <c r="Y109" s="4"/>
      <c r="Z109" s="3">
        <f>Z107-Z108</f>
        <v>658859.70491581515</v>
      </c>
      <c r="AA109" t="s">
        <v>139</v>
      </c>
    </row>
    <row r="111" spans="1:27">
      <c r="A111" s="21" t="s">
        <v>140</v>
      </c>
    </row>
    <row r="114" spans="1:10">
      <c r="A114" t="s">
        <v>141</v>
      </c>
    </row>
    <row r="115" spans="1:10">
      <c r="A115" t="s">
        <v>142</v>
      </c>
    </row>
    <row r="119" spans="1:10">
      <c r="A119" t="s">
        <v>143</v>
      </c>
      <c r="B119" t="s">
        <v>144</v>
      </c>
      <c r="D119" t="s">
        <v>145</v>
      </c>
    </row>
    <row r="120" spans="1:10">
      <c r="A120" t="s">
        <v>146</v>
      </c>
      <c r="B120" s="123">
        <v>250000</v>
      </c>
      <c r="C120" s="124"/>
      <c r="D120" s="123">
        <f>B120*12</f>
        <v>3000000</v>
      </c>
    </row>
    <row r="121" spans="1:10">
      <c r="A121" t="s">
        <v>113</v>
      </c>
      <c r="B121" s="123">
        <v>75000</v>
      </c>
      <c r="C121" s="124"/>
      <c r="D121" s="123">
        <f>B121*12</f>
        <v>900000</v>
      </c>
    </row>
    <row r="122" spans="1:10">
      <c r="B122" s="123">
        <f>SUM(B120:B121)</f>
        <v>325000</v>
      </c>
      <c r="C122" s="123">
        <f t="shared" ref="C122:D122" si="45">SUM(C120:C121)</f>
        <v>0</v>
      </c>
      <c r="D122" s="123">
        <f t="shared" si="45"/>
        <v>3900000</v>
      </c>
    </row>
    <row r="125" spans="1:10">
      <c r="F125">
        <v>481</v>
      </c>
      <c r="H125">
        <v>-375</v>
      </c>
      <c r="J125">
        <f>F125+H125</f>
        <v>106</v>
      </c>
    </row>
  </sheetData>
  <conditionalFormatting sqref="H80:Z80">
    <cfRule type="colorScale" priority="1">
      <colorScale>
        <cfvo type="percent" val="0"/>
        <cfvo type="percentile" val="50"/>
        <cfvo type="percent" val="60"/>
        <color rgb="FFF8696B"/>
        <color rgb="FFFFEB84"/>
        <color rgb="FF63BE7B"/>
      </colorScale>
    </cfRule>
  </conditionalFormatting>
  <conditionalFormatting sqref="H81:Z81">
    <cfRule type="colorScale" priority="2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B6799854-2C87-4073-A8C5-C746AD62B960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'Modesto &amp; Irvine'!T76:X76</xm:f>
              <xm:sqref>AF76</xm:sqref>
            </x14:sparkline>
            <x14:sparkline>
              <xm:f>'Modesto &amp; Irvine'!T27:X27</xm:f>
              <xm:sqref>AF27</xm:sqref>
            </x14:sparkline>
            <x14:sparkline>
              <xm:f>'Modesto &amp; Irvine'!T16:X16</xm:f>
              <xm:sqref>AF16</xm:sqref>
            </x14:sparkline>
            <x14:sparkline>
              <xm:f>'Modesto &amp; Irvine'!T14:X14</xm:f>
              <xm:sqref>AF14</xm:sqref>
            </x14:sparkline>
            <x14:sparkline>
              <xm:f>'Modesto &amp; Irvine'!T13:X13</xm:f>
              <xm:sqref>AF13</xm:sqref>
            </x14:sparkline>
            <x14:sparkline>
              <xm:f>'Modesto &amp; Irvine'!T12:X12</xm:f>
              <xm:sqref>AF12</xm:sqref>
            </x14:sparkline>
            <x14:sparkline>
              <xm:f>'Modesto &amp; Irvine'!T11:X11</xm:f>
              <xm:sqref>AF11</xm:sqref>
            </x14:sparkline>
            <x14:sparkline>
              <xm:f>'Modesto &amp; Irvine'!T10:X10</xm:f>
              <xm:sqref>AF10</xm:sqref>
            </x14:sparkline>
            <x14:sparkline>
              <xm:f>'Modesto &amp; Irvine'!T9:X9</xm:f>
              <xm:sqref>AF9</xm:sqref>
            </x14:sparkline>
            <x14:sparkline>
              <xm:f>'Modesto &amp; Irvine'!T61:X61</xm:f>
              <xm:sqref>AF61</xm:sqref>
            </x14:sparkline>
            <x14:sparkline>
              <xm:f>'Modesto &amp; Irvine'!T62:X62</xm:f>
              <xm:sqref>AF62</xm:sqref>
            </x14:sparkline>
            <x14:sparkline>
              <xm:f>'Modesto &amp; Irvine'!T63:X63</xm:f>
              <xm:sqref>AF63</xm:sqref>
            </x14:sparkline>
            <x14:sparkline>
              <xm:f>'Modesto &amp; Irvine'!T64:X64</xm:f>
              <xm:sqref>AF64</xm:sqref>
            </x14:sparkline>
            <x14:sparkline>
              <xm:f>'Modesto &amp; Irvine'!T57:X57</xm:f>
              <xm:sqref>AF57</xm:sqref>
            </x14:sparkline>
            <x14:sparkline>
              <xm:f>'Modesto &amp; Irvine'!T15:X15</xm:f>
              <xm:sqref>AF15</xm:sqref>
            </x14:sparkline>
            <x14:sparkline>
              <xm:f>'Modesto &amp; Irvine'!T80:X80</xm:f>
              <xm:sqref>AF80</xm:sqref>
            </x14:sparkline>
            <x14:sparkline>
              <xm:f>'Modesto &amp; Irvine'!T81:X81</xm:f>
              <xm:sqref>AF81</xm:sqref>
            </x14:sparkline>
            <x14:sparkline>
              <xm:f>'Modesto &amp; Irvine'!T82:X82</xm:f>
              <xm:sqref>AF82</xm:sqref>
            </x14:sparkline>
            <x14:sparkline>
              <xm:f>'Modesto &amp; Irvine'!T83:X83</xm:f>
              <xm:sqref>AF83</xm:sqref>
            </x14:sparkline>
            <x14:sparkline>
              <xm:f>'Modesto &amp; Irvine'!T84:X84</xm:f>
              <xm:sqref>AF84</xm:sqref>
            </x14:sparkline>
            <x14:sparkline>
              <xm:f>'Modesto &amp; Irvine'!T85:X85</xm:f>
              <xm:sqref>AF85</xm:sqref>
            </x14:sparkline>
            <x14:sparkline>
              <xm:f>'Modesto &amp; Irvine'!T86:X86</xm:f>
              <xm:sqref>AF86</xm:sqref>
            </x14:sparkline>
            <x14:sparkline>
              <xm:f>'Modesto &amp; Irvine'!T87:X87</xm:f>
              <xm:sqref>AF87</xm:sqref>
            </x14:sparkline>
          </x14:sparklines>
        </x14:sparklineGroup>
        <x14:sparklineGroup lineWeight="1" displayEmptyCellsAs="gap" high="1" low="1" xr2:uid="{22840164-2BA3-498C-B08F-098EF6DA3041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50"/>
          <x14:sparklines>
            <x14:sparkline>
              <xm:f>'Modesto &amp; Irvine'!H20:X20</xm:f>
              <xm:sqref>AD20</xm:sqref>
            </x14:sparkline>
            <x14:sparkline>
              <xm:f>'Modesto &amp; Irvine'!H21:X21</xm:f>
              <xm:sqref>AD21</xm:sqref>
            </x14:sparkline>
            <x14:sparkline>
              <xm:f>'Modesto &amp; Irvine'!H22:X22</xm:f>
              <xm:sqref>AD22</xm:sqref>
            </x14:sparkline>
            <x14:sparkline>
              <xm:f>'Modesto &amp; Irvine'!H23:X23</xm:f>
              <xm:sqref>AD23</xm:sqref>
            </x14:sparkline>
            <x14:sparkline>
              <xm:f>'Modesto &amp; Irvine'!H24:X24</xm:f>
              <xm:sqref>AD24</xm:sqref>
            </x14:sparkline>
            <x14:sparkline>
              <xm:f>'Modesto &amp; Irvine'!H25:X25</xm:f>
              <xm:sqref>AD25</xm:sqref>
            </x14:sparkline>
            <x14:sparkline>
              <xm:f>'Modesto &amp; Irvine'!H31:X31</xm:f>
              <xm:sqref>AD31</xm:sqref>
            </x14:sparkline>
            <x14:sparkline>
              <xm:f>'Modesto &amp; Irvine'!H32:X32</xm:f>
              <xm:sqref>AD32</xm:sqref>
            </x14:sparkline>
            <x14:sparkline>
              <xm:f>'Modesto &amp; Irvine'!H33:X33</xm:f>
              <xm:sqref>AD33</xm:sqref>
            </x14:sparkline>
            <x14:sparkline>
              <xm:f>'Modesto &amp; Irvine'!H34:X34</xm:f>
              <xm:sqref>AD34</xm:sqref>
            </x14:sparkline>
            <x14:sparkline>
              <xm:f>'Modesto &amp; Irvine'!H35:X35</xm:f>
              <xm:sqref>AD35</xm:sqref>
            </x14:sparkline>
            <x14:sparkline>
              <xm:f>'Modesto &amp; Irvine'!H36:X36</xm:f>
              <xm:sqref>AD36</xm:sqref>
            </x14:sparkline>
            <x14:sparkline>
              <xm:f>'Modesto &amp; Irvine'!H37:X37</xm:f>
              <xm:sqref>AD37</xm:sqref>
            </x14:sparkline>
            <x14:sparkline>
              <xm:f>'Modesto &amp; Irvine'!H38:X38</xm:f>
              <xm:sqref>AD38</xm:sqref>
            </x14:sparkline>
            <x14:sparkline>
              <xm:f>'Modesto &amp; Irvine'!H39:X39</xm:f>
              <xm:sqref>AD39</xm:sqref>
            </x14:sparkline>
            <x14:sparkline>
              <xm:f>'Modesto &amp; Irvine'!H40:X40</xm:f>
              <xm:sqref>AD40</xm:sqref>
            </x14:sparkline>
            <x14:sparkline>
              <xm:f>'Modesto &amp; Irvine'!H41:X41</xm:f>
              <xm:sqref>AD41</xm:sqref>
            </x14:sparkline>
            <x14:sparkline>
              <xm:f>'Modesto &amp; Irvine'!H42:X42</xm:f>
              <xm:sqref>AD42</xm:sqref>
            </x14:sparkline>
            <x14:sparkline>
              <xm:f>'Modesto &amp; Irvine'!H43:X43</xm:f>
              <xm:sqref>AD43</xm:sqref>
            </x14:sparkline>
            <x14:sparkline>
              <xm:f>'Modesto &amp; Irvine'!H45:X45</xm:f>
              <xm:sqref>AD45</xm:sqref>
            </x14:sparkline>
            <x14:sparkline>
              <xm:f>'Modesto &amp; Irvine'!H46:X46</xm:f>
              <xm:sqref>AD46</xm:sqref>
            </x14:sparkline>
            <x14:sparkline>
              <xm:f>'Modesto &amp; Irvine'!H47:X47</xm:f>
              <xm:sqref>AD47</xm:sqref>
            </x14:sparkline>
            <x14:sparkline>
              <xm:f>'Modesto &amp; Irvine'!H48:X48</xm:f>
              <xm:sqref>AD48</xm:sqref>
            </x14:sparkline>
            <x14:sparkline>
              <xm:f>'Modesto &amp; Irvine'!H49:X49</xm:f>
              <xm:sqref>AD49</xm:sqref>
            </x14:sparkline>
            <x14:sparkline>
              <xm:f>'Modesto &amp; Irvine'!H50:X50</xm:f>
              <xm:sqref>AD50</xm:sqref>
            </x14:sparkline>
            <x14:sparkline>
              <xm:f>'Modesto &amp; Irvine'!H52:X52</xm:f>
              <xm:sqref>AD52</xm:sqref>
            </x14:sparkline>
            <x14:sparkline>
              <xm:f>'Modesto &amp; Irvine'!H53:X53</xm:f>
              <xm:sqref>AD53</xm:sqref>
            </x14:sparkline>
            <x14:sparkline>
              <xm:f>'Modesto &amp; Irvine'!H54:X54</xm:f>
              <xm:sqref>AD54</xm:sqref>
            </x14:sparkline>
            <x14:sparkline>
              <xm:f>'Modesto &amp; Irvine'!H55:X55</xm:f>
              <xm:sqref>AD55</xm:sqref>
            </x14:sparkline>
            <x14:sparkline>
              <xm:f>'Modesto &amp; Irvine'!H66:X66</xm:f>
              <xm:sqref>AD66</xm:sqref>
            </x14:sparkline>
            <x14:sparkline>
              <xm:f>'Modesto &amp; Irvine'!H67:X67</xm:f>
              <xm:sqref>AD67</xm:sqref>
            </x14:sparkline>
            <x14:sparkline>
              <xm:f>'Modesto &amp; Irvine'!H68:X68</xm:f>
              <xm:sqref>AD68</xm:sqref>
            </x14:sparkline>
            <x14:sparkline>
              <xm:f>'Modesto &amp; Irvine'!H69:X69</xm:f>
              <xm:sqref>AD69</xm:sqref>
            </x14:sparkline>
            <x14:sparkline>
              <xm:f>'Modesto &amp; Irvine'!H70:X70</xm:f>
              <xm:sqref>AD70</xm:sqref>
            </x14:sparkline>
            <x14:sparkline>
              <xm:f>'Modesto &amp; Irvine'!H71:X71</xm:f>
              <xm:sqref>AD71</xm:sqref>
            </x14:sparkline>
            <x14:sparkline>
              <xm:f>'Modesto &amp; Irvine'!H72:X72</xm:f>
              <xm:sqref>AD72</xm:sqref>
            </x14:sparkline>
            <x14:sparkline>
              <xm:f>'Modesto &amp; Irvine'!H73:X73</xm:f>
              <xm:sqref>AD73</xm:sqref>
            </x14:sparkline>
            <x14:sparkline>
              <xm:f>'Modesto &amp; Irvine'!H74:X74</xm:f>
              <xm:sqref>AD74</xm:sqref>
            </x14:sparkline>
          </x14:sparklines>
        </x14:sparklineGroup>
        <x14:sparklineGroup lineWeight="1" displayEmptyCellsAs="gap" high="1" low="1" xr2:uid="{3BFC1FF8-8967-4FFB-8FB3-F25BCFCFF14D}">
          <x14:colorSeries theme="9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FF0000"/>
          <x14:colorLow rgb="FF00B050"/>
          <x14:sparklines>
            <x14:sparkline>
              <xm:f>'Modesto &amp; Irvine'!T66:X66</xm:f>
              <xm:sqref>AF66</xm:sqref>
            </x14:sparkline>
            <x14:sparkline>
              <xm:f>'Modesto &amp; Irvine'!T20:X20</xm:f>
              <xm:sqref>AF20</xm:sqref>
            </x14:sparkline>
            <x14:sparkline>
              <xm:f>'Modesto &amp; Irvine'!T21:X21</xm:f>
              <xm:sqref>AF21</xm:sqref>
            </x14:sparkline>
            <x14:sparkline>
              <xm:f>'Modesto &amp; Irvine'!T22:X22</xm:f>
              <xm:sqref>AF22</xm:sqref>
            </x14:sparkline>
            <x14:sparkline>
              <xm:f>'Modesto &amp; Irvine'!T23:X23</xm:f>
              <xm:sqref>AF23</xm:sqref>
            </x14:sparkline>
            <x14:sparkline>
              <xm:f>'Modesto &amp; Irvine'!T24:X24</xm:f>
              <xm:sqref>AF24</xm:sqref>
            </x14:sparkline>
            <x14:sparkline>
              <xm:f>'Modesto &amp; Irvine'!T25:X25</xm:f>
              <xm:sqref>AF25</xm:sqref>
            </x14:sparkline>
            <x14:sparkline>
              <xm:f>'Modesto &amp; Irvine'!T31:X31</xm:f>
              <xm:sqref>AF31</xm:sqref>
            </x14:sparkline>
            <x14:sparkline>
              <xm:f>'Modesto &amp; Irvine'!T32:X32</xm:f>
              <xm:sqref>AF32</xm:sqref>
            </x14:sparkline>
            <x14:sparkline>
              <xm:f>'Modesto &amp; Irvine'!T33:X33</xm:f>
              <xm:sqref>AF33</xm:sqref>
            </x14:sparkline>
            <x14:sparkline>
              <xm:f>'Modesto &amp; Irvine'!T34:X34</xm:f>
              <xm:sqref>AF34</xm:sqref>
            </x14:sparkline>
            <x14:sparkline>
              <xm:f>'Modesto &amp; Irvine'!T35:X35</xm:f>
              <xm:sqref>AF35</xm:sqref>
            </x14:sparkline>
            <x14:sparkline>
              <xm:f>'Modesto &amp; Irvine'!T36:X36</xm:f>
              <xm:sqref>AF36</xm:sqref>
            </x14:sparkline>
            <x14:sparkline>
              <xm:f>'Modesto &amp; Irvine'!T37:X37</xm:f>
              <xm:sqref>AF37</xm:sqref>
            </x14:sparkline>
            <x14:sparkline>
              <xm:f>'Modesto &amp; Irvine'!T38:X38</xm:f>
              <xm:sqref>AF38</xm:sqref>
            </x14:sparkline>
            <x14:sparkline>
              <xm:f>'Modesto &amp; Irvine'!T39:X39</xm:f>
              <xm:sqref>AF39</xm:sqref>
            </x14:sparkline>
            <x14:sparkline>
              <xm:f>'Modesto &amp; Irvine'!T40:X40</xm:f>
              <xm:sqref>AF40</xm:sqref>
            </x14:sparkline>
            <x14:sparkline>
              <xm:f>'Modesto &amp; Irvine'!T41:X41</xm:f>
              <xm:sqref>AF41</xm:sqref>
            </x14:sparkline>
            <x14:sparkline>
              <xm:f>'Modesto &amp; Irvine'!T42:X42</xm:f>
              <xm:sqref>AF42</xm:sqref>
            </x14:sparkline>
            <x14:sparkline>
              <xm:f>'Modesto &amp; Irvine'!T43:X43</xm:f>
              <xm:sqref>AF43</xm:sqref>
            </x14:sparkline>
            <x14:sparkline>
              <xm:f>'Modesto &amp; Irvine'!T45:X45</xm:f>
              <xm:sqref>AF45</xm:sqref>
            </x14:sparkline>
            <x14:sparkline>
              <xm:f>'Modesto &amp; Irvine'!T46:X46</xm:f>
              <xm:sqref>AF46</xm:sqref>
            </x14:sparkline>
            <x14:sparkline>
              <xm:f>'Modesto &amp; Irvine'!T47:X47</xm:f>
              <xm:sqref>AF47</xm:sqref>
            </x14:sparkline>
            <x14:sparkline>
              <xm:f>'Modesto &amp; Irvine'!T48:X48</xm:f>
              <xm:sqref>AF48</xm:sqref>
            </x14:sparkline>
            <x14:sparkline>
              <xm:f>'Modesto &amp; Irvine'!T49:X49</xm:f>
              <xm:sqref>AF49</xm:sqref>
            </x14:sparkline>
            <x14:sparkline>
              <xm:f>'Modesto &amp; Irvine'!T50:X50</xm:f>
              <xm:sqref>AF50</xm:sqref>
            </x14:sparkline>
            <x14:sparkline>
              <xm:f>'Modesto &amp; Irvine'!T52:X52</xm:f>
              <xm:sqref>AF52</xm:sqref>
            </x14:sparkline>
            <x14:sparkline>
              <xm:f>'Modesto &amp; Irvine'!T53:X53</xm:f>
              <xm:sqref>AF53</xm:sqref>
            </x14:sparkline>
            <x14:sparkline>
              <xm:f>'Modesto &amp; Irvine'!T54:X54</xm:f>
              <xm:sqref>AF54</xm:sqref>
            </x14:sparkline>
            <x14:sparkline>
              <xm:f>'Modesto &amp; Irvine'!T55:X55</xm:f>
              <xm:sqref>AF55</xm:sqref>
            </x14:sparkline>
            <x14:sparkline>
              <xm:f>'Modesto &amp; Irvine'!T67:X67</xm:f>
              <xm:sqref>AF67</xm:sqref>
            </x14:sparkline>
            <x14:sparkline>
              <xm:f>'Modesto &amp; Irvine'!T68:X68</xm:f>
              <xm:sqref>AF68</xm:sqref>
            </x14:sparkline>
            <x14:sparkline>
              <xm:f>'Modesto &amp; Irvine'!T69:X69</xm:f>
              <xm:sqref>AF69</xm:sqref>
            </x14:sparkline>
            <x14:sparkline>
              <xm:f>'Modesto &amp; Irvine'!T70:X70</xm:f>
              <xm:sqref>AF70</xm:sqref>
            </x14:sparkline>
            <x14:sparkline>
              <xm:f>'Modesto &amp; Irvine'!T71:X71</xm:f>
              <xm:sqref>AF71</xm:sqref>
            </x14:sparkline>
            <x14:sparkline>
              <xm:f>'Modesto &amp; Irvine'!T72:X72</xm:f>
              <xm:sqref>AF72</xm:sqref>
            </x14:sparkline>
            <x14:sparkline>
              <xm:f>'Modesto &amp; Irvine'!T73:X73</xm:f>
              <xm:sqref>AF73</xm:sqref>
            </x14:sparkline>
            <x14:sparkline>
              <xm:f>'Modesto &amp; Irvine'!T74:X74</xm:f>
              <xm:sqref>AF74</xm:sqref>
            </x14:sparkline>
          </x14:sparklines>
        </x14:sparklineGroup>
        <x14:sparklineGroup lineWeight="1" displayEmptyCellsAs="gap" high="1" low="1" xr2:uid="{3687B0B2-C53A-434F-B7C9-02A9443D8693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'Modesto &amp; Irvine'!H87:X87</xm:f>
              <xm:sqref>AD87</xm:sqref>
            </x14:sparkline>
            <x14:sparkline>
              <xm:f>'Modesto &amp; Irvine'!H9:X9</xm:f>
              <xm:sqref>AD9</xm:sqref>
            </x14:sparkline>
            <x14:sparkline>
              <xm:f>'Modesto &amp; Irvine'!H10:X10</xm:f>
              <xm:sqref>AD10</xm:sqref>
            </x14:sparkline>
            <x14:sparkline>
              <xm:f>'Modesto &amp; Irvine'!H11:X11</xm:f>
              <xm:sqref>AD11</xm:sqref>
            </x14:sparkline>
            <x14:sparkline>
              <xm:f>'Modesto &amp; Irvine'!H12:X12</xm:f>
              <xm:sqref>AD12</xm:sqref>
            </x14:sparkline>
            <x14:sparkline>
              <xm:f>'Modesto &amp; Irvine'!H13:X13</xm:f>
              <xm:sqref>AD13</xm:sqref>
            </x14:sparkline>
            <x14:sparkline>
              <xm:f>'Modesto &amp; Irvine'!H14:X14</xm:f>
              <xm:sqref>AD14</xm:sqref>
            </x14:sparkline>
            <x14:sparkline>
              <xm:f>'Modesto &amp; Irvine'!H15:X15</xm:f>
              <xm:sqref>AD15</xm:sqref>
            </x14:sparkline>
            <x14:sparkline>
              <xm:f>'Modesto &amp; Irvine'!H16:X16</xm:f>
              <xm:sqref>AD16</xm:sqref>
            </x14:sparkline>
            <x14:sparkline>
              <xm:f>'Modesto &amp; Irvine'!H27:X27</xm:f>
              <xm:sqref>AD27</xm:sqref>
            </x14:sparkline>
            <x14:sparkline>
              <xm:f>'Modesto &amp; Irvine'!H57:X57</xm:f>
              <xm:sqref>AD57</xm:sqref>
            </x14:sparkline>
            <x14:sparkline>
              <xm:f>'Modesto &amp; Irvine'!H61:X61</xm:f>
              <xm:sqref>AD61</xm:sqref>
            </x14:sparkline>
            <x14:sparkline>
              <xm:f>'Modesto &amp; Irvine'!H62:X62</xm:f>
              <xm:sqref>AD62</xm:sqref>
            </x14:sparkline>
            <x14:sparkline>
              <xm:f>'Modesto &amp; Irvine'!H63:X63</xm:f>
              <xm:sqref>AD63</xm:sqref>
            </x14:sparkline>
            <x14:sparkline>
              <xm:f>'Modesto &amp; Irvine'!H64:X64</xm:f>
              <xm:sqref>AD64</xm:sqref>
            </x14:sparkline>
            <x14:sparkline>
              <xm:f>'Modesto &amp; Irvine'!H76:X76</xm:f>
              <xm:sqref>AD76</xm:sqref>
            </x14:sparkline>
            <x14:sparkline>
              <xm:f>'Modesto &amp; Irvine'!H80:X80</xm:f>
              <xm:sqref>AD80</xm:sqref>
            </x14:sparkline>
            <x14:sparkline>
              <xm:f>'Modesto &amp; Irvine'!H81:X81</xm:f>
              <xm:sqref>AD81</xm:sqref>
            </x14:sparkline>
            <x14:sparkline>
              <xm:f>'Modesto &amp; Irvine'!H82:X82</xm:f>
              <xm:sqref>AD82</xm:sqref>
            </x14:sparkline>
            <x14:sparkline>
              <xm:f>'Modesto &amp; Irvine'!H83:X83</xm:f>
              <xm:sqref>AD83</xm:sqref>
            </x14:sparkline>
            <x14:sparkline>
              <xm:f>'Modesto &amp; Irvine'!H84:X84</xm:f>
              <xm:sqref>AD84</xm:sqref>
            </x14:sparkline>
            <x14:sparkline>
              <xm:f>'Modesto &amp; Irvine'!H85:X85</xm:f>
              <xm:sqref>AD85</xm:sqref>
            </x14:sparkline>
            <x14:sparkline>
              <xm:f>'Modesto &amp; Irvine'!H86:X86</xm:f>
              <xm:sqref>AD86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95CA-55A8-4B10-8973-481FB1341241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D01-E474-4F69-AF18-8E045319DCA4}">
  <dimension ref="A1:AI115"/>
  <sheetViews>
    <sheetView zoomScale="115" zoomScaleNormal="115" workbookViewId="0">
      <pane xSplit="1" ySplit="3" topLeftCell="B33" activePane="bottomRight" state="frozen"/>
      <selection pane="topRight" activeCell="B1" sqref="B1"/>
      <selection pane="bottomLeft" activeCell="A4" sqref="A4"/>
      <selection pane="bottomRight" activeCell="V57" sqref="V57"/>
    </sheetView>
  </sheetViews>
  <sheetFormatPr baseColWidth="10" defaultColWidth="8.83203125" defaultRowHeight="13"/>
  <cols>
    <col min="1" max="1" width="49.33203125" bestFit="1" customWidth="1"/>
    <col min="2" max="2" width="12.6640625" customWidth="1"/>
    <col min="3" max="3" width="6.5" style="2" hidden="1" customWidth="1"/>
    <col min="4" max="4" width="12.6640625" customWidth="1"/>
    <col min="5" max="5" width="6.5" style="2" hidden="1" customWidth="1"/>
    <col min="6" max="6" width="12.6640625" customWidth="1"/>
    <col min="7" max="7" width="6.5" style="2" hidden="1" customWidth="1"/>
    <col min="8" max="8" width="12.6640625" customWidth="1"/>
    <col min="9" max="9" width="8.33203125" style="2" hidden="1" customWidth="1"/>
    <col min="10" max="10" width="12.6640625" customWidth="1"/>
    <col min="11" max="11" width="8.33203125" style="2" hidden="1" customWidth="1"/>
    <col min="12" max="12" width="12.6640625" customWidth="1"/>
    <col min="13" max="13" width="8.33203125" style="2" hidden="1" customWidth="1"/>
    <col min="14" max="14" width="12.6640625" customWidth="1"/>
    <col min="15" max="15" width="8.33203125" style="2" hidden="1" customWidth="1"/>
    <col min="16" max="16" width="12.6640625" customWidth="1"/>
    <col min="17" max="17" width="8.33203125" style="2" hidden="1" customWidth="1"/>
    <col min="18" max="18" width="12.6640625" customWidth="1"/>
    <col min="19" max="19" width="8.33203125" style="2" hidden="1" customWidth="1"/>
    <col min="20" max="20" width="12.6640625" customWidth="1"/>
    <col min="21" max="21" width="8.33203125" style="2" hidden="1" customWidth="1"/>
    <col min="22" max="22" width="12.6640625" customWidth="1"/>
    <col min="23" max="23" width="8.33203125" style="2" hidden="1" customWidth="1"/>
    <col min="24" max="24" width="12.6640625" customWidth="1"/>
    <col min="25" max="25" width="8.33203125" style="2" hidden="1" customWidth="1"/>
    <col min="26" max="26" width="14.33203125" style="3" bestFit="1" customWidth="1"/>
    <col min="27" max="28" width="13.5" customWidth="1"/>
    <col min="29" max="29" width="15.6640625" customWidth="1"/>
    <col min="30" max="30" width="13.5" bestFit="1" customWidth="1"/>
    <col min="31" max="31" width="18.33203125" customWidth="1"/>
    <col min="34" max="34" width="12.5" customWidth="1"/>
    <col min="35" max="35" width="13.1640625" customWidth="1"/>
  </cols>
  <sheetData>
    <row r="1" spans="1:35" ht="41.25" customHeight="1">
      <c r="B1" s="77" t="s">
        <v>0</v>
      </c>
      <c r="C1" s="78" t="s">
        <v>1</v>
      </c>
      <c r="D1" s="77" t="s">
        <v>2</v>
      </c>
      <c r="E1" s="78" t="s">
        <v>3</v>
      </c>
      <c r="F1" s="77" t="s">
        <v>4</v>
      </c>
      <c r="G1" s="78" t="s">
        <v>5</v>
      </c>
      <c r="H1" s="77" t="s">
        <v>6</v>
      </c>
      <c r="I1" s="78" t="s">
        <v>7</v>
      </c>
      <c r="J1" s="77" t="s">
        <v>8</v>
      </c>
      <c r="K1" s="78" t="s">
        <v>9</v>
      </c>
      <c r="L1" s="77" t="s">
        <v>10</v>
      </c>
      <c r="M1" s="78" t="s">
        <v>11</v>
      </c>
      <c r="N1" s="77" t="s">
        <v>12</v>
      </c>
      <c r="O1" s="78" t="s">
        <v>13</v>
      </c>
      <c r="P1" s="77" t="s">
        <v>14</v>
      </c>
      <c r="Q1" s="78" t="s">
        <v>15</v>
      </c>
      <c r="R1" s="77" t="s">
        <v>16</v>
      </c>
      <c r="S1" s="78" t="s">
        <v>17</v>
      </c>
      <c r="T1" s="77" t="s">
        <v>18</v>
      </c>
      <c r="U1" s="78" t="s">
        <v>19</v>
      </c>
      <c r="V1" s="77" t="s">
        <v>20</v>
      </c>
      <c r="W1" s="78" t="s">
        <v>21</v>
      </c>
      <c r="X1" s="77" t="s">
        <v>22</v>
      </c>
      <c r="Y1" s="78" t="s">
        <v>23</v>
      </c>
      <c r="Z1" s="87" t="s">
        <v>158</v>
      </c>
      <c r="AA1" s="88" t="s">
        <v>159</v>
      </c>
      <c r="AB1" s="88"/>
      <c r="AC1" s="88" t="s">
        <v>153</v>
      </c>
      <c r="AD1" s="77" t="s">
        <v>25</v>
      </c>
      <c r="AE1" s="77" t="s">
        <v>26</v>
      </c>
      <c r="AF1" s="89" t="s">
        <v>106</v>
      </c>
      <c r="AG1" s="89" t="s">
        <v>107</v>
      </c>
      <c r="AH1" s="86" t="s">
        <v>110</v>
      </c>
      <c r="AI1" s="86" t="s">
        <v>111</v>
      </c>
    </row>
    <row r="2" spans="1:35">
      <c r="A2" s="90" t="s">
        <v>27</v>
      </c>
      <c r="B2" t="s">
        <v>28</v>
      </c>
      <c r="D2" t="s">
        <v>28</v>
      </c>
      <c r="F2" t="s">
        <v>28</v>
      </c>
      <c r="H2" t="s">
        <v>28</v>
      </c>
      <c r="J2" t="s">
        <v>28</v>
      </c>
      <c r="L2" t="s">
        <v>28</v>
      </c>
      <c r="N2" t="s">
        <v>28</v>
      </c>
      <c r="P2" t="s">
        <v>28</v>
      </c>
      <c r="R2" t="s">
        <v>28</v>
      </c>
      <c r="T2" t="s">
        <v>28</v>
      </c>
      <c r="V2" t="s">
        <v>28</v>
      </c>
      <c r="X2" t="s">
        <v>28</v>
      </c>
      <c r="Z2"/>
    </row>
    <row r="3" spans="1:35">
      <c r="A3" s="91" t="s">
        <v>29</v>
      </c>
      <c r="H3" t="s">
        <v>160</v>
      </c>
      <c r="J3" t="s">
        <v>161</v>
      </c>
      <c r="L3" t="s">
        <v>162</v>
      </c>
      <c r="N3" t="s">
        <v>163</v>
      </c>
      <c r="P3" t="s">
        <v>164</v>
      </c>
      <c r="R3" t="s">
        <v>165</v>
      </c>
      <c r="T3" t="s">
        <v>30</v>
      </c>
      <c r="V3" t="s">
        <v>31</v>
      </c>
      <c r="X3" t="s">
        <v>32</v>
      </c>
      <c r="Z3"/>
    </row>
    <row r="4" spans="1:35">
      <c r="A4" s="91" t="s">
        <v>33</v>
      </c>
      <c r="H4">
        <v>31</v>
      </c>
      <c r="J4">
        <v>31</v>
      </c>
      <c r="L4">
        <v>30</v>
      </c>
      <c r="N4">
        <v>31</v>
      </c>
      <c r="P4">
        <v>30</v>
      </c>
      <c r="R4">
        <v>31</v>
      </c>
      <c r="T4">
        <v>31</v>
      </c>
      <c r="V4">
        <v>28</v>
      </c>
      <c r="X4">
        <v>31</v>
      </c>
      <c r="Z4" s="21"/>
      <c r="AA4" s="21"/>
    </row>
    <row r="5" spans="1:35">
      <c r="A5" s="91" t="s">
        <v>34</v>
      </c>
      <c r="H5">
        <v>3</v>
      </c>
      <c r="J5">
        <v>3</v>
      </c>
      <c r="L5">
        <v>3</v>
      </c>
      <c r="N5">
        <v>4</v>
      </c>
      <c r="P5">
        <v>4</v>
      </c>
      <c r="R5">
        <v>4</v>
      </c>
      <c r="T5">
        <v>1</v>
      </c>
      <c r="V5">
        <v>1</v>
      </c>
      <c r="X5">
        <v>1</v>
      </c>
      <c r="Z5" s="21"/>
      <c r="AA5" s="21"/>
    </row>
    <row r="6" spans="1:35">
      <c r="A6" s="91" t="s">
        <v>35</v>
      </c>
      <c r="H6">
        <v>2022</v>
      </c>
      <c r="J6">
        <v>2022</v>
      </c>
      <c r="L6">
        <v>2022</v>
      </c>
      <c r="N6">
        <v>2022</v>
      </c>
      <c r="P6">
        <v>2022</v>
      </c>
      <c r="R6">
        <v>2022</v>
      </c>
      <c r="T6">
        <v>2023</v>
      </c>
      <c r="V6">
        <v>2023</v>
      </c>
      <c r="X6">
        <v>2023</v>
      </c>
      <c r="Z6" s="21"/>
      <c r="AA6" s="21"/>
    </row>
    <row r="7" spans="1:35">
      <c r="Z7" s="21"/>
      <c r="AA7" s="21"/>
    </row>
    <row r="8" spans="1:35">
      <c r="A8" s="13" t="s">
        <v>36</v>
      </c>
      <c r="B8" s="12"/>
      <c r="C8" s="22"/>
      <c r="D8" s="16"/>
      <c r="E8" s="22"/>
      <c r="F8" s="16"/>
      <c r="G8" s="2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22"/>
      <c r="Z8" s="13"/>
      <c r="AA8" s="21"/>
      <c r="AB8" s="12"/>
      <c r="AC8" s="12"/>
      <c r="AD8" s="12"/>
      <c r="AE8" s="12"/>
    </row>
    <row r="9" spans="1:35" ht="20" customHeight="1">
      <c r="A9" s="16" t="s">
        <v>41</v>
      </c>
      <c r="B9" s="16"/>
      <c r="C9" s="22"/>
      <c r="D9" s="16"/>
      <c r="E9" s="22"/>
      <c r="F9" s="16"/>
      <c r="G9" s="22"/>
      <c r="H9" s="92"/>
      <c r="I9" s="92">
        <f t="shared" ref="I9:I16" si="0">H9/H$16</f>
        <v>0</v>
      </c>
      <c r="J9" s="92"/>
      <c r="K9" s="92">
        <f t="shared" ref="K9:K16" si="1">J9/J$16</f>
        <v>0</v>
      </c>
      <c r="L9" s="92">
        <v>0</v>
      </c>
      <c r="M9" s="92">
        <f t="shared" ref="M9:M16" si="2">L9/L$16</f>
        <v>0</v>
      </c>
      <c r="N9" s="92">
        <v>0</v>
      </c>
      <c r="O9" s="92">
        <f t="shared" ref="O9:O16" si="3">N9/N$16</f>
        <v>0</v>
      </c>
      <c r="P9" s="92">
        <v>0</v>
      </c>
      <c r="Q9" s="92" t="e">
        <f>P9/#REF!</f>
        <v>#REF!</v>
      </c>
      <c r="R9" s="92">
        <v>38</v>
      </c>
      <c r="S9" s="92" t="e">
        <f>R9/#REF!</f>
        <v>#REF!</v>
      </c>
      <c r="T9" s="92">
        <v>0</v>
      </c>
      <c r="U9" s="92" t="e">
        <f>T9/#REF!</f>
        <v>#REF!</v>
      </c>
      <c r="V9" s="92">
        <v>1592</v>
      </c>
      <c r="W9" s="92" t="e">
        <f>V9/#REF!</f>
        <v>#REF!</v>
      </c>
      <c r="X9" s="92">
        <v>145</v>
      </c>
      <c r="Y9" s="22">
        <f t="shared" ref="Y9:Y16" si="4">X9/X$16</f>
        <v>3.6998573641195488E-4</v>
      </c>
      <c r="Z9" s="13">
        <f t="shared" ref="Z9:Z16" si="5">B9+D9+F9+H9+J9+L9+N9+P9+R9+T9+V9+X9</f>
        <v>1775</v>
      </c>
      <c r="AA9" s="13">
        <f t="shared" ref="AA9:AA16" si="6">IFERROR(AVERAGE(B9,D9,F9,H9,J9,L9,N9,P9,R9,T9,V9,X9),0)</f>
        <v>253.57142857142858</v>
      </c>
      <c r="AB9" s="16"/>
      <c r="AC9" s="45"/>
      <c r="AD9" s="16">
        <f t="shared" ref="AD9:AD16" si="7">IFERROR(AVERAGE(T9:X9),0)</f>
        <v>0</v>
      </c>
      <c r="AE9" s="45"/>
      <c r="AF9" s="12"/>
      <c r="AG9" s="12"/>
      <c r="AH9" s="56">
        <f t="shared" ref="AH9:AH40" si="8">(T9+V9+X9)*4</f>
        <v>6948</v>
      </c>
      <c r="AI9" s="66">
        <f>AH9/12</f>
        <v>579</v>
      </c>
    </row>
    <row r="10" spans="1:35" ht="20" customHeight="1">
      <c r="A10" s="16" t="s">
        <v>42</v>
      </c>
      <c r="B10" s="16"/>
      <c r="C10" s="22"/>
      <c r="D10" s="16"/>
      <c r="E10" s="22"/>
      <c r="F10" s="16"/>
      <c r="G10" s="22"/>
      <c r="H10" s="92">
        <v>150185.67000000001</v>
      </c>
      <c r="I10" s="92">
        <f t="shared" si="0"/>
        <v>0.50378559549616986</v>
      </c>
      <c r="J10" s="92">
        <v>717329.98</v>
      </c>
      <c r="K10" s="92">
        <f t="shared" si="1"/>
        <v>0.8187082854860398</v>
      </c>
      <c r="L10" s="92">
        <v>244195.99</v>
      </c>
      <c r="M10" s="92">
        <f t="shared" si="2"/>
        <v>0.62562320601136923</v>
      </c>
      <c r="N10" s="92">
        <v>478815</v>
      </c>
      <c r="O10" s="92">
        <f t="shared" si="3"/>
        <v>0.74824781416281849</v>
      </c>
      <c r="P10" s="92">
        <v>0</v>
      </c>
      <c r="Q10" s="92" t="e">
        <f>P10/#REF!</f>
        <v>#REF!</v>
      </c>
      <c r="R10" s="92">
        <v>142302</v>
      </c>
      <c r="S10" s="92" t="e">
        <f>R10/#REF!</f>
        <v>#REF!</v>
      </c>
      <c r="T10" s="92">
        <v>81066</v>
      </c>
      <c r="U10" s="92" t="e">
        <f>T10/#REF!</f>
        <v>#REF!</v>
      </c>
      <c r="V10" s="92">
        <v>442457</v>
      </c>
      <c r="W10" s="92" t="e">
        <f>V10/#REF!</f>
        <v>#REF!</v>
      </c>
      <c r="X10" s="92">
        <v>153161</v>
      </c>
      <c r="Y10" s="22">
        <f t="shared" si="4"/>
        <v>0.39080955430752706</v>
      </c>
      <c r="Z10" s="13">
        <f t="shared" si="5"/>
        <v>2409512.64</v>
      </c>
      <c r="AA10" s="13">
        <f t="shared" si="6"/>
        <v>267723.62666666671</v>
      </c>
      <c r="AB10" s="16"/>
      <c r="AC10" s="45"/>
      <c r="AD10" s="16">
        <f t="shared" si="7"/>
        <v>0</v>
      </c>
      <c r="AE10" s="45"/>
      <c r="AH10" s="56">
        <f t="shared" si="8"/>
        <v>2706736</v>
      </c>
      <c r="AI10" s="66">
        <f t="shared" ref="AI10:AI70" si="9">AH10/12</f>
        <v>225561.33333333334</v>
      </c>
    </row>
    <row r="11" spans="1:35" ht="20" customHeight="1">
      <c r="A11" s="16" t="s">
        <v>43</v>
      </c>
      <c r="B11" s="16"/>
      <c r="C11" s="22"/>
      <c r="D11" s="16"/>
      <c r="E11" s="22"/>
      <c r="F11" s="16"/>
      <c r="G11" s="22"/>
      <c r="H11" s="92">
        <v>3022.7</v>
      </c>
      <c r="I11" s="92">
        <f t="shared" si="0"/>
        <v>1.0139400912925131E-2</v>
      </c>
      <c r="J11" s="92">
        <v>14518.66</v>
      </c>
      <c r="K11" s="92">
        <f t="shared" si="1"/>
        <v>1.6570542940579101E-2</v>
      </c>
      <c r="L11" s="92">
        <v>2020.05</v>
      </c>
      <c r="M11" s="92">
        <f t="shared" si="2"/>
        <v>5.1753108529884809E-3</v>
      </c>
      <c r="N11" s="92">
        <v>974</v>
      </c>
      <c r="O11" s="92">
        <f t="shared" si="3"/>
        <v>1.5220771508716001E-3</v>
      </c>
      <c r="P11" s="92">
        <v>0</v>
      </c>
      <c r="Q11" s="92" t="e">
        <f>P11/#REF!</f>
        <v>#REF!</v>
      </c>
      <c r="R11" s="92">
        <v>4410</v>
      </c>
      <c r="S11" s="92" t="e">
        <f>R11/#REF!</f>
        <v>#REF!</v>
      </c>
      <c r="T11" s="92">
        <v>0</v>
      </c>
      <c r="U11" s="92" t="e">
        <f>T11/#REF!</f>
        <v>#REF!</v>
      </c>
      <c r="V11" s="92">
        <v>0</v>
      </c>
      <c r="W11" s="92" t="e">
        <f>V11/#REF!</f>
        <v>#REF!</v>
      </c>
      <c r="X11" s="92">
        <v>0</v>
      </c>
      <c r="Y11" s="22">
        <f t="shared" si="4"/>
        <v>0</v>
      </c>
      <c r="Z11" s="13">
        <f t="shared" si="5"/>
        <v>24945.41</v>
      </c>
      <c r="AA11" s="13">
        <f t="shared" si="6"/>
        <v>2771.7122222222224</v>
      </c>
      <c r="AB11" s="16"/>
      <c r="AC11" s="45"/>
      <c r="AD11" s="16">
        <f t="shared" si="7"/>
        <v>0</v>
      </c>
      <c r="AE11" s="45"/>
      <c r="AH11" s="56">
        <f t="shared" si="8"/>
        <v>0</v>
      </c>
      <c r="AI11" s="66">
        <f t="shared" si="9"/>
        <v>0</v>
      </c>
    </row>
    <row r="12" spans="1:35" ht="20" customHeight="1">
      <c r="A12" s="16" t="s">
        <v>166</v>
      </c>
      <c r="B12" s="16"/>
      <c r="C12" s="22"/>
      <c r="D12" s="16"/>
      <c r="E12" s="22"/>
      <c r="F12" s="16"/>
      <c r="G12" s="22"/>
      <c r="H12" s="92"/>
      <c r="I12" s="92">
        <f t="shared" si="0"/>
        <v>0</v>
      </c>
      <c r="J12" s="92">
        <v>124424.64</v>
      </c>
      <c r="K12" s="92">
        <f t="shared" si="1"/>
        <v>0.14200923776616409</v>
      </c>
      <c r="L12" s="92">
        <v>140620.16</v>
      </c>
      <c r="M12" s="92">
        <f t="shared" si="2"/>
        <v>0.36026486482858183</v>
      </c>
      <c r="N12" s="92">
        <v>699</v>
      </c>
      <c r="O12" s="92">
        <f t="shared" si="3"/>
        <v>1.092332575420173E-3</v>
      </c>
      <c r="P12" s="92">
        <v>136857</v>
      </c>
      <c r="Q12" s="92" t="e">
        <f>P12/#REF!</f>
        <v>#REF!</v>
      </c>
      <c r="R12" s="92">
        <v>0</v>
      </c>
      <c r="S12" s="92" t="e">
        <f>R12/#REF!</f>
        <v>#REF!</v>
      </c>
      <c r="T12" s="92">
        <v>43961</v>
      </c>
      <c r="U12" s="92" t="e">
        <f>T12/#REF!</f>
        <v>#REF!</v>
      </c>
      <c r="V12" s="92">
        <v>7683</v>
      </c>
      <c r="W12" s="92" t="e">
        <f>V12/#REF!</f>
        <v>#REF!</v>
      </c>
      <c r="X12" s="92">
        <v>31895</v>
      </c>
      <c r="Y12" s="22">
        <f t="shared" si="4"/>
        <v>8.1384103881788281E-2</v>
      </c>
      <c r="Z12" s="13">
        <f t="shared" si="5"/>
        <v>486139.8</v>
      </c>
      <c r="AA12" s="13">
        <f t="shared" si="6"/>
        <v>60767.474999999999</v>
      </c>
      <c r="AB12" s="16"/>
      <c r="AC12" s="45"/>
      <c r="AD12" s="16">
        <f t="shared" si="7"/>
        <v>0</v>
      </c>
      <c r="AE12" s="45"/>
      <c r="AH12" s="56">
        <f t="shared" si="8"/>
        <v>334156</v>
      </c>
      <c r="AI12" s="66">
        <f t="shared" si="9"/>
        <v>27846.333333333332</v>
      </c>
    </row>
    <row r="13" spans="1:35" ht="20" customHeight="1">
      <c r="A13" s="16" t="s">
        <v>40</v>
      </c>
      <c r="B13" s="16"/>
      <c r="C13" s="22"/>
      <c r="D13" s="16"/>
      <c r="E13" s="22"/>
      <c r="F13" s="16"/>
      <c r="G13" s="22"/>
      <c r="H13" s="92">
        <v>2440</v>
      </c>
      <c r="I13" s="92">
        <f t="shared" si="0"/>
        <v>8.184781231196387E-3</v>
      </c>
      <c r="J13" s="92">
        <v>20326.59</v>
      </c>
      <c r="K13" s="92">
        <f t="shared" si="1"/>
        <v>2.3199291975330074E-2</v>
      </c>
      <c r="L13" s="92">
        <v>2812</v>
      </c>
      <c r="M13" s="92">
        <f t="shared" si="2"/>
        <v>7.2042643095980834E-3</v>
      </c>
      <c r="N13" s="92">
        <v>21691</v>
      </c>
      <c r="O13" s="92">
        <f t="shared" si="3"/>
        <v>3.3896689404061479E-2</v>
      </c>
      <c r="P13" s="92">
        <v>5050</v>
      </c>
      <c r="Q13" s="92" t="e">
        <f>P13/#REF!</f>
        <v>#REF!</v>
      </c>
      <c r="R13" s="92">
        <v>1270</v>
      </c>
      <c r="S13" s="92" t="e">
        <f>R13/#REF!</f>
        <v>#REF!</v>
      </c>
      <c r="T13" s="92">
        <v>59765</v>
      </c>
      <c r="U13" s="92" t="e">
        <f>T13/#REF!</f>
        <v>#REF!</v>
      </c>
      <c r="V13" s="92">
        <v>113090</v>
      </c>
      <c r="W13" s="92" t="e">
        <f>V13/#REF!</f>
        <v>#REF!</v>
      </c>
      <c r="X13" s="92">
        <v>72796</v>
      </c>
      <c r="Y13" s="22">
        <f t="shared" si="4"/>
        <v>0.1857481494334115</v>
      </c>
      <c r="Z13" s="13">
        <f t="shared" si="5"/>
        <v>299240.58999999997</v>
      </c>
      <c r="AA13" s="13">
        <f t="shared" si="6"/>
        <v>33248.95444444444</v>
      </c>
      <c r="AB13" s="16"/>
      <c r="AC13" s="45"/>
      <c r="AD13" s="16">
        <f t="shared" si="7"/>
        <v>0</v>
      </c>
      <c r="AE13" s="45"/>
      <c r="AH13" s="56">
        <f t="shared" si="8"/>
        <v>982604</v>
      </c>
      <c r="AI13" s="66">
        <f t="shared" si="9"/>
        <v>81883.666666666672</v>
      </c>
    </row>
    <row r="14" spans="1:35" ht="20" customHeight="1">
      <c r="A14" s="16" t="s">
        <v>167</v>
      </c>
      <c r="B14" s="16"/>
      <c r="C14" s="22"/>
      <c r="D14" s="16"/>
      <c r="E14" s="22"/>
      <c r="F14" s="16"/>
      <c r="G14" s="22"/>
      <c r="H14" s="92">
        <v>142465.89000000001</v>
      </c>
      <c r="I14" s="92">
        <f t="shared" si="0"/>
        <v>0.47789022235970868</v>
      </c>
      <c r="J14" s="92">
        <v>-427.01</v>
      </c>
      <c r="K14" s="92">
        <f t="shared" si="1"/>
        <v>-4.8735816811308218E-4</v>
      </c>
      <c r="L14" s="92">
        <v>676.18</v>
      </c>
      <c r="M14" s="92">
        <f t="shared" si="2"/>
        <v>1.7323539974623157E-3</v>
      </c>
      <c r="N14" s="92">
        <v>137736</v>
      </c>
      <c r="O14" s="92">
        <f t="shared" si="3"/>
        <v>0.21524108670682826</v>
      </c>
      <c r="P14" s="92">
        <v>0</v>
      </c>
      <c r="Q14" s="92" t="e">
        <f>P14/#REF!</f>
        <v>#REF!</v>
      </c>
      <c r="R14" s="92">
        <v>250758</v>
      </c>
      <c r="S14" s="92" t="e">
        <f>R14/#REF!</f>
        <v>#REF!</v>
      </c>
      <c r="T14" s="92">
        <v>102223</v>
      </c>
      <c r="U14" s="92" t="e">
        <f>T14/#REF!</f>
        <v>#REF!</v>
      </c>
      <c r="V14" s="92">
        <v>101637</v>
      </c>
      <c r="W14" s="92" t="e">
        <f>V14/#REF!</f>
        <v>#REF!</v>
      </c>
      <c r="X14" s="92">
        <v>133979</v>
      </c>
      <c r="Y14" s="22">
        <f t="shared" si="4"/>
        <v>0.34186426881887794</v>
      </c>
      <c r="Z14" s="13">
        <f t="shared" si="5"/>
        <v>869048.06</v>
      </c>
      <c r="AA14" s="13">
        <f t="shared" si="6"/>
        <v>96560.895555555559</v>
      </c>
      <c r="AB14" s="16"/>
      <c r="AC14" s="45"/>
      <c r="AD14" s="16">
        <f t="shared" si="7"/>
        <v>0</v>
      </c>
      <c r="AE14" s="45"/>
      <c r="AH14" s="56">
        <f t="shared" si="8"/>
        <v>1351356</v>
      </c>
      <c r="AI14" s="66">
        <f t="shared" si="9"/>
        <v>112613</v>
      </c>
    </row>
    <row r="15" spans="1:35" ht="20" customHeight="1">
      <c r="A15" s="16" t="s">
        <v>44</v>
      </c>
      <c r="B15" s="16"/>
      <c r="C15" s="22"/>
      <c r="D15" s="16"/>
      <c r="E15" s="22"/>
      <c r="F15" s="16"/>
      <c r="G15" s="22"/>
      <c r="H15" s="92"/>
      <c r="I15" s="92">
        <f t="shared" si="0"/>
        <v>0</v>
      </c>
      <c r="J15" s="92"/>
      <c r="K15" s="92">
        <f t="shared" si="1"/>
        <v>0</v>
      </c>
      <c r="L15" s="92"/>
      <c r="M15" s="92">
        <f t="shared" si="2"/>
        <v>0</v>
      </c>
      <c r="N15" s="92"/>
      <c r="O15" s="92">
        <f t="shared" si="3"/>
        <v>0</v>
      </c>
      <c r="P15" s="92"/>
      <c r="Q15" s="92" t="e">
        <f>P16/#REF!</f>
        <v>#REF!</v>
      </c>
      <c r="R15" s="92"/>
      <c r="S15" s="92" t="e">
        <f>R16/#REF!</f>
        <v>#REF!</v>
      </c>
      <c r="T15" s="92"/>
      <c r="U15" s="92" t="e">
        <f>T16/#REF!</f>
        <v>#REF!</v>
      </c>
      <c r="V15" s="92"/>
      <c r="W15" s="92" t="e">
        <f>V16/#REF!</f>
        <v>#REF!</v>
      </c>
      <c r="X15" s="92">
        <v>69</v>
      </c>
      <c r="Y15" s="22">
        <f t="shared" si="4"/>
        <v>1.7606217801672335E-4</v>
      </c>
      <c r="Z15" s="13">
        <f t="shared" si="5"/>
        <v>69</v>
      </c>
      <c r="AA15" s="13">
        <f t="shared" si="6"/>
        <v>69</v>
      </c>
      <c r="AB15" s="16"/>
      <c r="AC15" s="45"/>
      <c r="AD15" s="16">
        <f t="shared" si="7"/>
        <v>0</v>
      </c>
      <c r="AE15" s="45"/>
      <c r="AH15" s="56">
        <f t="shared" si="8"/>
        <v>276</v>
      </c>
      <c r="AI15" s="66">
        <f t="shared" si="9"/>
        <v>23</v>
      </c>
    </row>
    <row r="16" spans="1:35" s="24" customFormat="1" ht="19.5" customHeight="1">
      <c r="A16" s="6" t="s">
        <v>45</v>
      </c>
      <c r="B16" s="7"/>
      <c r="C16" s="58"/>
      <c r="D16" s="7"/>
      <c r="E16" s="58"/>
      <c r="F16" s="7"/>
      <c r="G16" s="58"/>
      <c r="H16" s="93">
        <v>298114.26</v>
      </c>
      <c r="I16" s="58">
        <f t="shared" si="0"/>
        <v>1</v>
      </c>
      <c r="J16" s="106">
        <v>876172.86</v>
      </c>
      <c r="K16" s="58">
        <f t="shared" si="1"/>
        <v>1</v>
      </c>
      <c r="L16" s="106">
        <v>390324.38</v>
      </c>
      <c r="M16" s="58">
        <f t="shared" si="2"/>
        <v>1</v>
      </c>
      <c r="N16" s="93">
        <v>639915</v>
      </c>
      <c r="O16" s="58">
        <f t="shared" si="3"/>
        <v>1</v>
      </c>
      <c r="P16" s="93">
        <v>141907</v>
      </c>
      <c r="Q16" s="58" t="e">
        <f>#REF!/#REF!</f>
        <v>#REF!</v>
      </c>
      <c r="R16" s="93">
        <v>398778</v>
      </c>
      <c r="S16" s="58" t="e">
        <f>#REF!/#REF!</f>
        <v>#REF!</v>
      </c>
      <c r="T16" s="93">
        <v>287015</v>
      </c>
      <c r="U16" s="58" t="e">
        <f>#REF!/#REF!</f>
        <v>#REF!</v>
      </c>
      <c r="V16" s="93">
        <v>666459</v>
      </c>
      <c r="W16" s="58" t="e">
        <f>#REF!/#REF!</f>
        <v>#REF!</v>
      </c>
      <c r="X16" s="93">
        <v>391907</v>
      </c>
      <c r="Y16" s="58">
        <f t="shared" si="4"/>
        <v>1</v>
      </c>
      <c r="Z16" s="112">
        <f t="shared" si="5"/>
        <v>4090592.5</v>
      </c>
      <c r="AA16" s="112">
        <f t="shared" si="6"/>
        <v>454510.27777777775</v>
      </c>
      <c r="AB16" s="7"/>
      <c r="AC16" s="35"/>
      <c r="AD16" s="7">
        <f t="shared" si="7"/>
        <v>0</v>
      </c>
      <c r="AE16" s="40"/>
      <c r="AH16" s="56">
        <f t="shared" si="8"/>
        <v>5381524</v>
      </c>
      <c r="AI16" s="66">
        <f t="shared" si="9"/>
        <v>448460.33333333331</v>
      </c>
    </row>
    <row r="17" spans="1:35" s="53" customFormat="1" ht="20" customHeight="1">
      <c r="A17" s="50" t="s">
        <v>168</v>
      </c>
      <c r="B17" s="51"/>
      <c r="C17" s="59"/>
      <c r="D17" s="51"/>
      <c r="E17" s="59"/>
      <c r="F17" s="51"/>
      <c r="G17" s="59"/>
      <c r="H17" s="51"/>
      <c r="I17" s="59"/>
      <c r="J17" s="51"/>
      <c r="K17" s="59"/>
      <c r="L17" s="51"/>
      <c r="M17" s="59"/>
      <c r="N17" s="51"/>
      <c r="O17" s="59"/>
      <c r="P17" s="51"/>
      <c r="Q17" s="59"/>
      <c r="R17" s="51"/>
      <c r="S17" s="59"/>
      <c r="T17" s="51"/>
      <c r="U17" s="59"/>
      <c r="V17" s="51"/>
      <c r="W17" s="59"/>
      <c r="X17" s="51"/>
      <c r="Y17" s="59"/>
      <c r="Z17" s="113"/>
      <c r="AA17" s="13"/>
      <c r="AB17" s="51"/>
      <c r="AC17" s="51"/>
      <c r="AD17" s="51"/>
      <c r="AE17" s="52"/>
      <c r="AH17" s="56">
        <f t="shared" si="8"/>
        <v>0</v>
      </c>
      <c r="AI17" s="66">
        <f t="shared" si="9"/>
        <v>0</v>
      </c>
    </row>
    <row r="18" spans="1:35" s="53" customFormat="1" ht="20" customHeight="1">
      <c r="A18" s="50"/>
      <c r="B18" s="51"/>
      <c r="C18" s="59"/>
      <c r="D18" s="51"/>
      <c r="E18" s="59"/>
      <c r="F18" s="51"/>
      <c r="G18" s="59"/>
      <c r="H18" s="51"/>
      <c r="I18" s="59"/>
      <c r="J18" s="51"/>
      <c r="K18" s="59"/>
      <c r="L18" s="51"/>
      <c r="M18" s="59"/>
      <c r="N18" s="51"/>
      <c r="O18" s="59"/>
      <c r="P18" s="51"/>
      <c r="Q18" s="59"/>
      <c r="R18" s="51"/>
      <c r="S18" s="59"/>
      <c r="T18" s="51"/>
      <c r="U18" s="59"/>
      <c r="V18" s="51"/>
      <c r="W18" s="59"/>
      <c r="X18" s="51"/>
      <c r="Y18" s="59"/>
      <c r="Z18" s="113"/>
      <c r="AA18" s="13"/>
      <c r="AB18" s="51"/>
      <c r="AC18" s="51"/>
      <c r="AD18" s="51"/>
      <c r="AE18" s="52"/>
      <c r="AH18" s="56">
        <f t="shared" si="8"/>
        <v>0</v>
      </c>
      <c r="AI18" s="66"/>
    </row>
    <row r="19" spans="1:35" ht="20" customHeight="1">
      <c r="A19" s="13" t="s">
        <v>46</v>
      </c>
      <c r="B19" s="16"/>
      <c r="C19" s="22"/>
      <c r="D19" s="16"/>
      <c r="E19" s="22"/>
      <c r="F19" s="16"/>
      <c r="G19" s="2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22"/>
      <c r="Z19" s="13"/>
      <c r="AA19" s="13"/>
      <c r="AB19" s="16"/>
      <c r="AC19" s="16"/>
      <c r="AD19" s="16"/>
      <c r="AE19" s="12"/>
      <c r="AH19" s="56">
        <f t="shared" si="8"/>
        <v>0</v>
      </c>
      <c r="AI19" s="66">
        <f t="shared" si="9"/>
        <v>0</v>
      </c>
    </row>
    <row r="20" spans="1:35" ht="20" customHeight="1">
      <c r="A20" s="16" t="s">
        <v>51</v>
      </c>
      <c r="B20" s="16"/>
      <c r="C20" s="22"/>
      <c r="D20" s="16"/>
      <c r="E20" s="22"/>
      <c r="F20" s="16"/>
      <c r="G20" s="22"/>
      <c r="H20" s="92"/>
      <c r="I20" s="92">
        <f t="shared" ref="I20:I25" si="10">H20/H$16</f>
        <v>0</v>
      </c>
      <c r="J20" s="92">
        <v>2600</v>
      </c>
      <c r="K20" s="92">
        <f t="shared" ref="K20:K25" si="11">J20/J$16</f>
        <v>2.9674509662396984E-3</v>
      </c>
      <c r="L20" s="92">
        <v>396.67</v>
      </c>
      <c r="M20" s="92">
        <f t="shared" ref="M20:M25" si="12">L20/L$16</f>
        <v>1.016257298608916E-3</v>
      </c>
      <c r="N20" s="92">
        <v>1865</v>
      </c>
      <c r="O20" s="92">
        <f t="shared" ref="O20:O25" si="13">N20/N$16</f>
        <v>2.9144495753342242E-3</v>
      </c>
      <c r="P20" s="92">
        <v>825</v>
      </c>
      <c r="Q20" s="92" t="e">
        <f>P20/#REF!</f>
        <v>#REF!</v>
      </c>
      <c r="R20" s="92">
        <v>27</v>
      </c>
      <c r="S20" s="92" t="e">
        <f>R20/#REF!</f>
        <v>#REF!</v>
      </c>
      <c r="T20" s="92">
        <v>795</v>
      </c>
      <c r="U20" s="92" t="e">
        <f>T20/#REF!</f>
        <v>#REF!</v>
      </c>
      <c r="V20" s="92">
        <v>2816</v>
      </c>
      <c r="W20" s="92" t="e">
        <f>V20/#REF!</f>
        <v>#REF!</v>
      </c>
      <c r="X20" s="92">
        <v>102</v>
      </c>
      <c r="Y20" s="22">
        <f t="shared" ref="Y20:Y25" si="14">X20/X$16</f>
        <v>2.6026582837254756E-4</v>
      </c>
      <c r="Z20" s="13">
        <f t="shared" ref="Z20:Z25" si="15">B20+D20+F20+H20+J20+L20+N20+P20+R20+T20+V20+X20</f>
        <v>9426.67</v>
      </c>
      <c r="AA20" s="13">
        <f t="shared" ref="AA20:AA25" si="16">IFERROR(AVERAGE(B20,D20,F20,H20,J20,L20,N20,P20,R20,T20,V20,X20),0)</f>
        <v>1178.33375</v>
      </c>
      <c r="AB20" s="16"/>
      <c r="AC20" s="34"/>
      <c r="AD20" s="16">
        <f t="shared" ref="AD20:AD25" si="17">IFERROR(AVERAGE(T20:X20),0)</f>
        <v>0</v>
      </c>
      <c r="AE20" s="33"/>
      <c r="AH20" s="56">
        <f t="shared" si="8"/>
        <v>14852</v>
      </c>
      <c r="AI20" s="66">
        <f t="shared" si="9"/>
        <v>1237.6666666666667</v>
      </c>
    </row>
    <row r="21" spans="1:35" ht="20" customHeight="1">
      <c r="A21" s="16" t="s">
        <v>169</v>
      </c>
      <c r="B21" s="16"/>
      <c r="C21" s="22"/>
      <c r="D21" s="16"/>
      <c r="E21" s="22"/>
      <c r="F21" s="16"/>
      <c r="G21" s="22"/>
      <c r="H21" s="92">
        <v>112502.34</v>
      </c>
      <c r="I21" s="92">
        <f t="shared" si="10"/>
        <v>0.3773799347941289</v>
      </c>
      <c r="J21" s="92">
        <v>598492.35</v>
      </c>
      <c r="K21" s="92">
        <f t="shared" si="11"/>
        <v>0.68307565472867993</v>
      </c>
      <c r="L21" s="92">
        <v>170069.14</v>
      </c>
      <c r="M21" s="92">
        <f t="shared" si="12"/>
        <v>0.43571231702206253</v>
      </c>
      <c r="N21" s="92">
        <v>384375</v>
      </c>
      <c r="O21" s="92">
        <f t="shared" si="13"/>
        <v>0.60066571341506292</v>
      </c>
      <c r="P21" s="92">
        <v>1105</v>
      </c>
      <c r="Q21" s="92" t="e">
        <f>P21/#REF!</f>
        <v>#REF!</v>
      </c>
      <c r="R21" s="92">
        <v>145501</v>
      </c>
      <c r="S21" s="92" t="e">
        <f>R21/#REF!</f>
        <v>#REF!</v>
      </c>
      <c r="T21" s="92">
        <v>68603</v>
      </c>
      <c r="U21" s="92" t="e">
        <f>T21/#REF!</f>
        <v>#REF!</v>
      </c>
      <c r="V21" s="92">
        <v>335871</v>
      </c>
      <c r="W21" s="92" t="e">
        <f>V21/#REF!</f>
        <v>#REF!</v>
      </c>
      <c r="X21" s="92">
        <v>128558</v>
      </c>
      <c r="Y21" s="22">
        <f t="shared" si="14"/>
        <v>0.32803190552860756</v>
      </c>
      <c r="Z21" s="13">
        <f t="shared" si="15"/>
        <v>1945076.83</v>
      </c>
      <c r="AA21" s="13">
        <f t="shared" si="16"/>
        <v>216119.64777777778</v>
      </c>
      <c r="AB21" s="16"/>
      <c r="AC21" s="33"/>
      <c r="AD21" s="16">
        <f t="shared" si="17"/>
        <v>0</v>
      </c>
      <c r="AE21" s="33"/>
      <c r="AH21" s="56">
        <f t="shared" si="8"/>
        <v>2132128</v>
      </c>
      <c r="AI21" s="66">
        <f t="shared" si="9"/>
        <v>177677.33333333334</v>
      </c>
    </row>
    <row r="22" spans="1:35" ht="20" customHeight="1">
      <c r="A22" s="16" t="s">
        <v>48</v>
      </c>
      <c r="B22" s="16"/>
      <c r="C22" s="22"/>
      <c r="D22" s="16"/>
      <c r="E22" s="22"/>
      <c r="F22" s="16"/>
      <c r="G22" s="22"/>
      <c r="H22" s="92">
        <v>3507.48</v>
      </c>
      <c r="I22" s="92">
        <f t="shared" si="10"/>
        <v>1.176555593147406E-2</v>
      </c>
      <c r="J22" s="92">
        <v>10065.790000000001</v>
      </c>
      <c r="K22" s="92">
        <f t="shared" si="11"/>
        <v>1.1488360869794576E-2</v>
      </c>
      <c r="L22" s="92">
        <v>8234.99</v>
      </c>
      <c r="M22" s="92">
        <f t="shared" si="12"/>
        <v>2.1097811005297694E-2</v>
      </c>
      <c r="N22" s="92">
        <v>1170</v>
      </c>
      <c r="O22" s="92">
        <f t="shared" si="13"/>
        <v>1.8283678301024356E-3</v>
      </c>
      <c r="P22" s="92">
        <v>918</v>
      </c>
      <c r="Q22" s="92" t="e">
        <f>P22/#REF!</f>
        <v>#REF!</v>
      </c>
      <c r="R22" s="92">
        <v>286</v>
      </c>
      <c r="S22" s="92" t="e">
        <f>R22/#REF!</f>
        <v>#REF!</v>
      </c>
      <c r="T22" s="92">
        <v>4135</v>
      </c>
      <c r="U22" s="92" t="e">
        <f>T22/#REF!</f>
        <v>#REF!</v>
      </c>
      <c r="V22" s="92">
        <v>2185</v>
      </c>
      <c r="W22" s="92" t="e">
        <f>V22/#REF!</f>
        <v>#REF!</v>
      </c>
      <c r="X22" s="92">
        <v>5390</v>
      </c>
      <c r="Y22" s="22">
        <f t="shared" si="14"/>
        <v>1.3753262891451288E-2</v>
      </c>
      <c r="Z22" s="13">
        <f t="shared" si="15"/>
        <v>35892.26</v>
      </c>
      <c r="AA22" s="13">
        <f t="shared" si="16"/>
        <v>3988.028888888889</v>
      </c>
      <c r="AB22" s="16"/>
      <c r="AC22" s="33"/>
      <c r="AD22" s="16">
        <f t="shared" si="17"/>
        <v>0</v>
      </c>
      <c r="AE22" s="33"/>
      <c r="AH22" s="56">
        <f t="shared" si="8"/>
        <v>46840</v>
      </c>
      <c r="AI22" s="66">
        <f t="shared" si="9"/>
        <v>3903.3333333333335</v>
      </c>
    </row>
    <row r="23" spans="1:35" ht="20" customHeight="1">
      <c r="A23" s="16" t="s">
        <v>50</v>
      </c>
      <c r="B23" s="16"/>
      <c r="C23" s="22"/>
      <c r="D23" s="16"/>
      <c r="E23" s="22"/>
      <c r="F23" s="16"/>
      <c r="G23" s="22"/>
      <c r="H23" s="92"/>
      <c r="I23" s="92">
        <f t="shared" si="10"/>
        <v>0</v>
      </c>
      <c r="J23" s="92">
        <v>137.34</v>
      </c>
      <c r="K23" s="92">
        <f t="shared" si="11"/>
        <v>1.5674989065513854E-4</v>
      </c>
      <c r="L23" s="92"/>
      <c r="M23" s="92">
        <f t="shared" si="12"/>
        <v>0</v>
      </c>
      <c r="N23" s="92">
        <v>1300</v>
      </c>
      <c r="O23" s="92">
        <f t="shared" si="13"/>
        <v>2.0315198112249282E-3</v>
      </c>
      <c r="P23" s="92">
        <v>2392</v>
      </c>
      <c r="Q23" s="92" t="e">
        <f>P23/#REF!</f>
        <v>#REF!</v>
      </c>
      <c r="R23" s="92">
        <v>749</v>
      </c>
      <c r="S23" s="92" t="e">
        <f>R23/#REF!</f>
        <v>#REF!</v>
      </c>
      <c r="T23" s="92"/>
      <c r="U23" s="92" t="e">
        <f>T24/#REF!</f>
        <v>#REF!</v>
      </c>
      <c r="V23" s="92">
        <v>942</v>
      </c>
      <c r="W23" s="92" t="e">
        <f>V23/#REF!</f>
        <v>#REF!</v>
      </c>
      <c r="X23" s="92">
        <v>1071</v>
      </c>
      <c r="Y23" s="22">
        <f t="shared" si="14"/>
        <v>2.7327911979117495E-3</v>
      </c>
      <c r="Z23" s="13">
        <f t="shared" si="15"/>
        <v>6591.34</v>
      </c>
      <c r="AA23" s="13">
        <f t="shared" si="16"/>
        <v>1098.5566666666666</v>
      </c>
      <c r="AB23" s="16"/>
      <c r="AC23" s="33"/>
      <c r="AD23" s="16">
        <f t="shared" si="17"/>
        <v>0</v>
      </c>
      <c r="AE23" s="33"/>
      <c r="AH23" s="56">
        <f t="shared" si="8"/>
        <v>8052</v>
      </c>
      <c r="AI23" s="66">
        <f t="shared" si="9"/>
        <v>671</v>
      </c>
    </row>
    <row r="24" spans="1:35" ht="20" customHeight="1">
      <c r="A24" s="16" t="s">
        <v>47</v>
      </c>
      <c r="B24" s="16"/>
      <c r="C24" s="22"/>
      <c r="D24" s="16"/>
      <c r="E24" s="22"/>
      <c r="F24" s="16"/>
      <c r="G24" s="22"/>
      <c r="H24" s="92">
        <v>3644.8</v>
      </c>
      <c r="I24" s="92">
        <f t="shared" si="10"/>
        <v>1.2226184685026472E-2</v>
      </c>
      <c r="J24" s="92">
        <v>3650.65</v>
      </c>
      <c r="K24" s="92">
        <f t="shared" si="11"/>
        <v>4.1665864884242133E-3</v>
      </c>
      <c r="L24" s="92">
        <v>3650.65</v>
      </c>
      <c r="M24" s="92">
        <f t="shared" si="12"/>
        <v>9.3528618427575552E-3</v>
      </c>
      <c r="N24" s="92">
        <v>1131</v>
      </c>
      <c r="O24" s="92">
        <f t="shared" si="13"/>
        <v>1.7674222357656876E-3</v>
      </c>
      <c r="P24" s="92">
        <v>3651</v>
      </c>
      <c r="Q24" s="92" t="e">
        <f>P24/#REF!</f>
        <v>#REF!</v>
      </c>
      <c r="R24" s="92">
        <v>43080</v>
      </c>
      <c r="S24" s="92" t="e">
        <f>R24/#REF!</f>
        <v>#REF!</v>
      </c>
      <c r="T24" s="92">
        <v>18619</v>
      </c>
      <c r="U24" s="92" t="e">
        <f>T25/#REF!</f>
        <v>#REF!</v>
      </c>
      <c r="V24" s="92">
        <v>24994</v>
      </c>
      <c r="W24" s="92" t="e">
        <f>V24/#REF!</f>
        <v>#REF!</v>
      </c>
      <c r="X24" s="92">
        <v>45087</v>
      </c>
      <c r="Y24" s="22">
        <f t="shared" si="14"/>
        <v>0.1150451510179711</v>
      </c>
      <c r="Z24" s="114">
        <f t="shared" si="15"/>
        <v>147508.1</v>
      </c>
      <c r="AA24" s="114">
        <f t="shared" si="16"/>
        <v>16389.788888888888</v>
      </c>
      <c r="AB24" s="16"/>
      <c r="AC24" s="33"/>
      <c r="AD24" s="16">
        <f t="shared" si="17"/>
        <v>0</v>
      </c>
      <c r="AE24" s="33"/>
      <c r="AH24" s="56">
        <f t="shared" si="8"/>
        <v>354800</v>
      </c>
      <c r="AI24" s="66">
        <f t="shared" si="9"/>
        <v>29566.666666666668</v>
      </c>
    </row>
    <row r="25" spans="1:35" s="24" customFormat="1" ht="20" customHeight="1">
      <c r="A25" s="8" t="s">
        <v>53</v>
      </c>
      <c r="B25" s="9"/>
      <c r="C25" s="60"/>
      <c r="D25" s="9"/>
      <c r="E25" s="60"/>
      <c r="F25" s="9"/>
      <c r="G25" s="60"/>
      <c r="H25" s="106">
        <v>119654.62</v>
      </c>
      <c r="I25" s="60">
        <f t="shared" si="10"/>
        <v>0.40137167541062946</v>
      </c>
      <c r="J25" s="106">
        <v>614946.13</v>
      </c>
      <c r="K25" s="60">
        <f t="shared" si="11"/>
        <v>0.70185480294379354</v>
      </c>
      <c r="L25" s="106">
        <v>182351.45</v>
      </c>
      <c r="M25" s="60">
        <f t="shared" si="12"/>
        <v>0.46717924716872672</v>
      </c>
      <c r="N25" s="93">
        <v>389841</v>
      </c>
      <c r="O25" s="60">
        <f t="shared" si="13"/>
        <v>0.60920747286749022</v>
      </c>
      <c r="P25" s="93">
        <v>8891</v>
      </c>
      <c r="Q25" s="60" t="e">
        <f>P25/#REF!</f>
        <v>#REF!</v>
      </c>
      <c r="R25" s="93">
        <v>189643</v>
      </c>
      <c r="S25" s="60" t="e">
        <f>R25/#REF!</f>
        <v>#REF!</v>
      </c>
      <c r="T25" s="93">
        <v>92152</v>
      </c>
      <c r="U25" s="60" t="e">
        <f>#REF!/#REF!</f>
        <v>#REF!</v>
      </c>
      <c r="V25" s="93">
        <v>366808</v>
      </c>
      <c r="W25" s="60" t="e">
        <f>V25/#REF!</f>
        <v>#REF!</v>
      </c>
      <c r="X25" s="93">
        <v>180208</v>
      </c>
      <c r="Y25" s="60">
        <f t="shared" si="14"/>
        <v>0.45982337646431426</v>
      </c>
      <c r="Z25" s="115">
        <f t="shared" si="15"/>
        <v>2144495.2000000002</v>
      </c>
      <c r="AA25" s="115">
        <f t="shared" si="16"/>
        <v>238277.24444444446</v>
      </c>
      <c r="AB25" s="9"/>
      <c r="AC25" s="36"/>
      <c r="AD25" s="9">
        <f t="shared" si="17"/>
        <v>0</v>
      </c>
      <c r="AE25" s="40"/>
      <c r="AH25" s="56">
        <f t="shared" si="8"/>
        <v>2556672</v>
      </c>
      <c r="AI25" s="66">
        <f t="shared" si="9"/>
        <v>213056</v>
      </c>
    </row>
    <row r="26" spans="1:35" ht="20" customHeight="1" thickBot="1">
      <c r="A26" s="50"/>
      <c r="B26" s="51"/>
      <c r="C26" s="59"/>
      <c r="D26" s="51"/>
      <c r="E26" s="59"/>
      <c r="F26" s="51"/>
      <c r="G26" s="59"/>
      <c r="H26" s="95"/>
      <c r="I26" s="96"/>
      <c r="J26" s="95"/>
      <c r="K26" s="96"/>
      <c r="L26" s="95"/>
      <c r="M26" s="96"/>
      <c r="N26" s="95"/>
      <c r="O26" s="96"/>
      <c r="P26" s="95"/>
      <c r="Q26" s="96"/>
      <c r="R26" s="95"/>
      <c r="S26" s="96"/>
      <c r="T26" s="95"/>
      <c r="U26" s="96"/>
      <c r="V26" s="95"/>
      <c r="W26" s="96"/>
      <c r="X26" s="95"/>
      <c r="Y26" s="59"/>
      <c r="Z26" s="13"/>
      <c r="AA26" s="13"/>
      <c r="AB26" s="59"/>
      <c r="AC26" s="51"/>
      <c r="AD26" s="51"/>
      <c r="AE26" s="54"/>
      <c r="AH26" s="56">
        <f t="shared" si="8"/>
        <v>0</v>
      </c>
      <c r="AI26" s="66">
        <f t="shared" si="9"/>
        <v>0</v>
      </c>
    </row>
    <row r="27" spans="1:35" s="24" customFormat="1" ht="20" customHeight="1" thickTop="1" thickBot="1">
      <c r="A27" s="10" t="s">
        <v>54</v>
      </c>
      <c r="B27" s="11"/>
      <c r="C27" s="61"/>
      <c r="D27" s="11"/>
      <c r="E27" s="61"/>
      <c r="F27" s="11"/>
      <c r="G27" s="61"/>
      <c r="H27" s="110">
        <v>178459.64</v>
      </c>
      <c r="I27" s="61">
        <f>H27/H$16</f>
        <v>0.59862832458937054</v>
      </c>
      <c r="J27" s="110">
        <v>261226.73</v>
      </c>
      <c r="K27" s="61">
        <f>J27/J$16</f>
        <v>0.29814519705620646</v>
      </c>
      <c r="L27" s="110">
        <v>207972.93</v>
      </c>
      <c r="M27" s="61">
        <f>L27/L$16</f>
        <v>0.53282075283127328</v>
      </c>
      <c r="N27" s="103">
        <v>250074</v>
      </c>
      <c r="O27" s="61">
        <f>N27/N$16</f>
        <v>0.39079252713250978</v>
      </c>
      <c r="P27" s="103">
        <v>133016</v>
      </c>
      <c r="Q27" s="61" t="e">
        <f>P27/#REF!</f>
        <v>#REF!</v>
      </c>
      <c r="R27" s="103">
        <v>209135</v>
      </c>
      <c r="S27" s="61" t="e">
        <f>R27/#REF!</f>
        <v>#REF!</v>
      </c>
      <c r="T27" s="103">
        <v>194863</v>
      </c>
      <c r="U27" s="61" t="e">
        <f>T27/#REF!</f>
        <v>#REF!</v>
      </c>
      <c r="V27" s="103">
        <v>299651</v>
      </c>
      <c r="W27" s="61" t="e">
        <f>V27/#REF!</f>
        <v>#REF!</v>
      </c>
      <c r="X27" s="103">
        <v>211699</v>
      </c>
      <c r="Y27" s="61">
        <f>X27/X$16</f>
        <v>0.54017662353568574</v>
      </c>
      <c r="Z27" s="116">
        <f>B27+D27+F27+H27+J27+L27+N27+P27+R27+T27+V27+X27</f>
        <v>1946097.3</v>
      </c>
      <c r="AA27" s="116">
        <f>IFERROR(AVERAGE(B27,D27,F27,H27,J27,L27,N27,P27,R27,T27,V27,X27),0)</f>
        <v>216233.03333333333</v>
      </c>
      <c r="AB27" s="11"/>
      <c r="AC27" s="37"/>
      <c r="AD27" s="11">
        <f>IFERROR(AVERAGE(T27:X27),0)</f>
        <v>0</v>
      </c>
      <c r="AE27" s="39"/>
      <c r="AH27" s="56">
        <f t="shared" si="8"/>
        <v>2824852</v>
      </c>
      <c r="AI27" s="66">
        <f t="shared" si="9"/>
        <v>235404.33333333334</v>
      </c>
    </row>
    <row r="28" spans="1:35" ht="20" customHeight="1" thickTop="1">
      <c r="A28" s="16"/>
      <c r="B28" s="16"/>
      <c r="C28" s="22"/>
      <c r="D28" s="16"/>
      <c r="E28" s="22"/>
      <c r="F28" s="16"/>
      <c r="G28" s="22"/>
      <c r="H28" s="48"/>
      <c r="I28" s="94"/>
      <c r="J28" s="48"/>
      <c r="K28" s="94"/>
      <c r="L28" s="48"/>
      <c r="M28" s="94"/>
      <c r="N28" s="48"/>
      <c r="O28" s="94"/>
      <c r="P28" s="48"/>
      <c r="Q28" s="94"/>
      <c r="R28" s="48"/>
      <c r="S28" s="94"/>
      <c r="T28" s="48"/>
      <c r="U28" s="94"/>
      <c r="V28" s="48"/>
      <c r="W28" s="94"/>
      <c r="X28" s="48"/>
      <c r="Y28" s="22"/>
      <c r="Z28" s="13"/>
      <c r="AA28" s="13"/>
      <c r="AB28" s="16"/>
      <c r="AC28" s="16"/>
      <c r="AD28" s="16"/>
      <c r="AE28" s="16"/>
      <c r="AH28" s="56">
        <f t="shared" si="8"/>
        <v>0</v>
      </c>
      <c r="AI28" s="66">
        <f t="shared" si="9"/>
        <v>0</v>
      </c>
    </row>
    <row r="29" spans="1:35" ht="20" customHeight="1">
      <c r="A29" s="13" t="s">
        <v>56</v>
      </c>
      <c r="B29" s="16"/>
      <c r="C29" s="22"/>
      <c r="D29" s="16"/>
      <c r="E29" s="22"/>
      <c r="F29" s="16"/>
      <c r="G29" s="22"/>
      <c r="H29" s="48"/>
      <c r="I29" s="94"/>
      <c r="J29" s="48"/>
      <c r="K29" s="94"/>
      <c r="L29" s="48"/>
      <c r="M29" s="94"/>
      <c r="N29" s="48"/>
      <c r="O29" s="94"/>
      <c r="P29" s="48"/>
      <c r="Q29" s="94"/>
      <c r="R29" s="48"/>
      <c r="S29" s="94"/>
      <c r="T29" s="48"/>
      <c r="U29" s="94"/>
      <c r="V29" s="48"/>
      <c r="W29" s="94"/>
      <c r="X29" s="48"/>
      <c r="Y29" s="22"/>
      <c r="Z29" s="13"/>
      <c r="AA29" s="13"/>
      <c r="AB29" s="16"/>
      <c r="AC29" s="16"/>
      <c r="AD29" s="16"/>
      <c r="AE29" s="16"/>
      <c r="AH29" s="56">
        <f t="shared" si="8"/>
        <v>0</v>
      </c>
      <c r="AI29" s="66">
        <f t="shared" si="9"/>
        <v>0</v>
      </c>
    </row>
    <row r="30" spans="1:35" ht="20" customHeight="1">
      <c r="A30" s="13" t="s">
        <v>57</v>
      </c>
      <c r="B30" s="16"/>
      <c r="C30" s="22"/>
      <c r="D30" s="16"/>
      <c r="E30" s="22"/>
      <c r="F30" s="16"/>
      <c r="G30" s="2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22"/>
      <c r="Z30" s="13"/>
      <c r="AA30" s="13"/>
      <c r="AB30" s="16"/>
      <c r="AC30" s="16"/>
      <c r="AD30" s="16"/>
      <c r="AE30" s="16"/>
      <c r="AH30" s="56">
        <f t="shared" si="8"/>
        <v>0</v>
      </c>
      <c r="AI30" s="66">
        <f t="shared" si="9"/>
        <v>0</v>
      </c>
    </row>
    <row r="31" spans="1:35" ht="20" customHeight="1">
      <c r="A31" s="16" t="s">
        <v>58</v>
      </c>
      <c r="B31" s="16"/>
      <c r="C31" s="22"/>
      <c r="D31" s="16"/>
      <c r="E31" s="22"/>
      <c r="F31" s="16"/>
      <c r="G31" s="22"/>
      <c r="H31" s="92"/>
      <c r="I31" s="92">
        <f t="shared" ref="I31:I36" si="18">H31/H$16</f>
        <v>0</v>
      </c>
      <c r="J31" s="92"/>
      <c r="K31" s="92">
        <f t="shared" ref="K31:K36" si="19">J31/J$16</f>
        <v>0</v>
      </c>
      <c r="L31" s="92"/>
      <c r="M31" s="92">
        <f t="shared" ref="M31:M36" si="20">L31/L$16</f>
        <v>0</v>
      </c>
      <c r="N31" s="92"/>
      <c r="O31" s="92">
        <f t="shared" ref="O31:O36" si="21">N31/N$16</f>
        <v>0</v>
      </c>
      <c r="P31" s="92"/>
      <c r="Q31" s="92" t="e">
        <f>P31/#REF!</f>
        <v>#REF!</v>
      </c>
      <c r="R31" s="92"/>
      <c r="S31" s="92" t="e">
        <f>R31/#REF!</f>
        <v>#REF!</v>
      </c>
      <c r="T31" s="92"/>
      <c r="U31" s="92" t="e">
        <f>T31/#REF!</f>
        <v>#REF!</v>
      </c>
      <c r="V31" s="92"/>
      <c r="W31" s="92" t="e">
        <f>V31/#REF!</f>
        <v>#REF!</v>
      </c>
      <c r="X31" s="92"/>
      <c r="Y31" s="22">
        <f t="shared" ref="Y31:Y36" si="22">X31/X$16</f>
        <v>0</v>
      </c>
      <c r="Z31" s="13">
        <f t="shared" ref="Z31:Z36" si="23">B31+D31+F31+H31+J31+L31+N31+P31+R31+T31+V31+X31</f>
        <v>0</v>
      </c>
      <c r="AA31" s="13">
        <f t="shared" ref="AA31:AA36" si="24">IFERROR(AVERAGE(B31,D31,F31,H31,J31,L31,N31,P31,R31,T31,V31,X31),0)</f>
        <v>0</v>
      </c>
      <c r="AB31" s="16"/>
      <c r="AC31" s="33"/>
      <c r="AD31" s="16">
        <f t="shared" ref="AD31:AD36" si="25">IFERROR(AVERAGE(T31:X31),0)</f>
        <v>0</v>
      </c>
      <c r="AE31" s="33"/>
      <c r="AH31" s="56">
        <f t="shared" si="8"/>
        <v>0</v>
      </c>
      <c r="AI31" s="66">
        <f t="shared" si="9"/>
        <v>0</v>
      </c>
    </row>
    <row r="32" spans="1:35" ht="20" customHeight="1">
      <c r="A32" s="16" t="s">
        <v>59</v>
      </c>
      <c r="B32" s="16"/>
      <c r="C32" s="22"/>
      <c r="D32" s="16"/>
      <c r="E32" s="22"/>
      <c r="F32" s="16"/>
      <c r="G32" s="22"/>
      <c r="H32" s="92"/>
      <c r="I32" s="92">
        <f t="shared" si="18"/>
        <v>0</v>
      </c>
      <c r="J32" s="92"/>
      <c r="K32" s="92">
        <f t="shared" si="19"/>
        <v>0</v>
      </c>
      <c r="L32" s="92"/>
      <c r="M32" s="92">
        <f t="shared" si="20"/>
        <v>0</v>
      </c>
      <c r="N32" s="92"/>
      <c r="O32" s="92">
        <f t="shared" si="21"/>
        <v>0</v>
      </c>
      <c r="P32" s="92"/>
      <c r="Q32" s="92" t="e">
        <f>P32/#REF!</f>
        <v>#REF!</v>
      </c>
      <c r="R32" s="92"/>
      <c r="S32" s="92" t="e">
        <f>R32/#REF!</f>
        <v>#REF!</v>
      </c>
      <c r="T32" s="92"/>
      <c r="U32" s="92" t="e">
        <f>T32/#REF!</f>
        <v>#REF!</v>
      </c>
      <c r="V32" s="92"/>
      <c r="W32" s="92" t="e">
        <f>V32/#REF!</f>
        <v>#REF!</v>
      </c>
      <c r="X32" s="92"/>
      <c r="Y32" s="22">
        <f t="shared" si="22"/>
        <v>0</v>
      </c>
      <c r="Z32" s="13">
        <f t="shared" si="23"/>
        <v>0</v>
      </c>
      <c r="AA32" s="13">
        <f t="shared" si="24"/>
        <v>0</v>
      </c>
      <c r="AB32" s="16"/>
      <c r="AC32" s="33"/>
      <c r="AD32" s="16">
        <f t="shared" si="25"/>
        <v>0</v>
      </c>
      <c r="AE32" s="33"/>
      <c r="AH32" s="56">
        <f t="shared" si="8"/>
        <v>0</v>
      </c>
      <c r="AI32" s="66">
        <f t="shared" si="9"/>
        <v>0</v>
      </c>
    </row>
    <row r="33" spans="1:35" ht="20" customHeight="1">
      <c r="A33" s="16" t="s">
        <v>60</v>
      </c>
      <c r="B33" s="16"/>
      <c r="C33" s="22"/>
      <c r="D33" s="16"/>
      <c r="E33" s="22"/>
      <c r="F33" s="16"/>
      <c r="G33" s="22"/>
      <c r="H33" s="92">
        <v>-266</v>
      </c>
      <c r="I33" s="92">
        <f t="shared" si="18"/>
        <v>-8.9227533094190126E-4</v>
      </c>
      <c r="J33" s="92">
        <v>-102.2</v>
      </c>
      <c r="K33" s="92">
        <f t="shared" si="19"/>
        <v>-1.166436495191143E-4</v>
      </c>
      <c r="L33" s="92">
        <v>256.62</v>
      </c>
      <c r="M33" s="92">
        <f t="shared" si="20"/>
        <v>6.5745316754234004E-4</v>
      </c>
      <c r="N33" s="121"/>
      <c r="O33" s="121">
        <f t="shared" si="21"/>
        <v>0</v>
      </c>
      <c r="P33" s="121"/>
      <c r="Q33" s="121" t="e">
        <f>P33/#REF!</f>
        <v>#REF!</v>
      </c>
      <c r="R33" s="121"/>
      <c r="S33" s="121" t="e">
        <f>R33/#REF!</f>
        <v>#REF!</v>
      </c>
      <c r="T33" s="121"/>
      <c r="U33" s="121" t="e">
        <f>T33/#REF!</f>
        <v>#REF!</v>
      </c>
      <c r="V33" s="121"/>
      <c r="W33" s="121" t="e">
        <f>V33/#REF!</f>
        <v>#REF!</v>
      </c>
      <c r="X33" s="121"/>
      <c r="Y33" s="22">
        <f t="shared" si="22"/>
        <v>0</v>
      </c>
      <c r="Z33" s="13">
        <f t="shared" si="23"/>
        <v>-111.57999999999998</v>
      </c>
      <c r="AA33" s="13">
        <f t="shared" si="24"/>
        <v>-37.193333333333328</v>
      </c>
      <c r="AB33" s="16"/>
      <c r="AC33" s="33"/>
      <c r="AD33" s="16">
        <f t="shared" si="25"/>
        <v>0</v>
      </c>
      <c r="AE33" s="33"/>
      <c r="AH33" s="56">
        <f t="shared" si="8"/>
        <v>0</v>
      </c>
      <c r="AI33" s="66">
        <f t="shared" si="9"/>
        <v>0</v>
      </c>
    </row>
    <row r="34" spans="1:35" ht="20" customHeight="1">
      <c r="A34" s="16" t="s">
        <v>61</v>
      </c>
      <c r="B34" s="16"/>
      <c r="C34" s="22"/>
      <c r="D34" s="16"/>
      <c r="E34" s="22"/>
      <c r="F34" s="16"/>
      <c r="G34" s="22"/>
      <c r="H34" s="92"/>
      <c r="I34" s="92">
        <f t="shared" si="18"/>
        <v>0</v>
      </c>
      <c r="J34" s="92">
        <v>5407.39</v>
      </c>
      <c r="K34" s="92">
        <f t="shared" si="19"/>
        <v>6.1716018001288014E-3</v>
      </c>
      <c r="L34" s="92">
        <v>1237.9000000000001</v>
      </c>
      <c r="M34" s="92">
        <f t="shared" si="20"/>
        <v>3.1714647186527269E-3</v>
      </c>
      <c r="N34" s="121"/>
      <c r="O34" s="121">
        <f t="shared" si="21"/>
        <v>0</v>
      </c>
      <c r="P34" s="121"/>
      <c r="Q34" s="121" t="e">
        <f>P34/#REF!</f>
        <v>#REF!</v>
      </c>
      <c r="R34" s="121"/>
      <c r="S34" s="121" t="e">
        <f>R34/#REF!</f>
        <v>#REF!</v>
      </c>
      <c r="T34" s="121"/>
      <c r="U34" s="121" t="e">
        <f>T34/#REF!</f>
        <v>#REF!</v>
      </c>
      <c r="V34" s="121"/>
      <c r="W34" s="121" t="e">
        <f>V34/#REF!</f>
        <v>#REF!</v>
      </c>
      <c r="X34" s="121"/>
      <c r="Y34" s="22">
        <f t="shared" si="22"/>
        <v>0</v>
      </c>
      <c r="Z34" s="13">
        <f t="shared" si="23"/>
        <v>6645.2900000000009</v>
      </c>
      <c r="AA34" s="13">
        <f t="shared" si="24"/>
        <v>3322.6450000000004</v>
      </c>
      <c r="AB34" s="16"/>
      <c r="AC34" s="33"/>
      <c r="AD34" s="16">
        <f t="shared" si="25"/>
        <v>0</v>
      </c>
      <c r="AE34" s="33"/>
      <c r="AH34" s="56">
        <f t="shared" si="8"/>
        <v>0</v>
      </c>
      <c r="AI34" s="66">
        <f t="shared" si="9"/>
        <v>0</v>
      </c>
    </row>
    <row r="35" spans="1:35" ht="20" customHeight="1">
      <c r="A35" s="16" t="s">
        <v>62</v>
      </c>
      <c r="B35" s="16"/>
      <c r="C35" s="22"/>
      <c r="D35" s="16"/>
      <c r="E35" s="22"/>
      <c r="F35" s="16"/>
      <c r="G35" s="22"/>
      <c r="H35" s="92">
        <v>533.20000000000005</v>
      </c>
      <c r="I35" s="92">
        <f t="shared" si="18"/>
        <v>1.7885759641286534E-3</v>
      </c>
      <c r="J35" s="92">
        <v>17390.66</v>
      </c>
      <c r="K35" s="92">
        <f t="shared" si="19"/>
        <v>1.9848434930979261E-2</v>
      </c>
      <c r="L35" s="92">
        <v>7861.13</v>
      </c>
      <c r="M35" s="92">
        <f t="shared" si="20"/>
        <v>2.0139992280266993E-2</v>
      </c>
      <c r="N35" s="121"/>
      <c r="O35" s="121">
        <f t="shared" si="21"/>
        <v>0</v>
      </c>
      <c r="P35" s="121"/>
      <c r="Q35" s="121" t="e">
        <f>P35/#REF!</f>
        <v>#REF!</v>
      </c>
      <c r="R35" s="121"/>
      <c r="S35" s="121" t="e">
        <f>R35/#REF!</f>
        <v>#REF!</v>
      </c>
      <c r="T35" s="121"/>
      <c r="U35" s="121" t="e">
        <f>T35/#REF!</f>
        <v>#REF!</v>
      </c>
      <c r="V35" s="121"/>
      <c r="W35" s="121" t="e">
        <f>V35/#REF!</f>
        <v>#REF!</v>
      </c>
      <c r="X35" s="121"/>
      <c r="Y35" s="22">
        <f t="shared" si="22"/>
        <v>0</v>
      </c>
      <c r="Z35" s="13">
        <f t="shared" si="23"/>
        <v>25784.99</v>
      </c>
      <c r="AA35" s="13">
        <f t="shared" si="24"/>
        <v>8594.9966666666678</v>
      </c>
      <c r="AB35" s="16"/>
      <c r="AC35" s="33"/>
      <c r="AD35" s="16">
        <f t="shared" si="25"/>
        <v>0</v>
      </c>
      <c r="AE35" s="33"/>
      <c r="AH35" s="56">
        <f t="shared" si="8"/>
        <v>0</v>
      </c>
      <c r="AI35" s="66">
        <f t="shared" si="9"/>
        <v>0</v>
      </c>
    </row>
    <row r="36" spans="1:35" s="1" customFormat="1" ht="20" customHeight="1">
      <c r="A36" s="18" t="s">
        <v>63</v>
      </c>
      <c r="B36" s="18"/>
      <c r="C36" s="79"/>
      <c r="D36" s="18"/>
      <c r="E36" s="79"/>
      <c r="F36" s="18"/>
      <c r="G36" s="79"/>
      <c r="H36" s="97">
        <v>267.2</v>
      </c>
      <c r="I36" s="97">
        <f t="shared" si="18"/>
        <v>8.9630063318675189E-4</v>
      </c>
      <c r="J36" s="97">
        <v>22695.85</v>
      </c>
      <c r="K36" s="97">
        <f t="shared" si="19"/>
        <v>2.5903393081588944E-2</v>
      </c>
      <c r="L36" s="97">
        <v>9355.65</v>
      </c>
      <c r="M36" s="97">
        <f t="shared" si="20"/>
        <v>2.3968910166462059E-2</v>
      </c>
      <c r="N36" s="97">
        <v>9397</v>
      </c>
      <c r="O36" s="97">
        <f t="shared" si="21"/>
        <v>1.468476282006204E-2</v>
      </c>
      <c r="P36" s="97">
        <v>8743</v>
      </c>
      <c r="Q36" s="97" t="e">
        <f>P36/#REF!</f>
        <v>#REF!</v>
      </c>
      <c r="R36" s="97">
        <v>6318</v>
      </c>
      <c r="S36" s="97" t="e">
        <f>R36/#REF!</f>
        <v>#REF!</v>
      </c>
      <c r="T36" s="97">
        <v>2124</v>
      </c>
      <c r="U36" s="97" t="e">
        <f>T36/#REF!</f>
        <v>#REF!</v>
      </c>
      <c r="V36" s="97">
        <v>6964</v>
      </c>
      <c r="W36" s="97" t="e">
        <f>V36/#REF!</f>
        <v>#REF!</v>
      </c>
      <c r="X36" s="97">
        <v>14713</v>
      </c>
      <c r="Y36" s="22">
        <f t="shared" si="22"/>
        <v>3.7542069929855808E-2</v>
      </c>
      <c r="Z36" s="117">
        <f t="shared" si="23"/>
        <v>80577.7</v>
      </c>
      <c r="AA36" s="117">
        <f t="shared" si="24"/>
        <v>8953.0777777777766</v>
      </c>
      <c r="AB36" s="18"/>
      <c r="AC36" s="71"/>
      <c r="AD36" s="18">
        <f t="shared" si="25"/>
        <v>0</v>
      </c>
      <c r="AE36" s="71"/>
      <c r="AH36" s="56">
        <f t="shared" si="8"/>
        <v>95204</v>
      </c>
      <c r="AI36" s="69">
        <f t="shared" si="9"/>
        <v>7933.666666666667</v>
      </c>
    </row>
    <row r="37" spans="1:35" s="1" customFormat="1" ht="20" customHeight="1">
      <c r="A37" s="44"/>
      <c r="B37" s="44"/>
      <c r="C37" s="80"/>
      <c r="D37" s="44"/>
      <c r="E37" s="80"/>
      <c r="F37" s="44"/>
      <c r="G37" s="80"/>
      <c r="H37" s="98"/>
      <c r="I37" s="99"/>
      <c r="J37" s="98"/>
      <c r="K37" s="99"/>
      <c r="L37" s="98"/>
      <c r="M37" s="99"/>
      <c r="N37" s="98"/>
      <c r="O37" s="99"/>
      <c r="P37" s="98"/>
      <c r="Q37" s="99"/>
      <c r="R37" s="98"/>
      <c r="S37" s="99"/>
      <c r="T37" s="98"/>
      <c r="U37" s="99"/>
      <c r="V37" s="98"/>
      <c r="W37" s="99"/>
      <c r="X37" s="98"/>
      <c r="Y37" s="80"/>
      <c r="Z37" s="13"/>
      <c r="AA37" s="13"/>
      <c r="AB37" s="44"/>
      <c r="AC37" s="72"/>
      <c r="AD37" s="44"/>
      <c r="AE37" s="72"/>
      <c r="AH37" s="56">
        <f t="shared" si="8"/>
        <v>0</v>
      </c>
      <c r="AI37" s="69"/>
    </row>
    <row r="38" spans="1:35" ht="20" customHeight="1">
      <c r="A38" s="16" t="s">
        <v>64</v>
      </c>
      <c r="B38" s="16"/>
      <c r="C38" s="22"/>
      <c r="D38" s="16"/>
      <c r="E38" s="22"/>
      <c r="F38" s="16"/>
      <c r="G38" s="22"/>
      <c r="H38" s="92">
        <v>0</v>
      </c>
      <c r="I38" s="92">
        <f>H38/H$16</f>
        <v>0</v>
      </c>
      <c r="J38" s="92">
        <v>2244.4499999999998</v>
      </c>
      <c r="K38" s="92">
        <f>J38/J$16</f>
        <v>2.5616520466064194E-3</v>
      </c>
      <c r="L38" s="92">
        <v>1271</v>
      </c>
      <c r="M38" s="92">
        <f>L38/L$16</f>
        <v>3.2562659806184796E-3</v>
      </c>
      <c r="N38" s="92">
        <v>0</v>
      </c>
      <c r="O38" s="92">
        <f>N38/N$16</f>
        <v>0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 t="e">
        <f>T38/#REF!</f>
        <v>#REF!</v>
      </c>
      <c r="V38" s="92">
        <v>881</v>
      </c>
      <c r="W38" s="92" t="e">
        <f>V38/#REF!</f>
        <v>#REF!</v>
      </c>
      <c r="X38" s="92">
        <v>114</v>
      </c>
      <c r="Y38" s="22">
        <f>X38/X$16</f>
        <v>2.9088533759284729E-4</v>
      </c>
      <c r="Z38" s="13">
        <f>B38+D38+F38+H38+J38+L38+N38+P38+R38+T38+V38+X38</f>
        <v>4510.45</v>
      </c>
      <c r="AA38" s="13">
        <f>IFERROR(AVERAGE(B38,D38,F38,H38,J38,L38,N38,P38,R38,T38,V38,X38),0)</f>
        <v>501.1611111111111</v>
      </c>
      <c r="AB38" s="16"/>
      <c r="AC38" s="33"/>
      <c r="AD38" s="16">
        <f>IFERROR(AVERAGE(T38:X38),0)</f>
        <v>0</v>
      </c>
      <c r="AE38" s="33"/>
      <c r="AH38" s="56">
        <f t="shared" si="8"/>
        <v>3980</v>
      </c>
      <c r="AI38" s="66">
        <f t="shared" si="9"/>
        <v>331.66666666666669</v>
      </c>
    </row>
    <row r="39" spans="1:35" ht="20" customHeight="1" thickBot="1">
      <c r="A39" s="16"/>
      <c r="B39" s="16"/>
      <c r="C39" s="22"/>
      <c r="D39" s="16"/>
      <c r="E39" s="22"/>
      <c r="F39" s="16"/>
      <c r="G39" s="22"/>
      <c r="H39" s="48"/>
      <c r="I39" s="94"/>
      <c r="J39" s="48"/>
      <c r="K39" s="94"/>
      <c r="L39" s="48"/>
      <c r="M39" s="94"/>
      <c r="N39" s="48"/>
      <c r="O39" s="94"/>
      <c r="Q39" s="94"/>
      <c r="R39" s="48"/>
      <c r="S39" s="94"/>
      <c r="T39" s="48"/>
      <c r="U39" s="94"/>
      <c r="V39" s="48"/>
      <c r="W39" s="94"/>
      <c r="X39" s="48"/>
      <c r="Y39" s="22"/>
      <c r="Z39" s="13"/>
      <c r="AA39" s="13"/>
      <c r="AB39" s="16"/>
      <c r="AC39" s="33"/>
      <c r="AD39" s="16"/>
      <c r="AE39" s="33"/>
      <c r="AH39" s="56">
        <f t="shared" si="8"/>
        <v>0</v>
      </c>
      <c r="AI39" s="66"/>
    </row>
    <row r="40" spans="1:35" s="24" customFormat="1" ht="20" customHeight="1" thickBot="1">
      <c r="A40" s="25" t="s">
        <v>65</v>
      </c>
      <c r="B40" s="26"/>
      <c r="C40" s="26"/>
      <c r="D40" s="109"/>
      <c r="E40" s="109"/>
      <c r="F40" s="109"/>
      <c r="G40" s="109"/>
      <c r="H40" s="118">
        <v>134551.66</v>
      </c>
      <c r="I40" s="118">
        <f>H40/H$16</f>
        <v>0.45134258253865478</v>
      </c>
      <c r="J40" s="118">
        <v>150753.41</v>
      </c>
      <c r="K40" s="118">
        <f>J40/J$16</f>
        <v>0.17205898160324209</v>
      </c>
      <c r="L40" s="118">
        <v>130950.99</v>
      </c>
      <c r="M40" s="118">
        <f>L40/L$16</f>
        <v>0.33549272530708946</v>
      </c>
      <c r="N40" s="118">
        <v>141445</v>
      </c>
      <c r="O40" s="118">
        <f>N40/N$16</f>
        <v>0.22103716899900769</v>
      </c>
      <c r="P40" s="118">
        <v>142574</v>
      </c>
      <c r="Q40" s="118" t="e">
        <f>P40/#REF!</f>
        <v>#REF!</v>
      </c>
      <c r="R40" s="118">
        <v>176442</v>
      </c>
      <c r="S40" s="118" t="e">
        <f>R40/#REF!</f>
        <v>#REF!</v>
      </c>
      <c r="T40" s="118">
        <v>153559</v>
      </c>
      <c r="U40" s="118" t="e">
        <f>T40/#REF!</f>
        <v>#REF!</v>
      </c>
      <c r="V40" s="118">
        <v>162014</v>
      </c>
      <c r="W40" s="118" t="e">
        <f>V40/#REF!</f>
        <v>#REF!</v>
      </c>
      <c r="X40" s="118">
        <v>204141</v>
      </c>
      <c r="Y40" s="119">
        <f>X40/X$16</f>
        <v>0.52089143597843368</v>
      </c>
      <c r="Z40" s="109">
        <f>B40+D40+F40+H40+J40+L40+N40+P40+R40+T40+V40+X40</f>
        <v>1396431.06</v>
      </c>
      <c r="AA40" s="109">
        <f>IFERROR(AVERAGE(B40,D40,F40,H40,J40,L40,N40,P40,R40,T40,V40,X40),0)</f>
        <v>155159.00666666668</v>
      </c>
      <c r="AB40" s="27"/>
      <c r="AC40" s="38"/>
      <c r="AD40" s="27">
        <f>IFERROR(AVERAGE(T40:X40),0)</f>
        <v>0</v>
      </c>
      <c r="AE40" s="41"/>
      <c r="AH40" s="56">
        <f t="shared" si="8"/>
        <v>2078856</v>
      </c>
      <c r="AI40" s="66">
        <f t="shared" si="9"/>
        <v>173238</v>
      </c>
    </row>
    <row r="41" spans="1:35" s="24" customFormat="1" ht="20" customHeight="1">
      <c r="A41" s="73"/>
      <c r="B41" s="74"/>
      <c r="C41" s="84"/>
      <c r="D41" s="74"/>
      <c r="E41" s="84"/>
      <c r="F41" s="74"/>
      <c r="G41" s="84"/>
      <c r="H41" s="100"/>
      <c r="I41" s="101"/>
      <c r="J41" s="100"/>
      <c r="K41" s="101"/>
      <c r="L41" s="100"/>
      <c r="M41" s="101"/>
      <c r="N41" s="100"/>
      <c r="O41" s="101"/>
      <c r="P41" s="100"/>
      <c r="Q41" s="101"/>
      <c r="R41" s="100"/>
      <c r="S41" s="101"/>
      <c r="T41" s="100"/>
      <c r="U41" s="101"/>
      <c r="V41" s="100"/>
      <c r="W41" s="101"/>
      <c r="X41" s="100"/>
      <c r="Y41" s="81"/>
      <c r="Z41" s="13"/>
      <c r="AA41" s="13">
        <f>IFERROR(AVERAGE(B41,D41,F41,H41,J41,L41,N41,P41,R41,T41,V41,X41),0)</f>
        <v>0</v>
      </c>
      <c r="AB41" s="75"/>
      <c r="AC41" s="76"/>
      <c r="AD41" s="75"/>
      <c r="AE41" s="47"/>
      <c r="AH41" s="56">
        <f t="shared" ref="AH41:AH70" si="26">(T41+V41+X41)*4</f>
        <v>0</v>
      </c>
      <c r="AI41" s="66"/>
    </row>
    <row r="42" spans="1:35" ht="20" customHeight="1">
      <c r="A42" s="16" t="s">
        <v>66</v>
      </c>
      <c r="B42" s="16"/>
      <c r="C42" s="22"/>
      <c r="D42" s="16"/>
      <c r="E42" s="22"/>
      <c r="F42" s="16"/>
      <c r="G42" s="22"/>
      <c r="H42" s="92">
        <v>6308.69</v>
      </c>
      <c r="I42" s="92">
        <f>H42/H$16</f>
        <v>2.1161986682555874E-2</v>
      </c>
      <c r="J42" s="92">
        <v>14713.73</v>
      </c>
      <c r="K42" s="92">
        <f>J42/J$16</f>
        <v>1.6793181655957706E-2</v>
      </c>
      <c r="L42" s="92">
        <v>14772.77</v>
      </c>
      <c r="M42" s="92">
        <f>L42/L$16</f>
        <v>3.7847418088513968E-2</v>
      </c>
      <c r="N42" s="92">
        <v>20218</v>
      </c>
      <c r="O42" s="92">
        <f>N42/N$16</f>
        <v>3.1594821187188926E-2</v>
      </c>
      <c r="P42" s="92">
        <v>14728</v>
      </c>
      <c r="Q42" s="92" t="e">
        <f>P42/#REF!</f>
        <v>#REF!</v>
      </c>
      <c r="R42" s="92">
        <v>7541</v>
      </c>
      <c r="S42" s="92" t="e">
        <f>R42/#REF!</f>
        <v>#REF!</v>
      </c>
      <c r="T42" s="92">
        <v>11249</v>
      </c>
      <c r="U42" s="92" t="e">
        <f>T42/#REF!</f>
        <v>#REF!</v>
      </c>
      <c r="V42" s="92">
        <v>13838</v>
      </c>
      <c r="W42" s="92" t="e">
        <f>V42/#REF!</f>
        <v>#REF!</v>
      </c>
      <c r="X42" s="92">
        <v>11127</v>
      </c>
      <c r="Y42" s="22">
        <f>X42/X$16</f>
        <v>2.8391939924522911E-2</v>
      </c>
      <c r="Z42" s="13">
        <f>B42+D42+F42+H42+J42+L42+N42+P42+R42+T42+V42+X42</f>
        <v>114496.19</v>
      </c>
      <c r="AA42" s="13">
        <f>IFERROR(AVERAGE(B42,D42,F42,H42,J42,L42,N42,P42,R42,T42,V42,X42),0)</f>
        <v>12721.798888888889</v>
      </c>
      <c r="AB42" s="16"/>
      <c r="AC42" s="33"/>
      <c r="AD42" s="16">
        <f>IFERROR(AVERAGE(T42:X42),0)</f>
        <v>0</v>
      </c>
      <c r="AE42" s="33"/>
      <c r="AH42" s="56">
        <f t="shared" si="26"/>
        <v>144856</v>
      </c>
      <c r="AI42" s="66">
        <f t="shared" si="9"/>
        <v>12071.333333333334</v>
      </c>
    </row>
    <row r="43" spans="1:35" ht="20" customHeight="1">
      <c r="A43" s="16"/>
      <c r="B43" s="16"/>
      <c r="C43" s="22"/>
      <c r="D43" s="16"/>
      <c r="E43" s="22"/>
      <c r="F43" s="16"/>
      <c r="G43" s="22"/>
      <c r="H43" s="48"/>
      <c r="I43" s="94"/>
      <c r="J43" s="48"/>
      <c r="K43" s="94"/>
      <c r="L43" s="48"/>
      <c r="M43" s="94"/>
      <c r="N43" s="48"/>
      <c r="O43" s="94"/>
      <c r="P43" s="48"/>
      <c r="Q43" s="94"/>
      <c r="R43" s="48"/>
      <c r="S43" s="94"/>
      <c r="T43" s="48"/>
      <c r="U43" s="94"/>
      <c r="V43" s="48"/>
      <c r="W43" s="94"/>
      <c r="X43" s="48"/>
      <c r="Y43" s="22"/>
      <c r="Z43" s="13"/>
      <c r="AA43" s="13"/>
      <c r="AB43" s="16"/>
      <c r="AC43" s="33"/>
      <c r="AD43" s="16"/>
      <c r="AE43" s="33"/>
      <c r="AH43" s="56">
        <f t="shared" si="26"/>
        <v>0</v>
      </c>
      <c r="AI43" s="66"/>
    </row>
    <row r="44" spans="1:35" ht="20" customHeight="1">
      <c r="A44" s="14" t="s">
        <v>67</v>
      </c>
      <c r="B44" s="16"/>
      <c r="C44" s="22"/>
      <c r="D44" s="16"/>
      <c r="E44" s="22"/>
      <c r="F44" s="16"/>
      <c r="G44" s="22"/>
      <c r="H44" s="48"/>
      <c r="I44" s="94"/>
      <c r="J44" s="48"/>
      <c r="K44" s="94"/>
      <c r="L44" s="48"/>
      <c r="M44" s="94"/>
      <c r="N44" s="48"/>
      <c r="O44" s="94"/>
      <c r="P44" s="48"/>
      <c r="Q44" s="94"/>
      <c r="R44" s="48"/>
      <c r="S44" s="94"/>
      <c r="T44" s="48"/>
      <c r="U44" s="94"/>
      <c r="V44" s="48"/>
      <c r="W44" s="94"/>
      <c r="X44" s="48"/>
      <c r="Y44" s="22"/>
      <c r="Z44" s="13"/>
      <c r="AA44" s="13"/>
      <c r="AB44" s="16"/>
      <c r="AC44" s="17"/>
      <c r="AD44" s="16"/>
      <c r="AE44" s="12"/>
      <c r="AH44" s="56">
        <f t="shared" si="26"/>
        <v>0</v>
      </c>
      <c r="AI44" s="66">
        <f t="shared" si="9"/>
        <v>0</v>
      </c>
    </row>
    <row r="45" spans="1:35" ht="20" customHeight="1">
      <c r="A45" s="16" t="s">
        <v>68</v>
      </c>
      <c r="B45" s="16"/>
      <c r="C45" s="22"/>
      <c r="D45" s="16"/>
      <c r="E45" s="22"/>
      <c r="F45" s="16"/>
      <c r="G45" s="22"/>
      <c r="H45" s="92">
        <v>9679.91</v>
      </c>
      <c r="I45" s="92">
        <f>H45/H$16</f>
        <v>3.2470469544127141E-2</v>
      </c>
      <c r="J45" s="121"/>
      <c r="K45" s="121">
        <f>J45/J$16</f>
        <v>0</v>
      </c>
      <c r="L45" s="121"/>
      <c r="M45" s="121">
        <f>L45/L$16</f>
        <v>0</v>
      </c>
      <c r="N45" s="121"/>
      <c r="O45" s="121">
        <f>N45/N$16</f>
        <v>0</v>
      </c>
      <c r="P45" s="121"/>
      <c r="Q45" s="121" t="e">
        <f>P45/#REF!</f>
        <v>#REF!</v>
      </c>
      <c r="R45" s="121"/>
      <c r="S45" s="121" t="e">
        <f>R45/#REF!</f>
        <v>#REF!</v>
      </c>
      <c r="T45" s="121"/>
      <c r="U45" s="121" t="e">
        <f>T45/#REF!</f>
        <v>#REF!</v>
      </c>
      <c r="V45" s="121"/>
      <c r="W45" s="121" t="e">
        <f>V45/#REF!</f>
        <v>#REF!</v>
      </c>
      <c r="X45" s="121"/>
      <c r="Y45" s="22">
        <f>X45/X$16</f>
        <v>0</v>
      </c>
      <c r="Z45" s="13">
        <f>B45+D45+F45+H45+J45+L45+N45+P45+R45+T45+V45+X45</f>
        <v>9679.91</v>
      </c>
      <c r="AA45" s="13">
        <f>IFERROR(AVERAGE(B45,D45,F45,H45,J45,L45,N45,P45,R45,T45,V45,X45),0)</f>
        <v>9679.91</v>
      </c>
      <c r="AB45" s="16"/>
      <c r="AC45" s="33"/>
      <c r="AD45" s="16">
        <f>IFERROR(AVERAGE(T45:X45),0)</f>
        <v>0</v>
      </c>
      <c r="AE45" s="33"/>
      <c r="AH45" s="56">
        <f t="shared" si="26"/>
        <v>0</v>
      </c>
      <c r="AI45" s="66">
        <f t="shared" si="9"/>
        <v>0</v>
      </c>
    </row>
    <row r="46" spans="1:35" ht="20" customHeight="1">
      <c r="A46" s="16" t="s">
        <v>69</v>
      </c>
      <c r="B46" s="16"/>
      <c r="C46" s="22"/>
      <c r="D46" s="16"/>
      <c r="E46" s="22"/>
      <c r="F46" s="16"/>
      <c r="G46" s="22"/>
      <c r="H46" s="92">
        <v>2175</v>
      </c>
      <c r="I46" s="92">
        <f>H46/H$16</f>
        <v>7.2958603187918613E-3</v>
      </c>
      <c r="J46" s="121"/>
      <c r="K46" s="121">
        <f>J46/J$16</f>
        <v>0</v>
      </c>
      <c r="L46" s="121"/>
      <c r="M46" s="121">
        <f>L46/L$16</f>
        <v>0</v>
      </c>
      <c r="N46" s="121"/>
      <c r="O46" s="121">
        <f>N46/N$16</f>
        <v>0</v>
      </c>
      <c r="P46" s="121"/>
      <c r="Q46" s="121" t="e">
        <f>P46/#REF!</f>
        <v>#REF!</v>
      </c>
      <c r="R46" s="121"/>
      <c r="S46" s="121" t="e">
        <f>R46/#REF!</f>
        <v>#REF!</v>
      </c>
      <c r="T46" s="121"/>
      <c r="U46" s="121" t="e">
        <f>T46/#REF!</f>
        <v>#REF!</v>
      </c>
      <c r="V46" s="121"/>
      <c r="W46" s="121" t="e">
        <f>V46/#REF!</f>
        <v>#REF!</v>
      </c>
      <c r="X46" s="121"/>
      <c r="Y46" s="22">
        <f>X46/X$16</f>
        <v>0</v>
      </c>
      <c r="Z46" s="13">
        <f>B46+D46+F46+H46+J46+L46+N46+P46+R46+T46+V46+X46</f>
        <v>2175</v>
      </c>
      <c r="AA46" s="13">
        <f>IFERROR(AVERAGE(B46,D46,F46,H46,J46,L46,N46,P46,R46,T46,V46,X46),0)</f>
        <v>2175</v>
      </c>
      <c r="AB46" s="16"/>
      <c r="AC46" s="33"/>
      <c r="AD46" s="16">
        <f>IFERROR(AVERAGE(T46:X46),0)</f>
        <v>0</v>
      </c>
      <c r="AE46" s="33"/>
      <c r="AH46" s="56">
        <f t="shared" si="26"/>
        <v>0</v>
      </c>
      <c r="AI46" s="66">
        <f t="shared" si="9"/>
        <v>0</v>
      </c>
    </row>
    <row r="47" spans="1:35" ht="20" customHeight="1">
      <c r="A47" s="16" t="s">
        <v>70</v>
      </c>
      <c r="B47" s="16"/>
      <c r="C47" s="22"/>
      <c r="D47" s="16"/>
      <c r="E47" s="22"/>
      <c r="F47" s="16"/>
      <c r="G47" s="22"/>
      <c r="H47" s="92">
        <v>3870.97</v>
      </c>
      <c r="I47" s="92">
        <f>H47/H$16</f>
        <v>1.2984853525624705E-2</v>
      </c>
      <c r="J47" s="121"/>
      <c r="K47" s="121">
        <f>J47/J$16</f>
        <v>0</v>
      </c>
      <c r="L47" s="121"/>
      <c r="M47" s="121">
        <f>L47/L$16</f>
        <v>0</v>
      </c>
      <c r="N47" s="121"/>
      <c r="O47" s="121">
        <f>N47/N$16</f>
        <v>0</v>
      </c>
      <c r="P47" s="121"/>
      <c r="Q47" s="121" t="e">
        <f>P47/#REF!</f>
        <v>#REF!</v>
      </c>
      <c r="R47" s="121"/>
      <c r="S47" s="121" t="e">
        <f>R47/#REF!</f>
        <v>#REF!</v>
      </c>
      <c r="T47" s="121"/>
      <c r="U47" s="121" t="e">
        <f>T47/#REF!</f>
        <v>#REF!</v>
      </c>
      <c r="V47" s="121"/>
      <c r="W47" s="121" t="e">
        <f>V47/#REF!</f>
        <v>#REF!</v>
      </c>
      <c r="X47" s="121"/>
      <c r="Y47" s="22">
        <f>X47/X$16</f>
        <v>0</v>
      </c>
      <c r="Z47" s="13">
        <f>B47+D47+F47+H47+J47+L47+N47+P47+R47+T47+V47+X47</f>
        <v>3870.97</v>
      </c>
      <c r="AA47" s="13">
        <f>IFERROR(AVERAGE(B47,D47,F47,H47,J47,L47,N47,P47,R47,T47,V47,X47),0)</f>
        <v>3870.97</v>
      </c>
      <c r="AB47" s="16"/>
      <c r="AC47" s="33"/>
      <c r="AD47" s="16">
        <f>IFERROR(AVERAGE(T47:X47),0)</f>
        <v>0</v>
      </c>
      <c r="AE47" s="33"/>
      <c r="AH47" s="56">
        <f t="shared" si="26"/>
        <v>0</v>
      </c>
      <c r="AI47" s="66">
        <f t="shared" si="9"/>
        <v>0</v>
      </c>
    </row>
    <row r="48" spans="1:35" ht="20" customHeight="1">
      <c r="A48" s="16" t="s">
        <v>71</v>
      </c>
      <c r="B48" s="16"/>
      <c r="C48" s="22"/>
      <c r="D48" s="16"/>
      <c r="E48" s="22"/>
      <c r="F48" s="16"/>
      <c r="G48" s="22"/>
      <c r="H48" s="92">
        <v>4293.91</v>
      </c>
      <c r="I48" s="92">
        <f>H48/H$16</f>
        <v>1.4403571301822328E-2</v>
      </c>
      <c r="J48" s="121"/>
      <c r="K48" s="121">
        <f>J48/J$16</f>
        <v>0</v>
      </c>
      <c r="L48" s="121"/>
      <c r="M48" s="121">
        <f>L48/L$16</f>
        <v>0</v>
      </c>
      <c r="N48" s="121"/>
      <c r="O48" s="121">
        <f>N48/N$16</f>
        <v>0</v>
      </c>
      <c r="P48" s="121"/>
      <c r="Q48" s="121" t="e">
        <f>P48/#REF!</f>
        <v>#REF!</v>
      </c>
      <c r="R48" s="121"/>
      <c r="S48" s="121" t="e">
        <f>R48/#REF!</f>
        <v>#REF!</v>
      </c>
      <c r="T48" s="121"/>
      <c r="U48" s="121" t="e">
        <f>T48/#REF!</f>
        <v>#REF!</v>
      </c>
      <c r="V48" s="121"/>
      <c r="W48" s="121" t="e">
        <f>V48/#REF!</f>
        <v>#REF!</v>
      </c>
      <c r="X48" s="121"/>
      <c r="Y48" s="22">
        <f>X48/X$16</f>
        <v>0</v>
      </c>
      <c r="Z48" s="13">
        <f>B48+D48+F48+H48+J48+L48+N48+P48+R48+T48+V48+X48</f>
        <v>4293.91</v>
      </c>
      <c r="AA48" s="13">
        <f>IFERROR(AVERAGE(B48,D48,F48,H48,J48,L48,N48,P48,R48,T48,V48,X48),0)</f>
        <v>4293.91</v>
      </c>
      <c r="AB48" s="16"/>
      <c r="AC48" s="33"/>
      <c r="AD48" s="16">
        <f>IFERROR(AVERAGE(T48:X48),0)</f>
        <v>0</v>
      </c>
      <c r="AE48" s="33"/>
      <c r="AH48" s="56">
        <f t="shared" si="26"/>
        <v>0</v>
      </c>
      <c r="AI48" s="66">
        <f t="shared" si="9"/>
        <v>0</v>
      </c>
    </row>
    <row r="49" spans="1:35" s="1" customFormat="1" ht="20" customHeight="1">
      <c r="A49" s="13" t="s">
        <v>72</v>
      </c>
      <c r="B49" s="13"/>
      <c r="C49" s="82"/>
      <c r="D49" s="13"/>
      <c r="E49" s="82"/>
      <c r="F49" s="13"/>
      <c r="G49" s="82"/>
      <c r="H49" s="108">
        <v>20019.79</v>
      </c>
      <c r="I49" s="108"/>
      <c r="J49" s="108">
        <v>8679.85</v>
      </c>
      <c r="K49" s="108"/>
      <c r="L49" s="108">
        <v>12494.15</v>
      </c>
      <c r="M49" s="108" t="e">
        <f>#REF!/L$16</f>
        <v>#REF!</v>
      </c>
      <c r="N49" s="108">
        <v>30009</v>
      </c>
      <c r="O49" s="108">
        <f>N49/N$16</f>
        <v>4.6895290780806828E-2</v>
      </c>
      <c r="P49" s="108">
        <v>6487</v>
      </c>
      <c r="Q49" s="108" t="e">
        <f>P49/#REF!</f>
        <v>#REF!</v>
      </c>
      <c r="R49" s="108">
        <v>7409</v>
      </c>
      <c r="S49" s="108" t="e">
        <f>R49/#REF!</f>
        <v>#REF!</v>
      </c>
      <c r="T49" s="108">
        <v>8846</v>
      </c>
      <c r="U49" s="108" t="e">
        <f>T49/#REF!</f>
        <v>#REF!</v>
      </c>
      <c r="V49" s="108">
        <v>6649</v>
      </c>
      <c r="W49" s="108" t="e">
        <f>V49/#REF!</f>
        <v>#REF!</v>
      </c>
      <c r="X49" s="108">
        <v>15522</v>
      </c>
      <c r="Y49" s="22">
        <f>X49/X$16</f>
        <v>3.9606335176457681E-2</v>
      </c>
      <c r="Z49" s="13">
        <f>B49+D49+F49+H49+J49+L49+N49+P49+R49+T49+V49+X49</f>
        <v>116115.79000000001</v>
      </c>
      <c r="AA49" s="13">
        <f>IFERROR(AVERAGE(B49,D49,F49,H49,J49,L49,N49,P49,R49,T49,V49,X49),0)</f>
        <v>12901.754444444445</v>
      </c>
      <c r="AB49" s="13"/>
      <c r="AC49" s="67"/>
      <c r="AD49" s="13">
        <f>IFERROR(AVERAGE(T49:X49),0)</f>
        <v>0</v>
      </c>
      <c r="AE49" s="67"/>
      <c r="AH49" s="56">
        <f t="shared" si="26"/>
        <v>124068</v>
      </c>
      <c r="AI49" s="69">
        <f t="shared" si="9"/>
        <v>10339</v>
      </c>
    </row>
    <row r="50" spans="1:35" s="1" customFormat="1" ht="20" customHeight="1">
      <c r="A50" s="13"/>
      <c r="B50" s="13"/>
      <c r="C50" s="82"/>
      <c r="D50" s="13"/>
      <c r="E50" s="82"/>
      <c r="F50" s="13"/>
      <c r="G50" s="82"/>
      <c r="M50" s="94"/>
      <c r="N50" s="102"/>
      <c r="O50" s="94"/>
      <c r="P50" s="102"/>
      <c r="Q50" s="94"/>
      <c r="R50" s="102"/>
      <c r="S50" s="94"/>
      <c r="T50" s="102"/>
      <c r="U50" s="94"/>
      <c r="V50" s="102"/>
      <c r="W50" s="94"/>
      <c r="X50" s="102"/>
      <c r="Y50" s="22"/>
      <c r="Z50" s="13"/>
      <c r="AA50" s="13"/>
      <c r="AB50" s="13"/>
      <c r="AC50" s="67"/>
      <c r="AD50" s="13"/>
      <c r="AE50" s="67"/>
      <c r="AH50" s="56">
        <f t="shared" si="26"/>
        <v>0</v>
      </c>
      <c r="AI50" s="69"/>
    </row>
    <row r="51" spans="1:35" ht="20" customHeight="1">
      <c r="A51" s="16" t="s">
        <v>73</v>
      </c>
      <c r="B51" s="16"/>
      <c r="C51" s="22"/>
      <c r="D51" s="16"/>
      <c r="E51" s="22"/>
      <c r="F51" s="16"/>
      <c r="G51" s="22"/>
      <c r="H51" s="48"/>
      <c r="I51" s="94"/>
      <c r="J51" s="48"/>
      <c r="K51" s="94"/>
      <c r="L51" s="48"/>
      <c r="M51" s="94"/>
      <c r="N51" s="48"/>
      <c r="O51" s="94"/>
      <c r="P51" s="48"/>
      <c r="Q51" s="94"/>
      <c r="R51" s="48"/>
      <c r="S51" s="94"/>
      <c r="T51" s="48"/>
      <c r="U51" s="94"/>
      <c r="V51" s="48"/>
      <c r="W51" s="94"/>
      <c r="X51" s="48"/>
      <c r="Y51" s="22"/>
      <c r="Z51" s="13"/>
      <c r="AA51" s="13"/>
      <c r="AB51" s="16"/>
      <c r="AC51" s="16"/>
      <c r="AD51" s="16"/>
      <c r="AE51" s="16"/>
      <c r="AH51" s="56">
        <f t="shared" si="26"/>
        <v>0</v>
      </c>
      <c r="AI51" s="66">
        <f t="shared" si="9"/>
        <v>0</v>
      </c>
    </row>
    <row r="52" spans="1:35" ht="20" customHeight="1">
      <c r="A52" s="16" t="s">
        <v>74</v>
      </c>
      <c r="B52" s="16"/>
      <c r="C52" s="22"/>
      <c r="D52" s="16"/>
      <c r="E52" s="22"/>
      <c r="F52" s="16"/>
      <c r="G52" s="22"/>
      <c r="H52" s="48"/>
      <c r="I52" s="94">
        <f>H52/H$16</f>
        <v>0</v>
      </c>
      <c r="J52" s="48"/>
      <c r="K52" s="94">
        <f>J52/J$16</f>
        <v>0</v>
      </c>
      <c r="L52" s="48"/>
      <c r="M52" s="94">
        <f>L52/L$16</f>
        <v>0</v>
      </c>
      <c r="N52" s="48"/>
      <c r="O52" s="94">
        <f>N52/N$16</f>
        <v>0</v>
      </c>
      <c r="P52" s="48"/>
      <c r="Q52" s="94" t="e">
        <f>P52/#REF!</f>
        <v>#REF!</v>
      </c>
      <c r="R52" s="48"/>
      <c r="S52" s="94" t="e">
        <f>R52/#REF!</f>
        <v>#REF!</v>
      </c>
      <c r="T52" s="48"/>
      <c r="U52" s="94" t="e">
        <f>T52/#REF!</f>
        <v>#REF!</v>
      </c>
      <c r="V52" s="48"/>
      <c r="W52" s="94" t="e">
        <f>V52/#REF!</f>
        <v>#REF!</v>
      </c>
      <c r="X52" s="48"/>
      <c r="Y52" s="22">
        <f>X52/X$16</f>
        <v>0</v>
      </c>
      <c r="Z52" s="13">
        <f>B52+D52+F52+H52+J52+L52+N52+P52+R52+T52+V52+X52</f>
        <v>0</v>
      </c>
      <c r="AA52" s="13">
        <f>IFERROR(AVERAGE(B52,D52,F52,H52,J52,L52,N52,P52,R52,T52,V52,X52),0)</f>
        <v>0</v>
      </c>
      <c r="AB52" s="16"/>
      <c r="AC52" s="33"/>
      <c r="AD52" s="16">
        <f>IFERROR(AVERAGE(T52:X52),0)</f>
        <v>0</v>
      </c>
      <c r="AE52" s="33"/>
      <c r="AH52" s="56">
        <f t="shared" si="26"/>
        <v>0</v>
      </c>
      <c r="AI52" s="66">
        <f t="shared" si="9"/>
        <v>0</v>
      </c>
    </row>
    <row r="53" spans="1:35" ht="20" customHeight="1">
      <c r="A53" s="16" t="s">
        <v>75</v>
      </c>
      <c r="B53" s="16"/>
      <c r="C53" s="22"/>
      <c r="D53" s="16"/>
      <c r="E53" s="22"/>
      <c r="F53" s="16"/>
      <c r="G53" s="22"/>
      <c r="H53" s="48"/>
      <c r="I53" s="94"/>
      <c r="J53" s="48"/>
      <c r="K53" s="94"/>
      <c r="L53" s="48"/>
      <c r="M53" s="94"/>
      <c r="N53" s="48"/>
      <c r="O53" s="94"/>
      <c r="P53" s="48"/>
      <c r="Q53" s="94"/>
      <c r="R53" s="48"/>
      <c r="S53" s="94"/>
      <c r="T53" s="48"/>
      <c r="U53" s="94"/>
      <c r="V53" s="48"/>
      <c r="W53" s="94"/>
      <c r="X53" s="48"/>
      <c r="Y53" s="22"/>
      <c r="Z53" s="13">
        <f>B53+D53+F53+H53+J53+L53+N53+P53+R53+T53+V53+X53</f>
        <v>0</v>
      </c>
      <c r="AA53" s="13">
        <f>IFERROR(AVERAGE(B53,D53,F53,H53,J53,L53,N53,P53,R53,T53,V53,X53),0)</f>
        <v>0</v>
      </c>
      <c r="AB53" s="16"/>
      <c r="AC53" s="33"/>
      <c r="AD53" s="16">
        <f>IFERROR(AVERAGE(T53:X53),0)</f>
        <v>0</v>
      </c>
      <c r="AE53" s="33"/>
      <c r="AH53" s="56">
        <f t="shared" si="26"/>
        <v>0</v>
      </c>
      <c r="AI53" s="66">
        <f t="shared" si="9"/>
        <v>0</v>
      </c>
    </row>
    <row r="54" spans="1:35" ht="20" customHeight="1">
      <c r="A54" s="46" t="s">
        <v>76</v>
      </c>
      <c r="B54" s="46"/>
      <c r="C54" s="62"/>
      <c r="D54" s="46"/>
      <c r="E54" s="62"/>
      <c r="F54" s="46"/>
      <c r="G54" s="62"/>
      <c r="H54" s="104"/>
      <c r="I54" s="105">
        <f>H54/H$16</f>
        <v>0</v>
      </c>
      <c r="J54" s="92">
        <v>1324.74</v>
      </c>
      <c r="K54" s="92">
        <f>J54/J$16</f>
        <v>1.5119619203909148E-3</v>
      </c>
      <c r="L54" s="92">
        <v>1324.74</v>
      </c>
      <c r="M54" s="92">
        <f>L54/L$16</f>
        <v>3.3939463376589491E-3</v>
      </c>
      <c r="N54" s="92">
        <v>2218</v>
      </c>
      <c r="O54" s="92">
        <f>N54/N$16</f>
        <v>3.4660853394591468E-3</v>
      </c>
      <c r="P54" s="92">
        <v>2650</v>
      </c>
      <c r="Q54" s="92" t="e">
        <f>P54/#REF!</f>
        <v>#REF!</v>
      </c>
      <c r="R54" s="92">
        <v>1069</v>
      </c>
      <c r="S54" s="92" t="e">
        <f>R54/#REF!</f>
        <v>#REF!</v>
      </c>
      <c r="T54" s="92">
        <v>1851</v>
      </c>
      <c r="U54" s="92" t="e">
        <f>T54/#REF!</f>
        <v>#REF!</v>
      </c>
      <c r="V54" s="92">
        <v>2678</v>
      </c>
      <c r="W54" s="92" t="e">
        <f>V54/#REF!</f>
        <v>#REF!</v>
      </c>
      <c r="X54" s="92">
        <v>1851</v>
      </c>
      <c r="Y54" s="57">
        <f>X54/X$16</f>
        <v>4.7230592972312309E-3</v>
      </c>
      <c r="Z54" s="13">
        <f>B54+D54+F54+H54+J54+L54+N54+P54+R54+T54+V54+X54</f>
        <v>14966.48</v>
      </c>
      <c r="AA54" s="13">
        <f>IFERROR(AVERAGE(B54,D54,F54,H54,J54,L54,N54,P54,R54,T54,V54,X54),0)</f>
        <v>1870.81</v>
      </c>
      <c r="AB54" s="46"/>
      <c r="AC54" s="42"/>
      <c r="AD54" s="46">
        <f>IFERROR(AVERAGE(T54:X54),0)</f>
        <v>0</v>
      </c>
      <c r="AE54" s="42"/>
      <c r="AH54" s="56">
        <f t="shared" si="26"/>
        <v>25520</v>
      </c>
      <c r="AI54" s="66">
        <f t="shared" si="9"/>
        <v>2126.6666666666665</v>
      </c>
    </row>
    <row r="55" spans="1:35" ht="20" customHeight="1">
      <c r="A55" s="46" t="s">
        <v>77</v>
      </c>
      <c r="B55" s="46"/>
      <c r="C55" s="62"/>
      <c r="D55" s="46"/>
      <c r="E55" s="62"/>
      <c r="F55" s="46"/>
      <c r="G55" s="62"/>
      <c r="H55" s="106">
        <v>161147.34</v>
      </c>
      <c r="I55" s="107">
        <f>H55/H$16</f>
        <v>0.54055562454476347</v>
      </c>
      <c r="J55" s="106">
        <v>200412.03</v>
      </c>
      <c r="K55" s="107">
        <f>J55/J$16</f>
        <v>0.22873572002675363</v>
      </c>
      <c r="L55" s="106">
        <v>170169.3</v>
      </c>
      <c r="M55" s="107">
        <f>L55/L$16</f>
        <v>0.43596892410358784</v>
      </c>
      <c r="N55" s="93">
        <v>203287</v>
      </c>
      <c r="O55" s="107">
        <f>N55/N$16</f>
        <v>0.3176781291265246</v>
      </c>
      <c r="P55" s="93">
        <v>175182</v>
      </c>
      <c r="Q55" s="107" t="e">
        <f>P55/#REF!</f>
        <v>#REF!</v>
      </c>
      <c r="R55" s="93">
        <v>198779</v>
      </c>
      <c r="S55" s="107" t="e">
        <f>R55/#REF!</f>
        <v>#REF!</v>
      </c>
      <c r="T55" s="93">
        <v>177629</v>
      </c>
      <c r="U55" s="107" t="e">
        <f>T55/#REF!</f>
        <v>#REF!</v>
      </c>
      <c r="V55" s="93">
        <v>193024</v>
      </c>
      <c r="W55" s="107" t="e">
        <f>V55/#REF!</f>
        <v>#REF!</v>
      </c>
      <c r="X55" s="93">
        <v>247468</v>
      </c>
      <c r="Y55" s="57">
        <f>X55/X$16</f>
        <v>0.63144572564409418</v>
      </c>
      <c r="Z55" s="120">
        <f>B55+D55+F55+H55+J55+L55+N55+P55+R55+T55+V55+X55</f>
        <v>1727097.67</v>
      </c>
      <c r="AA55" s="120">
        <f>IFERROR(AVERAGE(B55,D55,F55,H55,J55,L55,N55,P55,R55,T55,V55,X55),0)</f>
        <v>191899.7411111111</v>
      </c>
      <c r="AB55" s="19"/>
      <c r="AC55" s="42"/>
      <c r="AD55" s="19">
        <f>IFERROR(AVERAGE(T55:X55),0)</f>
        <v>0</v>
      </c>
      <c r="AE55" s="42"/>
      <c r="AH55" s="56">
        <f t="shared" si="26"/>
        <v>2472484</v>
      </c>
      <c r="AI55" s="66">
        <f t="shared" si="9"/>
        <v>206040.33333333334</v>
      </c>
    </row>
    <row r="56" spans="1:35" ht="20" customHeight="1" thickBot="1">
      <c r="A56" s="15"/>
      <c r="B56" s="16"/>
      <c r="C56" s="22"/>
      <c r="D56" s="16"/>
      <c r="E56" s="22"/>
      <c r="F56" s="16"/>
      <c r="G56" s="22"/>
      <c r="H56" s="16"/>
      <c r="I56" s="22"/>
      <c r="J56" s="16"/>
      <c r="K56" s="22"/>
      <c r="L56" s="16"/>
      <c r="M56" s="22"/>
      <c r="N56" s="16"/>
      <c r="O56" s="22"/>
      <c r="P56" s="16"/>
      <c r="Q56" s="22"/>
      <c r="R56" s="16"/>
      <c r="S56" s="22"/>
      <c r="T56" s="16"/>
      <c r="U56" s="22"/>
      <c r="V56" s="16"/>
      <c r="W56" s="22"/>
      <c r="X56" s="16"/>
      <c r="Y56" s="22"/>
      <c r="Z56" s="13"/>
      <c r="AA56" s="13"/>
      <c r="AB56" s="16"/>
      <c r="AC56" s="16"/>
      <c r="AD56" s="16"/>
      <c r="AE56" s="16"/>
      <c r="AH56" s="56">
        <f t="shared" si="26"/>
        <v>0</v>
      </c>
      <c r="AI56" s="66">
        <f t="shared" si="9"/>
        <v>0</v>
      </c>
    </row>
    <row r="57" spans="1:35" s="24" customFormat="1" ht="20" customHeight="1" thickTop="1" thickBot="1">
      <c r="A57" s="28" t="s">
        <v>78</v>
      </c>
      <c r="B57" s="29"/>
      <c r="C57" s="85"/>
      <c r="D57" s="29"/>
      <c r="E57" s="85"/>
      <c r="F57" s="29"/>
      <c r="G57" s="85"/>
      <c r="H57" s="30">
        <f t="shared" ref="H57:X57" si="27">H27-H55</f>
        <v>17312.300000000017</v>
      </c>
      <c r="I57" s="30">
        <f t="shared" si="27"/>
        <v>5.8072700044607073E-2</v>
      </c>
      <c r="J57" s="30">
        <f t="shared" si="27"/>
        <v>60814.700000000012</v>
      </c>
      <c r="K57" s="30">
        <f t="shared" si="27"/>
        <v>6.9409477029452826E-2</v>
      </c>
      <c r="L57" s="30">
        <f t="shared" si="27"/>
        <v>37803.630000000005</v>
      </c>
      <c r="M57" s="30">
        <f t="shared" si="27"/>
        <v>9.6851828727685441E-2</v>
      </c>
      <c r="N57" s="30">
        <f t="shared" si="27"/>
        <v>46787</v>
      </c>
      <c r="O57" s="30">
        <f t="shared" si="27"/>
        <v>7.3114398005985182E-2</v>
      </c>
      <c r="P57" s="30">
        <f t="shared" si="27"/>
        <v>-42166</v>
      </c>
      <c r="Q57" s="30" t="e">
        <f t="shared" si="27"/>
        <v>#REF!</v>
      </c>
      <c r="R57" s="30">
        <f t="shared" si="27"/>
        <v>10356</v>
      </c>
      <c r="S57" s="30" t="e">
        <f t="shared" si="27"/>
        <v>#REF!</v>
      </c>
      <c r="T57" s="30">
        <f t="shared" si="27"/>
        <v>17234</v>
      </c>
      <c r="U57" s="30" t="e">
        <f t="shared" si="27"/>
        <v>#REF!</v>
      </c>
      <c r="V57" s="30">
        <f t="shared" si="27"/>
        <v>106627</v>
      </c>
      <c r="W57" s="30" t="e">
        <f t="shared" si="27"/>
        <v>#REF!</v>
      </c>
      <c r="X57" s="30">
        <f t="shared" si="27"/>
        <v>-35769</v>
      </c>
      <c r="Y57" s="30">
        <f>X57/X$16</f>
        <v>-9.126910210840837E-2</v>
      </c>
      <c r="Z57" s="30">
        <f>B57+D57+F57+H57+J57+L57+N57+P57+R57+T57+V57+X57</f>
        <v>218999.63000000003</v>
      </c>
      <c r="AA57" s="30">
        <f>IFERROR(AVERAGE(B57,D57,F57,H57,J57,L57,N57,P57,R57,T57,V57,X57),0)</f>
        <v>24333.292222222226</v>
      </c>
      <c r="AB57" s="30"/>
      <c r="AC57" s="39"/>
      <c r="AD57" s="30">
        <f>IFERROR(AVERAGE(T57:X57),0)</f>
        <v>0</v>
      </c>
      <c r="AE57" s="39"/>
      <c r="AH57" s="56">
        <f t="shared" si="26"/>
        <v>352368</v>
      </c>
      <c r="AI57" s="66">
        <f t="shared" si="9"/>
        <v>29364</v>
      </c>
    </row>
    <row r="58" spans="1:35" ht="20" customHeight="1" thickTop="1">
      <c r="A58" s="16"/>
      <c r="B58" s="16"/>
      <c r="C58" s="22"/>
      <c r="D58" s="16"/>
      <c r="E58" s="22"/>
      <c r="F58" s="16"/>
      <c r="G58" s="22"/>
      <c r="H58" s="16"/>
      <c r="I58" s="22"/>
      <c r="J58" s="16"/>
      <c r="K58" s="22"/>
      <c r="L58" s="16"/>
      <c r="M58" s="22"/>
      <c r="N58" s="16"/>
      <c r="O58" s="22"/>
      <c r="P58" s="16"/>
      <c r="Q58" s="22"/>
      <c r="R58" s="16"/>
      <c r="S58" s="22"/>
      <c r="T58" s="16"/>
      <c r="U58" s="22"/>
      <c r="V58" s="16"/>
      <c r="W58" s="22"/>
      <c r="X58" s="16"/>
      <c r="Y58" s="22"/>
      <c r="Z58" s="13"/>
      <c r="AA58" s="13"/>
      <c r="AB58" s="16"/>
      <c r="AC58" s="16"/>
      <c r="AD58" s="16"/>
      <c r="AE58" s="16"/>
      <c r="AH58" s="56">
        <f t="shared" si="26"/>
        <v>0</v>
      </c>
      <c r="AI58" s="66">
        <f t="shared" si="9"/>
        <v>0</v>
      </c>
    </row>
    <row r="59" spans="1:35" ht="20" customHeight="1">
      <c r="A59" s="14" t="s">
        <v>80</v>
      </c>
      <c r="B59" s="16"/>
      <c r="C59" s="22"/>
      <c r="D59" s="16"/>
      <c r="E59" s="22"/>
      <c r="F59" s="16"/>
      <c r="G59" s="22"/>
      <c r="H59" s="16"/>
      <c r="I59" s="22"/>
      <c r="J59" s="16"/>
      <c r="K59" s="22"/>
      <c r="L59" s="16"/>
      <c r="M59" s="22"/>
      <c r="N59" s="16"/>
      <c r="O59" s="22"/>
      <c r="P59" s="16"/>
      <c r="Q59" s="22"/>
      <c r="R59" s="16"/>
      <c r="S59" s="22"/>
      <c r="T59" s="16"/>
      <c r="U59" s="22"/>
      <c r="V59" s="16"/>
      <c r="W59" s="22"/>
      <c r="X59" s="16"/>
      <c r="Y59" s="22"/>
      <c r="Z59" s="13"/>
      <c r="AA59" s="13"/>
      <c r="AB59" s="16"/>
      <c r="AC59" s="16"/>
      <c r="AD59" s="16"/>
      <c r="AE59" s="16"/>
      <c r="AH59" s="56">
        <f t="shared" si="26"/>
        <v>0</v>
      </c>
      <c r="AI59" s="66">
        <f t="shared" si="9"/>
        <v>0</v>
      </c>
    </row>
    <row r="60" spans="1:35" ht="20" customHeight="1">
      <c r="A60" s="14" t="s">
        <v>81</v>
      </c>
      <c r="B60" s="16"/>
      <c r="C60" s="22"/>
      <c r="D60" s="16"/>
      <c r="E60" s="22"/>
      <c r="F60" s="16"/>
      <c r="G60" s="2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22"/>
      <c r="Z60" s="13"/>
      <c r="AA60" s="13"/>
      <c r="AB60" s="16"/>
      <c r="AC60" s="16"/>
      <c r="AD60" s="16"/>
      <c r="AE60" s="16"/>
      <c r="AH60" s="56">
        <f t="shared" si="26"/>
        <v>0</v>
      </c>
      <c r="AI60" s="66">
        <f t="shared" si="9"/>
        <v>0</v>
      </c>
    </row>
    <row r="61" spans="1:35" ht="20" customHeight="1">
      <c r="A61" s="16" t="s">
        <v>82</v>
      </c>
      <c r="B61" s="16"/>
      <c r="C61" s="22"/>
      <c r="D61" s="16"/>
      <c r="E61" s="22"/>
      <c r="F61" s="16"/>
      <c r="G61" s="22"/>
      <c r="H61" s="92">
        <v>270.5</v>
      </c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22"/>
      <c r="Z61" s="13">
        <f>B61+D61+F61+H61+J61+L61+N61+P61+R61+T61+V61+X61</f>
        <v>270.5</v>
      </c>
      <c r="AA61" s="13">
        <f>IFERROR(AVERAGE(B61,D61,F61,H61,J61,L61,N61,P61,R61,T61,V61,X61),0)</f>
        <v>270.5</v>
      </c>
      <c r="AB61" s="16"/>
      <c r="AC61" s="33"/>
      <c r="AD61" s="16">
        <f>IFERROR(AVERAGE(T61:X61),0)</f>
        <v>0</v>
      </c>
      <c r="AE61" s="33"/>
      <c r="AH61" s="56">
        <f t="shared" si="26"/>
        <v>0</v>
      </c>
      <c r="AI61" s="66">
        <f t="shared" si="9"/>
        <v>0</v>
      </c>
    </row>
    <row r="62" spans="1:35" ht="20" customHeight="1">
      <c r="A62" s="16" t="s">
        <v>81</v>
      </c>
      <c r="B62" s="16"/>
      <c r="C62" s="22"/>
      <c r="D62" s="16"/>
      <c r="E62" s="22"/>
      <c r="F62" s="16"/>
      <c r="G62" s="22"/>
      <c r="H62" s="92">
        <v>-10502.79</v>
      </c>
      <c r="I62" s="92">
        <f>H62/H$16</f>
        <v>-3.5230753470162753E-2</v>
      </c>
      <c r="J62" s="92">
        <v>0.02</v>
      </c>
      <c r="K62" s="92">
        <f>J62/J$16</f>
        <v>2.2826545894151528E-8</v>
      </c>
      <c r="L62" s="92">
        <v>0.01</v>
      </c>
      <c r="M62" s="92">
        <f>L62/L$16</f>
        <v>2.5619716605967581E-8</v>
      </c>
      <c r="N62" s="92"/>
      <c r="O62" s="92">
        <f>N62/N$16</f>
        <v>0</v>
      </c>
      <c r="P62" s="92"/>
      <c r="Q62" s="92" t="e">
        <f>P62/#REF!</f>
        <v>#REF!</v>
      </c>
      <c r="R62" s="92"/>
      <c r="S62" s="92" t="e">
        <f>R62/#REF!</f>
        <v>#REF!</v>
      </c>
      <c r="T62" s="92"/>
      <c r="U62" s="92" t="e">
        <f>T62/#REF!</f>
        <v>#REF!</v>
      </c>
      <c r="V62" s="92"/>
      <c r="W62" s="92" t="e">
        <f>V62/#REF!</f>
        <v>#REF!</v>
      </c>
      <c r="X62" s="92"/>
      <c r="Y62" s="22">
        <f>X62/X$16</f>
        <v>0</v>
      </c>
      <c r="Z62" s="13">
        <f>B62+D62+F62+H62+J62+L62+N62+P62+R62+T62+V62+X62</f>
        <v>-10502.76</v>
      </c>
      <c r="AA62" s="13">
        <f>IFERROR(AVERAGE(B62,D62,F62,H62,J62,L62,N62,P62,R62,T62,V62,X62),0)</f>
        <v>-3500.92</v>
      </c>
      <c r="AB62" s="16"/>
      <c r="AC62" s="33"/>
      <c r="AD62" s="16">
        <f>IFERROR(AVERAGE(T62:X62),0)</f>
        <v>0</v>
      </c>
      <c r="AE62" s="33"/>
      <c r="AH62" s="56">
        <f t="shared" si="26"/>
        <v>0</v>
      </c>
      <c r="AI62" s="66">
        <f t="shared" si="9"/>
        <v>0</v>
      </c>
    </row>
    <row r="63" spans="1:35" ht="20" customHeight="1">
      <c r="A63" s="16" t="s">
        <v>83</v>
      </c>
      <c r="B63" s="16"/>
      <c r="C63" s="22"/>
      <c r="D63" s="16"/>
      <c r="E63" s="22"/>
      <c r="F63" s="16"/>
      <c r="G63" s="22"/>
      <c r="H63" s="92">
        <v>-10232.290000000001</v>
      </c>
      <c r="I63" s="92">
        <f>H63/H$16</f>
        <v>-3.4323383255802663E-2</v>
      </c>
      <c r="J63" s="92">
        <v>0.02</v>
      </c>
      <c r="K63" s="92">
        <f>J63/J$16</f>
        <v>2.2826545894151528E-8</v>
      </c>
      <c r="L63" s="92">
        <v>0.01</v>
      </c>
      <c r="M63" s="92">
        <f>L63/L$16</f>
        <v>2.5619716605967581E-8</v>
      </c>
      <c r="N63" s="92"/>
      <c r="O63" s="92">
        <f>N63/N$16</f>
        <v>0</v>
      </c>
      <c r="P63" s="92"/>
      <c r="Q63" s="92" t="e">
        <f>P63/#REF!</f>
        <v>#REF!</v>
      </c>
      <c r="R63" s="92"/>
      <c r="S63" s="92" t="e">
        <f>R63/#REF!</f>
        <v>#REF!</v>
      </c>
      <c r="T63" s="92"/>
      <c r="U63" s="92" t="e">
        <f>T63/#REF!</f>
        <v>#REF!</v>
      </c>
      <c r="V63" s="92"/>
      <c r="W63" s="92" t="e">
        <f>V63/#REF!</f>
        <v>#REF!</v>
      </c>
      <c r="X63" s="92"/>
      <c r="Y63" s="22">
        <f>X63/X$16</f>
        <v>0</v>
      </c>
      <c r="Z63" s="13">
        <f>B63+D63+F63+H63+J63+L63+N63+P63+R63+T63+V63+X63</f>
        <v>-10232.26</v>
      </c>
      <c r="AA63" s="13">
        <f>IFERROR(AVERAGE(B63,D63,F63,H63,J63,L63,N63,P63,R63,T63,V63,X63),0)</f>
        <v>-3410.7533333333336</v>
      </c>
      <c r="AB63" s="16"/>
      <c r="AC63" s="33"/>
      <c r="AD63" s="16">
        <f>IFERROR(AVERAGE(T63:X63),0)</f>
        <v>0</v>
      </c>
      <c r="AE63" s="33"/>
      <c r="AH63" s="56">
        <f t="shared" si="26"/>
        <v>0</v>
      </c>
      <c r="AI63" s="66">
        <f t="shared" si="9"/>
        <v>0</v>
      </c>
    </row>
    <row r="64" spans="1:35" ht="20" customHeight="1">
      <c r="A64" s="16"/>
      <c r="B64" s="16"/>
      <c r="C64" s="22"/>
      <c r="D64" s="16"/>
      <c r="E64" s="22"/>
      <c r="F64" s="16"/>
      <c r="G64" s="2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22"/>
      <c r="Z64" s="13"/>
      <c r="AA64" s="13"/>
      <c r="AB64" s="16"/>
      <c r="AC64" s="33"/>
      <c r="AD64" s="16"/>
      <c r="AE64" s="33"/>
      <c r="AH64" s="56">
        <f t="shared" si="26"/>
        <v>0</v>
      </c>
      <c r="AI64" s="66"/>
    </row>
    <row r="65" spans="1:35" ht="20" customHeight="1">
      <c r="A65" s="13" t="s">
        <v>84</v>
      </c>
      <c r="B65" s="16"/>
      <c r="C65" s="22"/>
      <c r="D65" s="16"/>
      <c r="E65" s="22"/>
      <c r="F65" s="16"/>
      <c r="G65" s="2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22"/>
      <c r="Z65" s="13"/>
      <c r="AA65" s="13"/>
      <c r="AB65" s="16"/>
      <c r="AC65" s="17"/>
      <c r="AD65" s="16"/>
      <c r="AE65" s="12"/>
      <c r="AH65" s="56">
        <f t="shared" si="26"/>
        <v>0</v>
      </c>
      <c r="AI65" s="66">
        <f t="shared" si="9"/>
        <v>0</v>
      </c>
    </row>
    <row r="66" spans="1:35" ht="20" customHeight="1">
      <c r="A66" s="16" t="s">
        <v>85</v>
      </c>
      <c r="B66" s="16"/>
      <c r="C66" s="22"/>
      <c r="D66" s="16"/>
      <c r="E66" s="22"/>
      <c r="F66" s="16"/>
      <c r="G66" s="22"/>
      <c r="H66" s="92"/>
      <c r="I66" s="92">
        <f>H66/H$16</f>
        <v>0</v>
      </c>
      <c r="J66" s="92">
        <v>-18017.84</v>
      </c>
      <c r="K66" s="92">
        <f>J66/J$16</f>
        <v>-2.0564252583673958E-2</v>
      </c>
      <c r="L66" s="92">
        <v>-16660.03</v>
      </c>
      <c r="M66" s="92">
        <f>L66/L$16</f>
        <v>-4.2682524724691806E-2</v>
      </c>
      <c r="N66" s="92">
        <v>-9515</v>
      </c>
      <c r="O66" s="92">
        <f>N66/N$16</f>
        <v>-1.4869162310619379E-2</v>
      </c>
      <c r="P66" s="92">
        <v>-17711</v>
      </c>
      <c r="Q66" s="92" t="e">
        <f>P66/#REF!</f>
        <v>#REF!</v>
      </c>
      <c r="R66" s="92">
        <v>-1372</v>
      </c>
      <c r="S66" s="92" t="e">
        <f>R66/#REF!</f>
        <v>#REF!</v>
      </c>
      <c r="T66" s="92">
        <v>-9487</v>
      </c>
      <c r="U66" s="92" t="e">
        <f>T66/#REF!</f>
        <v>#REF!</v>
      </c>
      <c r="V66" s="92">
        <v>-9224</v>
      </c>
      <c r="W66" s="92" t="e">
        <f>V66/#REF!</f>
        <v>#REF!</v>
      </c>
      <c r="X66" s="92">
        <v>-9179</v>
      </c>
      <c r="Y66" s="22">
        <f>X66/X$16</f>
        <v>-2.3421372927760923E-2</v>
      </c>
      <c r="Z66" s="13">
        <f>B66+D66+F66+H66+J66+L66+N66+P66+R66+T66+V66+X66</f>
        <v>-91165.87</v>
      </c>
      <c r="AA66" s="13">
        <f>IFERROR(AVERAGE(B66,D66,F66,H66,J66,L66,N66,P66,R66,T66,V66,X66),0)</f>
        <v>-11395.733749999999</v>
      </c>
      <c r="AB66" s="16"/>
      <c r="AC66" s="33"/>
      <c r="AD66" s="16">
        <f>IFERROR(AVERAGE(T66:X66),0)</f>
        <v>0</v>
      </c>
      <c r="AE66" s="33"/>
      <c r="AH66" s="56">
        <f t="shared" si="26"/>
        <v>-111560</v>
      </c>
      <c r="AI66" s="66">
        <f t="shared" si="9"/>
        <v>-9296.6666666666661</v>
      </c>
    </row>
    <row r="67" spans="1:35" ht="20" customHeight="1">
      <c r="A67" s="16" t="s">
        <v>86</v>
      </c>
      <c r="B67" s="16"/>
      <c r="C67" s="22"/>
      <c r="D67" s="16"/>
      <c r="E67" s="22"/>
      <c r="F67" s="16"/>
      <c r="G67" s="22"/>
      <c r="H67" s="92"/>
      <c r="I67" s="92">
        <f>H67/H$16</f>
        <v>0</v>
      </c>
      <c r="J67" s="92"/>
      <c r="K67" s="92">
        <f>J67/J$16</f>
        <v>0</v>
      </c>
      <c r="L67" s="92"/>
      <c r="M67" s="92">
        <f>L67/L$16</f>
        <v>0</v>
      </c>
      <c r="N67" s="92"/>
      <c r="O67" s="92">
        <f>N67/N$16</f>
        <v>0</v>
      </c>
      <c r="P67" s="92"/>
      <c r="Q67" s="92" t="e">
        <f>P67/#REF!</f>
        <v>#REF!</v>
      </c>
      <c r="R67" s="92"/>
      <c r="S67" s="92" t="e">
        <f>R67/#REF!</f>
        <v>#REF!</v>
      </c>
      <c r="T67" s="92"/>
      <c r="U67" s="92" t="e">
        <f>T67/#REF!</f>
        <v>#REF!</v>
      </c>
      <c r="V67" s="92"/>
      <c r="W67" s="92" t="e">
        <f>V67/#REF!</f>
        <v>#REF!</v>
      </c>
      <c r="X67" s="92"/>
      <c r="Y67" s="22">
        <f>X67/X$16</f>
        <v>0</v>
      </c>
      <c r="Z67" s="13">
        <f>B67+D67+F67+H67+J67+L67+N67+P67+R67+T67+V67+X67</f>
        <v>0</v>
      </c>
      <c r="AA67" s="13">
        <f>IFERROR(AVERAGE(B67,D67,F67,H67,J67,L67,N67,P67,R67,T67,V67,X67),0)</f>
        <v>0</v>
      </c>
      <c r="AB67" s="16"/>
      <c r="AC67" s="33"/>
      <c r="AD67" s="16">
        <f>IFERROR(AVERAGE(T67:X67),0)</f>
        <v>0</v>
      </c>
      <c r="AE67" s="33"/>
      <c r="AH67" s="56">
        <f t="shared" si="26"/>
        <v>0</v>
      </c>
      <c r="AI67" s="66">
        <f t="shared" si="9"/>
        <v>0</v>
      </c>
    </row>
    <row r="68" spans="1:35" ht="20" customHeight="1">
      <c r="A68" s="16" t="s">
        <v>87</v>
      </c>
      <c r="B68" s="16"/>
      <c r="C68" s="22"/>
      <c r="D68" s="16"/>
      <c r="E68" s="22"/>
      <c r="F68" s="16"/>
      <c r="G68" s="22"/>
      <c r="H68" s="92"/>
      <c r="I68" s="92">
        <f>H68/H$16</f>
        <v>0</v>
      </c>
      <c r="J68" s="92">
        <v>-0.01</v>
      </c>
      <c r="K68" s="92">
        <f>J68/J$16</f>
        <v>-1.1413272947075764E-8</v>
      </c>
      <c r="L68" s="92"/>
      <c r="M68" s="92">
        <f>L68/L$16</f>
        <v>0</v>
      </c>
      <c r="N68" s="92"/>
      <c r="O68" s="92">
        <f>N68/N$16</f>
        <v>0</v>
      </c>
      <c r="P68" s="92"/>
      <c r="Q68" s="92" t="e">
        <f>P68/#REF!</f>
        <v>#REF!</v>
      </c>
      <c r="R68" s="92"/>
      <c r="S68" s="92" t="e">
        <f>R68/#REF!</f>
        <v>#REF!</v>
      </c>
      <c r="T68" s="92"/>
      <c r="U68" s="92" t="e">
        <f>T68/#REF!</f>
        <v>#REF!</v>
      </c>
      <c r="V68" s="92"/>
      <c r="W68" s="92" t="e">
        <f>V68/#REF!</f>
        <v>#REF!</v>
      </c>
      <c r="X68" s="92"/>
      <c r="Y68" s="22">
        <f>X68/X$16</f>
        <v>0</v>
      </c>
      <c r="Z68" s="13">
        <f>B68+D68+F68+H68+J68+L68+N68+P68+R68+T68+V68+X68</f>
        <v>-0.01</v>
      </c>
      <c r="AA68" s="13">
        <f>IFERROR(AVERAGE(B68,D68,F68,H68,J68,L68,N68,P68,R68,T68,V68,X68),0)</f>
        <v>-0.01</v>
      </c>
      <c r="AB68" s="16"/>
      <c r="AC68" s="33"/>
      <c r="AD68" s="16">
        <f>IFERROR(AVERAGE(T68:X68),0)</f>
        <v>0</v>
      </c>
      <c r="AE68" s="33"/>
      <c r="AH68" s="56">
        <f t="shared" si="26"/>
        <v>0</v>
      </c>
      <c r="AI68" s="66">
        <f t="shared" si="9"/>
        <v>0</v>
      </c>
    </row>
    <row r="69" spans="1:35" ht="20" customHeight="1">
      <c r="A69" s="46" t="s">
        <v>88</v>
      </c>
      <c r="B69" s="46"/>
      <c r="C69" s="62"/>
      <c r="D69" s="46"/>
      <c r="E69" s="62"/>
      <c r="F69" s="46"/>
      <c r="G69" s="62"/>
      <c r="H69" s="92"/>
      <c r="I69" s="92">
        <f>H69/H$16</f>
        <v>0</v>
      </c>
      <c r="J69" s="92">
        <v>-18017.849999999999</v>
      </c>
      <c r="K69" s="92">
        <f>J69/J$16</f>
        <v>-2.0564263996946903E-2</v>
      </c>
      <c r="L69" s="92">
        <v>-16660.03</v>
      </c>
      <c r="M69" s="92">
        <f>L69/L$16</f>
        <v>-4.2682524724691806E-2</v>
      </c>
      <c r="N69" s="92"/>
      <c r="O69" s="92">
        <f>N69/N$16</f>
        <v>0</v>
      </c>
      <c r="P69" s="92"/>
      <c r="Q69" s="92" t="e">
        <f>P69/#REF!</f>
        <v>#REF!</v>
      </c>
      <c r="R69" s="92"/>
      <c r="S69" s="92" t="e">
        <f>R69/#REF!</f>
        <v>#REF!</v>
      </c>
      <c r="T69" s="92"/>
      <c r="U69" s="92" t="e">
        <f>T69/#REF!</f>
        <v>#REF!</v>
      </c>
      <c r="V69" s="92"/>
      <c r="W69" s="92" t="e">
        <f>V69/#REF!</f>
        <v>#REF!</v>
      </c>
      <c r="X69" s="92"/>
      <c r="Y69" s="62">
        <f>X69/X$16</f>
        <v>0</v>
      </c>
      <c r="Z69" s="13">
        <f>B69+D69+F69+H69+J69+L69+N69+P69+R69+T69+V69+X69</f>
        <v>-34677.879999999997</v>
      </c>
      <c r="AA69" s="13">
        <f>IFERROR(AVERAGE(B69,D69,F69,H69,J69,L69,N69,P69,R69,T69,V69,X69),0)</f>
        <v>-17338.939999999999</v>
      </c>
      <c r="AB69" s="46"/>
      <c r="AC69" s="42"/>
      <c r="AD69" s="46">
        <f>IFERROR(AVERAGE(T69:X69),0)</f>
        <v>0</v>
      </c>
      <c r="AE69" s="42"/>
      <c r="AH69" s="56">
        <f t="shared" si="26"/>
        <v>0</v>
      </c>
      <c r="AI69" s="66">
        <f t="shared" si="9"/>
        <v>0</v>
      </c>
    </row>
    <row r="70" spans="1:35" ht="20" customHeight="1">
      <c r="A70" s="46" t="s">
        <v>89</v>
      </c>
      <c r="B70" s="46"/>
      <c r="C70" s="46"/>
      <c r="D70" s="46"/>
      <c r="E70" s="46"/>
      <c r="F70" s="46"/>
      <c r="G70" s="46"/>
      <c r="H70" s="93"/>
      <c r="I70" s="93">
        <f>H70/H$16</f>
        <v>0</v>
      </c>
      <c r="J70" s="93">
        <v>-18017.830000000002</v>
      </c>
      <c r="K70" s="93">
        <f>J70/J$16</f>
        <v>-2.0564241170401013E-2</v>
      </c>
      <c r="L70" s="93">
        <v>-16660.02</v>
      </c>
      <c r="M70" s="93">
        <f>L70/L$16</f>
        <v>-4.2682499104975201E-2</v>
      </c>
      <c r="N70" s="93">
        <v>-9515</v>
      </c>
      <c r="O70" s="93">
        <f>N70/N$16</f>
        <v>-1.4869162310619379E-2</v>
      </c>
      <c r="P70" s="93">
        <v>-17711</v>
      </c>
      <c r="Q70" s="93" t="e">
        <f>P70/#REF!</f>
        <v>#REF!</v>
      </c>
      <c r="R70" s="93">
        <v>-1372</v>
      </c>
      <c r="S70" s="93" t="e">
        <f>R70/#REF!</f>
        <v>#REF!</v>
      </c>
      <c r="T70" s="93">
        <v>-9487</v>
      </c>
      <c r="U70" s="93" t="e">
        <f>T70/#REF!</f>
        <v>#REF!</v>
      </c>
      <c r="V70" s="93">
        <v>-9224</v>
      </c>
      <c r="W70" s="93" t="e">
        <f>V70/#REF!</f>
        <v>#REF!</v>
      </c>
      <c r="X70" s="93">
        <v>-9179</v>
      </c>
      <c r="Y70" s="62">
        <f>X70/X$16</f>
        <v>-2.3421372927760923E-2</v>
      </c>
      <c r="Z70" s="120">
        <f>B70+D70+F70+H70+J70+L70+N70+P70+R70+T70+V70+X70</f>
        <v>-91165.85</v>
      </c>
      <c r="AA70" s="120">
        <f>IFERROR(AVERAGE(B70,D70,F70,H70,J70,L70,N70,P70,R70,T70,V70,X70),0)</f>
        <v>-11395.731250000001</v>
      </c>
      <c r="AB70" s="46"/>
      <c r="AC70" s="46"/>
      <c r="AD70" s="46">
        <f>IFERROR(AVERAGE(T70:X70),0)</f>
        <v>0</v>
      </c>
      <c r="AE70" s="46"/>
      <c r="AH70" s="56">
        <f t="shared" si="26"/>
        <v>-111560</v>
      </c>
      <c r="AI70" s="66">
        <f t="shared" si="9"/>
        <v>-9296.6666666666661</v>
      </c>
    </row>
    <row r="71" spans="1:35" ht="2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H71" s="56"/>
      <c r="AI71" s="66"/>
    </row>
    <row r="72" spans="1:35" ht="20" customHeight="1">
      <c r="A72" s="16" t="s">
        <v>90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>
        <f>B72+D72+F72+H72+J72+L72+N72+P72+R72+T72+V72+X72</f>
        <v>0</v>
      </c>
      <c r="AA72" s="16">
        <f>IFERROR(AVERAGE(B72,D72,F72,H72,J72,L72,N72,P72,R72,T72,V72,X72),0)</f>
        <v>0</v>
      </c>
      <c r="AB72" s="16"/>
      <c r="AC72" s="16"/>
      <c r="AD72" s="16"/>
      <c r="AE72" s="16"/>
      <c r="AH72" s="56"/>
      <c r="AI72" s="66"/>
    </row>
    <row r="73" spans="1:35" ht="20" customHeight="1">
      <c r="A73" s="16" t="s">
        <v>91</v>
      </c>
      <c r="B73" s="16"/>
      <c r="C73" s="22"/>
      <c r="D73" s="16"/>
      <c r="E73" s="22"/>
      <c r="F73" s="16"/>
      <c r="G73" s="22"/>
      <c r="H73" s="16"/>
      <c r="I73" s="22">
        <f>H73/H$16</f>
        <v>0</v>
      </c>
      <c r="J73" s="16"/>
      <c r="K73" s="22">
        <f>J73/J$16</f>
        <v>0</v>
      </c>
      <c r="L73" s="16"/>
      <c r="M73" s="22">
        <f>L73/L$16</f>
        <v>0</v>
      </c>
      <c r="N73" s="16"/>
      <c r="O73" s="22">
        <f>N73/N$16</f>
        <v>0</v>
      </c>
      <c r="P73" s="16"/>
      <c r="Q73" s="22" t="e">
        <f>P73/#REF!</f>
        <v>#REF!</v>
      </c>
      <c r="R73" s="16"/>
      <c r="S73" s="22" t="e">
        <f>R73/#REF!</f>
        <v>#REF!</v>
      </c>
      <c r="T73" s="16"/>
      <c r="U73" s="22" t="e">
        <f>T73/#REF!</f>
        <v>#REF!</v>
      </c>
      <c r="V73" s="16"/>
      <c r="W73" s="22" t="e">
        <f>V73/#REF!</f>
        <v>#REF!</v>
      </c>
      <c r="X73" s="16"/>
      <c r="Y73" s="22">
        <f>X73/X$16</f>
        <v>0</v>
      </c>
      <c r="Z73" s="16">
        <f>B73+D73+F73+H73+J73+L73+N73+P73+R73+T73+V73+X73</f>
        <v>0</v>
      </c>
      <c r="AA73" s="16">
        <f>IFERROR(AVERAGE(B73,D73,F73,H73,J73,L73,N73,P73,R73,T73,V73,X73),0)</f>
        <v>0</v>
      </c>
      <c r="AB73" s="16"/>
      <c r="AC73" s="33"/>
      <c r="AD73" s="16">
        <f>IFERROR(AVERAGE(T73:X73),0)</f>
        <v>0</v>
      </c>
      <c r="AE73" s="33"/>
      <c r="AH73" s="56">
        <f>(T73+V73+X73)*4</f>
        <v>0</v>
      </c>
      <c r="AI73" s="66">
        <f t="shared" ref="AI73:AI76" si="28">AH73/12</f>
        <v>0</v>
      </c>
    </row>
    <row r="74" spans="1:35" ht="20" customHeight="1">
      <c r="A74" s="46" t="s">
        <v>92</v>
      </c>
      <c r="B74" s="46"/>
      <c r="C74" s="62"/>
      <c r="D74" s="46"/>
      <c r="E74" s="62"/>
      <c r="F74" s="46"/>
      <c r="G74" s="62"/>
      <c r="H74" s="46"/>
      <c r="I74" s="62">
        <f>H74/H$16</f>
        <v>0</v>
      </c>
      <c r="J74" s="46"/>
      <c r="K74" s="62">
        <f>J74/J$16</f>
        <v>0</v>
      </c>
      <c r="L74" s="46"/>
      <c r="M74" s="62">
        <f>L74/L$16</f>
        <v>0</v>
      </c>
      <c r="N74" s="46"/>
      <c r="O74" s="62">
        <f>N74/N$16</f>
        <v>0</v>
      </c>
      <c r="P74" s="46"/>
      <c r="Q74" s="62" t="e">
        <f>P74/#REF!</f>
        <v>#REF!</v>
      </c>
      <c r="R74" s="46"/>
      <c r="S74" s="62" t="e">
        <f>R74/#REF!</f>
        <v>#REF!</v>
      </c>
      <c r="T74" s="46"/>
      <c r="U74" s="62" t="e">
        <f>T74/#REF!</f>
        <v>#REF!</v>
      </c>
      <c r="V74" s="46"/>
      <c r="W74" s="62" t="e">
        <f>V74/#REF!</f>
        <v>#REF!</v>
      </c>
      <c r="X74" s="46"/>
      <c r="Y74" s="62">
        <f>X74/X$16</f>
        <v>0</v>
      </c>
      <c r="Z74" s="46">
        <f>B74+D74+F74+H74+J74+L74+N74+P74+R74+T74+V74+X74</f>
        <v>0</v>
      </c>
      <c r="AA74" s="46">
        <f>IFERROR(AVERAGE(B74,D74,F74,H74,J74,L74,N74,P74,R74,T74,V74,X74),0)</f>
        <v>0</v>
      </c>
      <c r="AB74" s="46"/>
      <c r="AC74" s="42"/>
      <c r="AD74" s="46">
        <f>IFERROR(AVERAGE(T74:X74),0)</f>
        <v>0</v>
      </c>
      <c r="AE74" s="42"/>
      <c r="AH74" s="56">
        <f>(T74+V74+X74)*4</f>
        <v>0</v>
      </c>
      <c r="AI74" s="66">
        <f t="shared" si="28"/>
        <v>0</v>
      </c>
    </row>
    <row r="75" spans="1:35" ht="20" customHeight="1" thickBot="1">
      <c r="A75" s="16"/>
      <c r="B75" s="16"/>
      <c r="C75" s="22"/>
      <c r="D75" s="16"/>
      <c r="E75" s="22"/>
      <c r="F75" s="16"/>
      <c r="G75" s="22"/>
      <c r="H75" s="16"/>
      <c r="I75" s="22"/>
      <c r="J75" s="16"/>
      <c r="K75" s="22"/>
      <c r="L75" s="16"/>
      <c r="M75" s="22"/>
      <c r="N75" s="16"/>
      <c r="O75" s="22"/>
      <c r="P75" s="16"/>
      <c r="Q75" s="22"/>
      <c r="R75" s="16"/>
      <c r="S75" s="22"/>
      <c r="T75" s="16"/>
      <c r="U75" s="22"/>
      <c r="V75" s="16"/>
      <c r="W75" s="22"/>
      <c r="X75" s="16"/>
      <c r="Y75" s="22"/>
      <c r="Z75" s="16"/>
      <c r="AA75" s="16"/>
      <c r="AB75" s="16"/>
      <c r="AC75" s="17"/>
      <c r="AD75" s="16"/>
      <c r="AE75" s="12"/>
      <c r="AH75" s="56">
        <f>(T75+V75+X75)*4</f>
        <v>0</v>
      </c>
      <c r="AI75" s="66">
        <f t="shared" si="28"/>
        <v>0</v>
      </c>
    </row>
    <row r="76" spans="1:35" s="24" customFormat="1" ht="20" customHeight="1" thickTop="1" thickBot="1">
      <c r="A76" s="31" t="s">
        <v>93</v>
      </c>
      <c r="B76" s="32"/>
      <c r="C76" s="65"/>
      <c r="D76" s="32"/>
      <c r="E76" s="65"/>
      <c r="F76" s="32"/>
      <c r="G76" s="65"/>
      <c r="H76" s="103">
        <v>7080.01</v>
      </c>
      <c r="I76" s="103">
        <f>H76/H$16</f>
        <v>2.37493167888044E-2</v>
      </c>
      <c r="J76" s="103">
        <v>42796.87</v>
      </c>
      <c r="K76" s="103">
        <f>J76/J$16</f>
        <v>4.8845235859051837E-2</v>
      </c>
      <c r="L76" s="103">
        <v>21143.61</v>
      </c>
      <c r="M76" s="103">
        <f>L76/L$16</f>
        <v>5.4169329622710219E-2</v>
      </c>
      <c r="N76" s="103">
        <v>37272</v>
      </c>
      <c r="O76" s="103">
        <f>N76/N$16</f>
        <v>5.8245235695365792E-2</v>
      </c>
      <c r="P76" s="103">
        <v>-59877</v>
      </c>
      <c r="Q76" s="103" t="e">
        <f>P76/#REF!</f>
        <v>#REF!</v>
      </c>
      <c r="R76" s="103">
        <v>8984</v>
      </c>
      <c r="S76" s="103" t="e">
        <f>R76/#REF!</f>
        <v>#REF!</v>
      </c>
      <c r="T76" s="103">
        <v>7747</v>
      </c>
      <c r="U76" s="103" t="e">
        <f>T76/#REF!</f>
        <v>#REF!</v>
      </c>
      <c r="V76" s="103">
        <v>97403</v>
      </c>
      <c r="W76" s="103" t="e">
        <f>V76/#REF!</f>
        <v>#REF!</v>
      </c>
      <c r="X76" s="103">
        <v>-44948</v>
      </c>
      <c r="Y76" s="65">
        <f>X76/X$16</f>
        <v>-0.11469047503616929</v>
      </c>
      <c r="Z76" s="111">
        <f>B76+D76+F76+H76+J76+L76+N76+P76+R76+T76+V76+X76</f>
        <v>117601.48999999999</v>
      </c>
      <c r="AA76" s="111">
        <f>IFERROR(AVERAGE(B76,D76,F76,H76,J76,L76,N76,P76,R76,T76,V76,X76),0)</f>
        <v>13066.832222222221</v>
      </c>
      <c r="AB76" s="43"/>
      <c r="AC76" s="39"/>
      <c r="AD76" s="43">
        <f>IFERROR(AVERAGE(T76:X76),0)</f>
        <v>0</v>
      </c>
      <c r="AE76" s="39"/>
      <c r="AH76" s="56">
        <f>(T76+V76+X76)*4</f>
        <v>240808</v>
      </c>
      <c r="AI76" s="66">
        <f t="shared" si="28"/>
        <v>20067.333333333332</v>
      </c>
    </row>
    <row r="77" spans="1:35" ht="14" thickTop="1">
      <c r="A77" s="12"/>
      <c r="B77" s="12"/>
      <c r="C77" s="22"/>
      <c r="D77" s="12"/>
      <c r="E77" s="22"/>
      <c r="F77" s="12"/>
      <c r="G77" s="22"/>
      <c r="H77" s="12"/>
      <c r="I77" s="22"/>
      <c r="J77" s="12"/>
      <c r="K77" s="22"/>
      <c r="L77" s="12"/>
      <c r="M77" s="22"/>
      <c r="N77" s="12"/>
      <c r="O77" s="22"/>
      <c r="P77" s="12"/>
      <c r="Q77" s="22"/>
      <c r="R77" s="12"/>
      <c r="S77" s="22"/>
      <c r="T77" s="12"/>
      <c r="U77" s="22"/>
      <c r="V77" s="12"/>
      <c r="W77" s="22"/>
      <c r="X77" s="12"/>
      <c r="Y77" s="22"/>
      <c r="Z77" s="13"/>
      <c r="AA77" s="12"/>
      <c r="AB77" s="12"/>
      <c r="AC77" s="12"/>
      <c r="AD77" s="12"/>
      <c r="AE77" s="12"/>
    </row>
    <row r="78" spans="1:35">
      <c r="A78" s="12"/>
      <c r="B78" s="12"/>
      <c r="C78" s="22"/>
      <c r="D78" s="12"/>
      <c r="E78" s="22"/>
      <c r="F78" s="12"/>
      <c r="G78" s="22"/>
      <c r="H78" s="12"/>
      <c r="I78" s="22"/>
      <c r="J78" s="12"/>
      <c r="K78" s="22"/>
      <c r="L78" s="12"/>
      <c r="M78" s="22"/>
      <c r="N78" s="12"/>
      <c r="O78" s="22"/>
      <c r="P78" s="12"/>
      <c r="Q78" s="22"/>
      <c r="R78" s="12"/>
      <c r="S78" s="22"/>
      <c r="T78" s="12"/>
      <c r="U78" s="22"/>
      <c r="V78" s="12"/>
      <c r="W78" s="22"/>
      <c r="X78" s="12"/>
      <c r="Y78" s="22"/>
      <c r="Z78" s="13"/>
      <c r="AA78" s="12"/>
      <c r="AB78" s="12"/>
      <c r="AC78" s="12"/>
      <c r="AD78" s="12"/>
      <c r="AE78" s="12"/>
    </row>
    <row r="79" spans="1:35">
      <c r="A79" s="12"/>
      <c r="B79" s="12"/>
      <c r="C79" s="22"/>
      <c r="D79" s="12"/>
      <c r="E79" s="22"/>
      <c r="F79" s="12"/>
      <c r="G79" s="22"/>
      <c r="H79" s="12"/>
      <c r="I79" s="22"/>
      <c r="J79" s="12"/>
      <c r="K79" s="22"/>
      <c r="L79" s="12"/>
      <c r="M79" s="22"/>
      <c r="N79" s="12"/>
      <c r="O79" s="22"/>
      <c r="P79" s="12"/>
      <c r="Q79" s="22"/>
      <c r="R79" s="12"/>
      <c r="S79" s="22"/>
      <c r="T79" s="12"/>
      <c r="U79" s="22"/>
      <c r="V79" s="12"/>
      <c r="W79" s="22"/>
      <c r="X79" s="12"/>
      <c r="Y79" s="22"/>
      <c r="Z79" s="13"/>
      <c r="AA79" s="12"/>
      <c r="AB79" s="12"/>
      <c r="AC79" s="12"/>
      <c r="AD79" s="12"/>
      <c r="AE79" s="12"/>
    </row>
    <row r="80" spans="1:35" ht="20" customHeight="1">
      <c r="A80" s="21" t="s">
        <v>95</v>
      </c>
      <c r="B80" s="22"/>
      <c r="C80" s="22"/>
      <c r="D80" s="22"/>
      <c r="E80" s="22"/>
      <c r="F80" s="22"/>
      <c r="G80" s="22"/>
      <c r="H80" s="22">
        <f>IFERROR(H27/H16,0)</f>
        <v>0.59862832458937054</v>
      </c>
      <c r="I80" s="22"/>
      <c r="J80" s="22">
        <f>IFERROR(J27/J16,0)</f>
        <v>0.29814519705620646</v>
      </c>
      <c r="K80" s="22"/>
      <c r="L80" s="22">
        <f>IFERROR(L27/L16,0)</f>
        <v>0.53282075283127328</v>
      </c>
      <c r="M80" s="22"/>
      <c r="N80" s="22">
        <f>IFERROR(N27/N16,0)</f>
        <v>0.39079252713250978</v>
      </c>
      <c r="O80" s="22"/>
      <c r="P80" s="22">
        <f>IFERROR(P27/#REF!,0)</f>
        <v>0</v>
      </c>
      <c r="Q80" s="22"/>
      <c r="R80" s="22">
        <f>IFERROR(R27/#REF!,0)</f>
        <v>0</v>
      </c>
      <c r="S80" s="22"/>
      <c r="T80" s="22">
        <f>IFERROR(T27/#REF!,0)</f>
        <v>0</v>
      </c>
      <c r="U80" s="22"/>
      <c r="V80" s="22">
        <f>IFERROR(V27/#REF!,0)</f>
        <v>0</v>
      </c>
      <c r="W80" s="22"/>
      <c r="X80" s="22">
        <f>IFERROR(X27/X16,0)</f>
        <v>0.54017662353568574</v>
      </c>
      <c r="Y80" s="22"/>
      <c r="Z80" s="22">
        <f>IFERROR(Z27/Z16,0)</f>
        <v>0.47574949105783576</v>
      </c>
      <c r="AA80" s="12"/>
      <c r="AB80" s="12"/>
      <c r="AC80" s="33"/>
      <c r="AD80" s="12"/>
      <c r="AE80" s="33"/>
    </row>
    <row r="81" spans="1:31" ht="20" customHeight="1">
      <c r="A81" s="21" t="s">
        <v>79</v>
      </c>
      <c r="B81" s="22"/>
      <c r="C81" s="22"/>
      <c r="D81" s="22"/>
      <c r="E81" s="22"/>
      <c r="F81" s="22"/>
      <c r="G81" s="22"/>
      <c r="H81" s="22">
        <f>H57/H16</f>
        <v>5.8072700044607115E-2</v>
      </c>
      <c r="I81" s="22"/>
      <c r="J81" s="22">
        <f>J57/J16</f>
        <v>6.9409477029452854E-2</v>
      </c>
      <c r="K81" s="22"/>
      <c r="L81" s="22">
        <f>L57/L16</f>
        <v>9.6851828727685427E-2</v>
      </c>
      <c r="M81" s="22"/>
      <c r="N81" s="22">
        <f>N57/N16</f>
        <v>7.3114398005985168E-2</v>
      </c>
      <c r="O81" s="22"/>
      <c r="P81" s="22" t="e">
        <f>P57/#REF!</f>
        <v>#REF!</v>
      </c>
      <c r="Q81" s="22"/>
      <c r="R81" s="22" t="e">
        <f>R57/#REF!</f>
        <v>#REF!</v>
      </c>
      <c r="S81" s="22"/>
      <c r="T81" s="22" t="e">
        <f>T57/#REF!</f>
        <v>#REF!</v>
      </c>
      <c r="U81" s="22"/>
      <c r="V81" s="22" t="e">
        <f>V57/#REF!</f>
        <v>#REF!</v>
      </c>
      <c r="W81" s="22"/>
      <c r="X81" s="22">
        <f>X57/X16</f>
        <v>-9.126910210840837E-2</v>
      </c>
      <c r="Y81" s="22"/>
      <c r="Z81" s="22">
        <f>Z57/Z16</f>
        <v>5.353738608771224E-2</v>
      </c>
      <c r="AA81" s="12"/>
      <c r="AB81" s="12"/>
      <c r="AC81" s="33"/>
      <c r="AD81" s="12"/>
      <c r="AE81" s="33"/>
    </row>
    <row r="82" spans="1:31" ht="20" customHeight="1">
      <c r="A82" s="21" t="s">
        <v>96</v>
      </c>
      <c r="B82" s="22"/>
      <c r="C82" s="22"/>
      <c r="D82" s="22"/>
      <c r="E82" s="22"/>
      <c r="F82" s="22"/>
      <c r="G82" s="22"/>
      <c r="H82" s="22">
        <f>IFERROR(H76/H16,0)</f>
        <v>2.37493167888044E-2</v>
      </c>
      <c r="I82" s="22"/>
      <c r="J82" s="22">
        <f>IFERROR(J76/J16,0)</f>
        <v>4.8845235859051837E-2</v>
      </c>
      <c r="K82" s="22"/>
      <c r="L82" s="22">
        <f>IFERROR(L76/L16,0)</f>
        <v>5.4169329622710219E-2</v>
      </c>
      <c r="M82" s="22"/>
      <c r="N82" s="22">
        <f>IFERROR(N76/N16,0)</f>
        <v>5.8245235695365792E-2</v>
      </c>
      <c r="O82" s="22"/>
      <c r="P82" s="22">
        <f>IFERROR(P76/#REF!,0)</f>
        <v>0</v>
      </c>
      <c r="Q82" s="22"/>
      <c r="R82" s="22">
        <f>IFERROR(R76/#REF!,0)</f>
        <v>0</v>
      </c>
      <c r="S82" s="22"/>
      <c r="T82" s="22">
        <f>IFERROR(T76/#REF!,0)</f>
        <v>0</v>
      </c>
      <c r="U82" s="22"/>
      <c r="V82" s="22">
        <f>IFERROR(V76/#REF!,0)</f>
        <v>0</v>
      </c>
      <c r="W82" s="22"/>
      <c r="X82" s="22">
        <f>IFERROR(X76/X16,0)</f>
        <v>-0.11469047503616929</v>
      </c>
      <c r="Y82" s="22"/>
      <c r="Z82" s="22">
        <f>IFERROR(Z76/Z16,0)</f>
        <v>2.8749255761848679E-2</v>
      </c>
      <c r="AA82" s="12"/>
      <c r="AB82" s="12"/>
      <c r="AC82" s="33"/>
      <c r="AD82" s="12"/>
      <c r="AE82" s="33"/>
    </row>
    <row r="83" spans="1:31" ht="20" customHeight="1">
      <c r="A83" s="21" t="s">
        <v>97</v>
      </c>
      <c r="B83" s="22"/>
      <c r="C83" s="22"/>
      <c r="D83" s="22"/>
      <c r="E83" s="22"/>
      <c r="F83" s="22"/>
      <c r="G83" s="22"/>
      <c r="H83" s="22">
        <f>IFERROR(H40/H16,0)</f>
        <v>0.45134258253865478</v>
      </c>
      <c r="I83" s="22"/>
      <c r="J83" s="22">
        <f>IFERROR(J40/J16,0)</f>
        <v>0.17205898160324209</v>
      </c>
      <c r="K83" s="22"/>
      <c r="L83" s="22">
        <f>IFERROR(L40/L16,0)</f>
        <v>0.33549272530708946</v>
      </c>
      <c r="M83" s="22"/>
      <c r="N83" s="22">
        <f>IFERROR(N40/N16,0)</f>
        <v>0.22103716899900769</v>
      </c>
      <c r="O83" s="22"/>
      <c r="P83" s="22">
        <f>IFERROR(P40/#REF!,0)</f>
        <v>0</v>
      </c>
      <c r="Q83" s="22"/>
      <c r="R83" s="22">
        <f>IFERROR(R40/#REF!,0)</f>
        <v>0</v>
      </c>
      <c r="S83" s="22"/>
      <c r="T83" s="22">
        <f>IFERROR(T40/#REF!,0)</f>
        <v>0</v>
      </c>
      <c r="U83" s="22"/>
      <c r="V83" s="22">
        <f>IFERROR(V40/#REF!,0)</f>
        <v>0</v>
      </c>
      <c r="W83" s="22"/>
      <c r="X83" s="22">
        <f>IFERROR(X40/X16,0)</f>
        <v>0.52089143597843368</v>
      </c>
      <c r="Y83" s="22"/>
      <c r="Z83" s="22">
        <f>IFERROR(Z40/Z16,0)</f>
        <v>0.34137623339406215</v>
      </c>
      <c r="AA83" s="12"/>
      <c r="AB83" s="12"/>
      <c r="AC83" s="33"/>
      <c r="AD83" s="12"/>
      <c r="AE83" s="33"/>
    </row>
    <row r="84" spans="1:31" ht="20" customHeight="1">
      <c r="A84" s="21" t="s">
        <v>98</v>
      </c>
      <c r="B84" s="22"/>
      <c r="C84" s="22"/>
      <c r="D84" s="22"/>
      <c r="E84" s="22"/>
      <c r="F84" s="22"/>
      <c r="G84" s="22"/>
      <c r="H84" s="22">
        <f>IFERROR(H40/SUM(H12,H14),0)</f>
        <v>0.94444824652413284</v>
      </c>
      <c r="I84" s="22"/>
      <c r="J84" s="22">
        <f>IFERROR(J40/SUM(J12,J14),0)</f>
        <v>1.2157765434710324</v>
      </c>
      <c r="K84" s="22"/>
      <c r="L84" s="22">
        <f>IFERROR(L40/SUM(L12,L14),0)</f>
        <v>0.92678260456003325</v>
      </c>
      <c r="M84" s="22"/>
      <c r="N84" s="22">
        <f>IFERROR(N40/SUM(N12,N14),0)</f>
        <v>1.0217430563080145</v>
      </c>
      <c r="O84" s="22"/>
      <c r="P84" s="22">
        <f>IFERROR(P40/SUM(P12,P14),0)</f>
        <v>1.041773530035</v>
      </c>
      <c r="Q84" s="22"/>
      <c r="R84" s="22">
        <f>IFERROR(R40/SUM(R12,R14),0)</f>
        <v>0.7036345799535807</v>
      </c>
      <c r="S84" s="22"/>
      <c r="T84" s="22">
        <f>IFERROR(T40/SUM(T12,T14),0)</f>
        <v>1.0504501176599355</v>
      </c>
      <c r="U84" s="22"/>
      <c r="V84" s="22">
        <f>IFERROR(V40/SUM(V12,V14),0)</f>
        <v>1.4820160995243323</v>
      </c>
      <c r="W84" s="22"/>
      <c r="X84" s="22">
        <f>IFERROR(X40/SUM(X12,X14),0)</f>
        <v>1.2306992054209822</v>
      </c>
      <c r="Y84" s="22"/>
      <c r="Z84" s="22">
        <f>IFERROR(Z40/SUM(Z12,Z14),0)</f>
        <v>1.0304335666052971</v>
      </c>
      <c r="AA84" s="12"/>
      <c r="AB84" s="12"/>
      <c r="AC84" s="33"/>
      <c r="AD84" s="12"/>
      <c r="AE84" s="33"/>
    </row>
    <row r="85" spans="1:31" ht="20" customHeight="1">
      <c r="A85" s="21" t="s">
        <v>99</v>
      </c>
      <c r="B85" s="22"/>
      <c r="C85" s="22"/>
      <c r="D85" s="22"/>
      <c r="E85" s="22"/>
      <c r="F85" s="22"/>
      <c r="G85" s="22"/>
      <c r="H85" s="22">
        <f>H40/(H16-H20-H21)</f>
        <v>0.72490850803116524</v>
      </c>
      <c r="I85" s="22"/>
      <c r="J85" s="22">
        <f>J40/(J16-J20-J21)</f>
        <v>0.54803377382134411</v>
      </c>
      <c r="K85" s="22"/>
      <c r="L85" s="22">
        <f>L40/(L16-L20-L21)</f>
        <v>0.59561467174101967</v>
      </c>
      <c r="M85" s="22"/>
      <c r="N85" s="22">
        <f>N40/(N16-N20-N21)</f>
        <v>0.5575835222233172</v>
      </c>
      <c r="O85" s="22"/>
      <c r="P85" s="22" t="e">
        <f>P40/(#REF!-P20-P21)</f>
        <v>#REF!</v>
      </c>
      <c r="Q85" s="22"/>
      <c r="R85" s="22" t="e">
        <f>R40/(#REF!-R20-R21)</f>
        <v>#REF!</v>
      </c>
      <c r="S85" s="22"/>
      <c r="T85" s="22" t="e">
        <f>T40/(#REF!-T20-T21)</f>
        <v>#REF!</v>
      </c>
      <c r="U85" s="22"/>
      <c r="V85" s="22" t="e">
        <f>V40/(#REF!-V20-V21)</f>
        <v>#REF!</v>
      </c>
      <c r="W85" s="22"/>
      <c r="X85" s="22">
        <f>X40/(X16-X20-X21)</f>
        <v>0.77547322476609415</v>
      </c>
      <c r="Y85" s="22"/>
      <c r="Z85" s="22">
        <f>Z40/(Z16-Z20-Z21)</f>
        <v>0.6537326206913664</v>
      </c>
      <c r="AA85" s="12"/>
      <c r="AB85" s="12"/>
      <c r="AC85" s="33"/>
      <c r="AD85" s="12"/>
      <c r="AE85" s="33"/>
    </row>
    <row r="86" spans="1:31" ht="20" customHeight="1">
      <c r="A86" s="21" t="s">
        <v>100</v>
      </c>
      <c r="B86" s="12"/>
      <c r="C86" s="22"/>
      <c r="D86" s="12"/>
      <c r="E86" s="22"/>
      <c r="F86" s="12"/>
      <c r="G86" s="22"/>
      <c r="H86" s="22">
        <f>H87/H10</f>
        <v>0.25091162159479008</v>
      </c>
      <c r="I86" s="22"/>
      <c r="J86" s="22">
        <f>J87/J10</f>
        <v>0.16566661552330492</v>
      </c>
      <c r="K86" s="22"/>
      <c r="L86" s="22">
        <f>L87/L10</f>
        <v>0.30355473896192964</v>
      </c>
      <c r="M86" s="22"/>
      <c r="N86" s="22">
        <f>N87/N10</f>
        <v>0.19723692866764825</v>
      </c>
      <c r="O86" s="22"/>
      <c r="P86" s="22" t="e">
        <f>P87/P10</f>
        <v>#DIV/0!</v>
      </c>
      <c r="Q86" s="22"/>
      <c r="R86" s="22">
        <f>R87/R10</f>
        <v>-2.2480358673806412E-2</v>
      </c>
      <c r="S86" s="22"/>
      <c r="T86" s="22">
        <f>T87/T10</f>
        <v>0.15373892877408532</v>
      </c>
      <c r="U86" s="22"/>
      <c r="V86" s="22">
        <f>V87/V10</f>
        <v>0.24089572546032723</v>
      </c>
      <c r="W86" s="22"/>
      <c r="X86" s="22">
        <f>X87/X10</f>
        <v>0.16063488747135368</v>
      </c>
      <c r="Y86" s="22"/>
      <c r="Z86" s="22">
        <f>Z87/Z10</f>
        <v>0.19275093323436562</v>
      </c>
      <c r="AA86" s="12"/>
      <c r="AB86" s="12"/>
      <c r="AC86" s="33"/>
      <c r="AD86" s="12"/>
      <c r="AE86" s="33"/>
    </row>
    <row r="87" spans="1:31" ht="20" customHeight="1">
      <c r="A87" s="21" t="s">
        <v>101</v>
      </c>
      <c r="B87" s="23"/>
      <c r="C87" s="22"/>
      <c r="D87" s="23"/>
      <c r="E87" s="22"/>
      <c r="F87" s="23"/>
      <c r="G87" s="22"/>
      <c r="H87" s="23">
        <f>H10-H21</f>
        <v>37683.330000000016</v>
      </c>
      <c r="I87" s="22"/>
      <c r="J87" s="23">
        <f>J10-J21</f>
        <v>118837.63</v>
      </c>
      <c r="K87" s="22"/>
      <c r="L87" s="23">
        <f>L10-L21</f>
        <v>74126.849999999977</v>
      </c>
      <c r="M87" s="22"/>
      <c r="N87" s="23">
        <f>N10-N21</f>
        <v>94440</v>
      </c>
      <c r="O87" s="22"/>
      <c r="P87" s="23">
        <f>P10-P21</f>
        <v>-1105</v>
      </c>
      <c r="Q87" s="22"/>
      <c r="R87" s="23">
        <f>R10-R21</f>
        <v>-3199</v>
      </c>
      <c r="S87" s="22"/>
      <c r="T87" s="23">
        <f>T10-T21</f>
        <v>12463</v>
      </c>
      <c r="U87" s="22"/>
      <c r="V87" s="23">
        <f>V10-V21</f>
        <v>106586</v>
      </c>
      <c r="W87" s="22"/>
      <c r="X87" s="23">
        <f>X10-X21</f>
        <v>24603</v>
      </c>
      <c r="Y87" s="22"/>
      <c r="Z87" s="23">
        <f>Z10-Z21</f>
        <v>464435.81000000006</v>
      </c>
      <c r="AA87" s="12"/>
      <c r="AB87" s="12"/>
      <c r="AC87" s="33"/>
      <c r="AD87" s="12"/>
      <c r="AE87" s="33"/>
    </row>
    <row r="88" spans="1:31">
      <c r="A88" s="21" t="s">
        <v>102</v>
      </c>
    </row>
    <row r="91" spans="1:31">
      <c r="A91" s="21" t="s">
        <v>121</v>
      </c>
    </row>
    <row r="92" spans="1:31">
      <c r="A92" s="21" t="s">
        <v>122</v>
      </c>
    </row>
    <row r="93" spans="1:31">
      <c r="A93" s="21" t="s">
        <v>123</v>
      </c>
    </row>
    <row r="94" spans="1:31">
      <c r="A94" s="21" t="s">
        <v>124</v>
      </c>
    </row>
    <row r="96" spans="1:31">
      <c r="A96" s="21" t="s">
        <v>125</v>
      </c>
    </row>
    <row r="97" spans="1:27">
      <c r="A97" s="21" t="s">
        <v>126</v>
      </c>
      <c r="H97" s="56">
        <f>SUM(H11:H14)</f>
        <v>147928.59000000003</v>
      </c>
      <c r="J97" s="56">
        <f>SUM(J11:J14)</f>
        <v>158842.87999999998</v>
      </c>
      <c r="L97" s="56">
        <f>SUM(L11:L14)</f>
        <v>146128.38999999998</v>
      </c>
      <c r="N97" s="56">
        <f>SUM(N11:N14)</f>
        <v>161100</v>
      </c>
      <c r="P97" s="56">
        <f>SUM(P11:P14)</f>
        <v>141907</v>
      </c>
      <c r="R97" s="56">
        <f>SUM(R11:R14)</f>
        <v>256438</v>
      </c>
      <c r="T97" s="56">
        <f>SUM(T11:T14)</f>
        <v>205949</v>
      </c>
      <c r="V97" s="56">
        <f>SUM(V11:V14)</f>
        <v>222410</v>
      </c>
      <c r="X97" s="56">
        <f>SUM(X11:X14)</f>
        <v>238670</v>
      </c>
      <c r="Z97" s="3">
        <f>SUM(H97:X97)</f>
        <v>1679373.8599999999</v>
      </c>
    </row>
    <row r="98" spans="1:27">
      <c r="A98" s="21" t="s">
        <v>157</v>
      </c>
      <c r="H98" s="56" t="e">
        <f>H22+H24+H36+H38+H40+H42+#REF!+H52</f>
        <v>#REF!</v>
      </c>
      <c r="J98" s="56" t="e">
        <f>J22+J24+J36+J38+J40+J42+#REF!+J52</f>
        <v>#REF!</v>
      </c>
      <c r="L98" s="56" t="e">
        <f>L22+L24+L36+L38+L40+L42+#REF!+L52</f>
        <v>#REF!</v>
      </c>
      <c r="N98" s="56">
        <f>N22+N24+N36+N38+N40+N42+N49+N52</f>
        <v>203370</v>
      </c>
      <c r="P98" s="56">
        <f>P22+P24+P36+P38+P40+P42+P49+P52</f>
        <v>177101</v>
      </c>
      <c r="R98" s="56">
        <f>R22+R24+R36+R38+R40+R42+R49+R52</f>
        <v>241076</v>
      </c>
      <c r="T98" s="56">
        <f>T22+T25+T36+T38+T40+T42+T49+T52</f>
        <v>272065</v>
      </c>
      <c r="V98" s="56">
        <f>V22+V24+V36+V38+V40+V42+V49+V52</f>
        <v>217525</v>
      </c>
      <c r="X98" s="56">
        <f>X22+X24+X36+X38+X40+X42+X49+X52</f>
        <v>296094</v>
      </c>
      <c r="Z98" s="3" t="e">
        <f>SUM(H98:X98)</f>
        <v>#REF!</v>
      </c>
    </row>
    <row r="99" spans="1:27">
      <c r="A99" s="21" t="s">
        <v>128</v>
      </c>
      <c r="H99" s="56" t="e">
        <f>H97-H98</f>
        <v>#REF!</v>
      </c>
      <c r="J99" s="56" t="e">
        <f t="shared" ref="J99:Z99" si="29">J97-J98</f>
        <v>#REF!</v>
      </c>
      <c r="L99" s="56" t="e">
        <f t="shared" si="29"/>
        <v>#REF!</v>
      </c>
      <c r="N99" s="56">
        <f t="shared" si="29"/>
        <v>-42270</v>
      </c>
      <c r="P99" s="56">
        <f t="shared" si="29"/>
        <v>-35194</v>
      </c>
      <c r="R99" s="56">
        <f t="shared" si="29"/>
        <v>15362</v>
      </c>
      <c r="T99" s="56">
        <f t="shared" si="29"/>
        <v>-66116</v>
      </c>
      <c r="V99" s="56">
        <f t="shared" si="29"/>
        <v>4885</v>
      </c>
      <c r="X99" s="56">
        <f t="shared" si="29"/>
        <v>-57424</v>
      </c>
      <c r="Z99" s="70" t="e">
        <f t="shared" si="29"/>
        <v>#REF!</v>
      </c>
    </row>
    <row r="100" spans="1:27">
      <c r="A100" s="21" t="s">
        <v>129</v>
      </c>
      <c r="H100" s="66" t="e">
        <f>H99/0.15</f>
        <v>#REF!</v>
      </c>
      <c r="J100" s="66" t="e">
        <f t="shared" ref="J100:X100" si="30">J99/0.15</f>
        <v>#REF!</v>
      </c>
      <c r="L100" s="66" t="e">
        <f t="shared" si="30"/>
        <v>#REF!</v>
      </c>
      <c r="N100" s="66">
        <f t="shared" si="30"/>
        <v>-281800</v>
      </c>
      <c r="P100" s="66">
        <f t="shared" si="30"/>
        <v>-234626.66666666669</v>
      </c>
      <c r="R100" s="66">
        <f t="shared" si="30"/>
        <v>102413.33333333334</v>
      </c>
      <c r="T100" s="66">
        <f t="shared" si="30"/>
        <v>-440773.33333333337</v>
      </c>
      <c r="V100" s="66">
        <f t="shared" si="30"/>
        <v>32566.666666666668</v>
      </c>
      <c r="X100" s="66">
        <f t="shared" si="30"/>
        <v>-382826.66666666669</v>
      </c>
    </row>
    <row r="101" spans="1:27">
      <c r="A101" s="21" t="s">
        <v>130</v>
      </c>
      <c r="H101" s="66">
        <f>H16*0.15</f>
        <v>44717.139000000003</v>
      </c>
    </row>
    <row r="102" spans="1:27">
      <c r="A102" s="21" t="s">
        <v>131</v>
      </c>
    </row>
    <row r="103" spans="1:27">
      <c r="A103" s="21" t="s">
        <v>132</v>
      </c>
    </row>
    <row r="104" spans="1:27">
      <c r="A104" s="21" t="s">
        <v>133</v>
      </c>
    </row>
    <row r="107" spans="1:27">
      <c r="A107" s="21" t="s">
        <v>134</v>
      </c>
      <c r="H107" s="5" t="e">
        <f>H57-H99</f>
        <v>#REF!</v>
      </c>
      <c r="I107" s="4"/>
      <c r="J107" s="5" t="e">
        <f>J57-J99</f>
        <v>#REF!</v>
      </c>
      <c r="K107" s="4"/>
      <c r="L107" s="5" t="e">
        <f>L57-L99</f>
        <v>#REF!</v>
      </c>
      <c r="M107" s="4"/>
      <c r="N107" s="5">
        <f>N57-N99</f>
        <v>89057</v>
      </c>
      <c r="O107" s="4"/>
      <c r="P107" s="5">
        <f>P57-P99</f>
        <v>-6972</v>
      </c>
      <c r="Q107" s="4"/>
      <c r="R107" s="5">
        <f>R57-R99</f>
        <v>-5006</v>
      </c>
      <c r="S107" s="4"/>
      <c r="T107" s="5">
        <f>T57-T99</f>
        <v>83350</v>
      </c>
      <c r="U107" s="4"/>
      <c r="V107" s="5">
        <f>V57-V99</f>
        <v>101742</v>
      </c>
      <c r="W107" s="4"/>
      <c r="X107" s="5">
        <f>X57-X99</f>
        <v>21655</v>
      </c>
      <c r="Y107" s="4"/>
      <c r="Z107" s="3" t="e">
        <f>Z57-Z99</f>
        <v>#REF!</v>
      </c>
      <c r="AA107" t="s">
        <v>135</v>
      </c>
    </row>
    <row r="108" spans="1:27">
      <c r="A108" s="21" t="s">
        <v>136</v>
      </c>
      <c r="H108" s="5">
        <f>H13</f>
        <v>2440</v>
      </c>
      <c r="I108" s="4"/>
      <c r="J108" s="5">
        <f>J13</f>
        <v>20326.59</v>
      </c>
      <c r="K108" s="4"/>
      <c r="L108" s="5">
        <f>L13</f>
        <v>2812</v>
      </c>
      <c r="M108" s="4"/>
      <c r="N108" s="5">
        <f>N13</f>
        <v>21691</v>
      </c>
      <c r="O108" s="4"/>
      <c r="P108" s="5">
        <f>P13</f>
        <v>5050</v>
      </c>
      <c r="Q108" s="4"/>
      <c r="R108" s="5">
        <f>R13</f>
        <v>1270</v>
      </c>
      <c r="S108" s="4"/>
      <c r="T108" s="5">
        <f>T13</f>
        <v>59765</v>
      </c>
      <c r="U108" s="4"/>
      <c r="V108" s="5">
        <f>V13</f>
        <v>113090</v>
      </c>
      <c r="W108" s="4"/>
      <c r="X108" s="5">
        <f>X13</f>
        <v>72796</v>
      </c>
      <c r="Y108" s="4"/>
      <c r="Z108" s="3">
        <f>Z13</f>
        <v>299240.58999999997</v>
      </c>
      <c r="AA108" t="s">
        <v>137</v>
      </c>
    </row>
    <row r="109" spans="1:27">
      <c r="A109" s="21" t="s">
        <v>138</v>
      </c>
      <c r="H109" s="5" t="e">
        <f t="shared" ref="H109:X109" si="31">H107-H108</f>
        <v>#REF!</v>
      </c>
      <c r="I109" s="4"/>
      <c r="J109" s="5" t="e">
        <f t="shared" si="31"/>
        <v>#REF!</v>
      </c>
      <c r="K109" s="4"/>
      <c r="L109" s="5" t="e">
        <f t="shared" si="31"/>
        <v>#REF!</v>
      </c>
      <c r="M109" s="4"/>
      <c r="N109" s="5">
        <f t="shared" si="31"/>
        <v>67366</v>
      </c>
      <c r="O109" s="4"/>
      <c r="P109" s="5">
        <f t="shared" si="31"/>
        <v>-12022</v>
      </c>
      <c r="Q109" s="4"/>
      <c r="R109" s="5">
        <f t="shared" si="31"/>
        <v>-6276</v>
      </c>
      <c r="S109" s="4"/>
      <c r="T109" s="5">
        <f t="shared" si="31"/>
        <v>23585</v>
      </c>
      <c r="U109" s="4"/>
      <c r="V109" s="5">
        <f t="shared" si="31"/>
        <v>-11348</v>
      </c>
      <c r="W109" s="4"/>
      <c r="X109" s="5">
        <f t="shared" si="31"/>
        <v>-51141</v>
      </c>
      <c r="Y109" s="4"/>
      <c r="Z109" s="3" t="e">
        <f>Z107-Z108</f>
        <v>#REF!</v>
      </c>
      <c r="AA109" t="s">
        <v>139</v>
      </c>
    </row>
    <row r="111" spans="1:27">
      <c r="A111" s="21" t="s">
        <v>140</v>
      </c>
    </row>
    <row r="114" spans="1:1">
      <c r="A114" t="s">
        <v>141</v>
      </c>
    </row>
    <row r="115" spans="1:1">
      <c r="A115" t="s">
        <v>142</v>
      </c>
    </row>
  </sheetData>
  <conditionalFormatting sqref="H80:Z80">
    <cfRule type="colorScale" priority="1">
      <colorScale>
        <cfvo type="percent" val="0"/>
        <cfvo type="percentile" val="50"/>
        <cfvo type="percent" val="60"/>
        <color rgb="FFF8696B"/>
        <color rgb="FFFFEB84"/>
        <color rgb="FF63BE7B"/>
      </colorScale>
    </cfRule>
  </conditionalFormatting>
  <conditionalFormatting sqref="H81:Z81">
    <cfRule type="colorScale" priority="2">
      <colorScale>
        <cfvo type="percent" val="10"/>
        <cfvo type="percent" val="15"/>
        <cfvo type="percent" val="2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5F496672-CACB-4A3A-9528-1EAB26CE1E17}">
          <x14:colorSeries theme="9" tint="-0.249977111117893"/>
          <x14:colorNegative rgb="FF000000"/>
          <x14:colorAxis rgb="FF000000"/>
          <x14:colorMarkers rgb="FF000000"/>
          <x14:colorFirst rgb="FF000000"/>
          <x14:colorLast rgb="FF000000"/>
          <x14:colorHigh rgb="FFFF0000"/>
          <x14:colorLow rgb="FF00B050"/>
          <x14:sparklines>
            <x14:sparkline>
              <xm:f>'Ohio - old format'!T66:X66</xm:f>
              <xm:sqref>AE66</xm:sqref>
            </x14:sparkline>
            <x14:sparkline>
              <xm:f>'Ohio - old format'!T20:X20</xm:f>
              <xm:sqref>AE20</xm:sqref>
            </x14:sparkline>
            <x14:sparkline>
              <xm:f>'Ohio - old format'!T21:X21</xm:f>
              <xm:sqref>AE21</xm:sqref>
            </x14:sparkline>
            <x14:sparkline>
              <xm:f>'Ohio - old format'!T22:X22</xm:f>
              <xm:sqref>AE22</xm:sqref>
            </x14:sparkline>
            <x14:sparkline>
              <xm:f>'Ohio - old format'!T23:X23</xm:f>
              <xm:sqref>AE23</xm:sqref>
            </x14:sparkline>
            <x14:sparkline>
              <xm:f>'Ohio - old format'!T24:X24</xm:f>
              <xm:sqref>AE24</xm:sqref>
            </x14:sparkline>
            <x14:sparkline>
              <xm:f>'Ohio - old format'!T25:X25</xm:f>
              <xm:sqref>AE25</xm:sqref>
            </x14:sparkline>
            <x14:sparkline>
              <xm:f>'Ohio - old format'!T31:X31</xm:f>
              <xm:sqref>AE31</xm:sqref>
            </x14:sparkline>
            <x14:sparkline>
              <xm:f>'Ohio - old format'!T32:X32</xm:f>
              <xm:sqref>AE32</xm:sqref>
            </x14:sparkline>
            <x14:sparkline>
              <xm:f>'Ohio - old format'!T33:X33</xm:f>
              <xm:sqref>AE33</xm:sqref>
            </x14:sparkline>
            <x14:sparkline>
              <xm:f>'Ohio - old format'!T34:X34</xm:f>
              <xm:sqref>AE34</xm:sqref>
            </x14:sparkline>
            <x14:sparkline>
              <xm:f>'Ohio - old format'!T35:X35</xm:f>
              <xm:sqref>AE35</xm:sqref>
            </x14:sparkline>
            <x14:sparkline>
              <xm:f>'Ohio - old format'!T36:X36</xm:f>
              <xm:sqref>AE36</xm:sqref>
            </x14:sparkline>
            <x14:sparkline>
              <xm:f>'Ohio - old format'!T37:X37</xm:f>
              <xm:sqref>AE37</xm:sqref>
            </x14:sparkline>
            <x14:sparkline>
              <xm:f>'Ohio - old format'!T38:X38</xm:f>
              <xm:sqref>AE38</xm:sqref>
            </x14:sparkline>
            <x14:sparkline>
              <xm:f>'Ohio - old format'!T39:X39</xm:f>
              <xm:sqref>AE39</xm:sqref>
            </x14:sparkline>
            <x14:sparkline>
              <xm:f>'Ohio - old format'!T40:X40</xm:f>
              <xm:sqref>AE40</xm:sqref>
            </x14:sparkline>
            <x14:sparkline>
              <xm:f>'Ohio - old format'!T41:X41</xm:f>
              <xm:sqref>AE41</xm:sqref>
            </x14:sparkline>
            <x14:sparkline>
              <xm:f>'Ohio - old format'!T42:X42</xm:f>
              <xm:sqref>AE42</xm:sqref>
            </x14:sparkline>
            <x14:sparkline>
              <xm:f>'Ohio - old format'!T43:X43</xm:f>
              <xm:sqref>AE43</xm:sqref>
            </x14:sparkline>
            <x14:sparkline>
              <xm:f>'Ohio - old format'!T45:X45</xm:f>
              <xm:sqref>AE45</xm:sqref>
            </x14:sparkline>
            <x14:sparkline>
              <xm:f>'Ohio - old format'!T46:X46</xm:f>
              <xm:sqref>AE46</xm:sqref>
            </x14:sparkline>
            <x14:sparkline>
              <xm:f>'Ohio - old format'!T47:X47</xm:f>
              <xm:sqref>AE47</xm:sqref>
            </x14:sparkline>
            <x14:sparkline>
              <xm:f>'Ohio - old format'!T48:X48</xm:f>
              <xm:sqref>AE48</xm:sqref>
            </x14:sparkline>
            <x14:sparkline>
              <xm:f>'Ohio - old format'!T49:X49</xm:f>
              <xm:sqref>AE49</xm:sqref>
            </x14:sparkline>
            <x14:sparkline>
              <xm:f>'Ohio - old format'!T50:X50</xm:f>
              <xm:sqref>AE50</xm:sqref>
            </x14:sparkline>
            <x14:sparkline>
              <xm:f>'Ohio - old format'!T52:X52</xm:f>
              <xm:sqref>AE52</xm:sqref>
            </x14:sparkline>
            <x14:sparkline>
              <xm:f>'Ohio - old format'!T53:X53</xm:f>
              <xm:sqref>AE53</xm:sqref>
            </x14:sparkline>
            <x14:sparkline>
              <xm:f>'Ohio - old format'!T54:X54</xm:f>
              <xm:sqref>AE54</xm:sqref>
            </x14:sparkline>
            <x14:sparkline>
              <xm:f>'Ohio - old format'!T55:X55</xm:f>
              <xm:sqref>AE55</xm:sqref>
            </x14:sparkline>
            <x14:sparkline>
              <xm:f>'Ohio - old format'!T67:X67</xm:f>
              <xm:sqref>AE67</xm:sqref>
            </x14:sparkline>
            <x14:sparkline>
              <xm:f>'Ohio - old format'!T68:X68</xm:f>
              <xm:sqref>AE68</xm:sqref>
            </x14:sparkline>
            <x14:sparkline>
              <xm:f>'Ohio - old format'!T69:X69</xm:f>
              <xm:sqref>AE69</xm:sqref>
            </x14:sparkline>
            <x14:sparkline>
              <xm:f>'Ohio - old format'!T70:X70</xm:f>
              <xm:sqref>AE70</xm:sqref>
            </x14:sparkline>
            <x14:sparkline>
              <xm:f>'Ohio - old format'!T71:X71</xm:f>
              <xm:sqref>AE71</xm:sqref>
            </x14:sparkline>
            <x14:sparkline>
              <xm:f>'Ohio - old format'!T72:X72</xm:f>
              <xm:sqref>AE72</xm:sqref>
            </x14:sparkline>
            <x14:sparkline>
              <xm:f>'Ohio - old format'!T73:X73</xm:f>
              <xm:sqref>AE73</xm:sqref>
            </x14:sparkline>
            <x14:sparkline>
              <xm:f>'Ohio - old format'!T74:X74</xm:f>
              <xm:sqref>AE74</xm:sqref>
            </x14:sparkline>
          </x14:sparklines>
        </x14:sparklineGroup>
        <x14:sparklineGroup lineWeight="1" displayEmptyCellsAs="gap" high="1" low="1" xr2:uid="{E8D07CED-6056-44BF-898B-B54879E77645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50"/>
          <x14:sparklines>
            <x14:sparkline>
              <xm:f>'Ohio - old format'!H20:X20</xm:f>
              <xm:sqref>AC20</xm:sqref>
            </x14:sparkline>
            <x14:sparkline>
              <xm:f>'Ohio - old format'!H21:X21</xm:f>
              <xm:sqref>AC21</xm:sqref>
            </x14:sparkline>
            <x14:sparkline>
              <xm:f>'Ohio - old format'!H22:X22</xm:f>
              <xm:sqref>AC22</xm:sqref>
            </x14:sparkline>
            <x14:sparkline>
              <xm:f>'Ohio - old format'!H23:X23</xm:f>
              <xm:sqref>AC23</xm:sqref>
            </x14:sparkline>
            <x14:sparkline>
              <xm:f>'Ohio - old format'!H24:X24</xm:f>
              <xm:sqref>AC24</xm:sqref>
            </x14:sparkline>
            <x14:sparkline>
              <xm:f>'Ohio - old format'!H25:X25</xm:f>
              <xm:sqref>AC25</xm:sqref>
            </x14:sparkline>
            <x14:sparkline>
              <xm:f>'Ohio - old format'!H31:X31</xm:f>
              <xm:sqref>AC31</xm:sqref>
            </x14:sparkline>
            <x14:sparkline>
              <xm:f>'Ohio - old format'!H32:X32</xm:f>
              <xm:sqref>AC32</xm:sqref>
            </x14:sparkline>
            <x14:sparkline>
              <xm:f>'Ohio - old format'!H33:X33</xm:f>
              <xm:sqref>AC33</xm:sqref>
            </x14:sparkline>
            <x14:sparkline>
              <xm:f>'Ohio - old format'!H34:X34</xm:f>
              <xm:sqref>AC34</xm:sqref>
            </x14:sparkline>
            <x14:sparkline>
              <xm:f>'Ohio - old format'!H35:X35</xm:f>
              <xm:sqref>AC35</xm:sqref>
            </x14:sparkline>
            <x14:sparkline>
              <xm:f>'Ohio - old format'!H36:X36</xm:f>
              <xm:sqref>AC36</xm:sqref>
            </x14:sparkline>
            <x14:sparkline>
              <xm:f>'Ohio - old format'!H37:X37</xm:f>
              <xm:sqref>AC37</xm:sqref>
            </x14:sparkline>
            <x14:sparkline>
              <xm:f>'Ohio - old format'!H38:X38</xm:f>
              <xm:sqref>AC38</xm:sqref>
            </x14:sparkline>
            <x14:sparkline>
              <xm:f>'Ohio - old format'!H39:X39</xm:f>
              <xm:sqref>AC39</xm:sqref>
            </x14:sparkline>
            <x14:sparkline>
              <xm:f>'Ohio - old format'!H40:X40</xm:f>
              <xm:sqref>AC40</xm:sqref>
            </x14:sparkline>
            <x14:sparkline>
              <xm:f>'Ohio - old format'!H41:X41</xm:f>
              <xm:sqref>AC41</xm:sqref>
            </x14:sparkline>
            <x14:sparkline>
              <xm:f>'Ohio - old format'!H42:X42</xm:f>
              <xm:sqref>AC42</xm:sqref>
            </x14:sparkline>
            <x14:sparkline>
              <xm:f>'Ohio - old format'!H43:X43</xm:f>
              <xm:sqref>AC43</xm:sqref>
            </x14:sparkline>
            <x14:sparkline>
              <xm:f>'Ohio - old format'!H45:X45</xm:f>
              <xm:sqref>AC45</xm:sqref>
            </x14:sparkline>
            <x14:sparkline>
              <xm:f>'Ohio - old format'!H46:X46</xm:f>
              <xm:sqref>AC46</xm:sqref>
            </x14:sparkline>
            <x14:sparkline>
              <xm:f>'Ohio - old format'!H47:X47</xm:f>
              <xm:sqref>AC47</xm:sqref>
            </x14:sparkline>
            <x14:sparkline>
              <xm:f>'Ohio - old format'!H48:X48</xm:f>
              <xm:sqref>AC48</xm:sqref>
            </x14:sparkline>
            <x14:sparkline>
              <xm:f>'Ohio - old format'!H49:X49</xm:f>
              <xm:sqref>AC49</xm:sqref>
            </x14:sparkline>
            <x14:sparkline>
              <xm:f>'Ohio - old format'!H50:X50</xm:f>
              <xm:sqref>AC50</xm:sqref>
            </x14:sparkline>
            <x14:sparkline>
              <xm:f>'Ohio - old format'!H52:X52</xm:f>
              <xm:sqref>AC52</xm:sqref>
            </x14:sparkline>
            <x14:sparkline>
              <xm:f>'Ohio - old format'!H53:X53</xm:f>
              <xm:sqref>AC53</xm:sqref>
            </x14:sparkline>
            <x14:sparkline>
              <xm:f>'Ohio - old format'!H54:X54</xm:f>
              <xm:sqref>AC54</xm:sqref>
            </x14:sparkline>
            <x14:sparkline>
              <xm:f>'Ohio - old format'!H55:X55</xm:f>
              <xm:sqref>AC55</xm:sqref>
            </x14:sparkline>
            <x14:sparkline>
              <xm:f>'Ohio - old format'!H66:X66</xm:f>
              <xm:sqref>AC66</xm:sqref>
            </x14:sparkline>
            <x14:sparkline>
              <xm:f>'Ohio - old format'!H67:X67</xm:f>
              <xm:sqref>AC67</xm:sqref>
            </x14:sparkline>
            <x14:sparkline>
              <xm:f>'Ohio - old format'!H68:X68</xm:f>
              <xm:sqref>AC68</xm:sqref>
            </x14:sparkline>
            <x14:sparkline>
              <xm:f>'Ohio - old format'!H69:X69</xm:f>
              <xm:sqref>AC69</xm:sqref>
            </x14:sparkline>
            <x14:sparkline>
              <xm:f>'Ohio - old format'!H70:X70</xm:f>
              <xm:sqref>AC70</xm:sqref>
            </x14:sparkline>
            <x14:sparkline>
              <xm:f>'Ohio - old format'!H71:X71</xm:f>
              <xm:sqref>AC71</xm:sqref>
            </x14:sparkline>
            <x14:sparkline>
              <xm:f>'Ohio - old format'!H72:X72</xm:f>
              <xm:sqref>AC72</xm:sqref>
            </x14:sparkline>
            <x14:sparkline>
              <xm:f>'Ohio - old format'!H73:X73</xm:f>
              <xm:sqref>AC73</xm:sqref>
            </x14:sparkline>
            <x14:sparkline>
              <xm:f>'Ohio - old format'!H74:X74</xm:f>
              <xm:sqref>AC74</xm:sqref>
            </x14:sparkline>
          </x14:sparklines>
        </x14:sparklineGroup>
        <x14:sparklineGroup lineWeight="1" displayEmptyCellsAs="gap" high="1" low="1" xr2:uid="{16EF2E27-099A-4B12-8BA1-2D47BBAEE978}">
          <x14:colorSeries theme="3" tint="0.39997558519241921"/>
          <x14:colorNegative rgb="FF000000"/>
          <x14:colorAxis rgb="FF000000"/>
          <x14:colorMarkers rgb="FF000000"/>
          <x14:colorFirst rgb="FF000000"/>
          <x14:colorLast rgb="FF000000"/>
          <x14:colorHigh rgb="FF00B050"/>
          <x14:colorLow rgb="FFFF0000"/>
          <x14:sparklines>
            <x14:sparkline>
              <xm:f>'Ohio - old format'!T76:X76</xm:f>
              <xm:sqref>AE76</xm:sqref>
            </x14:sparkline>
            <x14:sparkline>
              <xm:f>'Ohio - old format'!T27:X27</xm:f>
              <xm:sqref>AE27</xm:sqref>
            </x14:sparkline>
            <x14:sparkline>
              <xm:f>'Ohio - old format'!T16:X16</xm:f>
              <xm:sqref>AE16</xm:sqref>
            </x14:sparkline>
            <x14:sparkline>
              <xm:f>'Ohio - old format'!T14:X14</xm:f>
              <xm:sqref>AE14</xm:sqref>
            </x14:sparkline>
            <x14:sparkline>
              <xm:f>'Ohio - old format'!T13:X13</xm:f>
              <xm:sqref>AE13</xm:sqref>
            </x14:sparkline>
            <x14:sparkline>
              <xm:f>'Ohio - old format'!T12:X12</xm:f>
              <xm:sqref>AE12</xm:sqref>
            </x14:sparkline>
            <x14:sparkline>
              <xm:f>'Ohio - old format'!T11:X11</xm:f>
              <xm:sqref>AE11</xm:sqref>
            </x14:sparkline>
            <x14:sparkline>
              <xm:f>'Ohio - old format'!T10:X10</xm:f>
              <xm:sqref>AE10</xm:sqref>
            </x14:sparkline>
            <x14:sparkline>
              <xm:f>'Ohio - old format'!T9:X9</xm:f>
              <xm:sqref>AE9</xm:sqref>
            </x14:sparkline>
            <x14:sparkline>
              <xm:f>'Ohio - old format'!T61:X61</xm:f>
              <xm:sqref>AE61</xm:sqref>
            </x14:sparkline>
            <x14:sparkline>
              <xm:f>'Ohio - old format'!T62:X62</xm:f>
              <xm:sqref>AE62</xm:sqref>
            </x14:sparkline>
            <x14:sparkline>
              <xm:f>'Ohio - old format'!T63:X63</xm:f>
              <xm:sqref>AE63</xm:sqref>
            </x14:sparkline>
            <x14:sparkline>
              <xm:f>'Ohio - old format'!T64:X64</xm:f>
              <xm:sqref>AE64</xm:sqref>
            </x14:sparkline>
            <x14:sparkline>
              <xm:f>'Ohio - old format'!T57:X57</xm:f>
              <xm:sqref>AE57</xm:sqref>
            </x14:sparkline>
            <x14:sparkline>
              <xm:f>'Ohio - old format'!T15:X15</xm:f>
              <xm:sqref>AE15</xm:sqref>
            </x14:sparkline>
            <x14:sparkline>
              <xm:f>'Ohio - old format'!T80:X80</xm:f>
              <xm:sqref>AE80</xm:sqref>
            </x14:sparkline>
            <x14:sparkline>
              <xm:f>'Ohio - old format'!T81:X81</xm:f>
              <xm:sqref>AE81</xm:sqref>
            </x14:sparkline>
            <x14:sparkline>
              <xm:f>'Ohio - old format'!T82:X82</xm:f>
              <xm:sqref>AE82</xm:sqref>
            </x14:sparkline>
            <x14:sparkline>
              <xm:f>'Ohio - old format'!T83:X83</xm:f>
              <xm:sqref>AE83</xm:sqref>
            </x14:sparkline>
            <x14:sparkline>
              <xm:f>'Ohio - old format'!T84:X84</xm:f>
              <xm:sqref>AE84</xm:sqref>
            </x14:sparkline>
            <x14:sparkline>
              <xm:f>'Ohio - old format'!T85:X85</xm:f>
              <xm:sqref>AE85</xm:sqref>
            </x14:sparkline>
            <x14:sparkline>
              <xm:f>'Ohio - old format'!T86:X86</xm:f>
              <xm:sqref>AE86</xm:sqref>
            </x14:sparkline>
            <x14:sparkline>
              <xm:f>'Ohio - old format'!T87:X87</xm:f>
              <xm:sqref>AE87</xm:sqref>
            </x14:sparkline>
          </x14:sparklines>
        </x14:sparklineGroup>
        <x14:sparklineGroup lineWeight="1" displayEmptyCellsAs="gap" high="1" low="1" xr2:uid="{6C226923-393A-448D-84D2-69876CCB67F3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'Ohio - old format'!H87:X87</xm:f>
              <xm:sqref>AC87</xm:sqref>
            </x14:sparkline>
            <x14:sparkline>
              <xm:f>'Ohio - old format'!H9:X9</xm:f>
              <xm:sqref>AC9</xm:sqref>
            </x14:sparkline>
            <x14:sparkline>
              <xm:f>'Ohio - old format'!H10:X10</xm:f>
              <xm:sqref>AC10</xm:sqref>
            </x14:sparkline>
            <x14:sparkline>
              <xm:f>'Ohio - old format'!H11:X11</xm:f>
              <xm:sqref>AC11</xm:sqref>
            </x14:sparkline>
            <x14:sparkline>
              <xm:f>'Ohio - old format'!H12:X12</xm:f>
              <xm:sqref>AC12</xm:sqref>
            </x14:sparkline>
            <x14:sparkline>
              <xm:f>'Ohio - old format'!H13:X13</xm:f>
              <xm:sqref>AC13</xm:sqref>
            </x14:sparkline>
            <x14:sparkline>
              <xm:f>'Ohio - old format'!H14:X14</xm:f>
              <xm:sqref>AC14</xm:sqref>
            </x14:sparkline>
            <x14:sparkline>
              <xm:f>'Ohio - old format'!H15:X15</xm:f>
              <xm:sqref>AC15</xm:sqref>
            </x14:sparkline>
            <x14:sparkline>
              <xm:f>'Ohio - old format'!H16:X16</xm:f>
              <xm:sqref>AC16</xm:sqref>
            </x14:sparkline>
            <x14:sparkline>
              <xm:f>'Ohio - old format'!H27:X27</xm:f>
              <xm:sqref>AC27</xm:sqref>
            </x14:sparkline>
            <x14:sparkline>
              <xm:f>'Ohio - old format'!H57:X57</xm:f>
              <xm:sqref>AC57</xm:sqref>
            </x14:sparkline>
            <x14:sparkline>
              <xm:f>'Ohio - old format'!H61:X61</xm:f>
              <xm:sqref>AC61</xm:sqref>
            </x14:sparkline>
            <x14:sparkline>
              <xm:f>'Ohio - old format'!H62:X62</xm:f>
              <xm:sqref>AC62</xm:sqref>
            </x14:sparkline>
            <x14:sparkline>
              <xm:f>'Ohio - old format'!H63:X63</xm:f>
              <xm:sqref>AC63</xm:sqref>
            </x14:sparkline>
            <x14:sparkline>
              <xm:f>'Ohio - old format'!H64:X64</xm:f>
              <xm:sqref>AC64</xm:sqref>
            </x14:sparkline>
            <x14:sparkline>
              <xm:f>'Ohio - old format'!H76:X76</xm:f>
              <xm:sqref>AC76</xm:sqref>
            </x14:sparkline>
            <x14:sparkline>
              <xm:f>'Ohio - old format'!H80:X80</xm:f>
              <xm:sqref>AC80</xm:sqref>
            </x14:sparkline>
            <x14:sparkline>
              <xm:f>'Ohio - old format'!H81:X81</xm:f>
              <xm:sqref>AC81</xm:sqref>
            </x14:sparkline>
            <x14:sparkline>
              <xm:f>'Ohio - old format'!H82:X82</xm:f>
              <xm:sqref>AC82</xm:sqref>
            </x14:sparkline>
            <x14:sparkline>
              <xm:f>'Ohio - old format'!H83:X83</xm:f>
              <xm:sqref>AC83</xm:sqref>
            </x14:sparkline>
            <x14:sparkline>
              <xm:f>'Ohio - old format'!H84:X84</xm:f>
              <xm:sqref>AC84</xm:sqref>
            </x14:sparkline>
            <x14:sparkline>
              <xm:f>'Ohio - old format'!H85:X85</xm:f>
              <xm:sqref>AC85</xm:sqref>
            </x14:sparkline>
            <x14:sparkline>
              <xm:f>'Ohio - old format'!H86:X86</xm:f>
              <xm:sqref>AC86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2563692-96a6-488b-9f55-d4b046c45fc9">
      <UserInfo>
        <DisplayName/>
        <AccountId xsi:nil="true"/>
        <AccountType/>
      </UserInfo>
    </SharedWithUsers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</documentManagement>
</p:properties>
</file>

<file path=customXml/itemProps1.xml><?xml version="1.0" encoding="utf-8"?>
<ds:datastoreItem xmlns:ds="http://schemas.openxmlformats.org/officeDocument/2006/customXml" ds:itemID="{FB0DA4D0-F680-4580-86B2-49B1F1F7B5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47a66f-b3ee-4495-bf32-e6370fcf1efb"/>
    <ds:schemaRef ds:uri="82563692-96a6-488b-9f55-d4b046c45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8087B2-A1A9-41DF-9251-0680709979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DF1D0-0531-4F85-84D0-9CB9EFA98F6A}">
  <ds:schemaRefs>
    <ds:schemaRef ds:uri="http://schemas.microsoft.com/office/2006/metadata/properties"/>
    <ds:schemaRef ds:uri="http://schemas.microsoft.com/office/infopath/2007/PartnerControls"/>
    <ds:schemaRef ds:uri="82563692-96a6-488b-9f55-d4b046c45fc9"/>
    <ds:schemaRef ds:uri="4a47a66f-b3ee-4495-bf32-e6370fcf1e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 Company</vt:lpstr>
      <vt:lpstr>Ohio</vt:lpstr>
      <vt:lpstr>California Calculated</vt:lpstr>
      <vt:lpstr>Modesto &amp; Irvine</vt:lpstr>
      <vt:lpstr>Fresno</vt:lpstr>
      <vt:lpstr>Ohio - old 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Vicencio</dc:creator>
  <cp:keywords/>
  <dc:description/>
  <cp:lastModifiedBy>Scott G</cp:lastModifiedBy>
  <cp:revision/>
  <dcterms:created xsi:type="dcterms:W3CDTF">2023-05-31T22:45:08Z</dcterms:created>
  <dcterms:modified xsi:type="dcterms:W3CDTF">2026-04-01T23:03:30Z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2022-10-26T22:33:26Z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bb2507b1-a143-4f2f-81c8-2801c214e486</vt:lpwstr>
  </property>
  <property fmtid="{D5CDD505-2E9C-101B-9397-08002B2CF9AE}" pid="8" name="MSIP_Label_e3926ae2-a5f5-4eb8-b7a9-2a972f12d6fe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0x0101001A56198B76F4F64085C7A299E3D96786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_activity">
    <vt:lpwstr>{"FileActivityType":"9","FileActivityTimeStamp":"2024-05-30T15:00:30.920Z","FileActivityUsersOnPage":[{"DisplayName":"Dennis Vicencio","Id":"dvicencio@mydatapath.com"},{"DisplayName":"Joe Torres","Id":"jtorres@mydatapath.com"}],"FileActivityNavigationId":null}</vt:lpwstr>
  </property>
</Properties>
</file>