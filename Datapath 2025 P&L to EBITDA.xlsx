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 P&amp;L to EBITDA" sheetId="1" state="visible" r:id="rId3"/>
  </sheets>
  <definedNames>
    <definedName function="false" hidden="false" localSheetId="0" name="_xlnm.Print_Area" vbProcedure="false">'2025 P&amp;L to EBITDA'!$A$1:$N$102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<sst xmlns="http://schemas.openxmlformats.org/spreadsheetml/2006/main" count="111" uniqueCount="99">
  <si>
    <t xml:space="preserve">Datapath, Inc.</t>
  </si>
  <si>
    <t xml:space="preserve">Profit &amp; Loss Statement - Monthly Detail Through EBITDA</t>
  </si>
  <si>
    <t xml:space="preserve">For the Year Ended December 31, 2025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</si>
  <si>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</si>
  <si>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</si>
  <si>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</si>
  <si>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</si>
  <si>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</si>
  <si>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</si>
  <si>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</si>
  <si>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</si>
  <si>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</si>
  <si>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</si>
  <si>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</si>
  <si>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</si>
  <si>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2025</t>
  </si>
  <si>
    <t xml:space="preserve">Revenue</t>
  </si>
  <si>
    <t xml:space="preserve">   Managed IT Revenue</t>
  </si>
  <si>
    <t xml:space="preserve">   Managed Security Revenue</t>
  </si>
  <si>
    <t xml:space="preserve">   Managed Voice Revenue</t>
  </si>
  <si>
    <t xml:space="preserve">   Managed Backup Revenue</t>
  </si>
  <si>
    <t xml:space="preserve">   USAC E-Rate Revenue</t>
  </si>
  <si>
    <t xml:space="preserve">Total Monthly Recurring Services</t>
  </si>
  <si>
    <t xml:space="preserve">   Public Cloud Revenue</t>
  </si>
  <si>
    <t xml:space="preserve">   Private Cloud Revenue</t>
  </si>
  <si>
    <t xml:space="preserve">Total Monthly Recurring Cloud</t>
  </si>
  <si>
    <t xml:space="preserve">   HaaS Revenue</t>
  </si>
  <si>
    <t xml:space="preserve">   Chromebook ADP Revenue</t>
  </si>
  <si>
    <t xml:space="preserve">   Cloud SaaS Revenue</t>
  </si>
  <si>
    <t xml:space="preserve">   Managed Spam Filtering Revenue</t>
  </si>
  <si>
    <t xml:space="preserve">   Microsoft 365 Revenue</t>
  </si>
  <si>
    <t xml:space="preserve">   Security Resale Revenue</t>
  </si>
  <si>
    <t xml:space="preserve">   Tool Resale Revenue</t>
  </si>
  <si>
    <t xml:space="preserve">   Voice Resale Revenue</t>
  </si>
  <si>
    <t xml:space="preserve">Total Monthly Recurring Resale</t>
  </si>
  <si>
    <t xml:space="preserve">   Project Service Revenue</t>
  </si>
  <si>
    <t xml:space="preserve">   Subcontracted Service Revenue</t>
  </si>
  <si>
    <t xml:space="preserve">   Product Sales Revenue</t>
  </si>
  <si>
    <t xml:space="preserve">   Freight &amp; Shipping Revenue</t>
  </si>
  <si>
    <t xml:space="preserve">Total Product Sales</t>
  </si>
  <si>
    <t xml:space="preserve">   Other Revenue (Commissions &amp; Other)</t>
  </si>
  <si>
    <t xml:space="preserve">Total Revenue</t>
  </si>
  <si>
    <t xml:space="preserve">Cost of Revenue</t>
  </si>
  <si>
    <t xml:space="preserve">   Managed IT Service Costs</t>
  </si>
  <si>
    <t xml:space="preserve">   Cost of Monthly Recurring Cloud</t>
  </si>
  <si>
    <t xml:space="preserve">   Cost of Monthly Recurring Resale</t>
  </si>
  <si>
    <t xml:space="preserve">   Project Service Costs</t>
  </si>
  <si>
    <t xml:space="preserve">   Subcontractor Service Costs</t>
  </si>
  <si>
    <t xml:space="preserve">   Product Sales Cost</t>
  </si>
  <si>
    <t xml:space="preserve">   IT Project Labor</t>
  </si>
  <si>
    <t xml:space="preserve">   Direct Labor Costs</t>
  </si>
  <si>
    <t xml:space="preserve">Total Cost of Revenue</t>
  </si>
  <si>
    <t xml:space="preserve">Gross Profit</t>
  </si>
  <si>
    <t xml:space="preserve">   Gross Margin %</t>
  </si>
  <si>
    <t xml:space="preserve">Sales Labor Costs</t>
  </si>
  <si>
    <t xml:space="preserve">Operating Expenses</t>
  </si>
  <si>
    <t xml:space="preserve">   Payroll &amp; Related (Admin)</t>
  </si>
  <si>
    <t xml:space="preserve">   Facilities</t>
  </si>
  <si>
    <t xml:space="preserve">   Repairs &amp; Maintenance</t>
  </si>
  <si>
    <t xml:space="preserve">   Utilities</t>
  </si>
  <si>
    <t xml:space="preserve">   Software &amp; Maintenance</t>
  </si>
  <si>
    <t xml:space="preserve">   Professional Services</t>
  </si>
  <si>
    <t xml:space="preserve">   Bad Debt Expenses</t>
  </si>
  <si>
    <t xml:space="preserve">   Automobile Expenses</t>
  </si>
  <si>
    <t xml:space="preserve">   Advertising &amp; Promotion</t>
  </si>
  <si>
    <t xml:space="preserve">   Office Supplies</t>
  </si>
  <si>
    <t xml:space="preserve">   Education</t>
  </si>
  <si>
    <t xml:space="preserve">   Finance Charges</t>
  </si>
  <si>
    <t xml:space="preserve">   Travel Expenses</t>
  </si>
  <si>
    <t xml:space="preserve">   Meals &amp; Entertainment</t>
  </si>
  <si>
    <t xml:space="preserve">   Insurance</t>
  </si>
  <si>
    <t xml:space="preserve">Total Operating Expenses</t>
  </si>
  <si>
    <t xml:space="preserve">Operating Net Income (EBITDA)</t>
  </si>
  <si>
    <t xml:space="preserve">   EBITDA Margin %</t>
  </si>
  <si>
    <t xml:space="preserve">EBITDA Adjustments / Addbacks</t>
  </si>
  <si>
    <t xml:space="preserve">Addback Item</t>
  </si>
  <si>
    <t xml:space="preserve">Total</t>
  </si>
  <si>
    <t xml:space="preserve">Facilites Modesto (HQ)</t>
  </si>
  <si>
    <t xml:space="preserve">Facilities Ohio</t>
  </si>
  <si>
    <t xml:space="preserve">   COO Consulting Premium (50%)</t>
  </si>
  <si>
    <t xml:space="preserve">Website Development</t>
  </si>
  <si>
    <t xml:space="preserve">Marketing GTM Consulting</t>
  </si>
  <si>
    <t xml:space="preserve">   Family Member Compensation</t>
  </si>
  <si>
    <t xml:space="preserve">   Severance &amp; PTO Payouts</t>
  </si>
  <si>
    <t xml:space="preserve">   Year-End Legal Reserves (PAGA)</t>
  </si>
  <si>
    <t xml:space="preserve">   R&amp;D Tax Credit Study 2022-2024</t>
  </si>
  <si>
    <t xml:space="preserve">   Citrin Cooperman Start Assessment</t>
  </si>
  <si>
    <t xml:space="preserve">   Phoenix Strategy Group</t>
  </si>
  <si>
    <t xml:space="preserve">   Roger Gentry Consulting</t>
  </si>
  <si>
    <t xml:space="preserve">   Podcast Studio Build-Out</t>
  </si>
  <si>
    <t xml:space="preserve">   AP Logic (SharePoint Setup)</t>
  </si>
  <si>
    <t xml:space="preserve">   Ohio Office Flood Repairs</t>
  </si>
  <si>
    <t xml:space="preserve">   TPC Contract Negotiation (Legal)</t>
  </si>
  <si>
    <t xml:space="preserve">   11:11 Systems Contract Buyout (PIA)</t>
  </si>
  <si>
    <t xml:space="preserve">   Additional Legal Fees (Litigation)</t>
  </si>
  <si>
    <t xml:space="preserve">   Balance Sheet Cleanup Adjustment for Insurance</t>
  </si>
  <si>
    <t xml:space="preserve">Total Addbacks</t>
  </si>
  <si>
    <t xml:space="preserve">Adjusted EBITDA</t>
  </si>
  <si>
    <t xml:space="preserve">Adjusted EBITDA Margin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</si>
</sst>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sz val="11"/>
      <color rgb="FF2E75B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EEF4"/>
        <bgColor rgb="FFE8F0F8"/>
      </patternFill>
    </fill>
    <fill>
      <patternFill patternType="solid">
        <fgColor rgb="FFD4E1ED"/>
        <bgColor rgb="FFD6E4F0"/>
      </patternFill>
    </fill>
    <fill>
      <patternFill patternType="solid">
        <fgColor rgb="FFE8F0F8"/>
        <bgColor rgb="FFE8EEF4"/>
      </patternFill>
    </fill>
    <fill>
      <patternFill patternType="solid">
        <fgColor rgb="FFFFFFFF"/>
        <bgColor rgb="FFE8F0F8"/>
      </patternFill>
    </fill>
    <fill>
      <patternFill patternType="solid">
        <fgColor rgb="FFD6E4F0"/>
        <bgColor rgb="FFD4E1ED"/>
      </patternFill>
    </fill>
    <fill>
      <patternFill patternType="solid">
        <fgColor rgb="FFB4C6E7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3A5C"/>
      </bottom>
      <diagonal/>
    </border>
    <border diagonalUp="false" diagonalDown="false">
      <left/>
      <right/>
      <top style="medium">
        <color rgb="FF1B3A5C"/>
      </top>
      <bottom style="double">
        <color rgb="FF1B3A5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7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D4E1ED"/>
      <rgbColor rgb="FFE8F0F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4" min="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customFormat="false" ht="15" hidden="false" customHeight="true" outlineLevel="0" collapsed="false">
      <c r="A5" s="5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</row>
    <row r="6" customFormat="false" ht="15" hidden="false" customHeight="true" outlineLevel="0" collapsed="false">
      <c r="A6" s="7" t="s">
        <v>16</v>
      </c>
    </row>
    <row r="7" customFormat="false" ht="15" hidden="false" customHeight="true" outlineLevel="0" collapsed="false">
      <c r="A7" s="8" t="s">
        <v>17</v>
      </c>
      <c r="B7" s="9" t="n">
        <v>492103</v>
      </c>
      <c r="C7" s="9" t="n">
        <v>500073</v>
      </c>
      <c r="D7" s="9" t="n">
        <v>508811</v>
      </c>
      <c r="E7" s="9" t="n">
        <v>546505</v>
      </c>
      <c r="F7" s="9" t="n">
        <v>542770</v>
      </c>
      <c r="G7" s="9" t="n">
        <v>553888</v>
      </c>
      <c r="H7" s="9" t="n">
        <v>540665</v>
      </c>
      <c r="I7" s="9" t="n">
        <v>556309</v>
      </c>
      <c r="J7" s="9" t="n">
        <v>515994</v>
      </c>
      <c r="K7" s="9" t="n">
        <v>548490</v>
      </c>
      <c r="L7" s="9" t="n">
        <v>551140</v>
      </c>
      <c r="M7" s="9" t="n">
        <v>558277</v>
      </c>
      <c r="N7" s="9" t="n">
        <f aca="false">SUM(B7:M7)</f>
        <v>6415025</v>
      </c>
    </row>
    <row r="8" customFormat="false" ht="15" hidden="false" customHeight="true" outlineLevel="0" collapsed="false">
      <c r="A8" s="8" t="s">
        <v>18</v>
      </c>
      <c r="B8" s="9" t="n">
        <v>9897</v>
      </c>
      <c r="C8" s="9" t="n">
        <v>7797</v>
      </c>
      <c r="D8" s="9" t="n">
        <v>7797</v>
      </c>
      <c r="E8" s="9" t="n">
        <v>7797</v>
      </c>
      <c r="F8" s="9" t="n">
        <v>7797</v>
      </c>
      <c r="G8" s="9" t="n">
        <v>7797</v>
      </c>
      <c r="H8" s="9" t="n">
        <v>5162</v>
      </c>
      <c r="I8" s="9" t="n">
        <v>5162</v>
      </c>
      <c r="J8" s="9" t="n">
        <v>5056</v>
      </c>
      <c r="K8" s="9" t="n">
        <v>4729</v>
      </c>
      <c r="L8" s="9" t="n">
        <v>5055</v>
      </c>
      <c r="M8" s="9" t="n">
        <v>5055</v>
      </c>
      <c r="N8" s="9" t="n">
        <f aca="false">SUM(B8:M8)</f>
        <v>79101</v>
      </c>
    </row>
    <row r="9" customFormat="false" ht="15" hidden="false" customHeight="true" outlineLevel="0" collapsed="false">
      <c r="A9" s="8" t="s">
        <v>19</v>
      </c>
      <c r="B9" s="9" t="n">
        <v>13253</v>
      </c>
      <c r="C9" s="9" t="n">
        <v>11462</v>
      </c>
      <c r="D9" s="9" t="n">
        <v>11050</v>
      </c>
      <c r="E9" s="9" t="n">
        <v>10210</v>
      </c>
      <c r="F9" s="9" t="n">
        <v>10629</v>
      </c>
      <c r="G9" s="9" t="n">
        <v>10629</v>
      </c>
      <c r="H9" s="9" t="n">
        <v>9888</v>
      </c>
      <c r="I9" s="9" t="n">
        <v>8807</v>
      </c>
      <c r="J9" s="9" t="n">
        <v>8532</v>
      </c>
      <c r="K9" s="9" t="n">
        <v>8407</v>
      </c>
      <c r="L9" s="9" t="n">
        <v>8407</v>
      </c>
      <c r="M9" s="9" t="n">
        <v>8406</v>
      </c>
      <c r="N9" s="9" t="n">
        <f aca="false">SUM(B9:M9)</f>
        <v>119680</v>
      </c>
    </row>
    <row r="10" customFormat="false" ht="15" hidden="false" customHeight="true" outlineLevel="0" collapsed="false">
      <c r="A10" s="8" t="s">
        <v>20</v>
      </c>
      <c r="B10" s="9" t="n">
        <v>12039</v>
      </c>
      <c r="C10" s="9" t="n">
        <v>12558</v>
      </c>
      <c r="D10" s="9" t="n">
        <v>12918</v>
      </c>
      <c r="E10" s="9" t="n">
        <v>12807</v>
      </c>
      <c r="F10" s="9" t="n">
        <v>13234</v>
      </c>
      <c r="G10" s="9" t="n">
        <v>13052</v>
      </c>
      <c r="H10" s="9" t="n">
        <v>12099</v>
      </c>
      <c r="I10" s="9" t="n">
        <v>11417</v>
      </c>
      <c r="J10" s="9" t="n">
        <v>11722</v>
      </c>
      <c r="K10" s="9" t="n">
        <v>11556</v>
      </c>
      <c r="L10" s="9" t="n">
        <v>11493</v>
      </c>
      <c r="M10" s="9" t="n">
        <v>10531</v>
      </c>
      <c r="N10" s="9" t="n">
        <f aca="false">SUM(B10:M10)</f>
        <v>145426</v>
      </c>
    </row>
    <row r="11" customFormat="false" ht="15" hidden="false" customHeight="true" outlineLevel="0" collapsed="false">
      <c r="A11" s="8" t="s">
        <v>21</v>
      </c>
      <c r="B11" s="9" t="n">
        <v>10072</v>
      </c>
      <c r="C11" s="9" t="n">
        <v>10072</v>
      </c>
      <c r="D11" s="9" t="n">
        <v>10072</v>
      </c>
      <c r="E11" s="9" t="n">
        <v>10072</v>
      </c>
      <c r="F11" s="9" t="n">
        <v>10072</v>
      </c>
      <c r="G11" s="9" t="n">
        <v>10072</v>
      </c>
      <c r="H11" s="9" t="n">
        <v>6111</v>
      </c>
      <c r="I11" s="9" t="n">
        <v>6140</v>
      </c>
      <c r="J11" s="9" t="n">
        <v>5913</v>
      </c>
      <c r="K11" s="9" t="n">
        <v>5774</v>
      </c>
      <c r="L11" s="9" t="n">
        <v>5774</v>
      </c>
      <c r="M11" s="9" t="n">
        <v>4680</v>
      </c>
      <c r="N11" s="9" t="n">
        <f aca="false">SUM(B11:M11)</f>
        <v>94824</v>
      </c>
    </row>
    <row r="12" customFormat="false" ht="15" hidden="false" customHeight="true" outlineLevel="0" collapsed="false">
      <c r="A12" s="10" t="s">
        <v>22</v>
      </c>
      <c r="B12" s="11" t="n">
        <f aca="false">B7+B8+B9+B10+B11</f>
        <v>537364</v>
      </c>
      <c r="C12" s="11" t="n">
        <f aca="false">C7+C8+C9+C10+C11</f>
        <v>541962</v>
      </c>
      <c r="D12" s="11" t="n">
        <f aca="false">D7+D8+D9+D10+D11</f>
        <v>550648</v>
      </c>
      <c r="E12" s="11" t="n">
        <f aca="false">E7+E8+E9+E10+E11</f>
        <v>587391</v>
      </c>
      <c r="F12" s="11" t="n">
        <f aca="false">F7+F8+F9+F10+F11</f>
        <v>584502</v>
      </c>
      <c r="G12" s="11" t="n">
        <f aca="false">G7+G8+G9+G10+G11</f>
        <v>595438</v>
      </c>
      <c r="H12" s="11" t="n">
        <f aca="false">H7+H8+H9+H10+H11</f>
        <v>573925</v>
      </c>
      <c r="I12" s="11" t="n">
        <f aca="false">I7+I8+I9+I10+I11</f>
        <v>587835</v>
      </c>
      <c r="J12" s="11" t="n">
        <f aca="false">J7+J8+J9+J10+J11</f>
        <v>547217</v>
      </c>
      <c r="K12" s="11" t="n">
        <f aca="false">K7+K8+K9+K10+K11</f>
        <v>578956</v>
      </c>
      <c r="L12" s="11" t="n">
        <f aca="false">L7+L8+L9+L10+L11</f>
        <v>581869</v>
      </c>
      <c r="M12" s="11" t="n">
        <f aca="false">M7+M8+M9+M10+M11</f>
        <v>586949</v>
      </c>
      <c r="N12" s="11" t="n">
        <f aca="false">SUM(B12:M12)</f>
        <v>6854056</v>
      </c>
    </row>
    <row r="14" customFormat="false" ht="15" hidden="false" customHeight="true" outlineLevel="0" collapsed="false">
      <c r="A14" s="8" t="s">
        <v>23</v>
      </c>
      <c r="B14" s="9" t="n">
        <v>1144</v>
      </c>
      <c r="C14" s="9" t="n">
        <v>1144</v>
      </c>
      <c r="D14" s="9" t="n">
        <v>1144</v>
      </c>
      <c r="E14" s="9" t="n">
        <v>1144</v>
      </c>
      <c r="F14" s="9" t="n">
        <v>1144</v>
      </c>
      <c r="G14" s="9" t="n">
        <v>1144</v>
      </c>
      <c r="H14" s="9" t="n">
        <v>1144</v>
      </c>
      <c r="I14" s="9" t="n">
        <v>1144</v>
      </c>
      <c r="J14" s="9" t="n">
        <v>1144</v>
      </c>
      <c r="K14" s="9" t="n">
        <v>1144</v>
      </c>
      <c r="L14" s="9" t="n">
        <v>1144</v>
      </c>
      <c r="M14" s="9" t="n">
        <v>1144</v>
      </c>
      <c r="N14" s="9" t="n">
        <f aca="false">SUM(B14:M14)</f>
        <v>13728</v>
      </c>
    </row>
    <row r="15" customFormat="false" ht="15" hidden="false" customHeight="true" outlineLevel="0" collapsed="false">
      <c r="A15" s="8" t="s">
        <v>24</v>
      </c>
      <c r="B15" s="9" t="n">
        <v>18993</v>
      </c>
      <c r="C15" s="9" t="n">
        <v>21582</v>
      </c>
      <c r="D15" s="9" t="n">
        <v>21582</v>
      </c>
      <c r="E15" s="9" t="n">
        <v>22060</v>
      </c>
      <c r="F15" s="9" t="n">
        <v>23324</v>
      </c>
      <c r="G15" s="9" t="n">
        <v>23342</v>
      </c>
      <c r="H15" s="9" t="n">
        <v>25117</v>
      </c>
      <c r="I15" s="9" t="n">
        <v>25280</v>
      </c>
      <c r="J15" s="9" t="n">
        <v>20457</v>
      </c>
      <c r="K15" s="9" t="n">
        <v>25853</v>
      </c>
      <c r="L15" s="9" t="n">
        <v>25871</v>
      </c>
      <c r="M15" s="9" t="n">
        <v>26057</v>
      </c>
      <c r="N15" s="9" t="n">
        <f aca="false">SUM(B15:M15)</f>
        <v>279518</v>
      </c>
    </row>
    <row r="16" customFormat="false" ht="15" hidden="false" customHeight="true" outlineLevel="0" collapsed="false">
      <c r="A16" s="10" t="s">
        <v>25</v>
      </c>
      <c r="B16" s="11" t="n">
        <f aca="false">B14+B15</f>
        <v>20137</v>
      </c>
      <c r="C16" s="11" t="n">
        <f aca="false">C14+C15</f>
        <v>22726</v>
      </c>
      <c r="D16" s="11" t="n">
        <f aca="false">D14+D15</f>
        <v>22726</v>
      </c>
      <c r="E16" s="11" t="n">
        <f aca="false">E14+E15</f>
        <v>23204</v>
      </c>
      <c r="F16" s="11" t="n">
        <f aca="false">F14+F15</f>
        <v>24468</v>
      </c>
      <c r="G16" s="11" t="n">
        <f aca="false">G14+G15</f>
        <v>24486</v>
      </c>
      <c r="H16" s="11" t="n">
        <f aca="false">H14+H15</f>
        <v>26261</v>
      </c>
      <c r="I16" s="11" t="n">
        <f aca="false">I14+I15</f>
        <v>26424</v>
      </c>
      <c r="J16" s="11" t="n">
        <f aca="false">J14+J15</f>
        <v>21601</v>
      </c>
      <c r="K16" s="11" t="n">
        <f aca="false">K14+K15</f>
        <v>26997</v>
      </c>
      <c r="L16" s="11" t="n">
        <f aca="false">L14+L15</f>
        <v>27015</v>
      </c>
      <c r="M16" s="11" t="n">
        <f aca="false">M14+M15</f>
        <v>27201</v>
      </c>
      <c r="N16" s="11" t="n">
        <f aca="false">SUM(B16:M16)</f>
        <v>293246</v>
      </c>
    </row>
    <row r="18" customFormat="false" ht="15" hidden="false" customHeight="true" outlineLevel="0" collapsed="false">
      <c r="A18" s="8" t="s">
        <v>26</v>
      </c>
      <c r="B18" s="9" t="n">
        <v>25121</v>
      </c>
      <c r="C18" s="9" t="n">
        <v>24795</v>
      </c>
      <c r="D18" s="9" t="n">
        <v>24654</v>
      </c>
      <c r="E18" s="9" t="n">
        <v>24655</v>
      </c>
      <c r="F18" s="9" t="n">
        <v>26155</v>
      </c>
      <c r="G18" s="9" t="n">
        <v>26479</v>
      </c>
      <c r="H18" s="9" t="n">
        <v>26229</v>
      </c>
      <c r="I18" s="9" t="n">
        <v>22102</v>
      </c>
      <c r="J18" s="9" t="n">
        <v>20854</v>
      </c>
      <c r="K18" s="9" t="n">
        <v>26390</v>
      </c>
      <c r="L18" s="9" t="n">
        <v>26941</v>
      </c>
      <c r="M18" s="9" t="n">
        <v>27131</v>
      </c>
      <c r="N18" s="9" t="n">
        <f aca="false">SUM(B18:M18)</f>
        <v>301506</v>
      </c>
    </row>
    <row r="19" customFormat="false" ht="15" hidden="false" customHeight="true" outlineLevel="0" collapsed="false">
      <c r="A19" s="8" t="s">
        <v>27</v>
      </c>
      <c r="B19" s="9" t="n">
        <v>562</v>
      </c>
      <c r="C19" s="9" t="n">
        <v>562</v>
      </c>
      <c r="D19" s="9" t="n">
        <v>563</v>
      </c>
      <c r="E19" s="9" t="n">
        <v>562</v>
      </c>
      <c r="F19" s="9" t="n">
        <v>562</v>
      </c>
      <c r="G19" s="9" t="n">
        <v>563</v>
      </c>
      <c r="H19" s="9" t="n">
        <v>562</v>
      </c>
      <c r="I19" s="9" t="n">
        <v>563</v>
      </c>
      <c r="J19" s="9" t="n">
        <v>563</v>
      </c>
      <c r="K19" s="9" t="n">
        <v>562</v>
      </c>
      <c r="L19" s="9" t="n">
        <v>563</v>
      </c>
      <c r="M19" s="9" t="n">
        <v>562</v>
      </c>
      <c r="N19" s="9" t="n">
        <f aca="false">SUM(B19:M19)</f>
        <v>6749</v>
      </c>
    </row>
    <row r="20" customFormat="false" ht="15" hidden="false" customHeight="true" outlineLevel="0" collapsed="false">
      <c r="A20" s="8" t="s">
        <v>28</v>
      </c>
      <c r="B20" s="9" t="n">
        <v>31136</v>
      </c>
      <c r="C20" s="9" t="n">
        <v>38181</v>
      </c>
      <c r="D20" s="9" t="n">
        <v>38905</v>
      </c>
      <c r="E20" s="9" t="n">
        <v>39052</v>
      </c>
      <c r="F20" s="9" t="n">
        <v>49594</v>
      </c>
      <c r="G20" s="9" t="n">
        <v>49375</v>
      </c>
      <c r="H20" s="9" t="n">
        <v>50221</v>
      </c>
      <c r="I20" s="9" t="n">
        <v>50092</v>
      </c>
      <c r="J20" s="9" t="n">
        <v>45616</v>
      </c>
      <c r="K20" s="9" t="n">
        <v>51519</v>
      </c>
      <c r="L20" s="9" t="n">
        <v>46534</v>
      </c>
      <c r="M20" s="9" t="n">
        <v>-75695</v>
      </c>
      <c r="N20" s="9" t="n">
        <f aca="false">SUM(B20:M20)</f>
        <v>414530</v>
      </c>
    </row>
    <row r="21" customFormat="false" ht="15" hidden="false" customHeight="true" outlineLevel="0" collapsed="false">
      <c r="A21" s="8" t="s">
        <v>29</v>
      </c>
      <c r="B21" s="9" t="n">
        <v>974</v>
      </c>
      <c r="C21" s="9" t="n">
        <v>974</v>
      </c>
      <c r="D21" s="9" t="n">
        <v>770</v>
      </c>
      <c r="E21" s="9" t="n">
        <v>756</v>
      </c>
      <c r="F21" s="9" t="n">
        <v>949</v>
      </c>
      <c r="G21" s="9" t="n">
        <v>952</v>
      </c>
      <c r="H21" s="9" t="n">
        <v>949</v>
      </c>
      <c r="I21" s="9" t="n">
        <v>952</v>
      </c>
      <c r="J21" s="9" t="n">
        <v>954</v>
      </c>
      <c r="K21" s="9" t="n">
        <v>899</v>
      </c>
      <c r="L21" s="9" t="n">
        <v>902</v>
      </c>
      <c r="M21" s="9" t="n">
        <v>896</v>
      </c>
      <c r="N21" s="9" t="n">
        <f aca="false">SUM(B21:M21)</f>
        <v>10927</v>
      </c>
    </row>
    <row r="22" customFormat="false" ht="15" hidden="false" customHeight="true" outlineLevel="0" collapsed="false">
      <c r="A22" s="8" t="s">
        <v>30</v>
      </c>
      <c r="B22" s="9" t="n">
        <v>81227</v>
      </c>
      <c r="C22" s="9" t="n">
        <v>80232</v>
      </c>
      <c r="D22" s="9" t="n">
        <v>88758</v>
      </c>
      <c r="E22" s="9" t="n">
        <v>93187</v>
      </c>
      <c r="F22" s="9" t="n">
        <v>95660</v>
      </c>
      <c r="G22" s="9" t="n">
        <v>84100</v>
      </c>
      <c r="H22" s="9" t="n">
        <v>87546</v>
      </c>
      <c r="I22" s="9" t="n">
        <v>89934</v>
      </c>
      <c r="J22" s="9" t="n">
        <v>82195</v>
      </c>
      <c r="K22" s="9" t="n">
        <v>122540</v>
      </c>
      <c r="L22" s="9" t="n">
        <v>124569</v>
      </c>
      <c r="M22" s="9" t="n">
        <v>126918</v>
      </c>
      <c r="N22" s="9" t="n">
        <f aca="false">SUM(B22:M22)</f>
        <v>1156866</v>
      </c>
    </row>
    <row r="23" customFormat="false" ht="15" hidden="false" customHeight="true" outlineLevel="0" collapsed="false">
      <c r="A23" s="8" t="s">
        <v>31</v>
      </c>
      <c r="B23" s="9" t="n">
        <v>94782</v>
      </c>
      <c r="C23" s="9" t="n">
        <v>96967</v>
      </c>
      <c r="D23" s="9" t="n">
        <v>104647</v>
      </c>
      <c r="E23" s="9" t="n">
        <v>106277</v>
      </c>
      <c r="F23" s="9" t="n">
        <v>129838</v>
      </c>
      <c r="G23" s="9" t="n">
        <v>133413</v>
      </c>
      <c r="H23" s="9" t="n">
        <v>136209</v>
      </c>
      <c r="I23" s="9" t="n">
        <v>138622</v>
      </c>
      <c r="J23" s="9" t="n">
        <v>143365</v>
      </c>
      <c r="K23" s="9" t="n">
        <v>148714</v>
      </c>
      <c r="L23" s="9" t="n">
        <v>146553</v>
      </c>
      <c r="M23" s="9" t="n">
        <v>147131</v>
      </c>
      <c r="N23" s="9" t="n">
        <f aca="false">SUM(B23:M23)</f>
        <v>1526518</v>
      </c>
    </row>
    <row r="24" customFormat="false" ht="15" hidden="false" customHeight="true" outlineLevel="0" collapsed="false">
      <c r="A24" s="8" t="s">
        <v>32</v>
      </c>
      <c r="B24" s="9" t="n">
        <v>4529</v>
      </c>
      <c r="C24" s="9" t="n">
        <v>4589</v>
      </c>
      <c r="D24" s="9" t="n">
        <v>4589</v>
      </c>
      <c r="E24" s="9" t="n">
        <v>4589</v>
      </c>
      <c r="F24" s="9" t="n">
        <v>3963</v>
      </c>
      <c r="G24" s="9" t="n">
        <v>3963</v>
      </c>
      <c r="H24" s="9" t="n">
        <v>3652</v>
      </c>
      <c r="I24" s="9" t="n">
        <v>3647</v>
      </c>
      <c r="J24" s="9" t="n">
        <v>3616</v>
      </c>
      <c r="K24" s="9" t="n">
        <v>3616</v>
      </c>
      <c r="L24" s="9" t="n">
        <v>3616</v>
      </c>
      <c r="M24" s="9" t="n">
        <v>3617</v>
      </c>
      <c r="N24" s="9" t="n">
        <f aca="false">SUM(B24:M24)</f>
        <v>47986</v>
      </c>
    </row>
    <row r="25" customFormat="false" ht="15" hidden="false" customHeight="true" outlineLevel="0" collapsed="false">
      <c r="A25" s="8" t="s">
        <v>33</v>
      </c>
      <c r="B25" s="9" t="n">
        <v>641</v>
      </c>
      <c r="C25" s="9" t="n">
        <v>1261</v>
      </c>
      <c r="D25" s="9" t="n">
        <v>2434</v>
      </c>
      <c r="E25" s="9" t="n">
        <v>2433</v>
      </c>
      <c r="F25" s="9" t="n">
        <v>2434</v>
      </c>
      <c r="G25" s="9" t="n">
        <v>2434</v>
      </c>
      <c r="H25" s="9" t="n">
        <v>2433</v>
      </c>
      <c r="I25" s="9" t="n">
        <v>2434</v>
      </c>
      <c r="J25" s="9" t="n">
        <v>2546</v>
      </c>
      <c r="K25" s="9" t="n">
        <v>2546</v>
      </c>
      <c r="L25" s="9" t="n">
        <v>2546</v>
      </c>
      <c r="M25" s="9" t="n">
        <v>2545</v>
      </c>
      <c r="N25" s="9" t="n">
        <f aca="false">SUM(B25:M25)</f>
        <v>26687</v>
      </c>
    </row>
    <row r="26" customFormat="false" ht="15" hidden="false" customHeight="true" outlineLevel="0" collapsed="false">
      <c r="A26" s="10" t="s">
        <v>34</v>
      </c>
      <c r="B26" s="11" t="n">
        <f aca="false">B18+B19+B20+B21+B22+B23+B24+B25</f>
        <v>238972</v>
      </c>
      <c r="C26" s="11" t="n">
        <f aca="false">C18+C19+C20+C21+C22+C23+C24+C25</f>
        <v>247561</v>
      </c>
      <c r="D26" s="11" t="n">
        <f aca="false">D18+D19+D20+D21+D22+D23+D24+D25</f>
        <v>265320</v>
      </c>
      <c r="E26" s="11" t="n">
        <f aca="false">E18+E19+E20+E21+E22+E23+E24+E25</f>
        <v>271511</v>
      </c>
      <c r="F26" s="11" t="n">
        <f aca="false">F18+F19+F20+F21+F22+F23+F24+F25</f>
        <v>309155</v>
      </c>
      <c r="G26" s="11" t="n">
        <f aca="false">G18+G19+G20+G21+G22+G23+G24+G25</f>
        <v>301279</v>
      </c>
      <c r="H26" s="11" t="n">
        <f aca="false">H18+H19+H20+H21+H22+H23+H24+H25</f>
        <v>307801</v>
      </c>
      <c r="I26" s="11" t="n">
        <f aca="false">I18+I19+I20+I21+I22+I23+I24+I25</f>
        <v>308346</v>
      </c>
      <c r="J26" s="11" t="n">
        <f aca="false">J18+J19+J20+J21+J22+J23+J24+J25</f>
        <v>299709</v>
      </c>
      <c r="K26" s="11" t="n">
        <f aca="false">K18+K19+K20+K21+K22+K23+K24+K25</f>
        <v>356786</v>
      </c>
      <c r="L26" s="11" t="n">
        <f aca="false">L18+L19+L20+L21+L22+L23+L24+L25</f>
        <v>352224</v>
      </c>
      <c r="M26" s="11" t="n">
        <f aca="false">M18+M19+M20+M21+M22+M23+M24+M25</f>
        <v>233105</v>
      </c>
      <c r="N26" s="11" t="n">
        <f aca="false">SUM(B26:M26)</f>
        <v>3491769</v>
      </c>
    </row>
    <row r="28" customFormat="false" ht="15" hidden="false" customHeight="true" outlineLevel="0" collapsed="false">
      <c r="A28" s="8" t="s">
        <v>35</v>
      </c>
      <c r="B28" s="9" t="n">
        <v>51717</v>
      </c>
      <c r="C28" s="9" t="n">
        <v>92496</v>
      </c>
      <c r="D28" s="9" t="n">
        <v>105235</v>
      </c>
      <c r="E28" s="9" t="n">
        <v>99226</v>
      </c>
      <c r="F28" s="9" t="n">
        <v>47201</v>
      </c>
      <c r="G28" s="9" t="n">
        <v>120765</v>
      </c>
      <c r="H28" s="9" t="n">
        <v>53462</v>
      </c>
      <c r="I28" s="9" t="n">
        <v>104693</v>
      </c>
      <c r="J28" s="9" t="n">
        <v>46071</v>
      </c>
      <c r="K28" s="9" t="n">
        <v>67554</v>
      </c>
      <c r="L28" s="9" t="n">
        <v>47381</v>
      </c>
      <c r="M28" s="9" t="n">
        <v>104543</v>
      </c>
      <c r="N28" s="9" t="n">
        <f aca="false">SUM(B28:M28)</f>
        <v>940344</v>
      </c>
    </row>
    <row r="30" customFormat="false" ht="15" hidden="false" customHeight="true" outlineLevel="0" collapsed="false">
      <c r="A30" s="8" t="s">
        <v>36</v>
      </c>
      <c r="B30" s="9" t="n">
        <v>86683</v>
      </c>
      <c r="C30" s="9" t="n">
        <v>58116</v>
      </c>
      <c r="D30" s="9" t="n">
        <v>35020</v>
      </c>
      <c r="E30" s="9" t="n">
        <v>14387</v>
      </c>
      <c r="F30" s="9" t="n">
        <v>16341</v>
      </c>
      <c r="G30" s="9" t="n">
        <v>8539</v>
      </c>
      <c r="H30" s="9" t="n">
        <v>12686</v>
      </c>
      <c r="I30" s="9" t="n">
        <v>36139</v>
      </c>
      <c r="J30" s="9" t="n">
        <v>14480</v>
      </c>
      <c r="K30" s="9" t="n">
        <v>19989</v>
      </c>
      <c r="L30" s="9" t="n">
        <v>13197</v>
      </c>
      <c r="M30" s="9" t="n">
        <v>4614</v>
      </c>
      <c r="N30" s="9" t="n">
        <f aca="false">SUM(B30:M30)</f>
        <v>320191</v>
      </c>
    </row>
    <row r="32" customFormat="false" ht="15" hidden="false" customHeight="true" outlineLevel="0" collapsed="false">
      <c r="A32" s="8" t="s">
        <v>37</v>
      </c>
      <c r="B32" s="9" t="n">
        <v>203096</v>
      </c>
      <c r="C32" s="9" t="n">
        <v>544906</v>
      </c>
      <c r="D32" s="9" t="n">
        <v>428136</v>
      </c>
      <c r="E32" s="9" t="n">
        <v>571435</v>
      </c>
      <c r="F32" s="9" t="n">
        <v>493958</v>
      </c>
      <c r="G32" s="9" t="n">
        <v>589564</v>
      </c>
      <c r="H32" s="9" t="n">
        <v>796750</v>
      </c>
      <c r="I32" s="9" t="n">
        <v>649034</v>
      </c>
      <c r="J32" s="9" t="n">
        <v>356300</v>
      </c>
      <c r="K32" s="9" t="n">
        <v>566965</v>
      </c>
      <c r="L32" s="9" t="n">
        <v>277939</v>
      </c>
      <c r="M32" s="9" t="n">
        <v>151701</v>
      </c>
      <c r="N32" s="9" t="n">
        <f aca="false">SUM(B32:M32)</f>
        <v>5629784</v>
      </c>
    </row>
    <row r="33" customFormat="false" ht="15" hidden="false" customHeight="true" outlineLevel="0" collapsed="false">
      <c r="A33" s="8" t="s">
        <v>38</v>
      </c>
      <c r="B33" s="9" t="n">
        <v>8709</v>
      </c>
      <c r="C33" s="9" t="n">
        <v>9126</v>
      </c>
      <c r="D33" s="9" t="n">
        <v>12247</v>
      </c>
      <c r="E33" s="9" t="n">
        <v>13469</v>
      </c>
      <c r="F33" s="9" t="n">
        <v>7030</v>
      </c>
      <c r="G33" s="9" t="n">
        <v>8668</v>
      </c>
      <c r="H33" s="9" t="n">
        <v>6705</v>
      </c>
      <c r="I33" s="9" t="n">
        <v>18636</v>
      </c>
      <c r="J33" s="9" t="n">
        <v>7770</v>
      </c>
      <c r="K33" s="9" t="n">
        <v>11848</v>
      </c>
      <c r="L33" s="9" t="n">
        <v>8146</v>
      </c>
      <c r="M33" s="9" t="n">
        <v>6024</v>
      </c>
      <c r="N33" s="9" t="n">
        <f aca="false">SUM(B33:M33)</f>
        <v>118378</v>
      </c>
    </row>
    <row r="34" customFormat="false" ht="15" hidden="false" customHeight="true" outlineLevel="0" collapsed="false">
      <c r="A34" s="10" t="s">
        <v>39</v>
      </c>
      <c r="B34" s="11" t="n">
        <f aca="false">B32+B33</f>
        <v>211805</v>
      </c>
      <c r="C34" s="11" t="n">
        <f aca="false">C32+C33</f>
        <v>554032</v>
      </c>
      <c r="D34" s="11" t="n">
        <f aca="false">D32+D33</f>
        <v>440383</v>
      </c>
      <c r="E34" s="11" t="n">
        <f aca="false">E32+E33</f>
        <v>584904</v>
      </c>
      <c r="F34" s="11" t="n">
        <f aca="false">F32+F33</f>
        <v>500988</v>
      </c>
      <c r="G34" s="11" t="n">
        <f aca="false">G32+G33</f>
        <v>598232</v>
      </c>
      <c r="H34" s="11" t="n">
        <f aca="false">H32+H33</f>
        <v>803455</v>
      </c>
      <c r="I34" s="11" t="n">
        <f aca="false">I32+I33</f>
        <v>667670</v>
      </c>
      <c r="J34" s="11" t="n">
        <f aca="false">J32+J33</f>
        <v>364070</v>
      </c>
      <c r="K34" s="11" t="n">
        <f aca="false">K32+K33</f>
        <v>578813</v>
      </c>
      <c r="L34" s="11" t="n">
        <f aca="false">L32+L33</f>
        <v>286085</v>
      </c>
      <c r="M34" s="11" t="n">
        <f aca="false">M32+M33</f>
        <v>157725</v>
      </c>
      <c r="N34" s="11" t="n">
        <f aca="false">SUM(B34:M34)</f>
        <v>5748162</v>
      </c>
    </row>
    <row r="36" customFormat="false" ht="15" hidden="false" customHeight="true" outlineLevel="0" collapsed="false">
      <c r="A36" s="8" t="s">
        <v>40</v>
      </c>
      <c r="B36" s="9" t="n">
        <v>5590</v>
      </c>
      <c r="C36" s="9" t="n">
        <v>7690</v>
      </c>
      <c r="D36" s="9" t="n">
        <v>11139</v>
      </c>
      <c r="E36" s="9" t="n">
        <v>11171</v>
      </c>
      <c r="F36" s="9" t="n">
        <v>7133</v>
      </c>
      <c r="G36" s="9" t="n">
        <v>3891</v>
      </c>
      <c r="H36" s="9" t="n">
        <v>7049</v>
      </c>
      <c r="I36" s="9" t="n">
        <v>6386</v>
      </c>
      <c r="J36" s="9" t="n">
        <v>6305</v>
      </c>
      <c r="K36" s="9" t="n">
        <v>9108</v>
      </c>
      <c r="L36" s="9" t="n">
        <v>9277</v>
      </c>
      <c r="M36" s="9" t="n">
        <v>4906</v>
      </c>
      <c r="N36" s="9" t="n">
        <f aca="false">SUM(B36:M36)</f>
        <v>89645</v>
      </c>
    </row>
    <row r="38" customFormat="false" ht="15" hidden="false" customHeight="true" outlineLevel="0" collapsed="false">
      <c r="A38" s="12" t="s">
        <v>41</v>
      </c>
      <c r="B38" s="13" t="n">
        <f aca="false">B12+B16+B26+B28+B30+B34+B36</f>
        <v>1152268</v>
      </c>
      <c r="C38" s="13" t="n">
        <f aca="false">C12+C16+C26+C28+C30+C34+C36</f>
        <v>1524583</v>
      </c>
      <c r="D38" s="13" t="n">
        <f aca="false">D12+D16+D26+D28+D30+D34+D36</f>
        <v>1430471</v>
      </c>
      <c r="E38" s="13" t="n">
        <f aca="false">E12+E16+E26+E28+E30+E34+E36</f>
        <v>1591794</v>
      </c>
      <c r="F38" s="13" t="n">
        <f aca="false">F12+F16+F26+F28+F30+F34+F36</f>
        <v>1489788</v>
      </c>
      <c r="G38" s="13" t="n">
        <f aca="false">G12+G16+G26+G28+G30+G34+G36</f>
        <v>1652630</v>
      </c>
      <c r="H38" s="13" t="n">
        <f aca="false">H12+H16+H26+H28+H30+H34+H36</f>
        <v>1784639</v>
      </c>
      <c r="I38" s="13" t="n">
        <f aca="false">I12+I16+I26+I28+I30+I34+I36</f>
        <v>1737493</v>
      </c>
      <c r="J38" s="13" t="n">
        <f aca="false">J12+J16+J26+J28+J30+J34+J36</f>
        <v>1299453</v>
      </c>
      <c r="K38" s="13" t="n">
        <f aca="false">K12+K16+K26+K28+K30+K34+K36</f>
        <v>1638203</v>
      </c>
      <c r="L38" s="13" t="n">
        <f aca="false">L12+L16+L26+L28+L30+L34+L36</f>
        <v>1317048</v>
      </c>
      <c r="M38" s="13" t="n">
        <f aca="false">M12+M16+M26+M28+M30+M34+M36</f>
        <v>1119043</v>
      </c>
      <c r="N38" s="13" t="n">
        <f aca="false">SUM(B38:M38)</f>
        <v>17737413</v>
      </c>
    </row>
    <row r="41" customFormat="false" ht="15" hidden="false" customHeight="true" outlineLevel="0" collapsed="false">
      <c r="A41" s="7" t="s">
        <v>42</v>
      </c>
    </row>
    <row r="42" customFormat="false" ht="15" hidden="false" customHeight="true" outlineLevel="0" collapsed="false">
      <c r="A42" s="8" t="s">
        <v>43</v>
      </c>
      <c r="B42" s="9" t="n">
        <v>22885</v>
      </c>
      <c r="C42" s="9" t="n">
        <v>24343</v>
      </c>
      <c r="D42" s="9" t="n">
        <v>22148</v>
      </c>
      <c r="E42" s="9" t="n">
        <v>23445</v>
      </c>
      <c r="F42" s="9" t="n">
        <v>26243</v>
      </c>
      <c r="G42" s="9" t="n">
        <v>22966</v>
      </c>
      <c r="H42" s="9" t="n">
        <v>24465</v>
      </c>
      <c r="I42" s="9" t="n">
        <v>28443</v>
      </c>
      <c r="J42" s="9" t="n">
        <v>29904</v>
      </c>
      <c r="K42" s="9" t="n">
        <v>38253</v>
      </c>
      <c r="L42" s="9" t="n">
        <v>16754</v>
      </c>
      <c r="M42" s="9" t="n">
        <v>28797</v>
      </c>
      <c r="N42" s="9" t="n">
        <f aca="false">SUM(B42:M42)</f>
        <v>308646</v>
      </c>
    </row>
    <row r="43" customFormat="false" ht="15" hidden="false" customHeight="true" outlineLevel="0" collapsed="false">
      <c r="A43" s="8" t="s">
        <v>44</v>
      </c>
      <c r="B43" s="9" t="n">
        <v>8915</v>
      </c>
      <c r="C43" s="9" t="n">
        <v>10352</v>
      </c>
      <c r="D43" s="9" t="n">
        <v>10286</v>
      </c>
      <c r="E43" s="9" t="n">
        <v>10285</v>
      </c>
      <c r="F43" s="9" t="n">
        <v>13395</v>
      </c>
      <c r="G43" s="9" t="n">
        <v>11665</v>
      </c>
      <c r="H43" s="9" t="n">
        <v>11187</v>
      </c>
      <c r="I43" s="9" t="n">
        <v>11283</v>
      </c>
      <c r="J43" s="9" t="n">
        <v>9013</v>
      </c>
      <c r="K43" s="9" t="n">
        <v>11403</v>
      </c>
      <c r="L43" s="9" t="n">
        <v>11740</v>
      </c>
      <c r="M43" s="9" t="n">
        <v>11313</v>
      </c>
      <c r="N43" s="9" t="n">
        <f aca="false">SUM(B43:M43)</f>
        <v>130837</v>
      </c>
    </row>
    <row r="44" customFormat="false" ht="15" hidden="false" customHeight="true" outlineLevel="0" collapsed="false">
      <c r="A44" s="8" t="s">
        <v>45</v>
      </c>
      <c r="B44" s="9" t="n">
        <v>157949</v>
      </c>
      <c r="C44" s="9" t="n">
        <v>159224</v>
      </c>
      <c r="D44" s="9" t="n">
        <v>171015</v>
      </c>
      <c r="E44" s="9" t="n">
        <v>172048</v>
      </c>
      <c r="F44" s="9" t="n">
        <v>166534</v>
      </c>
      <c r="G44" s="9" t="n">
        <v>173126</v>
      </c>
      <c r="H44" s="9" t="n">
        <v>177862</v>
      </c>
      <c r="I44" s="9" t="n">
        <v>178977</v>
      </c>
      <c r="J44" s="9" t="n">
        <v>177322</v>
      </c>
      <c r="K44" s="9" t="n">
        <v>229434</v>
      </c>
      <c r="L44" s="9" t="n">
        <v>224909</v>
      </c>
      <c r="M44" s="9" t="n">
        <v>221137</v>
      </c>
      <c r="N44" s="9" t="n">
        <f aca="false">SUM(B44:M44)</f>
        <v>2209537</v>
      </c>
    </row>
    <row r="45" customFormat="false" ht="15" hidden="false" customHeight="true" outlineLevel="0" collapsed="false">
      <c r="A45" s="8" t="s">
        <v>46</v>
      </c>
      <c r="B45" s="9" t="n">
        <v>0</v>
      </c>
      <c r="C45" s="9" t="n">
        <v>0</v>
      </c>
      <c r="D45" s="9" t="n">
        <v>24</v>
      </c>
      <c r="E45" s="9" t="n">
        <v>0</v>
      </c>
      <c r="F45" s="9" t="n">
        <v>632</v>
      </c>
      <c r="G45" s="9" t="n">
        <v>1215</v>
      </c>
      <c r="H45" s="9" t="n">
        <v>1028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f aca="false">SUM(B45:M45)</f>
        <v>2899</v>
      </c>
    </row>
    <row r="46" customFormat="false" ht="15" hidden="false" customHeight="true" outlineLevel="0" collapsed="false">
      <c r="A46" s="8" t="s">
        <v>47</v>
      </c>
      <c r="B46" s="9" t="n">
        <v>72436</v>
      </c>
      <c r="C46" s="9" t="n">
        <v>48356</v>
      </c>
      <c r="D46" s="9" t="n">
        <v>29319</v>
      </c>
      <c r="E46" s="9" t="n">
        <v>14836</v>
      </c>
      <c r="F46" s="9" t="n">
        <v>13493</v>
      </c>
      <c r="G46" s="9" t="n">
        <v>6946</v>
      </c>
      <c r="H46" s="9" t="n">
        <v>11923</v>
      </c>
      <c r="I46" s="9" t="n">
        <v>31339</v>
      </c>
      <c r="J46" s="9" t="n">
        <v>13423</v>
      </c>
      <c r="K46" s="9" t="n">
        <v>23040</v>
      </c>
      <c r="L46" s="9" t="n">
        <v>23527</v>
      </c>
      <c r="M46" s="9" t="n">
        <v>2305</v>
      </c>
      <c r="N46" s="9" t="n">
        <f aca="false">SUM(B46:M46)</f>
        <v>290943</v>
      </c>
    </row>
    <row r="47" customFormat="false" ht="15" hidden="false" customHeight="true" outlineLevel="0" collapsed="false">
      <c r="A47" s="8" t="s">
        <v>48</v>
      </c>
      <c r="B47" s="9" t="n">
        <v>180392</v>
      </c>
      <c r="C47" s="9" t="n">
        <v>471991</v>
      </c>
      <c r="D47" s="9" t="n">
        <v>370688</v>
      </c>
      <c r="E47" s="9" t="n">
        <v>495271</v>
      </c>
      <c r="F47" s="9" t="n">
        <v>409890</v>
      </c>
      <c r="G47" s="9" t="n">
        <v>506712</v>
      </c>
      <c r="H47" s="9" t="n">
        <v>694977</v>
      </c>
      <c r="I47" s="9" t="n">
        <v>569431</v>
      </c>
      <c r="J47" s="9" t="n">
        <v>321154</v>
      </c>
      <c r="K47" s="9" t="n">
        <v>486006</v>
      </c>
      <c r="L47" s="9" t="n">
        <v>240342</v>
      </c>
      <c r="M47" s="9" t="n">
        <v>144881</v>
      </c>
      <c r="N47" s="9" t="n">
        <f aca="false">SUM(B47:M47)</f>
        <v>4891735</v>
      </c>
    </row>
    <row r="48" customFormat="false" ht="15" hidden="false" customHeight="true" outlineLevel="0" collapsed="false">
      <c r="A48" s="8" t="s">
        <v>49</v>
      </c>
      <c r="B48" s="9" t="n">
        <v>69884</v>
      </c>
      <c r="C48" s="9" t="n">
        <v>64602</v>
      </c>
      <c r="D48" s="9" t="n">
        <v>71122</v>
      </c>
      <c r="E48" s="9" t="n">
        <v>67481</v>
      </c>
      <c r="F48" s="9" t="n">
        <v>64595</v>
      </c>
      <c r="G48" s="9" t="n">
        <v>61677</v>
      </c>
      <c r="H48" s="9" t="n">
        <v>65070</v>
      </c>
      <c r="I48" s="9" t="n">
        <v>64553</v>
      </c>
      <c r="J48" s="9" t="n">
        <v>55387</v>
      </c>
      <c r="K48" s="9" t="n">
        <v>57904</v>
      </c>
      <c r="L48" s="9" t="n">
        <v>51988</v>
      </c>
      <c r="M48" s="9" t="n">
        <v>66756</v>
      </c>
      <c r="N48" s="9" t="n">
        <f aca="false">SUM(B48:M48)</f>
        <v>761019</v>
      </c>
    </row>
    <row r="49" customFormat="false" ht="15" hidden="false" customHeight="true" outlineLevel="0" collapsed="false">
      <c r="A49" s="8" t="s">
        <v>50</v>
      </c>
      <c r="B49" s="9" t="n">
        <v>227678</v>
      </c>
      <c r="C49" s="9" t="n">
        <v>203182</v>
      </c>
      <c r="D49" s="9" t="n">
        <v>227117</v>
      </c>
      <c r="E49" s="9" t="n">
        <v>194932</v>
      </c>
      <c r="F49" s="9" t="n">
        <v>203541</v>
      </c>
      <c r="G49" s="9" t="n">
        <v>205476</v>
      </c>
      <c r="H49" s="9" t="n">
        <v>218508</v>
      </c>
      <c r="I49" s="9" t="n">
        <v>189126</v>
      </c>
      <c r="J49" s="9" t="n">
        <v>210696</v>
      </c>
      <c r="K49" s="9" t="n">
        <v>206820</v>
      </c>
      <c r="L49" s="9" t="n">
        <v>174861</v>
      </c>
      <c r="M49" s="9" t="n">
        <v>234533</v>
      </c>
      <c r="N49" s="9" t="n">
        <f aca="false">SUM(B49:M49)</f>
        <v>2496470</v>
      </c>
    </row>
    <row r="50" customFormat="false" ht="15" hidden="false" customHeight="true" outlineLevel="0" collapsed="false">
      <c r="A50" s="12" t="s">
        <v>51</v>
      </c>
      <c r="B50" s="13" t="n">
        <f aca="false">B42+B43+B44+B45+B46+B47+B48+B49</f>
        <v>740139</v>
      </c>
      <c r="C50" s="13" t="n">
        <f aca="false">C42+C43+C44+C45+C46+C47+C48+C49</f>
        <v>982050</v>
      </c>
      <c r="D50" s="13" t="n">
        <f aca="false">D42+D43+D44+D45+D46+D47+D48+D49</f>
        <v>901719</v>
      </c>
      <c r="E50" s="13" t="n">
        <f aca="false">E42+E43+E44+E45+E46+E47+E48+E49</f>
        <v>978298</v>
      </c>
      <c r="F50" s="13" t="n">
        <f aca="false">F42+F43+F44+F45+F46+F47+F48+F49</f>
        <v>898323</v>
      </c>
      <c r="G50" s="13" t="n">
        <f aca="false">G42+G43+G44+G45+G46+G47+G48+G49</f>
        <v>989783</v>
      </c>
      <c r="H50" s="13" t="n">
        <f aca="false">H42+H43+H44+H45+H46+H47+H48+H49</f>
        <v>1205020</v>
      </c>
      <c r="I50" s="13" t="n">
        <f aca="false">I42+I43+I44+I45+I46+I47+I48+I49</f>
        <v>1073152</v>
      </c>
      <c r="J50" s="13" t="n">
        <f aca="false">J42+J43+J44+J45+J46+J47+J48+J49</f>
        <v>816899</v>
      </c>
      <c r="K50" s="13" t="n">
        <f aca="false">K42+K43+K44+K45+K46+K47+K48+K49</f>
        <v>1052860</v>
      </c>
      <c r="L50" s="13" t="n">
        <f aca="false">L42+L43+L44+L45+L46+L47+L48+L49</f>
        <v>744121</v>
      </c>
      <c r="M50" s="13" t="n">
        <f aca="false">M42+M43+M44+M45+M46+M47+M48+M49</f>
        <v>709722</v>
      </c>
      <c r="N50" s="13" t="n">
        <f aca="false">SUM(B50:M50)</f>
        <v>11092086</v>
      </c>
    </row>
    <row r="52" customFormat="false" ht="15" hidden="false" customHeight="true" outlineLevel="0" collapsed="false">
      <c r="A52" s="12" t="s">
        <v>52</v>
      </c>
      <c r="B52" s="13" t="n">
        <f aca="false">B38-B50</f>
        <v>412129</v>
      </c>
      <c r="C52" s="13" t="n">
        <f aca="false">C38-C50</f>
        <v>542533</v>
      </c>
      <c r="D52" s="13" t="n">
        <f aca="false">D38-D50</f>
        <v>528752</v>
      </c>
      <c r="E52" s="13" t="n">
        <f aca="false">E38-E50</f>
        <v>613496</v>
      </c>
      <c r="F52" s="13" t="n">
        <f aca="false">F38-F50</f>
        <v>591465</v>
      </c>
      <c r="G52" s="13" t="n">
        <f aca="false">G38-G50</f>
        <v>662847</v>
      </c>
      <c r="H52" s="13" t="n">
        <f aca="false">H38-H50</f>
        <v>579619</v>
      </c>
      <c r="I52" s="13" t="n">
        <f aca="false">I38-I50</f>
        <v>664341</v>
      </c>
      <c r="J52" s="13" t="n">
        <f aca="false">J38-J50</f>
        <v>482554</v>
      </c>
      <c r="K52" s="13" t="n">
        <f aca="false">K38-K50</f>
        <v>585343</v>
      </c>
      <c r="L52" s="13" t="n">
        <f aca="false">L38-L50</f>
        <v>572927</v>
      </c>
      <c r="M52" s="13" t="n">
        <f aca="false">M38-M50</f>
        <v>409321</v>
      </c>
      <c r="N52" s="13" t="n">
        <f aca="false">SUM(B52:M52)</f>
        <v>6645327</v>
      </c>
    </row>
    <row r="53" customFormat="false" ht="15" hidden="false" customHeight="true" outlineLevel="0" collapsed="false">
      <c r="A53" s="14" t="s">
        <v>53</v>
      </c>
      <c r="B53" s="15" t="n">
        <f aca="false">IF(B38=0,0,B52/B38)</f>
        <v>0.357667660648391</v>
      </c>
      <c r="C53" s="15" t="n">
        <f aca="false">IF(C38=0,0,C52/C38)</f>
        <v>0.35585665063824</v>
      </c>
      <c r="D53" s="15" t="n">
        <f aca="false">IF(D38=0,0,D52/D38)</f>
        <v>0.369634896478153</v>
      </c>
      <c r="E53" s="15" t="n">
        <f aca="false">IF(E38=0,0,E52/E38)</f>
        <v>0.385411680154593</v>
      </c>
      <c r="F53" s="15" t="n">
        <f aca="false">IF(F38=0,0,F52/F38)</f>
        <v>0.39701286357522</v>
      </c>
      <c r="G53" s="15" t="n">
        <f aca="false">IF(G38=0,0,G52/G38)</f>
        <v>0.401086147534536</v>
      </c>
      <c r="H53" s="15" t="n">
        <f aca="false">IF(H38=0,0,H52/H38)</f>
        <v>0.324782210856089</v>
      </c>
      <c r="I53" s="15" t="n">
        <f aca="false">IF(I38=0,0,I52/I38)</f>
        <v>0.382356072801444</v>
      </c>
      <c r="J53" s="15" t="n">
        <f aca="false">IF(J38=0,0,J52/J38)</f>
        <v>0.371351637958433</v>
      </c>
      <c r="K53" s="15" t="n">
        <f aca="false">IF(K38=0,0,K52/K38)</f>
        <v>0.357307977094414</v>
      </c>
      <c r="L53" s="15" t="n">
        <f aca="false">IF(L38=0,0,L52/L38)</f>
        <v>0.43500844312432</v>
      </c>
      <c r="M53" s="15" t="n">
        <f aca="false">IF(M38=0,0,M52/M38)</f>
        <v>0.365777722571876</v>
      </c>
      <c r="N53" s="15" t="n">
        <f aca="false">IF(N38=0,0,N52/N38)</f>
        <v>0.374650294267828</v>
      </c>
    </row>
    <row r="55" customFormat="false" ht="15" hidden="false" customHeight="true" outlineLevel="0" collapsed="false">
      <c r="A55" s="8" t="s">
        <v>54</v>
      </c>
      <c r="B55" s="9" t="n">
        <v>174805</v>
      </c>
      <c r="C55" s="9" t="n">
        <v>166242</v>
      </c>
      <c r="D55" s="9" t="n">
        <v>145044</v>
      </c>
      <c r="E55" s="9" t="n">
        <v>128044</v>
      </c>
      <c r="F55" s="9" t="n">
        <v>136510</v>
      </c>
      <c r="G55" s="9" t="n">
        <v>129570</v>
      </c>
      <c r="H55" s="9" t="n">
        <v>147139</v>
      </c>
      <c r="I55" s="9" t="n">
        <v>145868</v>
      </c>
      <c r="J55" s="9" t="n">
        <v>147595</v>
      </c>
      <c r="K55" s="9" t="n">
        <v>197590</v>
      </c>
      <c r="L55" s="9" t="n">
        <v>111629</v>
      </c>
      <c r="M55" s="9" t="n">
        <v>127035</v>
      </c>
      <c r="N55" s="9" t="n">
        <f aca="false">SUM(B55:M55)</f>
        <v>1757071</v>
      </c>
    </row>
    <row r="58" customFormat="false" ht="15" hidden="false" customHeight="true" outlineLevel="0" collapsed="false">
      <c r="A58" s="7" t="s">
        <v>55</v>
      </c>
    </row>
    <row r="59" customFormat="false" ht="15" hidden="false" customHeight="true" outlineLevel="0" collapsed="false">
      <c r="A59" s="8" t="s">
        <v>56</v>
      </c>
      <c r="B59" s="9" t="n">
        <v>88384</v>
      </c>
      <c r="C59" s="9" t="n">
        <v>107567</v>
      </c>
      <c r="D59" s="9" t="n">
        <v>86712</v>
      </c>
      <c r="E59" s="9" t="n">
        <v>76476</v>
      </c>
      <c r="F59" s="9" t="n">
        <v>85672</v>
      </c>
      <c r="G59" s="9" t="n">
        <v>83226</v>
      </c>
      <c r="H59" s="9" t="n">
        <v>88854</v>
      </c>
      <c r="I59" s="9" t="n">
        <v>76247</v>
      </c>
      <c r="J59" s="9" t="n">
        <v>75368</v>
      </c>
      <c r="K59" s="9" t="n">
        <v>66012</v>
      </c>
      <c r="L59" s="9" t="n">
        <v>54724</v>
      </c>
      <c r="M59" s="9" t="n">
        <v>85613</v>
      </c>
      <c r="N59" s="9" t="n">
        <f aca="false">SUM(B59:M59)</f>
        <v>974855</v>
      </c>
    </row>
    <row r="60" customFormat="false" ht="15" hidden="false" customHeight="true" outlineLevel="0" collapsed="false">
      <c r="A60" s="8" t="s">
        <v>57</v>
      </c>
      <c r="B60" s="9" t="n">
        <v>26216</v>
      </c>
      <c r="C60" s="9" t="n">
        <v>26216</v>
      </c>
      <c r="D60" s="9" t="n">
        <v>26216</v>
      </c>
      <c r="E60" s="9" t="n">
        <v>26301</v>
      </c>
      <c r="F60" s="9" t="n">
        <v>26296</v>
      </c>
      <c r="G60" s="9" t="n">
        <v>26366</v>
      </c>
      <c r="H60" s="9" t="n">
        <v>25846</v>
      </c>
      <c r="I60" s="9" t="n">
        <v>22611</v>
      </c>
      <c r="J60" s="9" t="n">
        <v>22043</v>
      </c>
      <c r="K60" s="9" t="n">
        <v>21807</v>
      </c>
      <c r="L60" s="9" t="n">
        <v>21808</v>
      </c>
      <c r="M60" s="9" t="n">
        <v>37203</v>
      </c>
      <c r="N60" s="9" t="n">
        <f aca="false">SUM(B60:M60)</f>
        <v>308929</v>
      </c>
    </row>
    <row r="61" customFormat="false" ht="15" hidden="false" customHeight="true" outlineLevel="0" collapsed="false">
      <c r="A61" s="8" t="s">
        <v>58</v>
      </c>
      <c r="B61" s="9" t="n">
        <v>299</v>
      </c>
      <c r="C61" s="9" t="n">
        <v>1117</v>
      </c>
      <c r="D61" s="9" t="n">
        <v>19286</v>
      </c>
      <c r="E61" s="9" t="n">
        <v>697</v>
      </c>
      <c r="F61" s="9" t="n">
        <v>100</v>
      </c>
      <c r="G61" s="9" t="n">
        <v>229</v>
      </c>
      <c r="H61" s="9" t="n">
        <v>100</v>
      </c>
      <c r="I61" s="9" t="n">
        <v>3821</v>
      </c>
      <c r="J61" s="9" t="n">
        <v>1143</v>
      </c>
      <c r="K61" s="9" t="n">
        <v>200</v>
      </c>
      <c r="L61" s="9" t="n">
        <v>0</v>
      </c>
      <c r="M61" s="9" t="n">
        <v>726</v>
      </c>
      <c r="N61" s="9" t="n">
        <f aca="false">SUM(B61:M61)</f>
        <v>27718</v>
      </c>
    </row>
    <row r="62" customFormat="false" ht="15" hidden="false" customHeight="true" outlineLevel="0" collapsed="false">
      <c r="A62" s="8" t="s">
        <v>59</v>
      </c>
      <c r="B62" s="9" t="n">
        <v>13535</v>
      </c>
      <c r="C62" s="9" t="n">
        <v>13010</v>
      </c>
      <c r="D62" s="9" t="n">
        <v>12877</v>
      </c>
      <c r="E62" s="9" t="n">
        <v>12647</v>
      </c>
      <c r="F62" s="9" t="n">
        <v>11844</v>
      </c>
      <c r="G62" s="9" t="n">
        <v>12067</v>
      </c>
      <c r="H62" s="9" t="n">
        <v>13369</v>
      </c>
      <c r="I62" s="9" t="n">
        <v>16921</v>
      </c>
      <c r="J62" s="9" t="n">
        <v>9376</v>
      </c>
      <c r="K62" s="9" t="n">
        <v>10932</v>
      </c>
      <c r="L62" s="9" t="n">
        <v>22636</v>
      </c>
      <c r="M62" s="9" t="n">
        <v>11557</v>
      </c>
      <c r="N62" s="9" t="n">
        <f aca="false">SUM(B62:M62)</f>
        <v>160771</v>
      </c>
    </row>
    <row r="63" customFormat="false" ht="15" hidden="false" customHeight="true" outlineLevel="0" collapsed="false">
      <c r="A63" s="8" t="s">
        <v>60</v>
      </c>
      <c r="B63" s="9" t="n">
        <v>27164</v>
      </c>
      <c r="C63" s="9" t="n">
        <v>27450</v>
      </c>
      <c r="D63" s="9" t="n">
        <v>26429</v>
      </c>
      <c r="E63" s="9" t="n">
        <v>28588</v>
      </c>
      <c r="F63" s="9" t="n">
        <v>29920</v>
      </c>
      <c r="G63" s="9" t="n">
        <v>29571</v>
      </c>
      <c r="H63" s="9" t="n">
        <v>29728</v>
      </c>
      <c r="I63" s="9" t="n">
        <v>31004</v>
      </c>
      <c r="J63" s="9" t="n">
        <v>40748</v>
      </c>
      <c r="K63" s="9" t="n">
        <v>35972</v>
      </c>
      <c r="L63" s="9" t="n">
        <v>43016</v>
      </c>
      <c r="M63" s="9" t="n">
        <v>65016</v>
      </c>
      <c r="N63" s="9" t="n">
        <f aca="false">SUM(B63:M63)</f>
        <v>414606</v>
      </c>
    </row>
    <row r="64" customFormat="false" ht="15" hidden="false" customHeight="true" outlineLevel="0" collapsed="false">
      <c r="A64" s="8" t="s">
        <v>61</v>
      </c>
      <c r="B64" s="9" t="n">
        <v>55295</v>
      </c>
      <c r="C64" s="9" t="n">
        <v>75479</v>
      </c>
      <c r="D64" s="9" t="n">
        <v>48202</v>
      </c>
      <c r="E64" s="9" t="n">
        <v>59539</v>
      </c>
      <c r="F64" s="9" t="n">
        <v>70499</v>
      </c>
      <c r="G64" s="9" t="n">
        <v>60509</v>
      </c>
      <c r="H64" s="9" t="n">
        <v>63473</v>
      </c>
      <c r="I64" s="9" t="n">
        <v>89499</v>
      </c>
      <c r="J64" s="9" t="n">
        <v>78584</v>
      </c>
      <c r="K64" s="9" t="n">
        <v>51470</v>
      </c>
      <c r="L64" s="9" t="n">
        <v>76609</v>
      </c>
      <c r="M64" s="9" t="n">
        <v>-16149</v>
      </c>
      <c r="N64" s="9" t="n">
        <f aca="false">SUM(B64:M64)</f>
        <v>713009</v>
      </c>
    </row>
    <row r="65" customFormat="false" ht="15" hidden="false" customHeight="true" outlineLevel="0" collapsed="false">
      <c r="A65" s="8" t="s">
        <v>62</v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f aca="false">SUM(B65:M65)</f>
        <v>0</v>
      </c>
    </row>
    <row r="66" customFormat="false" ht="15" hidden="false" customHeight="true" outlineLevel="0" collapsed="false">
      <c r="A66" s="8" t="s">
        <v>63</v>
      </c>
      <c r="B66" s="9" t="n">
        <v>6971</v>
      </c>
      <c r="C66" s="9" t="n">
        <v>6313</v>
      </c>
      <c r="D66" s="9" t="n">
        <v>5297</v>
      </c>
      <c r="E66" s="9" t="n">
        <v>6720</v>
      </c>
      <c r="F66" s="9" t="n">
        <v>5773</v>
      </c>
      <c r="G66" s="9" t="n">
        <v>7871</v>
      </c>
      <c r="H66" s="9" t="n">
        <v>9170</v>
      </c>
      <c r="I66" s="9" t="n">
        <v>7420</v>
      </c>
      <c r="J66" s="9" t="n">
        <v>5530</v>
      </c>
      <c r="K66" s="9" t="n">
        <v>5777</v>
      </c>
      <c r="L66" s="9" t="n">
        <v>5736</v>
      </c>
      <c r="M66" s="9" t="n">
        <v>7331</v>
      </c>
      <c r="N66" s="9" t="n">
        <f aca="false">SUM(B66:M66)</f>
        <v>79909</v>
      </c>
    </row>
    <row r="67" customFormat="false" ht="15" hidden="false" customHeight="true" outlineLevel="0" collapsed="false">
      <c r="A67" s="8" t="s">
        <v>64</v>
      </c>
      <c r="B67" s="9" t="n">
        <v>4520</v>
      </c>
      <c r="C67" s="9" t="n">
        <v>3121</v>
      </c>
      <c r="D67" s="9" t="n">
        <v>7987</v>
      </c>
      <c r="E67" s="9" t="n">
        <v>8153</v>
      </c>
      <c r="F67" s="9" t="n">
        <v>7303</v>
      </c>
      <c r="G67" s="9" t="n">
        <v>10481</v>
      </c>
      <c r="H67" s="9" t="n">
        <v>10887</v>
      </c>
      <c r="I67" s="9" t="n">
        <v>9048</v>
      </c>
      <c r="J67" s="9" t="n">
        <v>14315</v>
      </c>
      <c r="K67" s="9" t="n">
        <v>14957</v>
      </c>
      <c r="L67" s="9" t="n">
        <v>15176</v>
      </c>
      <c r="M67" s="9" t="n">
        <v>9014</v>
      </c>
      <c r="N67" s="9" t="n">
        <f aca="false">SUM(B67:M67)</f>
        <v>114962</v>
      </c>
    </row>
    <row r="68" customFormat="false" ht="15" hidden="false" customHeight="true" outlineLevel="0" collapsed="false">
      <c r="A68" s="8" t="s">
        <v>65</v>
      </c>
      <c r="B68" s="9" t="n">
        <v>7654</v>
      </c>
      <c r="C68" s="9" t="n">
        <v>8580</v>
      </c>
      <c r="D68" s="9" t="n">
        <v>6798</v>
      </c>
      <c r="E68" s="9" t="n">
        <v>5113</v>
      </c>
      <c r="F68" s="9" t="n">
        <v>5391</v>
      </c>
      <c r="G68" s="9" t="n">
        <v>7472</v>
      </c>
      <c r="H68" s="9" t="n">
        <v>9426</v>
      </c>
      <c r="I68" s="9" t="n">
        <v>9267</v>
      </c>
      <c r="J68" s="9" t="n">
        <v>10433</v>
      </c>
      <c r="K68" s="9" t="n">
        <v>8075</v>
      </c>
      <c r="L68" s="9" t="n">
        <v>12914</v>
      </c>
      <c r="M68" s="9" t="n">
        <v>13300</v>
      </c>
      <c r="N68" s="9" t="n">
        <f aca="false">SUM(B68:M68)</f>
        <v>104423</v>
      </c>
    </row>
    <row r="69" customFormat="false" ht="15" hidden="false" customHeight="true" outlineLevel="0" collapsed="false">
      <c r="A69" s="8" t="s">
        <v>66</v>
      </c>
      <c r="B69" s="9" t="n">
        <v>285</v>
      </c>
      <c r="C69" s="9" t="n">
        <v>110</v>
      </c>
      <c r="D69" s="9" t="n">
        <v>175</v>
      </c>
      <c r="E69" s="9" t="n">
        <v>1145</v>
      </c>
      <c r="F69" s="9" t="n">
        <v>7125</v>
      </c>
      <c r="G69" s="9" t="n">
        <v>652</v>
      </c>
      <c r="H69" s="9" t="n">
        <v>125</v>
      </c>
      <c r="I69" s="9" t="n">
        <v>65</v>
      </c>
      <c r="J69" s="9" t="n">
        <v>450</v>
      </c>
      <c r="K69" s="9" t="n">
        <v>7672</v>
      </c>
      <c r="L69" s="9" t="n">
        <v>50</v>
      </c>
      <c r="M69" s="9" t="n">
        <v>130</v>
      </c>
      <c r="N69" s="9" t="n">
        <f aca="false">SUM(B69:M69)</f>
        <v>17984</v>
      </c>
    </row>
    <row r="70" customFormat="false" ht="15" hidden="false" customHeight="true" outlineLevel="0" collapsed="false">
      <c r="A70" s="8" t="s">
        <v>67</v>
      </c>
      <c r="B70" s="9" t="n">
        <v>4179</v>
      </c>
      <c r="C70" s="9" t="n">
        <v>3502</v>
      </c>
      <c r="D70" s="9" t="n">
        <v>3053</v>
      </c>
      <c r="E70" s="9" t="n">
        <v>2379</v>
      </c>
      <c r="F70" s="9" t="n">
        <v>2935</v>
      </c>
      <c r="G70" s="9" t="n">
        <v>3559</v>
      </c>
      <c r="H70" s="9" t="n">
        <v>3991</v>
      </c>
      <c r="I70" s="9" t="n">
        <v>2942</v>
      </c>
      <c r="J70" s="9" t="n">
        <v>2791</v>
      </c>
      <c r="K70" s="9" t="n">
        <v>1920</v>
      </c>
      <c r="L70" s="9" t="n">
        <v>2959</v>
      </c>
      <c r="M70" s="9" t="n">
        <v>3523</v>
      </c>
      <c r="N70" s="9" t="n">
        <f aca="false">SUM(B70:M70)</f>
        <v>37733</v>
      </c>
    </row>
    <row r="71" customFormat="false" ht="15" hidden="false" customHeight="true" outlineLevel="0" collapsed="false">
      <c r="A71" s="8" t="s">
        <v>68</v>
      </c>
      <c r="B71" s="9" t="n">
        <v>6399</v>
      </c>
      <c r="C71" s="9" t="n">
        <v>7466</v>
      </c>
      <c r="D71" s="9" t="n">
        <v>7199</v>
      </c>
      <c r="E71" s="9" t="n">
        <v>2539</v>
      </c>
      <c r="F71" s="9" t="n">
        <v>834</v>
      </c>
      <c r="G71" s="9" t="n">
        <v>3623</v>
      </c>
      <c r="H71" s="9" t="n">
        <v>7751</v>
      </c>
      <c r="I71" s="9" t="n">
        <v>2772</v>
      </c>
      <c r="J71" s="9" t="n">
        <v>8056</v>
      </c>
      <c r="K71" s="9" t="n">
        <v>6274</v>
      </c>
      <c r="L71" s="9" t="n">
        <v>14309</v>
      </c>
      <c r="M71" s="9" t="n">
        <v>11176</v>
      </c>
      <c r="N71" s="9" t="n">
        <f aca="false">SUM(B71:M71)</f>
        <v>78398</v>
      </c>
    </row>
    <row r="72" customFormat="false" ht="15" hidden="false" customHeight="true" outlineLevel="0" collapsed="false">
      <c r="A72" s="8" t="s">
        <v>69</v>
      </c>
      <c r="B72" s="9" t="n">
        <v>1688</v>
      </c>
      <c r="C72" s="9" t="n">
        <v>3683</v>
      </c>
      <c r="D72" s="9" t="n">
        <v>1734</v>
      </c>
      <c r="E72" s="9" t="n">
        <v>3954</v>
      </c>
      <c r="F72" s="9" t="n">
        <v>1765</v>
      </c>
      <c r="G72" s="9" t="n">
        <v>1891</v>
      </c>
      <c r="H72" s="9" t="n">
        <v>2684</v>
      </c>
      <c r="I72" s="9" t="n">
        <v>1696</v>
      </c>
      <c r="J72" s="9" t="n">
        <v>1119</v>
      </c>
      <c r="K72" s="9" t="n">
        <v>1969</v>
      </c>
      <c r="L72" s="9" t="n">
        <v>3577</v>
      </c>
      <c r="M72" s="9" t="n">
        <v>5461</v>
      </c>
      <c r="N72" s="9" t="n">
        <f aca="false">SUM(B72:M72)</f>
        <v>31221</v>
      </c>
    </row>
    <row r="73" customFormat="false" ht="15" hidden="false" customHeight="true" outlineLevel="0" collapsed="false">
      <c r="A73" s="8" t="s">
        <v>70</v>
      </c>
      <c r="B73" s="9" t="n">
        <v>7425</v>
      </c>
      <c r="C73" s="9" t="n">
        <v>7419</v>
      </c>
      <c r="D73" s="9" t="n">
        <v>7430</v>
      </c>
      <c r="E73" s="9" t="n">
        <v>6410</v>
      </c>
      <c r="F73" s="9" t="n">
        <v>5501</v>
      </c>
      <c r="G73" s="9" t="n">
        <v>6826</v>
      </c>
      <c r="H73" s="9" t="n">
        <v>6081</v>
      </c>
      <c r="I73" s="9" t="n">
        <v>6091</v>
      </c>
      <c r="J73" s="9" t="n">
        <v>14268</v>
      </c>
      <c r="K73" s="9" t="n">
        <v>9950</v>
      </c>
      <c r="L73" s="9" t="n">
        <v>7787</v>
      </c>
      <c r="M73" s="9" t="n">
        <v>143390</v>
      </c>
      <c r="N73" s="9" t="n">
        <f aca="false">SUM(B73:M73)</f>
        <v>228578</v>
      </c>
    </row>
    <row r="74" customFormat="false" ht="15" hidden="false" customHeight="true" outlineLevel="0" collapsed="false">
      <c r="A74" s="12" t="s">
        <v>71</v>
      </c>
      <c r="B74" s="13" t="n">
        <f aca="false">B59+B60+B61+B62+B63+B64+B65+B66+B67+B68+B69+B70+B71+B72+B73</f>
        <v>250014</v>
      </c>
      <c r="C74" s="13" t="n">
        <f aca="false">C59+C60+C61+C62+C63+C64+C65+C66+C67+C68+C69+C70+C71+C72+C73</f>
        <v>291033</v>
      </c>
      <c r="D74" s="13" t="n">
        <f aca="false">D59+D60+D61+D62+D63+D64+D65+D66+D67+D68+D69+D70+D71+D72+D73</f>
        <v>259395</v>
      </c>
      <c r="E74" s="13" t="n">
        <f aca="false">E59+E60+E61+E62+E63+E64+E65+E66+E67+E68+E69+E70+E71+E72+E73</f>
        <v>240661</v>
      </c>
      <c r="F74" s="13" t="n">
        <f aca="false">F59+F60+F61+F62+F63+F64+F65+F66+F67+F68+F69+F70+F71+F72+F73</f>
        <v>260958</v>
      </c>
      <c r="G74" s="13" t="n">
        <f aca="false">G59+G60+G61+G62+G63+G64+G65+G66+G67+G68+G69+G70+G71+G72+G73</f>
        <v>254343</v>
      </c>
      <c r="H74" s="13" t="n">
        <f aca="false">H59+H60+H61+H62+H63+H64+H65+H66+H67+H68+H69+H70+H71+H72+H73</f>
        <v>271485</v>
      </c>
      <c r="I74" s="13" t="n">
        <f aca="false">I59+I60+I61+I62+I63+I64+I65+I66+I67+I68+I69+I70+I71+I72+I73</f>
        <v>279404</v>
      </c>
      <c r="J74" s="13" t="n">
        <f aca="false">J59+J60+J61+J62+J63+J64+J65+J66+J67+J68+J69+J70+J71+J72+J73</f>
        <v>284224</v>
      </c>
      <c r="K74" s="13" t="n">
        <f aca="false">K59+K60+K61+K62+K63+K64+K65+K66+K67+K68+K69+K70+K71+K72+K73</f>
        <v>242987</v>
      </c>
      <c r="L74" s="13" t="n">
        <f aca="false">L59+L60+L61+L62+L63+L64+L65+L66+L67+L68+L69+L70+L71+L72+L73</f>
        <v>281301</v>
      </c>
      <c r="M74" s="13" t="n">
        <f aca="false">M59+M60+M61+M62+M63+M64+M65+M66+M67+M68+M69+M70+M71+M72+M73</f>
        <v>377291</v>
      </c>
      <c r="N74" s="13" t="n">
        <f aca="false">SUM(B74:M74)</f>
        <v>3293096</v>
      </c>
    </row>
    <row r="77" customFormat="false" ht="15" hidden="false" customHeight="true" outlineLevel="0" collapsed="false">
      <c r="A77" s="16" t="s">
        <v>72</v>
      </c>
      <c r="B77" s="17" t="n">
        <f aca="false">B52-B55-B74</f>
        <v>-12690</v>
      </c>
      <c r="C77" s="17" t="n">
        <f aca="false">C52-C55-C74</f>
        <v>85258</v>
      </c>
      <c r="D77" s="17" t="n">
        <f aca="false">D52-D55-D74</f>
        <v>124313</v>
      </c>
      <c r="E77" s="17" t="n">
        <f aca="false">E52-E55-E74</f>
        <v>244791</v>
      </c>
      <c r="F77" s="17" t="n">
        <f aca="false">F52-F55-F74</f>
        <v>193997</v>
      </c>
      <c r="G77" s="17" t="n">
        <f aca="false">G52-G55-G74</f>
        <v>278934</v>
      </c>
      <c r="H77" s="17" t="n">
        <f aca="false">H52-H55-H74</f>
        <v>160995</v>
      </c>
      <c r="I77" s="17" t="n">
        <f aca="false">I52-I55-I74</f>
        <v>239069</v>
      </c>
      <c r="J77" s="17" t="n">
        <f aca="false">J52-J55-J74</f>
        <v>50735</v>
      </c>
      <c r="K77" s="17" t="n">
        <f aca="false">K52-K55-K74</f>
        <v>144766</v>
      </c>
      <c r="L77" s="17" t="n">
        <f aca="false">L52-L55-L74</f>
        <v>179997</v>
      </c>
      <c r="M77" s="17" t="n">
        <f aca="false">M52-M55-M74</f>
        <v>-95005</v>
      </c>
      <c r="N77" s="17" t="n">
        <f aca="false">SUM(B77:M77)</f>
        <v>1595160</v>
      </c>
    </row>
    <row r="78" customFormat="false" ht="15" hidden="false" customHeight="true" outlineLevel="0" collapsed="false">
      <c r="A78" s="14" t="s">
        <v>73</v>
      </c>
      <c r="B78" s="15" t="n">
        <f aca="false">IF(B38=0,0,B77/B38)</f>
        <v>-0.0110130629332759</v>
      </c>
      <c r="C78" s="15" t="n">
        <f aca="false">IF(C38=0,0,C77/C38)</f>
        <v>0.055922176752594</v>
      </c>
      <c r="D78" s="15" t="n">
        <f aca="false">IF(D38=0,0,D77/D38)</f>
        <v>0.0869035443570684</v>
      </c>
      <c r="E78" s="15" t="n">
        <f aca="false">IF(E38=0,0,E77/E38)</f>
        <v>0.153783090022955</v>
      </c>
      <c r="F78" s="15" t="n">
        <f aca="false">IF(F38=0,0,F77/F38)</f>
        <v>0.130217856500388</v>
      </c>
      <c r="G78" s="15" t="n">
        <f aca="false">IF(G38=0,0,G77/G38)</f>
        <v>0.168781881001797</v>
      </c>
      <c r="H78" s="15" t="n">
        <f aca="false">IF(H38=0,0,H77/H38)</f>
        <v>0.090211521769949</v>
      </c>
      <c r="I78" s="15" t="n">
        <f aca="false">IF(I38=0,0,I77/I38)</f>
        <v>0.137594223401188</v>
      </c>
      <c r="J78" s="15" t="n">
        <f aca="false">IF(J38=0,0,J77/J38)</f>
        <v>0.0390433513178237</v>
      </c>
      <c r="K78" s="15" t="n">
        <f aca="false">IF(K38=0,0,K77/K38)</f>
        <v>0.0883687796933591</v>
      </c>
      <c r="L78" s="15" t="n">
        <f aca="false">IF(L38=0,0,L77/L38)</f>
        <v>0.136667000747125</v>
      </c>
      <c r="M78" s="15" t="n">
        <f aca="false">IF(M38=0,0,M77/M38)</f>
        <v>-0.0848984355382233</v>
      </c>
      <c r="N78" s="15" t="n">
        <f aca="false">IF(N38=0,0,N77/N38)</f>
        <v>0.0899319421609002</v>
      </c>
    </row>
    <row r="80" customFormat="false" ht="15" hidden="false" customHeight="true" outlineLevel="0" collapsed="false">
      <c r="A80" s="18" t="s">
        <v>74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customFormat="false" ht="15" hidden="false" customHeight="true" outlineLevel="0" collapsed="false">
      <c r="A81" s="20" t="s">
        <v>75</v>
      </c>
      <c r="B81" s="21" t="s">
        <v>3</v>
      </c>
      <c r="C81" s="21" t="s">
        <v>4</v>
      </c>
      <c r="D81" s="21" t="s">
        <v>5</v>
      </c>
      <c r="E81" s="21" t="s">
        <v>6</v>
      </c>
      <c r="F81" s="21" t="s">
        <v>7</v>
      </c>
      <c r="G81" s="21" t="s">
        <v>8</v>
      </c>
      <c r="H81" s="21" t="s">
        <v>9</v>
      </c>
      <c r="I81" s="21" t="s">
        <v>10</v>
      </c>
      <c r="J81" s="21" t="s">
        <v>11</v>
      </c>
      <c r="K81" s="21" t="s">
        <v>12</v>
      </c>
      <c r="L81" s="21" t="s">
        <v>13</v>
      </c>
      <c r="M81" s="21" t="s">
        <v>14</v>
      </c>
      <c r="N81" s="21" t="s">
        <v>76</v>
      </c>
    </row>
    <row r="82" customFormat="false" ht="15" hidden="false" customHeight="true" outlineLevel="0" collapsed="false">
      <c r="A82" s="22" t="s">
        <v>77</v>
      </c>
      <c r="B82" s="23" t="n">
        <v>15700</v>
      </c>
      <c r="C82" s="23" t="n">
        <v>15700</v>
      </c>
      <c r="D82" s="23" t="n">
        <v>15700</v>
      </c>
      <c r="E82" s="23" t="n">
        <v>15700</v>
      </c>
      <c r="F82" s="23" t="n">
        <v>15700</v>
      </c>
      <c r="G82" s="23" t="n">
        <v>15700</v>
      </c>
      <c r="H82" s="23" t="n">
        <v>15700</v>
      </c>
      <c r="I82" s="23" t="n">
        <v>15700</v>
      </c>
      <c r="J82" s="23" t="n">
        <v>15700</v>
      </c>
      <c r="K82" s="23" t="n">
        <v>15700</v>
      </c>
      <c r="L82" s="23" t="n">
        <v>15700</v>
      </c>
      <c r="M82" s="23" t="n">
        <v>15700</v>
      </c>
      <c r="N82" s="24" t="n">
        <f aca="false">SUM(B82:M82)</f>
        <v>188400</v>
      </c>
    </row>
    <row r="83" customFormat="false" ht="15" hidden="false" customHeight="true" outlineLevel="0" collapsed="false">
      <c r="A83" s="25" t="s">
        <v>78</v>
      </c>
      <c r="B83" s="26"/>
      <c r="C83" s="26"/>
      <c r="D83" s="26"/>
      <c r="E83" s="26"/>
      <c r="F83" s="26"/>
      <c r="G83" s="26"/>
      <c r="H83" s="26"/>
      <c r="I83" s="26" t="n">
        <v>4000</v>
      </c>
      <c r="J83" s="26" t="n">
        <v>4000</v>
      </c>
      <c r="K83" s="26" t="n">
        <v>4000</v>
      </c>
      <c r="L83" s="26" t="n">
        <v>4000</v>
      </c>
      <c r="M83" s="26" t="n">
        <v>4000</v>
      </c>
      <c r="N83" s="27" t="n">
        <f aca="false">SUM(B83:M83)</f>
        <v>20000</v>
      </c>
    </row>
    <row r="84" customFormat="false" ht="15" hidden="false" customHeight="true" outlineLevel="0" collapsed="false">
      <c r="A84" s="22" t="s">
        <v>79</v>
      </c>
      <c r="B84" s="23" t="n">
        <v>12750</v>
      </c>
      <c r="C84" s="23" t="n">
        <v>12750</v>
      </c>
      <c r="D84" s="23" t="n">
        <v>12750</v>
      </c>
      <c r="E84" s="23" t="n">
        <v>12750</v>
      </c>
      <c r="F84" s="23" t="n">
        <v>12750</v>
      </c>
      <c r="G84" s="23" t="n">
        <v>12750</v>
      </c>
      <c r="H84" s="23" t="n">
        <v>12750</v>
      </c>
      <c r="I84" s="23" t="n">
        <v>12750</v>
      </c>
      <c r="J84" s="23" t="n">
        <v>12750</v>
      </c>
      <c r="K84" s="23" t="n">
        <v>12750</v>
      </c>
      <c r="L84" s="23" t="n">
        <v>12750</v>
      </c>
      <c r="M84" s="23" t="n">
        <v>12750</v>
      </c>
      <c r="N84" s="24" t="n">
        <f aca="false">SUM(B84:M84)</f>
        <v>153000</v>
      </c>
    </row>
    <row r="85" customFormat="false" ht="15" hidden="false" customHeight="true" outlineLevel="0" collapsed="false">
      <c r="A85" s="25" t="s">
        <v>80</v>
      </c>
      <c r="B85" s="26"/>
      <c r="C85" s="26"/>
      <c r="D85" s="26"/>
      <c r="E85" s="26" t="n">
        <v>6000</v>
      </c>
      <c r="F85" s="26"/>
      <c r="G85" s="26"/>
      <c r="H85" s="26"/>
      <c r="I85" s="26"/>
      <c r="J85" s="26"/>
      <c r="K85" s="26"/>
      <c r="L85" s="26"/>
      <c r="M85" s="26" t="n">
        <v>4888</v>
      </c>
      <c r="N85" s="27" t="n">
        <f aca="false">SUM(B85:M85)</f>
        <v>10888</v>
      </c>
    </row>
    <row r="86" customFormat="false" ht="15" hidden="false" customHeight="true" outlineLevel="0" collapsed="false">
      <c r="A86" s="22" t="s">
        <v>81</v>
      </c>
      <c r="B86" s="23"/>
      <c r="C86" s="23"/>
      <c r="D86" s="23"/>
      <c r="E86" s="23"/>
      <c r="F86" s="23"/>
      <c r="G86" s="23" t="n">
        <v>6000</v>
      </c>
      <c r="H86" s="23" t="n">
        <v>6000</v>
      </c>
      <c r="I86" s="23" t="n">
        <v>6000</v>
      </c>
      <c r="J86" s="23" t="n">
        <v>6000</v>
      </c>
      <c r="K86" s="23" t="n">
        <v>6000</v>
      </c>
      <c r="L86" s="23" t="n">
        <v>6000</v>
      </c>
      <c r="M86" s="23" t="n">
        <v>6000</v>
      </c>
      <c r="N86" s="24" t="n">
        <f aca="false">SUM(B86:M86)</f>
        <v>42000</v>
      </c>
    </row>
    <row r="87" customFormat="false" ht="15" hidden="false" customHeight="true" outlineLevel="0" collapsed="false">
      <c r="A87" s="25" t="s">
        <v>82</v>
      </c>
      <c r="B87" s="26" t="n">
        <v>3520</v>
      </c>
      <c r="C87" s="26" t="n">
        <v>3520</v>
      </c>
      <c r="D87" s="26" t="n">
        <v>3520</v>
      </c>
      <c r="E87" s="26" t="n">
        <v>3520</v>
      </c>
      <c r="F87" s="26" t="n">
        <v>3520</v>
      </c>
      <c r="G87" s="26" t="n">
        <v>3520</v>
      </c>
      <c r="H87" s="26" t="n">
        <v>3520</v>
      </c>
      <c r="I87" s="26" t="n">
        <v>3520</v>
      </c>
      <c r="J87" s="26" t="n">
        <v>3520</v>
      </c>
      <c r="K87" s="26" t="n">
        <v>3520</v>
      </c>
      <c r="L87" s="26" t="n">
        <v>3520</v>
      </c>
      <c r="M87" s="26" t="n">
        <v>3520</v>
      </c>
      <c r="N87" s="27" t="n">
        <f aca="false">SUM(B87:M87)</f>
        <v>42240</v>
      </c>
    </row>
    <row r="88" customFormat="false" ht="15" hidden="false" customHeight="true" outlineLevel="0" collapsed="false">
      <c r="A88" s="22" t="s">
        <v>83</v>
      </c>
      <c r="B88" s="23" t="n">
        <v>12000</v>
      </c>
      <c r="C88" s="23" t="n">
        <v>15000</v>
      </c>
      <c r="D88" s="23" t="n">
        <v>12000</v>
      </c>
      <c r="E88" s="23" t="n">
        <v>10000</v>
      </c>
      <c r="F88" s="23" t="n">
        <v>10000</v>
      </c>
      <c r="G88" s="23" t="n">
        <v>10000</v>
      </c>
      <c r="H88" s="23" t="n">
        <v>9000</v>
      </c>
      <c r="I88" s="23" t="n">
        <v>9000</v>
      </c>
      <c r="J88" s="23" t="n">
        <v>8960</v>
      </c>
      <c r="K88" s="23" t="n">
        <v>8000</v>
      </c>
      <c r="L88" s="23" t="n">
        <v>6000</v>
      </c>
      <c r="M88" s="23" t="n">
        <v>6000</v>
      </c>
      <c r="N88" s="24" t="n">
        <f aca="false">SUM(B88:M88)</f>
        <v>115960</v>
      </c>
    </row>
    <row r="89" customFormat="false" ht="15" hidden="false" customHeight="true" outlineLevel="0" collapsed="false">
      <c r="A89" s="25" t="s">
        <v>84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 t="n">
        <v>231000</v>
      </c>
      <c r="N89" s="27" t="n">
        <f aca="false">SUM(B89:M89)</f>
        <v>231000</v>
      </c>
    </row>
    <row r="90" customFormat="false" ht="15" hidden="false" customHeight="true" outlineLevel="0" collapsed="false">
      <c r="A90" s="22" t="s">
        <v>85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 t="n">
        <v>70940</v>
      </c>
      <c r="N90" s="24" t="n">
        <f aca="false">SUM(B90:M90)</f>
        <v>70940</v>
      </c>
    </row>
    <row r="91" customFormat="false" ht="15" hidden="false" customHeight="true" outlineLevel="0" collapsed="false">
      <c r="A91" s="25" t="s">
        <v>86</v>
      </c>
      <c r="B91" s="26" t="n">
        <v>25000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 t="n">
        <f aca="false">SUM(B91:M91)</f>
        <v>25000</v>
      </c>
    </row>
    <row r="92" customFormat="false" ht="15" hidden="false" customHeight="true" outlineLevel="0" collapsed="false">
      <c r="A92" s="22" t="s">
        <v>87</v>
      </c>
      <c r="B92" s="23" t="n">
        <v>8500</v>
      </c>
      <c r="C92" s="23" t="n">
        <v>8500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 t="n">
        <f aca="false">SUM(B92:M92)</f>
        <v>17000</v>
      </c>
    </row>
    <row r="93" customFormat="false" ht="15" hidden="false" customHeight="true" outlineLevel="0" collapsed="false">
      <c r="A93" s="25" t="s">
        <v>88</v>
      </c>
      <c r="B93" s="26" t="n">
        <v>8000</v>
      </c>
      <c r="C93" s="26" t="n">
        <v>8000</v>
      </c>
      <c r="D93" s="26" t="n">
        <v>8000</v>
      </c>
      <c r="E93" s="26" t="n">
        <v>8000</v>
      </c>
      <c r="F93" s="26" t="n">
        <v>8000</v>
      </c>
      <c r="G93" s="26" t="n">
        <v>8000</v>
      </c>
      <c r="H93" s="26"/>
      <c r="I93" s="26"/>
      <c r="J93" s="26"/>
      <c r="K93" s="26"/>
      <c r="L93" s="26"/>
      <c r="M93" s="26"/>
      <c r="N93" s="27" t="n">
        <f aca="false">SUM(B93:M93)</f>
        <v>48000</v>
      </c>
    </row>
    <row r="94" customFormat="false" ht="15" hidden="false" customHeight="true" outlineLevel="0" collapsed="false">
      <c r="A94" s="22" t="s">
        <v>89</v>
      </c>
      <c r="B94" s="23"/>
      <c r="C94" s="23"/>
      <c r="D94" s="23" t="n">
        <v>15000</v>
      </c>
      <c r="E94" s="23" t="n">
        <v>15000</v>
      </c>
      <c r="F94" s="23"/>
      <c r="G94" s="23"/>
      <c r="H94" s="23"/>
      <c r="I94" s="23"/>
      <c r="J94" s="23"/>
      <c r="K94" s="23"/>
      <c r="L94" s="23"/>
      <c r="M94" s="23"/>
      <c r="N94" s="24" t="n">
        <f aca="false">SUM(B94:M94)</f>
        <v>30000</v>
      </c>
    </row>
    <row r="95" customFormat="false" ht="15" hidden="false" customHeight="true" outlineLevel="0" collapsed="false">
      <c r="A95" s="25" t="s">
        <v>90</v>
      </c>
      <c r="B95" s="26"/>
      <c r="C95" s="26" t="n">
        <v>10000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 t="n">
        <f aca="false">SUM(B95:M95)</f>
        <v>10000</v>
      </c>
    </row>
    <row r="96" customFormat="false" ht="15" hidden="false" customHeight="true" outlineLevel="0" collapsed="false">
      <c r="A96" s="22" t="s">
        <v>91</v>
      </c>
      <c r="B96" s="23"/>
      <c r="C96" s="23"/>
      <c r="D96" s="23" t="n">
        <v>20000</v>
      </c>
      <c r="E96" s="23"/>
      <c r="F96" s="23"/>
      <c r="G96" s="23"/>
      <c r="H96" s="23"/>
      <c r="I96" s="23"/>
      <c r="J96" s="23"/>
      <c r="K96" s="23"/>
      <c r="L96" s="23"/>
      <c r="M96" s="23"/>
      <c r="N96" s="24" t="n">
        <f aca="false">SUM(B96:M96)</f>
        <v>20000</v>
      </c>
    </row>
    <row r="97" customFormat="false" ht="15" hidden="false" customHeight="true" outlineLevel="0" collapsed="false">
      <c r="A97" s="25" t="s">
        <v>92</v>
      </c>
      <c r="B97" s="26"/>
      <c r="C97" s="26"/>
      <c r="D97" s="26"/>
      <c r="E97" s="26"/>
      <c r="F97" s="26"/>
      <c r="G97" s="26"/>
      <c r="H97" s="26"/>
      <c r="I97" s="26" t="n">
        <v>20000</v>
      </c>
      <c r="J97" s="26"/>
      <c r="K97" s="26"/>
      <c r="L97" s="26"/>
      <c r="M97" s="26"/>
      <c r="N97" s="27" t="n">
        <f aca="false">SUM(B97:M97)</f>
        <v>20000</v>
      </c>
    </row>
    <row r="98" customFormat="false" ht="15" hidden="false" customHeight="true" outlineLevel="0" collapsed="false">
      <c r="A98" s="22" t="s">
        <v>93</v>
      </c>
      <c r="B98" s="23" t="n">
        <v>6174</v>
      </c>
      <c r="C98" s="23" t="n">
        <v>6174</v>
      </c>
      <c r="D98" s="23" t="n">
        <v>6174</v>
      </c>
      <c r="E98" s="23" t="n">
        <v>6174</v>
      </c>
      <c r="F98" s="23" t="n">
        <v>6174</v>
      </c>
      <c r="G98" s="23" t="n">
        <v>6174</v>
      </c>
      <c r="H98" s="23" t="n">
        <v>6174</v>
      </c>
      <c r="I98" s="23" t="n">
        <v>6174</v>
      </c>
      <c r="J98" s="23" t="n">
        <v>6174</v>
      </c>
      <c r="K98" s="23"/>
      <c r="L98" s="23"/>
      <c r="M98" s="23"/>
      <c r="N98" s="24" t="n">
        <f aca="false">SUM(B98:M98)</f>
        <v>55566</v>
      </c>
    </row>
    <row r="99" customFormat="false" ht="15" hidden="false" customHeight="true" outlineLevel="0" collapsed="false">
      <c r="A99" s="25" t="s">
        <v>94</v>
      </c>
      <c r="B99" s="26" t="n">
        <v>5167</v>
      </c>
      <c r="C99" s="26" t="n">
        <v>5167</v>
      </c>
      <c r="D99" s="26" t="n">
        <v>5167</v>
      </c>
      <c r="E99" s="26" t="n">
        <v>5167</v>
      </c>
      <c r="F99" s="26" t="n">
        <v>5167</v>
      </c>
      <c r="G99" s="26" t="n">
        <v>5167</v>
      </c>
      <c r="H99" s="26" t="n">
        <v>5167</v>
      </c>
      <c r="I99" s="26" t="n">
        <v>5167</v>
      </c>
      <c r="J99" s="26" t="n">
        <v>5167</v>
      </c>
      <c r="K99" s="26" t="n">
        <v>5167</v>
      </c>
      <c r="L99" s="26" t="n">
        <v>5167</v>
      </c>
      <c r="M99" s="26" t="n">
        <v>5163</v>
      </c>
      <c r="N99" s="27" t="n">
        <f aca="false">SUM(B99:M99)</f>
        <v>62000</v>
      </c>
    </row>
    <row r="100" customFormat="false" ht="15" hidden="false" customHeight="true" outlineLevel="0" collapsed="false">
      <c r="A100" s="22" t="s">
        <v>95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 t="n">
        <v>135253</v>
      </c>
      <c r="N100" s="24" t="n">
        <f aca="false">SUM(B100:M100)</f>
        <v>135253</v>
      </c>
    </row>
    <row r="101" customFormat="false" ht="15" hidden="false" customHeight="true" outlineLevel="0" collapsed="false">
      <c r="A101" s="28" t="s">
        <v>96</v>
      </c>
      <c r="B101" s="29" t="n">
        <f aca="false">SUM(B84:B100)</f>
        <v>81111</v>
      </c>
      <c r="C101" s="29" t="n">
        <f aca="false">SUM(C84:C100)</f>
        <v>69111</v>
      </c>
      <c r="D101" s="29" t="n">
        <f aca="false">SUM(D84:D100)</f>
        <v>82611</v>
      </c>
      <c r="E101" s="29" t="n">
        <f aca="false">SUM(E84:E100)</f>
        <v>66611</v>
      </c>
      <c r="F101" s="29" t="n">
        <f aca="false">SUM(F84:F100)</f>
        <v>45611</v>
      </c>
      <c r="G101" s="29" t="n">
        <f aca="false">SUM(G84:G100)</f>
        <v>51611</v>
      </c>
      <c r="H101" s="29" t="n">
        <f aca="false">SUM(H84:H100)</f>
        <v>42611</v>
      </c>
      <c r="I101" s="29" t="n">
        <f aca="false">SUM(I84:I100)</f>
        <v>62611</v>
      </c>
      <c r="J101" s="29" t="n">
        <f aca="false">SUM(J84:J100)</f>
        <v>42571</v>
      </c>
      <c r="K101" s="29" t="n">
        <f aca="false">SUM(K84:K100)</f>
        <v>35437</v>
      </c>
      <c r="L101" s="29" t="n">
        <f aca="false">SUM(L84:L100)</f>
        <v>33437</v>
      </c>
      <c r="M101" s="29" t="n">
        <f aca="false">SUM(M84:M100)</f>
        <v>475514</v>
      </c>
      <c r="N101" s="29" t="n">
        <f aca="false">SUM(N82:N100)</f>
        <v>1297247</v>
      </c>
    </row>
    <row r="102" customFormat="false" ht="15" hidden="false" customHeight="true" outlineLevel="0" collapsed="false">
      <c r="A102" s="1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customFormat="false" ht="15" hidden="false" customHeight="true" outlineLevel="0" collapsed="false">
      <c r="A103" s="31" t="s">
        <v>97</v>
      </c>
      <c r="B103" s="32" t="n">
        <f aca="false">B77+B101</f>
        <v>68421</v>
      </c>
      <c r="C103" s="32" t="n">
        <f aca="false">C77+C101</f>
        <v>154369</v>
      </c>
      <c r="D103" s="32" t="n">
        <f aca="false">D77+D101</f>
        <v>206924</v>
      </c>
      <c r="E103" s="32" t="n">
        <f aca="false">E77+E101</f>
        <v>311402</v>
      </c>
      <c r="F103" s="32" t="n">
        <f aca="false">F77+F101</f>
        <v>239608</v>
      </c>
      <c r="G103" s="32" t="n">
        <f aca="false">G77+G101</f>
        <v>330545</v>
      </c>
      <c r="H103" s="32" t="n">
        <f aca="false">H77+H101</f>
        <v>203606</v>
      </c>
      <c r="I103" s="32" t="n">
        <f aca="false">I77+I101</f>
        <v>301680</v>
      </c>
      <c r="J103" s="32" t="n">
        <f aca="false">J77+J101</f>
        <v>93306</v>
      </c>
      <c r="K103" s="32" t="n">
        <f aca="false">K77+K101</f>
        <v>180203</v>
      </c>
      <c r="L103" s="32" t="n">
        <f aca="false">L77+L101</f>
        <v>213434</v>
      </c>
      <c r="M103" s="32" t="n">
        <f aca="false">M77+M101</f>
        <v>380509</v>
      </c>
      <c r="N103" s="32" t="n">
        <f aca="false">N77+N101</f>
        <v>2892407</v>
      </c>
    </row>
    <row r="104" customFormat="false" ht="15" hidden="false" customHeight="true" outlineLevel="0" collapsed="false">
      <c r="A104" s="33" t="s">
        <v>98</v>
      </c>
      <c r="B104" s="34" t="n">
        <f aca="false">IF(B38=0,0,B103/B38)</f>
        <v>0.0593794152054904</v>
      </c>
      <c r="C104" s="34" t="n">
        <f aca="false">IF(C38=0,0,C103/C38)</f>
        <v>0.101253260727688</v>
      </c>
      <c r="D104" s="34" t="n">
        <f aca="false">IF(D38=0,0,D103/D38)</f>
        <v>0.144654452973881</v>
      </c>
      <c r="E104" s="34" t="n">
        <f aca="false">IF(E38=0,0,E103/E38)</f>
        <v>0.195629585235275</v>
      </c>
      <c r="F104" s="34" t="n">
        <f aca="false">IF(F38=0,0,F103/F38)</f>
        <v>0.160833621965004</v>
      </c>
      <c r="G104" s="34" t="n">
        <f aca="false">IF(G38=0,0,G103/G38)</f>
        <v>0.200011496826271</v>
      </c>
      <c r="H104" s="34" t="n">
        <f aca="false">IF(H38=0,0,H103/H38)</f>
        <v>0.114088059265767</v>
      </c>
      <c r="I104" s="34" t="n">
        <f aca="false">IF(I38=0,0,I103/I38)</f>
        <v>0.173629476492855</v>
      </c>
      <c r="J104" s="34" t="n">
        <f aca="false">IF(J38=0,0,J103/J38)</f>
        <v>0.0718040590925566</v>
      </c>
      <c r="K104" s="34" t="n">
        <f aca="false">IF(K38=0,0,K103/K38)</f>
        <v>0.110000408984723</v>
      </c>
      <c r="L104" s="34" t="n">
        <f aca="false">IF(L38=0,0,L103/L38)</f>
        <v>0.162054837788752</v>
      </c>
      <c r="M104" s="34" t="n">
        <f aca="false">IF(M38=0,0,M103/M38)</f>
        <v>0.340030722680004</v>
      </c>
      <c r="N104" s="34" t="n">
        <f aca="false">IF(N38=0,0,N103/N38)</f>
        <v>0.163068143026269</v>
      </c>
    </row>
    <row r="105" customFormat="false" ht="1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</sheetData>
  <mergeCells count="3">
    <mergeCell ref="A1:N1"/>
    <mergeCell ref="A2:N2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2026-04-02T23:45:18Z</dcterms:created>
  <dc:creator>openpyxl</dc:creator>
  <dc:description/>
  <dc:language>en-US</dc:language>
  <cp:lastModifiedBy/>
  <dcterms:modified xsi:type="dcterms:W3CDTF">2026-04-08T17:01:00Z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