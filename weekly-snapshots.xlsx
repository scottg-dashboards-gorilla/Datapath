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Data" sheetId="1" state="visible" r:id="rId3"/>
    <sheet name="Monthly Dashboard" sheetId="2" state="visible" r:id="rId4"/>
    <sheet name="WoW Trends" sheetId="3" state="visible" r:id="rId5"/>
    <sheet name="Revenue Lag" sheetId="4" state="visible" r:id="rId6"/>
  </sheets>
  <definedNames>
    <definedName function="false" hidden="true" localSheetId="0" name="_xlnm._FilterDatabase" vbProcedure="false">'Weekly Data'!$A$4:$AN$131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<sst xmlns="http://schemas.openxmlformats.org/spreadsheetml/2006/main" count="592" uniqueCount="372">
  <si>
    <t xml:space="preserve">DataPath — Weekly Performance Tracker (2025–2026)</t>
  </si>
  <si>
    <t xml:space="preserve">One row per week. Blue text = enter from dashboard. Monthly subtotal rows auto-calculate. Filter by Year/Month columns. Freeze panes set on row 4.</t>
  </si>
  <si>
    <t xml:space="preserve">ConnectWise</t>
  </si>
  <si>
    <t xml:space="preserve">Computed</t>
  </si>
  <si>
    <t xml:space="preserve">Sage</t>
  </si>
  <si>
    <t xml:space="preserve">HubSpot</t>
  </si>
  <si>
    <t xml:space="preserve">Year</t>
  </si>
  <si>
    <t xml:space="preserve">Month</t>
  </si>
  <si>
    <t xml:space="preserve">Wk #</t>
  </si>
  <si>
    <t xml:space="preserve">Week Range</t>
  </si>
  <si>
    <t xml:space="preserve">Date Key</t>
  </si>
  <si>
    <t xml:space="preserve">Total Rev Won</t>
  </si>
  <si>
    <t xml:space="preserve">NRR</t>
  </si>
  <si>
    <t xml:space="preserve">Recur Rev (Mo)</t>
  </si>
  <si>
    <t xml:space="preserve">Recur Rev (Ann)</t>
  </si>
  <si>
    <t xml:space="preserve">Target</t>
  </si>
  <si>
    <t xml:space="preserve">% of Target</t>
  </si>
  <si>
    <t xml:space="preserve">Joel Walker</t>
  </si>
  <si>
    <t xml:space="preserve">Nathan La Fleche</t>
  </si>
  <si>
    <t xml:space="preserve">Dan Sturdivant</t>
  </si>
  <si>
    <t xml:space="preserve">Jay Harvey</t>
  </si>
  <si>
    <t xml:space="preserve">Ricky Maestas</t>
  </si>
  <si>
    <t xml:space="preserve">Maria Martinez</t>
  </si>
  <si>
    <t xml:space="preserve">Julissa Martinez</t>
  </si>
  <si>
    <t xml:space="preserve">P&amp;L Gross Sales</t>
  </si>
  <si>
    <t xml:space="preserve">P&amp;L COGS</t>
  </si>
  <si>
    <t xml:space="preserve">P&amp;L Gross Margin</t>
  </si>
  <si>
    <t xml:space="preserve">P&amp;L GM %</t>
  </si>
  <si>
    <t xml:space="preserve">Won vs Billed Gap</t>
  </si>
  <si>
    <t xml:space="preserve">Cash on Hand</t>
  </si>
  <si>
    <t xml:space="preserve">DSO</t>
  </si>
  <si>
    <t xml:space="preserve">AR Total</t>
  </si>
  <si>
    <t xml:space="preserve">AP Total</t>
  </si>
  <si>
    <t xml:space="preserve">Payroll % Rev</t>
  </si>
  <si>
    <t xml:space="preserve">Tickets Created</t>
  </si>
  <si>
    <t xml:space="preserve">Tickets Resolved</t>
  </si>
  <si>
    <t xml:space="preserve">Open Tickets</t>
  </si>
  <si>
    <t xml:space="preserve">Avg Resolution (hrs)</t>
  </si>
  <si>
    <t xml:space="preserve">SLA Compliance %</t>
  </si>
  <si>
    <t xml:space="preserve">Svc Util (THUNDR)</t>
  </si>
  <si>
    <t xml:space="preserve">Proj Util (TopGun)</t>
  </si>
  <si>
    <t xml:space="preserve">Company Util</t>
  </si>
  <si>
    <t xml:space="preserve">Pipeline Value</t>
  </si>
  <si>
    <t xml:space="preserve">Proposals Sent</t>
  </si>
  <si>
    <t xml:space="preserve">Win Rate %</t>
  </si>
  <si>
    <t xml:space="preserve">Opportunities</t>
  </si>
  <si>
    <t xml:space="preserve">Jan</t>
  </si>
  <si>
    <t xml:space="preserve">Jan 06 – Jan 10</t>
  </si>
  <si>
    <t xml:space="preserve">2025-01-06</t>
  </si>
  <si>
    <t xml:space="preserve">Jan 13 – Jan 17</t>
  </si>
  <si>
    <t xml:space="preserve">2025-01-13</t>
  </si>
  <si>
    <t xml:space="preserve">Jan 20 – Jan 24</t>
  </si>
  <si>
    <t xml:space="preserve">2025-01-20</t>
  </si>
  <si>
    <t xml:space="preserve">Jan 27 – Jan 31</t>
  </si>
  <si>
    <t xml:space="preserve">2025-01-27</t>
  </si>
  <si>
    <t xml:space="preserve">Jan 2025 TOTAL</t>
  </si>
  <si>
    <t xml:space="preserve">Feb</t>
  </si>
  <si>
    <t xml:space="preserve">Feb 03 – Feb 07</t>
  </si>
  <si>
    <t xml:space="preserve">2025-02-03</t>
  </si>
  <si>
    <t xml:space="preserve">Feb 10 – Feb 14</t>
  </si>
  <si>
    <t xml:space="preserve">2025-02-10</t>
  </si>
  <si>
    <t xml:space="preserve">Feb 17 – Feb 21</t>
  </si>
  <si>
    <t xml:space="preserve">2025-02-17</t>
  </si>
  <si>
    <t xml:space="preserve">Feb 24 – Feb 28</t>
  </si>
  <si>
    <t xml:space="preserve">2025-02-24</t>
  </si>
  <si>
    <t xml:space="preserve">Feb 2025 TOTAL</t>
  </si>
  <si>
    <t xml:space="preserve">Mar</t>
  </si>
  <si>
    <t xml:space="preserve">Mar 03 – Mar 07</t>
  </si>
  <si>
    <t xml:space="preserve">2025-03-03</t>
  </si>
  <si>
    <t xml:space="preserve">Mar 10 – Mar 14</t>
  </si>
  <si>
    <t xml:space="preserve">2025-03-10</t>
  </si>
  <si>
    <t xml:space="preserve">Mar 17 – Mar 21</t>
  </si>
  <si>
    <t xml:space="preserve">2025-03-17</t>
  </si>
  <si>
    <t xml:space="preserve">Mar 24 – Mar 28</t>
  </si>
  <si>
    <t xml:space="preserve">2025-03-24</t>
  </si>
  <si>
    <t xml:space="preserve">Mar 31 – Apr 04</t>
  </si>
  <si>
    <t xml:space="preserve">2025-03-31</t>
  </si>
  <si>
    <t xml:space="preserve">Mar 2025 TOTAL</t>
  </si>
  <si>
    <t xml:space="preserve">Apr</t>
  </si>
  <si>
    <t xml:space="preserve">Apr 07 – Apr 11</t>
  </si>
  <si>
    <t xml:space="preserve">2025-04-07</t>
  </si>
  <si>
    <t xml:space="preserve">Apr 14 – Apr 18</t>
  </si>
  <si>
    <t xml:space="preserve">2025-04-14</t>
  </si>
  <si>
    <t xml:space="preserve">Apr 21 – Apr 25</t>
  </si>
  <si>
    <t xml:space="preserve">2025-04-21</t>
  </si>
  <si>
    <t xml:space="preserve">Apr 28 – May 02</t>
  </si>
  <si>
    <t xml:space="preserve">2025-04-28</t>
  </si>
  <si>
    <t xml:space="preserve">Apr 2025 TOTAL</t>
  </si>
  <si>
    <t xml:space="preserve">May</t>
  </si>
  <si>
    <t xml:space="preserve">May 05 – May 09</t>
  </si>
  <si>
    <t xml:space="preserve">2025-05-05</t>
  </si>
  <si>
    <t xml:space="preserve">May 12 – May 16</t>
  </si>
  <si>
    <t xml:space="preserve">2025-05-12</t>
  </si>
  <si>
    <t xml:space="preserve">May 19 – May 23</t>
  </si>
  <si>
    <t xml:space="preserve">2025-05-19</t>
  </si>
  <si>
    <t xml:space="preserve">May 26 – May 30</t>
  </si>
  <si>
    <t xml:space="preserve">2025-05-26</t>
  </si>
  <si>
    <t xml:space="preserve">May 2025 TOTAL</t>
  </si>
  <si>
    <t xml:space="preserve">Jun</t>
  </si>
  <si>
    <t xml:space="preserve">Jun 02 – Jun 06</t>
  </si>
  <si>
    <t xml:space="preserve">2025-06-02</t>
  </si>
  <si>
    <t xml:space="preserve">Jun 09 – Jun 13</t>
  </si>
  <si>
    <t xml:space="preserve">2025-06-09</t>
  </si>
  <si>
    <t xml:space="preserve">Jun 16 – Jun 20</t>
  </si>
  <si>
    <t xml:space="preserve">2025-06-16</t>
  </si>
  <si>
    <t xml:space="preserve">Jun 23 – Jun 27</t>
  </si>
  <si>
    <t xml:space="preserve">2025-06-23</t>
  </si>
  <si>
    <t xml:space="preserve">Jun 30 – Jul 04</t>
  </si>
  <si>
    <t xml:space="preserve">2025-06-30</t>
  </si>
  <si>
    <t xml:space="preserve">Jun 2025 TOTAL</t>
  </si>
  <si>
    <t xml:space="preserve">Jul</t>
  </si>
  <si>
    <t xml:space="preserve">Jul 07 – Jul 11</t>
  </si>
  <si>
    <t xml:space="preserve">2025-07-07</t>
  </si>
  <si>
    <t xml:space="preserve">Jul 14 – Jul 18</t>
  </si>
  <si>
    <t xml:space="preserve">2025-07-14</t>
  </si>
  <si>
    <t xml:space="preserve">Jul 21 – Jul 25</t>
  </si>
  <si>
    <t xml:space="preserve">2025-07-21</t>
  </si>
  <si>
    <t xml:space="preserve">Jul 28 – Aug 01</t>
  </si>
  <si>
    <t xml:space="preserve">2025-07-28</t>
  </si>
  <si>
    <t xml:space="preserve">Jul 2025 TOTAL</t>
  </si>
  <si>
    <t xml:space="preserve">Aug</t>
  </si>
  <si>
    <t xml:space="preserve">Aug 04 – Aug 08</t>
  </si>
  <si>
    <t xml:space="preserve">2025-08-04</t>
  </si>
  <si>
    <t xml:space="preserve">Aug 11 – Aug 15</t>
  </si>
  <si>
    <t xml:space="preserve">2025-08-11</t>
  </si>
  <si>
    <t xml:space="preserve">Aug 18 – Aug 22</t>
  </si>
  <si>
    <t xml:space="preserve">2025-08-18</t>
  </si>
  <si>
    <t xml:space="preserve">Aug 25 – Aug 29</t>
  </si>
  <si>
    <t xml:space="preserve">2025-08-25</t>
  </si>
  <si>
    <t xml:space="preserve">Aug 2025 TOTAL</t>
  </si>
  <si>
    <t xml:space="preserve">Sep</t>
  </si>
  <si>
    <t xml:space="preserve">Sep 01 – Sep 05</t>
  </si>
  <si>
    <t xml:space="preserve">2025-09-01</t>
  </si>
  <si>
    <t xml:space="preserve">Sep 08 – Sep 12</t>
  </si>
  <si>
    <t xml:space="preserve">2025-09-08</t>
  </si>
  <si>
    <t xml:space="preserve">Sep 15 – Sep 19</t>
  </si>
  <si>
    <t xml:space="preserve">2025-09-15</t>
  </si>
  <si>
    <t xml:space="preserve">Sep 22 – Sep 26</t>
  </si>
  <si>
    <t xml:space="preserve">2025-09-22</t>
  </si>
  <si>
    <t xml:space="preserve">Sep 29 – Oct 03</t>
  </si>
  <si>
    <t xml:space="preserve">2025-09-29</t>
  </si>
  <si>
    <t xml:space="preserve">Sep 2025 TOTAL</t>
  </si>
  <si>
    <t xml:space="preserve">Oct</t>
  </si>
  <si>
    <t xml:space="preserve">Oct 06 – Oct 10</t>
  </si>
  <si>
    <t xml:space="preserve">2025-10-06</t>
  </si>
  <si>
    <t xml:space="preserve">Oct 13 – Oct 17</t>
  </si>
  <si>
    <t xml:space="preserve">2025-10-13</t>
  </si>
  <si>
    <t xml:space="preserve">Oct 20 – Oct 24</t>
  </si>
  <si>
    <t xml:space="preserve">2025-10-20</t>
  </si>
  <si>
    <t xml:space="preserve">Oct 27 – Oct 31</t>
  </si>
  <si>
    <t xml:space="preserve">2025-10-27</t>
  </si>
  <si>
    <t xml:space="preserve">Oct 2025 TOTAL</t>
  </si>
  <si>
    <t xml:space="preserve">Nov</t>
  </si>
  <si>
    <t xml:space="preserve">Nov 03 – Nov 07</t>
  </si>
  <si>
    <t xml:space="preserve">2025-11-03</t>
  </si>
  <si>
    <t xml:space="preserve">Nov 10 – Nov 14</t>
  </si>
  <si>
    <t xml:space="preserve">2025-11-10</t>
  </si>
  <si>
    <t xml:space="preserve">Nov 17 – Nov 21</t>
  </si>
  <si>
    <t xml:space="preserve">2025-11-17</t>
  </si>
  <si>
    <t xml:space="preserve">Nov 24 – Nov 28</t>
  </si>
  <si>
    <t xml:space="preserve">2025-11-24</t>
  </si>
  <si>
    <t xml:space="preserve">Nov 2025 TOTAL</t>
  </si>
  <si>
    <t xml:space="preserve">Dec</t>
  </si>
  <si>
    <t xml:space="preserve">Dec 01 – Dec 05</t>
  </si>
  <si>
    <t xml:space="preserve">2025-12-01</t>
  </si>
  <si>
    <t xml:space="preserve">Dec 08 – Dec 12</t>
  </si>
  <si>
    <t xml:space="preserve">2025-12-08</t>
  </si>
  <si>
    <t xml:space="preserve">Dec 15 – Dec 19</t>
  </si>
  <si>
    <t xml:space="preserve">2025-12-15</t>
  </si>
  <si>
    <t xml:space="preserve">Dec 22 – Dec 26</t>
  </si>
  <si>
    <t xml:space="preserve">2025-12-22</t>
  </si>
  <si>
    <t xml:space="preserve">Dec 29 – Jan 02</t>
  </si>
  <si>
    <t xml:space="preserve">2025-12-29</t>
  </si>
  <si>
    <t xml:space="preserve">Jan 05 – Jan 09</t>
  </si>
  <si>
    <t xml:space="preserve">2026-01-05</t>
  </si>
  <si>
    <t xml:space="preserve">Jan 12 – Jan 16</t>
  </si>
  <si>
    <t xml:space="preserve">2026-01-12</t>
  </si>
  <si>
    <t xml:space="preserve">Jan 19 – Jan 23</t>
  </si>
  <si>
    <t xml:space="preserve">2026-01-19</t>
  </si>
  <si>
    <t xml:space="preserve">Jan 26 – Jan 30</t>
  </si>
  <si>
    <t xml:space="preserve">2026-01-26</t>
  </si>
  <si>
    <t xml:space="preserve">Jan 2026 TOTAL</t>
  </si>
  <si>
    <t xml:space="preserve">Feb 02 – Feb 06</t>
  </si>
  <si>
    <t xml:space="preserve">2026-02-02</t>
  </si>
  <si>
    <t xml:space="preserve">Feb 09 – Feb 13</t>
  </si>
  <si>
    <t xml:space="preserve">2026-02-09</t>
  </si>
  <si>
    <t xml:space="preserve">Feb 16 – Feb 20</t>
  </si>
  <si>
    <t xml:space="preserve">2026-02-16</t>
  </si>
  <si>
    <t xml:space="preserve">Feb 23 – Feb 27</t>
  </si>
  <si>
    <t xml:space="preserve">2026-02-23</t>
  </si>
  <si>
    <t xml:space="preserve">Feb 2026 TOTAL</t>
  </si>
  <si>
    <t xml:space="preserve">Mar 02 – Mar 06</t>
  </si>
  <si>
    <t xml:space="preserve">2026-03-02</t>
  </si>
  <si>
    <t xml:space="preserve">Mar 09 – Mar 13</t>
  </si>
  <si>
    <t xml:space="preserve">2026-03-09</t>
  </si>
  <si>
    <t xml:space="preserve">Mar 16 – Mar 20</t>
  </si>
  <si>
    <t xml:space="preserve">2026-03-16</t>
  </si>
  <si>
    <t xml:space="preserve">Mar 23 – Mar 27</t>
  </si>
  <si>
    <t xml:space="preserve">2026-03-23</t>
  </si>
  <si>
    <t xml:space="preserve">Mar 30 – Apr 03</t>
  </si>
  <si>
    <t xml:space="preserve">2026-03-30</t>
  </si>
  <si>
    <t xml:space="preserve">Mar 2026 TOTAL</t>
  </si>
  <si>
    <t xml:space="preserve">Apr 06 – Apr 10</t>
  </si>
  <si>
    <t xml:space="preserve">2026-04-06</t>
  </si>
  <si>
    <t xml:space="preserve">Apr 13 – Apr 17</t>
  </si>
  <si>
    <t xml:space="preserve">2026-04-13</t>
  </si>
  <si>
    <t xml:space="preserve">Apr 20 – Apr 24</t>
  </si>
  <si>
    <t xml:space="preserve">2026-04-20</t>
  </si>
  <si>
    <t xml:space="preserve">Apr 27 – May 01</t>
  </si>
  <si>
    <t xml:space="preserve">2026-04-27</t>
  </si>
  <si>
    <t xml:space="preserve">Apr 2026 TOTAL</t>
  </si>
  <si>
    <t xml:space="preserve">May 04 – May 08</t>
  </si>
  <si>
    <t xml:space="preserve">2026-05-04</t>
  </si>
  <si>
    <t xml:space="preserve">May 11 – May 15</t>
  </si>
  <si>
    <t xml:space="preserve">2026-05-11</t>
  </si>
  <si>
    <t xml:space="preserve">May 18 – May 22</t>
  </si>
  <si>
    <t xml:space="preserve">2026-05-18</t>
  </si>
  <si>
    <t xml:space="preserve">May 25 – May 29</t>
  </si>
  <si>
    <t xml:space="preserve">2026-05-25</t>
  </si>
  <si>
    <t xml:space="preserve">May 2026 TOTAL</t>
  </si>
  <si>
    <t xml:space="preserve">Jun 01 – Jun 05</t>
  </si>
  <si>
    <t xml:space="preserve">2026-06-01</t>
  </si>
  <si>
    <t xml:space="preserve">Jun 08 – Jun 12</t>
  </si>
  <si>
    <t xml:space="preserve">2026-06-08</t>
  </si>
  <si>
    <t xml:space="preserve">Jun 15 – Jun 19</t>
  </si>
  <si>
    <t xml:space="preserve">2026-06-15</t>
  </si>
  <si>
    <t xml:space="preserve">Jun 22 – Jun 26</t>
  </si>
  <si>
    <t xml:space="preserve">2026-06-22</t>
  </si>
  <si>
    <t xml:space="preserve">Jun 29 – Jul 03</t>
  </si>
  <si>
    <t xml:space="preserve">2026-06-29</t>
  </si>
  <si>
    <t xml:space="preserve">Jun 2026 TOTAL</t>
  </si>
  <si>
    <t xml:space="preserve">Jul 06 – Jul 10</t>
  </si>
  <si>
    <t xml:space="preserve">2026-07-06</t>
  </si>
  <si>
    <t xml:space="preserve">Jul 13 – Jul 17</t>
  </si>
  <si>
    <t xml:space="preserve">2026-07-13</t>
  </si>
  <si>
    <t xml:space="preserve">Jul 20 – Jul 24</t>
  </si>
  <si>
    <t xml:space="preserve">2026-07-20</t>
  </si>
  <si>
    <t xml:space="preserve">Jul 27 – Jul 31</t>
  </si>
  <si>
    <t xml:space="preserve">2026-07-27</t>
  </si>
  <si>
    <t xml:space="preserve">Jul 2026 TOTAL</t>
  </si>
  <si>
    <t xml:space="preserve">Aug 03 – Aug 07</t>
  </si>
  <si>
    <t xml:space="preserve">2026-08-03</t>
  </si>
  <si>
    <t xml:space="preserve">Aug 10 – Aug 14</t>
  </si>
  <si>
    <t xml:space="preserve">2026-08-10</t>
  </si>
  <si>
    <t xml:space="preserve">Aug 17 – Aug 21</t>
  </si>
  <si>
    <t xml:space="preserve">2026-08-17</t>
  </si>
  <si>
    <t xml:space="preserve">Aug 24 – Aug 28</t>
  </si>
  <si>
    <t xml:space="preserve">2026-08-24</t>
  </si>
  <si>
    <t xml:space="preserve">Aug 31 – Sep 04</t>
  </si>
  <si>
    <t xml:space="preserve">2026-08-31</t>
  </si>
  <si>
    <t xml:space="preserve">Aug 2026 TOTAL</t>
  </si>
  <si>
    <t xml:space="preserve">Sep 07 – Sep 11</t>
  </si>
  <si>
    <t xml:space="preserve">2026-09-07</t>
  </si>
  <si>
    <t xml:space="preserve">Sep 14 – Sep 18</t>
  </si>
  <si>
    <t xml:space="preserve">2026-09-14</t>
  </si>
  <si>
    <t xml:space="preserve">Sep 21 – Sep 25</t>
  </si>
  <si>
    <t xml:space="preserve">2026-09-21</t>
  </si>
  <si>
    <t xml:space="preserve">Sep 28 – Oct 02</t>
  </si>
  <si>
    <t xml:space="preserve">2026-09-28</t>
  </si>
  <si>
    <t xml:space="preserve">Sep 2026 TOTAL</t>
  </si>
  <si>
    <t xml:space="preserve">Oct 05 – Oct 09</t>
  </si>
  <si>
    <t xml:space="preserve">2026-10-05</t>
  </si>
  <si>
    <t xml:space="preserve">Oct 12 – Oct 16</t>
  </si>
  <si>
    <t xml:space="preserve">2026-10-12</t>
  </si>
  <si>
    <t xml:space="preserve">Oct 19 – Oct 23</t>
  </si>
  <si>
    <t xml:space="preserve">2026-10-19</t>
  </si>
  <si>
    <t xml:space="preserve">Oct 26 – Oct 30</t>
  </si>
  <si>
    <t xml:space="preserve">2026-10-26</t>
  </si>
  <si>
    <t xml:space="preserve">Oct 2026 TOTAL</t>
  </si>
  <si>
    <t xml:space="preserve">Nov 02 – Nov 06</t>
  </si>
  <si>
    <t xml:space="preserve">2026-11-02</t>
  </si>
  <si>
    <t xml:space="preserve">Nov 09 – Nov 13</t>
  </si>
  <si>
    <t xml:space="preserve">2026-11-09</t>
  </si>
  <si>
    <t xml:space="preserve">Nov 16 – Nov 20</t>
  </si>
  <si>
    <t xml:space="preserve">2026-11-16</t>
  </si>
  <si>
    <t xml:space="preserve">Nov 23 – Nov 27</t>
  </si>
  <si>
    <t xml:space="preserve">2026-11-23</t>
  </si>
  <si>
    <t xml:space="preserve">Nov 30 – Dec 04</t>
  </si>
  <si>
    <t xml:space="preserve">2026-11-30</t>
  </si>
  <si>
    <t xml:space="preserve">Nov 2026 TOTAL</t>
  </si>
  <si>
    <t xml:space="preserve">Dec 07 – Dec 11</t>
  </si>
  <si>
    <t xml:space="preserve">2026-12-07</t>
  </si>
  <si>
    <t xml:space="preserve">Dec 14 – Dec 18</t>
  </si>
  <si>
    <t xml:space="preserve">2026-12-14</t>
  </si>
  <si>
    <t xml:space="preserve">Dec 21 – Dec 25</t>
  </si>
  <si>
    <t xml:space="preserve">2026-12-21</t>
  </si>
  <si>
    <t xml:space="preserve">Dec 28 – Jan 01</t>
  </si>
  <si>
    <t xml:space="preserve">2026-12-28</t>
  </si>
  <si>
    <t xml:space="preserve">Dec 2026 TOTAL</t>
  </si>
  <si>
    <t xml:space="preserve">DataPath — Monthly Dashboard (Auto-Populated from Weekly Data)</t>
  </si>
  <si>
    <t xml:space="preserve">All values auto-calculated from Weekly Data sheet. Cumulative metrics (revenue, tickets) are summed; snapshot metrics (cash, utilization) use end-of-month value.</t>
  </si>
  <si>
    <t xml:space="preserve">── 2025 ──</t>
  </si>
  <si>
    <t xml:space="preserve">Metric</t>
  </si>
  <si>
    <t xml:space="preserve">YTD</t>
  </si>
  <si>
    <t xml:space="preserve">Total Revenue Won</t>
  </si>
  <si>
    <t xml:space="preserve">Recurring Revenue (Mo)</t>
  </si>
  <si>
    <t xml:space="preserve">Payroll % Revenue</t>
  </si>
  <si>
    <t xml:space="preserve">Company Utilization %</t>
  </si>
  <si>
    <t xml:space="preserve">Revenue Won by Rep — 2025</t>
  </si>
  <si>
    <t xml:space="preserve">TEAM TOTAL</t>
  </si>
  <si>
    <t xml:space="preserve">── 2026 ──</t>
  </si>
  <si>
    <t xml:space="preserve">Revenue Won by Rep — 2026</t>
  </si>
  <si>
    <t xml:space="preserve">DataPath — Week-over-Week Change Tracker</t>
  </si>
  <si>
    <t xml:space="preserve">Auto-calculated deltas between consecutive weeks. Positive changes in green, negative in red (reversed for cost metrics).</t>
  </si>
  <si>
    <t xml:space="preserve">Jan 05</t>
  </si>
  <si>
    <t xml:space="preserve">Jan 12</t>
  </si>
  <si>
    <t xml:space="preserve">Jan 19</t>
  </si>
  <si>
    <t xml:space="preserve">Jan 26</t>
  </si>
  <si>
    <t xml:space="preserve">Feb 02</t>
  </si>
  <si>
    <t xml:space="preserve">Feb 09</t>
  </si>
  <si>
    <t xml:space="preserve">Feb 16</t>
  </si>
  <si>
    <t xml:space="preserve">Feb 23</t>
  </si>
  <si>
    <t xml:space="preserve">Mar 02</t>
  </si>
  <si>
    <t xml:space="preserve">Mar 09</t>
  </si>
  <si>
    <t xml:space="preserve">Mar 16</t>
  </si>
  <si>
    <t xml:space="preserve">Mar 23</t>
  </si>
  <si>
    <t xml:space="preserve">Mar 30</t>
  </si>
  <si>
    <t xml:space="preserve">Apr 06</t>
  </si>
  <si>
    <t xml:space="preserve">Apr 13</t>
  </si>
  <si>
    <t xml:space="preserve">Apr 20</t>
  </si>
  <si>
    <t xml:space="preserve">Apr 27</t>
  </si>
  <si>
    <t xml:space="preserve">May 04</t>
  </si>
  <si>
    <t xml:space="preserve">May 11</t>
  </si>
  <si>
    <t xml:space="preserve">May 18</t>
  </si>
  <si>
    <t xml:space="preserve">May 25</t>
  </si>
  <si>
    <t xml:space="preserve">Jun 01</t>
  </si>
  <si>
    <t xml:space="preserve">Jun 08</t>
  </si>
  <si>
    <t xml:space="preserve">Jun 15</t>
  </si>
  <si>
    <t xml:space="preserve">Jun 22</t>
  </si>
  <si>
    <t xml:space="preserve">Jun 29</t>
  </si>
  <si>
    <t xml:space="preserve">Total Rev Won (Δ)</t>
  </si>
  <si>
    <t xml:space="preserve">P&amp;L Gross Sales (Δ)</t>
  </si>
  <si>
    <t xml:space="preserve">Cash on Hand (Δ)</t>
  </si>
  <si>
    <t xml:space="preserve">DSO (Δ)</t>
  </si>
  <si>
    <t xml:space="preserve">Tickets Created (Δ)</t>
  </si>
  <si>
    <t xml:space="preserve">Tickets Resolved (Δ)</t>
  </si>
  <si>
    <t xml:space="preserve">Avg Resolution (hrs) (Δ)</t>
  </si>
  <si>
    <t xml:space="preserve">Company Util % (Δ)</t>
  </si>
  <si>
    <t xml:space="preserve">Pipeline Value (Δ)</t>
  </si>
  <si>
    <t xml:space="preserve">DataPath — Revenue Recognition Lag Tracker</t>
  </si>
  <si>
    <t xml:space="preserve">Tracks the gap between Revenue Won (ConnectWise) and P&amp;L Recognized (Sage). Won ≠ Billed — equipment/service delivery lag.</t>
  </si>
  <si>
    <t xml:space="preserve">Period</t>
  </si>
  <si>
    <t xml:space="preserve">Revenue Won</t>
  </si>
  <si>
    <t xml:space="preserve">P&amp;L Recognized</t>
  </si>
  <si>
    <t xml:space="preserve">Gap ($)</t>
  </si>
  <si>
    <t xml:space="preserve">Gap (%)</t>
  </si>
  <si>
    <t xml:space="preserve">Notes / Explanation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</si>
  <si>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</si>
  <si>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</si>
  <si>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</si>
  <si>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</si>
  <si>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</si>
  <si>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</si>
  <si>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</si>
  <si>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</si>
  <si>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</si>
  <si>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</si>
  <si>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</si>
  <si>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</si>
  <si>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</si>
  <si>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</si>
  <si>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P&amp;L ($1.29M) &gt; Won ($783K): P&amp;L includes recurring revenue + prior carryover billing not in CW Won report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</si>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</sst>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\%"/>
    <numFmt numFmtId="167" formatCode="#,##0"/>
    <numFmt numFmtId="168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A8D"/>
      <name val="Arial"/>
      <family val="0"/>
      <charset val="1"/>
    </font>
    <font>
      <i val="true"/>
      <sz val="8"/>
      <color rgb="FF6B7A8D"/>
      <name val="Arial"/>
      <family val="0"/>
      <charset val="1"/>
    </font>
    <font>
      <b val="true"/>
      <sz val="10"/>
      <color rgb="FFE8ECF1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B7A8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60A5FA"/>
      <name val="Arial"/>
      <family val="0"/>
      <charset val="1"/>
    </font>
    <font>
      <b val="true"/>
      <sz val="10"/>
      <color rgb="FF60A5F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A0F16"/>
        <bgColor rgb="FF0F1720"/>
      </patternFill>
    </fill>
    <fill>
      <patternFill patternType="solid">
        <fgColor rgb="FFF3E8FF"/>
        <bgColor rgb="FFE8ECF1"/>
      </patternFill>
    </fill>
    <fill>
      <patternFill patternType="solid">
        <fgColor rgb="FFDBEAFE"/>
        <bgColor rgb="FFE8ECF1"/>
      </patternFill>
    </fill>
    <fill>
      <patternFill patternType="solid">
        <fgColor rgb="FFDCFCE7"/>
        <bgColor rgb="FFE8ECF1"/>
      </patternFill>
    </fill>
    <fill>
      <patternFill patternType="solid">
        <fgColor rgb="FFFFF7ED"/>
        <bgColor rgb="FFF8F9FA"/>
      </patternFill>
    </fill>
    <fill>
      <patternFill patternType="solid">
        <fgColor rgb="FF0F1720"/>
        <bgColor rgb="FF0A0F16"/>
      </patternFill>
    </fill>
    <fill>
      <patternFill patternType="solid">
        <fgColor rgb="FFF8F9FA"/>
        <bgColor rgb="FFFFF7ED"/>
      </patternFill>
    </fill>
    <fill>
      <patternFill patternType="solid">
        <fgColor rgb="FF1E3A5F"/>
        <bgColor rgb="FF333399"/>
      </patternFill>
    </fill>
    <fill>
      <patternFill patternType="solid">
        <fgColor rgb="FF0F2E1F"/>
        <bgColor rgb="FF1A2230"/>
      </patternFill>
    </fill>
    <fill>
      <patternFill patternType="solid">
        <fgColor rgb="FF1A2230"/>
        <bgColor rgb="FF0F17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/>
      <bottom style="medium">
        <color rgb="FF60A5F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1720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fgColor rgb="FF6B7A8D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16"/>
      <rgbColor rgb="FF808000"/>
      <rgbColor rgb="FF800080"/>
      <rgbColor rgb="FF008080"/>
      <rgbColor rgb="FFC0C0C0"/>
      <rgbColor rgb="FF6B7A8D"/>
      <rgbColor rgb="FF60A5FA"/>
      <rgbColor rgb="FFEF4444"/>
      <rgbColor rgb="FFFFF7ED"/>
      <rgbColor rgb="FFDCFCE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8ECF1"/>
      <rgbColor rgb="FFF8F9FA"/>
      <rgbColor rgb="FF99CCFF"/>
      <rgbColor rgb="FFFF99CC"/>
      <rgbColor rgb="FFCC99FF"/>
      <rgbColor rgb="FFF3E8FF"/>
      <rgbColor rgb="FF3366FF"/>
      <rgbColor rgb="FF33CCCC"/>
      <rgbColor rgb="FF99CC00"/>
      <rgbColor rgb="FFFFCC00"/>
      <rgbColor rgb="FFFF9900"/>
      <rgbColor rgb="FFF97316"/>
      <rgbColor rgb="FF666699"/>
      <rgbColor rgb="FF969696"/>
      <rgbColor rgb="FF1E3A5F"/>
      <rgbColor rgb="FF22C55E"/>
      <rgbColor rgb="FF0F2E1F"/>
      <rgbColor rgb="FF0F1720"/>
      <rgbColor rgb="FF993300"/>
      <rgbColor rgb="FF993366"/>
      <rgbColor rgb="FF333399"/>
      <rgbColor rgb="FF1A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A5FA"/>
    <pageSetUpPr fitToPage="false"/>
  </sheetPr>
  <dimension ref="A1:AN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40" min="6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4" t="s">
        <v>3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3" t="s">
        <v>2</v>
      </c>
      <c r="S3" s="5" t="s">
        <v>4</v>
      </c>
      <c r="T3" s="5" t="s">
        <v>4</v>
      </c>
      <c r="U3" s="5" t="s">
        <v>4</v>
      </c>
      <c r="V3" s="4" t="s">
        <v>3</v>
      </c>
      <c r="W3" s="4" t="s">
        <v>3</v>
      </c>
      <c r="X3" s="5" t="s">
        <v>4</v>
      </c>
      <c r="Y3" s="4" t="s">
        <v>3</v>
      </c>
      <c r="Z3" s="5" t="s">
        <v>4</v>
      </c>
      <c r="AA3" s="5" t="s">
        <v>4</v>
      </c>
      <c r="AB3" s="4" t="s">
        <v>3</v>
      </c>
      <c r="AC3" s="3" t="s">
        <v>2</v>
      </c>
      <c r="AD3" s="3" t="s">
        <v>2</v>
      </c>
      <c r="AE3" s="3" t="s">
        <v>2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6" t="s">
        <v>5</v>
      </c>
      <c r="AL3" s="6" t="s">
        <v>5</v>
      </c>
      <c r="AM3" s="6" t="s">
        <v>5</v>
      </c>
      <c r="AN3" s="6" t="s">
        <v>5</v>
      </c>
    </row>
    <row r="4" customFormat="false" ht="31.5" hidden="false" customHeight="true" outlineLevel="0" collapsed="false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 t="s">
        <v>21</v>
      </c>
      <c r="Q4" s="8" t="s">
        <v>22</v>
      </c>
      <c r="R4" s="8" t="s">
        <v>23</v>
      </c>
      <c r="S4" s="8" t="s">
        <v>24</v>
      </c>
      <c r="T4" s="8" t="s">
        <v>25</v>
      </c>
      <c r="U4" s="8" t="s">
        <v>26</v>
      </c>
      <c r="V4" s="8" t="s">
        <v>27</v>
      </c>
      <c r="W4" s="8" t="s">
        <v>28</v>
      </c>
      <c r="X4" s="8" t="s">
        <v>29</v>
      </c>
      <c r="Y4" s="8" t="s">
        <v>30</v>
      </c>
      <c r="Z4" s="8" t="s">
        <v>31</v>
      </c>
      <c r="AA4" s="8" t="s">
        <v>32</v>
      </c>
      <c r="AB4" s="8" t="s">
        <v>33</v>
      </c>
      <c r="AC4" s="8" t="s">
        <v>34</v>
      </c>
      <c r="AD4" s="8" t="s">
        <v>35</v>
      </c>
      <c r="AE4" s="8" t="s">
        <v>36</v>
      </c>
      <c r="AF4" s="8" t="s">
        <v>37</v>
      </c>
      <c r="AG4" s="8" t="s">
        <v>38</v>
      </c>
      <c r="AH4" s="8" t="s">
        <v>39</v>
      </c>
      <c r="AI4" s="8" t="s">
        <v>40</v>
      </c>
      <c r="AJ4" s="8" t="s">
        <v>41</v>
      </c>
      <c r="AK4" s="8" t="s">
        <v>42</v>
      </c>
      <c r="AL4" s="8" t="s">
        <v>43</v>
      </c>
      <c r="AM4" s="8" t="s">
        <v>44</v>
      </c>
      <c r="AN4" s="8" t="s">
        <v>45</v>
      </c>
    </row>
    <row r="5" customFormat="false" ht="15" hidden="false" customHeight="false" outlineLevel="0" collapsed="false">
      <c r="A5" s="9" t="n">
        <v>2025</v>
      </c>
      <c r="B5" s="9" t="s">
        <v>46</v>
      </c>
      <c r="C5" s="9" t="n">
        <v>1</v>
      </c>
      <c r="D5" s="10" t="s">
        <v>47</v>
      </c>
      <c r="E5" s="11" t="s">
        <v>48</v>
      </c>
      <c r="F5" s="12"/>
      <c r="G5" s="12"/>
      <c r="H5" s="12"/>
      <c r="I5" s="12"/>
      <c r="J5" s="12"/>
      <c r="K5" s="13" t="str">
        <f aca="false">IF(AND(F5&lt;&gt;"",J5&lt;&gt;"",J5&lt;&gt;0),F5/J5*100,"")</f>
        <v/>
      </c>
      <c r="L5" s="12"/>
      <c r="M5" s="12"/>
      <c r="N5" s="12"/>
      <c r="O5" s="12"/>
      <c r="P5" s="12"/>
      <c r="Q5" s="12"/>
      <c r="R5" s="12"/>
      <c r="S5" s="12"/>
      <c r="T5" s="12"/>
      <c r="U5" s="14" t="str">
        <f aca="false">IF(AND(S5&lt;&gt;"",T5&lt;&gt;""),S5-T5,"")</f>
        <v/>
      </c>
      <c r="V5" s="13" t="str">
        <f aca="false">IF(AND(U5&lt;&gt;"",S5&lt;&gt;"",S5&lt;&gt;0),U5/S5*100,"")</f>
        <v/>
      </c>
      <c r="W5" s="14" t="str">
        <f aca="false">IF(AND(F5&lt;&gt;"",S5&lt;&gt;""),F5-S5,"")</f>
        <v/>
      </c>
      <c r="X5" s="12"/>
      <c r="Y5" s="15"/>
      <c r="Z5" s="12"/>
      <c r="AA5" s="12"/>
      <c r="AB5" s="16"/>
      <c r="AC5" s="15"/>
      <c r="AD5" s="15"/>
      <c r="AE5" s="15"/>
      <c r="AF5" s="17"/>
      <c r="AG5" s="16"/>
      <c r="AH5" s="16"/>
      <c r="AI5" s="16"/>
      <c r="AJ5" s="16"/>
      <c r="AK5" s="12"/>
      <c r="AL5" s="15"/>
      <c r="AM5" s="16"/>
      <c r="AN5" s="15"/>
    </row>
    <row r="6" customFormat="false" ht="15" hidden="false" customHeight="false" outlineLevel="0" collapsed="false">
      <c r="A6" s="18" t="n">
        <v>2025</v>
      </c>
      <c r="B6" s="18" t="s">
        <v>46</v>
      </c>
      <c r="C6" s="18" t="n">
        <v>2</v>
      </c>
      <c r="D6" s="19" t="s">
        <v>49</v>
      </c>
      <c r="E6" s="20" t="s">
        <v>50</v>
      </c>
      <c r="F6" s="12"/>
      <c r="G6" s="12"/>
      <c r="H6" s="12"/>
      <c r="I6" s="12"/>
      <c r="J6" s="12"/>
      <c r="K6" s="13" t="str">
        <f aca="false">IF(AND(F6&lt;&gt;"",J6&lt;&gt;"",J6&lt;&gt;0),F6/J6*100,"")</f>
        <v/>
      </c>
      <c r="L6" s="12"/>
      <c r="M6" s="12"/>
      <c r="N6" s="12"/>
      <c r="O6" s="12"/>
      <c r="P6" s="12"/>
      <c r="Q6" s="12"/>
      <c r="R6" s="12"/>
      <c r="S6" s="12"/>
      <c r="T6" s="12"/>
      <c r="U6" s="14" t="str">
        <f aca="false">IF(AND(S6&lt;&gt;"",T6&lt;&gt;""),S6-T6,"")</f>
        <v/>
      </c>
      <c r="V6" s="13" t="str">
        <f aca="false">IF(AND(U6&lt;&gt;"",S6&lt;&gt;"",S6&lt;&gt;0),U6/S6*100,"")</f>
        <v/>
      </c>
      <c r="W6" s="14" t="str">
        <f aca="false">IF(AND(F6&lt;&gt;"",S6&lt;&gt;""),F6-S6,"")</f>
        <v/>
      </c>
      <c r="X6" s="12"/>
      <c r="Y6" s="15"/>
      <c r="Z6" s="12"/>
      <c r="AA6" s="12"/>
      <c r="AB6" s="16"/>
      <c r="AC6" s="15"/>
      <c r="AD6" s="15"/>
      <c r="AE6" s="15"/>
      <c r="AF6" s="17"/>
      <c r="AG6" s="16"/>
      <c r="AH6" s="16"/>
      <c r="AI6" s="16"/>
      <c r="AJ6" s="16"/>
      <c r="AK6" s="12"/>
      <c r="AL6" s="15"/>
      <c r="AM6" s="16"/>
      <c r="AN6" s="15"/>
    </row>
    <row r="7" customFormat="false" ht="15" hidden="false" customHeight="false" outlineLevel="0" collapsed="false">
      <c r="A7" s="9" t="n">
        <v>2025</v>
      </c>
      <c r="B7" s="9" t="s">
        <v>46</v>
      </c>
      <c r="C7" s="9" t="n">
        <v>3</v>
      </c>
      <c r="D7" s="10" t="s">
        <v>51</v>
      </c>
      <c r="E7" s="11" t="s">
        <v>52</v>
      </c>
      <c r="F7" s="12"/>
      <c r="G7" s="12"/>
      <c r="H7" s="12"/>
      <c r="I7" s="12"/>
      <c r="J7" s="12"/>
      <c r="K7" s="13" t="str">
        <f aca="false">IF(AND(F7&lt;&gt;"",J7&lt;&gt;"",J7&lt;&gt;0),F7/J7*100,"")</f>
        <v/>
      </c>
      <c r="L7" s="12"/>
      <c r="M7" s="12"/>
      <c r="N7" s="12"/>
      <c r="O7" s="12"/>
      <c r="P7" s="12"/>
      <c r="Q7" s="12"/>
      <c r="R7" s="12"/>
      <c r="S7" s="12"/>
      <c r="T7" s="12"/>
      <c r="U7" s="14" t="str">
        <f aca="false">IF(AND(S7&lt;&gt;"",T7&lt;&gt;""),S7-T7,"")</f>
        <v/>
      </c>
      <c r="V7" s="13" t="str">
        <f aca="false">IF(AND(U7&lt;&gt;"",S7&lt;&gt;"",S7&lt;&gt;0),U7/S7*100,"")</f>
        <v/>
      </c>
      <c r="W7" s="14" t="str">
        <f aca="false">IF(AND(F7&lt;&gt;"",S7&lt;&gt;""),F7-S7,"")</f>
        <v/>
      </c>
      <c r="X7" s="12"/>
      <c r="Y7" s="15"/>
      <c r="Z7" s="12"/>
      <c r="AA7" s="12"/>
      <c r="AB7" s="16"/>
      <c r="AC7" s="15"/>
      <c r="AD7" s="15"/>
      <c r="AE7" s="15"/>
      <c r="AF7" s="17"/>
      <c r="AG7" s="16"/>
      <c r="AH7" s="16"/>
      <c r="AI7" s="16"/>
      <c r="AJ7" s="16"/>
      <c r="AK7" s="12"/>
      <c r="AL7" s="15"/>
      <c r="AM7" s="16"/>
      <c r="AN7" s="15"/>
    </row>
    <row r="8" customFormat="false" ht="15" hidden="false" customHeight="false" outlineLevel="0" collapsed="false">
      <c r="A8" s="18" t="n">
        <v>2025</v>
      </c>
      <c r="B8" s="18" t="s">
        <v>46</v>
      </c>
      <c r="C8" s="18" t="n">
        <v>4</v>
      </c>
      <c r="D8" s="19" t="s">
        <v>53</v>
      </c>
      <c r="E8" s="20" t="s">
        <v>54</v>
      </c>
      <c r="F8" s="12"/>
      <c r="G8" s="12"/>
      <c r="H8" s="12"/>
      <c r="I8" s="12"/>
      <c r="J8" s="12"/>
      <c r="K8" s="13" t="str">
        <f aca="false">IF(AND(F8&lt;&gt;"",J8&lt;&gt;"",J8&lt;&gt;0),F8/J8*100,"")</f>
        <v/>
      </c>
      <c r="L8" s="12"/>
      <c r="M8" s="12"/>
      <c r="N8" s="12"/>
      <c r="O8" s="12"/>
      <c r="P8" s="12"/>
      <c r="Q8" s="12"/>
      <c r="R8" s="12"/>
      <c r="S8" s="12"/>
      <c r="T8" s="12"/>
      <c r="U8" s="14" t="str">
        <f aca="false">IF(AND(S8&lt;&gt;"",T8&lt;&gt;""),S8-T8,"")</f>
        <v/>
      </c>
      <c r="V8" s="13" t="str">
        <f aca="false">IF(AND(U8&lt;&gt;"",S8&lt;&gt;"",S8&lt;&gt;0),U8/S8*100,"")</f>
        <v/>
      </c>
      <c r="W8" s="14" t="str">
        <f aca="false">IF(AND(F8&lt;&gt;"",S8&lt;&gt;""),F8-S8,"")</f>
        <v/>
      </c>
      <c r="X8" s="12"/>
      <c r="Y8" s="15"/>
      <c r="Z8" s="12"/>
      <c r="AA8" s="12"/>
      <c r="AB8" s="16"/>
      <c r="AC8" s="15"/>
      <c r="AD8" s="15"/>
      <c r="AE8" s="15"/>
      <c r="AF8" s="17"/>
      <c r="AG8" s="16"/>
      <c r="AH8" s="16"/>
      <c r="AI8" s="16"/>
      <c r="AJ8" s="16"/>
      <c r="AK8" s="12"/>
      <c r="AL8" s="15"/>
      <c r="AM8" s="16"/>
      <c r="AN8" s="15"/>
    </row>
    <row r="9" customFormat="false" ht="15" hidden="false" customHeight="false" outlineLevel="0" collapsed="false">
      <c r="A9" s="21" t="n">
        <v>2025</v>
      </c>
      <c r="B9" s="21" t="s">
        <v>46</v>
      </c>
      <c r="C9" s="21"/>
      <c r="D9" s="21" t="s">
        <v>55</v>
      </c>
      <c r="E9" s="22"/>
      <c r="F9" s="23" t="n">
        <f aca="false">IFERROR(SUM(F5:F8),"")</f>
        <v>0</v>
      </c>
      <c r="G9" s="23" t="n">
        <f aca="false">IFERROR(SUM(G5:G8),"")</f>
        <v>0</v>
      </c>
      <c r="H9" s="23" t="str">
        <f aca="false">IFERROR(LOOKUP(2,1/(H5:H8&lt;&gt;""),H5:H8),"")</f>
        <v/>
      </c>
      <c r="I9" s="23" t="str">
        <f aca="false">IFERROR(LOOKUP(2,1/(I5:I8&lt;&gt;""),I5:I8),"")</f>
        <v/>
      </c>
      <c r="J9" s="23" t="str">
        <f aca="false">IFERROR(LOOKUP(2,1/(J5:J8&lt;&gt;""),J5:J8),"")</f>
        <v/>
      </c>
      <c r="K9" s="24" t="str">
        <f aca="false">IFERROR(LOOKUP(2,1/(K5:K8&lt;&gt;""),K5:K8),"")</f>
        <v/>
      </c>
      <c r="L9" s="23" t="n">
        <f aca="false">IFERROR(SUM(L5:L8),"")</f>
        <v>0</v>
      </c>
      <c r="M9" s="23" t="n">
        <f aca="false">IFERROR(SUM(M5:M8),"")</f>
        <v>0</v>
      </c>
      <c r="N9" s="23" t="n">
        <f aca="false">IFERROR(SUM(N5:N8),"")</f>
        <v>0</v>
      </c>
      <c r="O9" s="23" t="n">
        <f aca="false">IFERROR(SUM(O5:O8),"")</f>
        <v>0</v>
      </c>
      <c r="P9" s="23" t="n">
        <f aca="false">IFERROR(SUM(P5:P8),"")</f>
        <v>0</v>
      </c>
      <c r="Q9" s="23" t="n">
        <f aca="false">IFERROR(SUM(Q5:Q8),"")</f>
        <v>0</v>
      </c>
      <c r="R9" s="23" t="n">
        <f aca="false">IFERROR(SUM(R5:R8),"")</f>
        <v>0</v>
      </c>
      <c r="S9" s="23" t="str">
        <f aca="false">IFERROR(LOOKUP(2,1/(S5:S8&lt;&gt;""),S5:S8),"")</f>
        <v/>
      </c>
      <c r="T9" s="23" t="str">
        <f aca="false">IFERROR(LOOKUP(2,1/(T5:T8&lt;&gt;""),T5:T8),"")</f>
        <v/>
      </c>
      <c r="U9" s="23" t="str">
        <f aca="false">IFERROR(LOOKUP(2,1/(U5:U8&lt;&gt;""),U5:U8),"")</f>
        <v/>
      </c>
      <c r="V9" s="24" t="str">
        <f aca="false">IFERROR(LOOKUP(2,1/(V5:V8&lt;&gt;""),V5:V8),"")</f>
        <v/>
      </c>
      <c r="W9" s="23" t="str">
        <f aca="false">IFERROR(LOOKUP(2,1/(W5:W8&lt;&gt;""),W5:W8),"")</f>
        <v/>
      </c>
      <c r="X9" s="23" t="str">
        <f aca="false">IFERROR(LOOKUP(2,1/(X5:X8&lt;&gt;""),X5:X8),"")</f>
        <v/>
      </c>
      <c r="Y9" s="25" t="str">
        <f aca="false">IFERROR(LOOKUP(2,1/(Y5:Y8&lt;&gt;""),Y5:Y8),"")</f>
        <v/>
      </c>
      <c r="Z9" s="23" t="str">
        <f aca="false">IFERROR(LOOKUP(2,1/(Z5:Z8&lt;&gt;""),Z5:Z8),"")</f>
        <v/>
      </c>
      <c r="AA9" s="23" t="str">
        <f aca="false">IFERROR(LOOKUP(2,1/(AA5:AA8&lt;&gt;""),AA5:AA8),"")</f>
        <v/>
      </c>
      <c r="AB9" s="24" t="str">
        <f aca="false">IFERROR(LOOKUP(2,1/(AB5:AB8&lt;&gt;""),AB5:AB8),"")</f>
        <v/>
      </c>
      <c r="AC9" s="25" t="n">
        <f aca="false">IFERROR(SUM(AC5:AC8),"")</f>
        <v>0</v>
      </c>
      <c r="AD9" s="25" t="n">
        <f aca="false">IFERROR(SUM(AD5:AD8),"")</f>
        <v>0</v>
      </c>
      <c r="AE9" s="25" t="str">
        <f aca="false">IFERROR(LOOKUP(2,1/(AE5:AE8&lt;&gt;""),AE5:AE8),"")</f>
        <v/>
      </c>
      <c r="AF9" s="26" t="str">
        <f aca="false">IFERROR(LOOKUP(2,1/(AF5:AF8&lt;&gt;""),AF5:AF8),"")</f>
        <v/>
      </c>
      <c r="AG9" s="24" t="str">
        <f aca="false">IFERROR(LOOKUP(2,1/(AG5:AG8&lt;&gt;""),AG5:AG8),"")</f>
        <v/>
      </c>
      <c r="AH9" s="24" t="str">
        <f aca="false">IFERROR(LOOKUP(2,1/(AH5:AH8&lt;&gt;""),AH5:AH8),"")</f>
        <v/>
      </c>
      <c r="AI9" s="24" t="str">
        <f aca="false">IFERROR(LOOKUP(2,1/(AI5:AI8&lt;&gt;""),AI5:AI8),"")</f>
        <v/>
      </c>
      <c r="AJ9" s="24" t="str">
        <f aca="false">IFERROR(LOOKUP(2,1/(AJ5:AJ8&lt;&gt;""),AJ5:AJ8),"")</f>
        <v/>
      </c>
      <c r="AK9" s="23" t="str">
        <f aca="false">IFERROR(LOOKUP(2,1/(AK5:AK8&lt;&gt;""),AK5:AK8),"")</f>
        <v/>
      </c>
      <c r="AL9" s="25" t="str">
        <f aca="false">IFERROR(LOOKUP(2,1/(AL5:AL8&lt;&gt;""),AL5:AL8),"")</f>
        <v/>
      </c>
      <c r="AM9" s="24" t="str">
        <f aca="false">IFERROR(LOOKUP(2,1/(AM5:AM8&lt;&gt;""),AM5:AM8),"")</f>
        <v/>
      </c>
      <c r="AN9" s="25" t="str">
        <f aca="false">IFERROR(LOOKUP(2,1/(AN5:AN8&lt;&gt;""),AN5:AN8),"")</f>
        <v/>
      </c>
    </row>
    <row r="10" customFormat="false" ht="15" hidden="false" customHeight="false" outlineLevel="0" collapsed="false">
      <c r="A10" s="9" t="n">
        <v>2025</v>
      </c>
      <c r="B10" s="9" t="s">
        <v>56</v>
      </c>
      <c r="C10" s="9" t="n">
        <v>5</v>
      </c>
      <c r="D10" s="10" t="s">
        <v>57</v>
      </c>
      <c r="E10" s="11" t="s">
        <v>58</v>
      </c>
      <c r="F10" s="12"/>
      <c r="G10" s="12"/>
      <c r="H10" s="12"/>
      <c r="I10" s="12"/>
      <c r="J10" s="12"/>
      <c r="K10" s="13" t="str">
        <f aca="false">IF(AND(F10&lt;&gt;"",J10&lt;&gt;"",J10&lt;&gt;0),F10/J10*100,"")</f>
        <v/>
      </c>
      <c r="L10" s="12"/>
      <c r="M10" s="12"/>
      <c r="N10" s="12"/>
      <c r="O10" s="12"/>
      <c r="P10" s="12"/>
      <c r="Q10" s="12"/>
      <c r="R10" s="12"/>
      <c r="S10" s="12"/>
      <c r="T10" s="12"/>
      <c r="U10" s="14" t="str">
        <f aca="false">IF(AND(S10&lt;&gt;"",T10&lt;&gt;""),S10-T10,"")</f>
        <v/>
      </c>
      <c r="V10" s="13" t="str">
        <f aca="false">IF(AND(U10&lt;&gt;"",S10&lt;&gt;"",S10&lt;&gt;0),U10/S10*100,"")</f>
        <v/>
      </c>
      <c r="W10" s="14" t="str">
        <f aca="false">IF(AND(F10&lt;&gt;"",S10&lt;&gt;""),F10-S10,"")</f>
        <v/>
      </c>
      <c r="X10" s="12"/>
      <c r="Y10" s="15"/>
      <c r="Z10" s="12"/>
      <c r="AA10" s="12"/>
      <c r="AB10" s="16"/>
      <c r="AC10" s="15"/>
      <c r="AD10" s="15"/>
      <c r="AE10" s="15"/>
      <c r="AF10" s="17"/>
      <c r="AG10" s="16"/>
      <c r="AH10" s="16"/>
      <c r="AI10" s="16"/>
      <c r="AJ10" s="16"/>
      <c r="AK10" s="12"/>
      <c r="AL10" s="15"/>
      <c r="AM10" s="16"/>
      <c r="AN10" s="15"/>
    </row>
    <row r="11" customFormat="false" ht="15" hidden="false" customHeight="false" outlineLevel="0" collapsed="false">
      <c r="A11" s="18" t="n">
        <v>2025</v>
      </c>
      <c r="B11" s="18" t="s">
        <v>56</v>
      </c>
      <c r="C11" s="18" t="n">
        <v>6</v>
      </c>
      <c r="D11" s="19" t="s">
        <v>59</v>
      </c>
      <c r="E11" s="20" t="s">
        <v>60</v>
      </c>
      <c r="F11" s="12"/>
      <c r="G11" s="12"/>
      <c r="H11" s="12"/>
      <c r="I11" s="12"/>
      <c r="J11" s="12"/>
      <c r="K11" s="13" t="str">
        <f aca="false">IF(AND(F11&lt;&gt;"",J11&lt;&gt;"",J11&lt;&gt;0),F11/J11*100,"")</f>
        <v/>
      </c>
      <c r="L11" s="12"/>
      <c r="M11" s="12"/>
      <c r="N11" s="12"/>
      <c r="O11" s="12"/>
      <c r="P11" s="12"/>
      <c r="Q11" s="12"/>
      <c r="R11" s="12"/>
      <c r="S11" s="12"/>
      <c r="T11" s="12"/>
      <c r="U11" s="14" t="str">
        <f aca="false">IF(AND(S11&lt;&gt;"",T11&lt;&gt;""),S11-T11,"")</f>
        <v/>
      </c>
      <c r="V11" s="13" t="str">
        <f aca="false">IF(AND(U11&lt;&gt;"",S11&lt;&gt;"",S11&lt;&gt;0),U11/S11*100,"")</f>
        <v/>
      </c>
      <c r="W11" s="14" t="str">
        <f aca="false">IF(AND(F11&lt;&gt;"",S11&lt;&gt;""),F11-S11,"")</f>
        <v/>
      </c>
      <c r="X11" s="12"/>
      <c r="Y11" s="15"/>
      <c r="Z11" s="12"/>
      <c r="AA11" s="12"/>
      <c r="AB11" s="16"/>
      <c r="AC11" s="15"/>
      <c r="AD11" s="15"/>
      <c r="AE11" s="15"/>
      <c r="AF11" s="17"/>
      <c r="AG11" s="16"/>
      <c r="AH11" s="16"/>
      <c r="AI11" s="16"/>
      <c r="AJ11" s="16"/>
      <c r="AK11" s="12"/>
      <c r="AL11" s="15"/>
      <c r="AM11" s="16"/>
      <c r="AN11" s="15"/>
    </row>
    <row r="12" customFormat="false" ht="15" hidden="false" customHeight="false" outlineLevel="0" collapsed="false">
      <c r="A12" s="9" t="n">
        <v>2025</v>
      </c>
      <c r="B12" s="9" t="s">
        <v>56</v>
      </c>
      <c r="C12" s="9" t="n">
        <v>7</v>
      </c>
      <c r="D12" s="10" t="s">
        <v>61</v>
      </c>
      <c r="E12" s="11" t="s">
        <v>62</v>
      </c>
      <c r="F12" s="12"/>
      <c r="G12" s="12"/>
      <c r="H12" s="12"/>
      <c r="I12" s="12"/>
      <c r="J12" s="12"/>
      <c r="K12" s="13" t="str">
        <f aca="false">IF(AND(F12&lt;&gt;"",J12&lt;&gt;"",J12&lt;&gt;0),F12/J12*100,"")</f>
        <v/>
      </c>
      <c r="L12" s="12"/>
      <c r="M12" s="12"/>
      <c r="N12" s="12"/>
      <c r="O12" s="12"/>
      <c r="P12" s="12"/>
      <c r="Q12" s="12"/>
      <c r="R12" s="12"/>
      <c r="S12" s="12"/>
      <c r="T12" s="12"/>
      <c r="U12" s="14" t="str">
        <f aca="false">IF(AND(S12&lt;&gt;"",T12&lt;&gt;""),S12-T12,"")</f>
        <v/>
      </c>
      <c r="V12" s="13" t="str">
        <f aca="false">IF(AND(U12&lt;&gt;"",S12&lt;&gt;"",S12&lt;&gt;0),U12/S12*100,"")</f>
        <v/>
      </c>
      <c r="W12" s="14" t="str">
        <f aca="false">IF(AND(F12&lt;&gt;"",S12&lt;&gt;""),F12-S12,"")</f>
        <v/>
      </c>
      <c r="X12" s="12"/>
      <c r="Y12" s="15"/>
      <c r="Z12" s="12"/>
      <c r="AA12" s="12"/>
      <c r="AB12" s="16"/>
      <c r="AC12" s="15"/>
      <c r="AD12" s="15"/>
      <c r="AE12" s="15"/>
      <c r="AF12" s="17"/>
      <c r="AG12" s="16"/>
      <c r="AH12" s="16"/>
      <c r="AI12" s="16"/>
      <c r="AJ12" s="16"/>
      <c r="AK12" s="12"/>
      <c r="AL12" s="15"/>
      <c r="AM12" s="16"/>
      <c r="AN12" s="15"/>
    </row>
    <row r="13" customFormat="false" ht="15" hidden="false" customHeight="false" outlineLevel="0" collapsed="false">
      <c r="A13" s="18" t="n">
        <v>2025</v>
      </c>
      <c r="B13" s="18" t="s">
        <v>56</v>
      </c>
      <c r="C13" s="18" t="n">
        <v>8</v>
      </c>
      <c r="D13" s="19" t="s">
        <v>63</v>
      </c>
      <c r="E13" s="20" t="s">
        <v>64</v>
      </c>
      <c r="F13" s="12"/>
      <c r="G13" s="12"/>
      <c r="H13" s="12"/>
      <c r="I13" s="12"/>
      <c r="J13" s="12"/>
      <c r="K13" s="13" t="str">
        <f aca="false">IF(AND(F13&lt;&gt;"",J13&lt;&gt;"",J13&lt;&gt;0),F13/J13*100,"")</f>
        <v/>
      </c>
      <c r="L13" s="12"/>
      <c r="M13" s="12"/>
      <c r="N13" s="12"/>
      <c r="O13" s="12"/>
      <c r="P13" s="12"/>
      <c r="Q13" s="12"/>
      <c r="R13" s="12"/>
      <c r="S13" s="12"/>
      <c r="T13" s="12"/>
      <c r="U13" s="14" t="str">
        <f aca="false">IF(AND(S13&lt;&gt;"",T13&lt;&gt;""),S13-T13,"")</f>
        <v/>
      </c>
      <c r="V13" s="13" t="str">
        <f aca="false">IF(AND(U13&lt;&gt;"",S13&lt;&gt;"",S13&lt;&gt;0),U13/S13*100,"")</f>
        <v/>
      </c>
      <c r="W13" s="14" t="str">
        <f aca="false">IF(AND(F13&lt;&gt;"",S13&lt;&gt;""),F13-S13,"")</f>
        <v/>
      </c>
      <c r="X13" s="12"/>
      <c r="Y13" s="15"/>
      <c r="Z13" s="12"/>
      <c r="AA13" s="12"/>
      <c r="AB13" s="16"/>
      <c r="AC13" s="15"/>
      <c r="AD13" s="15"/>
      <c r="AE13" s="15"/>
      <c r="AF13" s="17"/>
      <c r="AG13" s="16"/>
      <c r="AH13" s="16"/>
      <c r="AI13" s="16"/>
      <c r="AJ13" s="16"/>
      <c r="AK13" s="12"/>
      <c r="AL13" s="15"/>
      <c r="AM13" s="16"/>
      <c r="AN13" s="15"/>
    </row>
    <row r="14" customFormat="false" ht="15" hidden="false" customHeight="false" outlineLevel="0" collapsed="false">
      <c r="A14" s="21" t="n">
        <v>2025</v>
      </c>
      <c r="B14" s="21" t="s">
        <v>56</v>
      </c>
      <c r="C14" s="21"/>
      <c r="D14" s="21" t="s">
        <v>65</v>
      </c>
      <c r="E14" s="22"/>
      <c r="F14" s="23" t="n">
        <f aca="false">IFERROR(SUM(F10:F13),"")</f>
        <v>0</v>
      </c>
      <c r="G14" s="23" t="n">
        <f aca="false">IFERROR(SUM(G10:G13),"")</f>
        <v>0</v>
      </c>
      <c r="H14" s="23" t="str">
        <f aca="false">IFERROR(LOOKUP(2,1/(H10:H13&lt;&gt;""),H10:H13),"")</f>
        <v/>
      </c>
      <c r="I14" s="23" t="str">
        <f aca="false">IFERROR(LOOKUP(2,1/(I10:I13&lt;&gt;""),I10:I13),"")</f>
        <v/>
      </c>
      <c r="J14" s="23" t="str">
        <f aca="false">IFERROR(LOOKUP(2,1/(J10:J13&lt;&gt;""),J10:J13),"")</f>
        <v/>
      </c>
      <c r="K14" s="24" t="str">
        <f aca="false">IFERROR(LOOKUP(2,1/(K10:K13&lt;&gt;""),K10:K13),"")</f>
        <v/>
      </c>
      <c r="L14" s="23" t="n">
        <f aca="false">IFERROR(SUM(L10:L13),"")</f>
        <v>0</v>
      </c>
      <c r="M14" s="23" t="n">
        <f aca="false">IFERROR(SUM(M10:M13),"")</f>
        <v>0</v>
      </c>
      <c r="N14" s="23" t="n">
        <f aca="false">IFERROR(SUM(N10:N13),"")</f>
        <v>0</v>
      </c>
      <c r="O14" s="23" t="n">
        <f aca="false">IFERROR(SUM(O10:O13),"")</f>
        <v>0</v>
      </c>
      <c r="P14" s="23" t="n">
        <f aca="false">IFERROR(SUM(P10:P13),"")</f>
        <v>0</v>
      </c>
      <c r="Q14" s="23" t="n">
        <f aca="false">IFERROR(SUM(Q10:Q13),"")</f>
        <v>0</v>
      </c>
      <c r="R14" s="23" t="n">
        <f aca="false">IFERROR(SUM(R10:R13),"")</f>
        <v>0</v>
      </c>
      <c r="S14" s="23" t="str">
        <f aca="false">IFERROR(LOOKUP(2,1/(S10:S13&lt;&gt;""),S10:S13),"")</f>
        <v/>
      </c>
      <c r="T14" s="23" t="str">
        <f aca="false">IFERROR(LOOKUP(2,1/(T10:T13&lt;&gt;""),T10:T13),"")</f>
        <v/>
      </c>
      <c r="U14" s="23" t="str">
        <f aca="false">IFERROR(LOOKUP(2,1/(U10:U13&lt;&gt;""),U10:U13),"")</f>
        <v/>
      </c>
      <c r="V14" s="24" t="str">
        <f aca="false">IFERROR(LOOKUP(2,1/(V10:V13&lt;&gt;""),V10:V13),"")</f>
        <v/>
      </c>
      <c r="W14" s="23" t="str">
        <f aca="false">IFERROR(LOOKUP(2,1/(W10:W13&lt;&gt;""),W10:W13),"")</f>
        <v/>
      </c>
      <c r="X14" s="23" t="str">
        <f aca="false">IFERROR(LOOKUP(2,1/(X10:X13&lt;&gt;""),X10:X13),"")</f>
        <v/>
      </c>
      <c r="Y14" s="25" t="str">
        <f aca="false">IFERROR(LOOKUP(2,1/(Y10:Y13&lt;&gt;""),Y10:Y13),"")</f>
        <v/>
      </c>
      <c r="Z14" s="23" t="str">
        <f aca="false">IFERROR(LOOKUP(2,1/(Z10:Z13&lt;&gt;""),Z10:Z13),"")</f>
        <v/>
      </c>
      <c r="AA14" s="23" t="str">
        <f aca="false">IFERROR(LOOKUP(2,1/(AA10:AA13&lt;&gt;""),AA10:AA13),"")</f>
        <v/>
      </c>
      <c r="AB14" s="24" t="str">
        <f aca="false">IFERROR(LOOKUP(2,1/(AB10:AB13&lt;&gt;""),AB10:AB13),"")</f>
        <v/>
      </c>
      <c r="AC14" s="25" t="n">
        <f aca="false">IFERROR(SUM(AC10:AC13),"")</f>
        <v>0</v>
      </c>
      <c r="AD14" s="25" t="n">
        <f aca="false">IFERROR(SUM(AD10:AD13),"")</f>
        <v>0</v>
      </c>
      <c r="AE14" s="25" t="str">
        <f aca="false">IFERROR(LOOKUP(2,1/(AE10:AE13&lt;&gt;""),AE10:AE13),"")</f>
        <v/>
      </c>
      <c r="AF14" s="26" t="str">
        <f aca="false">IFERROR(LOOKUP(2,1/(AF10:AF13&lt;&gt;""),AF10:AF13),"")</f>
        <v/>
      </c>
      <c r="AG14" s="24" t="str">
        <f aca="false">IFERROR(LOOKUP(2,1/(AG10:AG13&lt;&gt;""),AG10:AG13),"")</f>
        <v/>
      </c>
      <c r="AH14" s="24" t="str">
        <f aca="false">IFERROR(LOOKUP(2,1/(AH10:AH13&lt;&gt;""),AH10:AH13),"")</f>
        <v/>
      </c>
      <c r="AI14" s="24" t="str">
        <f aca="false">IFERROR(LOOKUP(2,1/(AI10:AI13&lt;&gt;""),AI10:AI13),"")</f>
        <v/>
      </c>
      <c r="AJ14" s="24" t="str">
        <f aca="false">IFERROR(LOOKUP(2,1/(AJ10:AJ13&lt;&gt;""),AJ10:AJ13),"")</f>
        <v/>
      </c>
      <c r="AK14" s="23" t="str">
        <f aca="false">IFERROR(LOOKUP(2,1/(AK10:AK13&lt;&gt;""),AK10:AK13),"")</f>
        <v/>
      </c>
      <c r="AL14" s="25" t="str">
        <f aca="false">IFERROR(LOOKUP(2,1/(AL10:AL13&lt;&gt;""),AL10:AL13),"")</f>
        <v/>
      </c>
      <c r="AM14" s="24" t="str">
        <f aca="false">IFERROR(LOOKUP(2,1/(AM10:AM13&lt;&gt;""),AM10:AM13),"")</f>
        <v/>
      </c>
      <c r="AN14" s="25" t="str">
        <f aca="false">IFERROR(LOOKUP(2,1/(AN10:AN13&lt;&gt;""),AN10:AN13),"")</f>
        <v/>
      </c>
    </row>
    <row r="15" customFormat="false" ht="15" hidden="false" customHeight="false" outlineLevel="0" collapsed="false">
      <c r="A15" s="9" t="n">
        <v>2025</v>
      </c>
      <c r="B15" s="9" t="s">
        <v>66</v>
      </c>
      <c r="C15" s="9" t="n">
        <v>9</v>
      </c>
      <c r="D15" s="10" t="s">
        <v>67</v>
      </c>
      <c r="E15" s="11" t="s">
        <v>68</v>
      </c>
      <c r="F15" s="12"/>
      <c r="G15" s="12"/>
      <c r="H15" s="12"/>
      <c r="I15" s="12"/>
      <c r="J15" s="12"/>
      <c r="K15" s="13" t="str">
        <f aca="false">IF(AND(F15&lt;&gt;"",J15&lt;&gt;"",J15&lt;&gt;0),F15/J15*100,"")</f>
        <v/>
      </c>
      <c r="L15" s="12"/>
      <c r="M15" s="12"/>
      <c r="N15" s="12"/>
      <c r="O15" s="12"/>
      <c r="P15" s="12"/>
      <c r="Q15" s="12"/>
      <c r="R15" s="12"/>
      <c r="S15" s="12"/>
      <c r="T15" s="12"/>
      <c r="U15" s="14" t="str">
        <f aca="false">IF(AND(S15&lt;&gt;"",T15&lt;&gt;""),S15-T15,"")</f>
        <v/>
      </c>
      <c r="V15" s="13" t="str">
        <f aca="false">IF(AND(U15&lt;&gt;"",S15&lt;&gt;"",S15&lt;&gt;0),U15/S15*100,"")</f>
        <v/>
      </c>
      <c r="W15" s="14" t="str">
        <f aca="false">IF(AND(F15&lt;&gt;"",S15&lt;&gt;""),F15-S15,"")</f>
        <v/>
      </c>
      <c r="X15" s="12"/>
      <c r="Y15" s="15"/>
      <c r="Z15" s="12"/>
      <c r="AA15" s="12"/>
      <c r="AB15" s="16"/>
      <c r="AC15" s="15"/>
      <c r="AD15" s="15"/>
      <c r="AE15" s="15"/>
      <c r="AF15" s="17"/>
      <c r="AG15" s="16"/>
      <c r="AH15" s="16"/>
      <c r="AI15" s="16"/>
      <c r="AJ15" s="16"/>
      <c r="AK15" s="12"/>
      <c r="AL15" s="15"/>
      <c r="AM15" s="16"/>
      <c r="AN15" s="15"/>
    </row>
    <row r="16" customFormat="false" ht="15" hidden="false" customHeight="false" outlineLevel="0" collapsed="false">
      <c r="A16" s="18" t="n">
        <v>2025</v>
      </c>
      <c r="B16" s="18" t="s">
        <v>66</v>
      </c>
      <c r="C16" s="18" t="n">
        <v>10</v>
      </c>
      <c r="D16" s="19" t="s">
        <v>69</v>
      </c>
      <c r="E16" s="20" t="s">
        <v>70</v>
      </c>
      <c r="F16" s="12"/>
      <c r="G16" s="12"/>
      <c r="H16" s="12"/>
      <c r="I16" s="12"/>
      <c r="J16" s="12"/>
      <c r="K16" s="13" t="str">
        <f aca="false">IF(AND(F16&lt;&gt;"",J16&lt;&gt;"",J16&lt;&gt;0),F16/J16*100,"")</f>
        <v/>
      </c>
      <c r="L16" s="12"/>
      <c r="M16" s="12"/>
      <c r="N16" s="12"/>
      <c r="O16" s="12"/>
      <c r="P16" s="12"/>
      <c r="Q16" s="12"/>
      <c r="R16" s="12"/>
      <c r="S16" s="12"/>
      <c r="T16" s="12"/>
      <c r="U16" s="14" t="str">
        <f aca="false">IF(AND(S16&lt;&gt;"",T16&lt;&gt;""),S16-T16,"")</f>
        <v/>
      </c>
      <c r="V16" s="13" t="str">
        <f aca="false">IF(AND(U16&lt;&gt;"",S16&lt;&gt;"",S16&lt;&gt;0),U16/S16*100,"")</f>
        <v/>
      </c>
      <c r="W16" s="14" t="str">
        <f aca="false">IF(AND(F16&lt;&gt;"",S16&lt;&gt;""),F16-S16,"")</f>
        <v/>
      </c>
      <c r="X16" s="12"/>
      <c r="Y16" s="15"/>
      <c r="Z16" s="12"/>
      <c r="AA16" s="12"/>
      <c r="AB16" s="16"/>
      <c r="AC16" s="15"/>
      <c r="AD16" s="15"/>
      <c r="AE16" s="15"/>
      <c r="AF16" s="17"/>
      <c r="AG16" s="16"/>
      <c r="AH16" s="16"/>
      <c r="AI16" s="16"/>
      <c r="AJ16" s="16"/>
      <c r="AK16" s="12"/>
      <c r="AL16" s="15"/>
      <c r="AM16" s="16"/>
      <c r="AN16" s="15"/>
    </row>
    <row r="17" customFormat="false" ht="15" hidden="false" customHeight="false" outlineLevel="0" collapsed="false">
      <c r="A17" s="9" t="n">
        <v>2025</v>
      </c>
      <c r="B17" s="9" t="s">
        <v>66</v>
      </c>
      <c r="C17" s="9" t="n">
        <v>11</v>
      </c>
      <c r="D17" s="10" t="s">
        <v>71</v>
      </c>
      <c r="E17" s="11" t="s">
        <v>72</v>
      </c>
      <c r="F17" s="12"/>
      <c r="G17" s="12"/>
      <c r="H17" s="12"/>
      <c r="I17" s="12"/>
      <c r="J17" s="12"/>
      <c r="K17" s="13" t="str">
        <f aca="false">IF(AND(F17&lt;&gt;"",J17&lt;&gt;"",J17&lt;&gt;0),F17/J17*100,"")</f>
        <v/>
      </c>
      <c r="L17" s="12"/>
      <c r="M17" s="12"/>
      <c r="N17" s="12"/>
      <c r="O17" s="12"/>
      <c r="P17" s="12"/>
      <c r="Q17" s="12"/>
      <c r="R17" s="12"/>
      <c r="S17" s="12"/>
      <c r="T17" s="12"/>
      <c r="U17" s="14" t="str">
        <f aca="false">IF(AND(S17&lt;&gt;"",T17&lt;&gt;""),S17-T17,"")</f>
        <v/>
      </c>
      <c r="V17" s="13" t="str">
        <f aca="false">IF(AND(U17&lt;&gt;"",S17&lt;&gt;"",S17&lt;&gt;0),U17/S17*100,"")</f>
        <v/>
      </c>
      <c r="W17" s="14" t="str">
        <f aca="false">IF(AND(F17&lt;&gt;"",S17&lt;&gt;""),F17-S17,"")</f>
        <v/>
      </c>
      <c r="X17" s="12"/>
      <c r="Y17" s="15"/>
      <c r="Z17" s="12"/>
      <c r="AA17" s="12"/>
      <c r="AB17" s="16"/>
      <c r="AC17" s="15"/>
      <c r="AD17" s="15"/>
      <c r="AE17" s="15"/>
      <c r="AF17" s="17"/>
      <c r="AG17" s="16"/>
      <c r="AH17" s="16"/>
      <c r="AI17" s="16"/>
      <c r="AJ17" s="16"/>
      <c r="AK17" s="12"/>
      <c r="AL17" s="15"/>
      <c r="AM17" s="16"/>
      <c r="AN17" s="15"/>
    </row>
    <row r="18" customFormat="false" ht="15" hidden="false" customHeight="false" outlineLevel="0" collapsed="false">
      <c r="A18" s="18" t="n">
        <v>2025</v>
      </c>
      <c r="B18" s="18" t="s">
        <v>66</v>
      </c>
      <c r="C18" s="18" t="n">
        <v>12</v>
      </c>
      <c r="D18" s="19" t="s">
        <v>73</v>
      </c>
      <c r="E18" s="20" t="s">
        <v>74</v>
      </c>
      <c r="F18" s="12"/>
      <c r="G18" s="12"/>
      <c r="H18" s="12"/>
      <c r="I18" s="12"/>
      <c r="J18" s="12"/>
      <c r="K18" s="13" t="str">
        <f aca="false">IF(AND(F18&lt;&gt;"",J18&lt;&gt;"",J18&lt;&gt;0),F18/J18*100,"")</f>
        <v/>
      </c>
      <c r="L18" s="12"/>
      <c r="M18" s="12"/>
      <c r="N18" s="12"/>
      <c r="O18" s="12"/>
      <c r="P18" s="12"/>
      <c r="Q18" s="12"/>
      <c r="R18" s="12"/>
      <c r="S18" s="12"/>
      <c r="T18" s="12"/>
      <c r="U18" s="14" t="str">
        <f aca="false">IF(AND(S18&lt;&gt;"",T18&lt;&gt;""),S18-T18,"")</f>
        <v/>
      </c>
      <c r="V18" s="13" t="str">
        <f aca="false">IF(AND(U18&lt;&gt;"",S18&lt;&gt;"",S18&lt;&gt;0),U18/S18*100,"")</f>
        <v/>
      </c>
      <c r="W18" s="14" t="str">
        <f aca="false">IF(AND(F18&lt;&gt;"",S18&lt;&gt;""),F18-S18,"")</f>
        <v/>
      </c>
      <c r="X18" s="12"/>
      <c r="Y18" s="15"/>
      <c r="Z18" s="12"/>
      <c r="AA18" s="12"/>
      <c r="AB18" s="16"/>
      <c r="AC18" s="15"/>
      <c r="AD18" s="15"/>
      <c r="AE18" s="15"/>
      <c r="AF18" s="17"/>
      <c r="AG18" s="16"/>
      <c r="AH18" s="16"/>
      <c r="AI18" s="16"/>
      <c r="AJ18" s="16"/>
      <c r="AK18" s="12"/>
      <c r="AL18" s="15"/>
      <c r="AM18" s="16"/>
      <c r="AN18" s="15"/>
    </row>
    <row r="19" customFormat="false" ht="15" hidden="false" customHeight="false" outlineLevel="0" collapsed="false">
      <c r="A19" s="9" t="n">
        <v>2025</v>
      </c>
      <c r="B19" s="9" t="s">
        <v>66</v>
      </c>
      <c r="C19" s="9" t="n">
        <v>13</v>
      </c>
      <c r="D19" s="10" t="s">
        <v>75</v>
      </c>
      <c r="E19" s="11" t="s">
        <v>76</v>
      </c>
      <c r="F19" s="12"/>
      <c r="G19" s="12"/>
      <c r="H19" s="12"/>
      <c r="I19" s="12"/>
      <c r="J19" s="12"/>
      <c r="K19" s="13" t="str">
        <f aca="false">IF(AND(F19&lt;&gt;"",J19&lt;&gt;"",J19&lt;&gt;0),F19/J19*100,"")</f>
        <v/>
      </c>
      <c r="L19" s="12"/>
      <c r="M19" s="12"/>
      <c r="N19" s="12"/>
      <c r="O19" s="12"/>
      <c r="P19" s="12"/>
      <c r="Q19" s="12"/>
      <c r="R19" s="12"/>
      <c r="S19" s="12"/>
      <c r="T19" s="12"/>
      <c r="U19" s="14" t="str">
        <f aca="false">IF(AND(S19&lt;&gt;"",T19&lt;&gt;""),S19-T19,"")</f>
        <v/>
      </c>
      <c r="V19" s="13" t="str">
        <f aca="false">IF(AND(U19&lt;&gt;"",S19&lt;&gt;"",S19&lt;&gt;0),U19/S19*100,"")</f>
        <v/>
      </c>
      <c r="W19" s="14" t="str">
        <f aca="false">IF(AND(F19&lt;&gt;"",S19&lt;&gt;""),F19-S19,"")</f>
        <v/>
      </c>
      <c r="X19" s="12"/>
      <c r="Y19" s="15"/>
      <c r="Z19" s="12"/>
      <c r="AA19" s="12"/>
      <c r="AB19" s="16"/>
      <c r="AC19" s="15"/>
      <c r="AD19" s="15"/>
      <c r="AE19" s="15"/>
      <c r="AF19" s="17"/>
      <c r="AG19" s="16"/>
      <c r="AH19" s="16"/>
      <c r="AI19" s="16"/>
      <c r="AJ19" s="16"/>
      <c r="AK19" s="12"/>
      <c r="AL19" s="15"/>
      <c r="AM19" s="16"/>
      <c r="AN19" s="15"/>
    </row>
    <row r="20" customFormat="false" ht="15" hidden="false" customHeight="false" outlineLevel="0" collapsed="false">
      <c r="A20" s="21" t="n">
        <v>2025</v>
      </c>
      <c r="B20" s="21" t="s">
        <v>66</v>
      </c>
      <c r="C20" s="21"/>
      <c r="D20" s="21" t="s">
        <v>77</v>
      </c>
      <c r="E20" s="22"/>
      <c r="F20" s="23" t="n">
        <f aca="false">IFERROR(SUM(F15:F19),"")</f>
        <v>0</v>
      </c>
      <c r="G20" s="23" t="n">
        <f aca="false">IFERROR(SUM(G15:G19),"")</f>
        <v>0</v>
      </c>
      <c r="H20" s="23" t="str">
        <f aca="false">IFERROR(LOOKUP(2,1/(H15:H19&lt;&gt;""),H15:H19),"")</f>
        <v/>
      </c>
      <c r="I20" s="23" t="str">
        <f aca="false">IFERROR(LOOKUP(2,1/(I15:I19&lt;&gt;""),I15:I19),"")</f>
        <v/>
      </c>
      <c r="J20" s="23" t="str">
        <f aca="false">IFERROR(LOOKUP(2,1/(J15:J19&lt;&gt;""),J15:J19),"")</f>
        <v/>
      </c>
      <c r="K20" s="24" t="str">
        <f aca="false">IFERROR(LOOKUP(2,1/(K15:K19&lt;&gt;""),K15:K19),"")</f>
        <v/>
      </c>
      <c r="L20" s="23" t="n">
        <f aca="false">IFERROR(SUM(L15:L19),"")</f>
        <v>0</v>
      </c>
      <c r="M20" s="23" t="n">
        <f aca="false">IFERROR(SUM(M15:M19),"")</f>
        <v>0</v>
      </c>
      <c r="N20" s="23" t="n">
        <f aca="false">IFERROR(SUM(N15:N19),"")</f>
        <v>0</v>
      </c>
      <c r="O20" s="23" t="n">
        <f aca="false">IFERROR(SUM(O15:O19),"")</f>
        <v>0</v>
      </c>
      <c r="P20" s="23" t="n">
        <f aca="false">IFERROR(SUM(P15:P19),"")</f>
        <v>0</v>
      </c>
      <c r="Q20" s="23" t="n">
        <f aca="false">IFERROR(SUM(Q15:Q19),"")</f>
        <v>0</v>
      </c>
      <c r="R20" s="23" t="n">
        <f aca="false">IFERROR(SUM(R15:R19),"")</f>
        <v>0</v>
      </c>
      <c r="S20" s="23" t="str">
        <f aca="false">IFERROR(LOOKUP(2,1/(S15:S19&lt;&gt;""),S15:S19),"")</f>
        <v/>
      </c>
      <c r="T20" s="23" t="str">
        <f aca="false">IFERROR(LOOKUP(2,1/(T15:T19&lt;&gt;""),T15:T19),"")</f>
        <v/>
      </c>
      <c r="U20" s="23" t="str">
        <f aca="false">IFERROR(LOOKUP(2,1/(U15:U19&lt;&gt;""),U15:U19),"")</f>
        <v/>
      </c>
      <c r="V20" s="24" t="str">
        <f aca="false">IFERROR(LOOKUP(2,1/(V15:V19&lt;&gt;""),V15:V19),"")</f>
        <v/>
      </c>
      <c r="W20" s="23" t="str">
        <f aca="false">IFERROR(LOOKUP(2,1/(W15:W19&lt;&gt;""),W15:W19),"")</f>
        <v/>
      </c>
      <c r="X20" s="23" t="str">
        <f aca="false">IFERROR(LOOKUP(2,1/(X15:X19&lt;&gt;""),X15:X19),"")</f>
        <v/>
      </c>
      <c r="Y20" s="25" t="str">
        <f aca="false">IFERROR(LOOKUP(2,1/(Y15:Y19&lt;&gt;""),Y15:Y19),"")</f>
        <v/>
      </c>
      <c r="Z20" s="23" t="str">
        <f aca="false">IFERROR(LOOKUP(2,1/(Z15:Z19&lt;&gt;""),Z15:Z19),"")</f>
        <v/>
      </c>
      <c r="AA20" s="23" t="str">
        <f aca="false">IFERROR(LOOKUP(2,1/(AA15:AA19&lt;&gt;""),AA15:AA19),"")</f>
        <v/>
      </c>
      <c r="AB20" s="24" t="str">
        <f aca="false">IFERROR(LOOKUP(2,1/(AB15:AB19&lt;&gt;""),AB15:AB19),"")</f>
        <v/>
      </c>
      <c r="AC20" s="25" t="n">
        <f aca="false">IFERROR(SUM(AC15:AC19),"")</f>
        <v>0</v>
      </c>
      <c r="AD20" s="25" t="n">
        <f aca="false">IFERROR(SUM(AD15:AD19),"")</f>
        <v>0</v>
      </c>
      <c r="AE20" s="25" t="str">
        <f aca="false">IFERROR(LOOKUP(2,1/(AE15:AE19&lt;&gt;""),AE15:AE19),"")</f>
        <v/>
      </c>
      <c r="AF20" s="26" t="str">
        <f aca="false">IFERROR(LOOKUP(2,1/(AF15:AF19&lt;&gt;""),AF15:AF19),"")</f>
        <v/>
      </c>
      <c r="AG20" s="24" t="str">
        <f aca="false">IFERROR(LOOKUP(2,1/(AG15:AG19&lt;&gt;""),AG15:AG19),"")</f>
        <v/>
      </c>
      <c r="AH20" s="24" t="str">
        <f aca="false">IFERROR(LOOKUP(2,1/(AH15:AH19&lt;&gt;""),AH15:AH19),"")</f>
        <v/>
      </c>
      <c r="AI20" s="24" t="str">
        <f aca="false">IFERROR(LOOKUP(2,1/(AI15:AI19&lt;&gt;""),AI15:AI19),"")</f>
        <v/>
      </c>
      <c r="AJ20" s="24" t="str">
        <f aca="false">IFERROR(LOOKUP(2,1/(AJ15:AJ19&lt;&gt;""),AJ15:AJ19),"")</f>
        <v/>
      </c>
      <c r="AK20" s="23" t="str">
        <f aca="false">IFERROR(LOOKUP(2,1/(AK15:AK19&lt;&gt;""),AK15:AK19),"")</f>
        <v/>
      </c>
      <c r="AL20" s="25" t="str">
        <f aca="false">IFERROR(LOOKUP(2,1/(AL15:AL19&lt;&gt;""),AL15:AL19),"")</f>
        <v/>
      </c>
      <c r="AM20" s="24" t="str">
        <f aca="false">IFERROR(LOOKUP(2,1/(AM15:AM19&lt;&gt;""),AM15:AM19),"")</f>
        <v/>
      </c>
      <c r="AN20" s="25" t="str">
        <f aca="false">IFERROR(LOOKUP(2,1/(AN15:AN19&lt;&gt;""),AN15:AN19),"")</f>
        <v/>
      </c>
    </row>
    <row r="21" customFormat="false" ht="15" hidden="false" customHeight="false" outlineLevel="0" collapsed="false">
      <c r="A21" s="18" t="n">
        <v>2025</v>
      </c>
      <c r="B21" s="18" t="s">
        <v>78</v>
      </c>
      <c r="C21" s="18" t="n">
        <v>14</v>
      </c>
      <c r="D21" s="19" t="s">
        <v>79</v>
      </c>
      <c r="E21" s="20" t="s">
        <v>80</v>
      </c>
      <c r="F21" s="12"/>
      <c r="G21" s="12"/>
      <c r="H21" s="12"/>
      <c r="I21" s="12"/>
      <c r="J21" s="12"/>
      <c r="K21" s="13" t="str">
        <f aca="false">IF(AND(F21&lt;&gt;"",J21&lt;&gt;"",J21&lt;&gt;0),F21/J21*100,"")</f>
        <v/>
      </c>
      <c r="L21" s="12"/>
      <c r="M21" s="12"/>
      <c r="N21" s="12"/>
      <c r="O21" s="12"/>
      <c r="P21" s="12"/>
      <c r="Q21" s="12"/>
      <c r="R21" s="12"/>
      <c r="S21" s="12"/>
      <c r="T21" s="12"/>
      <c r="U21" s="14" t="str">
        <f aca="false">IF(AND(S21&lt;&gt;"",T21&lt;&gt;""),S21-T21,"")</f>
        <v/>
      </c>
      <c r="V21" s="13" t="str">
        <f aca="false">IF(AND(U21&lt;&gt;"",S21&lt;&gt;"",S21&lt;&gt;0),U21/S21*100,"")</f>
        <v/>
      </c>
      <c r="W21" s="14" t="str">
        <f aca="false">IF(AND(F21&lt;&gt;"",S21&lt;&gt;""),F21-S21,"")</f>
        <v/>
      </c>
      <c r="X21" s="12"/>
      <c r="Y21" s="15"/>
      <c r="Z21" s="12"/>
      <c r="AA21" s="12"/>
      <c r="AB21" s="16"/>
      <c r="AC21" s="15"/>
      <c r="AD21" s="15"/>
      <c r="AE21" s="15"/>
      <c r="AF21" s="17"/>
      <c r="AG21" s="16"/>
      <c r="AH21" s="16"/>
      <c r="AI21" s="16"/>
      <c r="AJ21" s="16"/>
      <c r="AK21" s="12"/>
      <c r="AL21" s="15"/>
      <c r="AM21" s="16"/>
      <c r="AN21" s="15"/>
    </row>
    <row r="22" customFormat="false" ht="15" hidden="false" customHeight="false" outlineLevel="0" collapsed="false">
      <c r="A22" s="9" t="n">
        <v>2025</v>
      </c>
      <c r="B22" s="9" t="s">
        <v>78</v>
      </c>
      <c r="C22" s="9" t="n">
        <v>15</v>
      </c>
      <c r="D22" s="10" t="s">
        <v>81</v>
      </c>
      <c r="E22" s="11" t="s">
        <v>82</v>
      </c>
      <c r="F22" s="12"/>
      <c r="G22" s="12"/>
      <c r="H22" s="12"/>
      <c r="I22" s="12"/>
      <c r="J22" s="12"/>
      <c r="K22" s="13" t="str">
        <f aca="false">IF(AND(F22&lt;&gt;"",J22&lt;&gt;"",J22&lt;&gt;0),F22/J22*100,"")</f>
        <v/>
      </c>
      <c r="L22" s="12"/>
      <c r="M22" s="12"/>
      <c r="N22" s="12"/>
      <c r="O22" s="12"/>
      <c r="P22" s="12"/>
      <c r="Q22" s="12"/>
      <c r="R22" s="12"/>
      <c r="S22" s="12"/>
      <c r="T22" s="12"/>
      <c r="U22" s="14" t="str">
        <f aca="false">IF(AND(S22&lt;&gt;"",T22&lt;&gt;""),S22-T22,"")</f>
        <v/>
      </c>
      <c r="V22" s="13" t="str">
        <f aca="false">IF(AND(U22&lt;&gt;"",S22&lt;&gt;"",S22&lt;&gt;0),U22/S22*100,"")</f>
        <v/>
      </c>
      <c r="W22" s="14" t="str">
        <f aca="false">IF(AND(F22&lt;&gt;"",S22&lt;&gt;""),F22-S22,"")</f>
        <v/>
      </c>
      <c r="X22" s="12"/>
      <c r="Y22" s="15"/>
      <c r="Z22" s="12"/>
      <c r="AA22" s="12"/>
      <c r="AB22" s="16"/>
      <c r="AC22" s="15"/>
      <c r="AD22" s="15"/>
      <c r="AE22" s="15"/>
      <c r="AF22" s="17"/>
      <c r="AG22" s="16"/>
      <c r="AH22" s="16"/>
      <c r="AI22" s="16"/>
      <c r="AJ22" s="16"/>
      <c r="AK22" s="12"/>
      <c r="AL22" s="15"/>
      <c r="AM22" s="16"/>
      <c r="AN22" s="15"/>
    </row>
    <row r="23" customFormat="false" ht="15" hidden="false" customHeight="false" outlineLevel="0" collapsed="false">
      <c r="A23" s="18" t="n">
        <v>2025</v>
      </c>
      <c r="B23" s="18" t="s">
        <v>78</v>
      </c>
      <c r="C23" s="18" t="n">
        <v>16</v>
      </c>
      <c r="D23" s="19" t="s">
        <v>83</v>
      </c>
      <c r="E23" s="20" t="s">
        <v>84</v>
      </c>
      <c r="F23" s="12"/>
      <c r="G23" s="12"/>
      <c r="H23" s="12"/>
      <c r="I23" s="12"/>
      <c r="J23" s="12"/>
      <c r="K23" s="13" t="str">
        <f aca="false">IF(AND(F23&lt;&gt;"",J23&lt;&gt;"",J23&lt;&gt;0),F23/J23*100,"")</f>
        <v/>
      </c>
      <c r="L23" s="12"/>
      <c r="M23" s="12"/>
      <c r="N23" s="12"/>
      <c r="O23" s="12"/>
      <c r="P23" s="12"/>
      <c r="Q23" s="12"/>
      <c r="R23" s="12"/>
      <c r="S23" s="12"/>
      <c r="T23" s="12"/>
      <c r="U23" s="14" t="str">
        <f aca="false">IF(AND(S23&lt;&gt;"",T23&lt;&gt;""),S23-T23,"")</f>
        <v/>
      </c>
      <c r="V23" s="13" t="str">
        <f aca="false">IF(AND(U23&lt;&gt;"",S23&lt;&gt;"",S23&lt;&gt;0),U23/S23*100,"")</f>
        <v/>
      </c>
      <c r="W23" s="14" t="str">
        <f aca="false">IF(AND(F23&lt;&gt;"",S23&lt;&gt;""),F23-S23,"")</f>
        <v/>
      </c>
      <c r="X23" s="12"/>
      <c r="Y23" s="15"/>
      <c r="Z23" s="12"/>
      <c r="AA23" s="12"/>
      <c r="AB23" s="16"/>
      <c r="AC23" s="15"/>
      <c r="AD23" s="15"/>
      <c r="AE23" s="15"/>
      <c r="AF23" s="17"/>
      <c r="AG23" s="16"/>
      <c r="AH23" s="16"/>
      <c r="AI23" s="16"/>
      <c r="AJ23" s="16"/>
      <c r="AK23" s="12"/>
      <c r="AL23" s="15"/>
      <c r="AM23" s="16"/>
      <c r="AN23" s="15"/>
    </row>
    <row r="24" customFormat="false" ht="15" hidden="false" customHeight="false" outlineLevel="0" collapsed="false">
      <c r="A24" s="9" t="n">
        <v>2025</v>
      </c>
      <c r="B24" s="9" t="s">
        <v>78</v>
      </c>
      <c r="C24" s="9" t="n">
        <v>17</v>
      </c>
      <c r="D24" s="10" t="s">
        <v>85</v>
      </c>
      <c r="E24" s="11" t="s">
        <v>86</v>
      </c>
      <c r="F24" s="12"/>
      <c r="G24" s="12"/>
      <c r="H24" s="12"/>
      <c r="I24" s="12"/>
      <c r="J24" s="12"/>
      <c r="K24" s="13" t="str">
        <f aca="false">IF(AND(F24&lt;&gt;"",J24&lt;&gt;"",J24&lt;&gt;0),F24/J24*100,"")</f>
        <v/>
      </c>
      <c r="L24" s="12"/>
      <c r="M24" s="12"/>
      <c r="N24" s="12"/>
      <c r="O24" s="12"/>
      <c r="P24" s="12"/>
      <c r="Q24" s="12"/>
      <c r="R24" s="12"/>
      <c r="S24" s="12"/>
      <c r="T24" s="12"/>
      <c r="U24" s="14" t="str">
        <f aca="false">IF(AND(S24&lt;&gt;"",T24&lt;&gt;""),S24-T24,"")</f>
        <v/>
      </c>
      <c r="V24" s="13" t="str">
        <f aca="false">IF(AND(U24&lt;&gt;"",S24&lt;&gt;"",S24&lt;&gt;0),U24/S24*100,"")</f>
        <v/>
      </c>
      <c r="W24" s="14" t="str">
        <f aca="false">IF(AND(F24&lt;&gt;"",S24&lt;&gt;""),F24-S24,"")</f>
        <v/>
      </c>
      <c r="X24" s="12"/>
      <c r="Y24" s="15"/>
      <c r="Z24" s="12"/>
      <c r="AA24" s="12"/>
      <c r="AB24" s="16"/>
      <c r="AC24" s="15"/>
      <c r="AD24" s="15"/>
      <c r="AE24" s="15"/>
      <c r="AF24" s="17"/>
      <c r="AG24" s="16"/>
      <c r="AH24" s="16"/>
      <c r="AI24" s="16"/>
      <c r="AJ24" s="16"/>
      <c r="AK24" s="12"/>
      <c r="AL24" s="15"/>
      <c r="AM24" s="16"/>
      <c r="AN24" s="15"/>
    </row>
    <row r="25" customFormat="false" ht="15" hidden="false" customHeight="false" outlineLevel="0" collapsed="false">
      <c r="A25" s="21" t="n">
        <v>2025</v>
      </c>
      <c r="B25" s="21" t="s">
        <v>78</v>
      </c>
      <c r="C25" s="21"/>
      <c r="D25" s="21" t="s">
        <v>87</v>
      </c>
      <c r="E25" s="22"/>
      <c r="F25" s="23" t="n">
        <f aca="false">IFERROR(SUM(F21:F24),"")</f>
        <v>0</v>
      </c>
      <c r="G25" s="23" t="n">
        <f aca="false">IFERROR(SUM(G21:G24),"")</f>
        <v>0</v>
      </c>
      <c r="H25" s="23" t="str">
        <f aca="false">IFERROR(LOOKUP(2,1/(H21:H24&lt;&gt;""),H21:H24),"")</f>
        <v/>
      </c>
      <c r="I25" s="23" t="str">
        <f aca="false">IFERROR(LOOKUP(2,1/(I21:I24&lt;&gt;""),I21:I24),"")</f>
        <v/>
      </c>
      <c r="J25" s="23" t="str">
        <f aca="false">IFERROR(LOOKUP(2,1/(J21:J24&lt;&gt;""),J21:J24),"")</f>
        <v/>
      </c>
      <c r="K25" s="24" t="str">
        <f aca="false">IFERROR(LOOKUP(2,1/(K21:K24&lt;&gt;""),K21:K24),"")</f>
        <v/>
      </c>
      <c r="L25" s="23" t="n">
        <f aca="false">IFERROR(SUM(L21:L24),"")</f>
        <v>0</v>
      </c>
      <c r="M25" s="23" t="n">
        <f aca="false">IFERROR(SUM(M21:M24),"")</f>
        <v>0</v>
      </c>
      <c r="N25" s="23" t="n">
        <f aca="false">IFERROR(SUM(N21:N24),"")</f>
        <v>0</v>
      </c>
      <c r="O25" s="23" t="n">
        <f aca="false">IFERROR(SUM(O21:O24),"")</f>
        <v>0</v>
      </c>
      <c r="P25" s="23" t="n">
        <f aca="false">IFERROR(SUM(P21:P24),"")</f>
        <v>0</v>
      </c>
      <c r="Q25" s="23" t="n">
        <f aca="false">IFERROR(SUM(Q21:Q24),"")</f>
        <v>0</v>
      </c>
      <c r="R25" s="23" t="n">
        <f aca="false">IFERROR(SUM(R21:R24),"")</f>
        <v>0</v>
      </c>
      <c r="S25" s="23" t="str">
        <f aca="false">IFERROR(LOOKUP(2,1/(S21:S24&lt;&gt;""),S21:S24),"")</f>
        <v/>
      </c>
      <c r="T25" s="23" t="str">
        <f aca="false">IFERROR(LOOKUP(2,1/(T21:T24&lt;&gt;""),T21:T24),"")</f>
        <v/>
      </c>
      <c r="U25" s="23" t="str">
        <f aca="false">IFERROR(LOOKUP(2,1/(U21:U24&lt;&gt;""),U21:U24),"")</f>
        <v/>
      </c>
      <c r="V25" s="24" t="str">
        <f aca="false">IFERROR(LOOKUP(2,1/(V21:V24&lt;&gt;""),V21:V24),"")</f>
        <v/>
      </c>
      <c r="W25" s="23" t="str">
        <f aca="false">IFERROR(LOOKUP(2,1/(W21:W24&lt;&gt;""),W21:W24),"")</f>
        <v/>
      </c>
      <c r="X25" s="23" t="str">
        <f aca="false">IFERROR(LOOKUP(2,1/(X21:X24&lt;&gt;""),X21:X24),"")</f>
        <v/>
      </c>
      <c r="Y25" s="25" t="str">
        <f aca="false">IFERROR(LOOKUP(2,1/(Y21:Y24&lt;&gt;""),Y21:Y24),"")</f>
        <v/>
      </c>
      <c r="Z25" s="23" t="str">
        <f aca="false">IFERROR(LOOKUP(2,1/(Z21:Z24&lt;&gt;""),Z21:Z24),"")</f>
        <v/>
      </c>
      <c r="AA25" s="23" t="str">
        <f aca="false">IFERROR(LOOKUP(2,1/(AA21:AA24&lt;&gt;""),AA21:AA24),"")</f>
        <v/>
      </c>
      <c r="AB25" s="24" t="str">
        <f aca="false">IFERROR(LOOKUP(2,1/(AB21:AB24&lt;&gt;""),AB21:AB24),"")</f>
        <v/>
      </c>
      <c r="AC25" s="25" t="n">
        <f aca="false">IFERROR(SUM(AC21:AC24),"")</f>
        <v>0</v>
      </c>
      <c r="AD25" s="25" t="n">
        <f aca="false">IFERROR(SUM(AD21:AD24),"")</f>
        <v>0</v>
      </c>
      <c r="AE25" s="25" t="str">
        <f aca="false">IFERROR(LOOKUP(2,1/(AE21:AE24&lt;&gt;""),AE21:AE24),"")</f>
        <v/>
      </c>
      <c r="AF25" s="26" t="str">
        <f aca="false">IFERROR(LOOKUP(2,1/(AF21:AF24&lt;&gt;""),AF21:AF24),"")</f>
        <v/>
      </c>
      <c r="AG25" s="24" t="str">
        <f aca="false">IFERROR(LOOKUP(2,1/(AG21:AG24&lt;&gt;""),AG21:AG24),"")</f>
        <v/>
      </c>
      <c r="AH25" s="24" t="str">
        <f aca="false">IFERROR(LOOKUP(2,1/(AH21:AH24&lt;&gt;""),AH21:AH24),"")</f>
        <v/>
      </c>
      <c r="AI25" s="24" t="str">
        <f aca="false">IFERROR(LOOKUP(2,1/(AI21:AI24&lt;&gt;""),AI21:AI24),"")</f>
        <v/>
      </c>
      <c r="AJ25" s="24" t="str">
        <f aca="false">IFERROR(LOOKUP(2,1/(AJ21:AJ24&lt;&gt;""),AJ21:AJ24),"")</f>
        <v/>
      </c>
      <c r="AK25" s="23" t="str">
        <f aca="false">IFERROR(LOOKUP(2,1/(AK21:AK24&lt;&gt;""),AK21:AK24),"")</f>
        <v/>
      </c>
      <c r="AL25" s="25" t="str">
        <f aca="false">IFERROR(LOOKUP(2,1/(AL21:AL24&lt;&gt;""),AL21:AL24),"")</f>
        <v/>
      </c>
      <c r="AM25" s="24" t="str">
        <f aca="false">IFERROR(LOOKUP(2,1/(AM21:AM24&lt;&gt;""),AM21:AM24),"")</f>
        <v/>
      </c>
      <c r="AN25" s="25" t="str">
        <f aca="false">IFERROR(LOOKUP(2,1/(AN21:AN24&lt;&gt;""),AN21:AN24),"")</f>
        <v/>
      </c>
    </row>
    <row r="26" customFormat="false" ht="15" hidden="false" customHeight="false" outlineLevel="0" collapsed="false">
      <c r="A26" s="18" t="n">
        <v>2025</v>
      </c>
      <c r="B26" s="18" t="s">
        <v>88</v>
      </c>
      <c r="C26" s="18" t="n">
        <v>18</v>
      </c>
      <c r="D26" s="19" t="s">
        <v>89</v>
      </c>
      <c r="E26" s="20" t="s">
        <v>90</v>
      </c>
      <c r="F26" s="12"/>
      <c r="G26" s="12"/>
      <c r="H26" s="12"/>
      <c r="I26" s="12"/>
      <c r="J26" s="12"/>
      <c r="K26" s="13" t="str">
        <f aca="false">IF(AND(F26&lt;&gt;"",J26&lt;&gt;"",J26&lt;&gt;0),F26/J26*100,"")</f>
        <v/>
      </c>
      <c r="L26" s="12"/>
      <c r="M26" s="12"/>
      <c r="N26" s="12"/>
      <c r="O26" s="12"/>
      <c r="P26" s="12"/>
      <c r="Q26" s="12"/>
      <c r="R26" s="12"/>
      <c r="S26" s="12"/>
      <c r="T26" s="12"/>
      <c r="U26" s="14" t="str">
        <f aca="false">IF(AND(S26&lt;&gt;"",T26&lt;&gt;""),S26-T26,"")</f>
        <v/>
      </c>
      <c r="V26" s="13" t="str">
        <f aca="false">IF(AND(U26&lt;&gt;"",S26&lt;&gt;"",S26&lt;&gt;0),U26/S26*100,"")</f>
        <v/>
      </c>
      <c r="W26" s="14" t="str">
        <f aca="false">IF(AND(F26&lt;&gt;"",S26&lt;&gt;""),F26-S26,"")</f>
        <v/>
      </c>
      <c r="X26" s="12"/>
      <c r="Y26" s="15"/>
      <c r="Z26" s="12"/>
      <c r="AA26" s="12"/>
      <c r="AB26" s="16"/>
      <c r="AC26" s="15"/>
      <c r="AD26" s="15"/>
      <c r="AE26" s="15"/>
      <c r="AF26" s="17"/>
      <c r="AG26" s="16"/>
      <c r="AH26" s="16"/>
      <c r="AI26" s="16"/>
      <c r="AJ26" s="16"/>
      <c r="AK26" s="12"/>
      <c r="AL26" s="15"/>
      <c r="AM26" s="16"/>
      <c r="AN26" s="15"/>
    </row>
    <row r="27" customFormat="false" ht="15" hidden="false" customHeight="false" outlineLevel="0" collapsed="false">
      <c r="A27" s="9" t="n">
        <v>2025</v>
      </c>
      <c r="B27" s="9" t="s">
        <v>88</v>
      </c>
      <c r="C27" s="9" t="n">
        <v>19</v>
      </c>
      <c r="D27" s="10" t="s">
        <v>91</v>
      </c>
      <c r="E27" s="11" t="s">
        <v>92</v>
      </c>
      <c r="F27" s="12"/>
      <c r="G27" s="12"/>
      <c r="H27" s="12"/>
      <c r="I27" s="12"/>
      <c r="J27" s="12"/>
      <c r="K27" s="13" t="str">
        <f aca="false">IF(AND(F27&lt;&gt;"",J27&lt;&gt;"",J27&lt;&gt;0),F27/J27*100,"")</f>
        <v/>
      </c>
      <c r="L27" s="12"/>
      <c r="M27" s="12"/>
      <c r="N27" s="12"/>
      <c r="O27" s="12"/>
      <c r="P27" s="12"/>
      <c r="Q27" s="12"/>
      <c r="R27" s="12"/>
      <c r="S27" s="12"/>
      <c r="T27" s="12"/>
      <c r="U27" s="14" t="str">
        <f aca="false">IF(AND(S27&lt;&gt;"",T27&lt;&gt;""),S27-T27,"")</f>
        <v/>
      </c>
      <c r="V27" s="13" t="str">
        <f aca="false">IF(AND(U27&lt;&gt;"",S27&lt;&gt;"",S27&lt;&gt;0),U27/S27*100,"")</f>
        <v/>
      </c>
      <c r="W27" s="14" t="str">
        <f aca="false">IF(AND(F27&lt;&gt;"",S27&lt;&gt;""),F27-S27,"")</f>
        <v/>
      </c>
      <c r="X27" s="12"/>
      <c r="Y27" s="15"/>
      <c r="Z27" s="12"/>
      <c r="AA27" s="12"/>
      <c r="AB27" s="16"/>
      <c r="AC27" s="15"/>
      <c r="AD27" s="15"/>
      <c r="AE27" s="15"/>
      <c r="AF27" s="17"/>
      <c r="AG27" s="16"/>
      <c r="AH27" s="16"/>
      <c r="AI27" s="16"/>
      <c r="AJ27" s="16"/>
      <c r="AK27" s="12"/>
      <c r="AL27" s="15"/>
      <c r="AM27" s="16"/>
      <c r="AN27" s="15"/>
    </row>
    <row r="28" customFormat="false" ht="15" hidden="false" customHeight="false" outlineLevel="0" collapsed="false">
      <c r="A28" s="18" t="n">
        <v>2025</v>
      </c>
      <c r="B28" s="18" t="s">
        <v>88</v>
      </c>
      <c r="C28" s="18" t="n">
        <v>20</v>
      </c>
      <c r="D28" s="19" t="s">
        <v>93</v>
      </c>
      <c r="E28" s="20" t="s">
        <v>94</v>
      </c>
      <c r="F28" s="12"/>
      <c r="G28" s="12"/>
      <c r="H28" s="12"/>
      <c r="I28" s="12"/>
      <c r="J28" s="12"/>
      <c r="K28" s="13" t="str">
        <f aca="false">IF(AND(F28&lt;&gt;"",J28&lt;&gt;"",J28&lt;&gt;0),F28/J28*100,"")</f>
        <v/>
      </c>
      <c r="L28" s="12"/>
      <c r="M28" s="12"/>
      <c r="N28" s="12"/>
      <c r="O28" s="12"/>
      <c r="P28" s="12"/>
      <c r="Q28" s="12"/>
      <c r="R28" s="12"/>
      <c r="S28" s="12"/>
      <c r="T28" s="12"/>
      <c r="U28" s="14" t="str">
        <f aca="false">IF(AND(S28&lt;&gt;"",T28&lt;&gt;""),S28-T28,"")</f>
        <v/>
      </c>
      <c r="V28" s="13" t="str">
        <f aca="false">IF(AND(U28&lt;&gt;"",S28&lt;&gt;"",S28&lt;&gt;0),U28/S28*100,"")</f>
        <v/>
      </c>
      <c r="W28" s="14" t="str">
        <f aca="false">IF(AND(F28&lt;&gt;"",S28&lt;&gt;""),F28-S28,"")</f>
        <v/>
      </c>
      <c r="X28" s="12"/>
      <c r="Y28" s="15"/>
      <c r="Z28" s="12"/>
      <c r="AA28" s="12"/>
      <c r="AB28" s="16"/>
      <c r="AC28" s="15"/>
      <c r="AD28" s="15"/>
      <c r="AE28" s="15"/>
      <c r="AF28" s="17"/>
      <c r="AG28" s="16"/>
      <c r="AH28" s="16"/>
      <c r="AI28" s="16"/>
      <c r="AJ28" s="16"/>
      <c r="AK28" s="12"/>
      <c r="AL28" s="15"/>
      <c r="AM28" s="16"/>
      <c r="AN28" s="15"/>
    </row>
    <row r="29" customFormat="false" ht="15" hidden="false" customHeight="false" outlineLevel="0" collapsed="false">
      <c r="A29" s="9" t="n">
        <v>2025</v>
      </c>
      <c r="B29" s="9" t="s">
        <v>88</v>
      </c>
      <c r="C29" s="9" t="n">
        <v>21</v>
      </c>
      <c r="D29" s="10" t="s">
        <v>95</v>
      </c>
      <c r="E29" s="11" t="s">
        <v>96</v>
      </c>
      <c r="F29" s="12"/>
      <c r="G29" s="12"/>
      <c r="H29" s="12"/>
      <c r="I29" s="12"/>
      <c r="J29" s="12"/>
      <c r="K29" s="13" t="str">
        <f aca="false">IF(AND(F29&lt;&gt;"",J29&lt;&gt;"",J29&lt;&gt;0),F29/J29*100,"")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4" t="str">
        <f aca="false">IF(AND(S29&lt;&gt;"",T29&lt;&gt;""),S29-T29,"")</f>
        <v/>
      </c>
      <c r="V29" s="13" t="str">
        <f aca="false">IF(AND(U29&lt;&gt;"",S29&lt;&gt;"",S29&lt;&gt;0),U29/S29*100,"")</f>
        <v/>
      </c>
      <c r="W29" s="14" t="str">
        <f aca="false">IF(AND(F29&lt;&gt;"",S29&lt;&gt;""),F29-S29,"")</f>
        <v/>
      </c>
      <c r="X29" s="12"/>
      <c r="Y29" s="15"/>
      <c r="Z29" s="12"/>
      <c r="AA29" s="12"/>
      <c r="AB29" s="16"/>
      <c r="AC29" s="15"/>
      <c r="AD29" s="15"/>
      <c r="AE29" s="15"/>
      <c r="AF29" s="17"/>
      <c r="AG29" s="16"/>
      <c r="AH29" s="16"/>
      <c r="AI29" s="16"/>
      <c r="AJ29" s="16"/>
      <c r="AK29" s="12"/>
      <c r="AL29" s="15"/>
      <c r="AM29" s="16"/>
      <c r="AN29" s="15"/>
    </row>
    <row r="30" customFormat="false" ht="15" hidden="false" customHeight="false" outlineLevel="0" collapsed="false">
      <c r="A30" s="21" t="n">
        <v>2025</v>
      </c>
      <c r="B30" s="21" t="s">
        <v>88</v>
      </c>
      <c r="C30" s="21"/>
      <c r="D30" s="21" t="s">
        <v>97</v>
      </c>
      <c r="E30" s="22"/>
      <c r="F30" s="23" t="n">
        <f aca="false">IFERROR(SUM(F26:F29),"")</f>
        <v>0</v>
      </c>
      <c r="G30" s="23" t="n">
        <f aca="false">IFERROR(SUM(G26:G29),"")</f>
        <v>0</v>
      </c>
      <c r="H30" s="23" t="str">
        <f aca="false">IFERROR(LOOKUP(2,1/(H26:H29&lt;&gt;""),H26:H29),"")</f>
        <v/>
      </c>
      <c r="I30" s="23" t="str">
        <f aca="false">IFERROR(LOOKUP(2,1/(I26:I29&lt;&gt;""),I26:I29),"")</f>
        <v/>
      </c>
      <c r="J30" s="23" t="str">
        <f aca="false">IFERROR(LOOKUP(2,1/(J26:J29&lt;&gt;""),J26:J29),"")</f>
        <v/>
      </c>
      <c r="K30" s="24" t="str">
        <f aca="false">IFERROR(LOOKUP(2,1/(K26:K29&lt;&gt;""),K26:K29),"")</f>
        <v/>
      </c>
      <c r="L30" s="23" t="n">
        <f aca="false">IFERROR(SUM(L26:L29),"")</f>
        <v>0</v>
      </c>
      <c r="M30" s="23" t="n">
        <f aca="false">IFERROR(SUM(M26:M29),"")</f>
        <v>0</v>
      </c>
      <c r="N30" s="23" t="n">
        <f aca="false">IFERROR(SUM(N26:N29),"")</f>
        <v>0</v>
      </c>
      <c r="O30" s="23" t="n">
        <f aca="false">IFERROR(SUM(O26:O29),"")</f>
        <v>0</v>
      </c>
      <c r="P30" s="23" t="n">
        <f aca="false">IFERROR(SUM(P26:P29),"")</f>
        <v>0</v>
      </c>
      <c r="Q30" s="23" t="n">
        <f aca="false">IFERROR(SUM(Q26:Q29),"")</f>
        <v>0</v>
      </c>
      <c r="R30" s="23" t="n">
        <f aca="false">IFERROR(SUM(R26:R29),"")</f>
        <v>0</v>
      </c>
      <c r="S30" s="23" t="str">
        <f aca="false">IFERROR(LOOKUP(2,1/(S26:S29&lt;&gt;""),S26:S29),"")</f>
        <v/>
      </c>
      <c r="T30" s="23" t="str">
        <f aca="false">IFERROR(LOOKUP(2,1/(T26:T29&lt;&gt;""),T26:T29),"")</f>
        <v/>
      </c>
      <c r="U30" s="23" t="str">
        <f aca="false">IFERROR(LOOKUP(2,1/(U26:U29&lt;&gt;""),U26:U29),"")</f>
        <v/>
      </c>
      <c r="V30" s="24" t="str">
        <f aca="false">IFERROR(LOOKUP(2,1/(V26:V29&lt;&gt;""),V26:V29),"")</f>
        <v/>
      </c>
      <c r="W30" s="23" t="str">
        <f aca="false">IFERROR(LOOKUP(2,1/(W26:W29&lt;&gt;""),W26:W29),"")</f>
        <v/>
      </c>
      <c r="X30" s="23" t="str">
        <f aca="false">IFERROR(LOOKUP(2,1/(X26:X29&lt;&gt;""),X26:X29),"")</f>
        <v/>
      </c>
      <c r="Y30" s="25" t="str">
        <f aca="false">IFERROR(LOOKUP(2,1/(Y26:Y29&lt;&gt;""),Y26:Y29),"")</f>
        <v/>
      </c>
      <c r="Z30" s="23" t="str">
        <f aca="false">IFERROR(LOOKUP(2,1/(Z26:Z29&lt;&gt;""),Z26:Z29),"")</f>
        <v/>
      </c>
      <c r="AA30" s="23" t="str">
        <f aca="false">IFERROR(LOOKUP(2,1/(AA26:AA29&lt;&gt;""),AA26:AA29),"")</f>
        <v/>
      </c>
      <c r="AB30" s="24" t="str">
        <f aca="false">IFERROR(LOOKUP(2,1/(AB26:AB29&lt;&gt;""),AB26:AB29),"")</f>
        <v/>
      </c>
      <c r="AC30" s="25" t="n">
        <f aca="false">IFERROR(SUM(AC26:AC29),"")</f>
        <v>0</v>
      </c>
      <c r="AD30" s="25" t="n">
        <f aca="false">IFERROR(SUM(AD26:AD29),"")</f>
        <v>0</v>
      </c>
      <c r="AE30" s="25" t="str">
        <f aca="false">IFERROR(LOOKUP(2,1/(AE26:AE29&lt;&gt;""),AE26:AE29),"")</f>
        <v/>
      </c>
      <c r="AF30" s="26" t="str">
        <f aca="false">IFERROR(LOOKUP(2,1/(AF26:AF29&lt;&gt;""),AF26:AF29),"")</f>
        <v/>
      </c>
      <c r="AG30" s="24" t="str">
        <f aca="false">IFERROR(LOOKUP(2,1/(AG26:AG29&lt;&gt;""),AG26:AG29),"")</f>
        <v/>
      </c>
      <c r="AH30" s="24" t="str">
        <f aca="false">IFERROR(LOOKUP(2,1/(AH26:AH29&lt;&gt;""),AH26:AH29),"")</f>
        <v/>
      </c>
      <c r="AI30" s="24" t="str">
        <f aca="false">IFERROR(LOOKUP(2,1/(AI26:AI29&lt;&gt;""),AI26:AI29),"")</f>
        <v/>
      </c>
      <c r="AJ30" s="24" t="str">
        <f aca="false">IFERROR(LOOKUP(2,1/(AJ26:AJ29&lt;&gt;""),AJ26:AJ29),"")</f>
        <v/>
      </c>
      <c r="AK30" s="23" t="str">
        <f aca="false">IFERROR(LOOKUP(2,1/(AK26:AK29&lt;&gt;""),AK26:AK29),"")</f>
        <v/>
      </c>
      <c r="AL30" s="25" t="str">
        <f aca="false">IFERROR(LOOKUP(2,1/(AL26:AL29&lt;&gt;""),AL26:AL29),"")</f>
        <v/>
      </c>
      <c r="AM30" s="24" t="str">
        <f aca="false">IFERROR(LOOKUP(2,1/(AM26:AM29&lt;&gt;""),AM26:AM29),"")</f>
        <v/>
      </c>
      <c r="AN30" s="25" t="str">
        <f aca="false">IFERROR(LOOKUP(2,1/(AN26:AN29&lt;&gt;""),AN26:AN29),"")</f>
        <v/>
      </c>
    </row>
    <row r="31" customFormat="false" ht="15" hidden="false" customHeight="false" outlineLevel="0" collapsed="false">
      <c r="A31" s="18" t="n">
        <v>2025</v>
      </c>
      <c r="B31" s="18" t="s">
        <v>98</v>
      </c>
      <c r="C31" s="18" t="n">
        <v>22</v>
      </c>
      <c r="D31" s="19" t="s">
        <v>99</v>
      </c>
      <c r="E31" s="20" t="s">
        <v>100</v>
      </c>
      <c r="F31" s="12"/>
      <c r="G31" s="12"/>
      <c r="H31" s="12"/>
      <c r="I31" s="12"/>
      <c r="J31" s="12"/>
      <c r="K31" s="13" t="str">
        <f aca="false">IF(AND(F31&lt;&gt;"",J31&lt;&gt;"",J31&lt;&gt;0),F31/J31*100,"")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4" t="str">
        <f aca="false">IF(AND(S31&lt;&gt;"",T31&lt;&gt;""),S31-T31,"")</f>
        <v/>
      </c>
      <c r="V31" s="13" t="str">
        <f aca="false">IF(AND(U31&lt;&gt;"",S31&lt;&gt;"",S31&lt;&gt;0),U31/S31*100,"")</f>
        <v/>
      </c>
      <c r="W31" s="14" t="str">
        <f aca="false">IF(AND(F31&lt;&gt;"",S31&lt;&gt;""),F31-S31,"")</f>
        <v/>
      </c>
      <c r="X31" s="12"/>
      <c r="Y31" s="15"/>
      <c r="Z31" s="12"/>
      <c r="AA31" s="12"/>
      <c r="AB31" s="16"/>
      <c r="AC31" s="15"/>
      <c r="AD31" s="15"/>
      <c r="AE31" s="15"/>
      <c r="AF31" s="17"/>
      <c r="AG31" s="16"/>
      <c r="AH31" s="16"/>
      <c r="AI31" s="16"/>
      <c r="AJ31" s="16"/>
      <c r="AK31" s="12"/>
      <c r="AL31" s="15"/>
      <c r="AM31" s="16"/>
      <c r="AN31" s="15"/>
    </row>
    <row r="32" customFormat="false" ht="15" hidden="false" customHeight="false" outlineLevel="0" collapsed="false">
      <c r="A32" s="9" t="n">
        <v>2025</v>
      </c>
      <c r="B32" s="9" t="s">
        <v>98</v>
      </c>
      <c r="C32" s="9" t="n">
        <v>23</v>
      </c>
      <c r="D32" s="10" t="s">
        <v>101</v>
      </c>
      <c r="E32" s="11" t="s">
        <v>102</v>
      </c>
      <c r="F32" s="12"/>
      <c r="G32" s="12"/>
      <c r="H32" s="12"/>
      <c r="I32" s="12"/>
      <c r="J32" s="12"/>
      <c r="K32" s="13" t="str">
        <f aca="false">IF(AND(F32&lt;&gt;"",J32&lt;&gt;"",J32&lt;&gt;0),F32/J32*100,"")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4" t="str">
        <f aca="false">IF(AND(S32&lt;&gt;"",T32&lt;&gt;""),S32-T32,"")</f>
        <v/>
      </c>
      <c r="V32" s="13" t="str">
        <f aca="false">IF(AND(U32&lt;&gt;"",S32&lt;&gt;"",S32&lt;&gt;0),U32/S32*100,"")</f>
        <v/>
      </c>
      <c r="W32" s="14" t="str">
        <f aca="false">IF(AND(F32&lt;&gt;"",S32&lt;&gt;""),F32-S32,"")</f>
        <v/>
      </c>
      <c r="X32" s="12"/>
      <c r="Y32" s="15"/>
      <c r="Z32" s="12"/>
      <c r="AA32" s="12"/>
      <c r="AB32" s="16"/>
      <c r="AC32" s="15"/>
      <c r="AD32" s="15"/>
      <c r="AE32" s="15"/>
      <c r="AF32" s="17"/>
      <c r="AG32" s="16"/>
      <c r="AH32" s="16"/>
      <c r="AI32" s="16"/>
      <c r="AJ32" s="16"/>
      <c r="AK32" s="12"/>
      <c r="AL32" s="15"/>
      <c r="AM32" s="16"/>
      <c r="AN32" s="15"/>
    </row>
    <row r="33" customFormat="false" ht="15" hidden="false" customHeight="false" outlineLevel="0" collapsed="false">
      <c r="A33" s="18" t="n">
        <v>2025</v>
      </c>
      <c r="B33" s="18" t="s">
        <v>98</v>
      </c>
      <c r="C33" s="18" t="n">
        <v>24</v>
      </c>
      <c r="D33" s="19" t="s">
        <v>103</v>
      </c>
      <c r="E33" s="20" t="s">
        <v>104</v>
      </c>
      <c r="F33" s="12"/>
      <c r="G33" s="12"/>
      <c r="H33" s="12"/>
      <c r="I33" s="12"/>
      <c r="J33" s="12"/>
      <c r="K33" s="13" t="str">
        <f aca="false">IF(AND(F33&lt;&gt;"",J33&lt;&gt;"",J33&lt;&gt;0),F33/J33*100,"")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4" t="str">
        <f aca="false">IF(AND(S33&lt;&gt;"",T33&lt;&gt;""),S33-T33,"")</f>
        <v/>
      </c>
      <c r="V33" s="13" t="str">
        <f aca="false">IF(AND(U33&lt;&gt;"",S33&lt;&gt;"",S33&lt;&gt;0),U33/S33*100,"")</f>
        <v/>
      </c>
      <c r="W33" s="14" t="str">
        <f aca="false">IF(AND(F33&lt;&gt;"",S33&lt;&gt;""),F33-S33,"")</f>
        <v/>
      </c>
      <c r="X33" s="12"/>
      <c r="Y33" s="15"/>
      <c r="Z33" s="12"/>
      <c r="AA33" s="12"/>
      <c r="AB33" s="16"/>
      <c r="AC33" s="15"/>
      <c r="AD33" s="15"/>
      <c r="AE33" s="15"/>
      <c r="AF33" s="17"/>
      <c r="AG33" s="16"/>
      <c r="AH33" s="16"/>
      <c r="AI33" s="16"/>
      <c r="AJ33" s="16"/>
      <c r="AK33" s="12"/>
      <c r="AL33" s="15"/>
      <c r="AM33" s="16"/>
      <c r="AN33" s="15"/>
    </row>
    <row r="34" customFormat="false" ht="15" hidden="false" customHeight="false" outlineLevel="0" collapsed="false">
      <c r="A34" s="9" t="n">
        <v>2025</v>
      </c>
      <c r="B34" s="9" t="s">
        <v>98</v>
      </c>
      <c r="C34" s="9" t="n">
        <v>25</v>
      </c>
      <c r="D34" s="10" t="s">
        <v>105</v>
      </c>
      <c r="E34" s="11" t="s">
        <v>106</v>
      </c>
      <c r="F34" s="12"/>
      <c r="G34" s="12"/>
      <c r="H34" s="12"/>
      <c r="I34" s="12"/>
      <c r="J34" s="12"/>
      <c r="K34" s="13" t="str">
        <f aca="false">IF(AND(F34&lt;&gt;"",J34&lt;&gt;"",J34&lt;&gt;0),F34/J34*100,"")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4" t="str">
        <f aca="false">IF(AND(S34&lt;&gt;"",T34&lt;&gt;""),S34-T34,"")</f>
        <v/>
      </c>
      <c r="V34" s="13" t="str">
        <f aca="false">IF(AND(U34&lt;&gt;"",S34&lt;&gt;"",S34&lt;&gt;0),U34/S34*100,"")</f>
        <v/>
      </c>
      <c r="W34" s="14" t="str">
        <f aca="false">IF(AND(F34&lt;&gt;"",S34&lt;&gt;""),F34-S34,"")</f>
        <v/>
      </c>
      <c r="X34" s="12"/>
      <c r="Y34" s="15"/>
      <c r="Z34" s="12"/>
      <c r="AA34" s="12"/>
      <c r="AB34" s="16"/>
      <c r="AC34" s="15"/>
      <c r="AD34" s="15"/>
      <c r="AE34" s="15"/>
      <c r="AF34" s="17"/>
      <c r="AG34" s="16"/>
      <c r="AH34" s="16"/>
      <c r="AI34" s="16"/>
      <c r="AJ34" s="16"/>
      <c r="AK34" s="12"/>
      <c r="AL34" s="15"/>
      <c r="AM34" s="16"/>
      <c r="AN34" s="15"/>
    </row>
    <row r="35" customFormat="false" ht="15" hidden="false" customHeight="false" outlineLevel="0" collapsed="false">
      <c r="A35" s="18" t="n">
        <v>2025</v>
      </c>
      <c r="B35" s="18" t="s">
        <v>98</v>
      </c>
      <c r="C35" s="18" t="n">
        <v>26</v>
      </c>
      <c r="D35" s="19" t="s">
        <v>107</v>
      </c>
      <c r="E35" s="20" t="s">
        <v>108</v>
      </c>
      <c r="F35" s="12"/>
      <c r="G35" s="12"/>
      <c r="H35" s="12"/>
      <c r="I35" s="12"/>
      <c r="J35" s="12"/>
      <c r="K35" s="13" t="str">
        <f aca="false">IF(AND(F35&lt;&gt;"",J35&lt;&gt;"",J35&lt;&gt;0),F35/J35*100,"")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4" t="str">
        <f aca="false">IF(AND(S35&lt;&gt;"",T35&lt;&gt;""),S35-T35,"")</f>
        <v/>
      </c>
      <c r="V35" s="13" t="str">
        <f aca="false">IF(AND(U35&lt;&gt;"",S35&lt;&gt;"",S35&lt;&gt;0),U35/S35*100,"")</f>
        <v/>
      </c>
      <c r="W35" s="14" t="str">
        <f aca="false">IF(AND(F35&lt;&gt;"",S35&lt;&gt;""),F35-S35,"")</f>
        <v/>
      </c>
      <c r="X35" s="12"/>
      <c r="Y35" s="15"/>
      <c r="Z35" s="12"/>
      <c r="AA35" s="12"/>
      <c r="AB35" s="16"/>
      <c r="AC35" s="15"/>
      <c r="AD35" s="15"/>
      <c r="AE35" s="15"/>
      <c r="AF35" s="17"/>
      <c r="AG35" s="16"/>
      <c r="AH35" s="16"/>
      <c r="AI35" s="16"/>
      <c r="AJ35" s="16"/>
      <c r="AK35" s="12"/>
      <c r="AL35" s="15"/>
      <c r="AM35" s="16"/>
      <c r="AN35" s="15"/>
    </row>
    <row r="36" customFormat="false" ht="15" hidden="false" customHeight="false" outlineLevel="0" collapsed="false">
      <c r="A36" s="21" t="n">
        <v>2025</v>
      </c>
      <c r="B36" s="21" t="s">
        <v>98</v>
      </c>
      <c r="C36" s="21"/>
      <c r="D36" s="21" t="s">
        <v>109</v>
      </c>
      <c r="E36" s="22"/>
      <c r="F36" s="23" t="n">
        <f aca="false">IFERROR(SUM(F31:F35),"")</f>
        <v>0</v>
      </c>
      <c r="G36" s="23" t="n">
        <f aca="false">IFERROR(SUM(G31:G35),"")</f>
        <v>0</v>
      </c>
      <c r="H36" s="23" t="str">
        <f aca="false">IFERROR(LOOKUP(2,1/(H31:H35&lt;&gt;""),H31:H35),"")</f>
        <v/>
      </c>
      <c r="I36" s="23" t="str">
        <f aca="false">IFERROR(LOOKUP(2,1/(I31:I35&lt;&gt;""),I31:I35),"")</f>
        <v/>
      </c>
      <c r="J36" s="23" t="str">
        <f aca="false">IFERROR(LOOKUP(2,1/(J31:J35&lt;&gt;""),J31:J35),"")</f>
        <v/>
      </c>
      <c r="K36" s="24" t="str">
        <f aca="false">IFERROR(LOOKUP(2,1/(K31:K35&lt;&gt;""),K31:K35),"")</f>
        <v/>
      </c>
      <c r="L36" s="23" t="n">
        <f aca="false">IFERROR(SUM(L31:L35),"")</f>
        <v>0</v>
      </c>
      <c r="M36" s="23" t="n">
        <f aca="false">IFERROR(SUM(M31:M35),"")</f>
        <v>0</v>
      </c>
      <c r="N36" s="23" t="n">
        <f aca="false">IFERROR(SUM(N31:N35),"")</f>
        <v>0</v>
      </c>
      <c r="O36" s="23" t="n">
        <f aca="false">IFERROR(SUM(O31:O35),"")</f>
        <v>0</v>
      </c>
      <c r="P36" s="23" t="n">
        <f aca="false">IFERROR(SUM(P31:P35),"")</f>
        <v>0</v>
      </c>
      <c r="Q36" s="23" t="n">
        <f aca="false">IFERROR(SUM(Q31:Q35),"")</f>
        <v>0</v>
      </c>
      <c r="R36" s="23" t="n">
        <f aca="false">IFERROR(SUM(R31:R35),"")</f>
        <v>0</v>
      </c>
      <c r="S36" s="23" t="str">
        <f aca="false">IFERROR(LOOKUP(2,1/(S31:S35&lt;&gt;""),S31:S35),"")</f>
        <v/>
      </c>
      <c r="T36" s="23" t="str">
        <f aca="false">IFERROR(LOOKUP(2,1/(T31:T35&lt;&gt;""),T31:T35),"")</f>
        <v/>
      </c>
      <c r="U36" s="23" t="str">
        <f aca="false">IFERROR(LOOKUP(2,1/(U31:U35&lt;&gt;""),U31:U35),"")</f>
        <v/>
      </c>
      <c r="V36" s="24" t="str">
        <f aca="false">IFERROR(LOOKUP(2,1/(V31:V35&lt;&gt;""),V31:V35),"")</f>
        <v/>
      </c>
      <c r="W36" s="23" t="str">
        <f aca="false">IFERROR(LOOKUP(2,1/(W31:W35&lt;&gt;""),W31:W35),"")</f>
        <v/>
      </c>
      <c r="X36" s="23" t="str">
        <f aca="false">IFERROR(LOOKUP(2,1/(X31:X35&lt;&gt;""),X31:X35),"")</f>
        <v/>
      </c>
      <c r="Y36" s="25" t="str">
        <f aca="false">IFERROR(LOOKUP(2,1/(Y31:Y35&lt;&gt;""),Y31:Y35),"")</f>
        <v/>
      </c>
      <c r="Z36" s="23" t="str">
        <f aca="false">IFERROR(LOOKUP(2,1/(Z31:Z35&lt;&gt;""),Z31:Z35),"")</f>
        <v/>
      </c>
      <c r="AA36" s="23" t="str">
        <f aca="false">IFERROR(LOOKUP(2,1/(AA31:AA35&lt;&gt;""),AA31:AA35),"")</f>
        <v/>
      </c>
      <c r="AB36" s="24" t="str">
        <f aca="false">IFERROR(LOOKUP(2,1/(AB31:AB35&lt;&gt;""),AB31:AB35),"")</f>
        <v/>
      </c>
      <c r="AC36" s="25" t="n">
        <f aca="false">IFERROR(SUM(AC31:AC35),"")</f>
        <v>0</v>
      </c>
      <c r="AD36" s="25" t="n">
        <f aca="false">IFERROR(SUM(AD31:AD35),"")</f>
        <v>0</v>
      </c>
      <c r="AE36" s="25" t="str">
        <f aca="false">IFERROR(LOOKUP(2,1/(AE31:AE35&lt;&gt;""),AE31:AE35),"")</f>
        <v/>
      </c>
      <c r="AF36" s="26" t="str">
        <f aca="false">IFERROR(LOOKUP(2,1/(AF31:AF35&lt;&gt;""),AF31:AF35),"")</f>
        <v/>
      </c>
      <c r="AG36" s="24" t="str">
        <f aca="false">IFERROR(LOOKUP(2,1/(AG31:AG35&lt;&gt;""),AG31:AG35),"")</f>
        <v/>
      </c>
      <c r="AH36" s="24" t="str">
        <f aca="false">IFERROR(LOOKUP(2,1/(AH31:AH35&lt;&gt;""),AH31:AH35),"")</f>
        <v/>
      </c>
      <c r="AI36" s="24" t="str">
        <f aca="false">IFERROR(LOOKUP(2,1/(AI31:AI35&lt;&gt;""),AI31:AI35),"")</f>
        <v/>
      </c>
      <c r="AJ36" s="24" t="str">
        <f aca="false">IFERROR(LOOKUP(2,1/(AJ31:AJ35&lt;&gt;""),AJ31:AJ35),"")</f>
        <v/>
      </c>
      <c r="AK36" s="23" t="str">
        <f aca="false">IFERROR(LOOKUP(2,1/(AK31:AK35&lt;&gt;""),AK31:AK35),"")</f>
        <v/>
      </c>
      <c r="AL36" s="25" t="str">
        <f aca="false">IFERROR(LOOKUP(2,1/(AL31:AL35&lt;&gt;""),AL31:AL35),"")</f>
        <v/>
      </c>
      <c r="AM36" s="24" t="str">
        <f aca="false">IFERROR(LOOKUP(2,1/(AM31:AM35&lt;&gt;""),AM31:AM35),"")</f>
        <v/>
      </c>
      <c r="AN36" s="25" t="str">
        <f aca="false">IFERROR(LOOKUP(2,1/(AN31:AN35&lt;&gt;""),AN31:AN35),"")</f>
        <v/>
      </c>
    </row>
    <row r="37" customFormat="false" ht="15" hidden="false" customHeight="false" outlineLevel="0" collapsed="false">
      <c r="A37" s="9" t="n">
        <v>2025</v>
      </c>
      <c r="B37" s="9" t="s">
        <v>110</v>
      </c>
      <c r="C37" s="9" t="n">
        <v>27</v>
      </c>
      <c r="D37" s="10" t="s">
        <v>111</v>
      </c>
      <c r="E37" s="11" t="s">
        <v>112</v>
      </c>
      <c r="F37" s="12"/>
      <c r="G37" s="12"/>
      <c r="H37" s="12"/>
      <c r="I37" s="12"/>
      <c r="J37" s="12"/>
      <c r="K37" s="13" t="str">
        <f aca="false">IF(AND(F37&lt;&gt;"",J37&lt;&gt;"",J37&lt;&gt;0),F37/J37*100,"")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4" t="str">
        <f aca="false">IF(AND(S37&lt;&gt;"",T37&lt;&gt;""),S37-T37,"")</f>
        <v/>
      </c>
      <c r="V37" s="13" t="str">
        <f aca="false">IF(AND(U37&lt;&gt;"",S37&lt;&gt;"",S37&lt;&gt;0),U37/S37*100,"")</f>
        <v/>
      </c>
      <c r="W37" s="14" t="str">
        <f aca="false">IF(AND(F37&lt;&gt;"",S37&lt;&gt;""),F37-S37,"")</f>
        <v/>
      </c>
      <c r="X37" s="12"/>
      <c r="Y37" s="15"/>
      <c r="Z37" s="12"/>
      <c r="AA37" s="12"/>
      <c r="AB37" s="16"/>
      <c r="AC37" s="15"/>
      <c r="AD37" s="15"/>
      <c r="AE37" s="15"/>
      <c r="AF37" s="17"/>
      <c r="AG37" s="16"/>
      <c r="AH37" s="16"/>
      <c r="AI37" s="16"/>
      <c r="AJ37" s="16"/>
      <c r="AK37" s="12"/>
      <c r="AL37" s="15"/>
      <c r="AM37" s="16"/>
      <c r="AN37" s="15"/>
    </row>
    <row r="38" customFormat="false" ht="15" hidden="false" customHeight="false" outlineLevel="0" collapsed="false">
      <c r="A38" s="18" t="n">
        <v>2025</v>
      </c>
      <c r="B38" s="18" t="s">
        <v>110</v>
      </c>
      <c r="C38" s="18" t="n">
        <v>28</v>
      </c>
      <c r="D38" s="19" t="s">
        <v>113</v>
      </c>
      <c r="E38" s="20" t="s">
        <v>114</v>
      </c>
      <c r="F38" s="12"/>
      <c r="G38" s="12"/>
      <c r="H38" s="12"/>
      <c r="I38" s="12"/>
      <c r="J38" s="12"/>
      <c r="K38" s="13" t="str">
        <f aca="false">IF(AND(F38&lt;&gt;"",J38&lt;&gt;"",J38&lt;&gt;0),F38/J38*100,"")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4" t="str">
        <f aca="false">IF(AND(S38&lt;&gt;"",T38&lt;&gt;""),S38-T38,"")</f>
        <v/>
      </c>
      <c r="V38" s="13" t="str">
        <f aca="false">IF(AND(U38&lt;&gt;"",S38&lt;&gt;"",S38&lt;&gt;0),U38/S38*100,"")</f>
        <v/>
      </c>
      <c r="W38" s="14" t="str">
        <f aca="false">IF(AND(F38&lt;&gt;"",S38&lt;&gt;""),F38-S38,"")</f>
        <v/>
      </c>
      <c r="X38" s="12"/>
      <c r="Y38" s="15"/>
      <c r="Z38" s="12"/>
      <c r="AA38" s="12"/>
      <c r="AB38" s="16"/>
      <c r="AC38" s="15"/>
      <c r="AD38" s="15"/>
      <c r="AE38" s="15"/>
      <c r="AF38" s="17"/>
      <c r="AG38" s="16"/>
      <c r="AH38" s="16"/>
      <c r="AI38" s="16"/>
      <c r="AJ38" s="16"/>
      <c r="AK38" s="12"/>
      <c r="AL38" s="15"/>
      <c r="AM38" s="16"/>
      <c r="AN38" s="15"/>
    </row>
    <row r="39" customFormat="false" ht="15" hidden="false" customHeight="false" outlineLevel="0" collapsed="false">
      <c r="A39" s="9" t="n">
        <v>2025</v>
      </c>
      <c r="B39" s="9" t="s">
        <v>110</v>
      </c>
      <c r="C39" s="9" t="n">
        <v>29</v>
      </c>
      <c r="D39" s="10" t="s">
        <v>115</v>
      </c>
      <c r="E39" s="11" t="s">
        <v>116</v>
      </c>
      <c r="F39" s="12"/>
      <c r="G39" s="12"/>
      <c r="H39" s="12"/>
      <c r="I39" s="12"/>
      <c r="J39" s="12"/>
      <c r="K39" s="13" t="str">
        <f aca="false">IF(AND(F39&lt;&gt;"",J39&lt;&gt;"",J39&lt;&gt;0),F39/J39*100,"")</f>
        <v/>
      </c>
      <c r="L39" s="12"/>
      <c r="M39" s="12"/>
      <c r="N39" s="12"/>
      <c r="O39" s="12"/>
      <c r="P39" s="12"/>
      <c r="Q39" s="12"/>
      <c r="R39" s="12"/>
      <c r="S39" s="12"/>
      <c r="T39" s="12"/>
      <c r="U39" s="14" t="str">
        <f aca="false">IF(AND(S39&lt;&gt;"",T39&lt;&gt;""),S39-T39,"")</f>
        <v/>
      </c>
      <c r="V39" s="13" t="str">
        <f aca="false">IF(AND(U39&lt;&gt;"",S39&lt;&gt;"",S39&lt;&gt;0),U39/S39*100,"")</f>
        <v/>
      </c>
      <c r="W39" s="14" t="str">
        <f aca="false">IF(AND(F39&lt;&gt;"",S39&lt;&gt;""),F39-S39,"")</f>
        <v/>
      </c>
      <c r="X39" s="12"/>
      <c r="Y39" s="15"/>
      <c r="Z39" s="12"/>
      <c r="AA39" s="12"/>
      <c r="AB39" s="16"/>
      <c r="AC39" s="15"/>
      <c r="AD39" s="15"/>
      <c r="AE39" s="15"/>
      <c r="AF39" s="17"/>
      <c r="AG39" s="16"/>
      <c r="AH39" s="16"/>
      <c r="AI39" s="16"/>
      <c r="AJ39" s="16"/>
      <c r="AK39" s="12"/>
      <c r="AL39" s="15"/>
      <c r="AM39" s="16"/>
      <c r="AN39" s="15"/>
    </row>
    <row r="40" customFormat="false" ht="15" hidden="false" customHeight="false" outlineLevel="0" collapsed="false">
      <c r="A40" s="18" t="n">
        <v>2025</v>
      </c>
      <c r="B40" s="18" t="s">
        <v>110</v>
      </c>
      <c r="C40" s="18" t="n">
        <v>30</v>
      </c>
      <c r="D40" s="19" t="s">
        <v>117</v>
      </c>
      <c r="E40" s="20" t="s">
        <v>118</v>
      </c>
      <c r="F40" s="12"/>
      <c r="G40" s="12"/>
      <c r="H40" s="12"/>
      <c r="I40" s="12"/>
      <c r="J40" s="12"/>
      <c r="K40" s="13" t="str">
        <f aca="false">IF(AND(F40&lt;&gt;"",J40&lt;&gt;"",J40&lt;&gt;0),F40/J40*100,"")</f>
        <v/>
      </c>
      <c r="L40" s="12"/>
      <c r="M40" s="12"/>
      <c r="N40" s="12"/>
      <c r="O40" s="12"/>
      <c r="P40" s="12"/>
      <c r="Q40" s="12"/>
      <c r="R40" s="12"/>
      <c r="S40" s="12"/>
      <c r="T40" s="12"/>
      <c r="U40" s="14" t="str">
        <f aca="false">IF(AND(S40&lt;&gt;"",T40&lt;&gt;""),S40-T40,"")</f>
        <v/>
      </c>
      <c r="V40" s="13" t="str">
        <f aca="false">IF(AND(U40&lt;&gt;"",S40&lt;&gt;"",S40&lt;&gt;0),U40/S40*100,"")</f>
        <v/>
      </c>
      <c r="W40" s="14" t="str">
        <f aca="false">IF(AND(F40&lt;&gt;"",S40&lt;&gt;""),F40-S40,"")</f>
        <v/>
      </c>
      <c r="X40" s="12"/>
      <c r="Y40" s="15"/>
      <c r="Z40" s="12"/>
      <c r="AA40" s="12"/>
      <c r="AB40" s="16"/>
      <c r="AC40" s="15"/>
      <c r="AD40" s="15"/>
      <c r="AE40" s="15"/>
      <c r="AF40" s="17"/>
      <c r="AG40" s="16"/>
      <c r="AH40" s="16"/>
      <c r="AI40" s="16"/>
      <c r="AJ40" s="16"/>
      <c r="AK40" s="12"/>
      <c r="AL40" s="15"/>
      <c r="AM40" s="16"/>
      <c r="AN40" s="15"/>
    </row>
    <row r="41" customFormat="false" ht="15" hidden="false" customHeight="false" outlineLevel="0" collapsed="false">
      <c r="A41" s="21" t="n">
        <v>2025</v>
      </c>
      <c r="B41" s="21" t="s">
        <v>110</v>
      </c>
      <c r="C41" s="21"/>
      <c r="D41" s="21" t="s">
        <v>119</v>
      </c>
      <c r="E41" s="22"/>
      <c r="F41" s="23" t="n">
        <f aca="false">IFERROR(SUM(F37:F40),"")</f>
        <v>0</v>
      </c>
      <c r="G41" s="23" t="n">
        <f aca="false">IFERROR(SUM(G37:G40),"")</f>
        <v>0</v>
      </c>
      <c r="H41" s="23" t="str">
        <f aca="false">IFERROR(LOOKUP(2,1/(H37:H40&lt;&gt;""),H37:H40),"")</f>
        <v/>
      </c>
      <c r="I41" s="23" t="str">
        <f aca="false">IFERROR(LOOKUP(2,1/(I37:I40&lt;&gt;""),I37:I40),"")</f>
        <v/>
      </c>
      <c r="J41" s="23" t="str">
        <f aca="false">IFERROR(LOOKUP(2,1/(J37:J40&lt;&gt;""),J37:J40),"")</f>
        <v/>
      </c>
      <c r="K41" s="24" t="str">
        <f aca="false">IFERROR(LOOKUP(2,1/(K37:K40&lt;&gt;""),K37:K40),"")</f>
        <v/>
      </c>
      <c r="L41" s="23" t="n">
        <f aca="false">IFERROR(SUM(L37:L40),"")</f>
        <v>0</v>
      </c>
      <c r="M41" s="23" t="n">
        <f aca="false">IFERROR(SUM(M37:M40),"")</f>
        <v>0</v>
      </c>
      <c r="N41" s="23" t="n">
        <f aca="false">IFERROR(SUM(N37:N40),"")</f>
        <v>0</v>
      </c>
      <c r="O41" s="23" t="n">
        <f aca="false">IFERROR(SUM(O37:O40),"")</f>
        <v>0</v>
      </c>
      <c r="P41" s="23" t="n">
        <f aca="false">IFERROR(SUM(P37:P40),"")</f>
        <v>0</v>
      </c>
      <c r="Q41" s="23" t="n">
        <f aca="false">IFERROR(SUM(Q37:Q40),"")</f>
        <v>0</v>
      </c>
      <c r="R41" s="23" t="n">
        <f aca="false">IFERROR(SUM(R37:R40),"")</f>
        <v>0</v>
      </c>
      <c r="S41" s="23" t="str">
        <f aca="false">IFERROR(LOOKUP(2,1/(S37:S40&lt;&gt;""),S37:S40),"")</f>
        <v/>
      </c>
      <c r="T41" s="23" t="str">
        <f aca="false">IFERROR(LOOKUP(2,1/(T37:T40&lt;&gt;""),T37:T40),"")</f>
        <v/>
      </c>
      <c r="U41" s="23" t="str">
        <f aca="false">IFERROR(LOOKUP(2,1/(U37:U40&lt;&gt;""),U37:U40),"")</f>
        <v/>
      </c>
      <c r="V41" s="24" t="str">
        <f aca="false">IFERROR(LOOKUP(2,1/(V37:V40&lt;&gt;""),V37:V40),"")</f>
        <v/>
      </c>
      <c r="W41" s="23" t="str">
        <f aca="false">IFERROR(LOOKUP(2,1/(W37:W40&lt;&gt;""),W37:W40),"")</f>
        <v/>
      </c>
      <c r="X41" s="23" t="str">
        <f aca="false">IFERROR(LOOKUP(2,1/(X37:X40&lt;&gt;""),X37:X40),"")</f>
        <v/>
      </c>
      <c r="Y41" s="25" t="str">
        <f aca="false">IFERROR(LOOKUP(2,1/(Y37:Y40&lt;&gt;""),Y37:Y40),"")</f>
        <v/>
      </c>
      <c r="Z41" s="23" t="str">
        <f aca="false">IFERROR(LOOKUP(2,1/(Z37:Z40&lt;&gt;""),Z37:Z40),"")</f>
        <v/>
      </c>
      <c r="AA41" s="23" t="str">
        <f aca="false">IFERROR(LOOKUP(2,1/(AA37:AA40&lt;&gt;""),AA37:AA40),"")</f>
        <v/>
      </c>
      <c r="AB41" s="24" t="str">
        <f aca="false">IFERROR(LOOKUP(2,1/(AB37:AB40&lt;&gt;""),AB37:AB40),"")</f>
        <v/>
      </c>
      <c r="AC41" s="25" t="n">
        <f aca="false">IFERROR(SUM(AC37:AC40),"")</f>
        <v>0</v>
      </c>
      <c r="AD41" s="25" t="n">
        <f aca="false">IFERROR(SUM(AD37:AD40),"")</f>
        <v>0</v>
      </c>
      <c r="AE41" s="25" t="str">
        <f aca="false">IFERROR(LOOKUP(2,1/(AE37:AE40&lt;&gt;""),AE37:AE40),"")</f>
        <v/>
      </c>
      <c r="AF41" s="26" t="str">
        <f aca="false">IFERROR(LOOKUP(2,1/(AF37:AF40&lt;&gt;""),AF37:AF40),"")</f>
        <v/>
      </c>
      <c r="AG41" s="24" t="str">
        <f aca="false">IFERROR(LOOKUP(2,1/(AG37:AG40&lt;&gt;""),AG37:AG40),"")</f>
        <v/>
      </c>
      <c r="AH41" s="24" t="str">
        <f aca="false">IFERROR(LOOKUP(2,1/(AH37:AH40&lt;&gt;""),AH37:AH40),"")</f>
        <v/>
      </c>
      <c r="AI41" s="24" t="str">
        <f aca="false">IFERROR(LOOKUP(2,1/(AI37:AI40&lt;&gt;""),AI37:AI40),"")</f>
        <v/>
      </c>
      <c r="AJ41" s="24" t="str">
        <f aca="false">IFERROR(LOOKUP(2,1/(AJ37:AJ40&lt;&gt;""),AJ37:AJ40),"")</f>
        <v/>
      </c>
      <c r="AK41" s="23" t="str">
        <f aca="false">IFERROR(LOOKUP(2,1/(AK37:AK40&lt;&gt;""),AK37:AK40),"")</f>
        <v/>
      </c>
      <c r="AL41" s="25" t="str">
        <f aca="false">IFERROR(LOOKUP(2,1/(AL37:AL40&lt;&gt;""),AL37:AL40),"")</f>
        <v/>
      </c>
      <c r="AM41" s="24" t="str">
        <f aca="false">IFERROR(LOOKUP(2,1/(AM37:AM40&lt;&gt;""),AM37:AM40),"")</f>
        <v/>
      </c>
      <c r="AN41" s="25" t="str">
        <f aca="false">IFERROR(LOOKUP(2,1/(AN37:AN40&lt;&gt;""),AN37:AN40),"")</f>
        <v/>
      </c>
    </row>
    <row r="42" customFormat="false" ht="15" hidden="false" customHeight="false" outlineLevel="0" collapsed="false">
      <c r="A42" s="9" t="n">
        <v>2025</v>
      </c>
      <c r="B42" s="9" t="s">
        <v>120</v>
      </c>
      <c r="C42" s="9" t="n">
        <v>31</v>
      </c>
      <c r="D42" s="10" t="s">
        <v>121</v>
      </c>
      <c r="E42" s="11" t="s">
        <v>122</v>
      </c>
      <c r="F42" s="12"/>
      <c r="G42" s="12"/>
      <c r="H42" s="12"/>
      <c r="I42" s="12"/>
      <c r="J42" s="12"/>
      <c r="K42" s="13" t="str">
        <f aca="false">IF(AND(F42&lt;&gt;"",J42&lt;&gt;"",J42&lt;&gt;0),F42/J42*100,"")</f>
        <v/>
      </c>
      <c r="L42" s="12"/>
      <c r="M42" s="12"/>
      <c r="N42" s="12"/>
      <c r="O42" s="12"/>
      <c r="P42" s="12"/>
      <c r="Q42" s="12"/>
      <c r="R42" s="12"/>
      <c r="S42" s="12"/>
      <c r="T42" s="12"/>
      <c r="U42" s="14" t="str">
        <f aca="false">IF(AND(S42&lt;&gt;"",T42&lt;&gt;""),S42-T42,"")</f>
        <v/>
      </c>
      <c r="V42" s="13" t="str">
        <f aca="false">IF(AND(U42&lt;&gt;"",S42&lt;&gt;"",S42&lt;&gt;0),U42/S42*100,"")</f>
        <v/>
      </c>
      <c r="W42" s="14" t="str">
        <f aca="false">IF(AND(F42&lt;&gt;"",S42&lt;&gt;""),F42-S42,"")</f>
        <v/>
      </c>
      <c r="X42" s="12"/>
      <c r="Y42" s="15"/>
      <c r="Z42" s="12"/>
      <c r="AA42" s="12"/>
      <c r="AB42" s="16"/>
      <c r="AC42" s="15"/>
      <c r="AD42" s="15"/>
      <c r="AE42" s="15"/>
      <c r="AF42" s="17"/>
      <c r="AG42" s="16"/>
      <c r="AH42" s="16"/>
      <c r="AI42" s="16"/>
      <c r="AJ42" s="16"/>
      <c r="AK42" s="12"/>
      <c r="AL42" s="15"/>
      <c r="AM42" s="16"/>
      <c r="AN42" s="15"/>
    </row>
    <row r="43" customFormat="false" ht="15" hidden="false" customHeight="false" outlineLevel="0" collapsed="false">
      <c r="A43" s="18" t="n">
        <v>2025</v>
      </c>
      <c r="B43" s="18" t="s">
        <v>120</v>
      </c>
      <c r="C43" s="18" t="n">
        <v>32</v>
      </c>
      <c r="D43" s="19" t="s">
        <v>123</v>
      </c>
      <c r="E43" s="20" t="s">
        <v>124</v>
      </c>
      <c r="F43" s="12"/>
      <c r="G43" s="12"/>
      <c r="H43" s="12"/>
      <c r="I43" s="12"/>
      <c r="J43" s="12"/>
      <c r="K43" s="13" t="str">
        <f aca="false">IF(AND(F43&lt;&gt;"",J43&lt;&gt;"",J43&lt;&gt;0),F43/J43*100,"")</f>
        <v/>
      </c>
      <c r="L43" s="12"/>
      <c r="M43" s="12"/>
      <c r="N43" s="12"/>
      <c r="O43" s="12"/>
      <c r="P43" s="12"/>
      <c r="Q43" s="12"/>
      <c r="R43" s="12"/>
      <c r="S43" s="12"/>
      <c r="T43" s="12"/>
      <c r="U43" s="14" t="str">
        <f aca="false">IF(AND(S43&lt;&gt;"",T43&lt;&gt;""),S43-T43,"")</f>
        <v/>
      </c>
      <c r="V43" s="13" t="str">
        <f aca="false">IF(AND(U43&lt;&gt;"",S43&lt;&gt;"",S43&lt;&gt;0),U43/S43*100,"")</f>
        <v/>
      </c>
      <c r="W43" s="14" t="str">
        <f aca="false">IF(AND(F43&lt;&gt;"",S43&lt;&gt;""),F43-S43,"")</f>
        <v/>
      </c>
      <c r="X43" s="12"/>
      <c r="Y43" s="15"/>
      <c r="Z43" s="12"/>
      <c r="AA43" s="12"/>
      <c r="AB43" s="16"/>
      <c r="AC43" s="15"/>
      <c r="AD43" s="15"/>
      <c r="AE43" s="15"/>
      <c r="AF43" s="17"/>
      <c r="AG43" s="16"/>
      <c r="AH43" s="16"/>
      <c r="AI43" s="16"/>
      <c r="AJ43" s="16"/>
      <c r="AK43" s="12"/>
      <c r="AL43" s="15"/>
      <c r="AM43" s="16"/>
      <c r="AN43" s="15"/>
    </row>
    <row r="44" customFormat="false" ht="15" hidden="false" customHeight="false" outlineLevel="0" collapsed="false">
      <c r="A44" s="9" t="n">
        <v>2025</v>
      </c>
      <c r="B44" s="9" t="s">
        <v>120</v>
      </c>
      <c r="C44" s="9" t="n">
        <v>33</v>
      </c>
      <c r="D44" s="10" t="s">
        <v>125</v>
      </c>
      <c r="E44" s="11" t="s">
        <v>126</v>
      </c>
      <c r="F44" s="12"/>
      <c r="G44" s="12"/>
      <c r="H44" s="12"/>
      <c r="I44" s="12"/>
      <c r="J44" s="12"/>
      <c r="K44" s="13" t="str">
        <f aca="false">IF(AND(F44&lt;&gt;"",J44&lt;&gt;"",J44&lt;&gt;0),F44/J44*100,"")</f>
        <v/>
      </c>
      <c r="L44" s="12"/>
      <c r="M44" s="12"/>
      <c r="N44" s="12"/>
      <c r="O44" s="12"/>
      <c r="P44" s="12"/>
      <c r="Q44" s="12"/>
      <c r="R44" s="12"/>
      <c r="S44" s="12"/>
      <c r="T44" s="12"/>
      <c r="U44" s="14" t="str">
        <f aca="false">IF(AND(S44&lt;&gt;"",T44&lt;&gt;""),S44-T44,"")</f>
        <v/>
      </c>
      <c r="V44" s="13" t="str">
        <f aca="false">IF(AND(U44&lt;&gt;"",S44&lt;&gt;"",S44&lt;&gt;0),U44/S44*100,"")</f>
        <v/>
      </c>
      <c r="W44" s="14" t="str">
        <f aca="false">IF(AND(F44&lt;&gt;"",S44&lt;&gt;""),F44-S44,"")</f>
        <v/>
      </c>
      <c r="X44" s="12"/>
      <c r="Y44" s="15"/>
      <c r="Z44" s="12"/>
      <c r="AA44" s="12"/>
      <c r="AB44" s="16"/>
      <c r="AC44" s="15"/>
      <c r="AD44" s="15"/>
      <c r="AE44" s="15"/>
      <c r="AF44" s="17"/>
      <c r="AG44" s="16"/>
      <c r="AH44" s="16"/>
      <c r="AI44" s="16"/>
      <c r="AJ44" s="16"/>
      <c r="AK44" s="12"/>
      <c r="AL44" s="15"/>
      <c r="AM44" s="16"/>
      <c r="AN44" s="15"/>
    </row>
    <row r="45" customFormat="false" ht="15" hidden="false" customHeight="false" outlineLevel="0" collapsed="false">
      <c r="A45" s="18" t="n">
        <v>2025</v>
      </c>
      <c r="B45" s="18" t="s">
        <v>120</v>
      </c>
      <c r="C45" s="18" t="n">
        <v>34</v>
      </c>
      <c r="D45" s="19" t="s">
        <v>127</v>
      </c>
      <c r="E45" s="20" t="s">
        <v>128</v>
      </c>
      <c r="F45" s="12"/>
      <c r="G45" s="12"/>
      <c r="H45" s="12"/>
      <c r="I45" s="12"/>
      <c r="J45" s="12"/>
      <c r="K45" s="13" t="str">
        <f aca="false">IF(AND(F45&lt;&gt;"",J45&lt;&gt;"",J45&lt;&gt;0),F45/J45*100,"")</f>
        <v/>
      </c>
      <c r="L45" s="12"/>
      <c r="M45" s="12"/>
      <c r="N45" s="12"/>
      <c r="O45" s="12"/>
      <c r="P45" s="12"/>
      <c r="Q45" s="12"/>
      <c r="R45" s="12"/>
      <c r="S45" s="12"/>
      <c r="T45" s="12"/>
      <c r="U45" s="14" t="str">
        <f aca="false">IF(AND(S45&lt;&gt;"",T45&lt;&gt;""),S45-T45,"")</f>
        <v/>
      </c>
      <c r="V45" s="13" t="str">
        <f aca="false">IF(AND(U45&lt;&gt;"",S45&lt;&gt;"",S45&lt;&gt;0),U45/S45*100,"")</f>
        <v/>
      </c>
      <c r="W45" s="14" t="str">
        <f aca="false">IF(AND(F45&lt;&gt;"",S45&lt;&gt;""),F45-S45,"")</f>
        <v/>
      </c>
      <c r="X45" s="12"/>
      <c r="Y45" s="15"/>
      <c r="Z45" s="12"/>
      <c r="AA45" s="12"/>
      <c r="AB45" s="16"/>
      <c r="AC45" s="15"/>
      <c r="AD45" s="15"/>
      <c r="AE45" s="15"/>
      <c r="AF45" s="17"/>
      <c r="AG45" s="16"/>
      <c r="AH45" s="16"/>
      <c r="AI45" s="16"/>
      <c r="AJ45" s="16"/>
      <c r="AK45" s="12"/>
      <c r="AL45" s="15"/>
      <c r="AM45" s="16"/>
      <c r="AN45" s="15"/>
    </row>
    <row r="46" customFormat="false" ht="15" hidden="false" customHeight="false" outlineLevel="0" collapsed="false">
      <c r="A46" s="21" t="n">
        <v>2025</v>
      </c>
      <c r="B46" s="21" t="s">
        <v>120</v>
      </c>
      <c r="C46" s="21"/>
      <c r="D46" s="21" t="s">
        <v>129</v>
      </c>
      <c r="E46" s="22"/>
      <c r="F46" s="23" t="n">
        <f aca="false">IFERROR(SUM(F42:F45),"")</f>
        <v>0</v>
      </c>
      <c r="G46" s="23" t="n">
        <f aca="false">IFERROR(SUM(G42:G45),"")</f>
        <v>0</v>
      </c>
      <c r="H46" s="23" t="str">
        <f aca="false">IFERROR(LOOKUP(2,1/(H42:H45&lt;&gt;""),H42:H45),"")</f>
        <v/>
      </c>
      <c r="I46" s="23" t="str">
        <f aca="false">IFERROR(LOOKUP(2,1/(I42:I45&lt;&gt;""),I42:I45),"")</f>
        <v/>
      </c>
      <c r="J46" s="23" t="str">
        <f aca="false">IFERROR(LOOKUP(2,1/(J42:J45&lt;&gt;""),J42:J45),"")</f>
        <v/>
      </c>
      <c r="K46" s="24" t="str">
        <f aca="false">IFERROR(LOOKUP(2,1/(K42:K45&lt;&gt;""),K42:K45),"")</f>
        <v/>
      </c>
      <c r="L46" s="23" t="n">
        <f aca="false">IFERROR(SUM(L42:L45),"")</f>
        <v>0</v>
      </c>
      <c r="M46" s="23" t="n">
        <f aca="false">IFERROR(SUM(M42:M45),"")</f>
        <v>0</v>
      </c>
      <c r="N46" s="23" t="n">
        <f aca="false">IFERROR(SUM(N42:N45),"")</f>
        <v>0</v>
      </c>
      <c r="O46" s="23" t="n">
        <f aca="false">IFERROR(SUM(O42:O45),"")</f>
        <v>0</v>
      </c>
      <c r="P46" s="23" t="n">
        <f aca="false">IFERROR(SUM(P42:P45),"")</f>
        <v>0</v>
      </c>
      <c r="Q46" s="23" t="n">
        <f aca="false">IFERROR(SUM(Q42:Q45),"")</f>
        <v>0</v>
      </c>
      <c r="R46" s="23" t="n">
        <f aca="false">IFERROR(SUM(R42:R45),"")</f>
        <v>0</v>
      </c>
      <c r="S46" s="23" t="str">
        <f aca="false">IFERROR(LOOKUP(2,1/(S42:S45&lt;&gt;""),S42:S45),"")</f>
        <v/>
      </c>
      <c r="T46" s="23" t="str">
        <f aca="false">IFERROR(LOOKUP(2,1/(T42:T45&lt;&gt;""),T42:T45),"")</f>
        <v/>
      </c>
      <c r="U46" s="23" t="str">
        <f aca="false">IFERROR(LOOKUP(2,1/(U42:U45&lt;&gt;""),U42:U45),"")</f>
        <v/>
      </c>
      <c r="V46" s="24" t="str">
        <f aca="false">IFERROR(LOOKUP(2,1/(V42:V45&lt;&gt;""),V42:V45),"")</f>
        <v/>
      </c>
      <c r="W46" s="23" t="str">
        <f aca="false">IFERROR(LOOKUP(2,1/(W42:W45&lt;&gt;""),W42:W45),"")</f>
        <v/>
      </c>
      <c r="X46" s="23" t="str">
        <f aca="false">IFERROR(LOOKUP(2,1/(X42:X45&lt;&gt;""),X42:X45),"")</f>
        <v/>
      </c>
      <c r="Y46" s="25" t="str">
        <f aca="false">IFERROR(LOOKUP(2,1/(Y42:Y45&lt;&gt;""),Y42:Y45),"")</f>
        <v/>
      </c>
      <c r="Z46" s="23" t="str">
        <f aca="false">IFERROR(LOOKUP(2,1/(Z42:Z45&lt;&gt;""),Z42:Z45),"")</f>
        <v/>
      </c>
      <c r="AA46" s="23" t="str">
        <f aca="false">IFERROR(LOOKUP(2,1/(AA42:AA45&lt;&gt;""),AA42:AA45),"")</f>
        <v/>
      </c>
      <c r="AB46" s="24" t="str">
        <f aca="false">IFERROR(LOOKUP(2,1/(AB42:AB45&lt;&gt;""),AB42:AB45),"")</f>
        <v/>
      </c>
      <c r="AC46" s="25" t="n">
        <f aca="false">IFERROR(SUM(AC42:AC45),"")</f>
        <v>0</v>
      </c>
      <c r="AD46" s="25" t="n">
        <f aca="false">IFERROR(SUM(AD42:AD45),"")</f>
        <v>0</v>
      </c>
      <c r="AE46" s="25" t="str">
        <f aca="false">IFERROR(LOOKUP(2,1/(AE42:AE45&lt;&gt;""),AE42:AE45),"")</f>
        <v/>
      </c>
      <c r="AF46" s="26" t="str">
        <f aca="false">IFERROR(LOOKUP(2,1/(AF42:AF45&lt;&gt;""),AF42:AF45),"")</f>
        <v/>
      </c>
      <c r="AG46" s="24" t="str">
        <f aca="false">IFERROR(LOOKUP(2,1/(AG42:AG45&lt;&gt;""),AG42:AG45),"")</f>
        <v/>
      </c>
      <c r="AH46" s="24" t="str">
        <f aca="false">IFERROR(LOOKUP(2,1/(AH42:AH45&lt;&gt;""),AH42:AH45),"")</f>
        <v/>
      </c>
      <c r="AI46" s="24" t="str">
        <f aca="false">IFERROR(LOOKUP(2,1/(AI42:AI45&lt;&gt;""),AI42:AI45),"")</f>
        <v/>
      </c>
      <c r="AJ46" s="24" t="str">
        <f aca="false">IFERROR(LOOKUP(2,1/(AJ42:AJ45&lt;&gt;""),AJ42:AJ45),"")</f>
        <v/>
      </c>
      <c r="AK46" s="23" t="str">
        <f aca="false">IFERROR(LOOKUP(2,1/(AK42:AK45&lt;&gt;""),AK42:AK45),"")</f>
        <v/>
      </c>
      <c r="AL46" s="25" t="str">
        <f aca="false">IFERROR(LOOKUP(2,1/(AL42:AL45&lt;&gt;""),AL42:AL45),"")</f>
        <v/>
      </c>
      <c r="AM46" s="24" t="str">
        <f aca="false">IFERROR(LOOKUP(2,1/(AM42:AM45&lt;&gt;""),AM42:AM45),"")</f>
        <v/>
      </c>
      <c r="AN46" s="25" t="str">
        <f aca="false">IFERROR(LOOKUP(2,1/(AN42:AN45&lt;&gt;""),AN42:AN45),"")</f>
        <v/>
      </c>
    </row>
    <row r="47" customFormat="false" ht="15" hidden="false" customHeight="false" outlineLevel="0" collapsed="false">
      <c r="A47" s="9" t="n">
        <v>2025</v>
      </c>
      <c r="B47" s="9" t="s">
        <v>130</v>
      </c>
      <c r="C47" s="9" t="n">
        <v>35</v>
      </c>
      <c r="D47" s="10" t="s">
        <v>131</v>
      </c>
      <c r="E47" s="11" t="s">
        <v>132</v>
      </c>
      <c r="F47" s="12"/>
      <c r="G47" s="12"/>
      <c r="H47" s="12"/>
      <c r="I47" s="12"/>
      <c r="J47" s="12"/>
      <c r="K47" s="13" t="str">
        <f aca="false">IF(AND(F47&lt;&gt;"",J47&lt;&gt;"",J47&lt;&gt;0),F47/J47*100,"")</f>
        <v/>
      </c>
      <c r="L47" s="12"/>
      <c r="M47" s="12"/>
      <c r="N47" s="12"/>
      <c r="O47" s="12"/>
      <c r="P47" s="12"/>
      <c r="Q47" s="12"/>
      <c r="R47" s="12"/>
      <c r="S47" s="12"/>
      <c r="T47" s="12"/>
      <c r="U47" s="14" t="str">
        <f aca="false">IF(AND(S47&lt;&gt;"",T47&lt;&gt;""),S47-T47,"")</f>
        <v/>
      </c>
      <c r="V47" s="13" t="str">
        <f aca="false">IF(AND(U47&lt;&gt;"",S47&lt;&gt;"",S47&lt;&gt;0),U47/S47*100,"")</f>
        <v/>
      </c>
      <c r="W47" s="14" t="str">
        <f aca="false">IF(AND(F47&lt;&gt;"",S47&lt;&gt;""),F47-S47,"")</f>
        <v/>
      </c>
      <c r="X47" s="12" t="n">
        <v>667603</v>
      </c>
      <c r="Y47" s="15"/>
      <c r="Z47" s="12"/>
      <c r="AA47" s="12"/>
      <c r="AB47" s="16"/>
      <c r="AC47" s="15"/>
      <c r="AD47" s="15"/>
      <c r="AE47" s="15"/>
      <c r="AF47" s="17"/>
      <c r="AG47" s="16"/>
      <c r="AH47" s="16"/>
      <c r="AI47" s="16"/>
      <c r="AJ47" s="16"/>
      <c r="AK47" s="12"/>
      <c r="AL47" s="15"/>
      <c r="AM47" s="16"/>
      <c r="AN47" s="15"/>
    </row>
    <row r="48" customFormat="false" ht="15" hidden="false" customHeight="false" outlineLevel="0" collapsed="false">
      <c r="A48" s="18" t="n">
        <v>2025</v>
      </c>
      <c r="B48" s="18" t="s">
        <v>130</v>
      </c>
      <c r="C48" s="18" t="n">
        <v>36</v>
      </c>
      <c r="D48" s="19" t="s">
        <v>133</v>
      </c>
      <c r="E48" s="20" t="s">
        <v>134</v>
      </c>
      <c r="F48" s="12"/>
      <c r="G48" s="12"/>
      <c r="H48" s="12"/>
      <c r="I48" s="12"/>
      <c r="J48" s="12"/>
      <c r="K48" s="13" t="str">
        <f aca="false">IF(AND(F48&lt;&gt;"",J48&lt;&gt;"",J48&lt;&gt;0),F48/J48*100,"")</f>
        <v/>
      </c>
      <c r="L48" s="12"/>
      <c r="M48" s="12"/>
      <c r="N48" s="12"/>
      <c r="O48" s="12"/>
      <c r="P48" s="12"/>
      <c r="Q48" s="12"/>
      <c r="R48" s="12"/>
      <c r="S48" s="12"/>
      <c r="T48" s="12"/>
      <c r="U48" s="14" t="str">
        <f aca="false">IF(AND(S48&lt;&gt;"",T48&lt;&gt;""),S48-T48,"")</f>
        <v/>
      </c>
      <c r="V48" s="13" t="str">
        <f aca="false">IF(AND(U48&lt;&gt;"",S48&lt;&gt;"",S48&lt;&gt;0),U48/S48*100,"")</f>
        <v/>
      </c>
      <c r="W48" s="14" t="str">
        <f aca="false">IF(AND(F48&lt;&gt;"",S48&lt;&gt;""),F48-S48,"")</f>
        <v/>
      </c>
      <c r="X48" s="12" t="n">
        <v>578285</v>
      </c>
      <c r="Y48" s="15"/>
      <c r="Z48" s="12"/>
      <c r="AA48" s="12"/>
      <c r="AB48" s="16"/>
      <c r="AC48" s="15"/>
      <c r="AD48" s="15"/>
      <c r="AE48" s="15"/>
      <c r="AF48" s="17"/>
      <c r="AG48" s="16"/>
      <c r="AH48" s="16"/>
      <c r="AI48" s="16"/>
      <c r="AJ48" s="16"/>
      <c r="AK48" s="12"/>
      <c r="AL48" s="15"/>
      <c r="AM48" s="16"/>
      <c r="AN48" s="15"/>
    </row>
    <row r="49" customFormat="false" ht="15" hidden="false" customHeight="false" outlineLevel="0" collapsed="false">
      <c r="A49" s="9" t="n">
        <v>2025</v>
      </c>
      <c r="B49" s="9" t="s">
        <v>130</v>
      </c>
      <c r="C49" s="9" t="n">
        <v>37</v>
      </c>
      <c r="D49" s="10" t="s">
        <v>135</v>
      </c>
      <c r="E49" s="11" t="s">
        <v>136</v>
      </c>
      <c r="F49" s="12"/>
      <c r="G49" s="12"/>
      <c r="H49" s="12"/>
      <c r="I49" s="12"/>
      <c r="J49" s="12"/>
      <c r="K49" s="13" t="str">
        <f aca="false">IF(AND(F49&lt;&gt;"",J49&lt;&gt;"",J49&lt;&gt;0),F49/J49*100,"")</f>
        <v/>
      </c>
      <c r="L49" s="12"/>
      <c r="M49" s="12"/>
      <c r="N49" s="12"/>
      <c r="O49" s="12"/>
      <c r="P49" s="12"/>
      <c r="Q49" s="12"/>
      <c r="R49" s="12"/>
      <c r="S49" s="12"/>
      <c r="T49" s="12"/>
      <c r="U49" s="14" t="str">
        <f aca="false">IF(AND(S49&lt;&gt;"",T49&lt;&gt;""),S49-T49,"")</f>
        <v/>
      </c>
      <c r="V49" s="13" t="str">
        <f aca="false">IF(AND(U49&lt;&gt;"",S49&lt;&gt;"",S49&lt;&gt;0),U49/S49*100,"")</f>
        <v/>
      </c>
      <c r="W49" s="14" t="str">
        <f aca="false">IF(AND(F49&lt;&gt;"",S49&lt;&gt;""),F49-S49,"")</f>
        <v/>
      </c>
      <c r="X49" s="12" t="n">
        <v>505399</v>
      </c>
      <c r="Y49" s="15"/>
      <c r="Z49" s="12"/>
      <c r="AA49" s="12"/>
      <c r="AB49" s="16"/>
      <c r="AC49" s="15"/>
      <c r="AD49" s="15"/>
      <c r="AE49" s="15"/>
      <c r="AF49" s="17"/>
      <c r="AG49" s="16"/>
      <c r="AH49" s="16"/>
      <c r="AI49" s="16"/>
      <c r="AJ49" s="16"/>
      <c r="AK49" s="12"/>
      <c r="AL49" s="15"/>
      <c r="AM49" s="16"/>
      <c r="AN49" s="15"/>
    </row>
    <row r="50" customFormat="false" ht="15" hidden="false" customHeight="false" outlineLevel="0" collapsed="false">
      <c r="A50" s="18" t="n">
        <v>2025</v>
      </c>
      <c r="B50" s="18" t="s">
        <v>130</v>
      </c>
      <c r="C50" s="18" t="n">
        <v>38</v>
      </c>
      <c r="D50" s="19" t="s">
        <v>137</v>
      </c>
      <c r="E50" s="20" t="s">
        <v>138</v>
      </c>
      <c r="F50" s="12"/>
      <c r="G50" s="12"/>
      <c r="H50" s="12"/>
      <c r="I50" s="12"/>
      <c r="J50" s="12"/>
      <c r="K50" s="13" t="str">
        <f aca="false">IF(AND(F50&lt;&gt;"",J50&lt;&gt;"",J50&lt;&gt;0),F50/J50*100,"")</f>
        <v/>
      </c>
      <c r="L50" s="12"/>
      <c r="M50" s="12"/>
      <c r="N50" s="12"/>
      <c r="O50" s="12"/>
      <c r="P50" s="12"/>
      <c r="Q50" s="12"/>
      <c r="R50" s="12"/>
      <c r="S50" s="12"/>
      <c r="T50" s="12"/>
      <c r="U50" s="14" t="str">
        <f aca="false">IF(AND(S50&lt;&gt;"",T50&lt;&gt;""),S50-T50,"")</f>
        <v/>
      </c>
      <c r="V50" s="13" t="str">
        <f aca="false">IF(AND(U50&lt;&gt;"",S50&lt;&gt;"",S50&lt;&gt;0),U50/S50*100,"")</f>
        <v/>
      </c>
      <c r="W50" s="14" t="str">
        <f aca="false">IF(AND(F50&lt;&gt;"",S50&lt;&gt;""),F50-S50,"")</f>
        <v/>
      </c>
      <c r="X50" s="12" t="n">
        <v>352316</v>
      </c>
      <c r="Y50" s="15"/>
      <c r="Z50" s="12"/>
      <c r="AA50" s="12"/>
      <c r="AB50" s="16"/>
      <c r="AC50" s="15"/>
      <c r="AD50" s="15"/>
      <c r="AE50" s="15"/>
      <c r="AF50" s="17"/>
      <c r="AG50" s="16"/>
      <c r="AH50" s="16"/>
      <c r="AI50" s="16"/>
      <c r="AJ50" s="16"/>
      <c r="AK50" s="12"/>
      <c r="AL50" s="15"/>
      <c r="AM50" s="16"/>
      <c r="AN50" s="15"/>
    </row>
    <row r="51" customFormat="false" ht="15" hidden="false" customHeight="false" outlineLevel="0" collapsed="false">
      <c r="A51" s="9" t="n">
        <v>2025</v>
      </c>
      <c r="B51" s="9" t="s">
        <v>130</v>
      </c>
      <c r="C51" s="9" t="n">
        <v>39</v>
      </c>
      <c r="D51" s="10" t="s">
        <v>139</v>
      </c>
      <c r="E51" s="11" t="s">
        <v>140</v>
      </c>
      <c r="F51" s="12"/>
      <c r="G51" s="12"/>
      <c r="H51" s="12"/>
      <c r="I51" s="12"/>
      <c r="J51" s="12"/>
      <c r="K51" s="13" t="str">
        <f aca="false">IF(AND(F51&lt;&gt;"",J51&lt;&gt;"",J51&lt;&gt;0),F51/J51*100,"")</f>
        <v/>
      </c>
      <c r="L51" s="12"/>
      <c r="M51" s="12"/>
      <c r="N51" s="12"/>
      <c r="O51" s="12"/>
      <c r="P51" s="12"/>
      <c r="Q51" s="12"/>
      <c r="R51" s="12"/>
      <c r="S51" s="12"/>
      <c r="T51" s="12"/>
      <c r="U51" s="14" t="str">
        <f aca="false">IF(AND(S51&lt;&gt;"",T51&lt;&gt;""),S51-T51,"")</f>
        <v/>
      </c>
      <c r="V51" s="13" t="str">
        <f aca="false">IF(AND(U51&lt;&gt;"",S51&lt;&gt;"",S51&lt;&gt;0),U51/S51*100,"")</f>
        <v/>
      </c>
      <c r="W51" s="14" t="str">
        <f aca="false">IF(AND(F51&lt;&gt;"",S51&lt;&gt;""),F51-S51,"")</f>
        <v/>
      </c>
      <c r="X51" s="12" t="n">
        <v>296137</v>
      </c>
      <c r="Y51" s="15"/>
      <c r="Z51" s="12"/>
      <c r="AA51" s="12"/>
      <c r="AB51" s="16"/>
      <c r="AC51" s="15"/>
      <c r="AD51" s="15"/>
      <c r="AE51" s="15"/>
      <c r="AF51" s="17"/>
      <c r="AG51" s="16"/>
      <c r="AH51" s="16"/>
      <c r="AI51" s="16"/>
      <c r="AJ51" s="16"/>
      <c r="AK51" s="12"/>
      <c r="AL51" s="15"/>
      <c r="AM51" s="16"/>
      <c r="AN51" s="15"/>
    </row>
    <row r="52" customFormat="false" ht="15" hidden="false" customHeight="false" outlineLevel="0" collapsed="false">
      <c r="A52" s="21" t="n">
        <v>2025</v>
      </c>
      <c r="B52" s="21" t="s">
        <v>130</v>
      </c>
      <c r="C52" s="21"/>
      <c r="D52" s="21" t="s">
        <v>141</v>
      </c>
      <c r="E52" s="22"/>
      <c r="F52" s="23" t="n">
        <f aca="false">IFERROR(SUM(F47:F51),"")</f>
        <v>0</v>
      </c>
      <c r="G52" s="23" t="n">
        <f aca="false">IFERROR(SUM(G47:G51),"")</f>
        <v>0</v>
      </c>
      <c r="H52" s="23" t="str">
        <f aca="false">IFERROR(LOOKUP(2,1/(H47:H51&lt;&gt;""),H47:H51),"")</f>
        <v/>
      </c>
      <c r="I52" s="23" t="str">
        <f aca="false">IFERROR(LOOKUP(2,1/(I47:I51&lt;&gt;""),I47:I51),"")</f>
        <v/>
      </c>
      <c r="J52" s="23" t="str">
        <f aca="false">IFERROR(LOOKUP(2,1/(J47:J51&lt;&gt;""),J47:J51),"")</f>
        <v/>
      </c>
      <c r="K52" s="24" t="str">
        <f aca="false">IFERROR(LOOKUP(2,1/(K47:K51&lt;&gt;""),K47:K51),"")</f>
        <v/>
      </c>
      <c r="L52" s="23" t="n">
        <f aca="false">IFERROR(SUM(L47:L51),"")</f>
        <v>0</v>
      </c>
      <c r="M52" s="23" t="n">
        <f aca="false">IFERROR(SUM(M47:M51),"")</f>
        <v>0</v>
      </c>
      <c r="N52" s="23" t="n">
        <f aca="false">IFERROR(SUM(N47:N51),"")</f>
        <v>0</v>
      </c>
      <c r="O52" s="23" t="n">
        <f aca="false">IFERROR(SUM(O47:O51),"")</f>
        <v>0</v>
      </c>
      <c r="P52" s="23" t="n">
        <f aca="false">IFERROR(SUM(P47:P51),"")</f>
        <v>0</v>
      </c>
      <c r="Q52" s="23" t="n">
        <f aca="false">IFERROR(SUM(Q47:Q51),"")</f>
        <v>0</v>
      </c>
      <c r="R52" s="23" t="n">
        <f aca="false">IFERROR(SUM(R47:R51),"")</f>
        <v>0</v>
      </c>
      <c r="S52" s="23" t="str">
        <f aca="false">IFERROR(LOOKUP(2,1/(S47:S51&lt;&gt;""),S47:S51),"")</f>
        <v/>
      </c>
      <c r="T52" s="23" t="str">
        <f aca="false">IFERROR(LOOKUP(2,1/(T47:T51&lt;&gt;""),T47:T51),"")</f>
        <v/>
      </c>
      <c r="U52" s="23" t="str">
        <f aca="false">IFERROR(LOOKUP(2,1/(U47:U51&lt;&gt;""),U47:U51),"")</f>
        <v/>
      </c>
      <c r="V52" s="24" t="str">
        <f aca="false">IFERROR(LOOKUP(2,1/(V47:V51&lt;&gt;""),V47:V51),"")</f>
        <v/>
      </c>
      <c r="W52" s="23" t="str">
        <f aca="false">IFERROR(LOOKUP(2,1/(W47:W51&lt;&gt;""),W47:W51),"")</f>
        <v/>
      </c>
      <c r="X52" s="23" t="n">
        <f aca="false">IFERROR(LOOKUP(2,1/(X47:X51&lt;&gt;""),X47:X51),"")</f>
        <v>296137</v>
      </c>
      <c r="Y52" s="25" t="str">
        <f aca="false">IFERROR(LOOKUP(2,1/(Y47:Y51&lt;&gt;""),Y47:Y51),"")</f>
        <v/>
      </c>
      <c r="Z52" s="23" t="str">
        <f aca="false">IFERROR(LOOKUP(2,1/(Z47:Z51&lt;&gt;""),Z47:Z51),"")</f>
        <v/>
      </c>
      <c r="AA52" s="23" t="str">
        <f aca="false">IFERROR(LOOKUP(2,1/(AA47:AA51&lt;&gt;""),AA47:AA51),"")</f>
        <v/>
      </c>
      <c r="AB52" s="24" t="str">
        <f aca="false">IFERROR(LOOKUP(2,1/(AB47:AB51&lt;&gt;""),AB47:AB51),"")</f>
        <v/>
      </c>
      <c r="AC52" s="25" t="n">
        <f aca="false">IFERROR(SUM(AC47:AC51),"")</f>
        <v>0</v>
      </c>
      <c r="AD52" s="25" t="n">
        <f aca="false">IFERROR(SUM(AD47:AD51),"")</f>
        <v>0</v>
      </c>
      <c r="AE52" s="25" t="str">
        <f aca="false">IFERROR(LOOKUP(2,1/(AE47:AE51&lt;&gt;""),AE47:AE51),"")</f>
        <v/>
      </c>
      <c r="AF52" s="26" t="str">
        <f aca="false">IFERROR(LOOKUP(2,1/(AF47:AF51&lt;&gt;""),AF47:AF51),"")</f>
        <v/>
      </c>
      <c r="AG52" s="24" t="str">
        <f aca="false">IFERROR(LOOKUP(2,1/(AG47:AG51&lt;&gt;""),AG47:AG51),"")</f>
        <v/>
      </c>
      <c r="AH52" s="24" t="str">
        <f aca="false">IFERROR(LOOKUP(2,1/(AH47:AH51&lt;&gt;""),AH47:AH51),"")</f>
        <v/>
      </c>
      <c r="AI52" s="24" t="str">
        <f aca="false">IFERROR(LOOKUP(2,1/(AI47:AI51&lt;&gt;""),AI47:AI51),"")</f>
        <v/>
      </c>
      <c r="AJ52" s="24" t="str">
        <f aca="false">IFERROR(LOOKUP(2,1/(AJ47:AJ51&lt;&gt;""),AJ47:AJ51),"")</f>
        <v/>
      </c>
      <c r="AK52" s="23" t="str">
        <f aca="false">IFERROR(LOOKUP(2,1/(AK47:AK51&lt;&gt;""),AK47:AK51),"")</f>
        <v/>
      </c>
      <c r="AL52" s="25" t="str">
        <f aca="false">IFERROR(LOOKUP(2,1/(AL47:AL51&lt;&gt;""),AL47:AL51),"")</f>
        <v/>
      </c>
      <c r="AM52" s="24" t="str">
        <f aca="false">IFERROR(LOOKUP(2,1/(AM47:AM51&lt;&gt;""),AM47:AM51),"")</f>
        <v/>
      </c>
      <c r="AN52" s="25" t="str">
        <f aca="false">IFERROR(LOOKUP(2,1/(AN47:AN51&lt;&gt;""),AN47:AN51),"")</f>
        <v/>
      </c>
    </row>
    <row r="53" customFormat="false" ht="15" hidden="false" customHeight="false" outlineLevel="0" collapsed="false">
      <c r="A53" s="18" t="n">
        <v>2025</v>
      </c>
      <c r="B53" s="18" t="s">
        <v>142</v>
      </c>
      <c r="C53" s="18" t="n">
        <v>40</v>
      </c>
      <c r="D53" s="19" t="s">
        <v>143</v>
      </c>
      <c r="E53" s="20" t="s">
        <v>144</v>
      </c>
      <c r="F53" s="12"/>
      <c r="G53" s="12"/>
      <c r="H53" s="12"/>
      <c r="I53" s="12"/>
      <c r="J53" s="12"/>
      <c r="K53" s="13" t="str">
        <f aca="false">IF(AND(F53&lt;&gt;"",J53&lt;&gt;"",J53&lt;&gt;0),F53/J53*100,"")</f>
        <v/>
      </c>
      <c r="L53" s="12"/>
      <c r="M53" s="12"/>
      <c r="N53" s="12"/>
      <c r="O53" s="12"/>
      <c r="P53" s="12"/>
      <c r="Q53" s="12"/>
      <c r="R53" s="12"/>
      <c r="S53" s="12"/>
      <c r="T53" s="12"/>
      <c r="U53" s="14" t="str">
        <f aca="false">IF(AND(S53&lt;&gt;"",T53&lt;&gt;""),S53-T53,"")</f>
        <v/>
      </c>
      <c r="V53" s="13" t="str">
        <f aca="false">IF(AND(U53&lt;&gt;"",S53&lt;&gt;"",S53&lt;&gt;0),U53/S53*100,"")</f>
        <v/>
      </c>
      <c r="W53" s="14" t="str">
        <f aca="false">IF(AND(F53&lt;&gt;"",S53&lt;&gt;""),F53-S53,"")</f>
        <v/>
      </c>
      <c r="X53" s="12" t="n">
        <v>356012</v>
      </c>
      <c r="Y53" s="15"/>
      <c r="Z53" s="12"/>
      <c r="AA53" s="12"/>
      <c r="AB53" s="16"/>
      <c r="AC53" s="15"/>
      <c r="AD53" s="15"/>
      <c r="AE53" s="15"/>
      <c r="AF53" s="17"/>
      <c r="AG53" s="16"/>
      <c r="AH53" s="16"/>
      <c r="AI53" s="16"/>
      <c r="AJ53" s="16"/>
      <c r="AK53" s="12"/>
      <c r="AL53" s="15"/>
      <c r="AM53" s="16"/>
      <c r="AN53" s="15"/>
    </row>
    <row r="54" customFormat="false" ht="15" hidden="false" customHeight="false" outlineLevel="0" collapsed="false">
      <c r="A54" s="9" t="n">
        <v>2025</v>
      </c>
      <c r="B54" s="9" t="s">
        <v>142</v>
      </c>
      <c r="C54" s="9" t="n">
        <v>41</v>
      </c>
      <c r="D54" s="10" t="s">
        <v>145</v>
      </c>
      <c r="E54" s="11" t="s">
        <v>146</v>
      </c>
      <c r="F54" s="12"/>
      <c r="G54" s="12"/>
      <c r="H54" s="12"/>
      <c r="I54" s="12"/>
      <c r="J54" s="12"/>
      <c r="K54" s="13" t="str">
        <f aca="false">IF(AND(F54&lt;&gt;"",J54&lt;&gt;"",J54&lt;&gt;0),F54/J54*100,"")</f>
        <v/>
      </c>
      <c r="L54" s="12"/>
      <c r="M54" s="12"/>
      <c r="N54" s="12"/>
      <c r="O54" s="12"/>
      <c r="P54" s="12"/>
      <c r="Q54" s="12"/>
      <c r="R54" s="12"/>
      <c r="S54" s="12"/>
      <c r="T54" s="12"/>
      <c r="U54" s="14" t="str">
        <f aca="false">IF(AND(S54&lt;&gt;"",T54&lt;&gt;""),S54-T54,"")</f>
        <v/>
      </c>
      <c r="V54" s="13" t="str">
        <f aca="false">IF(AND(U54&lt;&gt;"",S54&lt;&gt;"",S54&lt;&gt;0),U54/S54*100,"")</f>
        <v/>
      </c>
      <c r="W54" s="14" t="str">
        <f aca="false">IF(AND(F54&lt;&gt;"",S54&lt;&gt;""),F54-S54,"")</f>
        <v/>
      </c>
      <c r="X54" s="12" t="n">
        <v>768863</v>
      </c>
      <c r="Y54" s="15"/>
      <c r="Z54" s="12"/>
      <c r="AA54" s="12"/>
      <c r="AB54" s="16"/>
      <c r="AC54" s="15"/>
      <c r="AD54" s="15"/>
      <c r="AE54" s="15"/>
      <c r="AF54" s="17"/>
      <c r="AG54" s="16"/>
      <c r="AH54" s="16"/>
      <c r="AI54" s="16"/>
      <c r="AJ54" s="16"/>
      <c r="AK54" s="12"/>
      <c r="AL54" s="15"/>
      <c r="AM54" s="16"/>
      <c r="AN54" s="15"/>
    </row>
    <row r="55" customFormat="false" ht="15" hidden="false" customHeight="false" outlineLevel="0" collapsed="false">
      <c r="A55" s="18" t="n">
        <v>2025</v>
      </c>
      <c r="B55" s="18" t="s">
        <v>142</v>
      </c>
      <c r="C55" s="18" t="n">
        <v>42</v>
      </c>
      <c r="D55" s="19" t="s">
        <v>147</v>
      </c>
      <c r="E55" s="20" t="s">
        <v>148</v>
      </c>
      <c r="F55" s="12"/>
      <c r="G55" s="12"/>
      <c r="H55" s="12"/>
      <c r="I55" s="12"/>
      <c r="J55" s="12"/>
      <c r="K55" s="13" t="str">
        <f aca="false">IF(AND(F55&lt;&gt;"",J55&lt;&gt;"",J55&lt;&gt;0),F55/J55*100,"")</f>
        <v/>
      </c>
      <c r="L55" s="12"/>
      <c r="M55" s="12"/>
      <c r="N55" s="12"/>
      <c r="O55" s="12"/>
      <c r="P55" s="12"/>
      <c r="Q55" s="12"/>
      <c r="R55" s="12"/>
      <c r="S55" s="12"/>
      <c r="T55" s="12"/>
      <c r="U55" s="14" t="str">
        <f aca="false">IF(AND(S55&lt;&gt;"",T55&lt;&gt;""),S55-T55,"")</f>
        <v/>
      </c>
      <c r="V55" s="13" t="str">
        <f aca="false">IF(AND(U55&lt;&gt;"",S55&lt;&gt;"",S55&lt;&gt;0),U55/S55*100,"")</f>
        <v/>
      </c>
      <c r="W55" s="14" t="str">
        <f aca="false">IF(AND(F55&lt;&gt;"",S55&lt;&gt;""),F55-S55,"")</f>
        <v/>
      </c>
      <c r="X55" s="12" t="n">
        <v>1110988</v>
      </c>
      <c r="Y55" s="15"/>
      <c r="Z55" s="12"/>
      <c r="AA55" s="12"/>
      <c r="AB55" s="16"/>
      <c r="AC55" s="15"/>
      <c r="AD55" s="15"/>
      <c r="AE55" s="15"/>
      <c r="AF55" s="17"/>
      <c r="AG55" s="16"/>
      <c r="AH55" s="16"/>
      <c r="AI55" s="16"/>
      <c r="AJ55" s="16"/>
      <c r="AK55" s="12"/>
      <c r="AL55" s="15"/>
      <c r="AM55" s="16"/>
      <c r="AN55" s="15"/>
    </row>
    <row r="56" customFormat="false" ht="15" hidden="false" customHeight="false" outlineLevel="0" collapsed="false">
      <c r="A56" s="9" t="n">
        <v>2025</v>
      </c>
      <c r="B56" s="9" t="s">
        <v>142</v>
      </c>
      <c r="C56" s="9" t="n">
        <v>43</v>
      </c>
      <c r="D56" s="10" t="s">
        <v>149</v>
      </c>
      <c r="E56" s="11" t="s">
        <v>150</v>
      </c>
      <c r="F56" s="12"/>
      <c r="G56" s="12"/>
      <c r="H56" s="12"/>
      <c r="I56" s="12"/>
      <c r="J56" s="12"/>
      <c r="K56" s="13" t="str">
        <f aca="false">IF(AND(F56&lt;&gt;"",J56&lt;&gt;"",J56&lt;&gt;0),F56/J56*100,"")</f>
        <v/>
      </c>
      <c r="L56" s="12"/>
      <c r="M56" s="12"/>
      <c r="N56" s="12"/>
      <c r="O56" s="12"/>
      <c r="P56" s="12"/>
      <c r="Q56" s="12"/>
      <c r="R56" s="12"/>
      <c r="S56" s="12"/>
      <c r="T56" s="12"/>
      <c r="U56" s="14" t="str">
        <f aca="false">IF(AND(S56&lt;&gt;"",T56&lt;&gt;""),S56-T56,"")</f>
        <v/>
      </c>
      <c r="V56" s="13" t="str">
        <f aca="false">IF(AND(U56&lt;&gt;"",S56&lt;&gt;"",S56&lt;&gt;0),U56/S56*100,"")</f>
        <v/>
      </c>
      <c r="W56" s="14" t="str">
        <f aca="false">IF(AND(F56&lt;&gt;"",S56&lt;&gt;""),F56-S56,"")</f>
        <v/>
      </c>
      <c r="X56" s="12" t="n">
        <v>1392460</v>
      </c>
      <c r="Y56" s="15"/>
      <c r="Z56" s="12"/>
      <c r="AA56" s="12"/>
      <c r="AB56" s="16"/>
      <c r="AC56" s="15"/>
      <c r="AD56" s="15"/>
      <c r="AE56" s="15"/>
      <c r="AF56" s="17"/>
      <c r="AG56" s="16"/>
      <c r="AH56" s="16"/>
      <c r="AI56" s="16"/>
      <c r="AJ56" s="16"/>
      <c r="AK56" s="12"/>
      <c r="AL56" s="15"/>
      <c r="AM56" s="16"/>
      <c r="AN56" s="15"/>
    </row>
    <row r="57" customFormat="false" ht="15" hidden="false" customHeight="false" outlineLevel="0" collapsed="false">
      <c r="A57" s="21" t="n">
        <v>2025</v>
      </c>
      <c r="B57" s="21" t="s">
        <v>142</v>
      </c>
      <c r="C57" s="21"/>
      <c r="D57" s="21" t="s">
        <v>151</v>
      </c>
      <c r="E57" s="22"/>
      <c r="F57" s="23" t="n">
        <f aca="false">IFERROR(SUM(F53:F56),"")</f>
        <v>0</v>
      </c>
      <c r="G57" s="23" t="n">
        <f aca="false">IFERROR(SUM(G53:G56),"")</f>
        <v>0</v>
      </c>
      <c r="H57" s="23" t="str">
        <f aca="false">IFERROR(LOOKUP(2,1/(H53:H56&lt;&gt;""),H53:H56),"")</f>
        <v/>
      </c>
      <c r="I57" s="23" t="str">
        <f aca="false">IFERROR(LOOKUP(2,1/(I53:I56&lt;&gt;""),I53:I56),"")</f>
        <v/>
      </c>
      <c r="J57" s="23" t="str">
        <f aca="false">IFERROR(LOOKUP(2,1/(J53:J56&lt;&gt;""),J53:J56),"")</f>
        <v/>
      </c>
      <c r="K57" s="24" t="str">
        <f aca="false">IFERROR(LOOKUP(2,1/(K53:K56&lt;&gt;""),K53:K56),"")</f>
        <v/>
      </c>
      <c r="L57" s="23" t="n">
        <f aca="false">IFERROR(SUM(L53:L56),"")</f>
        <v>0</v>
      </c>
      <c r="M57" s="23" t="n">
        <f aca="false">IFERROR(SUM(M53:M56),"")</f>
        <v>0</v>
      </c>
      <c r="N57" s="23" t="n">
        <f aca="false">IFERROR(SUM(N53:N56),"")</f>
        <v>0</v>
      </c>
      <c r="O57" s="23" t="n">
        <f aca="false">IFERROR(SUM(O53:O56),"")</f>
        <v>0</v>
      </c>
      <c r="P57" s="23" t="n">
        <f aca="false">IFERROR(SUM(P53:P56),"")</f>
        <v>0</v>
      </c>
      <c r="Q57" s="23" t="n">
        <f aca="false">IFERROR(SUM(Q53:Q56),"")</f>
        <v>0</v>
      </c>
      <c r="R57" s="23" t="n">
        <f aca="false">IFERROR(SUM(R53:R56),"")</f>
        <v>0</v>
      </c>
      <c r="S57" s="23" t="str">
        <f aca="false">IFERROR(LOOKUP(2,1/(S53:S56&lt;&gt;""),S53:S56),"")</f>
        <v/>
      </c>
      <c r="T57" s="23" t="str">
        <f aca="false">IFERROR(LOOKUP(2,1/(T53:T56&lt;&gt;""),T53:T56),"")</f>
        <v/>
      </c>
      <c r="U57" s="23" t="str">
        <f aca="false">IFERROR(LOOKUP(2,1/(U53:U56&lt;&gt;""),U53:U56),"")</f>
        <v/>
      </c>
      <c r="V57" s="24" t="str">
        <f aca="false">IFERROR(LOOKUP(2,1/(V53:V56&lt;&gt;""),V53:V56),"")</f>
        <v/>
      </c>
      <c r="W57" s="23" t="str">
        <f aca="false">IFERROR(LOOKUP(2,1/(W53:W56&lt;&gt;""),W53:W56),"")</f>
        <v/>
      </c>
      <c r="X57" s="23" t="n">
        <f aca="false">IFERROR(LOOKUP(2,1/(X53:X56&lt;&gt;""),X53:X56),"")</f>
        <v>1392460</v>
      </c>
      <c r="Y57" s="25" t="str">
        <f aca="false">IFERROR(LOOKUP(2,1/(Y53:Y56&lt;&gt;""),Y53:Y56),"")</f>
        <v/>
      </c>
      <c r="Z57" s="23" t="str">
        <f aca="false">IFERROR(LOOKUP(2,1/(Z53:Z56&lt;&gt;""),Z53:Z56),"")</f>
        <v/>
      </c>
      <c r="AA57" s="23" t="str">
        <f aca="false">IFERROR(LOOKUP(2,1/(AA53:AA56&lt;&gt;""),AA53:AA56),"")</f>
        <v/>
      </c>
      <c r="AB57" s="24" t="str">
        <f aca="false">IFERROR(LOOKUP(2,1/(AB53:AB56&lt;&gt;""),AB53:AB56),"")</f>
        <v/>
      </c>
      <c r="AC57" s="25" t="n">
        <f aca="false">IFERROR(SUM(AC53:AC56),"")</f>
        <v>0</v>
      </c>
      <c r="AD57" s="25" t="n">
        <f aca="false">IFERROR(SUM(AD53:AD56),"")</f>
        <v>0</v>
      </c>
      <c r="AE57" s="25" t="str">
        <f aca="false">IFERROR(LOOKUP(2,1/(AE53:AE56&lt;&gt;""),AE53:AE56),"")</f>
        <v/>
      </c>
      <c r="AF57" s="26" t="str">
        <f aca="false">IFERROR(LOOKUP(2,1/(AF53:AF56&lt;&gt;""),AF53:AF56),"")</f>
        <v/>
      </c>
      <c r="AG57" s="24" t="str">
        <f aca="false">IFERROR(LOOKUP(2,1/(AG53:AG56&lt;&gt;""),AG53:AG56),"")</f>
        <v/>
      </c>
      <c r="AH57" s="24" t="str">
        <f aca="false">IFERROR(LOOKUP(2,1/(AH53:AH56&lt;&gt;""),AH53:AH56),"")</f>
        <v/>
      </c>
      <c r="AI57" s="24" t="str">
        <f aca="false">IFERROR(LOOKUP(2,1/(AI53:AI56&lt;&gt;""),AI53:AI56),"")</f>
        <v/>
      </c>
      <c r="AJ57" s="24" t="str">
        <f aca="false">IFERROR(LOOKUP(2,1/(AJ53:AJ56&lt;&gt;""),AJ53:AJ56),"")</f>
        <v/>
      </c>
      <c r="AK57" s="23" t="str">
        <f aca="false">IFERROR(LOOKUP(2,1/(AK53:AK56&lt;&gt;""),AK53:AK56),"")</f>
        <v/>
      </c>
      <c r="AL57" s="25" t="str">
        <f aca="false">IFERROR(LOOKUP(2,1/(AL53:AL56&lt;&gt;""),AL53:AL56),"")</f>
        <v/>
      </c>
      <c r="AM57" s="24" t="str">
        <f aca="false">IFERROR(LOOKUP(2,1/(AM53:AM56&lt;&gt;""),AM53:AM56),"")</f>
        <v/>
      </c>
      <c r="AN57" s="25" t="str">
        <f aca="false">IFERROR(LOOKUP(2,1/(AN53:AN56&lt;&gt;""),AN53:AN56),"")</f>
        <v/>
      </c>
    </row>
    <row r="58" customFormat="false" ht="15" hidden="false" customHeight="false" outlineLevel="0" collapsed="false">
      <c r="A58" s="18" t="n">
        <v>2025</v>
      </c>
      <c r="B58" s="18" t="s">
        <v>152</v>
      </c>
      <c r="C58" s="18" t="n">
        <v>44</v>
      </c>
      <c r="D58" s="19" t="s">
        <v>153</v>
      </c>
      <c r="E58" s="20" t="s">
        <v>154</v>
      </c>
      <c r="F58" s="12"/>
      <c r="G58" s="12"/>
      <c r="H58" s="12"/>
      <c r="I58" s="12"/>
      <c r="J58" s="12"/>
      <c r="K58" s="13" t="str">
        <f aca="false">IF(AND(F58&lt;&gt;"",J58&lt;&gt;"",J58&lt;&gt;0),F58/J58*100,"")</f>
        <v/>
      </c>
      <c r="L58" s="12"/>
      <c r="M58" s="12"/>
      <c r="N58" s="12"/>
      <c r="O58" s="12"/>
      <c r="P58" s="12"/>
      <c r="Q58" s="12"/>
      <c r="R58" s="12"/>
      <c r="S58" s="12"/>
      <c r="T58" s="12"/>
      <c r="U58" s="14" t="str">
        <f aca="false">IF(AND(S58&lt;&gt;"",T58&lt;&gt;""),S58-T58,"")</f>
        <v/>
      </c>
      <c r="V58" s="13" t="str">
        <f aca="false">IF(AND(U58&lt;&gt;"",S58&lt;&gt;"",S58&lt;&gt;0),U58/S58*100,"")</f>
        <v/>
      </c>
      <c r="W58" s="14" t="str">
        <f aca="false">IF(AND(F58&lt;&gt;"",S58&lt;&gt;""),F58-S58,"")</f>
        <v/>
      </c>
      <c r="X58" s="12" t="n">
        <v>1774834</v>
      </c>
      <c r="Y58" s="15"/>
      <c r="Z58" s="12"/>
      <c r="AA58" s="12"/>
      <c r="AB58" s="16"/>
      <c r="AC58" s="15"/>
      <c r="AD58" s="15"/>
      <c r="AE58" s="15"/>
      <c r="AF58" s="17"/>
      <c r="AG58" s="16"/>
      <c r="AH58" s="16"/>
      <c r="AI58" s="16"/>
      <c r="AJ58" s="16"/>
      <c r="AK58" s="12"/>
      <c r="AL58" s="15"/>
      <c r="AM58" s="16"/>
      <c r="AN58" s="15"/>
    </row>
    <row r="59" customFormat="false" ht="15" hidden="false" customHeight="false" outlineLevel="0" collapsed="false">
      <c r="A59" s="9" t="n">
        <v>2025</v>
      </c>
      <c r="B59" s="9" t="s">
        <v>152</v>
      </c>
      <c r="C59" s="9" t="n">
        <v>45</v>
      </c>
      <c r="D59" s="10" t="s">
        <v>155</v>
      </c>
      <c r="E59" s="11" t="s">
        <v>156</v>
      </c>
      <c r="F59" s="12"/>
      <c r="G59" s="12"/>
      <c r="H59" s="12"/>
      <c r="I59" s="12"/>
      <c r="J59" s="12"/>
      <c r="K59" s="13" t="str">
        <f aca="false">IF(AND(F59&lt;&gt;"",J59&lt;&gt;"",J59&lt;&gt;0),F59/J59*100,"")</f>
        <v/>
      </c>
      <c r="L59" s="12"/>
      <c r="M59" s="12"/>
      <c r="N59" s="12"/>
      <c r="O59" s="12"/>
      <c r="P59" s="12"/>
      <c r="Q59" s="12"/>
      <c r="R59" s="12"/>
      <c r="S59" s="12"/>
      <c r="T59" s="12"/>
      <c r="U59" s="14" t="str">
        <f aca="false">IF(AND(S59&lt;&gt;"",T59&lt;&gt;""),S59-T59,"")</f>
        <v/>
      </c>
      <c r="V59" s="13" t="str">
        <f aca="false">IF(AND(U59&lt;&gt;"",S59&lt;&gt;"",S59&lt;&gt;0),U59/S59*100,"")</f>
        <v/>
      </c>
      <c r="W59" s="14" t="str">
        <f aca="false">IF(AND(F59&lt;&gt;"",S59&lt;&gt;""),F59-S59,"")</f>
        <v/>
      </c>
      <c r="X59" s="12" t="n">
        <v>2240239</v>
      </c>
      <c r="Y59" s="15"/>
      <c r="Z59" s="12"/>
      <c r="AA59" s="12"/>
      <c r="AB59" s="16"/>
      <c r="AC59" s="15"/>
      <c r="AD59" s="15"/>
      <c r="AE59" s="15"/>
      <c r="AF59" s="17"/>
      <c r="AG59" s="16"/>
      <c r="AH59" s="16"/>
      <c r="AI59" s="16"/>
      <c r="AJ59" s="16"/>
      <c r="AK59" s="12"/>
      <c r="AL59" s="15"/>
      <c r="AM59" s="16"/>
      <c r="AN59" s="15"/>
    </row>
    <row r="60" customFormat="false" ht="15" hidden="false" customHeight="false" outlineLevel="0" collapsed="false">
      <c r="A60" s="18" t="n">
        <v>2025</v>
      </c>
      <c r="B60" s="18" t="s">
        <v>152</v>
      </c>
      <c r="C60" s="18" t="n">
        <v>46</v>
      </c>
      <c r="D60" s="19" t="s">
        <v>157</v>
      </c>
      <c r="E60" s="20" t="s">
        <v>158</v>
      </c>
      <c r="F60" s="12"/>
      <c r="G60" s="12"/>
      <c r="H60" s="12"/>
      <c r="I60" s="12"/>
      <c r="J60" s="12"/>
      <c r="K60" s="13" t="str">
        <f aca="false">IF(AND(F60&lt;&gt;"",J60&lt;&gt;"",J60&lt;&gt;0),F60/J60*100,"")</f>
        <v/>
      </c>
      <c r="L60" s="12"/>
      <c r="M60" s="12"/>
      <c r="N60" s="12"/>
      <c r="O60" s="12"/>
      <c r="P60" s="12"/>
      <c r="Q60" s="12"/>
      <c r="R60" s="12"/>
      <c r="S60" s="12"/>
      <c r="T60" s="12"/>
      <c r="U60" s="14" t="str">
        <f aca="false">IF(AND(S60&lt;&gt;"",T60&lt;&gt;""),S60-T60,"")</f>
        <v/>
      </c>
      <c r="V60" s="13" t="str">
        <f aca="false">IF(AND(U60&lt;&gt;"",S60&lt;&gt;"",S60&lt;&gt;0),U60/S60*100,"")</f>
        <v/>
      </c>
      <c r="W60" s="14" t="str">
        <f aca="false">IF(AND(F60&lt;&gt;"",S60&lt;&gt;""),F60-S60,"")</f>
        <v/>
      </c>
      <c r="X60" s="12" t="n">
        <v>3053626</v>
      </c>
      <c r="Y60" s="15"/>
      <c r="Z60" s="12"/>
      <c r="AA60" s="12"/>
      <c r="AB60" s="16"/>
      <c r="AC60" s="15"/>
      <c r="AD60" s="15"/>
      <c r="AE60" s="15"/>
      <c r="AF60" s="17"/>
      <c r="AG60" s="16"/>
      <c r="AH60" s="16"/>
      <c r="AI60" s="16"/>
      <c r="AJ60" s="16"/>
      <c r="AK60" s="12"/>
      <c r="AL60" s="15"/>
      <c r="AM60" s="16"/>
      <c r="AN60" s="15"/>
    </row>
    <row r="61" customFormat="false" ht="15" hidden="false" customHeight="false" outlineLevel="0" collapsed="false">
      <c r="A61" s="9" t="n">
        <v>2025</v>
      </c>
      <c r="B61" s="9" t="s">
        <v>152</v>
      </c>
      <c r="C61" s="9" t="n">
        <v>47</v>
      </c>
      <c r="D61" s="10" t="s">
        <v>159</v>
      </c>
      <c r="E61" s="11" t="s">
        <v>160</v>
      </c>
      <c r="F61" s="12"/>
      <c r="G61" s="12"/>
      <c r="H61" s="12"/>
      <c r="I61" s="12"/>
      <c r="J61" s="12"/>
      <c r="K61" s="13" t="str">
        <f aca="false">IF(AND(F61&lt;&gt;"",J61&lt;&gt;"",J61&lt;&gt;0),F61/J61*100,"")</f>
        <v/>
      </c>
      <c r="L61" s="12"/>
      <c r="M61" s="12"/>
      <c r="N61" s="12"/>
      <c r="O61" s="12"/>
      <c r="P61" s="12"/>
      <c r="Q61" s="12"/>
      <c r="R61" s="12"/>
      <c r="S61" s="12"/>
      <c r="T61" s="12"/>
      <c r="U61" s="14" t="str">
        <f aca="false">IF(AND(S61&lt;&gt;"",T61&lt;&gt;""),S61-T61,"")</f>
        <v/>
      </c>
      <c r="V61" s="13" t="str">
        <f aca="false">IF(AND(U61&lt;&gt;"",S61&lt;&gt;"",S61&lt;&gt;0),U61/S61*100,"")</f>
        <v/>
      </c>
      <c r="W61" s="14" t="str">
        <f aca="false">IF(AND(F61&lt;&gt;"",S61&lt;&gt;""),F61-S61,"")</f>
        <v/>
      </c>
      <c r="X61" s="12" t="n">
        <v>2992325</v>
      </c>
      <c r="Y61" s="15"/>
      <c r="Z61" s="12"/>
      <c r="AA61" s="12"/>
      <c r="AB61" s="16"/>
      <c r="AC61" s="15"/>
      <c r="AD61" s="15"/>
      <c r="AE61" s="15"/>
      <c r="AF61" s="17"/>
      <c r="AG61" s="16"/>
      <c r="AH61" s="16"/>
      <c r="AI61" s="16"/>
      <c r="AJ61" s="16"/>
      <c r="AK61" s="12"/>
      <c r="AL61" s="15"/>
      <c r="AM61" s="16"/>
      <c r="AN61" s="15"/>
    </row>
    <row r="62" customFormat="false" ht="15" hidden="false" customHeight="false" outlineLevel="0" collapsed="false">
      <c r="A62" s="21" t="n">
        <v>2025</v>
      </c>
      <c r="B62" s="21" t="s">
        <v>152</v>
      </c>
      <c r="C62" s="21"/>
      <c r="D62" s="21" t="s">
        <v>161</v>
      </c>
      <c r="E62" s="22"/>
      <c r="F62" s="23" t="n">
        <f aca="false">IFERROR(SUM(F58:F61),"")</f>
        <v>0</v>
      </c>
      <c r="G62" s="23" t="n">
        <f aca="false">IFERROR(SUM(G58:G61),"")</f>
        <v>0</v>
      </c>
      <c r="H62" s="23" t="str">
        <f aca="false">IFERROR(LOOKUP(2,1/(H58:H61&lt;&gt;""),H58:H61),"")</f>
        <v/>
      </c>
      <c r="I62" s="23" t="str">
        <f aca="false">IFERROR(LOOKUP(2,1/(I58:I61&lt;&gt;""),I58:I61),"")</f>
        <v/>
      </c>
      <c r="J62" s="23" t="str">
        <f aca="false">IFERROR(LOOKUP(2,1/(J58:J61&lt;&gt;""),J58:J61),"")</f>
        <v/>
      </c>
      <c r="K62" s="24" t="str">
        <f aca="false">IFERROR(LOOKUP(2,1/(K58:K61&lt;&gt;""),K58:K61),"")</f>
        <v/>
      </c>
      <c r="L62" s="23" t="n">
        <f aca="false">IFERROR(SUM(L58:L61),"")</f>
        <v>0</v>
      </c>
      <c r="M62" s="23" t="n">
        <f aca="false">IFERROR(SUM(M58:M61),"")</f>
        <v>0</v>
      </c>
      <c r="N62" s="23" t="n">
        <f aca="false">IFERROR(SUM(N58:N61),"")</f>
        <v>0</v>
      </c>
      <c r="O62" s="23" t="n">
        <f aca="false">IFERROR(SUM(O58:O61),"")</f>
        <v>0</v>
      </c>
      <c r="P62" s="23" t="n">
        <f aca="false">IFERROR(SUM(P58:P61),"")</f>
        <v>0</v>
      </c>
      <c r="Q62" s="23" t="n">
        <f aca="false">IFERROR(SUM(Q58:Q61),"")</f>
        <v>0</v>
      </c>
      <c r="R62" s="23" t="n">
        <f aca="false">IFERROR(SUM(R58:R61),"")</f>
        <v>0</v>
      </c>
      <c r="S62" s="23" t="str">
        <f aca="false">IFERROR(LOOKUP(2,1/(S58:S61&lt;&gt;""),S58:S61),"")</f>
        <v/>
      </c>
      <c r="T62" s="23" t="str">
        <f aca="false">IFERROR(LOOKUP(2,1/(T58:T61&lt;&gt;""),T58:T61),"")</f>
        <v/>
      </c>
      <c r="U62" s="23" t="str">
        <f aca="false">IFERROR(LOOKUP(2,1/(U58:U61&lt;&gt;""),U58:U61),"")</f>
        <v/>
      </c>
      <c r="V62" s="24" t="str">
        <f aca="false">IFERROR(LOOKUP(2,1/(V58:V61&lt;&gt;""),V58:V61),"")</f>
        <v/>
      </c>
      <c r="W62" s="23" t="str">
        <f aca="false">IFERROR(LOOKUP(2,1/(W58:W61&lt;&gt;""),W58:W61),"")</f>
        <v/>
      </c>
      <c r="X62" s="23" t="n">
        <f aca="false">IFERROR(LOOKUP(2,1/(X58:X61&lt;&gt;""),X58:X61),"")</f>
        <v>2992325</v>
      </c>
      <c r="Y62" s="25" t="str">
        <f aca="false">IFERROR(LOOKUP(2,1/(Y58:Y61&lt;&gt;""),Y58:Y61),"")</f>
        <v/>
      </c>
      <c r="Z62" s="23" t="str">
        <f aca="false">IFERROR(LOOKUP(2,1/(Z58:Z61&lt;&gt;""),Z58:Z61),"")</f>
        <v/>
      </c>
      <c r="AA62" s="23" t="str">
        <f aca="false">IFERROR(LOOKUP(2,1/(AA58:AA61&lt;&gt;""),AA58:AA61),"")</f>
        <v/>
      </c>
      <c r="AB62" s="24" t="str">
        <f aca="false">IFERROR(LOOKUP(2,1/(AB58:AB61&lt;&gt;""),AB58:AB61),"")</f>
        <v/>
      </c>
      <c r="AC62" s="25" t="n">
        <f aca="false">IFERROR(SUM(AC58:AC61),"")</f>
        <v>0</v>
      </c>
      <c r="AD62" s="25" t="n">
        <f aca="false">IFERROR(SUM(AD58:AD61),"")</f>
        <v>0</v>
      </c>
      <c r="AE62" s="25" t="str">
        <f aca="false">IFERROR(LOOKUP(2,1/(AE58:AE61&lt;&gt;""),AE58:AE61),"")</f>
        <v/>
      </c>
      <c r="AF62" s="26" t="str">
        <f aca="false">IFERROR(LOOKUP(2,1/(AF58:AF61&lt;&gt;""),AF58:AF61),"")</f>
        <v/>
      </c>
      <c r="AG62" s="24" t="str">
        <f aca="false">IFERROR(LOOKUP(2,1/(AG58:AG61&lt;&gt;""),AG58:AG61),"")</f>
        <v/>
      </c>
      <c r="AH62" s="24" t="str">
        <f aca="false">IFERROR(LOOKUP(2,1/(AH58:AH61&lt;&gt;""),AH58:AH61),"")</f>
        <v/>
      </c>
      <c r="AI62" s="24" t="str">
        <f aca="false">IFERROR(LOOKUP(2,1/(AI58:AI61&lt;&gt;""),AI58:AI61),"")</f>
        <v/>
      </c>
      <c r="AJ62" s="24" t="str">
        <f aca="false">IFERROR(LOOKUP(2,1/(AJ58:AJ61&lt;&gt;""),AJ58:AJ61),"")</f>
        <v/>
      </c>
      <c r="AK62" s="23" t="str">
        <f aca="false">IFERROR(LOOKUP(2,1/(AK58:AK61&lt;&gt;""),AK58:AK61),"")</f>
        <v/>
      </c>
      <c r="AL62" s="25" t="str">
        <f aca="false">IFERROR(LOOKUP(2,1/(AL58:AL61&lt;&gt;""),AL58:AL61),"")</f>
        <v/>
      </c>
      <c r="AM62" s="24" t="str">
        <f aca="false">IFERROR(LOOKUP(2,1/(AM58:AM61&lt;&gt;""),AM58:AM61),"")</f>
        <v/>
      </c>
      <c r="AN62" s="25" t="str">
        <f aca="false">IFERROR(LOOKUP(2,1/(AN58:AN61&lt;&gt;""),AN58:AN61),"")</f>
        <v/>
      </c>
    </row>
    <row r="63" customFormat="false" ht="15" hidden="false" customHeight="false" outlineLevel="0" collapsed="false">
      <c r="A63" s="18" t="n">
        <v>2025</v>
      </c>
      <c r="B63" s="18" t="s">
        <v>162</v>
      </c>
      <c r="C63" s="18" t="n">
        <v>48</v>
      </c>
      <c r="D63" s="19" t="s">
        <v>163</v>
      </c>
      <c r="E63" s="20" t="s">
        <v>164</v>
      </c>
      <c r="F63" s="12"/>
      <c r="G63" s="12"/>
      <c r="H63" s="12"/>
      <c r="I63" s="12"/>
      <c r="J63" s="12"/>
      <c r="K63" s="13" t="str">
        <f aca="false">IF(AND(F63&lt;&gt;"",J63&lt;&gt;"",J63&lt;&gt;0),F63/J63*100,"")</f>
        <v/>
      </c>
      <c r="L63" s="12"/>
      <c r="M63" s="12"/>
      <c r="N63" s="12"/>
      <c r="O63" s="12"/>
      <c r="P63" s="12"/>
      <c r="Q63" s="12"/>
      <c r="R63" s="12"/>
      <c r="S63" s="12"/>
      <c r="T63" s="12"/>
      <c r="U63" s="14" t="str">
        <f aca="false">IF(AND(S63&lt;&gt;"",T63&lt;&gt;""),S63-T63,"")</f>
        <v/>
      </c>
      <c r="V63" s="13" t="str">
        <f aca="false">IF(AND(U63&lt;&gt;"",S63&lt;&gt;"",S63&lt;&gt;0),U63/S63*100,"")</f>
        <v/>
      </c>
      <c r="W63" s="14" t="str">
        <f aca="false">IF(AND(F63&lt;&gt;"",S63&lt;&gt;""),F63-S63,"")</f>
        <v/>
      </c>
      <c r="X63" s="12" t="n">
        <v>3133802</v>
      </c>
      <c r="Y63" s="15"/>
      <c r="Z63" s="12"/>
      <c r="AA63" s="12"/>
      <c r="AB63" s="16"/>
      <c r="AC63" s="15"/>
      <c r="AD63" s="15"/>
      <c r="AE63" s="15"/>
      <c r="AF63" s="17"/>
      <c r="AG63" s="16"/>
      <c r="AH63" s="16"/>
      <c r="AI63" s="16"/>
      <c r="AJ63" s="16"/>
      <c r="AK63" s="12"/>
      <c r="AL63" s="15"/>
      <c r="AM63" s="16"/>
      <c r="AN63" s="15"/>
    </row>
    <row r="64" customFormat="false" ht="15" hidden="false" customHeight="false" outlineLevel="0" collapsed="false">
      <c r="A64" s="9" t="n">
        <v>2025</v>
      </c>
      <c r="B64" s="9" t="s">
        <v>162</v>
      </c>
      <c r="C64" s="9" t="n">
        <v>49</v>
      </c>
      <c r="D64" s="10" t="s">
        <v>165</v>
      </c>
      <c r="E64" s="11" t="s">
        <v>166</v>
      </c>
      <c r="F64" s="12"/>
      <c r="G64" s="12"/>
      <c r="H64" s="12"/>
      <c r="I64" s="12"/>
      <c r="J64" s="12"/>
      <c r="K64" s="13" t="str">
        <f aca="false">IF(AND(F64&lt;&gt;"",J64&lt;&gt;"",J64&lt;&gt;0),F64/J64*100,"")</f>
        <v/>
      </c>
      <c r="L64" s="12"/>
      <c r="M64" s="12"/>
      <c r="N64" s="12"/>
      <c r="O64" s="12"/>
      <c r="P64" s="12"/>
      <c r="Q64" s="12"/>
      <c r="R64" s="12"/>
      <c r="S64" s="12"/>
      <c r="T64" s="12"/>
      <c r="U64" s="14" t="str">
        <f aca="false">IF(AND(S64&lt;&gt;"",T64&lt;&gt;""),S64-T64,"")</f>
        <v/>
      </c>
      <c r="V64" s="13" t="str">
        <f aca="false">IF(AND(U64&lt;&gt;"",S64&lt;&gt;"",S64&lt;&gt;0),U64/S64*100,"")</f>
        <v/>
      </c>
      <c r="W64" s="14" t="str">
        <f aca="false">IF(AND(F64&lt;&gt;"",S64&lt;&gt;""),F64-S64,"")</f>
        <v/>
      </c>
      <c r="X64" s="12"/>
      <c r="Y64" s="15"/>
      <c r="Z64" s="12"/>
      <c r="AA64" s="12"/>
      <c r="AB64" s="16"/>
      <c r="AC64" s="15"/>
      <c r="AD64" s="15"/>
      <c r="AE64" s="15"/>
      <c r="AF64" s="17"/>
      <c r="AG64" s="16"/>
      <c r="AH64" s="16"/>
      <c r="AI64" s="16"/>
      <c r="AJ64" s="16"/>
      <c r="AK64" s="12"/>
      <c r="AL64" s="15"/>
      <c r="AM64" s="16"/>
      <c r="AN64" s="15"/>
    </row>
    <row r="65" customFormat="false" ht="15" hidden="false" customHeight="false" outlineLevel="0" collapsed="false">
      <c r="A65" s="18" t="n">
        <v>2025</v>
      </c>
      <c r="B65" s="18" t="s">
        <v>162</v>
      </c>
      <c r="C65" s="18" t="n">
        <v>50</v>
      </c>
      <c r="D65" s="19" t="s">
        <v>167</v>
      </c>
      <c r="E65" s="20" t="s">
        <v>168</v>
      </c>
      <c r="F65" s="12"/>
      <c r="G65" s="12"/>
      <c r="H65" s="12"/>
      <c r="I65" s="12"/>
      <c r="J65" s="12"/>
      <c r="K65" s="13" t="str">
        <f aca="false">IF(AND(F65&lt;&gt;"",J65&lt;&gt;"",J65&lt;&gt;0),F65/J65*100,"")</f>
        <v/>
      </c>
      <c r="L65" s="12"/>
      <c r="M65" s="12"/>
      <c r="N65" s="12"/>
      <c r="O65" s="12"/>
      <c r="P65" s="12"/>
      <c r="Q65" s="12"/>
      <c r="R65" s="12"/>
      <c r="S65" s="12"/>
      <c r="T65" s="12"/>
      <c r="U65" s="14" t="str">
        <f aca="false">IF(AND(S65&lt;&gt;"",T65&lt;&gt;""),S65-T65,"")</f>
        <v/>
      </c>
      <c r="V65" s="13" t="str">
        <f aca="false">IF(AND(U65&lt;&gt;"",S65&lt;&gt;"",S65&lt;&gt;0),U65/S65*100,"")</f>
        <v/>
      </c>
      <c r="W65" s="14" t="str">
        <f aca="false">IF(AND(F65&lt;&gt;"",S65&lt;&gt;""),F65-S65,"")</f>
        <v/>
      </c>
      <c r="X65" s="12"/>
      <c r="Y65" s="15"/>
      <c r="Z65" s="12"/>
      <c r="AA65" s="12"/>
      <c r="AB65" s="16"/>
      <c r="AC65" s="15"/>
      <c r="AD65" s="15"/>
      <c r="AE65" s="15"/>
      <c r="AF65" s="17"/>
      <c r="AG65" s="16"/>
      <c r="AH65" s="16"/>
      <c r="AI65" s="16"/>
      <c r="AJ65" s="16"/>
      <c r="AK65" s="12"/>
      <c r="AL65" s="15"/>
      <c r="AM65" s="16"/>
      <c r="AN65" s="15"/>
    </row>
    <row r="66" customFormat="false" ht="15" hidden="false" customHeight="false" outlineLevel="0" collapsed="false">
      <c r="A66" s="9" t="n">
        <v>2025</v>
      </c>
      <c r="B66" s="9" t="s">
        <v>162</v>
      </c>
      <c r="C66" s="9" t="n">
        <v>51</v>
      </c>
      <c r="D66" s="10" t="s">
        <v>169</v>
      </c>
      <c r="E66" s="11" t="s">
        <v>170</v>
      </c>
      <c r="F66" s="12"/>
      <c r="G66" s="12"/>
      <c r="H66" s="12"/>
      <c r="I66" s="12"/>
      <c r="J66" s="12"/>
      <c r="K66" s="13" t="str">
        <f aca="false">IF(AND(F66&lt;&gt;"",J66&lt;&gt;"",J66&lt;&gt;0),F66/J66*100,"")</f>
        <v/>
      </c>
      <c r="L66" s="12"/>
      <c r="M66" s="12"/>
      <c r="N66" s="12"/>
      <c r="O66" s="12"/>
      <c r="P66" s="12"/>
      <c r="Q66" s="12"/>
      <c r="R66" s="12"/>
      <c r="S66" s="12"/>
      <c r="T66" s="12"/>
      <c r="U66" s="14" t="str">
        <f aca="false">IF(AND(S66&lt;&gt;"",T66&lt;&gt;""),S66-T66,"")</f>
        <v/>
      </c>
      <c r="V66" s="13" t="str">
        <f aca="false">IF(AND(U66&lt;&gt;"",S66&lt;&gt;"",S66&lt;&gt;0),U66/S66*100,"")</f>
        <v/>
      </c>
      <c r="W66" s="14" t="str">
        <f aca="false">IF(AND(F66&lt;&gt;"",S66&lt;&gt;""),F66-S66,"")</f>
        <v/>
      </c>
      <c r="X66" s="12"/>
      <c r="Y66" s="15"/>
      <c r="Z66" s="12"/>
      <c r="AA66" s="12"/>
      <c r="AB66" s="16"/>
      <c r="AC66" s="15"/>
      <c r="AD66" s="15"/>
      <c r="AE66" s="15"/>
      <c r="AF66" s="17"/>
      <c r="AG66" s="16"/>
      <c r="AH66" s="16"/>
      <c r="AI66" s="16"/>
      <c r="AJ66" s="16"/>
      <c r="AK66" s="12"/>
      <c r="AL66" s="15"/>
      <c r="AM66" s="16"/>
      <c r="AN66" s="15"/>
    </row>
    <row r="67" customFormat="false" ht="15" hidden="false" customHeight="false" outlineLevel="0" collapsed="false">
      <c r="A67" s="18" t="n">
        <v>2025</v>
      </c>
      <c r="B67" s="18" t="s">
        <v>162</v>
      </c>
      <c r="C67" s="18" t="n">
        <v>52</v>
      </c>
      <c r="D67" s="19" t="s">
        <v>171</v>
      </c>
      <c r="E67" s="20" t="s">
        <v>172</v>
      </c>
      <c r="F67" s="12"/>
      <c r="G67" s="12"/>
      <c r="H67" s="12"/>
      <c r="I67" s="12"/>
      <c r="J67" s="12"/>
      <c r="K67" s="13" t="str">
        <f aca="false">IF(AND(F67&lt;&gt;"",J67&lt;&gt;"",J67&lt;&gt;0),F67/J67*100,"")</f>
        <v/>
      </c>
      <c r="L67" s="12"/>
      <c r="M67" s="12"/>
      <c r="N67" s="12"/>
      <c r="O67" s="12"/>
      <c r="P67" s="12"/>
      <c r="Q67" s="12"/>
      <c r="R67" s="12"/>
      <c r="S67" s="12"/>
      <c r="T67" s="12"/>
      <c r="U67" s="14" t="str">
        <f aca="false">IF(AND(S67&lt;&gt;"",T67&lt;&gt;""),S67-T67,"")</f>
        <v/>
      </c>
      <c r="V67" s="13" t="str">
        <f aca="false">IF(AND(U67&lt;&gt;"",S67&lt;&gt;"",S67&lt;&gt;0),U67/S67*100,"")</f>
        <v/>
      </c>
      <c r="W67" s="14" t="str">
        <f aca="false">IF(AND(F67&lt;&gt;"",S67&lt;&gt;""),F67-S67,"")</f>
        <v/>
      </c>
      <c r="X67" s="12"/>
      <c r="Y67" s="15"/>
      <c r="Z67" s="12"/>
      <c r="AA67" s="12"/>
      <c r="AB67" s="16"/>
      <c r="AC67" s="15"/>
      <c r="AD67" s="15"/>
      <c r="AE67" s="15"/>
      <c r="AF67" s="17"/>
      <c r="AG67" s="16"/>
      <c r="AH67" s="16"/>
      <c r="AI67" s="16"/>
      <c r="AJ67" s="16"/>
      <c r="AK67" s="12"/>
      <c r="AL67" s="15"/>
      <c r="AM67" s="16"/>
      <c r="AN67" s="15"/>
    </row>
    <row r="68" customFormat="false" ht="15" hidden="false" customHeight="false" outlineLevel="0" collapsed="false">
      <c r="A68" s="9" t="n">
        <v>2026</v>
      </c>
      <c r="B68" s="9" t="s">
        <v>46</v>
      </c>
      <c r="C68" s="9" t="n">
        <v>1</v>
      </c>
      <c r="D68" s="10" t="s">
        <v>173</v>
      </c>
      <c r="E68" s="11" t="s">
        <v>174</v>
      </c>
      <c r="F68" s="12"/>
      <c r="G68" s="12"/>
      <c r="H68" s="12"/>
      <c r="I68" s="12"/>
      <c r="J68" s="12"/>
      <c r="K68" s="13" t="str">
        <f aca="false">IF(AND(F68&lt;&gt;"",J68&lt;&gt;"",J68&lt;&gt;0),F68/J68*100,"")</f>
        <v/>
      </c>
      <c r="L68" s="12"/>
      <c r="M68" s="12"/>
      <c r="N68" s="12"/>
      <c r="O68" s="12"/>
      <c r="P68" s="12"/>
      <c r="Q68" s="12"/>
      <c r="R68" s="12"/>
      <c r="S68" s="12"/>
      <c r="T68" s="12"/>
      <c r="U68" s="14" t="str">
        <f aca="false">IF(AND(S68&lt;&gt;"",T68&lt;&gt;""),S68-T68,"")</f>
        <v/>
      </c>
      <c r="V68" s="13" t="str">
        <f aca="false">IF(AND(U68&lt;&gt;"",S68&lt;&gt;"",S68&lt;&gt;0),U68/S68*100,"")</f>
        <v/>
      </c>
      <c r="W68" s="14" t="str">
        <f aca="false">IF(AND(F68&lt;&gt;"",S68&lt;&gt;""),F68-S68,"")</f>
        <v/>
      </c>
      <c r="X68" s="12"/>
      <c r="Y68" s="15"/>
      <c r="Z68" s="12"/>
      <c r="AA68" s="12"/>
      <c r="AB68" s="16"/>
      <c r="AC68" s="15"/>
      <c r="AD68" s="15"/>
      <c r="AE68" s="15"/>
      <c r="AF68" s="17"/>
      <c r="AG68" s="16"/>
      <c r="AH68" s="16"/>
      <c r="AI68" s="16"/>
      <c r="AJ68" s="16"/>
      <c r="AK68" s="12"/>
      <c r="AL68" s="15"/>
      <c r="AM68" s="16"/>
      <c r="AN68" s="15"/>
    </row>
    <row r="69" customFormat="false" ht="15" hidden="false" customHeight="false" outlineLevel="0" collapsed="false">
      <c r="A69" s="18" t="n">
        <v>2026</v>
      </c>
      <c r="B69" s="18" t="s">
        <v>46</v>
      </c>
      <c r="C69" s="18" t="n">
        <v>2</v>
      </c>
      <c r="D69" s="19" t="s">
        <v>175</v>
      </c>
      <c r="E69" s="20" t="s">
        <v>176</v>
      </c>
      <c r="F69" s="12"/>
      <c r="G69" s="12"/>
      <c r="H69" s="12"/>
      <c r="I69" s="12"/>
      <c r="J69" s="12"/>
      <c r="K69" s="13" t="str">
        <f aca="false">IF(AND(F69&lt;&gt;"",J69&lt;&gt;"",J69&lt;&gt;0),F69/J69*100,"")</f>
        <v/>
      </c>
      <c r="L69" s="12"/>
      <c r="M69" s="12"/>
      <c r="N69" s="12"/>
      <c r="O69" s="12"/>
      <c r="P69" s="12"/>
      <c r="Q69" s="12"/>
      <c r="R69" s="12"/>
      <c r="S69" s="12"/>
      <c r="T69" s="12"/>
      <c r="U69" s="14" t="str">
        <f aca="false">IF(AND(S69&lt;&gt;"",T69&lt;&gt;""),S69-T69,"")</f>
        <v/>
      </c>
      <c r="V69" s="13" t="str">
        <f aca="false">IF(AND(U69&lt;&gt;"",S69&lt;&gt;"",S69&lt;&gt;0),U69/S69*100,"")</f>
        <v/>
      </c>
      <c r="W69" s="14" t="str">
        <f aca="false">IF(AND(F69&lt;&gt;"",S69&lt;&gt;""),F69-S69,"")</f>
        <v/>
      </c>
      <c r="X69" s="12"/>
      <c r="Y69" s="15"/>
      <c r="Z69" s="12"/>
      <c r="AA69" s="12"/>
      <c r="AB69" s="16"/>
      <c r="AC69" s="15"/>
      <c r="AD69" s="15"/>
      <c r="AE69" s="15"/>
      <c r="AF69" s="17"/>
      <c r="AG69" s="16"/>
      <c r="AH69" s="16"/>
      <c r="AI69" s="16"/>
      <c r="AJ69" s="16"/>
      <c r="AK69" s="12"/>
      <c r="AL69" s="15"/>
      <c r="AM69" s="16"/>
      <c r="AN69" s="15"/>
    </row>
    <row r="70" customFormat="false" ht="15" hidden="false" customHeight="false" outlineLevel="0" collapsed="false">
      <c r="A70" s="9" t="n">
        <v>2026</v>
      </c>
      <c r="B70" s="9" t="s">
        <v>46</v>
      </c>
      <c r="C70" s="9" t="n">
        <v>3</v>
      </c>
      <c r="D70" s="10" t="s">
        <v>177</v>
      </c>
      <c r="E70" s="11" t="s">
        <v>178</v>
      </c>
      <c r="F70" s="12"/>
      <c r="G70" s="12"/>
      <c r="H70" s="12"/>
      <c r="I70" s="12"/>
      <c r="J70" s="12"/>
      <c r="K70" s="13" t="str">
        <f aca="false">IF(AND(F70&lt;&gt;"",J70&lt;&gt;"",J70&lt;&gt;0),F70/J70*100,"")</f>
        <v/>
      </c>
      <c r="L70" s="12"/>
      <c r="M70" s="12"/>
      <c r="N70" s="12"/>
      <c r="O70" s="12"/>
      <c r="P70" s="12"/>
      <c r="Q70" s="12"/>
      <c r="R70" s="12"/>
      <c r="S70" s="12"/>
      <c r="T70" s="12"/>
      <c r="U70" s="14" t="str">
        <f aca="false">IF(AND(S70&lt;&gt;"",T70&lt;&gt;""),S70-T70,"")</f>
        <v/>
      </c>
      <c r="V70" s="13" t="str">
        <f aca="false">IF(AND(U70&lt;&gt;"",S70&lt;&gt;"",S70&lt;&gt;0),U70/S70*100,"")</f>
        <v/>
      </c>
      <c r="W70" s="14" t="str">
        <f aca="false">IF(AND(F70&lt;&gt;"",S70&lt;&gt;""),F70-S70,"")</f>
        <v/>
      </c>
      <c r="X70" s="12"/>
      <c r="Y70" s="15"/>
      <c r="Z70" s="12"/>
      <c r="AA70" s="12"/>
      <c r="AB70" s="16"/>
      <c r="AC70" s="15"/>
      <c r="AD70" s="15"/>
      <c r="AE70" s="15"/>
      <c r="AF70" s="17"/>
      <c r="AG70" s="16"/>
      <c r="AH70" s="16"/>
      <c r="AI70" s="16"/>
      <c r="AJ70" s="16"/>
      <c r="AK70" s="12"/>
      <c r="AL70" s="15"/>
      <c r="AM70" s="16"/>
      <c r="AN70" s="15"/>
    </row>
    <row r="71" customFormat="false" ht="15" hidden="false" customHeight="false" outlineLevel="0" collapsed="false">
      <c r="A71" s="18" t="n">
        <v>2026</v>
      </c>
      <c r="B71" s="18" t="s">
        <v>46</v>
      </c>
      <c r="C71" s="18" t="n">
        <v>4</v>
      </c>
      <c r="D71" s="19" t="s">
        <v>179</v>
      </c>
      <c r="E71" s="20" t="s">
        <v>180</v>
      </c>
      <c r="F71" s="12"/>
      <c r="G71" s="12"/>
      <c r="H71" s="12"/>
      <c r="I71" s="12"/>
      <c r="J71" s="12"/>
      <c r="K71" s="13" t="str">
        <f aca="false">IF(AND(F71&lt;&gt;"",J71&lt;&gt;"",J71&lt;&gt;0),F71/J71*100,"")</f>
        <v/>
      </c>
      <c r="L71" s="12"/>
      <c r="M71" s="12"/>
      <c r="N71" s="12"/>
      <c r="O71" s="12"/>
      <c r="P71" s="12"/>
      <c r="Q71" s="12"/>
      <c r="R71" s="12"/>
      <c r="S71" s="12" t="n">
        <v>1385716</v>
      </c>
      <c r="T71" s="12" t="n">
        <v>855465</v>
      </c>
      <c r="U71" s="12" t="n">
        <v>530251</v>
      </c>
      <c r="V71" s="13" t="n">
        <f aca="false">IF(AND(U71&lt;&gt;"",S71&lt;&gt;"",S71&lt;&gt;0),U71/S71*100,"")</f>
        <v>38.2654887437253</v>
      </c>
      <c r="W71" s="14" t="str">
        <f aca="false">IF(AND(F71&lt;&gt;"",S71&lt;&gt;""),F71-S71,"")</f>
        <v/>
      </c>
      <c r="X71" s="12" t="n">
        <v>3133802</v>
      </c>
      <c r="Y71" s="15"/>
      <c r="Z71" s="12"/>
      <c r="AA71" s="12"/>
      <c r="AB71" s="16" t="n">
        <v>32.8</v>
      </c>
      <c r="AC71" s="15"/>
      <c r="AD71" s="15"/>
      <c r="AE71" s="15"/>
      <c r="AF71" s="17"/>
      <c r="AG71" s="16"/>
      <c r="AH71" s="16"/>
      <c r="AI71" s="16"/>
      <c r="AJ71" s="16"/>
      <c r="AK71" s="12"/>
      <c r="AL71" s="15"/>
      <c r="AM71" s="16"/>
      <c r="AN71" s="15"/>
    </row>
    <row r="72" customFormat="false" ht="15" hidden="false" customHeight="false" outlineLevel="0" collapsed="false">
      <c r="A72" s="21" t="n">
        <v>2026</v>
      </c>
      <c r="B72" s="21" t="s">
        <v>46</v>
      </c>
      <c r="C72" s="21"/>
      <c r="D72" s="21" t="s">
        <v>181</v>
      </c>
      <c r="E72" s="22"/>
      <c r="F72" s="23" t="n">
        <f aca="false">IFERROR(SUM(F68:F71),"")</f>
        <v>0</v>
      </c>
      <c r="G72" s="23" t="n">
        <f aca="false">IFERROR(SUM(G68:G71),"")</f>
        <v>0</v>
      </c>
      <c r="H72" s="23" t="str">
        <f aca="false">IFERROR(LOOKUP(2,1/(H68:H71&lt;&gt;""),H68:H71),"")</f>
        <v/>
      </c>
      <c r="I72" s="23" t="str">
        <f aca="false">IFERROR(LOOKUP(2,1/(I68:I71&lt;&gt;""),I68:I71),"")</f>
        <v/>
      </c>
      <c r="J72" s="23" t="str">
        <f aca="false">IFERROR(LOOKUP(2,1/(J68:J71&lt;&gt;""),J68:J71),"")</f>
        <v/>
      </c>
      <c r="K72" s="24" t="str">
        <f aca="false">IFERROR(LOOKUP(2,1/(K68:K71&lt;&gt;""),K68:K71),"")</f>
        <v/>
      </c>
      <c r="L72" s="23" t="n">
        <f aca="false">IFERROR(SUM(L68:L71),"")</f>
        <v>0</v>
      </c>
      <c r="M72" s="23" t="n">
        <f aca="false">IFERROR(SUM(M68:M71),"")</f>
        <v>0</v>
      </c>
      <c r="N72" s="23" t="n">
        <f aca="false">IFERROR(SUM(N68:N71),"")</f>
        <v>0</v>
      </c>
      <c r="O72" s="23" t="n">
        <f aca="false">IFERROR(SUM(O68:O71),"")</f>
        <v>0</v>
      </c>
      <c r="P72" s="23" t="n">
        <f aca="false">IFERROR(SUM(P68:P71),"")</f>
        <v>0</v>
      </c>
      <c r="Q72" s="23" t="n">
        <f aca="false">IFERROR(SUM(Q68:Q71),"")</f>
        <v>0</v>
      </c>
      <c r="R72" s="23" t="n">
        <f aca="false">IFERROR(SUM(R68:R71),"")</f>
        <v>0</v>
      </c>
      <c r="S72" s="23" t="n">
        <f aca="false">IFERROR(LOOKUP(2,1/(S68:S71&lt;&gt;""),S68:S71),"")</f>
        <v>1385716</v>
      </c>
      <c r="T72" s="23" t="n">
        <f aca="false">IFERROR(LOOKUP(2,1/(T68:T71&lt;&gt;""),T68:T71),"")</f>
        <v>855465</v>
      </c>
      <c r="U72" s="23" t="n">
        <f aca="false">IFERROR(LOOKUP(2,1/(U68:U71&lt;&gt;""),U68:U71),"")</f>
        <v>530251</v>
      </c>
      <c r="V72" s="24" t="n">
        <f aca="false">IFERROR(LOOKUP(2,1/(V68:V71&lt;&gt;""),V68:V71),"")</f>
        <v>38.2654887437253</v>
      </c>
      <c r="W72" s="23" t="str">
        <f aca="false">IFERROR(LOOKUP(2,1/(W68:W71&lt;&gt;""),W68:W71),"")</f>
        <v/>
      </c>
      <c r="X72" s="23" t="n">
        <f aca="false">IFERROR(LOOKUP(2,1/(X68:X71&lt;&gt;""),X68:X71),"")</f>
        <v>3133802</v>
      </c>
      <c r="Y72" s="25" t="str">
        <f aca="false">IFERROR(LOOKUP(2,1/(Y68:Y71&lt;&gt;""),Y68:Y71),"")</f>
        <v/>
      </c>
      <c r="Z72" s="23" t="str">
        <f aca="false">IFERROR(LOOKUP(2,1/(Z68:Z71&lt;&gt;""),Z68:Z71),"")</f>
        <v/>
      </c>
      <c r="AA72" s="23" t="str">
        <f aca="false">IFERROR(LOOKUP(2,1/(AA68:AA71&lt;&gt;""),AA68:AA71),"")</f>
        <v/>
      </c>
      <c r="AB72" s="24" t="n">
        <f aca="false">IFERROR(LOOKUP(2,1/(AB68:AB71&lt;&gt;""),AB68:AB71),"")</f>
        <v>32.8</v>
      </c>
      <c r="AC72" s="25" t="n">
        <f aca="false">IFERROR(SUM(AC68:AC71),"")</f>
        <v>0</v>
      </c>
      <c r="AD72" s="25" t="n">
        <f aca="false">IFERROR(SUM(AD68:AD71),"")</f>
        <v>0</v>
      </c>
      <c r="AE72" s="25" t="str">
        <f aca="false">IFERROR(LOOKUP(2,1/(AE68:AE71&lt;&gt;""),AE68:AE71),"")</f>
        <v/>
      </c>
      <c r="AF72" s="26" t="str">
        <f aca="false">IFERROR(LOOKUP(2,1/(AF68:AF71&lt;&gt;""),AF68:AF71),"")</f>
        <v/>
      </c>
      <c r="AG72" s="24" t="str">
        <f aca="false">IFERROR(LOOKUP(2,1/(AG68:AG71&lt;&gt;""),AG68:AG71),"")</f>
        <v/>
      </c>
      <c r="AH72" s="24" t="str">
        <f aca="false">IFERROR(LOOKUP(2,1/(AH68:AH71&lt;&gt;""),AH68:AH71),"")</f>
        <v/>
      </c>
      <c r="AI72" s="24" t="str">
        <f aca="false">IFERROR(LOOKUP(2,1/(AI68:AI71&lt;&gt;""),AI68:AI71),"")</f>
        <v/>
      </c>
      <c r="AJ72" s="24" t="str">
        <f aca="false">IFERROR(LOOKUP(2,1/(AJ68:AJ71&lt;&gt;""),AJ68:AJ71),"")</f>
        <v/>
      </c>
      <c r="AK72" s="23" t="str">
        <f aca="false">IFERROR(LOOKUP(2,1/(AK68:AK71&lt;&gt;""),AK68:AK71),"")</f>
        <v/>
      </c>
      <c r="AL72" s="25" t="str">
        <f aca="false">IFERROR(LOOKUP(2,1/(AL68:AL71&lt;&gt;""),AL68:AL71),"")</f>
        <v/>
      </c>
      <c r="AM72" s="24" t="str">
        <f aca="false">IFERROR(LOOKUP(2,1/(AM68:AM71&lt;&gt;""),AM68:AM71),"")</f>
        <v/>
      </c>
      <c r="AN72" s="25" t="str">
        <f aca="false">IFERROR(LOOKUP(2,1/(AN68:AN71&lt;&gt;""),AN68:AN71),"")</f>
        <v/>
      </c>
    </row>
    <row r="73" customFormat="false" ht="15" hidden="false" customHeight="false" outlineLevel="0" collapsed="false">
      <c r="A73" s="9" t="n">
        <v>2026</v>
      </c>
      <c r="B73" s="9" t="s">
        <v>56</v>
      </c>
      <c r="C73" s="9" t="n">
        <v>5</v>
      </c>
      <c r="D73" s="10" t="s">
        <v>182</v>
      </c>
      <c r="E73" s="11" t="s">
        <v>183</v>
      </c>
      <c r="F73" s="12"/>
      <c r="G73" s="12"/>
      <c r="H73" s="12"/>
      <c r="I73" s="12"/>
      <c r="J73" s="12"/>
      <c r="K73" s="13" t="str">
        <f aca="false">IF(AND(F73&lt;&gt;"",J73&lt;&gt;"",J73&lt;&gt;0),F73/J73*100,"")</f>
        <v/>
      </c>
      <c r="L73" s="12"/>
      <c r="M73" s="12"/>
      <c r="N73" s="12"/>
      <c r="O73" s="12"/>
      <c r="P73" s="12"/>
      <c r="Q73" s="12"/>
      <c r="R73" s="12"/>
      <c r="S73" s="12"/>
      <c r="T73" s="12"/>
      <c r="U73" s="14" t="str">
        <f aca="false">IF(AND(S73&lt;&gt;"",T73&lt;&gt;""),S73-T73,"")</f>
        <v/>
      </c>
      <c r="V73" s="13" t="str">
        <f aca="false">IF(AND(U73&lt;&gt;"",S73&lt;&gt;"",S73&lt;&gt;0),U73/S73*100,"")</f>
        <v/>
      </c>
      <c r="W73" s="14" t="str">
        <f aca="false">IF(AND(F73&lt;&gt;"",S73&lt;&gt;""),F73-S73,"")</f>
        <v/>
      </c>
      <c r="X73" s="12"/>
      <c r="Y73" s="15"/>
      <c r="Z73" s="12"/>
      <c r="AA73" s="12"/>
      <c r="AB73" s="16"/>
      <c r="AC73" s="15"/>
      <c r="AD73" s="15"/>
      <c r="AE73" s="15"/>
      <c r="AF73" s="17"/>
      <c r="AG73" s="16"/>
      <c r="AH73" s="16"/>
      <c r="AI73" s="16"/>
      <c r="AJ73" s="16"/>
      <c r="AK73" s="12"/>
      <c r="AL73" s="15"/>
      <c r="AM73" s="16"/>
      <c r="AN73" s="15"/>
    </row>
    <row r="74" customFormat="false" ht="15" hidden="false" customHeight="false" outlineLevel="0" collapsed="false">
      <c r="A74" s="18" t="n">
        <v>2026</v>
      </c>
      <c r="B74" s="18" t="s">
        <v>56</v>
      </c>
      <c r="C74" s="18" t="n">
        <v>6</v>
      </c>
      <c r="D74" s="19" t="s">
        <v>184</v>
      </c>
      <c r="E74" s="20" t="s">
        <v>185</v>
      </c>
      <c r="F74" s="12"/>
      <c r="G74" s="12"/>
      <c r="H74" s="12"/>
      <c r="I74" s="12"/>
      <c r="J74" s="12"/>
      <c r="K74" s="13" t="str">
        <f aca="false">IF(AND(F74&lt;&gt;"",J74&lt;&gt;"",J74&lt;&gt;0),F74/J74*100,"")</f>
        <v/>
      </c>
      <c r="L74" s="12"/>
      <c r="M74" s="12"/>
      <c r="N74" s="12"/>
      <c r="O74" s="12"/>
      <c r="P74" s="12"/>
      <c r="Q74" s="12"/>
      <c r="R74" s="12"/>
      <c r="S74" s="12"/>
      <c r="T74" s="12"/>
      <c r="U74" s="14" t="str">
        <f aca="false">IF(AND(S74&lt;&gt;"",T74&lt;&gt;""),S74-T74,"")</f>
        <v/>
      </c>
      <c r="V74" s="13" t="str">
        <f aca="false">IF(AND(U74&lt;&gt;"",S74&lt;&gt;"",S74&lt;&gt;0),U74/S74*100,"")</f>
        <v/>
      </c>
      <c r="W74" s="14" t="str">
        <f aca="false">IF(AND(F74&lt;&gt;"",S74&lt;&gt;""),F74-S74,"")</f>
        <v/>
      </c>
      <c r="X74" s="12"/>
      <c r="Y74" s="15"/>
      <c r="Z74" s="12"/>
      <c r="AA74" s="12"/>
      <c r="AB74" s="16"/>
      <c r="AC74" s="15"/>
      <c r="AD74" s="15"/>
      <c r="AE74" s="15"/>
      <c r="AF74" s="17"/>
      <c r="AG74" s="16"/>
      <c r="AH74" s="16"/>
      <c r="AI74" s="16"/>
      <c r="AJ74" s="16"/>
      <c r="AK74" s="12"/>
      <c r="AL74" s="15"/>
      <c r="AM74" s="16"/>
      <c r="AN74" s="15"/>
    </row>
    <row r="75" customFormat="false" ht="15" hidden="false" customHeight="false" outlineLevel="0" collapsed="false">
      <c r="A75" s="9" t="n">
        <v>2026</v>
      </c>
      <c r="B75" s="9" t="s">
        <v>56</v>
      </c>
      <c r="C75" s="9" t="n">
        <v>7</v>
      </c>
      <c r="D75" s="10" t="s">
        <v>186</v>
      </c>
      <c r="E75" s="11" t="s">
        <v>187</v>
      </c>
      <c r="F75" s="12"/>
      <c r="G75" s="12"/>
      <c r="H75" s="12"/>
      <c r="I75" s="12"/>
      <c r="J75" s="12"/>
      <c r="K75" s="13" t="str">
        <f aca="false">IF(AND(F75&lt;&gt;"",J75&lt;&gt;"",J75&lt;&gt;0),F75/J75*100,"")</f>
        <v/>
      </c>
      <c r="L75" s="12"/>
      <c r="M75" s="12"/>
      <c r="N75" s="12"/>
      <c r="O75" s="12"/>
      <c r="P75" s="12"/>
      <c r="Q75" s="12"/>
      <c r="R75" s="12"/>
      <c r="S75" s="12"/>
      <c r="T75" s="12"/>
      <c r="U75" s="14" t="str">
        <f aca="false">IF(AND(S75&lt;&gt;"",T75&lt;&gt;""),S75-T75,"")</f>
        <v/>
      </c>
      <c r="V75" s="13" t="str">
        <f aca="false">IF(AND(U75&lt;&gt;"",S75&lt;&gt;"",S75&lt;&gt;0),U75/S75*100,"")</f>
        <v/>
      </c>
      <c r="W75" s="14" t="str">
        <f aca="false">IF(AND(F75&lt;&gt;"",S75&lt;&gt;""),F75-S75,"")</f>
        <v/>
      </c>
      <c r="X75" s="12"/>
      <c r="Y75" s="15"/>
      <c r="Z75" s="12"/>
      <c r="AA75" s="12"/>
      <c r="AB75" s="16"/>
      <c r="AC75" s="15"/>
      <c r="AD75" s="15"/>
      <c r="AE75" s="15"/>
      <c r="AF75" s="17"/>
      <c r="AG75" s="16"/>
      <c r="AH75" s="16"/>
      <c r="AI75" s="16"/>
      <c r="AJ75" s="16"/>
      <c r="AK75" s="12"/>
      <c r="AL75" s="15"/>
      <c r="AM75" s="16"/>
      <c r="AN75" s="15"/>
    </row>
    <row r="76" customFormat="false" ht="15" hidden="false" customHeight="false" outlineLevel="0" collapsed="false">
      <c r="A76" s="18" t="n">
        <v>2026</v>
      </c>
      <c r="B76" s="18" t="s">
        <v>56</v>
      </c>
      <c r="C76" s="18" t="n">
        <v>8</v>
      </c>
      <c r="D76" s="19" t="s">
        <v>188</v>
      </c>
      <c r="E76" s="20" t="s">
        <v>189</v>
      </c>
      <c r="F76" s="12" t="n">
        <v>782928</v>
      </c>
      <c r="G76" s="12" t="n">
        <v>384814</v>
      </c>
      <c r="H76" s="12" t="n">
        <v>33176</v>
      </c>
      <c r="I76" s="12" t="n">
        <v>398114</v>
      </c>
      <c r="J76" s="12" t="n">
        <v>753233</v>
      </c>
      <c r="K76" s="13" t="n">
        <f aca="false">IF(AND(F76&lt;&gt;"",J76&lt;&gt;"",J76&lt;&gt;0),F76/J76*100,"")</f>
        <v>103.942339223056</v>
      </c>
      <c r="L76" s="12" t="n">
        <v>208743</v>
      </c>
      <c r="M76" s="12" t="n">
        <v>204237</v>
      </c>
      <c r="N76" s="12" t="n">
        <v>158604</v>
      </c>
      <c r="O76" s="12" t="n">
        <v>125747</v>
      </c>
      <c r="P76" s="12" t="n">
        <v>79177</v>
      </c>
      <c r="Q76" s="12" t="n">
        <v>5913</v>
      </c>
      <c r="R76" s="12" t="n">
        <v>508</v>
      </c>
      <c r="S76" s="12" t="n">
        <v>1292505</v>
      </c>
      <c r="T76" s="12" t="n">
        <v>678686</v>
      </c>
      <c r="U76" s="12" t="n">
        <v>613819</v>
      </c>
      <c r="V76" s="13" t="n">
        <f aca="false">IF(AND(U76&lt;&gt;"",S76&lt;&gt;"",S76&lt;&gt;0),U76/S76*100,"")</f>
        <v>47.4906480052302</v>
      </c>
      <c r="W76" s="14" t="n">
        <f aca="false">IF(AND(F76&lt;&gt;"",S76&lt;&gt;""),F76-S76,"")</f>
        <v>-509577</v>
      </c>
      <c r="X76" s="12" t="n">
        <v>3076658</v>
      </c>
      <c r="Y76" s="15" t="n">
        <v>40</v>
      </c>
      <c r="Z76" s="12" t="n">
        <v>1432806</v>
      </c>
      <c r="AA76" s="12" t="n">
        <v>5207610</v>
      </c>
      <c r="AB76" s="16" t="n">
        <v>24.5</v>
      </c>
      <c r="AC76" s="15"/>
      <c r="AD76" s="15"/>
      <c r="AE76" s="15"/>
      <c r="AF76" s="17"/>
      <c r="AG76" s="16" t="n">
        <v>96.9</v>
      </c>
      <c r="AH76" s="16"/>
      <c r="AI76" s="16"/>
      <c r="AJ76" s="16"/>
      <c r="AK76" s="12" t="n">
        <v>453948</v>
      </c>
      <c r="AL76" s="15" t="n">
        <v>16</v>
      </c>
      <c r="AM76" s="16" t="n">
        <v>29</v>
      </c>
      <c r="AN76" s="15" t="n">
        <v>396</v>
      </c>
    </row>
    <row r="77" customFormat="false" ht="15" hidden="false" customHeight="false" outlineLevel="0" collapsed="false">
      <c r="A77" s="21" t="n">
        <v>2026</v>
      </c>
      <c r="B77" s="21" t="s">
        <v>56</v>
      </c>
      <c r="C77" s="21"/>
      <c r="D77" s="21" t="s">
        <v>190</v>
      </c>
      <c r="E77" s="22"/>
      <c r="F77" s="23" t="n">
        <f aca="false">IFERROR(SUM(F73:F76),"")</f>
        <v>782928</v>
      </c>
      <c r="G77" s="23" t="n">
        <f aca="false">IFERROR(SUM(G73:G76),"")</f>
        <v>384814</v>
      </c>
      <c r="H77" s="23" t="n">
        <f aca="false">IFERROR(LOOKUP(2,1/(H73:H76&lt;&gt;""),H73:H76),"")</f>
        <v>33176</v>
      </c>
      <c r="I77" s="23" t="n">
        <f aca="false">IFERROR(LOOKUP(2,1/(I73:I76&lt;&gt;""),I73:I76),"")</f>
        <v>398114</v>
      </c>
      <c r="J77" s="23" t="n">
        <f aca="false">IFERROR(LOOKUP(2,1/(J73:J76&lt;&gt;""),J73:J76),"")</f>
        <v>753233</v>
      </c>
      <c r="K77" s="24" t="n">
        <f aca="false">IFERROR(LOOKUP(2,1/(K73:K76&lt;&gt;""),K73:K76),"")</f>
        <v>103.942339223056</v>
      </c>
      <c r="L77" s="23" t="n">
        <f aca="false">IFERROR(SUM(L73:L76),"")</f>
        <v>208743</v>
      </c>
      <c r="M77" s="23" t="n">
        <f aca="false">IFERROR(SUM(M73:M76),"")</f>
        <v>204237</v>
      </c>
      <c r="N77" s="23" t="n">
        <f aca="false">IFERROR(SUM(N73:N76),"")</f>
        <v>158604</v>
      </c>
      <c r="O77" s="23" t="n">
        <f aca="false">IFERROR(SUM(O73:O76),"")</f>
        <v>125747</v>
      </c>
      <c r="P77" s="23" t="n">
        <f aca="false">IFERROR(SUM(P73:P76),"")</f>
        <v>79177</v>
      </c>
      <c r="Q77" s="23" t="n">
        <f aca="false">IFERROR(SUM(Q73:Q76),"")</f>
        <v>5913</v>
      </c>
      <c r="R77" s="23" t="n">
        <f aca="false">IFERROR(SUM(R73:R76),"")</f>
        <v>508</v>
      </c>
      <c r="S77" s="23" t="n">
        <f aca="false">IFERROR(LOOKUP(2,1/(S73:S76&lt;&gt;""),S73:S76),"")</f>
        <v>1292505</v>
      </c>
      <c r="T77" s="23" t="n">
        <f aca="false">IFERROR(LOOKUP(2,1/(T73:T76&lt;&gt;""),T73:T76),"")</f>
        <v>678686</v>
      </c>
      <c r="U77" s="23" t="n">
        <f aca="false">IFERROR(LOOKUP(2,1/(U73:U76&lt;&gt;""),U73:U76),"")</f>
        <v>613819</v>
      </c>
      <c r="V77" s="24" t="n">
        <f aca="false">IFERROR(LOOKUP(2,1/(V73:V76&lt;&gt;""),V73:V76),"")</f>
        <v>47.4906480052302</v>
      </c>
      <c r="W77" s="23" t="n">
        <f aca="false">IFERROR(LOOKUP(2,1/(W73:W76&lt;&gt;""),W73:W76),"")</f>
        <v>-509577</v>
      </c>
      <c r="X77" s="23" t="n">
        <f aca="false">IFERROR(LOOKUP(2,1/(X73:X76&lt;&gt;""),X73:X76),"")</f>
        <v>3076658</v>
      </c>
      <c r="Y77" s="25" t="n">
        <f aca="false">IFERROR(LOOKUP(2,1/(Y73:Y76&lt;&gt;""),Y73:Y76),"")</f>
        <v>40</v>
      </c>
      <c r="Z77" s="23" t="n">
        <f aca="false">IFERROR(LOOKUP(2,1/(Z73:Z76&lt;&gt;""),Z73:Z76),"")</f>
        <v>1432806</v>
      </c>
      <c r="AA77" s="23" t="n">
        <f aca="false">IFERROR(LOOKUP(2,1/(AA73:AA76&lt;&gt;""),AA73:AA76),"")</f>
        <v>5207610</v>
      </c>
      <c r="AB77" s="24" t="n">
        <f aca="false">IFERROR(LOOKUP(2,1/(AB73:AB76&lt;&gt;""),AB73:AB76),"")</f>
        <v>24.5</v>
      </c>
      <c r="AC77" s="25" t="n">
        <f aca="false">IFERROR(SUM(AC73:AC76),"")</f>
        <v>0</v>
      </c>
      <c r="AD77" s="25" t="n">
        <f aca="false">IFERROR(SUM(AD73:AD76),"")</f>
        <v>0</v>
      </c>
      <c r="AE77" s="25" t="str">
        <f aca="false">IFERROR(LOOKUP(2,1/(AE73:AE76&lt;&gt;""),AE73:AE76),"")</f>
        <v/>
      </c>
      <c r="AF77" s="26" t="str">
        <f aca="false">IFERROR(LOOKUP(2,1/(AF73:AF76&lt;&gt;""),AF73:AF76),"")</f>
        <v/>
      </c>
      <c r="AG77" s="24" t="n">
        <f aca="false">IFERROR(LOOKUP(2,1/(AG73:AG76&lt;&gt;""),AG73:AG76),"")</f>
        <v>96.9</v>
      </c>
      <c r="AH77" s="24" t="str">
        <f aca="false">IFERROR(LOOKUP(2,1/(AH73:AH76&lt;&gt;""),AH73:AH76),"")</f>
        <v/>
      </c>
      <c r="AI77" s="24" t="str">
        <f aca="false">IFERROR(LOOKUP(2,1/(AI73:AI76&lt;&gt;""),AI73:AI76),"")</f>
        <v/>
      </c>
      <c r="AJ77" s="24" t="str">
        <f aca="false">IFERROR(LOOKUP(2,1/(AJ73:AJ76&lt;&gt;""),AJ73:AJ76),"")</f>
        <v/>
      </c>
      <c r="AK77" s="23" t="n">
        <f aca="false">IFERROR(LOOKUP(2,1/(AK73:AK76&lt;&gt;""),AK73:AK76),"")</f>
        <v>453948</v>
      </c>
      <c r="AL77" s="25" t="n">
        <f aca="false">IFERROR(LOOKUP(2,1/(AL73:AL76&lt;&gt;""),AL73:AL76),"")</f>
        <v>16</v>
      </c>
      <c r="AM77" s="24" t="n">
        <f aca="false">IFERROR(LOOKUP(2,1/(AM73:AM76&lt;&gt;""),AM73:AM76),"")</f>
        <v>29</v>
      </c>
      <c r="AN77" s="25" t="n">
        <f aca="false">IFERROR(LOOKUP(2,1/(AN73:AN76&lt;&gt;""),AN73:AN76),"")</f>
        <v>396</v>
      </c>
    </row>
    <row r="78" customFormat="false" ht="15" hidden="false" customHeight="false" outlineLevel="0" collapsed="false">
      <c r="A78" s="9" t="n">
        <v>2026</v>
      </c>
      <c r="B78" s="9" t="s">
        <v>66</v>
      </c>
      <c r="C78" s="9" t="n">
        <v>9</v>
      </c>
      <c r="D78" s="10" t="s">
        <v>191</v>
      </c>
      <c r="E78" s="11" t="s">
        <v>192</v>
      </c>
      <c r="F78" s="12"/>
      <c r="G78" s="12"/>
      <c r="H78" s="12"/>
      <c r="I78" s="12"/>
      <c r="J78" s="12"/>
      <c r="K78" s="13" t="str">
        <f aca="false">IF(AND(F78&lt;&gt;"",J78&lt;&gt;"",J78&lt;&gt;0),F78/J78*100,"")</f>
        <v/>
      </c>
      <c r="L78" s="12"/>
      <c r="M78" s="12"/>
      <c r="N78" s="12"/>
      <c r="O78" s="12"/>
      <c r="P78" s="12"/>
      <c r="Q78" s="12"/>
      <c r="R78" s="12"/>
      <c r="S78" s="12"/>
      <c r="T78" s="12"/>
      <c r="U78" s="14" t="str">
        <f aca="false">IF(AND(S78&lt;&gt;"",T78&lt;&gt;""),S78-T78,"")</f>
        <v/>
      </c>
      <c r="V78" s="13" t="str">
        <f aca="false">IF(AND(U78&lt;&gt;"",S78&lt;&gt;"",S78&lt;&gt;0),U78/S78*100,"")</f>
        <v/>
      </c>
      <c r="W78" s="14" t="str">
        <f aca="false">IF(AND(F78&lt;&gt;"",S78&lt;&gt;""),F78-S78,"")</f>
        <v/>
      </c>
      <c r="X78" s="12"/>
      <c r="Y78" s="15"/>
      <c r="Z78" s="12"/>
      <c r="AA78" s="12"/>
      <c r="AB78" s="16"/>
      <c r="AC78" s="15" t="n">
        <v>532</v>
      </c>
      <c r="AD78" s="15" t="n">
        <v>532</v>
      </c>
      <c r="AE78" s="15" t="n">
        <v>187</v>
      </c>
      <c r="AF78" s="17" t="n">
        <v>5.66</v>
      </c>
      <c r="AG78" s="16" t="n">
        <v>92.7</v>
      </c>
      <c r="AH78" s="16" t="n">
        <v>70</v>
      </c>
      <c r="AI78" s="16" t="n">
        <v>57.5</v>
      </c>
      <c r="AJ78" s="16" t="n">
        <v>63.5</v>
      </c>
      <c r="AK78" s="12"/>
      <c r="AL78" s="15"/>
      <c r="AM78" s="16"/>
      <c r="AN78" s="15"/>
    </row>
    <row r="79" customFormat="false" ht="15" hidden="false" customHeight="false" outlineLevel="0" collapsed="false">
      <c r="A79" s="18" t="n">
        <v>2026</v>
      </c>
      <c r="B79" s="18" t="s">
        <v>66</v>
      </c>
      <c r="C79" s="18" t="n">
        <v>10</v>
      </c>
      <c r="D79" s="19" t="s">
        <v>193</v>
      </c>
      <c r="E79" s="20" t="s">
        <v>194</v>
      </c>
      <c r="F79" s="12"/>
      <c r="G79" s="12"/>
      <c r="H79" s="12"/>
      <c r="I79" s="12"/>
      <c r="J79" s="12"/>
      <c r="K79" s="13" t="str">
        <f aca="false">IF(AND(F79&lt;&gt;"",J79&lt;&gt;"",J79&lt;&gt;0),F79/J79*100,"")</f>
        <v/>
      </c>
      <c r="L79" s="12"/>
      <c r="M79" s="12"/>
      <c r="N79" s="12"/>
      <c r="O79" s="12"/>
      <c r="P79" s="12"/>
      <c r="Q79" s="12"/>
      <c r="R79" s="12"/>
      <c r="S79" s="12"/>
      <c r="T79" s="12"/>
      <c r="U79" s="14" t="str">
        <f aca="false">IF(AND(S79&lt;&gt;"",T79&lt;&gt;""),S79-T79,"")</f>
        <v/>
      </c>
      <c r="V79" s="13" t="str">
        <f aca="false">IF(AND(U79&lt;&gt;"",S79&lt;&gt;"",S79&lt;&gt;0),U79/S79*100,"")</f>
        <v/>
      </c>
      <c r="W79" s="14" t="str">
        <f aca="false">IF(AND(F79&lt;&gt;"",S79&lt;&gt;""),F79-S79,"")</f>
        <v/>
      </c>
      <c r="X79" s="12"/>
      <c r="Y79" s="15"/>
      <c r="Z79" s="12"/>
      <c r="AA79" s="12"/>
      <c r="AB79" s="16"/>
      <c r="AC79" s="15"/>
      <c r="AD79" s="15"/>
      <c r="AE79" s="15"/>
      <c r="AF79" s="17"/>
      <c r="AG79" s="16"/>
      <c r="AH79" s="16"/>
      <c r="AI79" s="16"/>
      <c r="AJ79" s="16"/>
      <c r="AK79" s="12"/>
      <c r="AL79" s="15"/>
      <c r="AM79" s="16"/>
      <c r="AN79" s="15"/>
    </row>
    <row r="80" customFormat="false" ht="15" hidden="false" customHeight="false" outlineLevel="0" collapsed="false">
      <c r="A80" s="9" t="n">
        <v>2026</v>
      </c>
      <c r="B80" s="9" t="s">
        <v>66</v>
      </c>
      <c r="C80" s="9" t="n">
        <v>11</v>
      </c>
      <c r="D80" s="10" t="s">
        <v>195</v>
      </c>
      <c r="E80" s="11" t="s">
        <v>196</v>
      </c>
      <c r="F80" s="12"/>
      <c r="G80" s="12"/>
      <c r="H80" s="12"/>
      <c r="I80" s="12"/>
      <c r="J80" s="12"/>
      <c r="K80" s="13" t="str">
        <f aca="false">IF(AND(F80&lt;&gt;"",J80&lt;&gt;"",J80&lt;&gt;0),F80/J80*100,"")</f>
        <v/>
      </c>
      <c r="L80" s="12"/>
      <c r="M80" s="12"/>
      <c r="N80" s="12"/>
      <c r="O80" s="12"/>
      <c r="P80" s="12"/>
      <c r="Q80" s="12"/>
      <c r="R80" s="12"/>
      <c r="S80" s="12"/>
      <c r="T80" s="12"/>
      <c r="U80" s="14" t="str">
        <f aca="false">IF(AND(S80&lt;&gt;"",T80&lt;&gt;""),S80-T80,"")</f>
        <v/>
      </c>
      <c r="V80" s="13" t="str">
        <f aca="false">IF(AND(U80&lt;&gt;"",S80&lt;&gt;"",S80&lt;&gt;0),U80/S80*100,"")</f>
        <v/>
      </c>
      <c r="W80" s="14" t="str">
        <f aca="false">IF(AND(F80&lt;&gt;"",S80&lt;&gt;""),F80-S80,"")</f>
        <v/>
      </c>
      <c r="X80" s="12"/>
      <c r="Y80" s="15"/>
      <c r="Z80" s="12"/>
      <c r="AA80" s="12"/>
      <c r="AB80" s="16"/>
      <c r="AC80" s="15"/>
      <c r="AD80" s="15"/>
      <c r="AE80" s="15"/>
      <c r="AF80" s="17"/>
      <c r="AG80" s="16"/>
      <c r="AH80" s="16"/>
      <c r="AI80" s="16"/>
      <c r="AJ80" s="16"/>
      <c r="AK80" s="12"/>
      <c r="AL80" s="15"/>
      <c r="AM80" s="16"/>
      <c r="AN80" s="15"/>
    </row>
    <row r="81" customFormat="false" ht="15" hidden="false" customHeight="false" outlineLevel="0" collapsed="false">
      <c r="A81" s="18" t="n">
        <v>2026</v>
      </c>
      <c r="B81" s="18" t="s">
        <v>66</v>
      </c>
      <c r="C81" s="18" t="n">
        <v>12</v>
      </c>
      <c r="D81" s="19" t="s">
        <v>197</v>
      </c>
      <c r="E81" s="20" t="s">
        <v>198</v>
      </c>
      <c r="F81" s="12"/>
      <c r="G81" s="12"/>
      <c r="H81" s="12"/>
      <c r="I81" s="12"/>
      <c r="J81" s="12"/>
      <c r="K81" s="13" t="str">
        <f aca="false">IF(AND(F81&lt;&gt;"",J81&lt;&gt;"",J81&lt;&gt;0),F81/J81*100,"")</f>
        <v/>
      </c>
      <c r="L81" s="12"/>
      <c r="M81" s="12"/>
      <c r="N81" s="12"/>
      <c r="O81" s="12"/>
      <c r="P81" s="12"/>
      <c r="Q81" s="12"/>
      <c r="R81" s="12"/>
      <c r="S81" s="12"/>
      <c r="T81" s="12"/>
      <c r="U81" s="14" t="str">
        <f aca="false">IF(AND(S81&lt;&gt;"",T81&lt;&gt;""),S81-T81,"")</f>
        <v/>
      </c>
      <c r="V81" s="13" t="str">
        <f aca="false">IF(AND(U81&lt;&gt;"",S81&lt;&gt;"",S81&lt;&gt;0),U81/S81*100,"")</f>
        <v/>
      </c>
      <c r="W81" s="14" t="str">
        <f aca="false">IF(AND(F81&lt;&gt;"",S81&lt;&gt;""),F81-S81,"")</f>
        <v/>
      </c>
      <c r="X81" s="12"/>
      <c r="Y81" s="15"/>
      <c r="Z81" s="12"/>
      <c r="AA81" s="12"/>
      <c r="AB81" s="16"/>
      <c r="AC81" s="15"/>
      <c r="AD81" s="15"/>
      <c r="AE81" s="15"/>
      <c r="AF81" s="17"/>
      <c r="AG81" s="16" t="n">
        <v>92.2</v>
      </c>
      <c r="AH81" s="16"/>
      <c r="AI81" s="16"/>
      <c r="AJ81" s="16"/>
      <c r="AK81" s="12" t="n">
        <v>453948</v>
      </c>
      <c r="AL81" s="15"/>
      <c r="AM81" s="16"/>
      <c r="AN81" s="15" t="n">
        <v>396</v>
      </c>
    </row>
    <row r="82" customFormat="false" ht="15" hidden="false" customHeight="false" outlineLevel="0" collapsed="false">
      <c r="A82" s="9" t="n">
        <v>2026</v>
      </c>
      <c r="B82" s="9" t="s">
        <v>66</v>
      </c>
      <c r="C82" s="9" t="n">
        <v>13</v>
      </c>
      <c r="D82" s="10" t="s">
        <v>199</v>
      </c>
      <c r="E82" s="11" t="s">
        <v>200</v>
      </c>
      <c r="F82" s="12"/>
      <c r="G82" s="12"/>
      <c r="H82" s="12"/>
      <c r="I82" s="12"/>
      <c r="J82" s="12"/>
      <c r="K82" s="13" t="str">
        <f aca="false">IF(AND(F82&lt;&gt;"",J82&lt;&gt;"",J82&lt;&gt;0),F82/J82*100,"")</f>
        <v/>
      </c>
      <c r="L82" s="12"/>
      <c r="M82" s="12"/>
      <c r="N82" s="12"/>
      <c r="O82" s="12"/>
      <c r="P82" s="12"/>
      <c r="Q82" s="12"/>
      <c r="R82" s="12"/>
      <c r="S82" s="12"/>
      <c r="T82" s="12"/>
      <c r="U82" s="14" t="str">
        <f aca="false">IF(AND(S82&lt;&gt;"",T82&lt;&gt;""),S82-T82,"")</f>
        <v/>
      </c>
      <c r="V82" s="13" t="str">
        <f aca="false">IF(AND(U82&lt;&gt;"",S82&lt;&gt;"",S82&lt;&gt;0),U82/S82*100,"")</f>
        <v/>
      </c>
      <c r="W82" s="14" t="str">
        <f aca="false">IF(AND(F82&lt;&gt;"",S82&lt;&gt;""),F82-S82,"")</f>
        <v/>
      </c>
      <c r="X82" s="12"/>
      <c r="Y82" s="15"/>
      <c r="Z82" s="12"/>
      <c r="AA82" s="12"/>
      <c r="AB82" s="16"/>
      <c r="AC82" s="15"/>
      <c r="AD82" s="15"/>
      <c r="AE82" s="15"/>
      <c r="AF82" s="17"/>
      <c r="AG82" s="16"/>
      <c r="AH82" s="16"/>
      <c r="AI82" s="16"/>
      <c r="AJ82" s="16"/>
      <c r="AK82" s="12"/>
      <c r="AL82" s="15"/>
      <c r="AM82" s="16"/>
      <c r="AN82" s="15"/>
    </row>
    <row r="83" customFormat="false" ht="15" hidden="false" customHeight="false" outlineLevel="0" collapsed="false">
      <c r="A83" s="21" t="n">
        <v>2026</v>
      </c>
      <c r="B83" s="21" t="s">
        <v>66</v>
      </c>
      <c r="C83" s="21"/>
      <c r="D83" s="21" t="s">
        <v>201</v>
      </c>
      <c r="E83" s="22"/>
      <c r="F83" s="23" t="n">
        <f aca="false">IFERROR(SUM(F78:F82),"")</f>
        <v>0</v>
      </c>
      <c r="G83" s="23" t="n">
        <f aca="false">IFERROR(SUM(G78:G82),"")</f>
        <v>0</v>
      </c>
      <c r="H83" s="23" t="str">
        <f aca="false">IFERROR(LOOKUP(2,1/(H78:H82&lt;&gt;""),H78:H82),"")</f>
        <v/>
      </c>
      <c r="I83" s="23" t="str">
        <f aca="false">IFERROR(LOOKUP(2,1/(I78:I82&lt;&gt;""),I78:I82),"")</f>
        <v/>
      </c>
      <c r="J83" s="23" t="str">
        <f aca="false">IFERROR(LOOKUP(2,1/(J78:J82&lt;&gt;""),J78:J82),"")</f>
        <v/>
      </c>
      <c r="K83" s="24" t="str">
        <f aca="false">IFERROR(LOOKUP(2,1/(K78:K82&lt;&gt;""),K78:K82),"")</f>
        <v/>
      </c>
      <c r="L83" s="23" t="n">
        <f aca="false">IFERROR(SUM(L78:L82),"")</f>
        <v>0</v>
      </c>
      <c r="M83" s="23" t="n">
        <f aca="false">IFERROR(SUM(M78:M82),"")</f>
        <v>0</v>
      </c>
      <c r="N83" s="23" t="n">
        <f aca="false">IFERROR(SUM(N78:N82),"")</f>
        <v>0</v>
      </c>
      <c r="O83" s="23" t="n">
        <f aca="false">IFERROR(SUM(O78:O82),"")</f>
        <v>0</v>
      </c>
      <c r="P83" s="23" t="n">
        <f aca="false">IFERROR(SUM(P78:P82),"")</f>
        <v>0</v>
      </c>
      <c r="Q83" s="23" t="n">
        <f aca="false">IFERROR(SUM(Q78:Q82),"")</f>
        <v>0</v>
      </c>
      <c r="R83" s="23" t="n">
        <f aca="false">IFERROR(SUM(R78:R82),"")</f>
        <v>0</v>
      </c>
      <c r="S83" s="23" t="str">
        <f aca="false">IFERROR(LOOKUP(2,1/(S78:S82&lt;&gt;""),S78:S82),"")</f>
        <v/>
      </c>
      <c r="T83" s="23" t="str">
        <f aca="false">IFERROR(LOOKUP(2,1/(T78:T82&lt;&gt;""),T78:T82),"")</f>
        <v/>
      </c>
      <c r="U83" s="23" t="str">
        <f aca="false">IFERROR(LOOKUP(2,1/(U78:U82&lt;&gt;""),U78:U82),"")</f>
        <v/>
      </c>
      <c r="V83" s="24" t="str">
        <f aca="false">IFERROR(LOOKUP(2,1/(V78:V82&lt;&gt;""),V78:V82),"")</f>
        <v/>
      </c>
      <c r="W83" s="23" t="str">
        <f aca="false">IFERROR(LOOKUP(2,1/(W78:W82&lt;&gt;""),W78:W82),"")</f>
        <v/>
      </c>
      <c r="X83" s="23" t="str">
        <f aca="false">IFERROR(LOOKUP(2,1/(X78:X82&lt;&gt;""),X78:X82),"")</f>
        <v/>
      </c>
      <c r="Y83" s="25" t="str">
        <f aca="false">IFERROR(LOOKUP(2,1/(Y78:Y82&lt;&gt;""),Y78:Y82),"")</f>
        <v/>
      </c>
      <c r="Z83" s="23" t="str">
        <f aca="false">IFERROR(LOOKUP(2,1/(Z78:Z82&lt;&gt;""),Z78:Z82),"")</f>
        <v/>
      </c>
      <c r="AA83" s="23" t="str">
        <f aca="false">IFERROR(LOOKUP(2,1/(AA78:AA82&lt;&gt;""),AA78:AA82),"")</f>
        <v/>
      </c>
      <c r="AB83" s="24" t="str">
        <f aca="false">IFERROR(LOOKUP(2,1/(AB78:AB82&lt;&gt;""),AB78:AB82),"")</f>
        <v/>
      </c>
      <c r="AC83" s="25" t="n">
        <f aca="false">IFERROR(SUM(AC78:AC82),"")</f>
        <v>532</v>
      </c>
      <c r="AD83" s="25" t="n">
        <f aca="false">IFERROR(SUM(AD78:AD82),"")</f>
        <v>532</v>
      </c>
      <c r="AE83" s="25" t="n">
        <f aca="false">IFERROR(LOOKUP(2,1/(AE78:AE82&lt;&gt;""),AE78:AE82),"")</f>
        <v>187</v>
      </c>
      <c r="AF83" s="26" t="n">
        <f aca="false">IFERROR(LOOKUP(2,1/(AF78:AF82&lt;&gt;""),AF78:AF82),"")</f>
        <v>5.66</v>
      </c>
      <c r="AG83" s="24" t="n">
        <f aca="false">IFERROR(LOOKUP(2,1/(AG78:AG82&lt;&gt;""),AG78:AG82),"")</f>
        <v>92.2</v>
      </c>
      <c r="AH83" s="24" t="n">
        <f aca="false">IFERROR(LOOKUP(2,1/(AH78:AH82&lt;&gt;""),AH78:AH82),"")</f>
        <v>70</v>
      </c>
      <c r="AI83" s="24" t="n">
        <f aca="false">IFERROR(LOOKUP(2,1/(AI78:AI82&lt;&gt;""),AI78:AI82),"")</f>
        <v>57.5</v>
      </c>
      <c r="AJ83" s="24" t="n">
        <f aca="false">IFERROR(LOOKUP(2,1/(AJ78:AJ82&lt;&gt;""),AJ78:AJ82),"")</f>
        <v>63.5</v>
      </c>
      <c r="AK83" s="23" t="n">
        <f aca="false">IFERROR(LOOKUP(2,1/(AK78:AK82&lt;&gt;""),AK78:AK82),"")</f>
        <v>453948</v>
      </c>
      <c r="AL83" s="25" t="str">
        <f aca="false">IFERROR(LOOKUP(2,1/(AL78:AL82&lt;&gt;""),AL78:AL82),"")</f>
        <v/>
      </c>
      <c r="AM83" s="24" t="str">
        <f aca="false">IFERROR(LOOKUP(2,1/(AM78:AM82&lt;&gt;""),AM78:AM82),"")</f>
        <v/>
      </c>
      <c r="AN83" s="25" t="n">
        <f aca="false">IFERROR(LOOKUP(2,1/(AN78:AN82&lt;&gt;""),AN78:AN82),"")</f>
        <v>396</v>
      </c>
    </row>
    <row r="84" customFormat="false" ht="15" hidden="false" customHeight="false" outlineLevel="0" collapsed="false">
      <c r="A84" s="18" t="n">
        <v>2026</v>
      </c>
      <c r="B84" s="18" t="s">
        <v>78</v>
      </c>
      <c r="C84" s="18" t="n">
        <v>14</v>
      </c>
      <c r="D84" s="19" t="s">
        <v>202</v>
      </c>
      <c r="E84" s="20" t="s">
        <v>203</v>
      </c>
      <c r="F84" s="12"/>
      <c r="G84" s="12"/>
      <c r="H84" s="12"/>
      <c r="I84" s="12"/>
      <c r="J84" s="12"/>
      <c r="K84" s="13" t="str">
        <f aca="false">IF(AND(F84&lt;&gt;"",J84&lt;&gt;"",J84&lt;&gt;0),F84/J84*100,"")</f>
        <v/>
      </c>
      <c r="L84" s="12"/>
      <c r="M84" s="12"/>
      <c r="N84" s="12"/>
      <c r="O84" s="12"/>
      <c r="P84" s="12"/>
      <c r="Q84" s="12"/>
      <c r="R84" s="12"/>
      <c r="S84" s="12"/>
      <c r="T84" s="12"/>
      <c r="U84" s="14" t="str">
        <f aca="false">IF(AND(S84&lt;&gt;"",T84&lt;&gt;""),S84-T84,"")</f>
        <v/>
      </c>
      <c r="V84" s="13" t="str">
        <f aca="false">IF(AND(U84&lt;&gt;"",S84&lt;&gt;"",S84&lt;&gt;0),U84/S84*100,"")</f>
        <v/>
      </c>
      <c r="W84" s="14" t="str">
        <f aca="false">IF(AND(F84&lt;&gt;"",S84&lt;&gt;""),F84-S84,"")</f>
        <v/>
      </c>
      <c r="X84" s="12"/>
      <c r="Y84" s="15"/>
      <c r="Z84" s="12"/>
      <c r="AA84" s="12"/>
      <c r="AB84" s="16"/>
      <c r="AC84" s="15"/>
      <c r="AD84" s="15"/>
      <c r="AE84" s="15"/>
      <c r="AF84" s="17"/>
      <c r="AG84" s="16"/>
      <c r="AH84" s="16"/>
      <c r="AI84" s="16"/>
      <c r="AJ84" s="16"/>
      <c r="AK84" s="12"/>
      <c r="AL84" s="15"/>
      <c r="AM84" s="16"/>
      <c r="AN84" s="15"/>
    </row>
    <row r="85" customFormat="false" ht="15" hidden="false" customHeight="false" outlineLevel="0" collapsed="false">
      <c r="A85" s="9" t="n">
        <v>2026</v>
      </c>
      <c r="B85" s="9" t="s">
        <v>78</v>
      </c>
      <c r="C85" s="9" t="n">
        <v>15</v>
      </c>
      <c r="D85" s="10" t="s">
        <v>204</v>
      </c>
      <c r="E85" s="11" t="s">
        <v>205</v>
      </c>
      <c r="F85" s="12"/>
      <c r="G85" s="12"/>
      <c r="H85" s="12"/>
      <c r="I85" s="12"/>
      <c r="J85" s="12"/>
      <c r="K85" s="13" t="str">
        <f aca="false">IF(AND(F85&lt;&gt;"",J85&lt;&gt;"",J85&lt;&gt;0),F85/J85*100,"")</f>
        <v/>
      </c>
      <c r="L85" s="12"/>
      <c r="M85" s="12"/>
      <c r="N85" s="12"/>
      <c r="O85" s="12"/>
      <c r="P85" s="12"/>
      <c r="Q85" s="12"/>
      <c r="R85" s="12"/>
      <c r="S85" s="12"/>
      <c r="T85" s="12"/>
      <c r="U85" s="14" t="str">
        <f aca="false">IF(AND(S85&lt;&gt;"",T85&lt;&gt;""),S85-T85,"")</f>
        <v/>
      </c>
      <c r="V85" s="13" t="str">
        <f aca="false">IF(AND(U85&lt;&gt;"",S85&lt;&gt;"",S85&lt;&gt;0),U85/S85*100,"")</f>
        <v/>
      </c>
      <c r="W85" s="14" t="str">
        <f aca="false">IF(AND(F85&lt;&gt;"",S85&lt;&gt;""),F85-S85,"")</f>
        <v/>
      </c>
      <c r="X85" s="12"/>
      <c r="Y85" s="15"/>
      <c r="Z85" s="12"/>
      <c r="AA85" s="12"/>
      <c r="AB85" s="16"/>
      <c r="AC85" s="15"/>
      <c r="AD85" s="15"/>
      <c r="AE85" s="15"/>
      <c r="AF85" s="17"/>
      <c r="AG85" s="16"/>
      <c r="AH85" s="16"/>
      <c r="AI85" s="16"/>
      <c r="AJ85" s="16"/>
      <c r="AK85" s="12"/>
      <c r="AL85" s="15"/>
      <c r="AM85" s="16"/>
      <c r="AN85" s="15"/>
    </row>
    <row r="86" customFormat="false" ht="15" hidden="false" customHeight="false" outlineLevel="0" collapsed="false">
      <c r="A86" s="18" t="n">
        <v>2026</v>
      </c>
      <c r="B86" s="18" t="s">
        <v>78</v>
      </c>
      <c r="C86" s="18" t="n">
        <v>16</v>
      </c>
      <c r="D86" s="19" t="s">
        <v>206</v>
      </c>
      <c r="E86" s="20" t="s">
        <v>207</v>
      </c>
      <c r="F86" s="12"/>
      <c r="G86" s="12"/>
      <c r="H86" s="12"/>
      <c r="I86" s="12"/>
      <c r="J86" s="12"/>
      <c r="K86" s="13" t="str">
        <f aca="false">IF(AND(F86&lt;&gt;"",J86&lt;&gt;"",J86&lt;&gt;0),F86/J86*100,"")</f>
        <v/>
      </c>
      <c r="L86" s="12"/>
      <c r="M86" s="12"/>
      <c r="N86" s="12"/>
      <c r="O86" s="12"/>
      <c r="P86" s="12"/>
      <c r="Q86" s="12"/>
      <c r="R86" s="12"/>
      <c r="S86" s="12"/>
      <c r="T86" s="12"/>
      <c r="U86" s="14" t="str">
        <f aca="false">IF(AND(S86&lt;&gt;"",T86&lt;&gt;""),S86-T86,"")</f>
        <v/>
      </c>
      <c r="V86" s="13" t="str">
        <f aca="false">IF(AND(U86&lt;&gt;"",S86&lt;&gt;"",S86&lt;&gt;0),U86/S86*100,"")</f>
        <v/>
      </c>
      <c r="W86" s="14" t="str">
        <f aca="false">IF(AND(F86&lt;&gt;"",S86&lt;&gt;""),F86-S86,"")</f>
        <v/>
      </c>
      <c r="X86" s="12"/>
      <c r="Y86" s="15"/>
      <c r="Z86" s="12"/>
      <c r="AA86" s="12"/>
      <c r="AB86" s="16"/>
      <c r="AC86" s="15"/>
      <c r="AD86" s="15"/>
      <c r="AE86" s="15"/>
      <c r="AF86" s="17"/>
      <c r="AG86" s="16"/>
      <c r="AH86" s="16"/>
      <c r="AI86" s="16"/>
      <c r="AJ86" s="16"/>
      <c r="AK86" s="12"/>
      <c r="AL86" s="15"/>
      <c r="AM86" s="16"/>
      <c r="AN86" s="15"/>
    </row>
    <row r="87" customFormat="false" ht="15" hidden="false" customHeight="false" outlineLevel="0" collapsed="false">
      <c r="A87" s="9" t="n">
        <v>2026</v>
      </c>
      <c r="B87" s="9" t="s">
        <v>78</v>
      </c>
      <c r="C87" s="9" t="n">
        <v>17</v>
      </c>
      <c r="D87" s="10" t="s">
        <v>208</v>
      </c>
      <c r="E87" s="11" t="s">
        <v>209</v>
      </c>
      <c r="F87" s="12"/>
      <c r="G87" s="12"/>
      <c r="H87" s="12"/>
      <c r="I87" s="12"/>
      <c r="J87" s="12"/>
      <c r="K87" s="13" t="str">
        <f aca="false">IF(AND(F87&lt;&gt;"",J87&lt;&gt;"",J87&lt;&gt;0),F87/J87*100,"")</f>
        <v/>
      </c>
      <c r="L87" s="12"/>
      <c r="M87" s="12"/>
      <c r="N87" s="12"/>
      <c r="O87" s="12"/>
      <c r="P87" s="12"/>
      <c r="Q87" s="12"/>
      <c r="R87" s="12"/>
      <c r="S87" s="12"/>
      <c r="T87" s="12"/>
      <c r="U87" s="14" t="str">
        <f aca="false">IF(AND(S87&lt;&gt;"",T87&lt;&gt;""),S87-T87,"")</f>
        <v/>
      </c>
      <c r="V87" s="13" t="str">
        <f aca="false">IF(AND(U87&lt;&gt;"",S87&lt;&gt;"",S87&lt;&gt;0),U87/S87*100,"")</f>
        <v/>
      </c>
      <c r="W87" s="14" t="str">
        <f aca="false">IF(AND(F87&lt;&gt;"",S87&lt;&gt;""),F87-S87,"")</f>
        <v/>
      </c>
      <c r="X87" s="12"/>
      <c r="Y87" s="15"/>
      <c r="Z87" s="12"/>
      <c r="AA87" s="12"/>
      <c r="AB87" s="16"/>
      <c r="AC87" s="15"/>
      <c r="AD87" s="15"/>
      <c r="AE87" s="15"/>
      <c r="AF87" s="17"/>
      <c r="AG87" s="16"/>
      <c r="AH87" s="16"/>
      <c r="AI87" s="16"/>
      <c r="AJ87" s="16"/>
      <c r="AK87" s="12"/>
      <c r="AL87" s="15"/>
      <c r="AM87" s="16"/>
      <c r="AN87" s="15"/>
    </row>
    <row r="88" customFormat="false" ht="15" hidden="false" customHeight="false" outlineLevel="0" collapsed="false">
      <c r="A88" s="21" t="n">
        <v>2026</v>
      </c>
      <c r="B88" s="21" t="s">
        <v>78</v>
      </c>
      <c r="C88" s="21"/>
      <c r="D88" s="21" t="s">
        <v>210</v>
      </c>
      <c r="E88" s="22"/>
      <c r="F88" s="23" t="n">
        <f aca="false">IFERROR(SUM(F84:F87),"")</f>
        <v>0</v>
      </c>
      <c r="G88" s="23" t="n">
        <f aca="false">IFERROR(SUM(G84:G87),"")</f>
        <v>0</v>
      </c>
      <c r="H88" s="23" t="str">
        <f aca="false">IFERROR(LOOKUP(2,1/(H84:H87&lt;&gt;""),H84:H87),"")</f>
        <v/>
      </c>
      <c r="I88" s="23" t="str">
        <f aca="false">IFERROR(LOOKUP(2,1/(I84:I87&lt;&gt;""),I84:I87),"")</f>
        <v/>
      </c>
      <c r="J88" s="23" t="str">
        <f aca="false">IFERROR(LOOKUP(2,1/(J84:J87&lt;&gt;""),J84:J87),"")</f>
        <v/>
      </c>
      <c r="K88" s="24" t="str">
        <f aca="false">IFERROR(LOOKUP(2,1/(K84:K87&lt;&gt;""),K84:K87),"")</f>
        <v/>
      </c>
      <c r="L88" s="23" t="n">
        <f aca="false">IFERROR(SUM(L84:L87),"")</f>
        <v>0</v>
      </c>
      <c r="M88" s="23" t="n">
        <f aca="false">IFERROR(SUM(M84:M87),"")</f>
        <v>0</v>
      </c>
      <c r="N88" s="23" t="n">
        <f aca="false">IFERROR(SUM(N84:N87),"")</f>
        <v>0</v>
      </c>
      <c r="O88" s="23" t="n">
        <f aca="false">IFERROR(SUM(O84:O87),"")</f>
        <v>0</v>
      </c>
      <c r="P88" s="23" t="n">
        <f aca="false">IFERROR(SUM(P84:P87),"")</f>
        <v>0</v>
      </c>
      <c r="Q88" s="23" t="n">
        <f aca="false">IFERROR(SUM(Q84:Q87),"")</f>
        <v>0</v>
      </c>
      <c r="R88" s="23" t="n">
        <f aca="false">IFERROR(SUM(R84:R87),"")</f>
        <v>0</v>
      </c>
      <c r="S88" s="23" t="str">
        <f aca="false">IFERROR(LOOKUP(2,1/(S84:S87&lt;&gt;""),S84:S87),"")</f>
        <v/>
      </c>
      <c r="T88" s="23" t="str">
        <f aca="false">IFERROR(LOOKUP(2,1/(T84:T87&lt;&gt;""),T84:T87),"")</f>
        <v/>
      </c>
      <c r="U88" s="23" t="str">
        <f aca="false">IFERROR(LOOKUP(2,1/(U84:U87&lt;&gt;""),U84:U87),"")</f>
        <v/>
      </c>
      <c r="V88" s="24" t="str">
        <f aca="false">IFERROR(LOOKUP(2,1/(V84:V87&lt;&gt;""),V84:V87),"")</f>
        <v/>
      </c>
      <c r="W88" s="23" t="str">
        <f aca="false">IFERROR(LOOKUP(2,1/(W84:W87&lt;&gt;""),W84:W87),"")</f>
        <v/>
      </c>
      <c r="X88" s="23" t="str">
        <f aca="false">IFERROR(LOOKUP(2,1/(X84:X87&lt;&gt;""),X84:X87),"")</f>
        <v/>
      </c>
      <c r="Y88" s="25" t="str">
        <f aca="false">IFERROR(LOOKUP(2,1/(Y84:Y87&lt;&gt;""),Y84:Y87),"")</f>
        <v/>
      </c>
      <c r="Z88" s="23" t="str">
        <f aca="false">IFERROR(LOOKUP(2,1/(Z84:Z87&lt;&gt;""),Z84:Z87),"")</f>
        <v/>
      </c>
      <c r="AA88" s="23" t="str">
        <f aca="false">IFERROR(LOOKUP(2,1/(AA84:AA87&lt;&gt;""),AA84:AA87),"")</f>
        <v/>
      </c>
      <c r="AB88" s="24" t="str">
        <f aca="false">IFERROR(LOOKUP(2,1/(AB84:AB87&lt;&gt;""),AB84:AB87),"")</f>
        <v/>
      </c>
      <c r="AC88" s="25" t="n">
        <f aca="false">IFERROR(SUM(AC84:AC87),"")</f>
        <v>0</v>
      </c>
      <c r="AD88" s="25" t="n">
        <f aca="false">IFERROR(SUM(AD84:AD87),"")</f>
        <v>0</v>
      </c>
      <c r="AE88" s="25" t="str">
        <f aca="false">IFERROR(LOOKUP(2,1/(AE84:AE87&lt;&gt;""),AE84:AE87),"")</f>
        <v/>
      </c>
      <c r="AF88" s="26" t="str">
        <f aca="false">IFERROR(LOOKUP(2,1/(AF84:AF87&lt;&gt;""),AF84:AF87),"")</f>
        <v/>
      </c>
      <c r="AG88" s="24" t="str">
        <f aca="false">IFERROR(LOOKUP(2,1/(AG84:AG87&lt;&gt;""),AG84:AG87),"")</f>
        <v/>
      </c>
      <c r="AH88" s="24" t="str">
        <f aca="false">IFERROR(LOOKUP(2,1/(AH84:AH87&lt;&gt;""),AH84:AH87),"")</f>
        <v/>
      </c>
      <c r="AI88" s="24" t="str">
        <f aca="false">IFERROR(LOOKUP(2,1/(AI84:AI87&lt;&gt;""),AI84:AI87),"")</f>
        <v/>
      </c>
      <c r="AJ88" s="24" t="str">
        <f aca="false">IFERROR(LOOKUP(2,1/(AJ84:AJ87&lt;&gt;""),AJ84:AJ87),"")</f>
        <v/>
      </c>
      <c r="AK88" s="23" t="str">
        <f aca="false">IFERROR(LOOKUP(2,1/(AK84:AK87&lt;&gt;""),AK84:AK87),"")</f>
        <v/>
      </c>
      <c r="AL88" s="25" t="str">
        <f aca="false">IFERROR(LOOKUP(2,1/(AL84:AL87&lt;&gt;""),AL84:AL87),"")</f>
        <v/>
      </c>
      <c r="AM88" s="24" t="str">
        <f aca="false">IFERROR(LOOKUP(2,1/(AM84:AM87&lt;&gt;""),AM84:AM87),"")</f>
        <v/>
      </c>
      <c r="AN88" s="25" t="str">
        <f aca="false">IFERROR(LOOKUP(2,1/(AN84:AN87&lt;&gt;""),AN84:AN87),"")</f>
        <v/>
      </c>
    </row>
    <row r="89" customFormat="false" ht="15" hidden="false" customHeight="false" outlineLevel="0" collapsed="false">
      <c r="A89" s="18" t="n">
        <v>2026</v>
      </c>
      <c r="B89" s="18" t="s">
        <v>88</v>
      </c>
      <c r="C89" s="18" t="n">
        <v>18</v>
      </c>
      <c r="D89" s="19" t="s">
        <v>211</v>
      </c>
      <c r="E89" s="20" t="s">
        <v>212</v>
      </c>
      <c r="F89" s="12"/>
      <c r="G89" s="12"/>
      <c r="H89" s="12"/>
      <c r="I89" s="12"/>
      <c r="J89" s="12"/>
      <c r="K89" s="13" t="str">
        <f aca="false">IF(AND(F89&lt;&gt;"",J89&lt;&gt;"",J89&lt;&gt;0),F89/J89*100,"")</f>
        <v/>
      </c>
      <c r="L89" s="12"/>
      <c r="M89" s="12"/>
      <c r="N89" s="12"/>
      <c r="O89" s="12"/>
      <c r="P89" s="12"/>
      <c r="Q89" s="12"/>
      <c r="R89" s="12"/>
      <c r="S89" s="12"/>
      <c r="T89" s="12"/>
      <c r="U89" s="14" t="str">
        <f aca="false">IF(AND(S89&lt;&gt;"",T89&lt;&gt;""),S89-T89,"")</f>
        <v/>
      </c>
      <c r="V89" s="13" t="str">
        <f aca="false">IF(AND(U89&lt;&gt;"",S89&lt;&gt;"",S89&lt;&gt;0),U89/S89*100,"")</f>
        <v/>
      </c>
      <c r="W89" s="14" t="str">
        <f aca="false">IF(AND(F89&lt;&gt;"",S89&lt;&gt;""),F89-S89,"")</f>
        <v/>
      </c>
      <c r="X89" s="12"/>
      <c r="Y89" s="15"/>
      <c r="Z89" s="12"/>
      <c r="AA89" s="12"/>
      <c r="AB89" s="16"/>
      <c r="AC89" s="15"/>
      <c r="AD89" s="15"/>
      <c r="AE89" s="15"/>
      <c r="AF89" s="17"/>
      <c r="AG89" s="16"/>
      <c r="AH89" s="16"/>
      <c r="AI89" s="16"/>
      <c r="AJ89" s="16"/>
      <c r="AK89" s="12"/>
      <c r="AL89" s="15"/>
      <c r="AM89" s="16"/>
      <c r="AN89" s="15"/>
    </row>
    <row r="90" customFormat="false" ht="15" hidden="false" customHeight="false" outlineLevel="0" collapsed="false">
      <c r="A90" s="9" t="n">
        <v>2026</v>
      </c>
      <c r="B90" s="9" t="s">
        <v>88</v>
      </c>
      <c r="C90" s="9" t="n">
        <v>19</v>
      </c>
      <c r="D90" s="10" t="s">
        <v>213</v>
      </c>
      <c r="E90" s="11" t="s">
        <v>214</v>
      </c>
      <c r="F90" s="12"/>
      <c r="G90" s="12"/>
      <c r="H90" s="12"/>
      <c r="I90" s="12"/>
      <c r="J90" s="12"/>
      <c r="K90" s="13" t="str">
        <f aca="false">IF(AND(F90&lt;&gt;"",J90&lt;&gt;"",J90&lt;&gt;0),F90/J90*100,"")</f>
        <v/>
      </c>
      <c r="L90" s="12"/>
      <c r="M90" s="12"/>
      <c r="N90" s="12"/>
      <c r="O90" s="12"/>
      <c r="P90" s="12"/>
      <c r="Q90" s="12"/>
      <c r="R90" s="12"/>
      <c r="S90" s="12"/>
      <c r="T90" s="12"/>
      <c r="U90" s="14" t="str">
        <f aca="false">IF(AND(S90&lt;&gt;"",T90&lt;&gt;""),S90-T90,"")</f>
        <v/>
      </c>
      <c r="V90" s="13" t="str">
        <f aca="false">IF(AND(U90&lt;&gt;"",S90&lt;&gt;"",S90&lt;&gt;0),U90/S90*100,"")</f>
        <v/>
      </c>
      <c r="W90" s="14" t="str">
        <f aca="false">IF(AND(F90&lt;&gt;"",S90&lt;&gt;""),F90-S90,"")</f>
        <v/>
      </c>
      <c r="X90" s="12"/>
      <c r="Y90" s="15"/>
      <c r="Z90" s="12"/>
      <c r="AA90" s="12"/>
      <c r="AB90" s="16"/>
      <c r="AC90" s="15"/>
      <c r="AD90" s="15"/>
      <c r="AE90" s="15"/>
      <c r="AF90" s="17"/>
      <c r="AG90" s="16"/>
      <c r="AH90" s="16"/>
      <c r="AI90" s="16"/>
      <c r="AJ90" s="16"/>
      <c r="AK90" s="12"/>
      <c r="AL90" s="15"/>
      <c r="AM90" s="16"/>
      <c r="AN90" s="15"/>
    </row>
    <row r="91" customFormat="false" ht="15" hidden="false" customHeight="false" outlineLevel="0" collapsed="false">
      <c r="A91" s="18" t="n">
        <v>2026</v>
      </c>
      <c r="B91" s="18" t="s">
        <v>88</v>
      </c>
      <c r="C91" s="18" t="n">
        <v>20</v>
      </c>
      <c r="D91" s="19" t="s">
        <v>215</v>
      </c>
      <c r="E91" s="20" t="s">
        <v>216</v>
      </c>
      <c r="F91" s="12"/>
      <c r="G91" s="12"/>
      <c r="H91" s="12"/>
      <c r="I91" s="12"/>
      <c r="J91" s="12"/>
      <c r="K91" s="13" t="str">
        <f aca="false">IF(AND(F91&lt;&gt;"",J91&lt;&gt;"",J91&lt;&gt;0),F91/J91*100,"")</f>
        <v/>
      </c>
      <c r="L91" s="12"/>
      <c r="M91" s="12"/>
      <c r="N91" s="12"/>
      <c r="O91" s="12"/>
      <c r="P91" s="12"/>
      <c r="Q91" s="12"/>
      <c r="R91" s="12"/>
      <c r="S91" s="12"/>
      <c r="T91" s="12"/>
      <c r="U91" s="14" t="str">
        <f aca="false">IF(AND(S91&lt;&gt;"",T91&lt;&gt;""),S91-T91,"")</f>
        <v/>
      </c>
      <c r="V91" s="13" t="str">
        <f aca="false">IF(AND(U91&lt;&gt;"",S91&lt;&gt;"",S91&lt;&gt;0),U91/S91*100,"")</f>
        <v/>
      </c>
      <c r="W91" s="14" t="str">
        <f aca="false">IF(AND(F91&lt;&gt;"",S91&lt;&gt;""),F91-S91,"")</f>
        <v/>
      </c>
      <c r="X91" s="12"/>
      <c r="Y91" s="15"/>
      <c r="Z91" s="12"/>
      <c r="AA91" s="12"/>
      <c r="AB91" s="16"/>
      <c r="AC91" s="15"/>
      <c r="AD91" s="15"/>
      <c r="AE91" s="15"/>
      <c r="AF91" s="17"/>
      <c r="AG91" s="16"/>
      <c r="AH91" s="16"/>
      <c r="AI91" s="16"/>
      <c r="AJ91" s="16"/>
      <c r="AK91" s="12"/>
      <c r="AL91" s="15"/>
      <c r="AM91" s="16"/>
      <c r="AN91" s="15"/>
    </row>
    <row r="92" customFormat="false" ht="15" hidden="false" customHeight="false" outlineLevel="0" collapsed="false">
      <c r="A92" s="9" t="n">
        <v>2026</v>
      </c>
      <c r="B92" s="9" t="s">
        <v>88</v>
      </c>
      <c r="C92" s="9" t="n">
        <v>21</v>
      </c>
      <c r="D92" s="10" t="s">
        <v>217</v>
      </c>
      <c r="E92" s="11" t="s">
        <v>218</v>
      </c>
      <c r="F92" s="12"/>
      <c r="G92" s="12"/>
      <c r="H92" s="12"/>
      <c r="I92" s="12"/>
      <c r="J92" s="12"/>
      <c r="K92" s="13" t="str">
        <f aca="false">IF(AND(F92&lt;&gt;"",J92&lt;&gt;"",J92&lt;&gt;0),F92/J92*100,"")</f>
        <v/>
      </c>
      <c r="L92" s="12"/>
      <c r="M92" s="12"/>
      <c r="N92" s="12"/>
      <c r="O92" s="12"/>
      <c r="P92" s="12"/>
      <c r="Q92" s="12"/>
      <c r="R92" s="12"/>
      <c r="S92" s="12"/>
      <c r="T92" s="12"/>
      <c r="U92" s="14" t="str">
        <f aca="false">IF(AND(S92&lt;&gt;"",T92&lt;&gt;""),S92-T92,"")</f>
        <v/>
      </c>
      <c r="V92" s="13" t="str">
        <f aca="false">IF(AND(U92&lt;&gt;"",S92&lt;&gt;"",S92&lt;&gt;0),U92/S92*100,"")</f>
        <v/>
      </c>
      <c r="W92" s="14" t="str">
        <f aca="false">IF(AND(F92&lt;&gt;"",S92&lt;&gt;""),F92-S92,"")</f>
        <v/>
      </c>
      <c r="X92" s="12"/>
      <c r="Y92" s="15"/>
      <c r="Z92" s="12"/>
      <c r="AA92" s="12"/>
      <c r="AB92" s="16"/>
      <c r="AC92" s="15"/>
      <c r="AD92" s="15"/>
      <c r="AE92" s="15"/>
      <c r="AF92" s="17"/>
      <c r="AG92" s="16"/>
      <c r="AH92" s="16"/>
      <c r="AI92" s="16"/>
      <c r="AJ92" s="16"/>
      <c r="AK92" s="12"/>
      <c r="AL92" s="15"/>
      <c r="AM92" s="16"/>
      <c r="AN92" s="15"/>
    </row>
    <row r="93" customFormat="false" ht="15" hidden="false" customHeight="false" outlineLevel="0" collapsed="false">
      <c r="A93" s="21" t="n">
        <v>2026</v>
      </c>
      <c r="B93" s="21" t="s">
        <v>88</v>
      </c>
      <c r="C93" s="21"/>
      <c r="D93" s="21" t="s">
        <v>219</v>
      </c>
      <c r="E93" s="22"/>
      <c r="F93" s="23" t="n">
        <f aca="false">IFERROR(SUM(F89:F92),"")</f>
        <v>0</v>
      </c>
      <c r="G93" s="23" t="n">
        <f aca="false">IFERROR(SUM(G89:G92),"")</f>
        <v>0</v>
      </c>
      <c r="H93" s="23" t="str">
        <f aca="false">IFERROR(LOOKUP(2,1/(H89:H92&lt;&gt;""),H89:H92),"")</f>
        <v/>
      </c>
      <c r="I93" s="23" t="str">
        <f aca="false">IFERROR(LOOKUP(2,1/(I89:I92&lt;&gt;""),I89:I92),"")</f>
        <v/>
      </c>
      <c r="J93" s="23" t="str">
        <f aca="false">IFERROR(LOOKUP(2,1/(J89:J92&lt;&gt;""),J89:J92),"")</f>
        <v/>
      </c>
      <c r="K93" s="24" t="str">
        <f aca="false">IFERROR(LOOKUP(2,1/(K89:K92&lt;&gt;""),K89:K92),"")</f>
        <v/>
      </c>
      <c r="L93" s="23" t="n">
        <f aca="false">IFERROR(SUM(L89:L92),"")</f>
        <v>0</v>
      </c>
      <c r="M93" s="23" t="n">
        <f aca="false">IFERROR(SUM(M89:M92),"")</f>
        <v>0</v>
      </c>
      <c r="N93" s="23" t="n">
        <f aca="false">IFERROR(SUM(N89:N92),"")</f>
        <v>0</v>
      </c>
      <c r="O93" s="23" t="n">
        <f aca="false">IFERROR(SUM(O89:O92),"")</f>
        <v>0</v>
      </c>
      <c r="P93" s="23" t="n">
        <f aca="false">IFERROR(SUM(P89:P92),"")</f>
        <v>0</v>
      </c>
      <c r="Q93" s="23" t="n">
        <f aca="false">IFERROR(SUM(Q89:Q92),"")</f>
        <v>0</v>
      </c>
      <c r="R93" s="23" t="n">
        <f aca="false">IFERROR(SUM(R89:R92),"")</f>
        <v>0</v>
      </c>
      <c r="S93" s="23" t="str">
        <f aca="false">IFERROR(LOOKUP(2,1/(S89:S92&lt;&gt;""),S89:S92),"")</f>
        <v/>
      </c>
      <c r="T93" s="23" t="str">
        <f aca="false">IFERROR(LOOKUP(2,1/(T89:T92&lt;&gt;""),T89:T92),"")</f>
        <v/>
      </c>
      <c r="U93" s="23" t="str">
        <f aca="false">IFERROR(LOOKUP(2,1/(U89:U92&lt;&gt;""),U89:U92),"")</f>
        <v/>
      </c>
      <c r="V93" s="24" t="str">
        <f aca="false">IFERROR(LOOKUP(2,1/(V89:V92&lt;&gt;""),V89:V92),"")</f>
        <v/>
      </c>
      <c r="W93" s="23" t="str">
        <f aca="false">IFERROR(LOOKUP(2,1/(W89:W92&lt;&gt;""),W89:W92),"")</f>
        <v/>
      </c>
      <c r="X93" s="23" t="str">
        <f aca="false">IFERROR(LOOKUP(2,1/(X89:X92&lt;&gt;""),X89:X92),"")</f>
        <v/>
      </c>
      <c r="Y93" s="25" t="str">
        <f aca="false">IFERROR(LOOKUP(2,1/(Y89:Y92&lt;&gt;""),Y89:Y92),"")</f>
        <v/>
      </c>
      <c r="Z93" s="23" t="str">
        <f aca="false">IFERROR(LOOKUP(2,1/(Z89:Z92&lt;&gt;""),Z89:Z92),"")</f>
        <v/>
      </c>
      <c r="AA93" s="23" t="str">
        <f aca="false">IFERROR(LOOKUP(2,1/(AA89:AA92&lt;&gt;""),AA89:AA92),"")</f>
        <v/>
      </c>
      <c r="AB93" s="24" t="str">
        <f aca="false">IFERROR(LOOKUP(2,1/(AB89:AB92&lt;&gt;""),AB89:AB92),"")</f>
        <v/>
      </c>
      <c r="AC93" s="25" t="n">
        <f aca="false">IFERROR(SUM(AC89:AC92),"")</f>
        <v>0</v>
      </c>
      <c r="AD93" s="25" t="n">
        <f aca="false">IFERROR(SUM(AD89:AD92),"")</f>
        <v>0</v>
      </c>
      <c r="AE93" s="25" t="str">
        <f aca="false">IFERROR(LOOKUP(2,1/(AE89:AE92&lt;&gt;""),AE89:AE92),"")</f>
        <v/>
      </c>
      <c r="AF93" s="26" t="str">
        <f aca="false">IFERROR(LOOKUP(2,1/(AF89:AF92&lt;&gt;""),AF89:AF92),"")</f>
        <v/>
      </c>
      <c r="AG93" s="24" t="str">
        <f aca="false">IFERROR(LOOKUP(2,1/(AG89:AG92&lt;&gt;""),AG89:AG92),"")</f>
        <v/>
      </c>
      <c r="AH93" s="24" t="str">
        <f aca="false">IFERROR(LOOKUP(2,1/(AH89:AH92&lt;&gt;""),AH89:AH92),"")</f>
        <v/>
      </c>
      <c r="AI93" s="24" t="str">
        <f aca="false">IFERROR(LOOKUP(2,1/(AI89:AI92&lt;&gt;""),AI89:AI92),"")</f>
        <v/>
      </c>
      <c r="AJ93" s="24" t="str">
        <f aca="false">IFERROR(LOOKUP(2,1/(AJ89:AJ92&lt;&gt;""),AJ89:AJ92),"")</f>
        <v/>
      </c>
      <c r="AK93" s="23" t="str">
        <f aca="false">IFERROR(LOOKUP(2,1/(AK89:AK92&lt;&gt;""),AK89:AK92),"")</f>
        <v/>
      </c>
      <c r="AL93" s="25" t="str">
        <f aca="false">IFERROR(LOOKUP(2,1/(AL89:AL92&lt;&gt;""),AL89:AL92),"")</f>
        <v/>
      </c>
      <c r="AM93" s="24" t="str">
        <f aca="false">IFERROR(LOOKUP(2,1/(AM89:AM92&lt;&gt;""),AM89:AM92),"")</f>
        <v/>
      </c>
      <c r="AN93" s="25" t="str">
        <f aca="false">IFERROR(LOOKUP(2,1/(AN89:AN92&lt;&gt;""),AN89:AN92),"")</f>
        <v/>
      </c>
    </row>
    <row r="94" customFormat="false" ht="15" hidden="false" customHeight="false" outlineLevel="0" collapsed="false">
      <c r="A94" s="18" t="n">
        <v>2026</v>
      </c>
      <c r="B94" s="18" t="s">
        <v>98</v>
      </c>
      <c r="C94" s="18" t="n">
        <v>22</v>
      </c>
      <c r="D94" s="19" t="s">
        <v>220</v>
      </c>
      <c r="E94" s="20" t="s">
        <v>221</v>
      </c>
      <c r="F94" s="12"/>
      <c r="G94" s="12"/>
      <c r="H94" s="12"/>
      <c r="I94" s="12"/>
      <c r="J94" s="12"/>
      <c r="K94" s="13" t="str">
        <f aca="false">IF(AND(F94&lt;&gt;"",J94&lt;&gt;"",J94&lt;&gt;0),F94/J94*100,"")</f>
        <v/>
      </c>
      <c r="L94" s="12"/>
      <c r="M94" s="12"/>
      <c r="N94" s="12"/>
      <c r="O94" s="12"/>
      <c r="P94" s="12"/>
      <c r="Q94" s="12"/>
      <c r="R94" s="12"/>
      <c r="S94" s="12"/>
      <c r="T94" s="12"/>
      <c r="U94" s="14" t="str">
        <f aca="false">IF(AND(S94&lt;&gt;"",T94&lt;&gt;""),S94-T94,"")</f>
        <v/>
      </c>
      <c r="V94" s="13" t="str">
        <f aca="false">IF(AND(U94&lt;&gt;"",S94&lt;&gt;"",S94&lt;&gt;0),U94/S94*100,"")</f>
        <v/>
      </c>
      <c r="W94" s="14" t="str">
        <f aca="false">IF(AND(F94&lt;&gt;"",S94&lt;&gt;""),F94-S94,"")</f>
        <v/>
      </c>
      <c r="X94" s="12"/>
      <c r="Y94" s="15"/>
      <c r="Z94" s="12"/>
      <c r="AA94" s="12"/>
      <c r="AB94" s="16"/>
      <c r="AC94" s="15"/>
      <c r="AD94" s="15"/>
      <c r="AE94" s="15"/>
      <c r="AF94" s="17"/>
      <c r="AG94" s="16"/>
      <c r="AH94" s="16"/>
      <c r="AI94" s="16"/>
      <c r="AJ94" s="16"/>
      <c r="AK94" s="12"/>
      <c r="AL94" s="15"/>
      <c r="AM94" s="16"/>
      <c r="AN94" s="15"/>
    </row>
    <row r="95" customFormat="false" ht="15" hidden="false" customHeight="false" outlineLevel="0" collapsed="false">
      <c r="A95" s="9" t="n">
        <v>2026</v>
      </c>
      <c r="B95" s="9" t="s">
        <v>98</v>
      </c>
      <c r="C95" s="9" t="n">
        <v>23</v>
      </c>
      <c r="D95" s="10" t="s">
        <v>222</v>
      </c>
      <c r="E95" s="11" t="s">
        <v>223</v>
      </c>
      <c r="F95" s="12"/>
      <c r="G95" s="12"/>
      <c r="H95" s="12"/>
      <c r="I95" s="12"/>
      <c r="J95" s="12"/>
      <c r="K95" s="13" t="str">
        <f aca="false">IF(AND(F95&lt;&gt;"",J95&lt;&gt;"",J95&lt;&gt;0),F95/J95*100,"")</f>
        <v/>
      </c>
      <c r="L95" s="12"/>
      <c r="M95" s="12"/>
      <c r="N95" s="12"/>
      <c r="O95" s="12"/>
      <c r="P95" s="12"/>
      <c r="Q95" s="12"/>
      <c r="R95" s="12"/>
      <c r="S95" s="12"/>
      <c r="T95" s="12"/>
      <c r="U95" s="14" t="str">
        <f aca="false">IF(AND(S95&lt;&gt;"",T95&lt;&gt;""),S95-T95,"")</f>
        <v/>
      </c>
      <c r="V95" s="13" t="str">
        <f aca="false">IF(AND(U95&lt;&gt;"",S95&lt;&gt;"",S95&lt;&gt;0),U95/S95*100,"")</f>
        <v/>
      </c>
      <c r="W95" s="14" t="str">
        <f aca="false">IF(AND(F95&lt;&gt;"",S95&lt;&gt;""),F95-S95,"")</f>
        <v/>
      </c>
      <c r="X95" s="12"/>
      <c r="Y95" s="15"/>
      <c r="Z95" s="12"/>
      <c r="AA95" s="12"/>
      <c r="AB95" s="16"/>
      <c r="AC95" s="15"/>
      <c r="AD95" s="15"/>
      <c r="AE95" s="15"/>
      <c r="AF95" s="17"/>
      <c r="AG95" s="16"/>
      <c r="AH95" s="16"/>
      <c r="AI95" s="16"/>
      <c r="AJ95" s="16"/>
      <c r="AK95" s="12"/>
      <c r="AL95" s="15"/>
      <c r="AM95" s="16"/>
      <c r="AN95" s="15"/>
    </row>
    <row r="96" customFormat="false" ht="15" hidden="false" customHeight="false" outlineLevel="0" collapsed="false">
      <c r="A96" s="18" t="n">
        <v>2026</v>
      </c>
      <c r="B96" s="18" t="s">
        <v>98</v>
      </c>
      <c r="C96" s="18" t="n">
        <v>24</v>
      </c>
      <c r="D96" s="19" t="s">
        <v>224</v>
      </c>
      <c r="E96" s="20" t="s">
        <v>225</v>
      </c>
      <c r="F96" s="12"/>
      <c r="G96" s="12"/>
      <c r="H96" s="12"/>
      <c r="I96" s="12"/>
      <c r="J96" s="12"/>
      <c r="K96" s="13" t="str">
        <f aca="false">IF(AND(F96&lt;&gt;"",J96&lt;&gt;"",J96&lt;&gt;0),F96/J96*100,"")</f>
        <v/>
      </c>
      <c r="L96" s="12"/>
      <c r="M96" s="12"/>
      <c r="N96" s="12"/>
      <c r="O96" s="12"/>
      <c r="P96" s="12"/>
      <c r="Q96" s="12"/>
      <c r="R96" s="12"/>
      <c r="S96" s="12"/>
      <c r="T96" s="12"/>
      <c r="U96" s="14" t="str">
        <f aca="false">IF(AND(S96&lt;&gt;"",T96&lt;&gt;""),S96-T96,"")</f>
        <v/>
      </c>
      <c r="V96" s="13" t="str">
        <f aca="false">IF(AND(U96&lt;&gt;"",S96&lt;&gt;"",S96&lt;&gt;0),U96/S96*100,"")</f>
        <v/>
      </c>
      <c r="W96" s="14" t="str">
        <f aca="false">IF(AND(F96&lt;&gt;"",S96&lt;&gt;""),F96-S96,"")</f>
        <v/>
      </c>
      <c r="X96" s="12"/>
      <c r="Y96" s="15"/>
      <c r="Z96" s="12"/>
      <c r="AA96" s="12"/>
      <c r="AB96" s="16"/>
      <c r="AC96" s="15"/>
      <c r="AD96" s="15"/>
      <c r="AE96" s="15"/>
      <c r="AF96" s="17"/>
      <c r="AG96" s="16"/>
      <c r="AH96" s="16"/>
      <c r="AI96" s="16"/>
      <c r="AJ96" s="16"/>
      <c r="AK96" s="12"/>
      <c r="AL96" s="15"/>
      <c r="AM96" s="16"/>
      <c r="AN96" s="15"/>
    </row>
    <row r="97" customFormat="false" ht="15" hidden="false" customHeight="false" outlineLevel="0" collapsed="false">
      <c r="A97" s="9" t="n">
        <v>2026</v>
      </c>
      <c r="B97" s="9" t="s">
        <v>98</v>
      </c>
      <c r="C97" s="9" t="n">
        <v>25</v>
      </c>
      <c r="D97" s="10" t="s">
        <v>226</v>
      </c>
      <c r="E97" s="11" t="s">
        <v>227</v>
      </c>
      <c r="F97" s="12"/>
      <c r="G97" s="12"/>
      <c r="H97" s="12"/>
      <c r="I97" s="12"/>
      <c r="J97" s="12"/>
      <c r="K97" s="13" t="str">
        <f aca="false">IF(AND(F97&lt;&gt;"",J97&lt;&gt;"",J97&lt;&gt;0),F97/J97*100,"")</f>
        <v/>
      </c>
      <c r="L97" s="12"/>
      <c r="M97" s="12"/>
      <c r="N97" s="12"/>
      <c r="O97" s="12"/>
      <c r="P97" s="12"/>
      <c r="Q97" s="12"/>
      <c r="R97" s="12"/>
      <c r="S97" s="12"/>
      <c r="T97" s="12"/>
      <c r="U97" s="14" t="str">
        <f aca="false">IF(AND(S97&lt;&gt;"",T97&lt;&gt;""),S97-T97,"")</f>
        <v/>
      </c>
      <c r="V97" s="13" t="str">
        <f aca="false">IF(AND(U97&lt;&gt;"",S97&lt;&gt;"",S97&lt;&gt;0),U97/S97*100,"")</f>
        <v/>
      </c>
      <c r="W97" s="14" t="str">
        <f aca="false">IF(AND(F97&lt;&gt;"",S97&lt;&gt;""),F97-S97,"")</f>
        <v/>
      </c>
      <c r="X97" s="12"/>
      <c r="Y97" s="15"/>
      <c r="Z97" s="12"/>
      <c r="AA97" s="12"/>
      <c r="AB97" s="16"/>
      <c r="AC97" s="15"/>
      <c r="AD97" s="15"/>
      <c r="AE97" s="15"/>
      <c r="AF97" s="17"/>
      <c r="AG97" s="16"/>
      <c r="AH97" s="16"/>
      <c r="AI97" s="16"/>
      <c r="AJ97" s="16"/>
      <c r="AK97" s="12"/>
      <c r="AL97" s="15"/>
      <c r="AM97" s="16"/>
      <c r="AN97" s="15"/>
    </row>
    <row r="98" customFormat="false" ht="15" hidden="false" customHeight="false" outlineLevel="0" collapsed="false">
      <c r="A98" s="18" t="n">
        <v>2026</v>
      </c>
      <c r="B98" s="18" t="s">
        <v>98</v>
      </c>
      <c r="C98" s="18" t="n">
        <v>26</v>
      </c>
      <c r="D98" s="19" t="s">
        <v>228</v>
      </c>
      <c r="E98" s="20" t="s">
        <v>229</v>
      </c>
      <c r="F98" s="12"/>
      <c r="G98" s="12"/>
      <c r="H98" s="12"/>
      <c r="I98" s="12"/>
      <c r="J98" s="12"/>
      <c r="K98" s="13" t="str">
        <f aca="false">IF(AND(F98&lt;&gt;"",J98&lt;&gt;"",J98&lt;&gt;0),F98/J98*100,"")</f>
        <v/>
      </c>
      <c r="L98" s="12"/>
      <c r="M98" s="12"/>
      <c r="N98" s="12"/>
      <c r="O98" s="12"/>
      <c r="P98" s="12"/>
      <c r="Q98" s="12"/>
      <c r="R98" s="12"/>
      <c r="S98" s="12"/>
      <c r="T98" s="12"/>
      <c r="U98" s="14" t="str">
        <f aca="false">IF(AND(S98&lt;&gt;"",T98&lt;&gt;""),S98-T98,"")</f>
        <v/>
      </c>
      <c r="V98" s="13" t="str">
        <f aca="false">IF(AND(U98&lt;&gt;"",S98&lt;&gt;"",S98&lt;&gt;0),U98/S98*100,"")</f>
        <v/>
      </c>
      <c r="W98" s="14" t="str">
        <f aca="false">IF(AND(F98&lt;&gt;"",S98&lt;&gt;""),F98-S98,"")</f>
        <v/>
      </c>
      <c r="X98" s="12"/>
      <c r="Y98" s="15"/>
      <c r="Z98" s="12"/>
      <c r="AA98" s="12"/>
      <c r="AB98" s="16"/>
      <c r="AC98" s="15"/>
      <c r="AD98" s="15"/>
      <c r="AE98" s="15"/>
      <c r="AF98" s="17"/>
      <c r="AG98" s="16"/>
      <c r="AH98" s="16"/>
      <c r="AI98" s="16"/>
      <c r="AJ98" s="16"/>
      <c r="AK98" s="12"/>
      <c r="AL98" s="15"/>
      <c r="AM98" s="16"/>
      <c r="AN98" s="15"/>
    </row>
    <row r="99" customFormat="false" ht="15" hidden="false" customHeight="false" outlineLevel="0" collapsed="false">
      <c r="A99" s="21" t="n">
        <v>2026</v>
      </c>
      <c r="B99" s="21" t="s">
        <v>98</v>
      </c>
      <c r="C99" s="21"/>
      <c r="D99" s="21" t="s">
        <v>230</v>
      </c>
      <c r="E99" s="22"/>
      <c r="F99" s="23" t="n">
        <f aca="false">IFERROR(SUM(F94:F98),"")</f>
        <v>0</v>
      </c>
      <c r="G99" s="23" t="n">
        <f aca="false">IFERROR(SUM(G94:G98),"")</f>
        <v>0</v>
      </c>
      <c r="H99" s="23" t="str">
        <f aca="false">IFERROR(LOOKUP(2,1/(H94:H98&lt;&gt;""),H94:H98),"")</f>
        <v/>
      </c>
      <c r="I99" s="23" t="str">
        <f aca="false">IFERROR(LOOKUP(2,1/(I94:I98&lt;&gt;""),I94:I98),"")</f>
        <v/>
      </c>
      <c r="J99" s="23" t="str">
        <f aca="false">IFERROR(LOOKUP(2,1/(J94:J98&lt;&gt;""),J94:J98),"")</f>
        <v/>
      </c>
      <c r="K99" s="24" t="str">
        <f aca="false">IFERROR(LOOKUP(2,1/(K94:K98&lt;&gt;""),K94:K98),"")</f>
        <v/>
      </c>
      <c r="L99" s="23" t="n">
        <f aca="false">IFERROR(SUM(L94:L98),"")</f>
        <v>0</v>
      </c>
      <c r="M99" s="23" t="n">
        <f aca="false">IFERROR(SUM(M94:M98),"")</f>
        <v>0</v>
      </c>
      <c r="N99" s="23" t="n">
        <f aca="false">IFERROR(SUM(N94:N98),"")</f>
        <v>0</v>
      </c>
      <c r="O99" s="23" t="n">
        <f aca="false">IFERROR(SUM(O94:O98),"")</f>
        <v>0</v>
      </c>
      <c r="P99" s="23" t="n">
        <f aca="false">IFERROR(SUM(P94:P98),"")</f>
        <v>0</v>
      </c>
      <c r="Q99" s="23" t="n">
        <f aca="false">IFERROR(SUM(Q94:Q98),"")</f>
        <v>0</v>
      </c>
      <c r="R99" s="23" t="n">
        <f aca="false">IFERROR(SUM(R94:R98),"")</f>
        <v>0</v>
      </c>
      <c r="S99" s="23" t="str">
        <f aca="false">IFERROR(LOOKUP(2,1/(S94:S98&lt;&gt;""),S94:S98),"")</f>
        <v/>
      </c>
      <c r="T99" s="23" t="str">
        <f aca="false">IFERROR(LOOKUP(2,1/(T94:T98&lt;&gt;""),T94:T98),"")</f>
        <v/>
      </c>
      <c r="U99" s="23" t="str">
        <f aca="false">IFERROR(LOOKUP(2,1/(U94:U98&lt;&gt;""),U94:U98),"")</f>
        <v/>
      </c>
      <c r="V99" s="24" t="str">
        <f aca="false">IFERROR(LOOKUP(2,1/(V94:V98&lt;&gt;""),V94:V98),"")</f>
        <v/>
      </c>
      <c r="W99" s="23" t="str">
        <f aca="false">IFERROR(LOOKUP(2,1/(W94:W98&lt;&gt;""),W94:W98),"")</f>
        <v/>
      </c>
      <c r="X99" s="23" t="str">
        <f aca="false">IFERROR(LOOKUP(2,1/(X94:X98&lt;&gt;""),X94:X98),"")</f>
        <v/>
      </c>
      <c r="Y99" s="25" t="str">
        <f aca="false">IFERROR(LOOKUP(2,1/(Y94:Y98&lt;&gt;""),Y94:Y98),"")</f>
        <v/>
      </c>
      <c r="Z99" s="23" t="str">
        <f aca="false">IFERROR(LOOKUP(2,1/(Z94:Z98&lt;&gt;""),Z94:Z98),"")</f>
        <v/>
      </c>
      <c r="AA99" s="23" t="str">
        <f aca="false">IFERROR(LOOKUP(2,1/(AA94:AA98&lt;&gt;""),AA94:AA98),"")</f>
        <v/>
      </c>
      <c r="AB99" s="24" t="str">
        <f aca="false">IFERROR(LOOKUP(2,1/(AB94:AB98&lt;&gt;""),AB94:AB98),"")</f>
        <v/>
      </c>
      <c r="AC99" s="25" t="n">
        <f aca="false">IFERROR(SUM(AC94:AC98),"")</f>
        <v>0</v>
      </c>
      <c r="AD99" s="25" t="n">
        <f aca="false">IFERROR(SUM(AD94:AD98),"")</f>
        <v>0</v>
      </c>
      <c r="AE99" s="25" t="str">
        <f aca="false">IFERROR(LOOKUP(2,1/(AE94:AE98&lt;&gt;""),AE94:AE98),"")</f>
        <v/>
      </c>
      <c r="AF99" s="26" t="str">
        <f aca="false">IFERROR(LOOKUP(2,1/(AF94:AF98&lt;&gt;""),AF94:AF98),"")</f>
        <v/>
      </c>
      <c r="AG99" s="24" t="str">
        <f aca="false">IFERROR(LOOKUP(2,1/(AG94:AG98&lt;&gt;""),AG94:AG98),"")</f>
        <v/>
      </c>
      <c r="AH99" s="24" t="str">
        <f aca="false">IFERROR(LOOKUP(2,1/(AH94:AH98&lt;&gt;""),AH94:AH98),"")</f>
        <v/>
      </c>
      <c r="AI99" s="24" t="str">
        <f aca="false">IFERROR(LOOKUP(2,1/(AI94:AI98&lt;&gt;""),AI94:AI98),"")</f>
        <v/>
      </c>
      <c r="AJ99" s="24" t="str">
        <f aca="false">IFERROR(LOOKUP(2,1/(AJ94:AJ98&lt;&gt;""),AJ94:AJ98),"")</f>
        <v/>
      </c>
      <c r="AK99" s="23" t="str">
        <f aca="false">IFERROR(LOOKUP(2,1/(AK94:AK98&lt;&gt;""),AK94:AK98),"")</f>
        <v/>
      </c>
      <c r="AL99" s="25" t="str">
        <f aca="false">IFERROR(LOOKUP(2,1/(AL94:AL98&lt;&gt;""),AL94:AL98),"")</f>
        <v/>
      </c>
      <c r="AM99" s="24" t="str">
        <f aca="false">IFERROR(LOOKUP(2,1/(AM94:AM98&lt;&gt;""),AM94:AM98),"")</f>
        <v/>
      </c>
      <c r="AN99" s="25" t="str">
        <f aca="false">IFERROR(LOOKUP(2,1/(AN94:AN98&lt;&gt;""),AN94:AN98),"")</f>
        <v/>
      </c>
    </row>
    <row r="100" customFormat="false" ht="15" hidden="false" customHeight="false" outlineLevel="0" collapsed="false">
      <c r="A100" s="9" t="n">
        <v>2026</v>
      </c>
      <c r="B100" s="9" t="s">
        <v>110</v>
      </c>
      <c r="C100" s="9" t="n">
        <v>27</v>
      </c>
      <c r="D100" s="10" t="s">
        <v>231</v>
      </c>
      <c r="E100" s="11" t="s">
        <v>232</v>
      </c>
      <c r="F100" s="12"/>
      <c r="G100" s="12"/>
      <c r="H100" s="12"/>
      <c r="I100" s="12"/>
      <c r="J100" s="12"/>
      <c r="K100" s="13" t="str">
        <f aca="false">IF(AND(F100&lt;&gt;"",J100&lt;&gt;"",J100&lt;&gt;0),F100/J100*100,"")</f>
        <v/>
      </c>
      <c r="L100" s="12"/>
      <c r="M100" s="12"/>
      <c r="N100" s="12"/>
      <c r="O100" s="12"/>
      <c r="P100" s="12"/>
      <c r="Q100" s="12"/>
      <c r="R100" s="12"/>
      <c r="S100" s="12"/>
      <c r="T100" s="12"/>
      <c r="U100" s="14" t="str">
        <f aca="false">IF(AND(S100&lt;&gt;"",T100&lt;&gt;""),S100-T100,"")</f>
        <v/>
      </c>
      <c r="V100" s="13" t="str">
        <f aca="false">IF(AND(U100&lt;&gt;"",S100&lt;&gt;"",S100&lt;&gt;0),U100/S100*100,"")</f>
        <v/>
      </c>
      <c r="W100" s="14" t="str">
        <f aca="false">IF(AND(F100&lt;&gt;"",S100&lt;&gt;""),F100-S100,"")</f>
        <v/>
      </c>
      <c r="X100" s="12"/>
      <c r="Y100" s="15"/>
      <c r="Z100" s="12"/>
      <c r="AA100" s="12"/>
      <c r="AB100" s="16"/>
      <c r="AC100" s="15"/>
      <c r="AD100" s="15"/>
      <c r="AE100" s="15"/>
      <c r="AF100" s="17"/>
      <c r="AG100" s="16"/>
      <c r="AH100" s="16"/>
      <c r="AI100" s="16"/>
      <c r="AJ100" s="16"/>
      <c r="AK100" s="12"/>
      <c r="AL100" s="15"/>
      <c r="AM100" s="16"/>
      <c r="AN100" s="15"/>
    </row>
    <row r="101" customFormat="false" ht="15" hidden="false" customHeight="false" outlineLevel="0" collapsed="false">
      <c r="A101" s="18" t="n">
        <v>2026</v>
      </c>
      <c r="B101" s="18" t="s">
        <v>110</v>
      </c>
      <c r="C101" s="18" t="n">
        <v>28</v>
      </c>
      <c r="D101" s="19" t="s">
        <v>233</v>
      </c>
      <c r="E101" s="20" t="s">
        <v>234</v>
      </c>
      <c r="F101" s="12"/>
      <c r="G101" s="12"/>
      <c r="H101" s="12"/>
      <c r="I101" s="12"/>
      <c r="J101" s="12"/>
      <c r="K101" s="13" t="str">
        <f aca="false">IF(AND(F101&lt;&gt;"",J101&lt;&gt;"",J101&lt;&gt;0),F101/J101*100,"")</f>
        <v/>
      </c>
      <c r="L101" s="12"/>
      <c r="M101" s="12"/>
      <c r="N101" s="12"/>
      <c r="O101" s="12"/>
      <c r="P101" s="12"/>
      <c r="Q101" s="12"/>
      <c r="R101" s="12"/>
      <c r="S101" s="12"/>
      <c r="T101" s="12"/>
      <c r="U101" s="14" t="str">
        <f aca="false">IF(AND(S101&lt;&gt;"",T101&lt;&gt;""),S101-T101,"")</f>
        <v/>
      </c>
      <c r="V101" s="13" t="str">
        <f aca="false">IF(AND(U101&lt;&gt;"",S101&lt;&gt;"",S101&lt;&gt;0),U101/S101*100,"")</f>
        <v/>
      </c>
      <c r="W101" s="14" t="str">
        <f aca="false">IF(AND(F101&lt;&gt;"",S101&lt;&gt;""),F101-S101,"")</f>
        <v/>
      </c>
      <c r="X101" s="12"/>
      <c r="Y101" s="15"/>
      <c r="Z101" s="12"/>
      <c r="AA101" s="12"/>
      <c r="AB101" s="16"/>
      <c r="AC101" s="15"/>
      <c r="AD101" s="15"/>
      <c r="AE101" s="15"/>
      <c r="AF101" s="17"/>
      <c r="AG101" s="16"/>
      <c r="AH101" s="16"/>
      <c r="AI101" s="16"/>
      <c r="AJ101" s="16"/>
      <c r="AK101" s="12"/>
      <c r="AL101" s="15"/>
      <c r="AM101" s="16"/>
      <c r="AN101" s="15"/>
    </row>
    <row r="102" customFormat="false" ht="15" hidden="false" customHeight="false" outlineLevel="0" collapsed="false">
      <c r="A102" s="9" t="n">
        <v>2026</v>
      </c>
      <c r="B102" s="9" t="s">
        <v>110</v>
      </c>
      <c r="C102" s="9" t="n">
        <v>29</v>
      </c>
      <c r="D102" s="10" t="s">
        <v>235</v>
      </c>
      <c r="E102" s="11" t="s">
        <v>236</v>
      </c>
      <c r="F102" s="12"/>
      <c r="G102" s="12"/>
      <c r="H102" s="12"/>
      <c r="I102" s="12"/>
      <c r="J102" s="12"/>
      <c r="K102" s="13" t="str">
        <f aca="false">IF(AND(F102&lt;&gt;"",J102&lt;&gt;"",J102&lt;&gt;0),F102/J102*100,"")</f>
        <v/>
      </c>
      <c r="L102" s="12"/>
      <c r="M102" s="12"/>
      <c r="N102" s="12"/>
      <c r="O102" s="12"/>
      <c r="P102" s="12"/>
      <c r="Q102" s="12"/>
      <c r="R102" s="12"/>
      <c r="S102" s="12"/>
      <c r="T102" s="12"/>
      <c r="U102" s="14" t="str">
        <f aca="false">IF(AND(S102&lt;&gt;"",T102&lt;&gt;""),S102-T102,"")</f>
        <v/>
      </c>
      <c r="V102" s="13" t="str">
        <f aca="false">IF(AND(U102&lt;&gt;"",S102&lt;&gt;"",S102&lt;&gt;0),U102/S102*100,"")</f>
        <v/>
      </c>
      <c r="W102" s="14" t="str">
        <f aca="false">IF(AND(F102&lt;&gt;"",S102&lt;&gt;""),F102-S102,"")</f>
        <v/>
      </c>
      <c r="X102" s="12"/>
      <c r="Y102" s="15"/>
      <c r="Z102" s="12"/>
      <c r="AA102" s="12"/>
      <c r="AB102" s="16"/>
      <c r="AC102" s="15"/>
      <c r="AD102" s="15"/>
      <c r="AE102" s="15"/>
      <c r="AF102" s="17"/>
      <c r="AG102" s="16"/>
      <c r="AH102" s="16"/>
      <c r="AI102" s="16"/>
      <c r="AJ102" s="16"/>
      <c r="AK102" s="12"/>
      <c r="AL102" s="15"/>
      <c r="AM102" s="16"/>
      <c r="AN102" s="15"/>
    </row>
    <row r="103" customFormat="false" ht="15" hidden="false" customHeight="false" outlineLevel="0" collapsed="false">
      <c r="A103" s="18" t="n">
        <v>2026</v>
      </c>
      <c r="B103" s="18" t="s">
        <v>110</v>
      </c>
      <c r="C103" s="18" t="n">
        <v>30</v>
      </c>
      <c r="D103" s="19" t="s">
        <v>237</v>
      </c>
      <c r="E103" s="20" t="s">
        <v>238</v>
      </c>
      <c r="F103" s="12"/>
      <c r="G103" s="12"/>
      <c r="H103" s="12"/>
      <c r="I103" s="12"/>
      <c r="J103" s="12"/>
      <c r="K103" s="13" t="str">
        <f aca="false">IF(AND(F103&lt;&gt;"",J103&lt;&gt;"",J103&lt;&gt;0),F103/J103*100,"")</f>
        <v/>
      </c>
      <c r="L103" s="12"/>
      <c r="M103" s="12"/>
      <c r="N103" s="12"/>
      <c r="O103" s="12"/>
      <c r="P103" s="12"/>
      <c r="Q103" s="12"/>
      <c r="R103" s="12"/>
      <c r="S103" s="12"/>
      <c r="T103" s="12"/>
      <c r="U103" s="14" t="str">
        <f aca="false">IF(AND(S103&lt;&gt;"",T103&lt;&gt;""),S103-T103,"")</f>
        <v/>
      </c>
      <c r="V103" s="13" t="str">
        <f aca="false">IF(AND(U103&lt;&gt;"",S103&lt;&gt;"",S103&lt;&gt;0),U103/S103*100,"")</f>
        <v/>
      </c>
      <c r="W103" s="14" t="str">
        <f aca="false">IF(AND(F103&lt;&gt;"",S103&lt;&gt;""),F103-S103,"")</f>
        <v/>
      </c>
      <c r="X103" s="12"/>
      <c r="Y103" s="15"/>
      <c r="Z103" s="12"/>
      <c r="AA103" s="12"/>
      <c r="AB103" s="16"/>
      <c r="AC103" s="15"/>
      <c r="AD103" s="15"/>
      <c r="AE103" s="15"/>
      <c r="AF103" s="17"/>
      <c r="AG103" s="16"/>
      <c r="AH103" s="16"/>
      <c r="AI103" s="16"/>
      <c r="AJ103" s="16"/>
      <c r="AK103" s="12"/>
      <c r="AL103" s="15"/>
      <c r="AM103" s="16"/>
      <c r="AN103" s="15"/>
    </row>
    <row r="104" customFormat="false" ht="15" hidden="false" customHeight="false" outlineLevel="0" collapsed="false">
      <c r="A104" s="21" t="n">
        <v>2026</v>
      </c>
      <c r="B104" s="21" t="s">
        <v>110</v>
      </c>
      <c r="C104" s="21"/>
      <c r="D104" s="21" t="s">
        <v>239</v>
      </c>
      <c r="E104" s="22"/>
      <c r="F104" s="23" t="n">
        <f aca="false">IFERROR(SUM(F100:F103),"")</f>
        <v>0</v>
      </c>
      <c r="G104" s="23" t="n">
        <f aca="false">IFERROR(SUM(G100:G103),"")</f>
        <v>0</v>
      </c>
      <c r="H104" s="23" t="str">
        <f aca="false">IFERROR(LOOKUP(2,1/(H100:H103&lt;&gt;""),H100:H103),"")</f>
        <v/>
      </c>
      <c r="I104" s="23" t="str">
        <f aca="false">IFERROR(LOOKUP(2,1/(I100:I103&lt;&gt;""),I100:I103),"")</f>
        <v/>
      </c>
      <c r="J104" s="23" t="str">
        <f aca="false">IFERROR(LOOKUP(2,1/(J100:J103&lt;&gt;""),J100:J103),"")</f>
        <v/>
      </c>
      <c r="K104" s="24" t="str">
        <f aca="false">IFERROR(LOOKUP(2,1/(K100:K103&lt;&gt;""),K100:K103),"")</f>
        <v/>
      </c>
      <c r="L104" s="23" t="n">
        <f aca="false">IFERROR(SUM(L100:L103),"")</f>
        <v>0</v>
      </c>
      <c r="M104" s="23" t="n">
        <f aca="false">IFERROR(SUM(M100:M103),"")</f>
        <v>0</v>
      </c>
      <c r="N104" s="23" t="n">
        <f aca="false">IFERROR(SUM(N100:N103),"")</f>
        <v>0</v>
      </c>
      <c r="O104" s="23" t="n">
        <f aca="false">IFERROR(SUM(O100:O103),"")</f>
        <v>0</v>
      </c>
      <c r="P104" s="23" t="n">
        <f aca="false">IFERROR(SUM(P100:P103),"")</f>
        <v>0</v>
      </c>
      <c r="Q104" s="23" t="n">
        <f aca="false">IFERROR(SUM(Q100:Q103),"")</f>
        <v>0</v>
      </c>
      <c r="R104" s="23" t="n">
        <f aca="false">IFERROR(SUM(R100:R103),"")</f>
        <v>0</v>
      </c>
      <c r="S104" s="23" t="str">
        <f aca="false">IFERROR(LOOKUP(2,1/(S100:S103&lt;&gt;""),S100:S103),"")</f>
        <v/>
      </c>
      <c r="T104" s="23" t="str">
        <f aca="false">IFERROR(LOOKUP(2,1/(T100:T103&lt;&gt;""),T100:T103),"")</f>
        <v/>
      </c>
      <c r="U104" s="23" t="str">
        <f aca="false">IFERROR(LOOKUP(2,1/(U100:U103&lt;&gt;""),U100:U103),"")</f>
        <v/>
      </c>
      <c r="V104" s="24" t="str">
        <f aca="false">IFERROR(LOOKUP(2,1/(V100:V103&lt;&gt;""),V100:V103),"")</f>
        <v/>
      </c>
      <c r="W104" s="23" t="str">
        <f aca="false">IFERROR(LOOKUP(2,1/(W100:W103&lt;&gt;""),W100:W103),"")</f>
        <v/>
      </c>
      <c r="X104" s="23" t="str">
        <f aca="false">IFERROR(LOOKUP(2,1/(X100:X103&lt;&gt;""),X100:X103),"")</f>
        <v/>
      </c>
      <c r="Y104" s="25" t="str">
        <f aca="false">IFERROR(LOOKUP(2,1/(Y100:Y103&lt;&gt;""),Y100:Y103),"")</f>
        <v/>
      </c>
      <c r="Z104" s="23" t="str">
        <f aca="false">IFERROR(LOOKUP(2,1/(Z100:Z103&lt;&gt;""),Z100:Z103),"")</f>
        <v/>
      </c>
      <c r="AA104" s="23" t="str">
        <f aca="false">IFERROR(LOOKUP(2,1/(AA100:AA103&lt;&gt;""),AA100:AA103),"")</f>
        <v/>
      </c>
      <c r="AB104" s="24" t="str">
        <f aca="false">IFERROR(LOOKUP(2,1/(AB100:AB103&lt;&gt;""),AB100:AB103),"")</f>
        <v/>
      </c>
      <c r="AC104" s="25" t="n">
        <f aca="false">IFERROR(SUM(AC100:AC103),"")</f>
        <v>0</v>
      </c>
      <c r="AD104" s="25" t="n">
        <f aca="false">IFERROR(SUM(AD100:AD103),"")</f>
        <v>0</v>
      </c>
      <c r="AE104" s="25" t="str">
        <f aca="false">IFERROR(LOOKUP(2,1/(AE100:AE103&lt;&gt;""),AE100:AE103),"")</f>
        <v/>
      </c>
      <c r="AF104" s="26" t="str">
        <f aca="false">IFERROR(LOOKUP(2,1/(AF100:AF103&lt;&gt;""),AF100:AF103),"")</f>
        <v/>
      </c>
      <c r="AG104" s="24" t="str">
        <f aca="false">IFERROR(LOOKUP(2,1/(AG100:AG103&lt;&gt;""),AG100:AG103),"")</f>
        <v/>
      </c>
      <c r="AH104" s="24" t="str">
        <f aca="false">IFERROR(LOOKUP(2,1/(AH100:AH103&lt;&gt;""),AH100:AH103),"")</f>
        <v/>
      </c>
      <c r="AI104" s="24" t="str">
        <f aca="false">IFERROR(LOOKUP(2,1/(AI100:AI103&lt;&gt;""),AI100:AI103),"")</f>
        <v/>
      </c>
      <c r="AJ104" s="24" t="str">
        <f aca="false">IFERROR(LOOKUP(2,1/(AJ100:AJ103&lt;&gt;""),AJ100:AJ103),"")</f>
        <v/>
      </c>
      <c r="AK104" s="23" t="str">
        <f aca="false">IFERROR(LOOKUP(2,1/(AK100:AK103&lt;&gt;""),AK100:AK103),"")</f>
        <v/>
      </c>
      <c r="AL104" s="25" t="str">
        <f aca="false">IFERROR(LOOKUP(2,1/(AL100:AL103&lt;&gt;""),AL100:AL103),"")</f>
        <v/>
      </c>
      <c r="AM104" s="24" t="str">
        <f aca="false">IFERROR(LOOKUP(2,1/(AM100:AM103&lt;&gt;""),AM100:AM103),"")</f>
        <v/>
      </c>
      <c r="AN104" s="25" t="str">
        <f aca="false">IFERROR(LOOKUP(2,1/(AN100:AN103&lt;&gt;""),AN100:AN103),"")</f>
        <v/>
      </c>
    </row>
    <row r="105" customFormat="false" ht="15" hidden="false" customHeight="false" outlineLevel="0" collapsed="false">
      <c r="A105" s="9" t="n">
        <v>2026</v>
      </c>
      <c r="B105" s="9" t="s">
        <v>120</v>
      </c>
      <c r="C105" s="9" t="n">
        <v>31</v>
      </c>
      <c r="D105" s="10" t="s">
        <v>240</v>
      </c>
      <c r="E105" s="11" t="s">
        <v>241</v>
      </c>
      <c r="F105" s="12"/>
      <c r="G105" s="12"/>
      <c r="H105" s="12"/>
      <c r="I105" s="12"/>
      <c r="J105" s="12"/>
      <c r="K105" s="13" t="str">
        <f aca="false">IF(AND(F105&lt;&gt;"",J105&lt;&gt;"",J105&lt;&gt;0),F105/J105*100,"")</f>
        <v/>
      </c>
      <c r="L105" s="12"/>
      <c r="M105" s="12"/>
      <c r="N105" s="12"/>
      <c r="O105" s="12"/>
      <c r="P105" s="12"/>
      <c r="Q105" s="12"/>
      <c r="R105" s="12"/>
      <c r="S105" s="12"/>
      <c r="T105" s="12"/>
      <c r="U105" s="14" t="str">
        <f aca="false">IF(AND(S105&lt;&gt;"",T105&lt;&gt;""),S105-T105,"")</f>
        <v/>
      </c>
      <c r="V105" s="13" t="str">
        <f aca="false">IF(AND(U105&lt;&gt;"",S105&lt;&gt;"",S105&lt;&gt;0),U105/S105*100,"")</f>
        <v/>
      </c>
      <c r="W105" s="14" t="str">
        <f aca="false">IF(AND(F105&lt;&gt;"",S105&lt;&gt;""),F105-S105,"")</f>
        <v/>
      </c>
      <c r="X105" s="12"/>
      <c r="Y105" s="15"/>
      <c r="Z105" s="12"/>
      <c r="AA105" s="12"/>
      <c r="AB105" s="16"/>
      <c r="AC105" s="15"/>
      <c r="AD105" s="15"/>
      <c r="AE105" s="15"/>
      <c r="AF105" s="17"/>
      <c r="AG105" s="16"/>
      <c r="AH105" s="16"/>
      <c r="AI105" s="16"/>
      <c r="AJ105" s="16"/>
      <c r="AK105" s="12"/>
      <c r="AL105" s="15"/>
      <c r="AM105" s="16"/>
      <c r="AN105" s="15"/>
    </row>
    <row r="106" customFormat="false" ht="15" hidden="false" customHeight="false" outlineLevel="0" collapsed="false">
      <c r="A106" s="18" t="n">
        <v>2026</v>
      </c>
      <c r="B106" s="18" t="s">
        <v>120</v>
      </c>
      <c r="C106" s="18" t="n">
        <v>32</v>
      </c>
      <c r="D106" s="19" t="s">
        <v>242</v>
      </c>
      <c r="E106" s="20" t="s">
        <v>243</v>
      </c>
      <c r="F106" s="12"/>
      <c r="G106" s="12"/>
      <c r="H106" s="12"/>
      <c r="I106" s="12"/>
      <c r="J106" s="12"/>
      <c r="K106" s="13" t="str">
        <f aca="false">IF(AND(F106&lt;&gt;"",J106&lt;&gt;"",J106&lt;&gt;0),F106/J106*100,"")</f>
        <v/>
      </c>
      <c r="L106" s="12"/>
      <c r="M106" s="12"/>
      <c r="N106" s="12"/>
      <c r="O106" s="12"/>
      <c r="P106" s="12"/>
      <c r="Q106" s="12"/>
      <c r="R106" s="12"/>
      <c r="S106" s="12"/>
      <c r="T106" s="12"/>
      <c r="U106" s="14" t="str">
        <f aca="false">IF(AND(S106&lt;&gt;"",T106&lt;&gt;""),S106-T106,"")</f>
        <v/>
      </c>
      <c r="V106" s="13" t="str">
        <f aca="false">IF(AND(U106&lt;&gt;"",S106&lt;&gt;"",S106&lt;&gt;0),U106/S106*100,"")</f>
        <v/>
      </c>
      <c r="W106" s="14" t="str">
        <f aca="false">IF(AND(F106&lt;&gt;"",S106&lt;&gt;""),F106-S106,"")</f>
        <v/>
      </c>
      <c r="X106" s="12"/>
      <c r="Y106" s="15"/>
      <c r="Z106" s="12"/>
      <c r="AA106" s="12"/>
      <c r="AB106" s="16"/>
      <c r="AC106" s="15"/>
      <c r="AD106" s="15"/>
      <c r="AE106" s="15"/>
      <c r="AF106" s="17"/>
      <c r="AG106" s="16"/>
      <c r="AH106" s="16"/>
      <c r="AI106" s="16"/>
      <c r="AJ106" s="16"/>
      <c r="AK106" s="12"/>
      <c r="AL106" s="15"/>
      <c r="AM106" s="16"/>
      <c r="AN106" s="15"/>
    </row>
    <row r="107" customFormat="false" ht="15" hidden="false" customHeight="false" outlineLevel="0" collapsed="false">
      <c r="A107" s="9" t="n">
        <v>2026</v>
      </c>
      <c r="B107" s="9" t="s">
        <v>120</v>
      </c>
      <c r="C107" s="9" t="n">
        <v>33</v>
      </c>
      <c r="D107" s="10" t="s">
        <v>244</v>
      </c>
      <c r="E107" s="11" t="s">
        <v>245</v>
      </c>
      <c r="F107" s="12"/>
      <c r="G107" s="12"/>
      <c r="H107" s="12"/>
      <c r="I107" s="12"/>
      <c r="J107" s="12"/>
      <c r="K107" s="13" t="str">
        <f aca="false">IF(AND(F107&lt;&gt;"",J107&lt;&gt;"",J107&lt;&gt;0),F107/J107*100,"")</f>
        <v/>
      </c>
      <c r="L107" s="12"/>
      <c r="M107" s="12"/>
      <c r="N107" s="12"/>
      <c r="O107" s="12"/>
      <c r="P107" s="12"/>
      <c r="Q107" s="12"/>
      <c r="R107" s="12"/>
      <c r="S107" s="12"/>
      <c r="T107" s="12"/>
      <c r="U107" s="14" t="str">
        <f aca="false">IF(AND(S107&lt;&gt;"",T107&lt;&gt;""),S107-T107,"")</f>
        <v/>
      </c>
      <c r="V107" s="13" t="str">
        <f aca="false">IF(AND(U107&lt;&gt;"",S107&lt;&gt;"",S107&lt;&gt;0),U107/S107*100,"")</f>
        <v/>
      </c>
      <c r="W107" s="14" t="str">
        <f aca="false">IF(AND(F107&lt;&gt;"",S107&lt;&gt;""),F107-S107,"")</f>
        <v/>
      </c>
      <c r="X107" s="12"/>
      <c r="Y107" s="15"/>
      <c r="Z107" s="12"/>
      <c r="AA107" s="12"/>
      <c r="AB107" s="16"/>
      <c r="AC107" s="15"/>
      <c r="AD107" s="15"/>
      <c r="AE107" s="15"/>
      <c r="AF107" s="17"/>
      <c r="AG107" s="16"/>
      <c r="AH107" s="16"/>
      <c r="AI107" s="16"/>
      <c r="AJ107" s="16"/>
      <c r="AK107" s="12"/>
      <c r="AL107" s="15"/>
      <c r="AM107" s="16"/>
      <c r="AN107" s="15"/>
    </row>
    <row r="108" customFormat="false" ht="15" hidden="false" customHeight="false" outlineLevel="0" collapsed="false">
      <c r="A108" s="18" t="n">
        <v>2026</v>
      </c>
      <c r="B108" s="18" t="s">
        <v>120</v>
      </c>
      <c r="C108" s="18" t="n">
        <v>34</v>
      </c>
      <c r="D108" s="19" t="s">
        <v>246</v>
      </c>
      <c r="E108" s="20" t="s">
        <v>247</v>
      </c>
      <c r="F108" s="12"/>
      <c r="G108" s="12"/>
      <c r="H108" s="12"/>
      <c r="I108" s="12"/>
      <c r="J108" s="12"/>
      <c r="K108" s="13" t="str">
        <f aca="false">IF(AND(F108&lt;&gt;"",J108&lt;&gt;"",J108&lt;&gt;0),F108/J108*100,"")</f>
        <v/>
      </c>
      <c r="L108" s="12"/>
      <c r="M108" s="12"/>
      <c r="N108" s="12"/>
      <c r="O108" s="12"/>
      <c r="P108" s="12"/>
      <c r="Q108" s="12"/>
      <c r="R108" s="12"/>
      <c r="S108" s="12"/>
      <c r="T108" s="12"/>
      <c r="U108" s="14" t="str">
        <f aca="false">IF(AND(S108&lt;&gt;"",T108&lt;&gt;""),S108-T108,"")</f>
        <v/>
      </c>
      <c r="V108" s="13" t="str">
        <f aca="false">IF(AND(U108&lt;&gt;"",S108&lt;&gt;"",S108&lt;&gt;0),U108/S108*100,"")</f>
        <v/>
      </c>
      <c r="W108" s="14" t="str">
        <f aca="false">IF(AND(F108&lt;&gt;"",S108&lt;&gt;""),F108-S108,"")</f>
        <v/>
      </c>
      <c r="X108" s="12"/>
      <c r="Y108" s="15"/>
      <c r="Z108" s="12"/>
      <c r="AA108" s="12"/>
      <c r="AB108" s="16"/>
      <c r="AC108" s="15"/>
      <c r="AD108" s="15"/>
      <c r="AE108" s="15"/>
      <c r="AF108" s="17"/>
      <c r="AG108" s="16"/>
      <c r="AH108" s="16"/>
      <c r="AI108" s="16"/>
      <c r="AJ108" s="16"/>
      <c r="AK108" s="12"/>
      <c r="AL108" s="15"/>
      <c r="AM108" s="16"/>
      <c r="AN108" s="15"/>
    </row>
    <row r="109" customFormat="false" ht="15" hidden="false" customHeight="false" outlineLevel="0" collapsed="false">
      <c r="A109" s="9" t="n">
        <v>2026</v>
      </c>
      <c r="B109" s="9" t="s">
        <v>120</v>
      </c>
      <c r="C109" s="9" t="n">
        <v>35</v>
      </c>
      <c r="D109" s="10" t="s">
        <v>248</v>
      </c>
      <c r="E109" s="11" t="s">
        <v>249</v>
      </c>
      <c r="F109" s="12"/>
      <c r="G109" s="12"/>
      <c r="H109" s="12"/>
      <c r="I109" s="12"/>
      <c r="J109" s="12"/>
      <c r="K109" s="13" t="str">
        <f aca="false">IF(AND(F109&lt;&gt;"",J109&lt;&gt;"",J109&lt;&gt;0),F109/J109*100,"")</f>
        <v/>
      </c>
      <c r="L109" s="12"/>
      <c r="M109" s="12"/>
      <c r="N109" s="12"/>
      <c r="O109" s="12"/>
      <c r="P109" s="12"/>
      <c r="Q109" s="12"/>
      <c r="R109" s="12"/>
      <c r="S109" s="12"/>
      <c r="T109" s="12"/>
      <c r="U109" s="14" t="str">
        <f aca="false">IF(AND(S109&lt;&gt;"",T109&lt;&gt;""),S109-T109,"")</f>
        <v/>
      </c>
      <c r="V109" s="13" t="str">
        <f aca="false">IF(AND(U109&lt;&gt;"",S109&lt;&gt;"",S109&lt;&gt;0),U109/S109*100,"")</f>
        <v/>
      </c>
      <c r="W109" s="14" t="str">
        <f aca="false">IF(AND(F109&lt;&gt;"",S109&lt;&gt;""),F109-S109,"")</f>
        <v/>
      </c>
      <c r="X109" s="12"/>
      <c r="Y109" s="15"/>
      <c r="Z109" s="12"/>
      <c r="AA109" s="12"/>
      <c r="AB109" s="16"/>
      <c r="AC109" s="15"/>
      <c r="AD109" s="15"/>
      <c r="AE109" s="15"/>
      <c r="AF109" s="17"/>
      <c r="AG109" s="16"/>
      <c r="AH109" s="16"/>
      <c r="AI109" s="16"/>
      <c r="AJ109" s="16"/>
      <c r="AK109" s="12"/>
      <c r="AL109" s="15"/>
      <c r="AM109" s="16"/>
      <c r="AN109" s="15"/>
    </row>
    <row r="110" customFormat="false" ht="15" hidden="false" customHeight="false" outlineLevel="0" collapsed="false">
      <c r="A110" s="21" t="n">
        <v>2026</v>
      </c>
      <c r="B110" s="21" t="s">
        <v>120</v>
      </c>
      <c r="C110" s="21"/>
      <c r="D110" s="21" t="s">
        <v>250</v>
      </c>
      <c r="E110" s="22"/>
      <c r="F110" s="23" t="n">
        <f aca="false">IFERROR(SUM(F105:F109),"")</f>
        <v>0</v>
      </c>
      <c r="G110" s="23" t="n">
        <f aca="false">IFERROR(SUM(G105:G109),"")</f>
        <v>0</v>
      </c>
      <c r="H110" s="23" t="str">
        <f aca="false">IFERROR(LOOKUP(2,1/(H105:H109&lt;&gt;""),H105:H109),"")</f>
        <v/>
      </c>
      <c r="I110" s="23" t="str">
        <f aca="false">IFERROR(LOOKUP(2,1/(I105:I109&lt;&gt;""),I105:I109),"")</f>
        <v/>
      </c>
      <c r="J110" s="23" t="str">
        <f aca="false">IFERROR(LOOKUP(2,1/(J105:J109&lt;&gt;""),J105:J109),"")</f>
        <v/>
      </c>
      <c r="K110" s="24" t="str">
        <f aca="false">IFERROR(LOOKUP(2,1/(K105:K109&lt;&gt;""),K105:K109),"")</f>
        <v/>
      </c>
      <c r="L110" s="23" t="n">
        <f aca="false">IFERROR(SUM(L105:L109),"")</f>
        <v>0</v>
      </c>
      <c r="M110" s="23" t="n">
        <f aca="false">IFERROR(SUM(M105:M109),"")</f>
        <v>0</v>
      </c>
      <c r="N110" s="23" t="n">
        <f aca="false">IFERROR(SUM(N105:N109),"")</f>
        <v>0</v>
      </c>
      <c r="O110" s="23" t="n">
        <f aca="false">IFERROR(SUM(O105:O109),"")</f>
        <v>0</v>
      </c>
      <c r="P110" s="23" t="n">
        <f aca="false">IFERROR(SUM(P105:P109),"")</f>
        <v>0</v>
      </c>
      <c r="Q110" s="23" t="n">
        <f aca="false">IFERROR(SUM(Q105:Q109),"")</f>
        <v>0</v>
      </c>
      <c r="R110" s="23" t="n">
        <f aca="false">IFERROR(SUM(R105:R109),"")</f>
        <v>0</v>
      </c>
      <c r="S110" s="23" t="str">
        <f aca="false">IFERROR(LOOKUP(2,1/(S105:S109&lt;&gt;""),S105:S109),"")</f>
        <v/>
      </c>
      <c r="T110" s="23" t="str">
        <f aca="false">IFERROR(LOOKUP(2,1/(T105:T109&lt;&gt;""),T105:T109),"")</f>
        <v/>
      </c>
      <c r="U110" s="23" t="str">
        <f aca="false">IFERROR(LOOKUP(2,1/(U105:U109&lt;&gt;""),U105:U109),"")</f>
        <v/>
      </c>
      <c r="V110" s="24" t="str">
        <f aca="false">IFERROR(LOOKUP(2,1/(V105:V109&lt;&gt;""),V105:V109),"")</f>
        <v/>
      </c>
      <c r="W110" s="23" t="str">
        <f aca="false">IFERROR(LOOKUP(2,1/(W105:W109&lt;&gt;""),W105:W109),"")</f>
        <v/>
      </c>
      <c r="X110" s="23" t="str">
        <f aca="false">IFERROR(LOOKUP(2,1/(X105:X109&lt;&gt;""),X105:X109),"")</f>
        <v/>
      </c>
      <c r="Y110" s="25" t="str">
        <f aca="false">IFERROR(LOOKUP(2,1/(Y105:Y109&lt;&gt;""),Y105:Y109),"")</f>
        <v/>
      </c>
      <c r="Z110" s="23" t="str">
        <f aca="false">IFERROR(LOOKUP(2,1/(Z105:Z109&lt;&gt;""),Z105:Z109),"")</f>
        <v/>
      </c>
      <c r="AA110" s="23" t="str">
        <f aca="false">IFERROR(LOOKUP(2,1/(AA105:AA109&lt;&gt;""),AA105:AA109),"")</f>
        <v/>
      </c>
      <c r="AB110" s="24" t="str">
        <f aca="false">IFERROR(LOOKUP(2,1/(AB105:AB109&lt;&gt;""),AB105:AB109),"")</f>
        <v/>
      </c>
      <c r="AC110" s="25" t="n">
        <f aca="false">IFERROR(SUM(AC105:AC109),"")</f>
        <v>0</v>
      </c>
      <c r="AD110" s="25" t="n">
        <f aca="false">IFERROR(SUM(AD105:AD109),"")</f>
        <v>0</v>
      </c>
      <c r="AE110" s="25" t="str">
        <f aca="false">IFERROR(LOOKUP(2,1/(AE105:AE109&lt;&gt;""),AE105:AE109),"")</f>
        <v/>
      </c>
      <c r="AF110" s="26" t="str">
        <f aca="false">IFERROR(LOOKUP(2,1/(AF105:AF109&lt;&gt;""),AF105:AF109),"")</f>
        <v/>
      </c>
      <c r="AG110" s="24" t="str">
        <f aca="false">IFERROR(LOOKUP(2,1/(AG105:AG109&lt;&gt;""),AG105:AG109),"")</f>
        <v/>
      </c>
      <c r="AH110" s="24" t="str">
        <f aca="false">IFERROR(LOOKUP(2,1/(AH105:AH109&lt;&gt;""),AH105:AH109),"")</f>
        <v/>
      </c>
      <c r="AI110" s="24" t="str">
        <f aca="false">IFERROR(LOOKUP(2,1/(AI105:AI109&lt;&gt;""),AI105:AI109),"")</f>
        <v/>
      </c>
      <c r="AJ110" s="24" t="str">
        <f aca="false">IFERROR(LOOKUP(2,1/(AJ105:AJ109&lt;&gt;""),AJ105:AJ109),"")</f>
        <v/>
      </c>
      <c r="AK110" s="23" t="str">
        <f aca="false">IFERROR(LOOKUP(2,1/(AK105:AK109&lt;&gt;""),AK105:AK109),"")</f>
        <v/>
      </c>
      <c r="AL110" s="25" t="str">
        <f aca="false">IFERROR(LOOKUP(2,1/(AL105:AL109&lt;&gt;""),AL105:AL109),"")</f>
        <v/>
      </c>
      <c r="AM110" s="24" t="str">
        <f aca="false">IFERROR(LOOKUP(2,1/(AM105:AM109&lt;&gt;""),AM105:AM109),"")</f>
        <v/>
      </c>
      <c r="AN110" s="25" t="str">
        <f aca="false">IFERROR(LOOKUP(2,1/(AN105:AN109&lt;&gt;""),AN105:AN109),"")</f>
        <v/>
      </c>
    </row>
    <row r="111" customFormat="false" ht="15" hidden="false" customHeight="false" outlineLevel="0" collapsed="false">
      <c r="A111" s="18" t="n">
        <v>2026</v>
      </c>
      <c r="B111" s="18" t="s">
        <v>130</v>
      </c>
      <c r="C111" s="18" t="n">
        <v>36</v>
      </c>
      <c r="D111" s="19" t="s">
        <v>251</v>
      </c>
      <c r="E111" s="20" t="s">
        <v>252</v>
      </c>
      <c r="F111" s="12"/>
      <c r="G111" s="12"/>
      <c r="H111" s="12"/>
      <c r="I111" s="12"/>
      <c r="J111" s="12"/>
      <c r="K111" s="13" t="str">
        <f aca="false">IF(AND(F111&lt;&gt;"",J111&lt;&gt;"",J111&lt;&gt;0),F111/J111*100,"")</f>
        <v/>
      </c>
      <c r="L111" s="12"/>
      <c r="M111" s="12"/>
      <c r="N111" s="12"/>
      <c r="O111" s="12"/>
      <c r="P111" s="12"/>
      <c r="Q111" s="12"/>
      <c r="R111" s="12"/>
      <c r="S111" s="12"/>
      <c r="T111" s="12"/>
      <c r="U111" s="14" t="str">
        <f aca="false">IF(AND(S111&lt;&gt;"",T111&lt;&gt;""),S111-T111,"")</f>
        <v/>
      </c>
      <c r="V111" s="13" t="str">
        <f aca="false">IF(AND(U111&lt;&gt;"",S111&lt;&gt;"",S111&lt;&gt;0),U111/S111*100,"")</f>
        <v/>
      </c>
      <c r="W111" s="14" t="str">
        <f aca="false">IF(AND(F111&lt;&gt;"",S111&lt;&gt;""),F111-S111,"")</f>
        <v/>
      </c>
      <c r="X111" s="12"/>
      <c r="Y111" s="15"/>
      <c r="Z111" s="12"/>
      <c r="AA111" s="12"/>
      <c r="AB111" s="16"/>
      <c r="AC111" s="15"/>
      <c r="AD111" s="15"/>
      <c r="AE111" s="15"/>
      <c r="AF111" s="17"/>
      <c r="AG111" s="16"/>
      <c r="AH111" s="16"/>
      <c r="AI111" s="16"/>
      <c r="AJ111" s="16"/>
      <c r="AK111" s="12"/>
      <c r="AL111" s="15"/>
      <c r="AM111" s="16"/>
      <c r="AN111" s="15"/>
    </row>
    <row r="112" customFormat="false" ht="15" hidden="false" customHeight="false" outlineLevel="0" collapsed="false">
      <c r="A112" s="9" t="n">
        <v>2026</v>
      </c>
      <c r="B112" s="9" t="s">
        <v>130</v>
      </c>
      <c r="C112" s="9" t="n">
        <v>37</v>
      </c>
      <c r="D112" s="10" t="s">
        <v>253</v>
      </c>
      <c r="E112" s="11" t="s">
        <v>254</v>
      </c>
      <c r="F112" s="12"/>
      <c r="G112" s="12"/>
      <c r="H112" s="12"/>
      <c r="I112" s="12"/>
      <c r="J112" s="12"/>
      <c r="K112" s="13" t="str">
        <f aca="false">IF(AND(F112&lt;&gt;"",J112&lt;&gt;"",J112&lt;&gt;0),F112/J112*100,"")</f>
        <v/>
      </c>
      <c r="L112" s="12"/>
      <c r="M112" s="12"/>
      <c r="N112" s="12"/>
      <c r="O112" s="12"/>
      <c r="P112" s="12"/>
      <c r="Q112" s="12"/>
      <c r="R112" s="12"/>
      <c r="S112" s="12"/>
      <c r="T112" s="12"/>
      <c r="U112" s="14" t="str">
        <f aca="false">IF(AND(S112&lt;&gt;"",T112&lt;&gt;""),S112-T112,"")</f>
        <v/>
      </c>
      <c r="V112" s="13" t="str">
        <f aca="false">IF(AND(U112&lt;&gt;"",S112&lt;&gt;"",S112&lt;&gt;0),U112/S112*100,"")</f>
        <v/>
      </c>
      <c r="W112" s="14" t="str">
        <f aca="false">IF(AND(F112&lt;&gt;"",S112&lt;&gt;""),F112-S112,"")</f>
        <v/>
      </c>
      <c r="X112" s="12"/>
      <c r="Y112" s="15"/>
      <c r="Z112" s="12"/>
      <c r="AA112" s="12"/>
      <c r="AB112" s="16"/>
      <c r="AC112" s="15"/>
      <c r="AD112" s="15"/>
      <c r="AE112" s="15"/>
      <c r="AF112" s="17"/>
      <c r="AG112" s="16"/>
      <c r="AH112" s="16"/>
      <c r="AI112" s="16"/>
      <c r="AJ112" s="16"/>
      <c r="AK112" s="12"/>
      <c r="AL112" s="15"/>
      <c r="AM112" s="16"/>
      <c r="AN112" s="15"/>
    </row>
    <row r="113" customFormat="false" ht="15" hidden="false" customHeight="false" outlineLevel="0" collapsed="false">
      <c r="A113" s="18" t="n">
        <v>2026</v>
      </c>
      <c r="B113" s="18" t="s">
        <v>130</v>
      </c>
      <c r="C113" s="18" t="n">
        <v>38</v>
      </c>
      <c r="D113" s="19" t="s">
        <v>255</v>
      </c>
      <c r="E113" s="20" t="s">
        <v>256</v>
      </c>
      <c r="F113" s="12"/>
      <c r="G113" s="12"/>
      <c r="H113" s="12"/>
      <c r="I113" s="12"/>
      <c r="J113" s="12"/>
      <c r="K113" s="13" t="str">
        <f aca="false">IF(AND(F113&lt;&gt;"",J113&lt;&gt;"",J113&lt;&gt;0),F113/J113*100,"")</f>
        <v/>
      </c>
      <c r="L113" s="12"/>
      <c r="M113" s="12"/>
      <c r="N113" s="12"/>
      <c r="O113" s="12"/>
      <c r="P113" s="12"/>
      <c r="Q113" s="12"/>
      <c r="R113" s="12"/>
      <c r="S113" s="12"/>
      <c r="T113" s="12"/>
      <c r="U113" s="14" t="str">
        <f aca="false">IF(AND(S113&lt;&gt;"",T113&lt;&gt;""),S113-T113,"")</f>
        <v/>
      </c>
      <c r="V113" s="13" t="str">
        <f aca="false">IF(AND(U113&lt;&gt;"",S113&lt;&gt;"",S113&lt;&gt;0),U113/S113*100,"")</f>
        <v/>
      </c>
      <c r="W113" s="14" t="str">
        <f aca="false">IF(AND(F113&lt;&gt;"",S113&lt;&gt;""),F113-S113,"")</f>
        <v/>
      </c>
      <c r="X113" s="12"/>
      <c r="Y113" s="15"/>
      <c r="Z113" s="12"/>
      <c r="AA113" s="12"/>
      <c r="AB113" s="16"/>
      <c r="AC113" s="15"/>
      <c r="AD113" s="15"/>
      <c r="AE113" s="15"/>
      <c r="AF113" s="17"/>
      <c r="AG113" s="16"/>
      <c r="AH113" s="16"/>
      <c r="AI113" s="16"/>
      <c r="AJ113" s="16"/>
      <c r="AK113" s="12"/>
      <c r="AL113" s="15"/>
      <c r="AM113" s="16"/>
      <c r="AN113" s="15"/>
    </row>
    <row r="114" customFormat="false" ht="15" hidden="false" customHeight="false" outlineLevel="0" collapsed="false">
      <c r="A114" s="9" t="n">
        <v>2026</v>
      </c>
      <c r="B114" s="9" t="s">
        <v>130</v>
      </c>
      <c r="C114" s="9" t="n">
        <v>39</v>
      </c>
      <c r="D114" s="10" t="s">
        <v>257</v>
      </c>
      <c r="E114" s="11" t="s">
        <v>258</v>
      </c>
      <c r="F114" s="12"/>
      <c r="G114" s="12"/>
      <c r="H114" s="12"/>
      <c r="I114" s="12"/>
      <c r="J114" s="12"/>
      <c r="K114" s="13" t="str">
        <f aca="false">IF(AND(F114&lt;&gt;"",J114&lt;&gt;"",J114&lt;&gt;0),F114/J114*100,"")</f>
        <v/>
      </c>
      <c r="L114" s="12"/>
      <c r="M114" s="12"/>
      <c r="N114" s="12"/>
      <c r="O114" s="12"/>
      <c r="P114" s="12"/>
      <c r="Q114" s="12"/>
      <c r="R114" s="12"/>
      <c r="S114" s="12"/>
      <c r="T114" s="12"/>
      <c r="U114" s="14" t="str">
        <f aca="false">IF(AND(S114&lt;&gt;"",T114&lt;&gt;""),S114-T114,"")</f>
        <v/>
      </c>
      <c r="V114" s="13" t="str">
        <f aca="false">IF(AND(U114&lt;&gt;"",S114&lt;&gt;"",S114&lt;&gt;0),U114/S114*100,"")</f>
        <v/>
      </c>
      <c r="W114" s="14" t="str">
        <f aca="false">IF(AND(F114&lt;&gt;"",S114&lt;&gt;""),F114-S114,"")</f>
        <v/>
      </c>
      <c r="X114" s="12"/>
      <c r="Y114" s="15"/>
      <c r="Z114" s="12"/>
      <c r="AA114" s="12"/>
      <c r="AB114" s="16"/>
      <c r="AC114" s="15"/>
      <c r="AD114" s="15"/>
      <c r="AE114" s="15"/>
      <c r="AF114" s="17"/>
      <c r="AG114" s="16"/>
      <c r="AH114" s="16"/>
      <c r="AI114" s="16"/>
      <c r="AJ114" s="16"/>
      <c r="AK114" s="12"/>
      <c r="AL114" s="15"/>
      <c r="AM114" s="16"/>
      <c r="AN114" s="15"/>
    </row>
    <row r="115" customFormat="false" ht="15" hidden="false" customHeight="false" outlineLevel="0" collapsed="false">
      <c r="A115" s="21" t="n">
        <v>2026</v>
      </c>
      <c r="B115" s="21" t="s">
        <v>130</v>
      </c>
      <c r="C115" s="21"/>
      <c r="D115" s="21" t="s">
        <v>259</v>
      </c>
      <c r="E115" s="22"/>
      <c r="F115" s="23" t="n">
        <f aca="false">IFERROR(SUM(F111:F114),"")</f>
        <v>0</v>
      </c>
      <c r="G115" s="23" t="n">
        <f aca="false">IFERROR(SUM(G111:G114),"")</f>
        <v>0</v>
      </c>
      <c r="H115" s="23" t="str">
        <f aca="false">IFERROR(LOOKUP(2,1/(H111:H114&lt;&gt;""),H111:H114),"")</f>
        <v/>
      </c>
      <c r="I115" s="23" t="str">
        <f aca="false">IFERROR(LOOKUP(2,1/(I111:I114&lt;&gt;""),I111:I114),"")</f>
        <v/>
      </c>
      <c r="J115" s="23" t="str">
        <f aca="false">IFERROR(LOOKUP(2,1/(J111:J114&lt;&gt;""),J111:J114),"")</f>
        <v/>
      </c>
      <c r="K115" s="24" t="str">
        <f aca="false">IFERROR(LOOKUP(2,1/(K111:K114&lt;&gt;""),K111:K114),"")</f>
        <v/>
      </c>
      <c r="L115" s="23" t="n">
        <f aca="false">IFERROR(SUM(L111:L114),"")</f>
        <v>0</v>
      </c>
      <c r="M115" s="23" t="n">
        <f aca="false">IFERROR(SUM(M111:M114),"")</f>
        <v>0</v>
      </c>
      <c r="N115" s="23" t="n">
        <f aca="false">IFERROR(SUM(N111:N114),"")</f>
        <v>0</v>
      </c>
      <c r="O115" s="23" t="n">
        <f aca="false">IFERROR(SUM(O111:O114),"")</f>
        <v>0</v>
      </c>
      <c r="P115" s="23" t="n">
        <f aca="false">IFERROR(SUM(P111:P114),"")</f>
        <v>0</v>
      </c>
      <c r="Q115" s="23" t="n">
        <f aca="false">IFERROR(SUM(Q111:Q114),"")</f>
        <v>0</v>
      </c>
      <c r="R115" s="23" t="n">
        <f aca="false">IFERROR(SUM(R111:R114),"")</f>
        <v>0</v>
      </c>
      <c r="S115" s="23" t="str">
        <f aca="false">IFERROR(LOOKUP(2,1/(S111:S114&lt;&gt;""),S111:S114),"")</f>
        <v/>
      </c>
      <c r="T115" s="23" t="str">
        <f aca="false">IFERROR(LOOKUP(2,1/(T111:T114&lt;&gt;""),T111:T114),"")</f>
        <v/>
      </c>
      <c r="U115" s="23" t="str">
        <f aca="false">IFERROR(LOOKUP(2,1/(U111:U114&lt;&gt;""),U111:U114),"")</f>
        <v/>
      </c>
      <c r="V115" s="24" t="str">
        <f aca="false">IFERROR(LOOKUP(2,1/(V111:V114&lt;&gt;""),V111:V114),"")</f>
        <v/>
      </c>
      <c r="W115" s="23" t="str">
        <f aca="false">IFERROR(LOOKUP(2,1/(W111:W114&lt;&gt;""),W111:W114),"")</f>
        <v/>
      </c>
      <c r="X115" s="23" t="str">
        <f aca="false">IFERROR(LOOKUP(2,1/(X111:X114&lt;&gt;""),X111:X114),"")</f>
        <v/>
      </c>
      <c r="Y115" s="25" t="str">
        <f aca="false">IFERROR(LOOKUP(2,1/(Y111:Y114&lt;&gt;""),Y111:Y114),"")</f>
        <v/>
      </c>
      <c r="Z115" s="23" t="str">
        <f aca="false">IFERROR(LOOKUP(2,1/(Z111:Z114&lt;&gt;""),Z111:Z114),"")</f>
        <v/>
      </c>
      <c r="AA115" s="23" t="str">
        <f aca="false">IFERROR(LOOKUP(2,1/(AA111:AA114&lt;&gt;""),AA111:AA114),"")</f>
        <v/>
      </c>
      <c r="AB115" s="24" t="str">
        <f aca="false">IFERROR(LOOKUP(2,1/(AB111:AB114&lt;&gt;""),AB111:AB114),"")</f>
        <v/>
      </c>
      <c r="AC115" s="25" t="n">
        <f aca="false">IFERROR(SUM(AC111:AC114),"")</f>
        <v>0</v>
      </c>
      <c r="AD115" s="25" t="n">
        <f aca="false">IFERROR(SUM(AD111:AD114),"")</f>
        <v>0</v>
      </c>
      <c r="AE115" s="25" t="str">
        <f aca="false">IFERROR(LOOKUP(2,1/(AE111:AE114&lt;&gt;""),AE111:AE114),"")</f>
        <v/>
      </c>
      <c r="AF115" s="26" t="str">
        <f aca="false">IFERROR(LOOKUP(2,1/(AF111:AF114&lt;&gt;""),AF111:AF114),"")</f>
        <v/>
      </c>
      <c r="AG115" s="24" t="str">
        <f aca="false">IFERROR(LOOKUP(2,1/(AG111:AG114&lt;&gt;""),AG111:AG114),"")</f>
        <v/>
      </c>
      <c r="AH115" s="24" t="str">
        <f aca="false">IFERROR(LOOKUP(2,1/(AH111:AH114&lt;&gt;""),AH111:AH114),"")</f>
        <v/>
      </c>
      <c r="AI115" s="24" t="str">
        <f aca="false">IFERROR(LOOKUP(2,1/(AI111:AI114&lt;&gt;""),AI111:AI114),"")</f>
        <v/>
      </c>
      <c r="AJ115" s="24" t="str">
        <f aca="false">IFERROR(LOOKUP(2,1/(AJ111:AJ114&lt;&gt;""),AJ111:AJ114),"")</f>
        <v/>
      </c>
      <c r="AK115" s="23" t="str">
        <f aca="false">IFERROR(LOOKUP(2,1/(AK111:AK114&lt;&gt;""),AK111:AK114),"")</f>
        <v/>
      </c>
      <c r="AL115" s="25" t="str">
        <f aca="false">IFERROR(LOOKUP(2,1/(AL111:AL114&lt;&gt;""),AL111:AL114),"")</f>
        <v/>
      </c>
      <c r="AM115" s="24" t="str">
        <f aca="false">IFERROR(LOOKUP(2,1/(AM111:AM114&lt;&gt;""),AM111:AM114),"")</f>
        <v/>
      </c>
      <c r="AN115" s="25" t="str">
        <f aca="false">IFERROR(LOOKUP(2,1/(AN111:AN114&lt;&gt;""),AN111:AN114),"")</f>
        <v/>
      </c>
    </row>
    <row r="116" customFormat="false" ht="15" hidden="false" customHeight="false" outlineLevel="0" collapsed="false">
      <c r="A116" s="18" t="n">
        <v>2026</v>
      </c>
      <c r="B116" s="18" t="s">
        <v>142</v>
      </c>
      <c r="C116" s="18" t="n">
        <v>40</v>
      </c>
      <c r="D116" s="19" t="s">
        <v>260</v>
      </c>
      <c r="E116" s="20" t="s">
        <v>261</v>
      </c>
      <c r="F116" s="12"/>
      <c r="G116" s="12"/>
      <c r="H116" s="12"/>
      <c r="I116" s="12"/>
      <c r="J116" s="12"/>
      <c r="K116" s="13" t="str">
        <f aca="false">IF(AND(F116&lt;&gt;"",J116&lt;&gt;"",J116&lt;&gt;0),F116/J116*100,"")</f>
        <v/>
      </c>
      <c r="L116" s="12"/>
      <c r="M116" s="12"/>
      <c r="N116" s="12"/>
      <c r="O116" s="12"/>
      <c r="P116" s="12"/>
      <c r="Q116" s="12"/>
      <c r="R116" s="12"/>
      <c r="S116" s="12"/>
      <c r="T116" s="12"/>
      <c r="U116" s="14" t="str">
        <f aca="false">IF(AND(S116&lt;&gt;"",T116&lt;&gt;""),S116-T116,"")</f>
        <v/>
      </c>
      <c r="V116" s="13" t="str">
        <f aca="false">IF(AND(U116&lt;&gt;"",S116&lt;&gt;"",S116&lt;&gt;0),U116/S116*100,"")</f>
        <v/>
      </c>
      <c r="W116" s="14" t="str">
        <f aca="false">IF(AND(F116&lt;&gt;"",S116&lt;&gt;""),F116-S116,"")</f>
        <v/>
      </c>
      <c r="X116" s="12"/>
      <c r="Y116" s="15"/>
      <c r="Z116" s="12"/>
      <c r="AA116" s="12"/>
      <c r="AB116" s="16"/>
      <c r="AC116" s="15"/>
      <c r="AD116" s="15"/>
      <c r="AE116" s="15"/>
      <c r="AF116" s="17"/>
      <c r="AG116" s="16"/>
      <c r="AH116" s="16"/>
      <c r="AI116" s="16"/>
      <c r="AJ116" s="16"/>
      <c r="AK116" s="12"/>
      <c r="AL116" s="15"/>
      <c r="AM116" s="16"/>
      <c r="AN116" s="15"/>
    </row>
    <row r="117" customFormat="false" ht="15" hidden="false" customHeight="false" outlineLevel="0" collapsed="false">
      <c r="A117" s="9" t="n">
        <v>2026</v>
      </c>
      <c r="B117" s="9" t="s">
        <v>142</v>
      </c>
      <c r="C117" s="9" t="n">
        <v>41</v>
      </c>
      <c r="D117" s="10" t="s">
        <v>262</v>
      </c>
      <c r="E117" s="11" t="s">
        <v>263</v>
      </c>
      <c r="F117" s="12"/>
      <c r="G117" s="12"/>
      <c r="H117" s="12"/>
      <c r="I117" s="12"/>
      <c r="J117" s="12"/>
      <c r="K117" s="13" t="str">
        <f aca="false">IF(AND(F117&lt;&gt;"",J117&lt;&gt;"",J117&lt;&gt;0),F117/J117*100,"")</f>
        <v/>
      </c>
      <c r="L117" s="12"/>
      <c r="M117" s="12"/>
      <c r="N117" s="12"/>
      <c r="O117" s="12"/>
      <c r="P117" s="12"/>
      <c r="Q117" s="12"/>
      <c r="R117" s="12"/>
      <c r="S117" s="12"/>
      <c r="T117" s="12"/>
      <c r="U117" s="14" t="str">
        <f aca="false">IF(AND(S117&lt;&gt;"",T117&lt;&gt;""),S117-T117,"")</f>
        <v/>
      </c>
      <c r="V117" s="13" t="str">
        <f aca="false">IF(AND(U117&lt;&gt;"",S117&lt;&gt;"",S117&lt;&gt;0),U117/S117*100,"")</f>
        <v/>
      </c>
      <c r="W117" s="14" t="str">
        <f aca="false">IF(AND(F117&lt;&gt;"",S117&lt;&gt;""),F117-S117,"")</f>
        <v/>
      </c>
      <c r="X117" s="12"/>
      <c r="Y117" s="15"/>
      <c r="Z117" s="12"/>
      <c r="AA117" s="12"/>
      <c r="AB117" s="16"/>
      <c r="AC117" s="15"/>
      <c r="AD117" s="15"/>
      <c r="AE117" s="15"/>
      <c r="AF117" s="17"/>
      <c r="AG117" s="16"/>
      <c r="AH117" s="16"/>
      <c r="AI117" s="16"/>
      <c r="AJ117" s="16"/>
      <c r="AK117" s="12"/>
      <c r="AL117" s="15"/>
      <c r="AM117" s="16"/>
      <c r="AN117" s="15"/>
    </row>
    <row r="118" customFormat="false" ht="15" hidden="false" customHeight="false" outlineLevel="0" collapsed="false">
      <c r="A118" s="18" t="n">
        <v>2026</v>
      </c>
      <c r="B118" s="18" t="s">
        <v>142</v>
      </c>
      <c r="C118" s="18" t="n">
        <v>42</v>
      </c>
      <c r="D118" s="19" t="s">
        <v>264</v>
      </c>
      <c r="E118" s="20" t="s">
        <v>265</v>
      </c>
      <c r="F118" s="12"/>
      <c r="G118" s="12"/>
      <c r="H118" s="12"/>
      <c r="I118" s="12"/>
      <c r="J118" s="12"/>
      <c r="K118" s="13" t="str">
        <f aca="false">IF(AND(F118&lt;&gt;"",J118&lt;&gt;"",J118&lt;&gt;0),F118/J118*100,"")</f>
        <v/>
      </c>
      <c r="L118" s="12"/>
      <c r="M118" s="12"/>
      <c r="N118" s="12"/>
      <c r="O118" s="12"/>
      <c r="P118" s="12"/>
      <c r="Q118" s="12"/>
      <c r="R118" s="12"/>
      <c r="S118" s="12"/>
      <c r="T118" s="12"/>
      <c r="U118" s="14" t="str">
        <f aca="false">IF(AND(S118&lt;&gt;"",T118&lt;&gt;""),S118-T118,"")</f>
        <v/>
      </c>
      <c r="V118" s="13" t="str">
        <f aca="false">IF(AND(U118&lt;&gt;"",S118&lt;&gt;"",S118&lt;&gt;0),U118/S118*100,"")</f>
        <v/>
      </c>
      <c r="W118" s="14" t="str">
        <f aca="false">IF(AND(F118&lt;&gt;"",S118&lt;&gt;""),F118-S118,"")</f>
        <v/>
      </c>
      <c r="X118" s="12"/>
      <c r="Y118" s="15"/>
      <c r="Z118" s="12"/>
      <c r="AA118" s="12"/>
      <c r="AB118" s="16"/>
      <c r="AC118" s="15"/>
      <c r="AD118" s="15"/>
      <c r="AE118" s="15"/>
      <c r="AF118" s="17"/>
      <c r="AG118" s="16"/>
      <c r="AH118" s="16"/>
      <c r="AI118" s="16"/>
      <c r="AJ118" s="16"/>
      <c r="AK118" s="12"/>
      <c r="AL118" s="15"/>
      <c r="AM118" s="16"/>
      <c r="AN118" s="15"/>
    </row>
    <row r="119" customFormat="false" ht="15" hidden="false" customHeight="false" outlineLevel="0" collapsed="false">
      <c r="A119" s="9" t="n">
        <v>2026</v>
      </c>
      <c r="B119" s="9" t="s">
        <v>142</v>
      </c>
      <c r="C119" s="9" t="n">
        <v>43</v>
      </c>
      <c r="D119" s="10" t="s">
        <v>266</v>
      </c>
      <c r="E119" s="11" t="s">
        <v>267</v>
      </c>
      <c r="F119" s="12"/>
      <c r="G119" s="12"/>
      <c r="H119" s="12"/>
      <c r="I119" s="12"/>
      <c r="J119" s="12"/>
      <c r="K119" s="13" t="str">
        <f aca="false">IF(AND(F119&lt;&gt;"",J119&lt;&gt;"",J119&lt;&gt;0),F119/J119*100,"")</f>
        <v/>
      </c>
      <c r="L119" s="12"/>
      <c r="M119" s="12"/>
      <c r="N119" s="12"/>
      <c r="O119" s="12"/>
      <c r="P119" s="12"/>
      <c r="Q119" s="12"/>
      <c r="R119" s="12"/>
      <c r="S119" s="12"/>
      <c r="T119" s="12"/>
      <c r="U119" s="14" t="str">
        <f aca="false">IF(AND(S119&lt;&gt;"",T119&lt;&gt;""),S119-T119,"")</f>
        <v/>
      </c>
      <c r="V119" s="13" t="str">
        <f aca="false">IF(AND(U119&lt;&gt;"",S119&lt;&gt;"",S119&lt;&gt;0),U119/S119*100,"")</f>
        <v/>
      </c>
      <c r="W119" s="14" t="str">
        <f aca="false">IF(AND(F119&lt;&gt;"",S119&lt;&gt;""),F119-S119,"")</f>
        <v/>
      </c>
      <c r="X119" s="12"/>
      <c r="Y119" s="15"/>
      <c r="Z119" s="12"/>
      <c r="AA119" s="12"/>
      <c r="AB119" s="16"/>
      <c r="AC119" s="15"/>
      <c r="AD119" s="15"/>
      <c r="AE119" s="15"/>
      <c r="AF119" s="17"/>
      <c r="AG119" s="16"/>
      <c r="AH119" s="16"/>
      <c r="AI119" s="16"/>
      <c r="AJ119" s="16"/>
      <c r="AK119" s="12"/>
      <c r="AL119" s="15"/>
      <c r="AM119" s="16"/>
      <c r="AN119" s="15"/>
    </row>
    <row r="120" customFormat="false" ht="15" hidden="false" customHeight="false" outlineLevel="0" collapsed="false">
      <c r="A120" s="21" t="n">
        <v>2026</v>
      </c>
      <c r="B120" s="21" t="s">
        <v>142</v>
      </c>
      <c r="C120" s="21"/>
      <c r="D120" s="21" t="s">
        <v>268</v>
      </c>
      <c r="E120" s="22"/>
      <c r="F120" s="23" t="n">
        <f aca="false">IFERROR(SUM(F116:F119),"")</f>
        <v>0</v>
      </c>
      <c r="G120" s="23" t="n">
        <f aca="false">IFERROR(SUM(G116:G119),"")</f>
        <v>0</v>
      </c>
      <c r="H120" s="23" t="str">
        <f aca="false">IFERROR(LOOKUP(2,1/(H116:H119&lt;&gt;""),H116:H119),"")</f>
        <v/>
      </c>
      <c r="I120" s="23" t="str">
        <f aca="false">IFERROR(LOOKUP(2,1/(I116:I119&lt;&gt;""),I116:I119),"")</f>
        <v/>
      </c>
      <c r="J120" s="23" t="str">
        <f aca="false">IFERROR(LOOKUP(2,1/(J116:J119&lt;&gt;""),J116:J119),"")</f>
        <v/>
      </c>
      <c r="K120" s="24" t="str">
        <f aca="false">IFERROR(LOOKUP(2,1/(K116:K119&lt;&gt;""),K116:K119),"")</f>
        <v/>
      </c>
      <c r="L120" s="23" t="n">
        <f aca="false">IFERROR(SUM(L116:L119),"")</f>
        <v>0</v>
      </c>
      <c r="M120" s="23" t="n">
        <f aca="false">IFERROR(SUM(M116:M119),"")</f>
        <v>0</v>
      </c>
      <c r="N120" s="23" t="n">
        <f aca="false">IFERROR(SUM(N116:N119),"")</f>
        <v>0</v>
      </c>
      <c r="O120" s="23" t="n">
        <f aca="false">IFERROR(SUM(O116:O119),"")</f>
        <v>0</v>
      </c>
      <c r="P120" s="23" t="n">
        <f aca="false">IFERROR(SUM(P116:P119),"")</f>
        <v>0</v>
      </c>
      <c r="Q120" s="23" t="n">
        <f aca="false">IFERROR(SUM(Q116:Q119),"")</f>
        <v>0</v>
      </c>
      <c r="R120" s="23" t="n">
        <f aca="false">IFERROR(SUM(R116:R119),"")</f>
        <v>0</v>
      </c>
      <c r="S120" s="23" t="str">
        <f aca="false">IFERROR(LOOKUP(2,1/(S116:S119&lt;&gt;""),S116:S119),"")</f>
        <v/>
      </c>
      <c r="T120" s="23" t="str">
        <f aca="false">IFERROR(LOOKUP(2,1/(T116:T119&lt;&gt;""),T116:T119),"")</f>
        <v/>
      </c>
      <c r="U120" s="23" t="str">
        <f aca="false">IFERROR(LOOKUP(2,1/(U116:U119&lt;&gt;""),U116:U119),"")</f>
        <v/>
      </c>
      <c r="V120" s="24" t="str">
        <f aca="false">IFERROR(LOOKUP(2,1/(V116:V119&lt;&gt;""),V116:V119),"")</f>
        <v/>
      </c>
      <c r="W120" s="23" t="str">
        <f aca="false">IFERROR(LOOKUP(2,1/(W116:W119&lt;&gt;""),W116:W119),"")</f>
        <v/>
      </c>
      <c r="X120" s="23" t="str">
        <f aca="false">IFERROR(LOOKUP(2,1/(X116:X119&lt;&gt;""),X116:X119),"")</f>
        <v/>
      </c>
      <c r="Y120" s="25" t="str">
        <f aca="false">IFERROR(LOOKUP(2,1/(Y116:Y119&lt;&gt;""),Y116:Y119),"")</f>
        <v/>
      </c>
      <c r="Z120" s="23" t="str">
        <f aca="false">IFERROR(LOOKUP(2,1/(Z116:Z119&lt;&gt;""),Z116:Z119),"")</f>
        <v/>
      </c>
      <c r="AA120" s="23" t="str">
        <f aca="false">IFERROR(LOOKUP(2,1/(AA116:AA119&lt;&gt;""),AA116:AA119),"")</f>
        <v/>
      </c>
      <c r="AB120" s="24" t="str">
        <f aca="false">IFERROR(LOOKUP(2,1/(AB116:AB119&lt;&gt;""),AB116:AB119),"")</f>
        <v/>
      </c>
      <c r="AC120" s="25" t="n">
        <f aca="false">IFERROR(SUM(AC116:AC119),"")</f>
        <v>0</v>
      </c>
      <c r="AD120" s="25" t="n">
        <f aca="false">IFERROR(SUM(AD116:AD119),"")</f>
        <v>0</v>
      </c>
      <c r="AE120" s="25" t="str">
        <f aca="false">IFERROR(LOOKUP(2,1/(AE116:AE119&lt;&gt;""),AE116:AE119),"")</f>
        <v/>
      </c>
      <c r="AF120" s="26" t="str">
        <f aca="false">IFERROR(LOOKUP(2,1/(AF116:AF119&lt;&gt;""),AF116:AF119),"")</f>
        <v/>
      </c>
      <c r="AG120" s="24" t="str">
        <f aca="false">IFERROR(LOOKUP(2,1/(AG116:AG119&lt;&gt;""),AG116:AG119),"")</f>
        <v/>
      </c>
      <c r="AH120" s="24" t="str">
        <f aca="false">IFERROR(LOOKUP(2,1/(AH116:AH119&lt;&gt;""),AH116:AH119),"")</f>
        <v/>
      </c>
      <c r="AI120" s="24" t="str">
        <f aca="false">IFERROR(LOOKUP(2,1/(AI116:AI119&lt;&gt;""),AI116:AI119),"")</f>
        <v/>
      </c>
      <c r="AJ120" s="24" t="str">
        <f aca="false">IFERROR(LOOKUP(2,1/(AJ116:AJ119&lt;&gt;""),AJ116:AJ119),"")</f>
        <v/>
      </c>
      <c r="AK120" s="23" t="str">
        <f aca="false">IFERROR(LOOKUP(2,1/(AK116:AK119&lt;&gt;""),AK116:AK119),"")</f>
        <v/>
      </c>
      <c r="AL120" s="25" t="str">
        <f aca="false">IFERROR(LOOKUP(2,1/(AL116:AL119&lt;&gt;""),AL116:AL119),"")</f>
        <v/>
      </c>
      <c r="AM120" s="24" t="str">
        <f aca="false">IFERROR(LOOKUP(2,1/(AM116:AM119&lt;&gt;""),AM116:AM119),"")</f>
        <v/>
      </c>
      <c r="AN120" s="25" t="str">
        <f aca="false">IFERROR(LOOKUP(2,1/(AN116:AN119&lt;&gt;""),AN116:AN119),"")</f>
        <v/>
      </c>
    </row>
    <row r="121" customFormat="false" ht="15" hidden="false" customHeight="false" outlineLevel="0" collapsed="false">
      <c r="A121" s="18" t="n">
        <v>2026</v>
      </c>
      <c r="B121" s="18" t="s">
        <v>152</v>
      </c>
      <c r="C121" s="18" t="n">
        <v>44</v>
      </c>
      <c r="D121" s="19" t="s">
        <v>269</v>
      </c>
      <c r="E121" s="20" t="s">
        <v>270</v>
      </c>
      <c r="F121" s="12"/>
      <c r="G121" s="12"/>
      <c r="H121" s="12"/>
      <c r="I121" s="12"/>
      <c r="J121" s="12"/>
      <c r="K121" s="13" t="str">
        <f aca="false">IF(AND(F121&lt;&gt;"",J121&lt;&gt;"",J121&lt;&gt;0),F121/J121*100,"")</f>
        <v/>
      </c>
      <c r="L121" s="12"/>
      <c r="M121" s="12"/>
      <c r="N121" s="12"/>
      <c r="O121" s="12"/>
      <c r="P121" s="12"/>
      <c r="Q121" s="12"/>
      <c r="R121" s="12"/>
      <c r="S121" s="12"/>
      <c r="T121" s="12"/>
      <c r="U121" s="14" t="str">
        <f aca="false">IF(AND(S121&lt;&gt;"",T121&lt;&gt;""),S121-T121,"")</f>
        <v/>
      </c>
      <c r="V121" s="13" t="str">
        <f aca="false">IF(AND(U121&lt;&gt;"",S121&lt;&gt;"",S121&lt;&gt;0),U121/S121*100,"")</f>
        <v/>
      </c>
      <c r="W121" s="14" t="str">
        <f aca="false">IF(AND(F121&lt;&gt;"",S121&lt;&gt;""),F121-S121,"")</f>
        <v/>
      </c>
      <c r="X121" s="12"/>
      <c r="Y121" s="15"/>
      <c r="Z121" s="12"/>
      <c r="AA121" s="12"/>
      <c r="AB121" s="16"/>
      <c r="AC121" s="15"/>
      <c r="AD121" s="15"/>
      <c r="AE121" s="15"/>
      <c r="AF121" s="17"/>
      <c r="AG121" s="16"/>
      <c r="AH121" s="16"/>
      <c r="AI121" s="16"/>
      <c r="AJ121" s="16"/>
      <c r="AK121" s="12"/>
      <c r="AL121" s="15"/>
      <c r="AM121" s="16"/>
      <c r="AN121" s="15"/>
    </row>
    <row r="122" customFormat="false" ht="15" hidden="false" customHeight="false" outlineLevel="0" collapsed="false">
      <c r="A122" s="9" t="n">
        <v>2026</v>
      </c>
      <c r="B122" s="9" t="s">
        <v>152</v>
      </c>
      <c r="C122" s="9" t="n">
        <v>45</v>
      </c>
      <c r="D122" s="10" t="s">
        <v>271</v>
      </c>
      <c r="E122" s="11" t="s">
        <v>272</v>
      </c>
      <c r="F122" s="12"/>
      <c r="G122" s="12"/>
      <c r="H122" s="12"/>
      <c r="I122" s="12"/>
      <c r="J122" s="12"/>
      <c r="K122" s="13" t="str">
        <f aca="false">IF(AND(F122&lt;&gt;"",J122&lt;&gt;"",J122&lt;&gt;0),F122/J122*100,"")</f>
        <v/>
      </c>
      <c r="L122" s="12"/>
      <c r="M122" s="12"/>
      <c r="N122" s="12"/>
      <c r="O122" s="12"/>
      <c r="P122" s="12"/>
      <c r="Q122" s="12"/>
      <c r="R122" s="12"/>
      <c r="S122" s="12"/>
      <c r="T122" s="12"/>
      <c r="U122" s="14" t="str">
        <f aca="false">IF(AND(S122&lt;&gt;"",T122&lt;&gt;""),S122-T122,"")</f>
        <v/>
      </c>
      <c r="V122" s="13" t="str">
        <f aca="false">IF(AND(U122&lt;&gt;"",S122&lt;&gt;"",S122&lt;&gt;0),U122/S122*100,"")</f>
        <v/>
      </c>
      <c r="W122" s="14" t="str">
        <f aca="false">IF(AND(F122&lt;&gt;"",S122&lt;&gt;""),F122-S122,"")</f>
        <v/>
      </c>
      <c r="X122" s="12"/>
      <c r="Y122" s="15"/>
      <c r="Z122" s="12"/>
      <c r="AA122" s="12"/>
      <c r="AB122" s="16"/>
      <c r="AC122" s="15"/>
      <c r="AD122" s="15"/>
      <c r="AE122" s="15"/>
      <c r="AF122" s="17"/>
      <c r="AG122" s="16"/>
      <c r="AH122" s="16"/>
      <c r="AI122" s="16"/>
      <c r="AJ122" s="16"/>
      <c r="AK122" s="12"/>
      <c r="AL122" s="15"/>
      <c r="AM122" s="16"/>
      <c r="AN122" s="15"/>
    </row>
    <row r="123" customFormat="false" ht="15" hidden="false" customHeight="false" outlineLevel="0" collapsed="false">
      <c r="A123" s="18" t="n">
        <v>2026</v>
      </c>
      <c r="B123" s="18" t="s">
        <v>152</v>
      </c>
      <c r="C123" s="18" t="n">
        <v>46</v>
      </c>
      <c r="D123" s="19" t="s">
        <v>273</v>
      </c>
      <c r="E123" s="20" t="s">
        <v>274</v>
      </c>
      <c r="F123" s="12"/>
      <c r="G123" s="12"/>
      <c r="H123" s="12"/>
      <c r="I123" s="12"/>
      <c r="J123" s="12"/>
      <c r="K123" s="13" t="str">
        <f aca="false">IF(AND(F123&lt;&gt;"",J123&lt;&gt;"",J123&lt;&gt;0),F123/J123*100,"")</f>
        <v/>
      </c>
      <c r="L123" s="12"/>
      <c r="M123" s="12"/>
      <c r="N123" s="12"/>
      <c r="O123" s="12"/>
      <c r="P123" s="12"/>
      <c r="Q123" s="12"/>
      <c r="R123" s="12"/>
      <c r="S123" s="12"/>
      <c r="T123" s="12"/>
      <c r="U123" s="14" t="str">
        <f aca="false">IF(AND(S123&lt;&gt;"",T123&lt;&gt;""),S123-T123,"")</f>
        <v/>
      </c>
      <c r="V123" s="13" t="str">
        <f aca="false">IF(AND(U123&lt;&gt;"",S123&lt;&gt;"",S123&lt;&gt;0),U123/S123*100,"")</f>
        <v/>
      </c>
      <c r="W123" s="14" t="str">
        <f aca="false">IF(AND(F123&lt;&gt;"",S123&lt;&gt;""),F123-S123,"")</f>
        <v/>
      </c>
      <c r="X123" s="12"/>
      <c r="Y123" s="15"/>
      <c r="Z123" s="12"/>
      <c r="AA123" s="12"/>
      <c r="AB123" s="16"/>
      <c r="AC123" s="15"/>
      <c r="AD123" s="15"/>
      <c r="AE123" s="15"/>
      <c r="AF123" s="17"/>
      <c r="AG123" s="16"/>
      <c r="AH123" s="16"/>
      <c r="AI123" s="16"/>
      <c r="AJ123" s="16"/>
      <c r="AK123" s="12"/>
      <c r="AL123" s="15"/>
      <c r="AM123" s="16"/>
      <c r="AN123" s="15"/>
    </row>
    <row r="124" customFormat="false" ht="15" hidden="false" customHeight="false" outlineLevel="0" collapsed="false">
      <c r="A124" s="9" t="n">
        <v>2026</v>
      </c>
      <c r="B124" s="9" t="s">
        <v>152</v>
      </c>
      <c r="C124" s="9" t="n">
        <v>47</v>
      </c>
      <c r="D124" s="10" t="s">
        <v>275</v>
      </c>
      <c r="E124" s="11" t="s">
        <v>276</v>
      </c>
      <c r="F124" s="12"/>
      <c r="G124" s="12"/>
      <c r="H124" s="12"/>
      <c r="I124" s="12"/>
      <c r="J124" s="12"/>
      <c r="K124" s="13" t="str">
        <f aca="false">IF(AND(F124&lt;&gt;"",J124&lt;&gt;"",J124&lt;&gt;0),F124/J124*100,"")</f>
        <v/>
      </c>
      <c r="L124" s="12"/>
      <c r="M124" s="12"/>
      <c r="N124" s="12"/>
      <c r="O124" s="12"/>
      <c r="P124" s="12"/>
      <c r="Q124" s="12"/>
      <c r="R124" s="12"/>
      <c r="S124" s="12"/>
      <c r="T124" s="12"/>
      <c r="U124" s="14" t="str">
        <f aca="false">IF(AND(S124&lt;&gt;"",T124&lt;&gt;""),S124-T124,"")</f>
        <v/>
      </c>
      <c r="V124" s="13" t="str">
        <f aca="false">IF(AND(U124&lt;&gt;"",S124&lt;&gt;"",S124&lt;&gt;0),U124/S124*100,"")</f>
        <v/>
      </c>
      <c r="W124" s="14" t="str">
        <f aca="false">IF(AND(F124&lt;&gt;"",S124&lt;&gt;""),F124-S124,"")</f>
        <v/>
      </c>
      <c r="X124" s="12"/>
      <c r="Y124" s="15"/>
      <c r="Z124" s="12"/>
      <c r="AA124" s="12"/>
      <c r="AB124" s="16"/>
      <c r="AC124" s="15"/>
      <c r="AD124" s="15"/>
      <c r="AE124" s="15"/>
      <c r="AF124" s="17"/>
      <c r="AG124" s="16"/>
      <c r="AH124" s="16"/>
      <c r="AI124" s="16"/>
      <c r="AJ124" s="16"/>
      <c r="AK124" s="12"/>
      <c r="AL124" s="15"/>
      <c r="AM124" s="16"/>
      <c r="AN124" s="15"/>
    </row>
    <row r="125" customFormat="false" ht="15" hidden="false" customHeight="false" outlineLevel="0" collapsed="false">
      <c r="A125" s="18" t="n">
        <v>2026</v>
      </c>
      <c r="B125" s="18" t="s">
        <v>152</v>
      </c>
      <c r="C125" s="18" t="n">
        <v>48</v>
      </c>
      <c r="D125" s="19" t="s">
        <v>277</v>
      </c>
      <c r="E125" s="20" t="s">
        <v>278</v>
      </c>
      <c r="F125" s="12"/>
      <c r="G125" s="12"/>
      <c r="H125" s="12"/>
      <c r="I125" s="12"/>
      <c r="J125" s="12"/>
      <c r="K125" s="13" t="str">
        <f aca="false">IF(AND(F125&lt;&gt;"",J125&lt;&gt;"",J125&lt;&gt;0),F125/J125*100,"")</f>
        <v/>
      </c>
      <c r="L125" s="12"/>
      <c r="M125" s="12"/>
      <c r="N125" s="12"/>
      <c r="O125" s="12"/>
      <c r="P125" s="12"/>
      <c r="Q125" s="12"/>
      <c r="R125" s="12"/>
      <c r="S125" s="12"/>
      <c r="T125" s="12"/>
      <c r="U125" s="14" t="str">
        <f aca="false">IF(AND(S125&lt;&gt;"",T125&lt;&gt;""),S125-T125,"")</f>
        <v/>
      </c>
      <c r="V125" s="13" t="str">
        <f aca="false">IF(AND(U125&lt;&gt;"",S125&lt;&gt;"",S125&lt;&gt;0),U125/S125*100,"")</f>
        <v/>
      </c>
      <c r="W125" s="14" t="str">
        <f aca="false">IF(AND(F125&lt;&gt;"",S125&lt;&gt;""),F125-S125,"")</f>
        <v/>
      </c>
      <c r="X125" s="12"/>
      <c r="Y125" s="15"/>
      <c r="Z125" s="12"/>
      <c r="AA125" s="12"/>
      <c r="AB125" s="16"/>
      <c r="AC125" s="15"/>
      <c r="AD125" s="15"/>
      <c r="AE125" s="15"/>
      <c r="AF125" s="17"/>
      <c r="AG125" s="16"/>
      <c r="AH125" s="16"/>
      <c r="AI125" s="16"/>
      <c r="AJ125" s="16"/>
      <c r="AK125" s="12"/>
      <c r="AL125" s="15"/>
      <c r="AM125" s="16"/>
      <c r="AN125" s="15"/>
    </row>
    <row r="126" customFormat="false" ht="15" hidden="false" customHeight="false" outlineLevel="0" collapsed="false">
      <c r="A126" s="21" t="n">
        <v>2026</v>
      </c>
      <c r="B126" s="21" t="s">
        <v>152</v>
      </c>
      <c r="C126" s="21"/>
      <c r="D126" s="21" t="s">
        <v>279</v>
      </c>
      <c r="E126" s="22"/>
      <c r="F126" s="23" t="n">
        <f aca="false">IFERROR(SUM(F121:F125),"")</f>
        <v>0</v>
      </c>
      <c r="G126" s="23" t="n">
        <f aca="false">IFERROR(SUM(G121:G125),"")</f>
        <v>0</v>
      </c>
      <c r="H126" s="23" t="str">
        <f aca="false">IFERROR(LOOKUP(2,1/(H121:H125&lt;&gt;""),H121:H125),"")</f>
        <v/>
      </c>
      <c r="I126" s="23" t="str">
        <f aca="false">IFERROR(LOOKUP(2,1/(I121:I125&lt;&gt;""),I121:I125),"")</f>
        <v/>
      </c>
      <c r="J126" s="23" t="str">
        <f aca="false">IFERROR(LOOKUP(2,1/(J121:J125&lt;&gt;""),J121:J125),"")</f>
        <v/>
      </c>
      <c r="K126" s="24" t="str">
        <f aca="false">IFERROR(LOOKUP(2,1/(K121:K125&lt;&gt;""),K121:K125),"")</f>
        <v/>
      </c>
      <c r="L126" s="23" t="n">
        <f aca="false">IFERROR(SUM(L121:L125),"")</f>
        <v>0</v>
      </c>
      <c r="M126" s="23" t="n">
        <f aca="false">IFERROR(SUM(M121:M125),"")</f>
        <v>0</v>
      </c>
      <c r="N126" s="23" t="n">
        <f aca="false">IFERROR(SUM(N121:N125),"")</f>
        <v>0</v>
      </c>
      <c r="O126" s="23" t="n">
        <f aca="false">IFERROR(SUM(O121:O125),"")</f>
        <v>0</v>
      </c>
      <c r="P126" s="23" t="n">
        <f aca="false">IFERROR(SUM(P121:P125),"")</f>
        <v>0</v>
      </c>
      <c r="Q126" s="23" t="n">
        <f aca="false">IFERROR(SUM(Q121:Q125),"")</f>
        <v>0</v>
      </c>
      <c r="R126" s="23" t="n">
        <f aca="false">IFERROR(SUM(R121:R125),"")</f>
        <v>0</v>
      </c>
      <c r="S126" s="23" t="str">
        <f aca="false">IFERROR(LOOKUP(2,1/(S121:S125&lt;&gt;""),S121:S125),"")</f>
        <v/>
      </c>
      <c r="T126" s="23" t="str">
        <f aca="false">IFERROR(LOOKUP(2,1/(T121:T125&lt;&gt;""),T121:T125),"")</f>
        <v/>
      </c>
      <c r="U126" s="23" t="str">
        <f aca="false">IFERROR(LOOKUP(2,1/(U121:U125&lt;&gt;""),U121:U125),"")</f>
        <v/>
      </c>
      <c r="V126" s="24" t="str">
        <f aca="false">IFERROR(LOOKUP(2,1/(V121:V125&lt;&gt;""),V121:V125),"")</f>
        <v/>
      </c>
      <c r="W126" s="23" t="str">
        <f aca="false">IFERROR(LOOKUP(2,1/(W121:W125&lt;&gt;""),W121:W125),"")</f>
        <v/>
      </c>
      <c r="X126" s="23" t="str">
        <f aca="false">IFERROR(LOOKUP(2,1/(X121:X125&lt;&gt;""),X121:X125),"")</f>
        <v/>
      </c>
      <c r="Y126" s="25" t="str">
        <f aca="false">IFERROR(LOOKUP(2,1/(Y121:Y125&lt;&gt;""),Y121:Y125),"")</f>
        <v/>
      </c>
      <c r="Z126" s="23" t="str">
        <f aca="false">IFERROR(LOOKUP(2,1/(Z121:Z125&lt;&gt;""),Z121:Z125),"")</f>
        <v/>
      </c>
      <c r="AA126" s="23" t="str">
        <f aca="false">IFERROR(LOOKUP(2,1/(AA121:AA125&lt;&gt;""),AA121:AA125),"")</f>
        <v/>
      </c>
      <c r="AB126" s="24" t="str">
        <f aca="false">IFERROR(LOOKUP(2,1/(AB121:AB125&lt;&gt;""),AB121:AB125),"")</f>
        <v/>
      </c>
      <c r="AC126" s="25" t="n">
        <f aca="false">IFERROR(SUM(AC121:AC125),"")</f>
        <v>0</v>
      </c>
      <c r="AD126" s="25" t="n">
        <f aca="false">IFERROR(SUM(AD121:AD125),"")</f>
        <v>0</v>
      </c>
      <c r="AE126" s="25" t="str">
        <f aca="false">IFERROR(LOOKUP(2,1/(AE121:AE125&lt;&gt;""),AE121:AE125),"")</f>
        <v/>
      </c>
      <c r="AF126" s="26" t="str">
        <f aca="false">IFERROR(LOOKUP(2,1/(AF121:AF125&lt;&gt;""),AF121:AF125),"")</f>
        <v/>
      </c>
      <c r="AG126" s="24" t="str">
        <f aca="false">IFERROR(LOOKUP(2,1/(AG121:AG125&lt;&gt;""),AG121:AG125),"")</f>
        <v/>
      </c>
      <c r="AH126" s="24" t="str">
        <f aca="false">IFERROR(LOOKUP(2,1/(AH121:AH125&lt;&gt;""),AH121:AH125),"")</f>
        <v/>
      </c>
      <c r="AI126" s="24" t="str">
        <f aca="false">IFERROR(LOOKUP(2,1/(AI121:AI125&lt;&gt;""),AI121:AI125),"")</f>
        <v/>
      </c>
      <c r="AJ126" s="24" t="str">
        <f aca="false">IFERROR(LOOKUP(2,1/(AJ121:AJ125&lt;&gt;""),AJ121:AJ125),"")</f>
        <v/>
      </c>
      <c r="AK126" s="23" t="str">
        <f aca="false">IFERROR(LOOKUP(2,1/(AK121:AK125&lt;&gt;""),AK121:AK125),"")</f>
        <v/>
      </c>
      <c r="AL126" s="25" t="str">
        <f aca="false">IFERROR(LOOKUP(2,1/(AL121:AL125&lt;&gt;""),AL121:AL125),"")</f>
        <v/>
      </c>
      <c r="AM126" s="24" t="str">
        <f aca="false">IFERROR(LOOKUP(2,1/(AM121:AM125&lt;&gt;""),AM121:AM125),"")</f>
        <v/>
      </c>
      <c r="AN126" s="25" t="str">
        <f aca="false">IFERROR(LOOKUP(2,1/(AN121:AN125&lt;&gt;""),AN121:AN125),"")</f>
        <v/>
      </c>
    </row>
    <row r="127" customFormat="false" ht="15" hidden="false" customHeight="false" outlineLevel="0" collapsed="false">
      <c r="A127" s="9" t="n">
        <v>2026</v>
      </c>
      <c r="B127" s="9" t="s">
        <v>162</v>
      </c>
      <c r="C127" s="9" t="n">
        <v>49</v>
      </c>
      <c r="D127" s="10" t="s">
        <v>280</v>
      </c>
      <c r="E127" s="11" t="s">
        <v>281</v>
      </c>
      <c r="F127" s="12"/>
      <c r="G127" s="12"/>
      <c r="H127" s="12"/>
      <c r="I127" s="12"/>
      <c r="J127" s="12"/>
      <c r="K127" s="13" t="str">
        <f aca="false">IF(AND(F127&lt;&gt;"",J127&lt;&gt;"",J127&lt;&gt;0),F127/J127*100,"")</f>
        <v/>
      </c>
      <c r="L127" s="12"/>
      <c r="M127" s="12"/>
      <c r="N127" s="12"/>
      <c r="O127" s="12"/>
      <c r="P127" s="12"/>
      <c r="Q127" s="12"/>
      <c r="R127" s="12"/>
      <c r="S127" s="12"/>
      <c r="T127" s="12"/>
      <c r="U127" s="14" t="str">
        <f aca="false">IF(AND(S127&lt;&gt;"",T127&lt;&gt;""),S127-T127,"")</f>
        <v/>
      </c>
      <c r="V127" s="13" t="str">
        <f aca="false">IF(AND(U127&lt;&gt;"",S127&lt;&gt;"",S127&lt;&gt;0),U127/S127*100,"")</f>
        <v/>
      </c>
      <c r="W127" s="14" t="str">
        <f aca="false">IF(AND(F127&lt;&gt;"",S127&lt;&gt;""),F127-S127,"")</f>
        <v/>
      </c>
      <c r="X127" s="12"/>
      <c r="Y127" s="15"/>
      <c r="Z127" s="12"/>
      <c r="AA127" s="12"/>
      <c r="AB127" s="16"/>
      <c r="AC127" s="15"/>
      <c r="AD127" s="15"/>
      <c r="AE127" s="15"/>
      <c r="AF127" s="17"/>
      <c r="AG127" s="16"/>
      <c r="AH127" s="16"/>
      <c r="AI127" s="16"/>
      <c r="AJ127" s="16"/>
      <c r="AK127" s="12"/>
      <c r="AL127" s="15"/>
      <c r="AM127" s="16"/>
      <c r="AN127" s="15"/>
    </row>
    <row r="128" customFormat="false" ht="15" hidden="false" customHeight="false" outlineLevel="0" collapsed="false">
      <c r="A128" s="18" t="n">
        <v>2026</v>
      </c>
      <c r="B128" s="18" t="s">
        <v>162</v>
      </c>
      <c r="C128" s="18" t="n">
        <v>50</v>
      </c>
      <c r="D128" s="19" t="s">
        <v>282</v>
      </c>
      <c r="E128" s="20" t="s">
        <v>283</v>
      </c>
      <c r="F128" s="12"/>
      <c r="G128" s="12"/>
      <c r="H128" s="12"/>
      <c r="I128" s="12"/>
      <c r="J128" s="12"/>
      <c r="K128" s="13" t="str">
        <f aca="false">IF(AND(F128&lt;&gt;"",J128&lt;&gt;"",J128&lt;&gt;0),F128/J128*100,"")</f>
        <v/>
      </c>
      <c r="L128" s="12"/>
      <c r="M128" s="12"/>
      <c r="N128" s="12"/>
      <c r="O128" s="12"/>
      <c r="P128" s="12"/>
      <c r="Q128" s="12"/>
      <c r="R128" s="12"/>
      <c r="S128" s="12"/>
      <c r="T128" s="12"/>
      <c r="U128" s="14" t="str">
        <f aca="false">IF(AND(S128&lt;&gt;"",T128&lt;&gt;""),S128-T128,"")</f>
        <v/>
      </c>
      <c r="V128" s="13" t="str">
        <f aca="false">IF(AND(U128&lt;&gt;"",S128&lt;&gt;"",S128&lt;&gt;0),U128/S128*100,"")</f>
        <v/>
      </c>
      <c r="W128" s="14" t="str">
        <f aca="false">IF(AND(F128&lt;&gt;"",S128&lt;&gt;""),F128-S128,"")</f>
        <v/>
      </c>
      <c r="X128" s="12"/>
      <c r="Y128" s="15"/>
      <c r="Z128" s="12"/>
      <c r="AA128" s="12"/>
      <c r="AB128" s="16"/>
      <c r="AC128" s="15"/>
      <c r="AD128" s="15"/>
      <c r="AE128" s="15"/>
      <c r="AF128" s="17"/>
      <c r="AG128" s="16"/>
      <c r="AH128" s="16"/>
      <c r="AI128" s="16"/>
      <c r="AJ128" s="16"/>
      <c r="AK128" s="12"/>
      <c r="AL128" s="15"/>
      <c r="AM128" s="16"/>
      <c r="AN128" s="15"/>
    </row>
    <row r="129" customFormat="false" ht="15" hidden="false" customHeight="false" outlineLevel="0" collapsed="false">
      <c r="A129" s="9" t="n">
        <v>2026</v>
      </c>
      <c r="B129" s="9" t="s">
        <v>162</v>
      </c>
      <c r="C129" s="9" t="n">
        <v>51</v>
      </c>
      <c r="D129" s="10" t="s">
        <v>284</v>
      </c>
      <c r="E129" s="11" t="s">
        <v>285</v>
      </c>
      <c r="F129" s="12"/>
      <c r="G129" s="12"/>
      <c r="H129" s="12"/>
      <c r="I129" s="12"/>
      <c r="J129" s="12"/>
      <c r="K129" s="13" t="str">
        <f aca="false">IF(AND(F129&lt;&gt;"",J129&lt;&gt;"",J129&lt;&gt;0),F129/J129*100,"")</f>
        <v/>
      </c>
      <c r="L129" s="12"/>
      <c r="M129" s="12"/>
      <c r="N129" s="12"/>
      <c r="O129" s="12"/>
      <c r="P129" s="12"/>
      <c r="Q129" s="12"/>
      <c r="R129" s="12"/>
      <c r="S129" s="12"/>
      <c r="T129" s="12"/>
      <c r="U129" s="14" t="str">
        <f aca="false">IF(AND(S129&lt;&gt;"",T129&lt;&gt;""),S129-T129,"")</f>
        <v/>
      </c>
      <c r="V129" s="13" t="str">
        <f aca="false">IF(AND(U129&lt;&gt;"",S129&lt;&gt;"",S129&lt;&gt;0),U129/S129*100,"")</f>
        <v/>
      </c>
      <c r="W129" s="14" t="str">
        <f aca="false">IF(AND(F129&lt;&gt;"",S129&lt;&gt;""),F129-S129,"")</f>
        <v/>
      </c>
      <c r="X129" s="12"/>
      <c r="Y129" s="15"/>
      <c r="Z129" s="12"/>
      <c r="AA129" s="12"/>
      <c r="AB129" s="16"/>
      <c r="AC129" s="15"/>
      <c r="AD129" s="15"/>
      <c r="AE129" s="15"/>
      <c r="AF129" s="17"/>
      <c r="AG129" s="16"/>
      <c r="AH129" s="16"/>
      <c r="AI129" s="16"/>
      <c r="AJ129" s="16"/>
      <c r="AK129" s="12"/>
      <c r="AL129" s="15"/>
      <c r="AM129" s="16"/>
      <c r="AN129" s="15"/>
    </row>
    <row r="130" customFormat="false" ht="15" hidden="false" customHeight="false" outlineLevel="0" collapsed="false">
      <c r="A130" s="18" t="n">
        <v>2026</v>
      </c>
      <c r="B130" s="18" t="s">
        <v>162</v>
      </c>
      <c r="C130" s="18" t="n">
        <v>52</v>
      </c>
      <c r="D130" s="19" t="s">
        <v>286</v>
      </c>
      <c r="E130" s="20" t="s">
        <v>287</v>
      </c>
      <c r="F130" s="12"/>
      <c r="G130" s="12"/>
      <c r="H130" s="12"/>
      <c r="I130" s="12"/>
      <c r="J130" s="12"/>
      <c r="K130" s="13" t="str">
        <f aca="false">IF(AND(F130&lt;&gt;"",J130&lt;&gt;"",J130&lt;&gt;0),F130/J130*100,"")</f>
        <v/>
      </c>
      <c r="L130" s="12"/>
      <c r="M130" s="12"/>
      <c r="N130" s="12"/>
      <c r="O130" s="12"/>
      <c r="P130" s="12"/>
      <c r="Q130" s="12"/>
      <c r="R130" s="12"/>
      <c r="S130" s="12"/>
      <c r="T130" s="12"/>
      <c r="U130" s="14" t="str">
        <f aca="false">IF(AND(S130&lt;&gt;"",T130&lt;&gt;""),S130-T130,"")</f>
        <v/>
      </c>
      <c r="V130" s="13" t="str">
        <f aca="false">IF(AND(U130&lt;&gt;"",S130&lt;&gt;"",S130&lt;&gt;0),U130/S130*100,"")</f>
        <v/>
      </c>
      <c r="W130" s="14" t="str">
        <f aca="false">IF(AND(F130&lt;&gt;"",S130&lt;&gt;""),F130-S130,"")</f>
        <v/>
      </c>
      <c r="X130" s="12"/>
      <c r="Y130" s="15"/>
      <c r="Z130" s="12"/>
      <c r="AA130" s="12"/>
      <c r="AB130" s="16"/>
      <c r="AC130" s="15"/>
      <c r="AD130" s="15"/>
      <c r="AE130" s="15"/>
      <c r="AF130" s="17"/>
      <c r="AG130" s="16"/>
      <c r="AH130" s="16"/>
      <c r="AI130" s="16"/>
      <c r="AJ130" s="16"/>
      <c r="AK130" s="12"/>
      <c r="AL130" s="15"/>
      <c r="AM130" s="16"/>
      <c r="AN130" s="15"/>
    </row>
    <row r="131" customFormat="false" ht="15" hidden="false" customHeight="false" outlineLevel="0" collapsed="false">
      <c r="A131" s="21" t="n">
        <v>2026</v>
      </c>
      <c r="B131" s="21" t="s">
        <v>162</v>
      </c>
      <c r="C131" s="22"/>
      <c r="D131" s="21" t="s">
        <v>288</v>
      </c>
      <c r="E131" s="22"/>
      <c r="F131" s="23" t="n">
        <f aca="false">IFERROR(SUM(F127:F130),"")</f>
        <v>0</v>
      </c>
      <c r="G131" s="23" t="n">
        <f aca="false">IFERROR(SUM(G127:G130),"")</f>
        <v>0</v>
      </c>
      <c r="H131" s="23" t="str">
        <f aca="false">IFERROR(LOOKUP(2,1/(H127:H130&lt;&gt;""),H127:H130),"")</f>
        <v/>
      </c>
      <c r="I131" s="23" t="str">
        <f aca="false">IFERROR(LOOKUP(2,1/(I127:I130&lt;&gt;""),I127:I130),"")</f>
        <v/>
      </c>
      <c r="J131" s="23" t="str">
        <f aca="false">IFERROR(LOOKUP(2,1/(J127:J130&lt;&gt;""),J127:J130),"")</f>
        <v/>
      </c>
      <c r="K131" s="24" t="str">
        <f aca="false">IFERROR(LOOKUP(2,1/(K127:K130&lt;&gt;""),K127:K130),"")</f>
        <v/>
      </c>
      <c r="L131" s="23" t="n">
        <f aca="false">IFERROR(SUM(L127:L130),"")</f>
        <v>0</v>
      </c>
      <c r="M131" s="23" t="n">
        <f aca="false">IFERROR(SUM(M127:M130),"")</f>
        <v>0</v>
      </c>
      <c r="N131" s="23" t="n">
        <f aca="false">IFERROR(SUM(N127:N130),"")</f>
        <v>0</v>
      </c>
      <c r="O131" s="23" t="n">
        <f aca="false">IFERROR(SUM(O127:O130),"")</f>
        <v>0</v>
      </c>
      <c r="P131" s="23" t="n">
        <f aca="false">IFERROR(SUM(P127:P130),"")</f>
        <v>0</v>
      </c>
      <c r="Q131" s="23" t="n">
        <f aca="false">IFERROR(SUM(Q127:Q130),"")</f>
        <v>0</v>
      </c>
      <c r="R131" s="23" t="n">
        <f aca="false">IFERROR(SUM(R127:R130),"")</f>
        <v>0</v>
      </c>
      <c r="S131" s="23" t="str">
        <f aca="false">IFERROR(LOOKUP(2,1/(S127:S130&lt;&gt;""),S127:S130),"")</f>
        <v/>
      </c>
      <c r="T131" s="23" t="str">
        <f aca="false">IFERROR(LOOKUP(2,1/(T127:T130&lt;&gt;""),T127:T130),"")</f>
        <v/>
      </c>
      <c r="U131" s="23" t="str">
        <f aca="false">IFERROR(LOOKUP(2,1/(U127:U130&lt;&gt;""),U127:U130),"")</f>
        <v/>
      </c>
      <c r="V131" s="24" t="str">
        <f aca="false">IFERROR(LOOKUP(2,1/(V127:V130&lt;&gt;""),V127:V130),"")</f>
        <v/>
      </c>
      <c r="W131" s="23" t="str">
        <f aca="false">IFERROR(LOOKUP(2,1/(W127:W130&lt;&gt;""),W127:W130),"")</f>
        <v/>
      </c>
      <c r="X131" s="23" t="str">
        <f aca="false">IFERROR(LOOKUP(2,1/(X127:X130&lt;&gt;""),X127:X130),"")</f>
        <v/>
      </c>
      <c r="Y131" s="25" t="str">
        <f aca="false">IFERROR(LOOKUP(2,1/(Y127:Y130&lt;&gt;""),Y127:Y130),"")</f>
        <v/>
      </c>
      <c r="Z131" s="23" t="str">
        <f aca="false">IFERROR(LOOKUP(2,1/(Z127:Z130&lt;&gt;""),Z127:Z130),"")</f>
        <v/>
      </c>
      <c r="AA131" s="23" t="str">
        <f aca="false">IFERROR(LOOKUP(2,1/(AA127:AA130&lt;&gt;""),AA127:AA130),"")</f>
        <v/>
      </c>
      <c r="AB131" s="24" t="str">
        <f aca="false">IFERROR(LOOKUP(2,1/(AB127:AB130&lt;&gt;""),AB127:AB130),"")</f>
        <v/>
      </c>
      <c r="AC131" s="25" t="n">
        <f aca="false">IFERROR(SUM(AC127:AC130),"")</f>
        <v>0</v>
      </c>
      <c r="AD131" s="25" t="n">
        <f aca="false">IFERROR(SUM(AD127:AD130),"")</f>
        <v>0</v>
      </c>
      <c r="AE131" s="25" t="str">
        <f aca="false">IFERROR(LOOKUP(2,1/(AE127:AE130&lt;&gt;""),AE127:AE130),"")</f>
        <v/>
      </c>
      <c r="AF131" s="26" t="str">
        <f aca="false">IFERROR(LOOKUP(2,1/(AF127:AF130&lt;&gt;""),AF127:AF130),"")</f>
        <v/>
      </c>
      <c r="AG131" s="24" t="str">
        <f aca="false">IFERROR(LOOKUP(2,1/(AG127:AG130&lt;&gt;""),AG127:AG130),"")</f>
        <v/>
      </c>
      <c r="AH131" s="24" t="str">
        <f aca="false">IFERROR(LOOKUP(2,1/(AH127:AH130&lt;&gt;""),AH127:AH130),"")</f>
        <v/>
      </c>
      <c r="AI131" s="24" t="str">
        <f aca="false">IFERROR(LOOKUP(2,1/(AI127:AI130&lt;&gt;""),AI127:AI130),"")</f>
        <v/>
      </c>
      <c r="AJ131" s="24" t="str">
        <f aca="false">IFERROR(LOOKUP(2,1/(AJ127:AJ130&lt;&gt;""),AJ127:AJ130),"")</f>
        <v/>
      </c>
      <c r="AK131" s="23" t="str">
        <f aca="false">IFERROR(LOOKUP(2,1/(AK127:AK130&lt;&gt;""),AK127:AK130),"")</f>
        <v/>
      </c>
      <c r="AL131" s="25" t="str">
        <f aca="false">IFERROR(LOOKUP(2,1/(AL127:AL130&lt;&gt;""),AL127:AL130),"")</f>
        <v/>
      </c>
      <c r="AM131" s="24" t="str">
        <f aca="false">IFERROR(LOOKUP(2,1/(AM127:AM130&lt;&gt;""),AM127:AM130),"")</f>
        <v/>
      </c>
      <c r="AN131" s="25" t="str">
        <f aca="false">IFERROR(LOOKUP(2,1/(AN127:AN130&lt;&gt;""),AN127:AN130),"")</f>
        <v/>
      </c>
    </row>
  </sheetData>
  <autoFilter ref="A4:AN131"/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9" min="2" style="0" width="13"/>
  </cols>
  <sheetData>
    <row r="1" customFormat="false" ht="27.75" hidden="false" customHeight="true" outlineLevel="0" collapsed="false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27" t="s">
        <v>291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15" hidden="false" customHeight="false" outlineLevel="0" collapsed="false">
      <c r="A5" s="28" t="s">
        <v>292</v>
      </c>
      <c r="B5" s="7" t="s">
        <v>46</v>
      </c>
      <c r="C5" s="7" t="s">
        <v>56</v>
      </c>
      <c r="D5" s="7" t="s">
        <v>66</v>
      </c>
      <c r="E5" s="7" t="s">
        <v>78</v>
      </c>
      <c r="F5" s="7" t="s">
        <v>88</v>
      </c>
      <c r="G5" s="7" t="s">
        <v>98</v>
      </c>
      <c r="H5" s="7" t="s">
        <v>110</v>
      </c>
      <c r="I5" s="7" t="s">
        <v>120</v>
      </c>
      <c r="J5" s="7" t="s">
        <v>130</v>
      </c>
      <c r="K5" s="7" t="s">
        <v>142</v>
      </c>
      <c r="L5" s="7" t="s">
        <v>152</v>
      </c>
      <c r="M5" s="7" t="s">
        <v>162</v>
      </c>
      <c r="N5" s="7" t="s">
        <v>293</v>
      </c>
    </row>
    <row r="6" customFormat="false" ht="15" hidden="false" customHeight="false" outlineLevel="0" collapsed="false">
      <c r="A6" s="29" t="s">
        <v>294</v>
      </c>
      <c r="B6" s="14" t="n">
        <f aca="false">'Weekly Data'!F9</f>
        <v>0</v>
      </c>
      <c r="C6" s="14" t="n">
        <f aca="false">'Weekly Data'!F14</f>
        <v>0</v>
      </c>
      <c r="D6" s="14" t="n">
        <f aca="false">'Weekly Data'!F20</f>
        <v>0</v>
      </c>
      <c r="E6" s="14" t="n">
        <f aca="false">'Weekly Data'!F25</f>
        <v>0</v>
      </c>
      <c r="F6" s="14" t="n">
        <f aca="false">'Weekly Data'!F30</f>
        <v>0</v>
      </c>
      <c r="G6" s="14" t="n">
        <f aca="false">'Weekly Data'!F36</f>
        <v>0</v>
      </c>
      <c r="H6" s="14" t="n">
        <f aca="false">'Weekly Data'!F41</f>
        <v>0</v>
      </c>
      <c r="I6" s="14" t="n">
        <f aca="false">'Weekly Data'!F46</f>
        <v>0</v>
      </c>
      <c r="J6" s="14" t="n">
        <f aca="false">'Weekly Data'!F52</f>
        <v>0</v>
      </c>
      <c r="K6" s="14" t="n">
        <f aca="false">'Weekly Data'!F57</f>
        <v>0</v>
      </c>
      <c r="L6" s="14" t="n">
        <f aca="false">'Weekly Data'!F62</f>
        <v>0</v>
      </c>
      <c r="M6" s="14"/>
      <c r="N6" s="30" t="n">
        <f aca="false">SUM(B6:M6)</f>
        <v>0</v>
      </c>
    </row>
    <row r="7" customFormat="false" ht="15" hidden="false" customHeight="false" outlineLevel="0" collapsed="false">
      <c r="A7" s="29" t="s">
        <v>12</v>
      </c>
      <c r="B7" s="14" t="n">
        <f aca="false">'Weekly Data'!G9</f>
        <v>0</v>
      </c>
      <c r="C7" s="14" t="n">
        <f aca="false">'Weekly Data'!G14</f>
        <v>0</v>
      </c>
      <c r="D7" s="14" t="n">
        <f aca="false">'Weekly Data'!G20</f>
        <v>0</v>
      </c>
      <c r="E7" s="14" t="n">
        <f aca="false">'Weekly Data'!G25</f>
        <v>0</v>
      </c>
      <c r="F7" s="14" t="n">
        <f aca="false">'Weekly Data'!G30</f>
        <v>0</v>
      </c>
      <c r="G7" s="14" t="n">
        <f aca="false">'Weekly Data'!G36</f>
        <v>0</v>
      </c>
      <c r="H7" s="14" t="n">
        <f aca="false">'Weekly Data'!G41</f>
        <v>0</v>
      </c>
      <c r="I7" s="14" t="n">
        <f aca="false">'Weekly Data'!G46</f>
        <v>0</v>
      </c>
      <c r="J7" s="14" t="n">
        <f aca="false">'Weekly Data'!G52</f>
        <v>0</v>
      </c>
      <c r="K7" s="14" t="n">
        <f aca="false">'Weekly Data'!G57</f>
        <v>0</v>
      </c>
      <c r="L7" s="14" t="n">
        <f aca="false">'Weekly Data'!G62</f>
        <v>0</v>
      </c>
      <c r="M7" s="14"/>
      <c r="N7" s="30" t="n">
        <f aca="false">SUM(B7:M7)</f>
        <v>0</v>
      </c>
    </row>
    <row r="8" customFormat="false" ht="15" hidden="false" customHeight="false" outlineLevel="0" collapsed="false">
      <c r="A8" s="29" t="s">
        <v>295</v>
      </c>
      <c r="B8" s="14" t="str">
        <f aca="false">'Weekly Data'!H9</f>
        <v/>
      </c>
      <c r="C8" s="14" t="str">
        <f aca="false">'Weekly Data'!H14</f>
        <v/>
      </c>
      <c r="D8" s="14" t="str">
        <f aca="false">'Weekly Data'!H20</f>
        <v/>
      </c>
      <c r="E8" s="14" t="str">
        <f aca="false">'Weekly Data'!H25</f>
        <v/>
      </c>
      <c r="F8" s="14" t="str">
        <f aca="false">'Weekly Data'!H30</f>
        <v/>
      </c>
      <c r="G8" s="14" t="str">
        <f aca="false">'Weekly Data'!H36</f>
        <v/>
      </c>
      <c r="H8" s="14" t="str">
        <f aca="false">'Weekly Data'!H41</f>
        <v/>
      </c>
      <c r="I8" s="14" t="str">
        <f aca="false">'Weekly Data'!H46</f>
        <v/>
      </c>
      <c r="J8" s="14" t="str">
        <f aca="false">'Weekly Data'!H52</f>
        <v/>
      </c>
      <c r="K8" s="14" t="str">
        <f aca="false">'Weekly Data'!H57</f>
        <v/>
      </c>
      <c r="L8" s="14" t="str">
        <f aca="false">'Weekly Data'!H62</f>
        <v/>
      </c>
      <c r="M8" s="14"/>
      <c r="N8" s="30" t="str">
        <f aca="false">IFERROR(LOOKUP(2,1/(B8:M8&lt;&gt;""),B8:M8),"")</f>
        <v/>
      </c>
    </row>
    <row r="9" customFormat="false" ht="15" hidden="false" customHeight="false" outlineLevel="0" collapsed="false">
      <c r="A9" s="29" t="s">
        <v>24</v>
      </c>
      <c r="B9" s="14" t="str">
        <f aca="false">'Weekly Data'!S9</f>
        <v/>
      </c>
      <c r="C9" s="14" t="str">
        <f aca="false">'Weekly Data'!S14</f>
        <v/>
      </c>
      <c r="D9" s="14" t="str">
        <f aca="false">'Weekly Data'!S20</f>
        <v/>
      </c>
      <c r="E9" s="14" t="str">
        <f aca="false">'Weekly Data'!S25</f>
        <v/>
      </c>
      <c r="F9" s="14" t="str">
        <f aca="false">'Weekly Data'!S30</f>
        <v/>
      </c>
      <c r="G9" s="14" t="str">
        <f aca="false">'Weekly Data'!S36</f>
        <v/>
      </c>
      <c r="H9" s="14" t="str">
        <f aca="false">'Weekly Data'!S41</f>
        <v/>
      </c>
      <c r="I9" s="14" t="str">
        <f aca="false">'Weekly Data'!S46</f>
        <v/>
      </c>
      <c r="J9" s="14" t="str">
        <f aca="false">'Weekly Data'!S52</f>
        <v/>
      </c>
      <c r="K9" s="14" t="str">
        <f aca="false">'Weekly Data'!S57</f>
        <v/>
      </c>
      <c r="L9" s="14" t="str">
        <f aca="false">'Weekly Data'!S62</f>
        <v/>
      </c>
      <c r="M9" s="14"/>
      <c r="N9" s="30" t="str">
        <f aca="false">IFERROR(LOOKUP(2,1/(B9:M9&lt;&gt;""),B9:M9),"")</f>
        <v/>
      </c>
    </row>
    <row r="10" customFormat="false" ht="15" hidden="false" customHeight="false" outlineLevel="0" collapsed="false">
      <c r="A10" s="29" t="s">
        <v>26</v>
      </c>
      <c r="B10" s="14" t="str">
        <f aca="false">'Weekly Data'!U9</f>
        <v/>
      </c>
      <c r="C10" s="14" t="str">
        <f aca="false">'Weekly Data'!U14</f>
        <v/>
      </c>
      <c r="D10" s="14" t="str">
        <f aca="false">'Weekly Data'!U20</f>
        <v/>
      </c>
      <c r="E10" s="14" t="str">
        <f aca="false">'Weekly Data'!U25</f>
        <v/>
      </c>
      <c r="F10" s="14" t="str">
        <f aca="false">'Weekly Data'!U30</f>
        <v/>
      </c>
      <c r="G10" s="14" t="str">
        <f aca="false">'Weekly Data'!U36</f>
        <v/>
      </c>
      <c r="H10" s="14" t="str">
        <f aca="false">'Weekly Data'!U41</f>
        <v/>
      </c>
      <c r="I10" s="14" t="str">
        <f aca="false">'Weekly Data'!U46</f>
        <v/>
      </c>
      <c r="J10" s="14" t="str">
        <f aca="false">'Weekly Data'!U52</f>
        <v/>
      </c>
      <c r="K10" s="14" t="str">
        <f aca="false">'Weekly Data'!U57</f>
        <v/>
      </c>
      <c r="L10" s="14" t="str">
        <f aca="false">'Weekly Data'!U62</f>
        <v/>
      </c>
      <c r="M10" s="14"/>
      <c r="N10" s="30" t="str">
        <f aca="false">IFERROR(LOOKUP(2,1/(B10:M10&lt;&gt;""),B10:M10),"")</f>
        <v/>
      </c>
    </row>
    <row r="11" customFormat="false" ht="15" hidden="false" customHeight="false" outlineLevel="0" collapsed="false">
      <c r="A11" s="29" t="s">
        <v>27</v>
      </c>
      <c r="B11" s="13" t="str">
        <f aca="false">'Weekly Data'!V9</f>
        <v/>
      </c>
      <c r="C11" s="13" t="str">
        <f aca="false">'Weekly Data'!V14</f>
        <v/>
      </c>
      <c r="D11" s="13" t="str">
        <f aca="false">'Weekly Data'!V20</f>
        <v/>
      </c>
      <c r="E11" s="13" t="str">
        <f aca="false">'Weekly Data'!V25</f>
        <v/>
      </c>
      <c r="F11" s="13" t="str">
        <f aca="false">'Weekly Data'!V30</f>
        <v/>
      </c>
      <c r="G11" s="13" t="str">
        <f aca="false">'Weekly Data'!V36</f>
        <v/>
      </c>
      <c r="H11" s="13" t="str">
        <f aca="false">'Weekly Data'!V41</f>
        <v/>
      </c>
      <c r="I11" s="13" t="str">
        <f aca="false">'Weekly Data'!V46</f>
        <v/>
      </c>
      <c r="J11" s="13" t="str">
        <f aca="false">'Weekly Data'!V52</f>
        <v/>
      </c>
      <c r="K11" s="13" t="str">
        <f aca="false">'Weekly Data'!V57</f>
        <v/>
      </c>
      <c r="L11" s="13" t="str">
        <f aca="false">'Weekly Data'!V62</f>
        <v/>
      </c>
      <c r="M11" s="13"/>
      <c r="N11" s="31" t="str">
        <f aca="false">IFERROR(AVERAGE(B11:M11),"")</f>
        <v/>
      </c>
    </row>
    <row r="12" customFormat="false" ht="15" hidden="false" customHeight="false" outlineLevel="0" collapsed="false">
      <c r="A12" s="29" t="s">
        <v>28</v>
      </c>
      <c r="B12" s="14" t="str">
        <f aca="false">'Weekly Data'!W9</f>
        <v/>
      </c>
      <c r="C12" s="14" t="str">
        <f aca="false">'Weekly Data'!W14</f>
        <v/>
      </c>
      <c r="D12" s="14" t="str">
        <f aca="false">'Weekly Data'!W20</f>
        <v/>
      </c>
      <c r="E12" s="14" t="str">
        <f aca="false">'Weekly Data'!W25</f>
        <v/>
      </c>
      <c r="F12" s="14" t="str">
        <f aca="false">'Weekly Data'!W30</f>
        <v/>
      </c>
      <c r="G12" s="14" t="str">
        <f aca="false">'Weekly Data'!W36</f>
        <v/>
      </c>
      <c r="H12" s="14" t="str">
        <f aca="false">'Weekly Data'!W41</f>
        <v/>
      </c>
      <c r="I12" s="14" t="str">
        <f aca="false">'Weekly Data'!W46</f>
        <v/>
      </c>
      <c r="J12" s="14" t="str">
        <f aca="false">'Weekly Data'!W52</f>
        <v/>
      </c>
      <c r="K12" s="14" t="str">
        <f aca="false">'Weekly Data'!W57</f>
        <v/>
      </c>
      <c r="L12" s="14" t="str">
        <f aca="false">'Weekly Data'!W62</f>
        <v/>
      </c>
      <c r="M12" s="14"/>
      <c r="N12" s="30" t="str">
        <f aca="false">IFERROR(LOOKUP(2,1/(B12:M12&lt;&gt;""),B12:M12),"")</f>
        <v/>
      </c>
    </row>
    <row r="13" customFormat="false" ht="15" hidden="false" customHeight="false" outlineLevel="0" collapsed="false">
      <c r="A13" s="29" t="s">
        <v>29</v>
      </c>
      <c r="B13" s="14" t="str">
        <f aca="false">'Weekly Data'!X9</f>
        <v/>
      </c>
      <c r="C13" s="14" t="str">
        <f aca="false">'Weekly Data'!X14</f>
        <v/>
      </c>
      <c r="D13" s="14" t="str">
        <f aca="false">'Weekly Data'!X20</f>
        <v/>
      </c>
      <c r="E13" s="14" t="str">
        <f aca="false">'Weekly Data'!X25</f>
        <v/>
      </c>
      <c r="F13" s="14" t="str">
        <f aca="false">'Weekly Data'!X30</f>
        <v/>
      </c>
      <c r="G13" s="14" t="str">
        <f aca="false">'Weekly Data'!X36</f>
        <v/>
      </c>
      <c r="H13" s="14" t="str">
        <f aca="false">'Weekly Data'!X41</f>
        <v/>
      </c>
      <c r="I13" s="14" t="str">
        <f aca="false">'Weekly Data'!X46</f>
        <v/>
      </c>
      <c r="J13" s="14" t="n">
        <f aca="false">'Weekly Data'!X52</f>
        <v>296137</v>
      </c>
      <c r="K13" s="14" t="n">
        <f aca="false">'Weekly Data'!X57</f>
        <v>1392460</v>
      </c>
      <c r="L13" s="14" t="n">
        <f aca="false">'Weekly Data'!X62</f>
        <v>2992325</v>
      </c>
      <c r="M13" s="14"/>
      <c r="N13" s="30" t="n">
        <f aca="false">IFERROR(LOOKUP(2,1/(B13:M13&lt;&gt;""),B13:M13),"")</f>
        <v>2992325</v>
      </c>
    </row>
    <row r="14" customFormat="false" ht="15" hidden="false" customHeight="false" outlineLevel="0" collapsed="false">
      <c r="A14" s="29" t="s">
        <v>30</v>
      </c>
      <c r="B14" s="32" t="str">
        <f aca="false">'Weekly Data'!Y9</f>
        <v/>
      </c>
      <c r="C14" s="32" t="str">
        <f aca="false">'Weekly Data'!Y14</f>
        <v/>
      </c>
      <c r="D14" s="32" t="str">
        <f aca="false">'Weekly Data'!Y20</f>
        <v/>
      </c>
      <c r="E14" s="32" t="str">
        <f aca="false">'Weekly Data'!Y25</f>
        <v/>
      </c>
      <c r="F14" s="32" t="str">
        <f aca="false">'Weekly Data'!Y30</f>
        <v/>
      </c>
      <c r="G14" s="32" t="str">
        <f aca="false">'Weekly Data'!Y36</f>
        <v/>
      </c>
      <c r="H14" s="32" t="str">
        <f aca="false">'Weekly Data'!Y41</f>
        <v/>
      </c>
      <c r="I14" s="32" t="str">
        <f aca="false">'Weekly Data'!Y46</f>
        <v/>
      </c>
      <c r="J14" s="32" t="str">
        <f aca="false">'Weekly Data'!Y52</f>
        <v/>
      </c>
      <c r="K14" s="32" t="str">
        <f aca="false">'Weekly Data'!Y57</f>
        <v/>
      </c>
      <c r="L14" s="32" t="str">
        <f aca="false">'Weekly Data'!Y62</f>
        <v/>
      </c>
      <c r="M14" s="32"/>
      <c r="N14" s="33" t="str">
        <f aca="false">IFERROR(LOOKUP(2,1/(B14:M14&lt;&gt;""),B14:M14),"")</f>
        <v/>
      </c>
    </row>
    <row r="15" customFormat="false" ht="15" hidden="false" customHeight="false" outlineLevel="0" collapsed="false">
      <c r="A15" s="29" t="s">
        <v>31</v>
      </c>
      <c r="B15" s="14" t="str">
        <f aca="false">'Weekly Data'!Z9</f>
        <v/>
      </c>
      <c r="C15" s="14" t="str">
        <f aca="false">'Weekly Data'!Z14</f>
        <v/>
      </c>
      <c r="D15" s="14" t="str">
        <f aca="false">'Weekly Data'!Z20</f>
        <v/>
      </c>
      <c r="E15" s="14" t="str">
        <f aca="false">'Weekly Data'!Z25</f>
        <v/>
      </c>
      <c r="F15" s="14" t="str">
        <f aca="false">'Weekly Data'!Z30</f>
        <v/>
      </c>
      <c r="G15" s="14" t="str">
        <f aca="false">'Weekly Data'!Z36</f>
        <v/>
      </c>
      <c r="H15" s="14" t="str">
        <f aca="false">'Weekly Data'!Z41</f>
        <v/>
      </c>
      <c r="I15" s="14" t="str">
        <f aca="false">'Weekly Data'!Z46</f>
        <v/>
      </c>
      <c r="J15" s="14" t="str">
        <f aca="false">'Weekly Data'!Z52</f>
        <v/>
      </c>
      <c r="K15" s="14" t="str">
        <f aca="false">'Weekly Data'!Z57</f>
        <v/>
      </c>
      <c r="L15" s="14" t="str">
        <f aca="false">'Weekly Data'!Z62</f>
        <v/>
      </c>
      <c r="M15" s="14"/>
      <c r="N15" s="30" t="str">
        <f aca="false">IFERROR(LOOKUP(2,1/(B15:M15&lt;&gt;""),B15:M15),"")</f>
        <v/>
      </c>
    </row>
    <row r="16" customFormat="false" ht="15" hidden="false" customHeight="false" outlineLevel="0" collapsed="false">
      <c r="A16" s="29" t="s">
        <v>32</v>
      </c>
      <c r="B16" s="14" t="str">
        <f aca="false">'Weekly Data'!AA9</f>
        <v/>
      </c>
      <c r="C16" s="14" t="str">
        <f aca="false">'Weekly Data'!AA14</f>
        <v/>
      </c>
      <c r="D16" s="14" t="str">
        <f aca="false">'Weekly Data'!AA20</f>
        <v/>
      </c>
      <c r="E16" s="14" t="str">
        <f aca="false">'Weekly Data'!AA25</f>
        <v/>
      </c>
      <c r="F16" s="14" t="str">
        <f aca="false">'Weekly Data'!AA30</f>
        <v/>
      </c>
      <c r="G16" s="14" t="str">
        <f aca="false">'Weekly Data'!AA36</f>
        <v/>
      </c>
      <c r="H16" s="14" t="str">
        <f aca="false">'Weekly Data'!AA41</f>
        <v/>
      </c>
      <c r="I16" s="14" t="str">
        <f aca="false">'Weekly Data'!AA46</f>
        <v/>
      </c>
      <c r="J16" s="14" t="str">
        <f aca="false">'Weekly Data'!AA52</f>
        <v/>
      </c>
      <c r="K16" s="14" t="str">
        <f aca="false">'Weekly Data'!AA57</f>
        <v/>
      </c>
      <c r="L16" s="14" t="str">
        <f aca="false">'Weekly Data'!AA62</f>
        <v/>
      </c>
      <c r="M16" s="14"/>
      <c r="N16" s="30" t="str">
        <f aca="false">IFERROR(LOOKUP(2,1/(B16:M16&lt;&gt;""),B16:M16),"")</f>
        <v/>
      </c>
    </row>
    <row r="17" customFormat="false" ht="15" hidden="false" customHeight="false" outlineLevel="0" collapsed="false">
      <c r="A17" s="29" t="s">
        <v>296</v>
      </c>
      <c r="B17" s="13" t="str">
        <f aca="false">'Weekly Data'!AB9</f>
        <v/>
      </c>
      <c r="C17" s="13" t="str">
        <f aca="false">'Weekly Data'!AB14</f>
        <v/>
      </c>
      <c r="D17" s="13" t="str">
        <f aca="false">'Weekly Data'!AB20</f>
        <v/>
      </c>
      <c r="E17" s="13" t="str">
        <f aca="false">'Weekly Data'!AB25</f>
        <v/>
      </c>
      <c r="F17" s="13" t="str">
        <f aca="false">'Weekly Data'!AB30</f>
        <v/>
      </c>
      <c r="G17" s="13" t="str">
        <f aca="false">'Weekly Data'!AB36</f>
        <v/>
      </c>
      <c r="H17" s="13" t="str">
        <f aca="false">'Weekly Data'!AB41</f>
        <v/>
      </c>
      <c r="I17" s="13" t="str">
        <f aca="false">'Weekly Data'!AB46</f>
        <v/>
      </c>
      <c r="J17" s="13" t="str">
        <f aca="false">'Weekly Data'!AB52</f>
        <v/>
      </c>
      <c r="K17" s="13" t="str">
        <f aca="false">'Weekly Data'!AB57</f>
        <v/>
      </c>
      <c r="L17" s="13" t="str">
        <f aca="false">'Weekly Data'!AB62</f>
        <v/>
      </c>
      <c r="M17" s="13"/>
      <c r="N17" s="31" t="str">
        <f aca="false">IFERROR(AVERAGE(B17:M17),"")</f>
        <v/>
      </c>
    </row>
    <row r="18" customFormat="false" ht="15" hidden="false" customHeight="false" outlineLevel="0" collapsed="false">
      <c r="A18" s="29" t="s">
        <v>34</v>
      </c>
      <c r="B18" s="32" t="n">
        <f aca="false">'Weekly Data'!AC9</f>
        <v>0</v>
      </c>
      <c r="C18" s="32" t="n">
        <f aca="false">'Weekly Data'!AC14</f>
        <v>0</v>
      </c>
      <c r="D18" s="32" t="n">
        <f aca="false">'Weekly Data'!AC20</f>
        <v>0</v>
      </c>
      <c r="E18" s="32" t="n">
        <f aca="false">'Weekly Data'!AC25</f>
        <v>0</v>
      </c>
      <c r="F18" s="32" t="n">
        <f aca="false">'Weekly Data'!AC30</f>
        <v>0</v>
      </c>
      <c r="G18" s="32" t="n">
        <f aca="false">'Weekly Data'!AC36</f>
        <v>0</v>
      </c>
      <c r="H18" s="32" t="n">
        <f aca="false">'Weekly Data'!AC41</f>
        <v>0</v>
      </c>
      <c r="I18" s="32" t="n">
        <f aca="false">'Weekly Data'!AC46</f>
        <v>0</v>
      </c>
      <c r="J18" s="32" t="n">
        <f aca="false">'Weekly Data'!AC52</f>
        <v>0</v>
      </c>
      <c r="K18" s="32" t="n">
        <f aca="false">'Weekly Data'!AC57</f>
        <v>0</v>
      </c>
      <c r="L18" s="32" t="n">
        <f aca="false">'Weekly Data'!AC62</f>
        <v>0</v>
      </c>
      <c r="M18" s="32"/>
      <c r="N18" s="33" t="n">
        <f aca="false">SUM(B18:M18)</f>
        <v>0</v>
      </c>
    </row>
    <row r="19" customFormat="false" ht="15" hidden="false" customHeight="false" outlineLevel="0" collapsed="false">
      <c r="A19" s="29" t="s">
        <v>35</v>
      </c>
      <c r="B19" s="32" t="n">
        <f aca="false">'Weekly Data'!AD9</f>
        <v>0</v>
      </c>
      <c r="C19" s="32" t="n">
        <f aca="false">'Weekly Data'!AD14</f>
        <v>0</v>
      </c>
      <c r="D19" s="32" t="n">
        <f aca="false">'Weekly Data'!AD20</f>
        <v>0</v>
      </c>
      <c r="E19" s="32" t="n">
        <f aca="false">'Weekly Data'!AD25</f>
        <v>0</v>
      </c>
      <c r="F19" s="32" t="n">
        <f aca="false">'Weekly Data'!AD30</f>
        <v>0</v>
      </c>
      <c r="G19" s="32" t="n">
        <f aca="false">'Weekly Data'!AD36</f>
        <v>0</v>
      </c>
      <c r="H19" s="32" t="n">
        <f aca="false">'Weekly Data'!AD41</f>
        <v>0</v>
      </c>
      <c r="I19" s="32" t="n">
        <f aca="false">'Weekly Data'!AD46</f>
        <v>0</v>
      </c>
      <c r="J19" s="32" t="n">
        <f aca="false">'Weekly Data'!AD52</f>
        <v>0</v>
      </c>
      <c r="K19" s="32" t="n">
        <f aca="false">'Weekly Data'!AD57</f>
        <v>0</v>
      </c>
      <c r="L19" s="32" t="n">
        <f aca="false">'Weekly Data'!AD62</f>
        <v>0</v>
      </c>
      <c r="M19" s="32"/>
      <c r="N19" s="33" t="n">
        <f aca="false">SUM(B19:M19)</f>
        <v>0</v>
      </c>
    </row>
    <row r="20" customFormat="false" ht="15" hidden="false" customHeight="false" outlineLevel="0" collapsed="false">
      <c r="A20" s="29" t="s">
        <v>37</v>
      </c>
      <c r="B20" s="34" t="str">
        <f aca="false">'Weekly Data'!AF9</f>
        <v/>
      </c>
      <c r="C20" s="34" t="str">
        <f aca="false">'Weekly Data'!AF14</f>
        <v/>
      </c>
      <c r="D20" s="34" t="str">
        <f aca="false">'Weekly Data'!AF20</f>
        <v/>
      </c>
      <c r="E20" s="34" t="str">
        <f aca="false">'Weekly Data'!AF25</f>
        <v/>
      </c>
      <c r="F20" s="34" t="str">
        <f aca="false">'Weekly Data'!AF30</f>
        <v/>
      </c>
      <c r="G20" s="34" t="str">
        <f aca="false">'Weekly Data'!AF36</f>
        <v/>
      </c>
      <c r="H20" s="34" t="str">
        <f aca="false">'Weekly Data'!AF41</f>
        <v/>
      </c>
      <c r="I20" s="34" t="str">
        <f aca="false">'Weekly Data'!AF46</f>
        <v/>
      </c>
      <c r="J20" s="34" t="str">
        <f aca="false">'Weekly Data'!AF52</f>
        <v/>
      </c>
      <c r="K20" s="34" t="str">
        <f aca="false">'Weekly Data'!AF57</f>
        <v/>
      </c>
      <c r="L20" s="34" t="str">
        <f aca="false">'Weekly Data'!AF62</f>
        <v/>
      </c>
      <c r="M20" s="34"/>
      <c r="N20" s="35" t="str">
        <f aca="false">IFERROR(AVERAGE(B20:M20),"")</f>
        <v/>
      </c>
    </row>
    <row r="21" customFormat="false" ht="15" hidden="false" customHeight="false" outlineLevel="0" collapsed="false">
      <c r="A21" s="29" t="s">
        <v>297</v>
      </c>
      <c r="B21" s="13" t="str">
        <f aca="false">'Weekly Data'!AJ9</f>
        <v/>
      </c>
      <c r="C21" s="13" t="str">
        <f aca="false">'Weekly Data'!AJ14</f>
        <v/>
      </c>
      <c r="D21" s="13" t="str">
        <f aca="false">'Weekly Data'!AJ20</f>
        <v/>
      </c>
      <c r="E21" s="13" t="str">
        <f aca="false">'Weekly Data'!AJ25</f>
        <v/>
      </c>
      <c r="F21" s="13" t="str">
        <f aca="false">'Weekly Data'!AJ30</f>
        <v/>
      </c>
      <c r="G21" s="13" t="str">
        <f aca="false">'Weekly Data'!AJ36</f>
        <v/>
      </c>
      <c r="H21" s="13" t="str">
        <f aca="false">'Weekly Data'!AJ41</f>
        <v/>
      </c>
      <c r="I21" s="13" t="str">
        <f aca="false">'Weekly Data'!AJ46</f>
        <v/>
      </c>
      <c r="J21" s="13" t="str">
        <f aca="false">'Weekly Data'!AJ52</f>
        <v/>
      </c>
      <c r="K21" s="13" t="str">
        <f aca="false">'Weekly Data'!AJ57</f>
        <v/>
      </c>
      <c r="L21" s="13" t="str">
        <f aca="false">'Weekly Data'!AJ62</f>
        <v/>
      </c>
      <c r="M21" s="13"/>
      <c r="N21" s="31" t="str">
        <f aca="false">IFERROR(AVERAGE(B21:M21),"")</f>
        <v/>
      </c>
    </row>
    <row r="22" customFormat="false" ht="15" hidden="false" customHeight="false" outlineLevel="0" collapsed="false">
      <c r="A22" s="29" t="s">
        <v>42</v>
      </c>
      <c r="B22" s="14" t="str">
        <f aca="false">'Weekly Data'!AK9</f>
        <v/>
      </c>
      <c r="C22" s="14" t="str">
        <f aca="false">'Weekly Data'!AK14</f>
        <v/>
      </c>
      <c r="D22" s="14" t="str">
        <f aca="false">'Weekly Data'!AK20</f>
        <v/>
      </c>
      <c r="E22" s="14" t="str">
        <f aca="false">'Weekly Data'!AK25</f>
        <v/>
      </c>
      <c r="F22" s="14" t="str">
        <f aca="false">'Weekly Data'!AK30</f>
        <v/>
      </c>
      <c r="G22" s="14" t="str">
        <f aca="false">'Weekly Data'!AK36</f>
        <v/>
      </c>
      <c r="H22" s="14" t="str">
        <f aca="false">'Weekly Data'!AK41</f>
        <v/>
      </c>
      <c r="I22" s="14" t="str">
        <f aca="false">'Weekly Data'!AK46</f>
        <v/>
      </c>
      <c r="J22" s="14" t="str">
        <f aca="false">'Weekly Data'!AK52</f>
        <v/>
      </c>
      <c r="K22" s="14" t="str">
        <f aca="false">'Weekly Data'!AK57</f>
        <v/>
      </c>
      <c r="L22" s="14" t="str">
        <f aca="false">'Weekly Data'!AK62</f>
        <v/>
      </c>
      <c r="M22" s="14"/>
      <c r="N22" s="30" t="str">
        <f aca="false">IFERROR(LOOKUP(2,1/(B22:M22&lt;&gt;""),B22:M22),"")</f>
        <v/>
      </c>
    </row>
    <row r="23" customFormat="false" ht="15" hidden="false" customHeight="false" outlineLevel="0" collapsed="false">
      <c r="A23" s="29" t="s">
        <v>44</v>
      </c>
      <c r="B23" s="13" t="str">
        <f aca="false">'Weekly Data'!AM9</f>
        <v/>
      </c>
      <c r="C23" s="13" t="str">
        <f aca="false">'Weekly Data'!AM14</f>
        <v/>
      </c>
      <c r="D23" s="13" t="str">
        <f aca="false">'Weekly Data'!AM20</f>
        <v/>
      </c>
      <c r="E23" s="13" t="str">
        <f aca="false">'Weekly Data'!AM25</f>
        <v/>
      </c>
      <c r="F23" s="13" t="str">
        <f aca="false">'Weekly Data'!AM30</f>
        <v/>
      </c>
      <c r="G23" s="13" t="str">
        <f aca="false">'Weekly Data'!AM36</f>
        <v/>
      </c>
      <c r="H23" s="13" t="str">
        <f aca="false">'Weekly Data'!AM41</f>
        <v/>
      </c>
      <c r="I23" s="13" t="str">
        <f aca="false">'Weekly Data'!AM46</f>
        <v/>
      </c>
      <c r="J23" s="13" t="str">
        <f aca="false">'Weekly Data'!AM52</f>
        <v/>
      </c>
      <c r="K23" s="13" t="str">
        <f aca="false">'Weekly Data'!AM57</f>
        <v/>
      </c>
      <c r="L23" s="13" t="str">
        <f aca="false">'Weekly Data'!AM62</f>
        <v/>
      </c>
      <c r="M23" s="13"/>
      <c r="N23" s="31" t="str">
        <f aca="false">IFERROR(AVERAGE(B23:M23),"")</f>
        <v/>
      </c>
    </row>
    <row r="25" customFormat="false" ht="15" hidden="false" customHeight="false" outlineLevel="0" collapsed="false">
      <c r="A25" s="36" t="s">
        <v>298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</row>
    <row r="26" customFormat="false" ht="15" hidden="false" customHeight="false" outlineLevel="0" collapsed="false">
      <c r="A26" s="29" t="s">
        <v>17</v>
      </c>
      <c r="B26" s="14" t="n">
        <f aca="false">'Weekly Data'!L9</f>
        <v>0</v>
      </c>
      <c r="C26" s="14" t="n">
        <f aca="false">'Weekly Data'!L14</f>
        <v>0</v>
      </c>
      <c r="D26" s="14" t="n">
        <f aca="false">'Weekly Data'!L20</f>
        <v>0</v>
      </c>
      <c r="E26" s="14" t="n">
        <f aca="false">'Weekly Data'!L25</f>
        <v>0</v>
      </c>
      <c r="F26" s="14" t="n">
        <f aca="false">'Weekly Data'!L30</f>
        <v>0</v>
      </c>
      <c r="G26" s="14" t="n">
        <f aca="false">'Weekly Data'!L36</f>
        <v>0</v>
      </c>
      <c r="H26" s="14" t="n">
        <f aca="false">'Weekly Data'!L41</f>
        <v>0</v>
      </c>
      <c r="I26" s="14" t="n">
        <f aca="false">'Weekly Data'!L46</f>
        <v>0</v>
      </c>
      <c r="J26" s="14" t="n">
        <f aca="false">'Weekly Data'!L52</f>
        <v>0</v>
      </c>
      <c r="K26" s="14" t="n">
        <f aca="false">'Weekly Data'!L57</f>
        <v>0</v>
      </c>
      <c r="L26" s="14" t="n">
        <f aca="false">'Weekly Data'!L62</f>
        <v>0</v>
      </c>
      <c r="M26" s="37"/>
      <c r="N26" s="30" t="n">
        <f aca="false">SUM(B26:M26)</f>
        <v>0</v>
      </c>
    </row>
    <row r="27" customFormat="false" ht="15" hidden="false" customHeight="false" outlineLevel="0" collapsed="false">
      <c r="A27" s="29" t="s">
        <v>18</v>
      </c>
      <c r="B27" s="14" t="n">
        <f aca="false">'Weekly Data'!M9</f>
        <v>0</v>
      </c>
      <c r="C27" s="14" t="n">
        <f aca="false">'Weekly Data'!M14</f>
        <v>0</v>
      </c>
      <c r="D27" s="14" t="n">
        <f aca="false">'Weekly Data'!M20</f>
        <v>0</v>
      </c>
      <c r="E27" s="14" t="n">
        <f aca="false">'Weekly Data'!M25</f>
        <v>0</v>
      </c>
      <c r="F27" s="14" t="n">
        <f aca="false">'Weekly Data'!M30</f>
        <v>0</v>
      </c>
      <c r="G27" s="14" t="n">
        <f aca="false">'Weekly Data'!M36</f>
        <v>0</v>
      </c>
      <c r="H27" s="14" t="n">
        <f aca="false">'Weekly Data'!M41</f>
        <v>0</v>
      </c>
      <c r="I27" s="14" t="n">
        <f aca="false">'Weekly Data'!M46</f>
        <v>0</v>
      </c>
      <c r="J27" s="14" t="n">
        <f aca="false">'Weekly Data'!M52</f>
        <v>0</v>
      </c>
      <c r="K27" s="14" t="n">
        <f aca="false">'Weekly Data'!M57</f>
        <v>0</v>
      </c>
      <c r="L27" s="14" t="n">
        <f aca="false">'Weekly Data'!M62</f>
        <v>0</v>
      </c>
      <c r="M27" s="37"/>
      <c r="N27" s="30" t="n">
        <f aca="false">SUM(B27:M27)</f>
        <v>0</v>
      </c>
    </row>
    <row r="28" customFormat="false" ht="15" hidden="false" customHeight="false" outlineLevel="0" collapsed="false">
      <c r="A28" s="29" t="s">
        <v>19</v>
      </c>
      <c r="B28" s="14" t="n">
        <f aca="false">'Weekly Data'!N9</f>
        <v>0</v>
      </c>
      <c r="C28" s="14" t="n">
        <f aca="false">'Weekly Data'!N14</f>
        <v>0</v>
      </c>
      <c r="D28" s="14" t="n">
        <f aca="false">'Weekly Data'!N20</f>
        <v>0</v>
      </c>
      <c r="E28" s="14" t="n">
        <f aca="false">'Weekly Data'!N25</f>
        <v>0</v>
      </c>
      <c r="F28" s="14" t="n">
        <f aca="false">'Weekly Data'!N30</f>
        <v>0</v>
      </c>
      <c r="G28" s="14" t="n">
        <f aca="false">'Weekly Data'!N36</f>
        <v>0</v>
      </c>
      <c r="H28" s="14" t="n">
        <f aca="false">'Weekly Data'!N41</f>
        <v>0</v>
      </c>
      <c r="I28" s="14" t="n">
        <f aca="false">'Weekly Data'!N46</f>
        <v>0</v>
      </c>
      <c r="J28" s="14" t="n">
        <f aca="false">'Weekly Data'!N52</f>
        <v>0</v>
      </c>
      <c r="K28" s="14" t="n">
        <f aca="false">'Weekly Data'!N57</f>
        <v>0</v>
      </c>
      <c r="L28" s="14" t="n">
        <f aca="false">'Weekly Data'!N62</f>
        <v>0</v>
      </c>
      <c r="M28" s="37"/>
      <c r="N28" s="30" t="n">
        <f aca="false">SUM(B28:M28)</f>
        <v>0</v>
      </c>
    </row>
    <row r="29" customFormat="false" ht="15" hidden="false" customHeight="false" outlineLevel="0" collapsed="false">
      <c r="A29" s="29" t="s">
        <v>20</v>
      </c>
      <c r="B29" s="14" t="n">
        <f aca="false">'Weekly Data'!O9</f>
        <v>0</v>
      </c>
      <c r="C29" s="14" t="n">
        <f aca="false">'Weekly Data'!O14</f>
        <v>0</v>
      </c>
      <c r="D29" s="14" t="n">
        <f aca="false">'Weekly Data'!O20</f>
        <v>0</v>
      </c>
      <c r="E29" s="14" t="n">
        <f aca="false">'Weekly Data'!O25</f>
        <v>0</v>
      </c>
      <c r="F29" s="14" t="n">
        <f aca="false">'Weekly Data'!O30</f>
        <v>0</v>
      </c>
      <c r="G29" s="14" t="n">
        <f aca="false">'Weekly Data'!O36</f>
        <v>0</v>
      </c>
      <c r="H29" s="14" t="n">
        <f aca="false">'Weekly Data'!O41</f>
        <v>0</v>
      </c>
      <c r="I29" s="14" t="n">
        <f aca="false">'Weekly Data'!O46</f>
        <v>0</v>
      </c>
      <c r="J29" s="14" t="n">
        <f aca="false">'Weekly Data'!O52</f>
        <v>0</v>
      </c>
      <c r="K29" s="14" t="n">
        <f aca="false">'Weekly Data'!O57</f>
        <v>0</v>
      </c>
      <c r="L29" s="14" t="n">
        <f aca="false">'Weekly Data'!O62</f>
        <v>0</v>
      </c>
      <c r="M29" s="37"/>
      <c r="N29" s="30" t="n">
        <f aca="false">SUM(B29:M29)</f>
        <v>0</v>
      </c>
    </row>
    <row r="30" customFormat="false" ht="15" hidden="false" customHeight="false" outlineLevel="0" collapsed="false">
      <c r="A30" s="29" t="s">
        <v>21</v>
      </c>
      <c r="B30" s="14" t="n">
        <f aca="false">'Weekly Data'!P9</f>
        <v>0</v>
      </c>
      <c r="C30" s="14" t="n">
        <f aca="false">'Weekly Data'!P14</f>
        <v>0</v>
      </c>
      <c r="D30" s="14" t="n">
        <f aca="false">'Weekly Data'!P20</f>
        <v>0</v>
      </c>
      <c r="E30" s="14" t="n">
        <f aca="false">'Weekly Data'!P25</f>
        <v>0</v>
      </c>
      <c r="F30" s="14" t="n">
        <f aca="false">'Weekly Data'!P30</f>
        <v>0</v>
      </c>
      <c r="G30" s="14" t="n">
        <f aca="false">'Weekly Data'!P36</f>
        <v>0</v>
      </c>
      <c r="H30" s="14" t="n">
        <f aca="false">'Weekly Data'!P41</f>
        <v>0</v>
      </c>
      <c r="I30" s="14" t="n">
        <f aca="false">'Weekly Data'!P46</f>
        <v>0</v>
      </c>
      <c r="J30" s="14" t="n">
        <f aca="false">'Weekly Data'!P52</f>
        <v>0</v>
      </c>
      <c r="K30" s="14" t="n">
        <f aca="false">'Weekly Data'!P57</f>
        <v>0</v>
      </c>
      <c r="L30" s="14" t="n">
        <f aca="false">'Weekly Data'!P62</f>
        <v>0</v>
      </c>
      <c r="M30" s="37"/>
      <c r="N30" s="30" t="n">
        <f aca="false">SUM(B30:M30)</f>
        <v>0</v>
      </c>
    </row>
    <row r="31" customFormat="false" ht="15" hidden="false" customHeight="false" outlineLevel="0" collapsed="false">
      <c r="A31" s="29" t="s">
        <v>22</v>
      </c>
      <c r="B31" s="14" t="n">
        <f aca="false">'Weekly Data'!Q9</f>
        <v>0</v>
      </c>
      <c r="C31" s="14" t="n">
        <f aca="false">'Weekly Data'!Q14</f>
        <v>0</v>
      </c>
      <c r="D31" s="14" t="n">
        <f aca="false">'Weekly Data'!Q20</f>
        <v>0</v>
      </c>
      <c r="E31" s="14" t="n">
        <f aca="false">'Weekly Data'!Q25</f>
        <v>0</v>
      </c>
      <c r="F31" s="14" t="n">
        <f aca="false">'Weekly Data'!Q30</f>
        <v>0</v>
      </c>
      <c r="G31" s="14" t="n">
        <f aca="false">'Weekly Data'!Q36</f>
        <v>0</v>
      </c>
      <c r="H31" s="14" t="n">
        <f aca="false">'Weekly Data'!Q41</f>
        <v>0</v>
      </c>
      <c r="I31" s="14" t="n">
        <f aca="false">'Weekly Data'!Q46</f>
        <v>0</v>
      </c>
      <c r="J31" s="14" t="n">
        <f aca="false">'Weekly Data'!Q52</f>
        <v>0</v>
      </c>
      <c r="K31" s="14" t="n">
        <f aca="false">'Weekly Data'!Q57</f>
        <v>0</v>
      </c>
      <c r="L31" s="14" t="n">
        <f aca="false">'Weekly Data'!Q62</f>
        <v>0</v>
      </c>
      <c r="M31" s="37"/>
      <c r="N31" s="30" t="n">
        <f aca="false">SUM(B31:M31)</f>
        <v>0</v>
      </c>
    </row>
    <row r="32" customFormat="false" ht="15" hidden="false" customHeight="false" outlineLevel="0" collapsed="false">
      <c r="A32" s="29" t="s">
        <v>23</v>
      </c>
      <c r="B32" s="14" t="n">
        <f aca="false">'Weekly Data'!R9</f>
        <v>0</v>
      </c>
      <c r="C32" s="14" t="n">
        <f aca="false">'Weekly Data'!R14</f>
        <v>0</v>
      </c>
      <c r="D32" s="14" t="n">
        <f aca="false">'Weekly Data'!R20</f>
        <v>0</v>
      </c>
      <c r="E32" s="14" t="n">
        <f aca="false">'Weekly Data'!R25</f>
        <v>0</v>
      </c>
      <c r="F32" s="14" t="n">
        <f aca="false">'Weekly Data'!R30</f>
        <v>0</v>
      </c>
      <c r="G32" s="14" t="n">
        <f aca="false">'Weekly Data'!R36</f>
        <v>0</v>
      </c>
      <c r="H32" s="14" t="n">
        <f aca="false">'Weekly Data'!R41</f>
        <v>0</v>
      </c>
      <c r="I32" s="14" t="n">
        <f aca="false">'Weekly Data'!R46</f>
        <v>0</v>
      </c>
      <c r="J32" s="14" t="n">
        <f aca="false">'Weekly Data'!R52</f>
        <v>0</v>
      </c>
      <c r="K32" s="14" t="n">
        <f aca="false">'Weekly Data'!R57</f>
        <v>0</v>
      </c>
      <c r="L32" s="14" t="n">
        <f aca="false">'Weekly Data'!R62</f>
        <v>0</v>
      </c>
      <c r="M32" s="37"/>
      <c r="N32" s="30" t="n">
        <f aca="false">SUM(B32:M32)</f>
        <v>0</v>
      </c>
    </row>
    <row r="33" customFormat="false" ht="15" hidden="false" customHeight="false" outlineLevel="0" collapsed="false">
      <c r="A33" s="38" t="s">
        <v>299</v>
      </c>
      <c r="B33" s="39" t="n">
        <f aca="false">SUM(B26:B32)</f>
        <v>0</v>
      </c>
      <c r="C33" s="39" t="n">
        <f aca="false">SUM(C26:C32)</f>
        <v>0</v>
      </c>
      <c r="D33" s="39" t="n">
        <f aca="false">SUM(D26:D32)</f>
        <v>0</v>
      </c>
      <c r="E33" s="39" t="n">
        <f aca="false">SUM(E26:E32)</f>
        <v>0</v>
      </c>
      <c r="F33" s="39" t="n">
        <f aca="false">SUM(F26:F32)</f>
        <v>0</v>
      </c>
      <c r="G33" s="39" t="n">
        <f aca="false">SUM(G26:G32)</f>
        <v>0</v>
      </c>
      <c r="H33" s="39" t="n">
        <f aca="false">SUM(H26:H32)</f>
        <v>0</v>
      </c>
      <c r="I33" s="39" t="n">
        <f aca="false">SUM(I26:I32)</f>
        <v>0</v>
      </c>
      <c r="J33" s="39" t="n">
        <f aca="false">SUM(J26:J32)</f>
        <v>0</v>
      </c>
      <c r="K33" s="39" t="n">
        <f aca="false">SUM(K26:K32)</f>
        <v>0</v>
      </c>
      <c r="L33" s="39" t="n">
        <f aca="false">SUM(L26:L32)</f>
        <v>0</v>
      </c>
      <c r="M33" s="39" t="n">
        <f aca="false">SUM(M26:M32)</f>
        <v>0</v>
      </c>
      <c r="N33" s="39" t="n">
        <f aca="false">SUM(N26:N32)</f>
        <v>0</v>
      </c>
    </row>
    <row r="35" customFormat="false" ht="15" hidden="false" customHeight="false" outlineLevel="0" collapsed="false">
      <c r="A35" s="27" t="s">
        <v>300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customFormat="false" ht="15" hidden="false" customHeight="false" outlineLevel="0" collapsed="false">
      <c r="A36" s="28" t="s">
        <v>292</v>
      </c>
      <c r="B36" s="7" t="s">
        <v>46</v>
      </c>
      <c r="C36" s="7" t="s">
        <v>56</v>
      </c>
      <c r="D36" s="7" t="s">
        <v>66</v>
      </c>
      <c r="E36" s="7" t="s">
        <v>78</v>
      </c>
      <c r="F36" s="7" t="s">
        <v>88</v>
      </c>
      <c r="G36" s="7" t="s">
        <v>98</v>
      </c>
      <c r="H36" s="7" t="s">
        <v>110</v>
      </c>
      <c r="I36" s="7" t="s">
        <v>120</v>
      </c>
      <c r="J36" s="7" t="s">
        <v>130</v>
      </c>
      <c r="K36" s="7" t="s">
        <v>142</v>
      </c>
      <c r="L36" s="7" t="s">
        <v>152</v>
      </c>
      <c r="M36" s="7" t="s">
        <v>162</v>
      </c>
      <c r="N36" s="7" t="s">
        <v>293</v>
      </c>
    </row>
    <row r="37" customFormat="false" ht="15" hidden="false" customHeight="false" outlineLevel="0" collapsed="false">
      <c r="A37" s="29" t="s">
        <v>294</v>
      </c>
      <c r="B37" s="14" t="n">
        <f aca="false">'Weekly Data'!F72</f>
        <v>0</v>
      </c>
      <c r="C37" s="14" t="n">
        <f aca="false">'Weekly Data'!F77</f>
        <v>782928</v>
      </c>
      <c r="D37" s="14" t="n">
        <f aca="false">'Weekly Data'!F83</f>
        <v>0</v>
      </c>
      <c r="E37" s="14" t="n">
        <f aca="false">'Weekly Data'!F88</f>
        <v>0</v>
      </c>
      <c r="F37" s="14" t="n">
        <f aca="false">'Weekly Data'!F93</f>
        <v>0</v>
      </c>
      <c r="G37" s="14" t="n">
        <f aca="false">'Weekly Data'!F99</f>
        <v>0</v>
      </c>
      <c r="H37" s="14" t="n">
        <f aca="false">'Weekly Data'!F104</f>
        <v>0</v>
      </c>
      <c r="I37" s="14" t="n">
        <f aca="false">'Weekly Data'!F110</f>
        <v>0</v>
      </c>
      <c r="J37" s="14" t="n">
        <f aca="false">'Weekly Data'!F115</f>
        <v>0</v>
      </c>
      <c r="K37" s="14" t="n">
        <f aca="false">'Weekly Data'!F120</f>
        <v>0</v>
      </c>
      <c r="L37" s="14" t="n">
        <f aca="false">'Weekly Data'!F126</f>
        <v>0</v>
      </c>
      <c r="M37" s="14" t="n">
        <f aca="false">'Weekly Data'!F131</f>
        <v>0</v>
      </c>
      <c r="N37" s="30" t="n">
        <f aca="false">SUM(B37:M37)</f>
        <v>782928</v>
      </c>
    </row>
    <row r="38" customFormat="false" ht="15" hidden="false" customHeight="false" outlineLevel="0" collapsed="false">
      <c r="A38" s="29" t="s">
        <v>12</v>
      </c>
      <c r="B38" s="14" t="n">
        <f aca="false">'Weekly Data'!G72</f>
        <v>0</v>
      </c>
      <c r="C38" s="14" t="n">
        <f aca="false">'Weekly Data'!G77</f>
        <v>384814</v>
      </c>
      <c r="D38" s="14" t="n">
        <f aca="false">'Weekly Data'!G83</f>
        <v>0</v>
      </c>
      <c r="E38" s="14" t="n">
        <f aca="false">'Weekly Data'!G88</f>
        <v>0</v>
      </c>
      <c r="F38" s="14" t="n">
        <f aca="false">'Weekly Data'!G93</f>
        <v>0</v>
      </c>
      <c r="G38" s="14" t="n">
        <f aca="false">'Weekly Data'!G99</f>
        <v>0</v>
      </c>
      <c r="H38" s="14" t="n">
        <f aca="false">'Weekly Data'!G104</f>
        <v>0</v>
      </c>
      <c r="I38" s="14" t="n">
        <f aca="false">'Weekly Data'!G110</f>
        <v>0</v>
      </c>
      <c r="J38" s="14" t="n">
        <f aca="false">'Weekly Data'!G115</f>
        <v>0</v>
      </c>
      <c r="K38" s="14" t="n">
        <f aca="false">'Weekly Data'!G120</f>
        <v>0</v>
      </c>
      <c r="L38" s="14" t="n">
        <f aca="false">'Weekly Data'!G126</f>
        <v>0</v>
      </c>
      <c r="M38" s="14" t="n">
        <f aca="false">'Weekly Data'!G131</f>
        <v>0</v>
      </c>
      <c r="N38" s="30" t="n">
        <f aca="false">SUM(B38:M38)</f>
        <v>384814</v>
      </c>
    </row>
    <row r="39" customFormat="false" ht="15" hidden="false" customHeight="false" outlineLevel="0" collapsed="false">
      <c r="A39" s="29" t="s">
        <v>295</v>
      </c>
      <c r="B39" s="14" t="str">
        <f aca="false">'Weekly Data'!H72</f>
        <v/>
      </c>
      <c r="C39" s="14" t="n">
        <f aca="false">'Weekly Data'!H77</f>
        <v>33176</v>
      </c>
      <c r="D39" s="14" t="str">
        <f aca="false">'Weekly Data'!H83</f>
        <v/>
      </c>
      <c r="E39" s="14" t="str">
        <f aca="false">'Weekly Data'!H88</f>
        <v/>
      </c>
      <c r="F39" s="14" t="str">
        <f aca="false">'Weekly Data'!H93</f>
        <v/>
      </c>
      <c r="G39" s="14" t="str">
        <f aca="false">'Weekly Data'!H99</f>
        <v/>
      </c>
      <c r="H39" s="14" t="str">
        <f aca="false">'Weekly Data'!H104</f>
        <v/>
      </c>
      <c r="I39" s="14" t="str">
        <f aca="false">'Weekly Data'!H110</f>
        <v/>
      </c>
      <c r="J39" s="14" t="str">
        <f aca="false">'Weekly Data'!H115</f>
        <v/>
      </c>
      <c r="K39" s="14" t="str">
        <f aca="false">'Weekly Data'!H120</f>
        <v/>
      </c>
      <c r="L39" s="14" t="str">
        <f aca="false">'Weekly Data'!H126</f>
        <v/>
      </c>
      <c r="M39" s="14" t="str">
        <f aca="false">'Weekly Data'!H131</f>
        <v/>
      </c>
      <c r="N39" s="30" t="n">
        <f aca="false">IFERROR(LOOKUP(2,1/(B39:M39&lt;&gt;""),B39:M39),"")</f>
        <v>33176</v>
      </c>
    </row>
    <row r="40" customFormat="false" ht="15" hidden="false" customHeight="false" outlineLevel="0" collapsed="false">
      <c r="A40" s="29" t="s">
        <v>24</v>
      </c>
      <c r="B40" s="14" t="n">
        <f aca="false">'Weekly Data'!S72</f>
        <v>1385716</v>
      </c>
      <c r="C40" s="14" t="n">
        <f aca="false">'Weekly Data'!S77</f>
        <v>1292505</v>
      </c>
      <c r="D40" s="14" t="str">
        <f aca="false">'Weekly Data'!S83</f>
        <v/>
      </c>
      <c r="E40" s="14" t="str">
        <f aca="false">'Weekly Data'!S88</f>
        <v/>
      </c>
      <c r="F40" s="14" t="str">
        <f aca="false">'Weekly Data'!S93</f>
        <v/>
      </c>
      <c r="G40" s="14" t="str">
        <f aca="false">'Weekly Data'!S99</f>
        <v/>
      </c>
      <c r="H40" s="14" t="str">
        <f aca="false">'Weekly Data'!S104</f>
        <v/>
      </c>
      <c r="I40" s="14" t="str">
        <f aca="false">'Weekly Data'!S110</f>
        <v/>
      </c>
      <c r="J40" s="14" t="str">
        <f aca="false">'Weekly Data'!S115</f>
        <v/>
      </c>
      <c r="K40" s="14" t="str">
        <f aca="false">'Weekly Data'!S120</f>
        <v/>
      </c>
      <c r="L40" s="14" t="str">
        <f aca="false">'Weekly Data'!S126</f>
        <v/>
      </c>
      <c r="M40" s="14" t="str">
        <f aca="false">'Weekly Data'!S131</f>
        <v/>
      </c>
      <c r="N40" s="30" t="n">
        <f aca="false">IFERROR(LOOKUP(2,1/(B40:M40&lt;&gt;""),B40:M40),"")</f>
        <v>1292505</v>
      </c>
    </row>
    <row r="41" customFormat="false" ht="15" hidden="false" customHeight="false" outlineLevel="0" collapsed="false">
      <c r="A41" s="29" t="s">
        <v>26</v>
      </c>
      <c r="B41" s="14" t="n">
        <f aca="false">'Weekly Data'!U72</f>
        <v>530251</v>
      </c>
      <c r="C41" s="14" t="n">
        <f aca="false">'Weekly Data'!U77</f>
        <v>613819</v>
      </c>
      <c r="D41" s="14" t="str">
        <f aca="false">'Weekly Data'!U83</f>
        <v/>
      </c>
      <c r="E41" s="14" t="str">
        <f aca="false">'Weekly Data'!U88</f>
        <v/>
      </c>
      <c r="F41" s="14" t="str">
        <f aca="false">'Weekly Data'!U93</f>
        <v/>
      </c>
      <c r="G41" s="14" t="str">
        <f aca="false">'Weekly Data'!U99</f>
        <v/>
      </c>
      <c r="H41" s="14" t="str">
        <f aca="false">'Weekly Data'!U104</f>
        <v/>
      </c>
      <c r="I41" s="14" t="str">
        <f aca="false">'Weekly Data'!U110</f>
        <v/>
      </c>
      <c r="J41" s="14" t="str">
        <f aca="false">'Weekly Data'!U115</f>
        <v/>
      </c>
      <c r="K41" s="14" t="str">
        <f aca="false">'Weekly Data'!U120</f>
        <v/>
      </c>
      <c r="L41" s="14" t="str">
        <f aca="false">'Weekly Data'!U126</f>
        <v/>
      </c>
      <c r="M41" s="14" t="str">
        <f aca="false">'Weekly Data'!U131</f>
        <v/>
      </c>
      <c r="N41" s="30" t="n">
        <f aca="false">IFERROR(LOOKUP(2,1/(B41:M41&lt;&gt;""),B41:M41),"")</f>
        <v>613819</v>
      </c>
    </row>
    <row r="42" customFormat="false" ht="15" hidden="false" customHeight="false" outlineLevel="0" collapsed="false">
      <c r="A42" s="29" t="s">
        <v>27</v>
      </c>
      <c r="B42" s="13" t="n">
        <f aca="false">'Weekly Data'!V72</f>
        <v>38.2654887437253</v>
      </c>
      <c r="C42" s="13" t="n">
        <f aca="false">'Weekly Data'!V77</f>
        <v>47.4906480052302</v>
      </c>
      <c r="D42" s="13" t="str">
        <f aca="false">'Weekly Data'!V83</f>
        <v/>
      </c>
      <c r="E42" s="13" t="str">
        <f aca="false">'Weekly Data'!V88</f>
        <v/>
      </c>
      <c r="F42" s="13" t="str">
        <f aca="false">'Weekly Data'!V93</f>
        <v/>
      </c>
      <c r="G42" s="13" t="str">
        <f aca="false">'Weekly Data'!V99</f>
        <v/>
      </c>
      <c r="H42" s="13" t="str">
        <f aca="false">'Weekly Data'!V104</f>
        <v/>
      </c>
      <c r="I42" s="13" t="str">
        <f aca="false">'Weekly Data'!V110</f>
        <v/>
      </c>
      <c r="J42" s="13" t="str">
        <f aca="false">'Weekly Data'!V115</f>
        <v/>
      </c>
      <c r="K42" s="13" t="str">
        <f aca="false">'Weekly Data'!V120</f>
        <v/>
      </c>
      <c r="L42" s="13" t="str">
        <f aca="false">'Weekly Data'!V126</f>
        <v/>
      </c>
      <c r="M42" s="13" t="str">
        <f aca="false">'Weekly Data'!V131</f>
        <v/>
      </c>
      <c r="N42" s="31" t="n">
        <f aca="false">IFERROR(AVERAGE(B42:M42),"")</f>
        <v>42.8780683744777</v>
      </c>
    </row>
    <row r="43" customFormat="false" ht="15" hidden="false" customHeight="false" outlineLevel="0" collapsed="false">
      <c r="A43" s="29" t="s">
        <v>28</v>
      </c>
      <c r="B43" s="14" t="str">
        <f aca="false">'Weekly Data'!W72</f>
        <v/>
      </c>
      <c r="C43" s="14" t="n">
        <f aca="false">'Weekly Data'!W77</f>
        <v>-509577</v>
      </c>
      <c r="D43" s="14" t="str">
        <f aca="false">'Weekly Data'!W83</f>
        <v/>
      </c>
      <c r="E43" s="14" t="str">
        <f aca="false">'Weekly Data'!W88</f>
        <v/>
      </c>
      <c r="F43" s="14" t="str">
        <f aca="false">'Weekly Data'!W93</f>
        <v/>
      </c>
      <c r="G43" s="14" t="str">
        <f aca="false">'Weekly Data'!W99</f>
        <v/>
      </c>
      <c r="H43" s="14" t="str">
        <f aca="false">'Weekly Data'!W104</f>
        <v/>
      </c>
      <c r="I43" s="14" t="str">
        <f aca="false">'Weekly Data'!W110</f>
        <v/>
      </c>
      <c r="J43" s="14" t="str">
        <f aca="false">'Weekly Data'!W115</f>
        <v/>
      </c>
      <c r="K43" s="14" t="str">
        <f aca="false">'Weekly Data'!W120</f>
        <v/>
      </c>
      <c r="L43" s="14" t="str">
        <f aca="false">'Weekly Data'!W126</f>
        <v/>
      </c>
      <c r="M43" s="14" t="str">
        <f aca="false">'Weekly Data'!W131</f>
        <v/>
      </c>
      <c r="N43" s="30" t="n">
        <f aca="false">IFERROR(LOOKUP(2,1/(B43:M43&lt;&gt;""),B43:M43),"")</f>
        <v>-509577</v>
      </c>
    </row>
    <row r="44" customFormat="false" ht="15" hidden="false" customHeight="false" outlineLevel="0" collapsed="false">
      <c r="A44" s="29" t="s">
        <v>29</v>
      </c>
      <c r="B44" s="14" t="n">
        <f aca="false">'Weekly Data'!X72</f>
        <v>3133802</v>
      </c>
      <c r="C44" s="14" t="n">
        <f aca="false">'Weekly Data'!X77</f>
        <v>3076658</v>
      </c>
      <c r="D44" s="14" t="str">
        <f aca="false">'Weekly Data'!X83</f>
        <v/>
      </c>
      <c r="E44" s="14" t="str">
        <f aca="false">'Weekly Data'!X88</f>
        <v/>
      </c>
      <c r="F44" s="14" t="str">
        <f aca="false">'Weekly Data'!X93</f>
        <v/>
      </c>
      <c r="G44" s="14" t="str">
        <f aca="false">'Weekly Data'!X99</f>
        <v/>
      </c>
      <c r="H44" s="14" t="str">
        <f aca="false">'Weekly Data'!X104</f>
        <v/>
      </c>
      <c r="I44" s="14" t="str">
        <f aca="false">'Weekly Data'!X110</f>
        <v/>
      </c>
      <c r="J44" s="14" t="str">
        <f aca="false">'Weekly Data'!X115</f>
        <v/>
      </c>
      <c r="K44" s="14" t="str">
        <f aca="false">'Weekly Data'!X120</f>
        <v/>
      </c>
      <c r="L44" s="14" t="str">
        <f aca="false">'Weekly Data'!X126</f>
        <v/>
      </c>
      <c r="M44" s="14" t="str">
        <f aca="false">'Weekly Data'!X131</f>
        <v/>
      </c>
      <c r="N44" s="30" t="n">
        <f aca="false">IFERROR(LOOKUP(2,1/(B44:M44&lt;&gt;""),B44:M44),"")</f>
        <v>3076658</v>
      </c>
    </row>
    <row r="45" customFormat="false" ht="15" hidden="false" customHeight="false" outlineLevel="0" collapsed="false">
      <c r="A45" s="29" t="s">
        <v>30</v>
      </c>
      <c r="B45" s="32" t="str">
        <f aca="false">'Weekly Data'!Y72</f>
        <v/>
      </c>
      <c r="C45" s="32" t="n">
        <f aca="false">'Weekly Data'!Y77</f>
        <v>40</v>
      </c>
      <c r="D45" s="32" t="str">
        <f aca="false">'Weekly Data'!Y83</f>
        <v/>
      </c>
      <c r="E45" s="32" t="str">
        <f aca="false">'Weekly Data'!Y88</f>
        <v/>
      </c>
      <c r="F45" s="32" t="str">
        <f aca="false">'Weekly Data'!Y93</f>
        <v/>
      </c>
      <c r="G45" s="32" t="str">
        <f aca="false">'Weekly Data'!Y99</f>
        <v/>
      </c>
      <c r="H45" s="32" t="str">
        <f aca="false">'Weekly Data'!Y104</f>
        <v/>
      </c>
      <c r="I45" s="32" t="str">
        <f aca="false">'Weekly Data'!Y110</f>
        <v/>
      </c>
      <c r="J45" s="32" t="str">
        <f aca="false">'Weekly Data'!Y115</f>
        <v/>
      </c>
      <c r="K45" s="32" t="str">
        <f aca="false">'Weekly Data'!Y120</f>
        <v/>
      </c>
      <c r="L45" s="32" t="str">
        <f aca="false">'Weekly Data'!Y126</f>
        <v/>
      </c>
      <c r="M45" s="32" t="str">
        <f aca="false">'Weekly Data'!Y131</f>
        <v/>
      </c>
      <c r="N45" s="33" t="n">
        <f aca="false">IFERROR(LOOKUP(2,1/(B45:M45&lt;&gt;""),B45:M45),"")</f>
        <v>40</v>
      </c>
    </row>
    <row r="46" customFormat="false" ht="15" hidden="false" customHeight="false" outlineLevel="0" collapsed="false">
      <c r="A46" s="29" t="s">
        <v>31</v>
      </c>
      <c r="B46" s="14" t="str">
        <f aca="false">'Weekly Data'!Z72</f>
        <v/>
      </c>
      <c r="C46" s="14" t="n">
        <f aca="false">'Weekly Data'!Z77</f>
        <v>1432806</v>
      </c>
      <c r="D46" s="14" t="str">
        <f aca="false">'Weekly Data'!Z83</f>
        <v/>
      </c>
      <c r="E46" s="14" t="str">
        <f aca="false">'Weekly Data'!Z88</f>
        <v/>
      </c>
      <c r="F46" s="14" t="str">
        <f aca="false">'Weekly Data'!Z93</f>
        <v/>
      </c>
      <c r="G46" s="14" t="str">
        <f aca="false">'Weekly Data'!Z99</f>
        <v/>
      </c>
      <c r="H46" s="14" t="str">
        <f aca="false">'Weekly Data'!Z104</f>
        <v/>
      </c>
      <c r="I46" s="14" t="str">
        <f aca="false">'Weekly Data'!Z110</f>
        <v/>
      </c>
      <c r="J46" s="14" t="str">
        <f aca="false">'Weekly Data'!Z115</f>
        <v/>
      </c>
      <c r="K46" s="14" t="str">
        <f aca="false">'Weekly Data'!Z120</f>
        <v/>
      </c>
      <c r="L46" s="14" t="str">
        <f aca="false">'Weekly Data'!Z126</f>
        <v/>
      </c>
      <c r="M46" s="14" t="str">
        <f aca="false">'Weekly Data'!Z131</f>
        <v/>
      </c>
      <c r="N46" s="30" t="n">
        <f aca="false">IFERROR(LOOKUP(2,1/(B46:M46&lt;&gt;""),B46:M46),"")</f>
        <v>1432806</v>
      </c>
    </row>
    <row r="47" customFormat="false" ht="15" hidden="false" customHeight="false" outlineLevel="0" collapsed="false">
      <c r="A47" s="29" t="s">
        <v>32</v>
      </c>
      <c r="B47" s="14" t="str">
        <f aca="false">'Weekly Data'!AA72</f>
        <v/>
      </c>
      <c r="C47" s="14" t="n">
        <f aca="false">'Weekly Data'!AA77</f>
        <v>5207610</v>
      </c>
      <c r="D47" s="14" t="str">
        <f aca="false">'Weekly Data'!AA83</f>
        <v/>
      </c>
      <c r="E47" s="14" t="str">
        <f aca="false">'Weekly Data'!AA88</f>
        <v/>
      </c>
      <c r="F47" s="14" t="str">
        <f aca="false">'Weekly Data'!AA93</f>
        <v/>
      </c>
      <c r="G47" s="14" t="str">
        <f aca="false">'Weekly Data'!AA99</f>
        <v/>
      </c>
      <c r="H47" s="14" t="str">
        <f aca="false">'Weekly Data'!AA104</f>
        <v/>
      </c>
      <c r="I47" s="14" t="str">
        <f aca="false">'Weekly Data'!AA110</f>
        <v/>
      </c>
      <c r="J47" s="14" t="str">
        <f aca="false">'Weekly Data'!AA115</f>
        <v/>
      </c>
      <c r="K47" s="14" t="str">
        <f aca="false">'Weekly Data'!AA120</f>
        <v/>
      </c>
      <c r="L47" s="14" t="str">
        <f aca="false">'Weekly Data'!AA126</f>
        <v/>
      </c>
      <c r="M47" s="14" t="str">
        <f aca="false">'Weekly Data'!AA131</f>
        <v/>
      </c>
      <c r="N47" s="30" t="n">
        <f aca="false">IFERROR(LOOKUP(2,1/(B47:M47&lt;&gt;""),B47:M47),"")</f>
        <v>5207610</v>
      </c>
    </row>
    <row r="48" customFormat="false" ht="15" hidden="false" customHeight="false" outlineLevel="0" collapsed="false">
      <c r="A48" s="29" t="s">
        <v>296</v>
      </c>
      <c r="B48" s="13" t="n">
        <f aca="false">'Weekly Data'!AB72</f>
        <v>32.8</v>
      </c>
      <c r="C48" s="13" t="n">
        <f aca="false">'Weekly Data'!AB77</f>
        <v>24.5</v>
      </c>
      <c r="D48" s="13" t="str">
        <f aca="false">'Weekly Data'!AB83</f>
        <v/>
      </c>
      <c r="E48" s="13" t="str">
        <f aca="false">'Weekly Data'!AB88</f>
        <v/>
      </c>
      <c r="F48" s="13" t="str">
        <f aca="false">'Weekly Data'!AB93</f>
        <v/>
      </c>
      <c r="G48" s="13" t="str">
        <f aca="false">'Weekly Data'!AB99</f>
        <v/>
      </c>
      <c r="H48" s="13" t="str">
        <f aca="false">'Weekly Data'!AB104</f>
        <v/>
      </c>
      <c r="I48" s="13" t="str">
        <f aca="false">'Weekly Data'!AB110</f>
        <v/>
      </c>
      <c r="J48" s="13" t="str">
        <f aca="false">'Weekly Data'!AB115</f>
        <v/>
      </c>
      <c r="K48" s="13" t="str">
        <f aca="false">'Weekly Data'!AB120</f>
        <v/>
      </c>
      <c r="L48" s="13" t="str">
        <f aca="false">'Weekly Data'!AB126</f>
        <v/>
      </c>
      <c r="M48" s="13" t="str">
        <f aca="false">'Weekly Data'!AB131</f>
        <v/>
      </c>
      <c r="N48" s="31" t="n">
        <f aca="false">IFERROR(AVERAGE(B48:M48),"")</f>
        <v>28.65</v>
      </c>
    </row>
    <row r="49" customFormat="false" ht="15" hidden="false" customHeight="false" outlineLevel="0" collapsed="false">
      <c r="A49" s="29" t="s">
        <v>34</v>
      </c>
      <c r="B49" s="32" t="n">
        <f aca="false">'Weekly Data'!AC72</f>
        <v>0</v>
      </c>
      <c r="C49" s="32" t="n">
        <f aca="false">'Weekly Data'!AC77</f>
        <v>0</v>
      </c>
      <c r="D49" s="32" t="n">
        <f aca="false">'Weekly Data'!AC83</f>
        <v>532</v>
      </c>
      <c r="E49" s="32" t="n">
        <f aca="false">'Weekly Data'!AC88</f>
        <v>0</v>
      </c>
      <c r="F49" s="32" t="n">
        <f aca="false">'Weekly Data'!AC93</f>
        <v>0</v>
      </c>
      <c r="G49" s="32" t="n">
        <f aca="false">'Weekly Data'!AC99</f>
        <v>0</v>
      </c>
      <c r="H49" s="32" t="n">
        <f aca="false">'Weekly Data'!AC104</f>
        <v>0</v>
      </c>
      <c r="I49" s="32" t="n">
        <f aca="false">'Weekly Data'!AC110</f>
        <v>0</v>
      </c>
      <c r="J49" s="32" t="n">
        <f aca="false">'Weekly Data'!AC115</f>
        <v>0</v>
      </c>
      <c r="K49" s="32" t="n">
        <f aca="false">'Weekly Data'!AC120</f>
        <v>0</v>
      </c>
      <c r="L49" s="32" t="n">
        <f aca="false">'Weekly Data'!AC126</f>
        <v>0</v>
      </c>
      <c r="M49" s="32" t="n">
        <f aca="false">'Weekly Data'!AC131</f>
        <v>0</v>
      </c>
      <c r="N49" s="33" t="n">
        <f aca="false">SUM(B49:M49)</f>
        <v>532</v>
      </c>
    </row>
    <row r="50" customFormat="false" ht="15" hidden="false" customHeight="false" outlineLevel="0" collapsed="false">
      <c r="A50" s="29" t="s">
        <v>35</v>
      </c>
      <c r="B50" s="32" t="n">
        <f aca="false">'Weekly Data'!AD72</f>
        <v>0</v>
      </c>
      <c r="C50" s="32" t="n">
        <f aca="false">'Weekly Data'!AD77</f>
        <v>0</v>
      </c>
      <c r="D50" s="32" t="n">
        <f aca="false">'Weekly Data'!AD83</f>
        <v>532</v>
      </c>
      <c r="E50" s="32" t="n">
        <f aca="false">'Weekly Data'!AD88</f>
        <v>0</v>
      </c>
      <c r="F50" s="32" t="n">
        <f aca="false">'Weekly Data'!AD93</f>
        <v>0</v>
      </c>
      <c r="G50" s="32" t="n">
        <f aca="false">'Weekly Data'!AD99</f>
        <v>0</v>
      </c>
      <c r="H50" s="32" t="n">
        <f aca="false">'Weekly Data'!AD104</f>
        <v>0</v>
      </c>
      <c r="I50" s="32" t="n">
        <f aca="false">'Weekly Data'!AD110</f>
        <v>0</v>
      </c>
      <c r="J50" s="32" t="n">
        <f aca="false">'Weekly Data'!AD115</f>
        <v>0</v>
      </c>
      <c r="K50" s="32" t="n">
        <f aca="false">'Weekly Data'!AD120</f>
        <v>0</v>
      </c>
      <c r="L50" s="32" t="n">
        <f aca="false">'Weekly Data'!AD126</f>
        <v>0</v>
      </c>
      <c r="M50" s="32" t="n">
        <f aca="false">'Weekly Data'!AD131</f>
        <v>0</v>
      </c>
      <c r="N50" s="33" t="n">
        <f aca="false">SUM(B50:M50)</f>
        <v>532</v>
      </c>
    </row>
    <row r="51" customFormat="false" ht="15" hidden="false" customHeight="false" outlineLevel="0" collapsed="false">
      <c r="A51" s="29" t="s">
        <v>37</v>
      </c>
      <c r="B51" s="34" t="str">
        <f aca="false">'Weekly Data'!AF72</f>
        <v/>
      </c>
      <c r="C51" s="34" t="str">
        <f aca="false">'Weekly Data'!AF77</f>
        <v/>
      </c>
      <c r="D51" s="34" t="n">
        <f aca="false">'Weekly Data'!AF83</f>
        <v>5.66</v>
      </c>
      <c r="E51" s="34" t="str">
        <f aca="false">'Weekly Data'!AF88</f>
        <v/>
      </c>
      <c r="F51" s="34" t="str">
        <f aca="false">'Weekly Data'!AF93</f>
        <v/>
      </c>
      <c r="G51" s="34" t="str">
        <f aca="false">'Weekly Data'!AF99</f>
        <v/>
      </c>
      <c r="H51" s="34" t="str">
        <f aca="false">'Weekly Data'!AF104</f>
        <v/>
      </c>
      <c r="I51" s="34" t="str">
        <f aca="false">'Weekly Data'!AF110</f>
        <v/>
      </c>
      <c r="J51" s="34" t="str">
        <f aca="false">'Weekly Data'!AF115</f>
        <v/>
      </c>
      <c r="K51" s="34" t="str">
        <f aca="false">'Weekly Data'!AF120</f>
        <v/>
      </c>
      <c r="L51" s="34" t="str">
        <f aca="false">'Weekly Data'!AF126</f>
        <v/>
      </c>
      <c r="M51" s="34" t="str">
        <f aca="false">'Weekly Data'!AF131</f>
        <v/>
      </c>
      <c r="N51" s="35" t="n">
        <f aca="false">IFERROR(AVERAGE(B51:M51),"")</f>
        <v>5.66</v>
      </c>
    </row>
    <row r="52" customFormat="false" ht="15" hidden="false" customHeight="false" outlineLevel="0" collapsed="false">
      <c r="A52" s="29" t="s">
        <v>297</v>
      </c>
      <c r="B52" s="13" t="str">
        <f aca="false">'Weekly Data'!AJ72</f>
        <v/>
      </c>
      <c r="C52" s="13" t="str">
        <f aca="false">'Weekly Data'!AJ77</f>
        <v/>
      </c>
      <c r="D52" s="13" t="n">
        <f aca="false">'Weekly Data'!AJ83</f>
        <v>63.5</v>
      </c>
      <c r="E52" s="13" t="str">
        <f aca="false">'Weekly Data'!AJ88</f>
        <v/>
      </c>
      <c r="F52" s="13" t="str">
        <f aca="false">'Weekly Data'!AJ93</f>
        <v/>
      </c>
      <c r="G52" s="13" t="str">
        <f aca="false">'Weekly Data'!AJ99</f>
        <v/>
      </c>
      <c r="H52" s="13" t="str">
        <f aca="false">'Weekly Data'!AJ104</f>
        <v/>
      </c>
      <c r="I52" s="13" t="str">
        <f aca="false">'Weekly Data'!AJ110</f>
        <v/>
      </c>
      <c r="J52" s="13" t="str">
        <f aca="false">'Weekly Data'!AJ115</f>
        <v/>
      </c>
      <c r="K52" s="13" t="str">
        <f aca="false">'Weekly Data'!AJ120</f>
        <v/>
      </c>
      <c r="L52" s="13" t="str">
        <f aca="false">'Weekly Data'!AJ126</f>
        <v/>
      </c>
      <c r="M52" s="13" t="str">
        <f aca="false">'Weekly Data'!AJ131</f>
        <v/>
      </c>
      <c r="N52" s="31" t="n">
        <f aca="false">IFERROR(AVERAGE(B52:M52),"")</f>
        <v>63.5</v>
      </c>
    </row>
    <row r="53" customFormat="false" ht="15" hidden="false" customHeight="false" outlineLevel="0" collapsed="false">
      <c r="A53" s="29" t="s">
        <v>42</v>
      </c>
      <c r="B53" s="14" t="str">
        <f aca="false">'Weekly Data'!AK72</f>
        <v/>
      </c>
      <c r="C53" s="14" t="n">
        <f aca="false">'Weekly Data'!AK77</f>
        <v>453948</v>
      </c>
      <c r="D53" s="14" t="n">
        <f aca="false">'Weekly Data'!AK83</f>
        <v>453948</v>
      </c>
      <c r="E53" s="14" t="str">
        <f aca="false">'Weekly Data'!AK88</f>
        <v/>
      </c>
      <c r="F53" s="14" t="str">
        <f aca="false">'Weekly Data'!AK93</f>
        <v/>
      </c>
      <c r="G53" s="14" t="str">
        <f aca="false">'Weekly Data'!AK99</f>
        <v/>
      </c>
      <c r="H53" s="14" t="str">
        <f aca="false">'Weekly Data'!AK104</f>
        <v/>
      </c>
      <c r="I53" s="14" t="str">
        <f aca="false">'Weekly Data'!AK110</f>
        <v/>
      </c>
      <c r="J53" s="14" t="str">
        <f aca="false">'Weekly Data'!AK115</f>
        <v/>
      </c>
      <c r="K53" s="14" t="str">
        <f aca="false">'Weekly Data'!AK120</f>
        <v/>
      </c>
      <c r="L53" s="14" t="str">
        <f aca="false">'Weekly Data'!AK126</f>
        <v/>
      </c>
      <c r="M53" s="14" t="str">
        <f aca="false">'Weekly Data'!AK131</f>
        <v/>
      </c>
      <c r="N53" s="30" t="n">
        <f aca="false">IFERROR(LOOKUP(2,1/(B53:M53&lt;&gt;""),B53:M53),"")</f>
        <v>453948</v>
      </c>
    </row>
    <row r="54" customFormat="false" ht="15" hidden="false" customHeight="false" outlineLevel="0" collapsed="false">
      <c r="A54" s="29" t="s">
        <v>44</v>
      </c>
      <c r="B54" s="13" t="str">
        <f aca="false">'Weekly Data'!AM72</f>
        <v/>
      </c>
      <c r="C54" s="13" t="n">
        <f aca="false">'Weekly Data'!AM77</f>
        <v>29</v>
      </c>
      <c r="D54" s="13" t="str">
        <f aca="false">'Weekly Data'!AM83</f>
        <v/>
      </c>
      <c r="E54" s="13" t="str">
        <f aca="false">'Weekly Data'!AM88</f>
        <v/>
      </c>
      <c r="F54" s="13" t="str">
        <f aca="false">'Weekly Data'!AM93</f>
        <v/>
      </c>
      <c r="G54" s="13" t="str">
        <f aca="false">'Weekly Data'!AM99</f>
        <v/>
      </c>
      <c r="H54" s="13" t="str">
        <f aca="false">'Weekly Data'!AM104</f>
        <v/>
      </c>
      <c r="I54" s="13" t="str">
        <f aca="false">'Weekly Data'!AM110</f>
        <v/>
      </c>
      <c r="J54" s="13" t="str">
        <f aca="false">'Weekly Data'!AM115</f>
        <v/>
      </c>
      <c r="K54" s="13" t="str">
        <f aca="false">'Weekly Data'!AM120</f>
        <v/>
      </c>
      <c r="L54" s="13" t="str">
        <f aca="false">'Weekly Data'!AM126</f>
        <v/>
      </c>
      <c r="M54" s="13" t="str">
        <f aca="false">'Weekly Data'!AM131</f>
        <v/>
      </c>
      <c r="N54" s="31" t="n">
        <f aca="false">IFERROR(AVERAGE(B54:M54),"")</f>
        <v>29</v>
      </c>
    </row>
    <row r="56" customFormat="false" ht="15" hidden="false" customHeight="false" outlineLevel="0" collapsed="false">
      <c r="A56" s="36" t="s">
        <v>301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customFormat="false" ht="15" hidden="false" customHeight="false" outlineLevel="0" collapsed="false">
      <c r="A57" s="29" t="s">
        <v>17</v>
      </c>
      <c r="B57" s="14" t="n">
        <f aca="false">'Weekly Data'!L72</f>
        <v>0</v>
      </c>
      <c r="C57" s="14" t="n">
        <f aca="false">'Weekly Data'!L77</f>
        <v>208743</v>
      </c>
      <c r="D57" s="14" t="n">
        <f aca="false">'Weekly Data'!L83</f>
        <v>0</v>
      </c>
      <c r="E57" s="14" t="n">
        <f aca="false">'Weekly Data'!L88</f>
        <v>0</v>
      </c>
      <c r="F57" s="14" t="n">
        <f aca="false">'Weekly Data'!L93</f>
        <v>0</v>
      </c>
      <c r="G57" s="14" t="n">
        <f aca="false">'Weekly Data'!L99</f>
        <v>0</v>
      </c>
      <c r="H57" s="14" t="n">
        <f aca="false">'Weekly Data'!L104</f>
        <v>0</v>
      </c>
      <c r="I57" s="14" t="n">
        <f aca="false">'Weekly Data'!L110</f>
        <v>0</v>
      </c>
      <c r="J57" s="14" t="n">
        <f aca="false">'Weekly Data'!L115</f>
        <v>0</v>
      </c>
      <c r="K57" s="14" t="n">
        <f aca="false">'Weekly Data'!L120</f>
        <v>0</v>
      </c>
      <c r="L57" s="14" t="n">
        <f aca="false">'Weekly Data'!L126</f>
        <v>0</v>
      </c>
      <c r="M57" s="14" t="n">
        <f aca="false">'Weekly Data'!L131</f>
        <v>0</v>
      </c>
      <c r="N57" s="30" t="n">
        <f aca="false">SUM(B57:M57)</f>
        <v>208743</v>
      </c>
    </row>
    <row r="58" customFormat="false" ht="15" hidden="false" customHeight="false" outlineLevel="0" collapsed="false">
      <c r="A58" s="29" t="s">
        <v>18</v>
      </c>
      <c r="B58" s="14" t="n">
        <f aca="false">'Weekly Data'!M72</f>
        <v>0</v>
      </c>
      <c r="C58" s="14" t="n">
        <f aca="false">'Weekly Data'!M77</f>
        <v>204237</v>
      </c>
      <c r="D58" s="14" t="n">
        <f aca="false">'Weekly Data'!M83</f>
        <v>0</v>
      </c>
      <c r="E58" s="14" t="n">
        <f aca="false">'Weekly Data'!M88</f>
        <v>0</v>
      </c>
      <c r="F58" s="14" t="n">
        <f aca="false">'Weekly Data'!M93</f>
        <v>0</v>
      </c>
      <c r="G58" s="14" t="n">
        <f aca="false">'Weekly Data'!M99</f>
        <v>0</v>
      </c>
      <c r="H58" s="14" t="n">
        <f aca="false">'Weekly Data'!M104</f>
        <v>0</v>
      </c>
      <c r="I58" s="14" t="n">
        <f aca="false">'Weekly Data'!M110</f>
        <v>0</v>
      </c>
      <c r="J58" s="14" t="n">
        <f aca="false">'Weekly Data'!M115</f>
        <v>0</v>
      </c>
      <c r="K58" s="14" t="n">
        <f aca="false">'Weekly Data'!M120</f>
        <v>0</v>
      </c>
      <c r="L58" s="14" t="n">
        <f aca="false">'Weekly Data'!M126</f>
        <v>0</v>
      </c>
      <c r="M58" s="14" t="n">
        <f aca="false">'Weekly Data'!M131</f>
        <v>0</v>
      </c>
      <c r="N58" s="30" t="n">
        <f aca="false">SUM(B58:M58)</f>
        <v>204237</v>
      </c>
    </row>
    <row r="59" customFormat="false" ht="15" hidden="false" customHeight="false" outlineLevel="0" collapsed="false">
      <c r="A59" s="29" t="s">
        <v>19</v>
      </c>
      <c r="B59" s="14" t="n">
        <f aca="false">'Weekly Data'!N72</f>
        <v>0</v>
      </c>
      <c r="C59" s="14" t="n">
        <f aca="false">'Weekly Data'!N77</f>
        <v>158604</v>
      </c>
      <c r="D59" s="14" t="n">
        <f aca="false">'Weekly Data'!N83</f>
        <v>0</v>
      </c>
      <c r="E59" s="14" t="n">
        <f aca="false">'Weekly Data'!N88</f>
        <v>0</v>
      </c>
      <c r="F59" s="14" t="n">
        <f aca="false">'Weekly Data'!N93</f>
        <v>0</v>
      </c>
      <c r="G59" s="14" t="n">
        <f aca="false">'Weekly Data'!N99</f>
        <v>0</v>
      </c>
      <c r="H59" s="14" t="n">
        <f aca="false">'Weekly Data'!N104</f>
        <v>0</v>
      </c>
      <c r="I59" s="14" t="n">
        <f aca="false">'Weekly Data'!N110</f>
        <v>0</v>
      </c>
      <c r="J59" s="14" t="n">
        <f aca="false">'Weekly Data'!N115</f>
        <v>0</v>
      </c>
      <c r="K59" s="14" t="n">
        <f aca="false">'Weekly Data'!N120</f>
        <v>0</v>
      </c>
      <c r="L59" s="14" t="n">
        <f aca="false">'Weekly Data'!N126</f>
        <v>0</v>
      </c>
      <c r="M59" s="14" t="n">
        <f aca="false">'Weekly Data'!N131</f>
        <v>0</v>
      </c>
      <c r="N59" s="30" t="n">
        <f aca="false">SUM(B59:M59)</f>
        <v>158604</v>
      </c>
    </row>
    <row r="60" customFormat="false" ht="15" hidden="false" customHeight="false" outlineLevel="0" collapsed="false">
      <c r="A60" s="29" t="s">
        <v>20</v>
      </c>
      <c r="B60" s="14" t="n">
        <f aca="false">'Weekly Data'!O72</f>
        <v>0</v>
      </c>
      <c r="C60" s="14" t="n">
        <f aca="false">'Weekly Data'!O77</f>
        <v>125747</v>
      </c>
      <c r="D60" s="14" t="n">
        <f aca="false">'Weekly Data'!O83</f>
        <v>0</v>
      </c>
      <c r="E60" s="14" t="n">
        <f aca="false">'Weekly Data'!O88</f>
        <v>0</v>
      </c>
      <c r="F60" s="14" t="n">
        <f aca="false">'Weekly Data'!O93</f>
        <v>0</v>
      </c>
      <c r="G60" s="14" t="n">
        <f aca="false">'Weekly Data'!O99</f>
        <v>0</v>
      </c>
      <c r="H60" s="14" t="n">
        <f aca="false">'Weekly Data'!O104</f>
        <v>0</v>
      </c>
      <c r="I60" s="14" t="n">
        <f aca="false">'Weekly Data'!O110</f>
        <v>0</v>
      </c>
      <c r="J60" s="14" t="n">
        <f aca="false">'Weekly Data'!O115</f>
        <v>0</v>
      </c>
      <c r="K60" s="14" t="n">
        <f aca="false">'Weekly Data'!O120</f>
        <v>0</v>
      </c>
      <c r="L60" s="14" t="n">
        <f aca="false">'Weekly Data'!O126</f>
        <v>0</v>
      </c>
      <c r="M60" s="14" t="n">
        <f aca="false">'Weekly Data'!O131</f>
        <v>0</v>
      </c>
      <c r="N60" s="30" t="n">
        <f aca="false">SUM(B60:M60)</f>
        <v>125747</v>
      </c>
    </row>
    <row r="61" customFormat="false" ht="15" hidden="false" customHeight="false" outlineLevel="0" collapsed="false">
      <c r="A61" s="29" t="s">
        <v>21</v>
      </c>
      <c r="B61" s="14" t="n">
        <f aca="false">'Weekly Data'!P72</f>
        <v>0</v>
      </c>
      <c r="C61" s="14" t="n">
        <f aca="false">'Weekly Data'!P77</f>
        <v>79177</v>
      </c>
      <c r="D61" s="14" t="n">
        <f aca="false">'Weekly Data'!P83</f>
        <v>0</v>
      </c>
      <c r="E61" s="14" t="n">
        <f aca="false">'Weekly Data'!P88</f>
        <v>0</v>
      </c>
      <c r="F61" s="14" t="n">
        <f aca="false">'Weekly Data'!P93</f>
        <v>0</v>
      </c>
      <c r="G61" s="14" t="n">
        <f aca="false">'Weekly Data'!P99</f>
        <v>0</v>
      </c>
      <c r="H61" s="14" t="n">
        <f aca="false">'Weekly Data'!P104</f>
        <v>0</v>
      </c>
      <c r="I61" s="14" t="n">
        <f aca="false">'Weekly Data'!P110</f>
        <v>0</v>
      </c>
      <c r="J61" s="14" t="n">
        <f aca="false">'Weekly Data'!P115</f>
        <v>0</v>
      </c>
      <c r="K61" s="14" t="n">
        <f aca="false">'Weekly Data'!P120</f>
        <v>0</v>
      </c>
      <c r="L61" s="14" t="n">
        <f aca="false">'Weekly Data'!P126</f>
        <v>0</v>
      </c>
      <c r="M61" s="14" t="n">
        <f aca="false">'Weekly Data'!P131</f>
        <v>0</v>
      </c>
      <c r="N61" s="30" t="n">
        <f aca="false">SUM(B61:M61)</f>
        <v>79177</v>
      </c>
    </row>
    <row r="62" customFormat="false" ht="15" hidden="false" customHeight="false" outlineLevel="0" collapsed="false">
      <c r="A62" s="29" t="s">
        <v>22</v>
      </c>
      <c r="B62" s="14" t="n">
        <f aca="false">'Weekly Data'!Q72</f>
        <v>0</v>
      </c>
      <c r="C62" s="14" t="n">
        <f aca="false">'Weekly Data'!Q77</f>
        <v>5913</v>
      </c>
      <c r="D62" s="14" t="n">
        <f aca="false">'Weekly Data'!Q83</f>
        <v>0</v>
      </c>
      <c r="E62" s="14" t="n">
        <f aca="false">'Weekly Data'!Q88</f>
        <v>0</v>
      </c>
      <c r="F62" s="14" t="n">
        <f aca="false">'Weekly Data'!Q93</f>
        <v>0</v>
      </c>
      <c r="G62" s="14" t="n">
        <f aca="false">'Weekly Data'!Q99</f>
        <v>0</v>
      </c>
      <c r="H62" s="14" t="n">
        <f aca="false">'Weekly Data'!Q104</f>
        <v>0</v>
      </c>
      <c r="I62" s="14" t="n">
        <f aca="false">'Weekly Data'!Q110</f>
        <v>0</v>
      </c>
      <c r="J62" s="14" t="n">
        <f aca="false">'Weekly Data'!Q115</f>
        <v>0</v>
      </c>
      <c r="K62" s="14" t="n">
        <f aca="false">'Weekly Data'!Q120</f>
        <v>0</v>
      </c>
      <c r="L62" s="14" t="n">
        <f aca="false">'Weekly Data'!Q126</f>
        <v>0</v>
      </c>
      <c r="M62" s="14" t="n">
        <f aca="false">'Weekly Data'!Q131</f>
        <v>0</v>
      </c>
      <c r="N62" s="30" t="n">
        <f aca="false">SUM(B62:M62)</f>
        <v>5913</v>
      </c>
    </row>
    <row r="63" customFormat="false" ht="15" hidden="false" customHeight="false" outlineLevel="0" collapsed="false">
      <c r="A63" s="29" t="s">
        <v>23</v>
      </c>
      <c r="B63" s="14" t="n">
        <f aca="false">'Weekly Data'!R72</f>
        <v>0</v>
      </c>
      <c r="C63" s="14" t="n">
        <f aca="false">'Weekly Data'!R77</f>
        <v>508</v>
      </c>
      <c r="D63" s="14" t="n">
        <f aca="false">'Weekly Data'!R83</f>
        <v>0</v>
      </c>
      <c r="E63" s="14" t="n">
        <f aca="false">'Weekly Data'!R88</f>
        <v>0</v>
      </c>
      <c r="F63" s="14" t="n">
        <f aca="false">'Weekly Data'!R93</f>
        <v>0</v>
      </c>
      <c r="G63" s="14" t="n">
        <f aca="false">'Weekly Data'!R99</f>
        <v>0</v>
      </c>
      <c r="H63" s="14" t="n">
        <f aca="false">'Weekly Data'!R104</f>
        <v>0</v>
      </c>
      <c r="I63" s="14" t="n">
        <f aca="false">'Weekly Data'!R110</f>
        <v>0</v>
      </c>
      <c r="J63" s="14" t="n">
        <f aca="false">'Weekly Data'!R115</f>
        <v>0</v>
      </c>
      <c r="K63" s="14" t="n">
        <f aca="false">'Weekly Data'!R120</f>
        <v>0</v>
      </c>
      <c r="L63" s="14" t="n">
        <f aca="false">'Weekly Data'!R126</f>
        <v>0</v>
      </c>
      <c r="M63" s="14" t="n">
        <f aca="false">'Weekly Data'!R131</f>
        <v>0</v>
      </c>
      <c r="N63" s="30" t="n">
        <f aca="false">SUM(B63:M63)</f>
        <v>508</v>
      </c>
    </row>
    <row r="64" customFormat="false" ht="15" hidden="false" customHeight="false" outlineLevel="0" collapsed="false">
      <c r="A64" s="38" t="s">
        <v>299</v>
      </c>
      <c r="B64" s="39" t="n">
        <f aca="false">SUM(B57:B63)</f>
        <v>0</v>
      </c>
      <c r="C64" s="39" t="n">
        <f aca="false">SUM(C57:C63)</f>
        <v>782929</v>
      </c>
      <c r="D64" s="39" t="n">
        <f aca="false">SUM(D57:D63)</f>
        <v>0</v>
      </c>
      <c r="E64" s="39" t="n">
        <f aca="false">SUM(E57:E63)</f>
        <v>0</v>
      </c>
      <c r="F64" s="39" t="n">
        <f aca="false">SUM(F57:F63)</f>
        <v>0</v>
      </c>
      <c r="G64" s="39" t="n">
        <f aca="false">SUM(G57:G63)</f>
        <v>0</v>
      </c>
      <c r="H64" s="39" t="n">
        <f aca="false">SUM(H57:H63)</f>
        <v>0</v>
      </c>
      <c r="I64" s="39" t="n">
        <f aca="false">SUM(I57:I63)</f>
        <v>0</v>
      </c>
      <c r="J64" s="39" t="n">
        <f aca="false">SUM(J57:J63)</f>
        <v>0</v>
      </c>
      <c r="K64" s="39" t="n">
        <f aca="false">SUM(K57:K63)</f>
        <v>0</v>
      </c>
      <c r="L64" s="39" t="n">
        <f aca="false">SUM(L57:L63)</f>
        <v>0</v>
      </c>
      <c r="M64" s="39" t="n">
        <f aca="false">SUM(M57:M63)</f>
        <v>0</v>
      </c>
      <c r="N64" s="39" t="n">
        <f aca="false">SUM(N57:N63)</f>
        <v>782929</v>
      </c>
    </row>
  </sheetData>
  <mergeCells count="6">
    <mergeCell ref="A1:N1"/>
    <mergeCell ref="A2:N2"/>
    <mergeCell ref="A4:N4"/>
    <mergeCell ref="A25:N25"/>
    <mergeCell ref="A35:N35"/>
    <mergeCell ref="A56:N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A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9" min="2" style="0" width="13"/>
  </cols>
  <sheetData>
    <row r="1" customFormat="false" ht="27.75" hidden="false" customHeight="true" outlineLevel="0" collapsed="false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28" t="s">
        <v>292</v>
      </c>
      <c r="B4" s="7" t="s">
        <v>304</v>
      </c>
      <c r="C4" s="7" t="s">
        <v>305</v>
      </c>
      <c r="D4" s="7" t="s">
        <v>306</v>
      </c>
      <c r="E4" s="7" t="s">
        <v>307</v>
      </c>
      <c r="F4" s="7" t="s">
        <v>308</v>
      </c>
      <c r="G4" s="7" t="s">
        <v>309</v>
      </c>
      <c r="H4" s="7" t="s">
        <v>310</v>
      </c>
      <c r="I4" s="7" t="s">
        <v>311</v>
      </c>
      <c r="J4" s="7" t="s">
        <v>312</v>
      </c>
      <c r="K4" s="7" t="s">
        <v>313</v>
      </c>
      <c r="L4" s="7" t="s">
        <v>314</v>
      </c>
      <c r="M4" s="7" t="s">
        <v>315</v>
      </c>
      <c r="N4" s="7" t="s">
        <v>316</v>
      </c>
      <c r="O4" s="7" t="s">
        <v>317</v>
      </c>
      <c r="P4" s="7" t="s">
        <v>318</v>
      </c>
      <c r="Q4" s="7" t="s">
        <v>319</v>
      </c>
      <c r="R4" s="7" t="s">
        <v>320</v>
      </c>
      <c r="S4" s="7" t="s">
        <v>321</v>
      </c>
      <c r="T4" s="7" t="s">
        <v>322</v>
      </c>
      <c r="U4" s="7" t="s">
        <v>323</v>
      </c>
      <c r="V4" s="7" t="s">
        <v>324</v>
      </c>
      <c r="W4" s="7" t="s">
        <v>325</v>
      </c>
      <c r="X4" s="7" t="s">
        <v>326</v>
      </c>
      <c r="Y4" s="7" t="s">
        <v>327</v>
      </c>
      <c r="Z4" s="7" t="s">
        <v>328</v>
      </c>
      <c r="AA4" s="7" t="s">
        <v>329</v>
      </c>
    </row>
    <row r="5" customFormat="false" ht="15" hidden="false" customHeight="false" outlineLevel="0" collapsed="false">
      <c r="A5" s="29" t="s">
        <v>330</v>
      </c>
      <c r="B5" s="14" t="n">
        <f aca="false">IFERROR(INDEX('Weekly Data'!F:$F,MATCH("2026-01-05",'Weekly Data'!$E:$E,0)),"")</f>
        <v>0</v>
      </c>
      <c r="C5" s="14" t="n">
        <f aca="false">IFERROR(INDEX('Weekly Data'!F:$F,MATCH("2026-01-12",'Weekly Data'!$E:$E,0))-INDEX('Weekly Data'!F:$F,MATCH("2026-01-05",'Weekly Data'!$E:$E,0)),"")</f>
        <v>0</v>
      </c>
      <c r="D5" s="14" t="n">
        <f aca="false">IFERROR(INDEX('Weekly Data'!F:$F,MATCH("2026-01-19",'Weekly Data'!$E:$E,0))-INDEX('Weekly Data'!F:$F,MATCH("2026-01-12",'Weekly Data'!$E:$E,0)),"")</f>
        <v>0</v>
      </c>
      <c r="E5" s="14" t="n">
        <f aca="false">IFERROR(INDEX('Weekly Data'!F:$F,MATCH("2026-01-26",'Weekly Data'!$E:$E,0))-INDEX('Weekly Data'!F:$F,MATCH("2026-01-19",'Weekly Data'!$E:$E,0)),"")</f>
        <v>0</v>
      </c>
      <c r="F5" s="14" t="n">
        <f aca="false">IFERROR(INDEX('Weekly Data'!F:$F,MATCH("2026-02-02",'Weekly Data'!$E:$E,0))-INDEX('Weekly Data'!F:$F,MATCH("2026-01-26",'Weekly Data'!$E:$E,0)),"")</f>
        <v>0</v>
      </c>
      <c r="G5" s="14" t="n">
        <f aca="false">IFERROR(INDEX('Weekly Data'!F:$F,MATCH("2026-02-09",'Weekly Data'!$E:$E,0))-INDEX('Weekly Data'!F:$F,MATCH("2026-02-02",'Weekly Data'!$E:$E,0)),"")</f>
        <v>0</v>
      </c>
      <c r="H5" s="14" t="n">
        <f aca="false">IFERROR(INDEX('Weekly Data'!F:$F,MATCH("2026-02-16",'Weekly Data'!$E:$E,0))-INDEX('Weekly Data'!F:$F,MATCH("2026-02-09",'Weekly Data'!$E:$E,0)),"")</f>
        <v>0</v>
      </c>
      <c r="I5" s="14" t="n">
        <f aca="false">IFERROR(INDEX('Weekly Data'!F:$F,MATCH("2026-02-23",'Weekly Data'!$E:$E,0))-INDEX('Weekly Data'!F:$F,MATCH("2026-02-16",'Weekly Data'!$E:$E,0)),"")</f>
        <v>782928</v>
      </c>
      <c r="J5" s="14" t="n">
        <f aca="false">IFERROR(INDEX('Weekly Data'!F:$F,MATCH("2026-03-02",'Weekly Data'!$E:$E,0))-INDEX('Weekly Data'!F:$F,MATCH("2026-02-23",'Weekly Data'!$E:$E,0)),"")</f>
        <v>-782928</v>
      </c>
      <c r="K5" s="14" t="n">
        <f aca="false">IFERROR(INDEX('Weekly Data'!F:$F,MATCH("2026-03-09",'Weekly Data'!$E:$E,0))-INDEX('Weekly Data'!F:$F,MATCH("2026-03-02",'Weekly Data'!$E:$E,0)),"")</f>
        <v>0</v>
      </c>
      <c r="L5" s="14" t="n">
        <f aca="false">IFERROR(INDEX('Weekly Data'!F:$F,MATCH("2026-03-16",'Weekly Data'!$E:$E,0))-INDEX('Weekly Data'!F:$F,MATCH("2026-03-09",'Weekly Data'!$E:$E,0)),"")</f>
        <v>0</v>
      </c>
      <c r="M5" s="14" t="n">
        <f aca="false">IFERROR(INDEX('Weekly Data'!F:$F,MATCH("2026-03-23",'Weekly Data'!$E:$E,0))-INDEX('Weekly Data'!F:$F,MATCH("2026-03-16",'Weekly Data'!$E:$E,0)),"")</f>
        <v>0</v>
      </c>
      <c r="N5" s="14" t="n">
        <f aca="false">IFERROR(INDEX('Weekly Data'!F:$F,MATCH("2026-03-30",'Weekly Data'!$E:$E,0))-INDEX('Weekly Data'!F:$F,MATCH("2026-03-23",'Weekly Data'!$E:$E,0)),"")</f>
        <v>0</v>
      </c>
      <c r="O5" s="14" t="n">
        <f aca="false">IFERROR(INDEX('Weekly Data'!F:$F,MATCH("2026-04-06",'Weekly Data'!$E:$E,0))-INDEX('Weekly Data'!F:$F,MATCH("2026-03-30",'Weekly Data'!$E:$E,0)),"")</f>
        <v>0</v>
      </c>
      <c r="P5" s="14" t="n">
        <f aca="false">IFERROR(INDEX('Weekly Data'!F:$F,MATCH("2026-04-13",'Weekly Data'!$E:$E,0))-INDEX('Weekly Data'!F:$F,MATCH("2026-04-06",'Weekly Data'!$E:$E,0)),"")</f>
        <v>0</v>
      </c>
      <c r="Q5" s="14" t="n">
        <f aca="false">IFERROR(INDEX('Weekly Data'!F:$F,MATCH("2026-04-20",'Weekly Data'!$E:$E,0))-INDEX('Weekly Data'!F:$F,MATCH("2026-04-13",'Weekly Data'!$E:$E,0)),"")</f>
        <v>0</v>
      </c>
      <c r="R5" s="14" t="n">
        <f aca="false">IFERROR(INDEX('Weekly Data'!F:$F,MATCH("2026-04-27",'Weekly Data'!$E:$E,0))-INDEX('Weekly Data'!F:$F,MATCH("2026-04-20",'Weekly Data'!$E:$E,0)),"")</f>
        <v>0</v>
      </c>
      <c r="S5" s="14" t="n">
        <f aca="false">IFERROR(INDEX('Weekly Data'!F:$F,MATCH("2026-05-04",'Weekly Data'!$E:$E,0))-INDEX('Weekly Data'!F:$F,MATCH("2026-04-27",'Weekly Data'!$E:$E,0)),"")</f>
        <v>0</v>
      </c>
      <c r="T5" s="14" t="n">
        <f aca="false">IFERROR(INDEX('Weekly Data'!F:$F,MATCH("2026-05-11",'Weekly Data'!$E:$E,0))-INDEX('Weekly Data'!F:$F,MATCH("2026-05-04",'Weekly Data'!$E:$E,0)),"")</f>
        <v>0</v>
      </c>
      <c r="U5" s="14" t="n">
        <f aca="false">IFERROR(INDEX('Weekly Data'!F:$F,MATCH("2026-05-18",'Weekly Data'!$E:$E,0))-INDEX('Weekly Data'!F:$F,MATCH("2026-05-11",'Weekly Data'!$E:$E,0)),"")</f>
        <v>0</v>
      </c>
      <c r="V5" s="14" t="n">
        <f aca="false">IFERROR(INDEX('Weekly Data'!F:$F,MATCH("2026-05-25",'Weekly Data'!$E:$E,0))-INDEX('Weekly Data'!F:$F,MATCH("2026-05-18",'Weekly Data'!$E:$E,0)),"")</f>
        <v>0</v>
      </c>
      <c r="W5" s="14" t="n">
        <f aca="false">IFERROR(INDEX('Weekly Data'!F:$F,MATCH("2026-06-01",'Weekly Data'!$E:$E,0))-INDEX('Weekly Data'!F:$F,MATCH("2026-05-25",'Weekly Data'!$E:$E,0)),"")</f>
        <v>0</v>
      </c>
      <c r="X5" s="14" t="n">
        <f aca="false">IFERROR(INDEX('Weekly Data'!F:$F,MATCH("2026-06-08",'Weekly Data'!$E:$E,0))-INDEX('Weekly Data'!F:$F,MATCH("2026-06-01",'Weekly Data'!$E:$E,0)),"")</f>
        <v>0</v>
      </c>
      <c r="Y5" s="14" t="n">
        <f aca="false">IFERROR(INDEX('Weekly Data'!F:$F,MATCH("2026-06-15",'Weekly Data'!$E:$E,0))-INDEX('Weekly Data'!F:$F,MATCH("2026-06-08",'Weekly Data'!$E:$E,0)),"")</f>
        <v>0</v>
      </c>
      <c r="Z5" s="14" t="n">
        <f aca="false">IFERROR(INDEX('Weekly Data'!F:$F,MATCH("2026-06-22",'Weekly Data'!$E:$E,0))-INDEX('Weekly Data'!F:$F,MATCH("2026-06-15",'Weekly Data'!$E:$E,0)),"")</f>
        <v>0</v>
      </c>
      <c r="AA5" s="14" t="n">
        <f aca="false">IFERROR(INDEX('Weekly Data'!F:$F,MATCH("2026-06-29",'Weekly Data'!$E:$E,0))-INDEX('Weekly Data'!F:$F,MATCH("2026-06-22",'Weekly Data'!$E:$E,0)),"")</f>
        <v>0</v>
      </c>
    </row>
    <row r="6" customFormat="false" ht="15" hidden="false" customHeight="false" outlineLevel="0" collapsed="false">
      <c r="A6" s="29" t="s">
        <v>331</v>
      </c>
      <c r="B6" s="14" t="n">
        <f aca="false">IFERROR(INDEX('Weekly Data'!S:$S,MATCH("2026-01-05",'Weekly Data'!$E:$E,0)),"")</f>
        <v>0</v>
      </c>
      <c r="C6" s="14" t="n">
        <f aca="false">IFERROR(INDEX('Weekly Data'!S:$S,MATCH("2026-01-12",'Weekly Data'!$E:$E,0))-INDEX('Weekly Data'!S:$S,MATCH("2026-01-05",'Weekly Data'!$E:$E,0)),"")</f>
        <v>0</v>
      </c>
      <c r="D6" s="14" t="n">
        <f aca="false">IFERROR(INDEX('Weekly Data'!S:$S,MATCH("2026-01-19",'Weekly Data'!$E:$E,0))-INDEX('Weekly Data'!S:$S,MATCH("2026-01-12",'Weekly Data'!$E:$E,0)),"")</f>
        <v>0</v>
      </c>
      <c r="E6" s="14" t="n">
        <f aca="false">IFERROR(INDEX('Weekly Data'!S:$S,MATCH("2026-01-26",'Weekly Data'!$E:$E,0))-INDEX('Weekly Data'!S:$S,MATCH("2026-01-19",'Weekly Data'!$E:$E,0)),"")</f>
        <v>1385716</v>
      </c>
      <c r="F6" s="14" t="n">
        <f aca="false">IFERROR(INDEX('Weekly Data'!S:$S,MATCH("2026-02-02",'Weekly Data'!$E:$E,0))-INDEX('Weekly Data'!S:$S,MATCH("2026-01-26",'Weekly Data'!$E:$E,0)),"")</f>
        <v>-1385716</v>
      </c>
      <c r="G6" s="14" t="n">
        <f aca="false">IFERROR(INDEX('Weekly Data'!S:$S,MATCH("2026-02-09",'Weekly Data'!$E:$E,0))-INDEX('Weekly Data'!S:$S,MATCH("2026-02-02",'Weekly Data'!$E:$E,0)),"")</f>
        <v>0</v>
      </c>
      <c r="H6" s="14" t="n">
        <f aca="false">IFERROR(INDEX('Weekly Data'!S:$S,MATCH("2026-02-16",'Weekly Data'!$E:$E,0))-INDEX('Weekly Data'!S:$S,MATCH("2026-02-09",'Weekly Data'!$E:$E,0)),"")</f>
        <v>0</v>
      </c>
      <c r="I6" s="14" t="n">
        <f aca="false">IFERROR(INDEX('Weekly Data'!S:$S,MATCH("2026-02-23",'Weekly Data'!$E:$E,0))-INDEX('Weekly Data'!S:$S,MATCH("2026-02-16",'Weekly Data'!$E:$E,0)),"")</f>
        <v>1292505</v>
      </c>
      <c r="J6" s="14" t="n">
        <f aca="false">IFERROR(INDEX('Weekly Data'!S:$S,MATCH("2026-03-02",'Weekly Data'!$E:$E,0))-INDEX('Weekly Data'!S:$S,MATCH("2026-02-23",'Weekly Data'!$E:$E,0)),"")</f>
        <v>-1292505</v>
      </c>
      <c r="K6" s="14" t="n">
        <f aca="false">IFERROR(INDEX('Weekly Data'!S:$S,MATCH("2026-03-09",'Weekly Data'!$E:$E,0))-INDEX('Weekly Data'!S:$S,MATCH("2026-03-02",'Weekly Data'!$E:$E,0)),"")</f>
        <v>0</v>
      </c>
      <c r="L6" s="14" t="n">
        <f aca="false">IFERROR(INDEX('Weekly Data'!S:$S,MATCH("2026-03-16",'Weekly Data'!$E:$E,0))-INDEX('Weekly Data'!S:$S,MATCH("2026-03-09",'Weekly Data'!$E:$E,0)),"")</f>
        <v>0</v>
      </c>
      <c r="M6" s="14" t="n">
        <f aca="false">IFERROR(INDEX('Weekly Data'!S:$S,MATCH("2026-03-23",'Weekly Data'!$E:$E,0))-INDEX('Weekly Data'!S:$S,MATCH("2026-03-16",'Weekly Data'!$E:$E,0)),"")</f>
        <v>0</v>
      </c>
      <c r="N6" s="14" t="n">
        <f aca="false">IFERROR(INDEX('Weekly Data'!S:$S,MATCH("2026-03-30",'Weekly Data'!$E:$E,0))-INDEX('Weekly Data'!S:$S,MATCH("2026-03-23",'Weekly Data'!$E:$E,0)),"")</f>
        <v>0</v>
      </c>
      <c r="O6" s="14" t="n">
        <f aca="false">IFERROR(INDEX('Weekly Data'!S:$S,MATCH("2026-04-06",'Weekly Data'!$E:$E,0))-INDEX('Weekly Data'!S:$S,MATCH("2026-03-30",'Weekly Data'!$E:$E,0)),"")</f>
        <v>0</v>
      </c>
      <c r="P6" s="14" t="n">
        <f aca="false">IFERROR(INDEX('Weekly Data'!S:$S,MATCH("2026-04-13",'Weekly Data'!$E:$E,0))-INDEX('Weekly Data'!S:$S,MATCH("2026-04-06",'Weekly Data'!$E:$E,0)),"")</f>
        <v>0</v>
      </c>
      <c r="Q6" s="14" t="n">
        <f aca="false">IFERROR(INDEX('Weekly Data'!S:$S,MATCH("2026-04-20",'Weekly Data'!$E:$E,0))-INDEX('Weekly Data'!S:$S,MATCH("2026-04-13",'Weekly Data'!$E:$E,0)),"")</f>
        <v>0</v>
      </c>
      <c r="R6" s="14" t="n">
        <f aca="false">IFERROR(INDEX('Weekly Data'!S:$S,MATCH("2026-04-27",'Weekly Data'!$E:$E,0))-INDEX('Weekly Data'!S:$S,MATCH("2026-04-20",'Weekly Data'!$E:$E,0)),"")</f>
        <v>0</v>
      </c>
      <c r="S6" s="14" t="n">
        <f aca="false">IFERROR(INDEX('Weekly Data'!S:$S,MATCH("2026-05-04",'Weekly Data'!$E:$E,0))-INDEX('Weekly Data'!S:$S,MATCH("2026-04-27",'Weekly Data'!$E:$E,0)),"")</f>
        <v>0</v>
      </c>
      <c r="T6" s="14" t="n">
        <f aca="false">IFERROR(INDEX('Weekly Data'!S:$S,MATCH("2026-05-11",'Weekly Data'!$E:$E,0))-INDEX('Weekly Data'!S:$S,MATCH("2026-05-04",'Weekly Data'!$E:$E,0)),"")</f>
        <v>0</v>
      </c>
      <c r="U6" s="14" t="n">
        <f aca="false">IFERROR(INDEX('Weekly Data'!S:$S,MATCH("2026-05-18",'Weekly Data'!$E:$E,0))-INDEX('Weekly Data'!S:$S,MATCH("2026-05-11",'Weekly Data'!$E:$E,0)),"")</f>
        <v>0</v>
      </c>
      <c r="V6" s="14" t="n">
        <f aca="false">IFERROR(INDEX('Weekly Data'!S:$S,MATCH("2026-05-25",'Weekly Data'!$E:$E,0))-INDEX('Weekly Data'!S:$S,MATCH("2026-05-18",'Weekly Data'!$E:$E,0)),"")</f>
        <v>0</v>
      </c>
      <c r="W6" s="14" t="n">
        <f aca="false">IFERROR(INDEX('Weekly Data'!S:$S,MATCH("2026-06-01",'Weekly Data'!$E:$E,0))-INDEX('Weekly Data'!S:$S,MATCH("2026-05-25",'Weekly Data'!$E:$E,0)),"")</f>
        <v>0</v>
      </c>
      <c r="X6" s="14" t="n">
        <f aca="false">IFERROR(INDEX('Weekly Data'!S:$S,MATCH("2026-06-08",'Weekly Data'!$E:$E,0))-INDEX('Weekly Data'!S:$S,MATCH("2026-06-01",'Weekly Data'!$E:$E,0)),"")</f>
        <v>0</v>
      </c>
      <c r="Y6" s="14" t="n">
        <f aca="false">IFERROR(INDEX('Weekly Data'!S:$S,MATCH("2026-06-15",'Weekly Data'!$E:$E,0))-INDEX('Weekly Data'!S:$S,MATCH("2026-06-08",'Weekly Data'!$E:$E,0)),"")</f>
        <v>0</v>
      </c>
      <c r="Z6" s="14" t="n">
        <f aca="false">IFERROR(INDEX('Weekly Data'!S:$S,MATCH("2026-06-22",'Weekly Data'!$E:$E,0))-INDEX('Weekly Data'!S:$S,MATCH("2026-06-15",'Weekly Data'!$E:$E,0)),"")</f>
        <v>0</v>
      </c>
      <c r="AA6" s="14" t="n">
        <f aca="false">IFERROR(INDEX('Weekly Data'!S:$S,MATCH("2026-06-29",'Weekly Data'!$E:$E,0))-INDEX('Weekly Data'!S:$S,MATCH("2026-06-22",'Weekly Data'!$E:$E,0)),"")</f>
        <v>0</v>
      </c>
    </row>
    <row r="7" customFormat="false" ht="15" hidden="false" customHeight="false" outlineLevel="0" collapsed="false">
      <c r="A7" s="29" t="s">
        <v>332</v>
      </c>
      <c r="B7" s="14" t="n">
        <f aca="false">IFERROR(INDEX('Weekly Data'!X:$X,MATCH("2026-01-05",'Weekly Data'!$E:$E,0)),"")</f>
        <v>0</v>
      </c>
      <c r="C7" s="14" t="n">
        <f aca="false">IFERROR(INDEX('Weekly Data'!X:$X,MATCH("2026-01-12",'Weekly Data'!$E:$E,0))-INDEX('Weekly Data'!X:$X,MATCH("2026-01-05",'Weekly Data'!$E:$E,0)),"")</f>
        <v>0</v>
      </c>
      <c r="D7" s="14" t="n">
        <f aca="false">IFERROR(INDEX('Weekly Data'!X:$X,MATCH("2026-01-19",'Weekly Data'!$E:$E,0))-INDEX('Weekly Data'!X:$X,MATCH("2026-01-12",'Weekly Data'!$E:$E,0)),"")</f>
        <v>0</v>
      </c>
      <c r="E7" s="14" t="n">
        <f aca="false">IFERROR(INDEX('Weekly Data'!X:$X,MATCH("2026-01-26",'Weekly Data'!$E:$E,0))-INDEX('Weekly Data'!X:$X,MATCH("2026-01-19",'Weekly Data'!$E:$E,0)),"")</f>
        <v>3133802</v>
      </c>
      <c r="F7" s="14" t="n">
        <f aca="false">IFERROR(INDEX('Weekly Data'!X:$X,MATCH("2026-02-02",'Weekly Data'!$E:$E,0))-INDEX('Weekly Data'!X:$X,MATCH("2026-01-26",'Weekly Data'!$E:$E,0)),"")</f>
        <v>-3133802</v>
      </c>
      <c r="G7" s="14" t="n">
        <f aca="false">IFERROR(INDEX('Weekly Data'!X:$X,MATCH("2026-02-09",'Weekly Data'!$E:$E,0))-INDEX('Weekly Data'!X:$X,MATCH("2026-02-02",'Weekly Data'!$E:$E,0)),"")</f>
        <v>0</v>
      </c>
      <c r="H7" s="14" t="n">
        <f aca="false">IFERROR(INDEX('Weekly Data'!X:$X,MATCH("2026-02-16",'Weekly Data'!$E:$E,0))-INDEX('Weekly Data'!X:$X,MATCH("2026-02-09",'Weekly Data'!$E:$E,0)),"")</f>
        <v>0</v>
      </c>
      <c r="I7" s="14" t="n">
        <f aca="false">IFERROR(INDEX('Weekly Data'!X:$X,MATCH("2026-02-23",'Weekly Data'!$E:$E,0))-INDEX('Weekly Data'!X:$X,MATCH("2026-02-16",'Weekly Data'!$E:$E,0)),"")</f>
        <v>3076658</v>
      </c>
      <c r="J7" s="14" t="n">
        <f aca="false">IFERROR(INDEX('Weekly Data'!X:$X,MATCH("2026-03-02",'Weekly Data'!$E:$E,0))-INDEX('Weekly Data'!X:$X,MATCH("2026-02-23",'Weekly Data'!$E:$E,0)),"")</f>
        <v>-3076658</v>
      </c>
      <c r="K7" s="14" t="n">
        <f aca="false">IFERROR(INDEX('Weekly Data'!X:$X,MATCH("2026-03-09",'Weekly Data'!$E:$E,0))-INDEX('Weekly Data'!X:$X,MATCH("2026-03-02",'Weekly Data'!$E:$E,0)),"")</f>
        <v>0</v>
      </c>
      <c r="L7" s="14" t="n">
        <f aca="false">IFERROR(INDEX('Weekly Data'!X:$X,MATCH("2026-03-16",'Weekly Data'!$E:$E,0))-INDEX('Weekly Data'!X:$X,MATCH("2026-03-09",'Weekly Data'!$E:$E,0)),"")</f>
        <v>0</v>
      </c>
      <c r="M7" s="14" t="n">
        <f aca="false">IFERROR(INDEX('Weekly Data'!X:$X,MATCH("2026-03-23",'Weekly Data'!$E:$E,0))-INDEX('Weekly Data'!X:$X,MATCH("2026-03-16",'Weekly Data'!$E:$E,0)),"")</f>
        <v>0</v>
      </c>
      <c r="N7" s="14" t="n">
        <f aca="false">IFERROR(INDEX('Weekly Data'!X:$X,MATCH("2026-03-30",'Weekly Data'!$E:$E,0))-INDEX('Weekly Data'!X:$X,MATCH("2026-03-23",'Weekly Data'!$E:$E,0)),"")</f>
        <v>0</v>
      </c>
      <c r="O7" s="14" t="n">
        <f aca="false">IFERROR(INDEX('Weekly Data'!X:$X,MATCH("2026-04-06",'Weekly Data'!$E:$E,0))-INDEX('Weekly Data'!X:$X,MATCH("2026-03-30",'Weekly Data'!$E:$E,0)),"")</f>
        <v>0</v>
      </c>
      <c r="P7" s="14" t="n">
        <f aca="false">IFERROR(INDEX('Weekly Data'!X:$X,MATCH("2026-04-13",'Weekly Data'!$E:$E,0))-INDEX('Weekly Data'!X:$X,MATCH("2026-04-06",'Weekly Data'!$E:$E,0)),"")</f>
        <v>0</v>
      </c>
      <c r="Q7" s="14" t="n">
        <f aca="false">IFERROR(INDEX('Weekly Data'!X:$X,MATCH("2026-04-20",'Weekly Data'!$E:$E,0))-INDEX('Weekly Data'!X:$X,MATCH("2026-04-13",'Weekly Data'!$E:$E,0)),"")</f>
        <v>0</v>
      </c>
      <c r="R7" s="14" t="n">
        <f aca="false">IFERROR(INDEX('Weekly Data'!X:$X,MATCH("2026-04-27",'Weekly Data'!$E:$E,0))-INDEX('Weekly Data'!X:$X,MATCH("2026-04-20",'Weekly Data'!$E:$E,0)),"")</f>
        <v>0</v>
      </c>
      <c r="S7" s="14" t="n">
        <f aca="false">IFERROR(INDEX('Weekly Data'!X:$X,MATCH("2026-05-04",'Weekly Data'!$E:$E,0))-INDEX('Weekly Data'!X:$X,MATCH("2026-04-27",'Weekly Data'!$E:$E,0)),"")</f>
        <v>0</v>
      </c>
      <c r="T7" s="14" t="n">
        <f aca="false">IFERROR(INDEX('Weekly Data'!X:$X,MATCH("2026-05-11",'Weekly Data'!$E:$E,0))-INDEX('Weekly Data'!X:$X,MATCH("2026-05-04",'Weekly Data'!$E:$E,0)),"")</f>
        <v>0</v>
      </c>
      <c r="U7" s="14" t="n">
        <f aca="false">IFERROR(INDEX('Weekly Data'!X:$X,MATCH("2026-05-18",'Weekly Data'!$E:$E,0))-INDEX('Weekly Data'!X:$X,MATCH("2026-05-11",'Weekly Data'!$E:$E,0)),"")</f>
        <v>0</v>
      </c>
      <c r="V7" s="14" t="n">
        <f aca="false">IFERROR(INDEX('Weekly Data'!X:$X,MATCH("2026-05-25",'Weekly Data'!$E:$E,0))-INDEX('Weekly Data'!X:$X,MATCH("2026-05-18",'Weekly Data'!$E:$E,0)),"")</f>
        <v>0</v>
      </c>
      <c r="W7" s="14" t="n">
        <f aca="false">IFERROR(INDEX('Weekly Data'!X:$X,MATCH("2026-06-01",'Weekly Data'!$E:$E,0))-INDEX('Weekly Data'!X:$X,MATCH("2026-05-25",'Weekly Data'!$E:$E,0)),"")</f>
        <v>0</v>
      </c>
      <c r="X7" s="14" t="n">
        <f aca="false">IFERROR(INDEX('Weekly Data'!X:$X,MATCH("2026-06-08",'Weekly Data'!$E:$E,0))-INDEX('Weekly Data'!X:$X,MATCH("2026-06-01",'Weekly Data'!$E:$E,0)),"")</f>
        <v>0</v>
      </c>
      <c r="Y7" s="14" t="n">
        <f aca="false">IFERROR(INDEX('Weekly Data'!X:$X,MATCH("2026-06-15",'Weekly Data'!$E:$E,0))-INDEX('Weekly Data'!X:$X,MATCH("2026-06-08",'Weekly Data'!$E:$E,0)),"")</f>
        <v>0</v>
      </c>
      <c r="Z7" s="14" t="n">
        <f aca="false">IFERROR(INDEX('Weekly Data'!X:$X,MATCH("2026-06-22",'Weekly Data'!$E:$E,0))-INDEX('Weekly Data'!X:$X,MATCH("2026-06-15",'Weekly Data'!$E:$E,0)),"")</f>
        <v>0</v>
      </c>
      <c r="AA7" s="14" t="n">
        <f aca="false">IFERROR(INDEX('Weekly Data'!X:$X,MATCH("2026-06-29",'Weekly Data'!$E:$E,0))-INDEX('Weekly Data'!X:$X,MATCH("2026-06-22",'Weekly Data'!$E:$E,0)),"")</f>
        <v>0</v>
      </c>
    </row>
    <row r="8" customFormat="false" ht="15" hidden="false" customHeight="false" outlineLevel="0" collapsed="false">
      <c r="A8" s="29" t="s">
        <v>333</v>
      </c>
      <c r="B8" s="32" t="n">
        <f aca="false">IFERROR(INDEX('Weekly Data'!Y:$Y,MATCH("2026-01-05",'Weekly Data'!$E:$E,0)),"")</f>
        <v>0</v>
      </c>
      <c r="C8" s="32" t="n">
        <f aca="false">IFERROR(INDEX('Weekly Data'!Y:$Y,MATCH("2026-01-12",'Weekly Data'!$E:$E,0))-INDEX('Weekly Data'!Y:$Y,MATCH("2026-01-05",'Weekly Data'!$E:$E,0)),"")</f>
        <v>0</v>
      </c>
      <c r="D8" s="32" t="n">
        <f aca="false">IFERROR(INDEX('Weekly Data'!Y:$Y,MATCH("2026-01-19",'Weekly Data'!$E:$E,0))-INDEX('Weekly Data'!Y:$Y,MATCH("2026-01-12",'Weekly Data'!$E:$E,0)),"")</f>
        <v>0</v>
      </c>
      <c r="E8" s="32" t="n">
        <f aca="false">IFERROR(INDEX('Weekly Data'!Y:$Y,MATCH("2026-01-26",'Weekly Data'!$E:$E,0))-INDEX('Weekly Data'!Y:$Y,MATCH("2026-01-19",'Weekly Data'!$E:$E,0)),"")</f>
        <v>0</v>
      </c>
      <c r="F8" s="32" t="n">
        <f aca="false">IFERROR(INDEX('Weekly Data'!Y:$Y,MATCH("2026-02-02",'Weekly Data'!$E:$E,0))-INDEX('Weekly Data'!Y:$Y,MATCH("2026-01-26",'Weekly Data'!$E:$E,0)),"")</f>
        <v>0</v>
      </c>
      <c r="G8" s="32" t="n">
        <f aca="false">IFERROR(INDEX('Weekly Data'!Y:$Y,MATCH("2026-02-09",'Weekly Data'!$E:$E,0))-INDEX('Weekly Data'!Y:$Y,MATCH("2026-02-02",'Weekly Data'!$E:$E,0)),"")</f>
        <v>0</v>
      </c>
      <c r="H8" s="32" t="n">
        <f aca="false">IFERROR(INDEX('Weekly Data'!Y:$Y,MATCH("2026-02-16",'Weekly Data'!$E:$E,0))-INDEX('Weekly Data'!Y:$Y,MATCH("2026-02-09",'Weekly Data'!$E:$E,0)),"")</f>
        <v>0</v>
      </c>
      <c r="I8" s="32" t="n">
        <f aca="false">IFERROR(INDEX('Weekly Data'!Y:$Y,MATCH("2026-02-23",'Weekly Data'!$E:$E,0))-INDEX('Weekly Data'!Y:$Y,MATCH("2026-02-16",'Weekly Data'!$E:$E,0)),"")</f>
        <v>40</v>
      </c>
      <c r="J8" s="32" t="n">
        <f aca="false">IFERROR(INDEX('Weekly Data'!Y:$Y,MATCH("2026-03-02",'Weekly Data'!$E:$E,0))-INDEX('Weekly Data'!Y:$Y,MATCH("2026-02-23",'Weekly Data'!$E:$E,0)),"")</f>
        <v>-40</v>
      </c>
      <c r="K8" s="32" t="n">
        <f aca="false">IFERROR(INDEX('Weekly Data'!Y:$Y,MATCH("2026-03-09",'Weekly Data'!$E:$E,0))-INDEX('Weekly Data'!Y:$Y,MATCH("2026-03-02",'Weekly Data'!$E:$E,0)),"")</f>
        <v>0</v>
      </c>
      <c r="L8" s="32" t="n">
        <f aca="false">IFERROR(INDEX('Weekly Data'!Y:$Y,MATCH("2026-03-16",'Weekly Data'!$E:$E,0))-INDEX('Weekly Data'!Y:$Y,MATCH("2026-03-09",'Weekly Data'!$E:$E,0)),"")</f>
        <v>0</v>
      </c>
      <c r="M8" s="32" t="n">
        <f aca="false">IFERROR(INDEX('Weekly Data'!Y:$Y,MATCH("2026-03-23",'Weekly Data'!$E:$E,0))-INDEX('Weekly Data'!Y:$Y,MATCH("2026-03-16",'Weekly Data'!$E:$E,0)),"")</f>
        <v>0</v>
      </c>
      <c r="N8" s="32" t="n">
        <f aca="false">IFERROR(INDEX('Weekly Data'!Y:$Y,MATCH("2026-03-30",'Weekly Data'!$E:$E,0))-INDEX('Weekly Data'!Y:$Y,MATCH("2026-03-23",'Weekly Data'!$E:$E,0)),"")</f>
        <v>0</v>
      </c>
      <c r="O8" s="32" t="n">
        <f aca="false">IFERROR(INDEX('Weekly Data'!Y:$Y,MATCH("2026-04-06",'Weekly Data'!$E:$E,0))-INDEX('Weekly Data'!Y:$Y,MATCH("2026-03-30",'Weekly Data'!$E:$E,0)),"")</f>
        <v>0</v>
      </c>
      <c r="P8" s="32" t="n">
        <f aca="false">IFERROR(INDEX('Weekly Data'!Y:$Y,MATCH("2026-04-13",'Weekly Data'!$E:$E,0))-INDEX('Weekly Data'!Y:$Y,MATCH("2026-04-06",'Weekly Data'!$E:$E,0)),"")</f>
        <v>0</v>
      </c>
      <c r="Q8" s="32" t="n">
        <f aca="false">IFERROR(INDEX('Weekly Data'!Y:$Y,MATCH("2026-04-20",'Weekly Data'!$E:$E,0))-INDEX('Weekly Data'!Y:$Y,MATCH("2026-04-13",'Weekly Data'!$E:$E,0)),"")</f>
        <v>0</v>
      </c>
      <c r="R8" s="32" t="n">
        <f aca="false">IFERROR(INDEX('Weekly Data'!Y:$Y,MATCH("2026-04-27",'Weekly Data'!$E:$E,0))-INDEX('Weekly Data'!Y:$Y,MATCH("2026-04-20",'Weekly Data'!$E:$E,0)),"")</f>
        <v>0</v>
      </c>
      <c r="S8" s="32" t="n">
        <f aca="false">IFERROR(INDEX('Weekly Data'!Y:$Y,MATCH("2026-05-04",'Weekly Data'!$E:$E,0))-INDEX('Weekly Data'!Y:$Y,MATCH("2026-04-27",'Weekly Data'!$E:$E,0)),"")</f>
        <v>0</v>
      </c>
      <c r="T8" s="32" t="n">
        <f aca="false">IFERROR(INDEX('Weekly Data'!Y:$Y,MATCH("2026-05-11",'Weekly Data'!$E:$E,0))-INDEX('Weekly Data'!Y:$Y,MATCH("2026-05-04",'Weekly Data'!$E:$E,0)),"")</f>
        <v>0</v>
      </c>
      <c r="U8" s="32" t="n">
        <f aca="false">IFERROR(INDEX('Weekly Data'!Y:$Y,MATCH("2026-05-18",'Weekly Data'!$E:$E,0))-INDEX('Weekly Data'!Y:$Y,MATCH("2026-05-11",'Weekly Data'!$E:$E,0)),"")</f>
        <v>0</v>
      </c>
      <c r="V8" s="32" t="n">
        <f aca="false">IFERROR(INDEX('Weekly Data'!Y:$Y,MATCH("2026-05-25",'Weekly Data'!$E:$E,0))-INDEX('Weekly Data'!Y:$Y,MATCH("2026-05-18",'Weekly Data'!$E:$E,0)),"")</f>
        <v>0</v>
      </c>
      <c r="W8" s="32" t="n">
        <f aca="false">IFERROR(INDEX('Weekly Data'!Y:$Y,MATCH("2026-06-01",'Weekly Data'!$E:$E,0))-INDEX('Weekly Data'!Y:$Y,MATCH("2026-05-25",'Weekly Data'!$E:$E,0)),"")</f>
        <v>0</v>
      </c>
      <c r="X8" s="32" t="n">
        <f aca="false">IFERROR(INDEX('Weekly Data'!Y:$Y,MATCH("2026-06-08",'Weekly Data'!$E:$E,0))-INDEX('Weekly Data'!Y:$Y,MATCH("2026-06-01",'Weekly Data'!$E:$E,0)),"")</f>
        <v>0</v>
      </c>
      <c r="Y8" s="32" t="n">
        <f aca="false">IFERROR(INDEX('Weekly Data'!Y:$Y,MATCH("2026-06-15",'Weekly Data'!$E:$E,0))-INDEX('Weekly Data'!Y:$Y,MATCH("2026-06-08",'Weekly Data'!$E:$E,0)),"")</f>
        <v>0</v>
      </c>
      <c r="Z8" s="32" t="n">
        <f aca="false">IFERROR(INDEX('Weekly Data'!Y:$Y,MATCH("2026-06-22",'Weekly Data'!$E:$E,0))-INDEX('Weekly Data'!Y:$Y,MATCH("2026-06-15",'Weekly Data'!$E:$E,0)),"")</f>
        <v>0</v>
      </c>
      <c r="AA8" s="32" t="n">
        <f aca="false">IFERROR(INDEX('Weekly Data'!Y:$Y,MATCH("2026-06-29",'Weekly Data'!$E:$E,0))-INDEX('Weekly Data'!Y:$Y,MATCH("2026-06-22",'Weekly Data'!$E:$E,0)),"")</f>
        <v>0</v>
      </c>
    </row>
    <row r="9" customFormat="false" ht="15" hidden="false" customHeight="false" outlineLevel="0" collapsed="false">
      <c r="A9" s="29" t="s">
        <v>334</v>
      </c>
      <c r="B9" s="32" t="n">
        <f aca="false">IFERROR(INDEX('Weekly Data'!AC:$AC,MATCH("2026-01-05",'Weekly Data'!$E:$E,0)),"")</f>
        <v>0</v>
      </c>
      <c r="C9" s="32" t="n">
        <f aca="false">IFERROR(INDEX('Weekly Data'!AC:$AC,MATCH("2026-01-12",'Weekly Data'!$E:$E,0))-INDEX('Weekly Data'!AC:$AC,MATCH("2026-01-05",'Weekly Data'!$E:$E,0)),"")</f>
        <v>0</v>
      </c>
      <c r="D9" s="32" t="n">
        <f aca="false">IFERROR(INDEX('Weekly Data'!AC:$AC,MATCH("2026-01-19",'Weekly Data'!$E:$E,0))-INDEX('Weekly Data'!AC:$AC,MATCH("2026-01-12",'Weekly Data'!$E:$E,0)),"")</f>
        <v>0</v>
      </c>
      <c r="E9" s="32" t="n">
        <f aca="false">IFERROR(INDEX('Weekly Data'!AC:$AC,MATCH("2026-01-26",'Weekly Data'!$E:$E,0))-INDEX('Weekly Data'!AC:$AC,MATCH("2026-01-19",'Weekly Data'!$E:$E,0)),"")</f>
        <v>0</v>
      </c>
      <c r="F9" s="32" t="n">
        <f aca="false">IFERROR(INDEX('Weekly Data'!AC:$AC,MATCH("2026-02-02",'Weekly Data'!$E:$E,0))-INDEX('Weekly Data'!AC:$AC,MATCH("2026-01-26",'Weekly Data'!$E:$E,0)),"")</f>
        <v>0</v>
      </c>
      <c r="G9" s="32" t="n">
        <f aca="false">IFERROR(INDEX('Weekly Data'!AC:$AC,MATCH("2026-02-09",'Weekly Data'!$E:$E,0))-INDEX('Weekly Data'!AC:$AC,MATCH("2026-02-02",'Weekly Data'!$E:$E,0)),"")</f>
        <v>0</v>
      </c>
      <c r="H9" s="32" t="n">
        <f aca="false">IFERROR(INDEX('Weekly Data'!AC:$AC,MATCH("2026-02-16",'Weekly Data'!$E:$E,0))-INDEX('Weekly Data'!AC:$AC,MATCH("2026-02-09",'Weekly Data'!$E:$E,0)),"")</f>
        <v>0</v>
      </c>
      <c r="I9" s="32" t="n">
        <f aca="false">IFERROR(INDEX('Weekly Data'!AC:$AC,MATCH("2026-02-23",'Weekly Data'!$E:$E,0))-INDEX('Weekly Data'!AC:$AC,MATCH("2026-02-16",'Weekly Data'!$E:$E,0)),"")</f>
        <v>0</v>
      </c>
      <c r="J9" s="32" t="n">
        <f aca="false">IFERROR(INDEX('Weekly Data'!AC:$AC,MATCH("2026-03-02",'Weekly Data'!$E:$E,0))-INDEX('Weekly Data'!AC:$AC,MATCH("2026-02-23",'Weekly Data'!$E:$E,0)),"")</f>
        <v>532</v>
      </c>
      <c r="K9" s="32" t="n">
        <f aca="false">IFERROR(INDEX('Weekly Data'!AC:$AC,MATCH("2026-03-09",'Weekly Data'!$E:$E,0))-INDEX('Weekly Data'!AC:$AC,MATCH("2026-03-02",'Weekly Data'!$E:$E,0)),"")</f>
        <v>-532</v>
      </c>
      <c r="L9" s="32" t="n">
        <f aca="false">IFERROR(INDEX('Weekly Data'!AC:$AC,MATCH("2026-03-16",'Weekly Data'!$E:$E,0))-INDEX('Weekly Data'!AC:$AC,MATCH("2026-03-09",'Weekly Data'!$E:$E,0)),"")</f>
        <v>0</v>
      </c>
      <c r="M9" s="32" t="n">
        <f aca="false">IFERROR(INDEX('Weekly Data'!AC:$AC,MATCH("2026-03-23",'Weekly Data'!$E:$E,0))-INDEX('Weekly Data'!AC:$AC,MATCH("2026-03-16",'Weekly Data'!$E:$E,0)),"")</f>
        <v>0</v>
      </c>
      <c r="N9" s="32" t="n">
        <f aca="false">IFERROR(INDEX('Weekly Data'!AC:$AC,MATCH("2026-03-30",'Weekly Data'!$E:$E,0))-INDEX('Weekly Data'!AC:$AC,MATCH("2026-03-23",'Weekly Data'!$E:$E,0)),"")</f>
        <v>0</v>
      </c>
      <c r="O9" s="32" t="n">
        <f aca="false">IFERROR(INDEX('Weekly Data'!AC:$AC,MATCH("2026-04-06",'Weekly Data'!$E:$E,0))-INDEX('Weekly Data'!AC:$AC,MATCH("2026-03-30",'Weekly Data'!$E:$E,0)),"")</f>
        <v>0</v>
      </c>
      <c r="P9" s="32" t="n">
        <f aca="false">IFERROR(INDEX('Weekly Data'!AC:$AC,MATCH("2026-04-13",'Weekly Data'!$E:$E,0))-INDEX('Weekly Data'!AC:$AC,MATCH("2026-04-06",'Weekly Data'!$E:$E,0)),"")</f>
        <v>0</v>
      </c>
      <c r="Q9" s="32" t="n">
        <f aca="false">IFERROR(INDEX('Weekly Data'!AC:$AC,MATCH("2026-04-20",'Weekly Data'!$E:$E,0))-INDEX('Weekly Data'!AC:$AC,MATCH("2026-04-13",'Weekly Data'!$E:$E,0)),"")</f>
        <v>0</v>
      </c>
      <c r="R9" s="32" t="n">
        <f aca="false">IFERROR(INDEX('Weekly Data'!AC:$AC,MATCH("2026-04-27",'Weekly Data'!$E:$E,0))-INDEX('Weekly Data'!AC:$AC,MATCH("2026-04-20",'Weekly Data'!$E:$E,0)),"")</f>
        <v>0</v>
      </c>
      <c r="S9" s="32" t="n">
        <f aca="false">IFERROR(INDEX('Weekly Data'!AC:$AC,MATCH("2026-05-04",'Weekly Data'!$E:$E,0))-INDEX('Weekly Data'!AC:$AC,MATCH("2026-04-27",'Weekly Data'!$E:$E,0)),"")</f>
        <v>0</v>
      </c>
      <c r="T9" s="32" t="n">
        <f aca="false">IFERROR(INDEX('Weekly Data'!AC:$AC,MATCH("2026-05-11",'Weekly Data'!$E:$E,0))-INDEX('Weekly Data'!AC:$AC,MATCH("2026-05-04",'Weekly Data'!$E:$E,0)),"")</f>
        <v>0</v>
      </c>
      <c r="U9" s="32" t="n">
        <f aca="false">IFERROR(INDEX('Weekly Data'!AC:$AC,MATCH("2026-05-18",'Weekly Data'!$E:$E,0))-INDEX('Weekly Data'!AC:$AC,MATCH("2026-05-11",'Weekly Data'!$E:$E,0)),"")</f>
        <v>0</v>
      </c>
      <c r="V9" s="32" t="n">
        <f aca="false">IFERROR(INDEX('Weekly Data'!AC:$AC,MATCH("2026-05-25",'Weekly Data'!$E:$E,0))-INDEX('Weekly Data'!AC:$AC,MATCH("2026-05-18",'Weekly Data'!$E:$E,0)),"")</f>
        <v>0</v>
      </c>
      <c r="W9" s="32" t="n">
        <f aca="false">IFERROR(INDEX('Weekly Data'!AC:$AC,MATCH("2026-06-01",'Weekly Data'!$E:$E,0))-INDEX('Weekly Data'!AC:$AC,MATCH("2026-05-25",'Weekly Data'!$E:$E,0)),"")</f>
        <v>0</v>
      </c>
      <c r="X9" s="32" t="n">
        <f aca="false">IFERROR(INDEX('Weekly Data'!AC:$AC,MATCH("2026-06-08",'Weekly Data'!$E:$E,0))-INDEX('Weekly Data'!AC:$AC,MATCH("2026-06-01",'Weekly Data'!$E:$E,0)),"")</f>
        <v>0</v>
      </c>
      <c r="Y9" s="32" t="n">
        <f aca="false">IFERROR(INDEX('Weekly Data'!AC:$AC,MATCH("2026-06-15",'Weekly Data'!$E:$E,0))-INDEX('Weekly Data'!AC:$AC,MATCH("2026-06-08",'Weekly Data'!$E:$E,0)),"")</f>
        <v>0</v>
      </c>
      <c r="Z9" s="32" t="n">
        <f aca="false">IFERROR(INDEX('Weekly Data'!AC:$AC,MATCH("2026-06-22",'Weekly Data'!$E:$E,0))-INDEX('Weekly Data'!AC:$AC,MATCH("2026-06-15",'Weekly Data'!$E:$E,0)),"")</f>
        <v>0</v>
      </c>
      <c r="AA9" s="32" t="n">
        <f aca="false">IFERROR(INDEX('Weekly Data'!AC:$AC,MATCH("2026-06-29",'Weekly Data'!$E:$E,0))-INDEX('Weekly Data'!AC:$AC,MATCH("2026-06-22",'Weekly Data'!$E:$E,0)),"")</f>
        <v>0</v>
      </c>
    </row>
    <row r="10" customFormat="false" ht="15" hidden="false" customHeight="false" outlineLevel="0" collapsed="false">
      <c r="A10" s="29" t="s">
        <v>335</v>
      </c>
      <c r="B10" s="32" t="n">
        <f aca="false">IFERROR(INDEX('Weekly Data'!AD:$AD,MATCH("2026-01-05",'Weekly Data'!$E:$E,0)),"")</f>
        <v>0</v>
      </c>
      <c r="C10" s="32" t="n">
        <f aca="false">IFERROR(INDEX('Weekly Data'!AD:$AD,MATCH("2026-01-12",'Weekly Data'!$E:$E,0))-INDEX('Weekly Data'!AD:$AD,MATCH("2026-01-05",'Weekly Data'!$E:$E,0)),"")</f>
        <v>0</v>
      </c>
      <c r="D10" s="32" t="n">
        <f aca="false">IFERROR(INDEX('Weekly Data'!AD:$AD,MATCH("2026-01-19",'Weekly Data'!$E:$E,0))-INDEX('Weekly Data'!AD:$AD,MATCH("2026-01-12",'Weekly Data'!$E:$E,0)),"")</f>
        <v>0</v>
      </c>
      <c r="E10" s="32" t="n">
        <f aca="false">IFERROR(INDEX('Weekly Data'!AD:$AD,MATCH("2026-01-26",'Weekly Data'!$E:$E,0))-INDEX('Weekly Data'!AD:$AD,MATCH("2026-01-19",'Weekly Data'!$E:$E,0)),"")</f>
        <v>0</v>
      </c>
      <c r="F10" s="32" t="n">
        <f aca="false">IFERROR(INDEX('Weekly Data'!AD:$AD,MATCH("2026-02-02",'Weekly Data'!$E:$E,0))-INDEX('Weekly Data'!AD:$AD,MATCH("2026-01-26",'Weekly Data'!$E:$E,0)),"")</f>
        <v>0</v>
      </c>
      <c r="G10" s="32" t="n">
        <f aca="false">IFERROR(INDEX('Weekly Data'!AD:$AD,MATCH("2026-02-09",'Weekly Data'!$E:$E,0))-INDEX('Weekly Data'!AD:$AD,MATCH("2026-02-02",'Weekly Data'!$E:$E,0)),"")</f>
        <v>0</v>
      </c>
      <c r="H10" s="32" t="n">
        <f aca="false">IFERROR(INDEX('Weekly Data'!AD:$AD,MATCH("2026-02-16",'Weekly Data'!$E:$E,0))-INDEX('Weekly Data'!AD:$AD,MATCH("2026-02-09",'Weekly Data'!$E:$E,0)),"")</f>
        <v>0</v>
      </c>
      <c r="I10" s="32" t="n">
        <f aca="false">IFERROR(INDEX('Weekly Data'!AD:$AD,MATCH("2026-02-23",'Weekly Data'!$E:$E,0))-INDEX('Weekly Data'!AD:$AD,MATCH("2026-02-16",'Weekly Data'!$E:$E,0)),"")</f>
        <v>0</v>
      </c>
      <c r="J10" s="32" t="n">
        <f aca="false">IFERROR(INDEX('Weekly Data'!AD:$AD,MATCH("2026-03-02",'Weekly Data'!$E:$E,0))-INDEX('Weekly Data'!AD:$AD,MATCH("2026-02-23",'Weekly Data'!$E:$E,0)),"")</f>
        <v>532</v>
      </c>
      <c r="K10" s="32" t="n">
        <f aca="false">IFERROR(INDEX('Weekly Data'!AD:$AD,MATCH("2026-03-09",'Weekly Data'!$E:$E,0))-INDEX('Weekly Data'!AD:$AD,MATCH("2026-03-02",'Weekly Data'!$E:$E,0)),"")</f>
        <v>-532</v>
      </c>
      <c r="L10" s="32" t="n">
        <f aca="false">IFERROR(INDEX('Weekly Data'!AD:$AD,MATCH("2026-03-16",'Weekly Data'!$E:$E,0))-INDEX('Weekly Data'!AD:$AD,MATCH("2026-03-09",'Weekly Data'!$E:$E,0)),"")</f>
        <v>0</v>
      </c>
      <c r="M10" s="32" t="n">
        <f aca="false">IFERROR(INDEX('Weekly Data'!AD:$AD,MATCH("2026-03-23",'Weekly Data'!$E:$E,0))-INDEX('Weekly Data'!AD:$AD,MATCH("2026-03-16",'Weekly Data'!$E:$E,0)),"")</f>
        <v>0</v>
      </c>
      <c r="N10" s="32" t="n">
        <f aca="false">IFERROR(INDEX('Weekly Data'!AD:$AD,MATCH("2026-03-30",'Weekly Data'!$E:$E,0))-INDEX('Weekly Data'!AD:$AD,MATCH("2026-03-23",'Weekly Data'!$E:$E,0)),"")</f>
        <v>0</v>
      </c>
      <c r="O10" s="32" t="n">
        <f aca="false">IFERROR(INDEX('Weekly Data'!AD:$AD,MATCH("2026-04-06",'Weekly Data'!$E:$E,0))-INDEX('Weekly Data'!AD:$AD,MATCH("2026-03-30",'Weekly Data'!$E:$E,0)),"")</f>
        <v>0</v>
      </c>
      <c r="P10" s="32" t="n">
        <f aca="false">IFERROR(INDEX('Weekly Data'!AD:$AD,MATCH("2026-04-13",'Weekly Data'!$E:$E,0))-INDEX('Weekly Data'!AD:$AD,MATCH("2026-04-06",'Weekly Data'!$E:$E,0)),"")</f>
        <v>0</v>
      </c>
      <c r="Q10" s="32" t="n">
        <f aca="false">IFERROR(INDEX('Weekly Data'!AD:$AD,MATCH("2026-04-20",'Weekly Data'!$E:$E,0))-INDEX('Weekly Data'!AD:$AD,MATCH("2026-04-13",'Weekly Data'!$E:$E,0)),"")</f>
        <v>0</v>
      </c>
      <c r="R10" s="32" t="n">
        <f aca="false">IFERROR(INDEX('Weekly Data'!AD:$AD,MATCH("2026-04-27",'Weekly Data'!$E:$E,0))-INDEX('Weekly Data'!AD:$AD,MATCH("2026-04-20",'Weekly Data'!$E:$E,0)),"")</f>
        <v>0</v>
      </c>
      <c r="S10" s="32" t="n">
        <f aca="false">IFERROR(INDEX('Weekly Data'!AD:$AD,MATCH("2026-05-04",'Weekly Data'!$E:$E,0))-INDEX('Weekly Data'!AD:$AD,MATCH("2026-04-27",'Weekly Data'!$E:$E,0)),"")</f>
        <v>0</v>
      </c>
      <c r="T10" s="32" t="n">
        <f aca="false">IFERROR(INDEX('Weekly Data'!AD:$AD,MATCH("2026-05-11",'Weekly Data'!$E:$E,0))-INDEX('Weekly Data'!AD:$AD,MATCH("2026-05-04",'Weekly Data'!$E:$E,0)),"")</f>
        <v>0</v>
      </c>
      <c r="U10" s="32" t="n">
        <f aca="false">IFERROR(INDEX('Weekly Data'!AD:$AD,MATCH("2026-05-18",'Weekly Data'!$E:$E,0))-INDEX('Weekly Data'!AD:$AD,MATCH("2026-05-11",'Weekly Data'!$E:$E,0)),"")</f>
        <v>0</v>
      </c>
      <c r="V10" s="32" t="n">
        <f aca="false">IFERROR(INDEX('Weekly Data'!AD:$AD,MATCH("2026-05-25",'Weekly Data'!$E:$E,0))-INDEX('Weekly Data'!AD:$AD,MATCH("2026-05-18",'Weekly Data'!$E:$E,0)),"")</f>
        <v>0</v>
      </c>
      <c r="W10" s="32" t="n">
        <f aca="false">IFERROR(INDEX('Weekly Data'!AD:$AD,MATCH("2026-06-01",'Weekly Data'!$E:$E,0))-INDEX('Weekly Data'!AD:$AD,MATCH("2026-05-25",'Weekly Data'!$E:$E,0)),"")</f>
        <v>0</v>
      </c>
      <c r="X10" s="32" t="n">
        <f aca="false">IFERROR(INDEX('Weekly Data'!AD:$AD,MATCH("2026-06-08",'Weekly Data'!$E:$E,0))-INDEX('Weekly Data'!AD:$AD,MATCH("2026-06-01",'Weekly Data'!$E:$E,0)),"")</f>
        <v>0</v>
      </c>
      <c r="Y10" s="32" t="n">
        <f aca="false">IFERROR(INDEX('Weekly Data'!AD:$AD,MATCH("2026-06-15",'Weekly Data'!$E:$E,0))-INDEX('Weekly Data'!AD:$AD,MATCH("2026-06-08",'Weekly Data'!$E:$E,0)),"")</f>
        <v>0</v>
      </c>
      <c r="Z10" s="32" t="n">
        <f aca="false">IFERROR(INDEX('Weekly Data'!AD:$AD,MATCH("2026-06-22",'Weekly Data'!$E:$E,0))-INDEX('Weekly Data'!AD:$AD,MATCH("2026-06-15",'Weekly Data'!$E:$E,0)),"")</f>
        <v>0</v>
      </c>
      <c r="AA10" s="32" t="n">
        <f aca="false">IFERROR(INDEX('Weekly Data'!AD:$AD,MATCH("2026-06-29",'Weekly Data'!$E:$E,0))-INDEX('Weekly Data'!AD:$AD,MATCH("2026-06-22",'Weekly Data'!$E:$E,0)),"")</f>
        <v>0</v>
      </c>
    </row>
    <row r="11" customFormat="false" ht="15" hidden="false" customHeight="false" outlineLevel="0" collapsed="false">
      <c r="A11" s="29" t="s">
        <v>336</v>
      </c>
      <c r="B11" s="34" t="n">
        <f aca="false">IFERROR(INDEX('Weekly Data'!AF:$AF,MATCH("2026-01-05",'Weekly Data'!$E:$E,0)),"")</f>
        <v>0</v>
      </c>
      <c r="C11" s="34" t="n">
        <f aca="false">IFERROR(INDEX('Weekly Data'!AF:$AF,MATCH("2026-01-12",'Weekly Data'!$E:$E,0))-INDEX('Weekly Data'!AF:$AF,MATCH("2026-01-05",'Weekly Data'!$E:$E,0)),"")</f>
        <v>0</v>
      </c>
      <c r="D11" s="34" t="n">
        <f aca="false">IFERROR(INDEX('Weekly Data'!AF:$AF,MATCH("2026-01-19",'Weekly Data'!$E:$E,0))-INDEX('Weekly Data'!AF:$AF,MATCH("2026-01-12",'Weekly Data'!$E:$E,0)),"")</f>
        <v>0</v>
      </c>
      <c r="E11" s="34" t="n">
        <f aca="false">IFERROR(INDEX('Weekly Data'!AF:$AF,MATCH("2026-01-26",'Weekly Data'!$E:$E,0))-INDEX('Weekly Data'!AF:$AF,MATCH("2026-01-19",'Weekly Data'!$E:$E,0)),"")</f>
        <v>0</v>
      </c>
      <c r="F11" s="34" t="n">
        <f aca="false">IFERROR(INDEX('Weekly Data'!AF:$AF,MATCH("2026-02-02",'Weekly Data'!$E:$E,0))-INDEX('Weekly Data'!AF:$AF,MATCH("2026-01-26",'Weekly Data'!$E:$E,0)),"")</f>
        <v>0</v>
      </c>
      <c r="G11" s="34" t="n">
        <f aca="false">IFERROR(INDEX('Weekly Data'!AF:$AF,MATCH("2026-02-09",'Weekly Data'!$E:$E,0))-INDEX('Weekly Data'!AF:$AF,MATCH("2026-02-02",'Weekly Data'!$E:$E,0)),"")</f>
        <v>0</v>
      </c>
      <c r="H11" s="34" t="n">
        <f aca="false">IFERROR(INDEX('Weekly Data'!AF:$AF,MATCH("2026-02-16",'Weekly Data'!$E:$E,0))-INDEX('Weekly Data'!AF:$AF,MATCH("2026-02-09",'Weekly Data'!$E:$E,0)),"")</f>
        <v>0</v>
      </c>
      <c r="I11" s="34" t="n">
        <f aca="false">IFERROR(INDEX('Weekly Data'!AF:$AF,MATCH("2026-02-23",'Weekly Data'!$E:$E,0))-INDEX('Weekly Data'!AF:$AF,MATCH("2026-02-16",'Weekly Data'!$E:$E,0)),"")</f>
        <v>0</v>
      </c>
      <c r="J11" s="34" t="n">
        <f aca="false">IFERROR(INDEX('Weekly Data'!AF:$AF,MATCH("2026-03-02",'Weekly Data'!$E:$E,0))-INDEX('Weekly Data'!AF:$AF,MATCH("2026-02-23",'Weekly Data'!$E:$E,0)),"")</f>
        <v>5.66</v>
      </c>
      <c r="K11" s="34" t="n">
        <f aca="false">IFERROR(INDEX('Weekly Data'!AF:$AF,MATCH("2026-03-09",'Weekly Data'!$E:$E,0))-INDEX('Weekly Data'!AF:$AF,MATCH("2026-03-02",'Weekly Data'!$E:$E,0)),"")</f>
        <v>-5.66</v>
      </c>
      <c r="L11" s="34" t="n">
        <f aca="false">IFERROR(INDEX('Weekly Data'!AF:$AF,MATCH("2026-03-16",'Weekly Data'!$E:$E,0))-INDEX('Weekly Data'!AF:$AF,MATCH("2026-03-09",'Weekly Data'!$E:$E,0)),"")</f>
        <v>0</v>
      </c>
      <c r="M11" s="34" t="n">
        <f aca="false">IFERROR(INDEX('Weekly Data'!AF:$AF,MATCH("2026-03-23",'Weekly Data'!$E:$E,0))-INDEX('Weekly Data'!AF:$AF,MATCH("2026-03-16",'Weekly Data'!$E:$E,0)),"")</f>
        <v>0</v>
      </c>
      <c r="N11" s="34" t="n">
        <f aca="false">IFERROR(INDEX('Weekly Data'!AF:$AF,MATCH("2026-03-30",'Weekly Data'!$E:$E,0))-INDEX('Weekly Data'!AF:$AF,MATCH("2026-03-23",'Weekly Data'!$E:$E,0)),"")</f>
        <v>0</v>
      </c>
      <c r="O11" s="34" t="n">
        <f aca="false">IFERROR(INDEX('Weekly Data'!AF:$AF,MATCH("2026-04-06",'Weekly Data'!$E:$E,0))-INDEX('Weekly Data'!AF:$AF,MATCH("2026-03-30",'Weekly Data'!$E:$E,0)),"")</f>
        <v>0</v>
      </c>
      <c r="P11" s="34" t="n">
        <f aca="false">IFERROR(INDEX('Weekly Data'!AF:$AF,MATCH("2026-04-13",'Weekly Data'!$E:$E,0))-INDEX('Weekly Data'!AF:$AF,MATCH("2026-04-06",'Weekly Data'!$E:$E,0)),"")</f>
        <v>0</v>
      </c>
      <c r="Q11" s="34" t="n">
        <f aca="false">IFERROR(INDEX('Weekly Data'!AF:$AF,MATCH("2026-04-20",'Weekly Data'!$E:$E,0))-INDEX('Weekly Data'!AF:$AF,MATCH("2026-04-13",'Weekly Data'!$E:$E,0)),"")</f>
        <v>0</v>
      </c>
      <c r="R11" s="34" t="n">
        <f aca="false">IFERROR(INDEX('Weekly Data'!AF:$AF,MATCH("2026-04-27",'Weekly Data'!$E:$E,0))-INDEX('Weekly Data'!AF:$AF,MATCH("2026-04-20",'Weekly Data'!$E:$E,0)),"")</f>
        <v>0</v>
      </c>
      <c r="S11" s="34" t="n">
        <f aca="false">IFERROR(INDEX('Weekly Data'!AF:$AF,MATCH("2026-05-04",'Weekly Data'!$E:$E,0))-INDEX('Weekly Data'!AF:$AF,MATCH("2026-04-27",'Weekly Data'!$E:$E,0)),"")</f>
        <v>0</v>
      </c>
      <c r="T11" s="34" t="n">
        <f aca="false">IFERROR(INDEX('Weekly Data'!AF:$AF,MATCH("2026-05-11",'Weekly Data'!$E:$E,0))-INDEX('Weekly Data'!AF:$AF,MATCH("2026-05-04",'Weekly Data'!$E:$E,0)),"")</f>
        <v>0</v>
      </c>
      <c r="U11" s="34" t="n">
        <f aca="false">IFERROR(INDEX('Weekly Data'!AF:$AF,MATCH("2026-05-18",'Weekly Data'!$E:$E,0))-INDEX('Weekly Data'!AF:$AF,MATCH("2026-05-11",'Weekly Data'!$E:$E,0)),"")</f>
        <v>0</v>
      </c>
      <c r="V11" s="34" t="n">
        <f aca="false">IFERROR(INDEX('Weekly Data'!AF:$AF,MATCH("2026-05-25",'Weekly Data'!$E:$E,0))-INDEX('Weekly Data'!AF:$AF,MATCH("2026-05-18",'Weekly Data'!$E:$E,0)),"")</f>
        <v>0</v>
      </c>
      <c r="W11" s="34" t="n">
        <f aca="false">IFERROR(INDEX('Weekly Data'!AF:$AF,MATCH("2026-06-01",'Weekly Data'!$E:$E,0))-INDEX('Weekly Data'!AF:$AF,MATCH("2026-05-25",'Weekly Data'!$E:$E,0)),"")</f>
        <v>0</v>
      </c>
      <c r="X11" s="34" t="n">
        <f aca="false">IFERROR(INDEX('Weekly Data'!AF:$AF,MATCH("2026-06-08",'Weekly Data'!$E:$E,0))-INDEX('Weekly Data'!AF:$AF,MATCH("2026-06-01",'Weekly Data'!$E:$E,0)),"")</f>
        <v>0</v>
      </c>
      <c r="Y11" s="34" t="n">
        <f aca="false">IFERROR(INDEX('Weekly Data'!AF:$AF,MATCH("2026-06-15",'Weekly Data'!$E:$E,0))-INDEX('Weekly Data'!AF:$AF,MATCH("2026-06-08",'Weekly Data'!$E:$E,0)),"")</f>
        <v>0</v>
      </c>
      <c r="Z11" s="34" t="n">
        <f aca="false">IFERROR(INDEX('Weekly Data'!AF:$AF,MATCH("2026-06-22",'Weekly Data'!$E:$E,0))-INDEX('Weekly Data'!AF:$AF,MATCH("2026-06-15",'Weekly Data'!$E:$E,0)),"")</f>
        <v>0</v>
      </c>
      <c r="AA11" s="34" t="n">
        <f aca="false">IFERROR(INDEX('Weekly Data'!AF:$AF,MATCH("2026-06-29",'Weekly Data'!$E:$E,0))-INDEX('Weekly Data'!AF:$AF,MATCH("2026-06-22",'Weekly Data'!$E:$E,0)),"")</f>
        <v>0</v>
      </c>
    </row>
    <row r="12" customFormat="false" ht="15" hidden="false" customHeight="false" outlineLevel="0" collapsed="false">
      <c r="A12" s="29" t="s">
        <v>337</v>
      </c>
      <c r="B12" s="13" t="n">
        <f aca="false">IFERROR(INDEX('Weekly Data'!AJ:$AJ,MATCH("2026-01-05",'Weekly Data'!$E:$E,0)),"")</f>
        <v>0</v>
      </c>
      <c r="C12" s="13" t="n">
        <f aca="false">IFERROR(INDEX('Weekly Data'!AJ:$AJ,MATCH("2026-01-12",'Weekly Data'!$E:$E,0))-INDEX('Weekly Data'!AJ:$AJ,MATCH("2026-01-05",'Weekly Data'!$E:$E,0)),"")</f>
        <v>0</v>
      </c>
      <c r="D12" s="13" t="n">
        <f aca="false">IFERROR(INDEX('Weekly Data'!AJ:$AJ,MATCH("2026-01-19",'Weekly Data'!$E:$E,0))-INDEX('Weekly Data'!AJ:$AJ,MATCH("2026-01-12",'Weekly Data'!$E:$E,0)),"")</f>
        <v>0</v>
      </c>
      <c r="E12" s="13" t="n">
        <f aca="false">IFERROR(INDEX('Weekly Data'!AJ:$AJ,MATCH("2026-01-26",'Weekly Data'!$E:$E,0))-INDEX('Weekly Data'!AJ:$AJ,MATCH("2026-01-19",'Weekly Data'!$E:$E,0)),"")</f>
        <v>0</v>
      </c>
      <c r="F12" s="13" t="n">
        <f aca="false">IFERROR(INDEX('Weekly Data'!AJ:$AJ,MATCH("2026-02-02",'Weekly Data'!$E:$E,0))-INDEX('Weekly Data'!AJ:$AJ,MATCH("2026-01-26",'Weekly Data'!$E:$E,0)),"")</f>
        <v>0</v>
      </c>
      <c r="G12" s="13" t="n">
        <f aca="false">IFERROR(INDEX('Weekly Data'!AJ:$AJ,MATCH("2026-02-09",'Weekly Data'!$E:$E,0))-INDEX('Weekly Data'!AJ:$AJ,MATCH("2026-02-02",'Weekly Data'!$E:$E,0)),"")</f>
        <v>0</v>
      </c>
      <c r="H12" s="13" t="n">
        <f aca="false">IFERROR(INDEX('Weekly Data'!AJ:$AJ,MATCH("2026-02-16",'Weekly Data'!$E:$E,0))-INDEX('Weekly Data'!AJ:$AJ,MATCH("2026-02-09",'Weekly Data'!$E:$E,0)),"")</f>
        <v>0</v>
      </c>
      <c r="I12" s="13" t="n">
        <f aca="false">IFERROR(INDEX('Weekly Data'!AJ:$AJ,MATCH("2026-02-23",'Weekly Data'!$E:$E,0))-INDEX('Weekly Data'!AJ:$AJ,MATCH("2026-02-16",'Weekly Data'!$E:$E,0)),"")</f>
        <v>0</v>
      </c>
      <c r="J12" s="13" t="n">
        <f aca="false">IFERROR(INDEX('Weekly Data'!AJ:$AJ,MATCH("2026-03-02",'Weekly Data'!$E:$E,0))-INDEX('Weekly Data'!AJ:$AJ,MATCH("2026-02-23",'Weekly Data'!$E:$E,0)),"")</f>
        <v>63.5</v>
      </c>
      <c r="K12" s="13" t="n">
        <f aca="false">IFERROR(INDEX('Weekly Data'!AJ:$AJ,MATCH("2026-03-09",'Weekly Data'!$E:$E,0))-INDEX('Weekly Data'!AJ:$AJ,MATCH("2026-03-02",'Weekly Data'!$E:$E,0)),"")</f>
        <v>-63.5</v>
      </c>
      <c r="L12" s="13" t="n">
        <f aca="false">IFERROR(INDEX('Weekly Data'!AJ:$AJ,MATCH("2026-03-16",'Weekly Data'!$E:$E,0))-INDEX('Weekly Data'!AJ:$AJ,MATCH("2026-03-09",'Weekly Data'!$E:$E,0)),"")</f>
        <v>0</v>
      </c>
      <c r="M12" s="13" t="n">
        <f aca="false">IFERROR(INDEX('Weekly Data'!AJ:$AJ,MATCH("2026-03-23",'Weekly Data'!$E:$E,0))-INDEX('Weekly Data'!AJ:$AJ,MATCH("2026-03-16",'Weekly Data'!$E:$E,0)),"")</f>
        <v>0</v>
      </c>
      <c r="N12" s="13" t="n">
        <f aca="false">IFERROR(INDEX('Weekly Data'!AJ:$AJ,MATCH("2026-03-30",'Weekly Data'!$E:$E,0))-INDEX('Weekly Data'!AJ:$AJ,MATCH("2026-03-23",'Weekly Data'!$E:$E,0)),"")</f>
        <v>0</v>
      </c>
      <c r="O12" s="13" t="n">
        <f aca="false">IFERROR(INDEX('Weekly Data'!AJ:$AJ,MATCH("2026-04-06",'Weekly Data'!$E:$E,0))-INDEX('Weekly Data'!AJ:$AJ,MATCH("2026-03-30",'Weekly Data'!$E:$E,0)),"")</f>
        <v>0</v>
      </c>
      <c r="P12" s="13" t="n">
        <f aca="false">IFERROR(INDEX('Weekly Data'!AJ:$AJ,MATCH("2026-04-13",'Weekly Data'!$E:$E,0))-INDEX('Weekly Data'!AJ:$AJ,MATCH("2026-04-06",'Weekly Data'!$E:$E,0)),"")</f>
        <v>0</v>
      </c>
      <c r="Q12" s="13" t="n">
        <f aca="false">IFERROR(INDEX('Weekly Data'!AJ:$AJ,MATCH("2026-04-20",'Weekly Data'!$E:$E,0))-INDEX('Weekly Data'!AJ:$AJ,MATCH("2026-04-13",'Weekly Data'!$E:$E,0)),"")</f>
        <v>0</v>
      </c>
      <c r="R12" s="13" t="n">
        <f aca="false">IFERROR(INDEX('Weekly Data'!AJ:$AJ,MATCH("2026-04-27",'Weekly Data'!$E:$E,0))-INDEX('Weekly Data'!AJ:$AJ,MATCH("2026-04-20",'Weekly Data'!$E:$E,0)),"")</f>
        <v>0</v>
      </c>
      <c r="S12" s="13" t="n">
        <f aca="false">IFERROR(INDEX('Weekly Data'!AJ:$AJ,MATCH("2026-05-04",'Weekly Data'!$E:$E,0))-INDEX('Weekly Data'!AJ:$AJ,MATCH("2026-04-27",'Weekly Data'!$E:$E,0)),"")</f>
        <v>0</v>
      </c>
      <c r="T12" s="13" t="n">
        <f aca="false">IFERROR(INDEX('Weekly Data'!AJ:$AJ,MATCH("2026-05-11",'Weekly Data'!$E:$E,0))-INDEX('Weekly Data'!AJ:$AJ,MATCH("2026-05-04",'Weekly Data'!$E:$E,0)),"")</f>
        <v>0</v>
      </c>
      <c r="U12" s="13" t="n">
        <f aca="false">IFERROR(INDEX('Weekly Data'!AJ:$AJ,MATCH("2026-05-18",'Weekly Data'!$E:$E,0))-INDEX('Weekly Data'!AJ:$AJ,MATCH("2026-05-11",'Weekly Data'!$E:$E,0)),"")</f>
        <v>0</v>
      </c>
      <c r="V12" s="13" t="n">
        <f aca="false">IFERROR(INDEX('Weekly Data'!AJ:$AJ,MATCH("2026-05-25",'Weekly Data'!$E:$E,0))-INDEX('Weekly Data'!AJ:$AJ,MATCH("2026-05-18",'Weekly Data'!$E:$E,0)),"")</f>
        <v>0</v>
      </c>
      <c r="W12" s="13" t="n">
        <f aca="false">IFERROR(INDEX('Weekly Data'!AJ:$AJ,MATCH("2026-06-01",'Weekly Data'!$E:$E,0))-INDEX('Weekly Data'!AJ:$AJ,MATCH("2026-05-25",'Weekly Data'!$E:$E,0)),"")</f>
        <v>0</v>
      </c>
      <c r="X12" s="13" t="n">
        <f aca="false">IFERROR(INDEX('Weekly Data'!AJ:$AJ,MATCH("2026-06-08",'Weekly Data'!$E:$E,0))-INDEX('Weekly Data'!AJ:$AJ,MATCH("2026-06-01",'Weekly Data'!$E:$E,0)),"")</f>
        <v>0</v>
      </c>
      <c r="Y12" s="13" t="n">
        <f aca="false">IFERROR(INDEX('Weekly Data'!AJ:$AJ,MATCH("2026-06-15",'Weekly Data'!$E:$E,0))-INDEX('Weekly Data'!AJ:$AJ,MATCH("2026-06-08",'Weekly Data'!$E:$E,0)),"")</f>
        <v>0</v>
      </c>
      <c r="Z12" s="13" t="n">
        <f aca="false">IFERROR(INDEX('Weekly Data'!AJ:$AJ,MATCH("2026-06-22",'Weekly Data'!$E:$E,0))-INDEX('Weekly Data'!AJ:$AJ,MATCH("2026-06-15",'Weekly Data'!$E:$E,0)),"")</f>
        <v>0</v>
      </c>
      <c r="AA12" s="13" t="n">
        <f aca="false">IFERROR(INDEX('Weekly Data'!AJ:$AJ,MATCH("2026-06-29",'Weekly Data'!$E:$E,0))-INDEX('Weekly Data'!AJ:$AJ,MATCH("2026-06-22",'Weekly Data'!$E:$E,0)),"")</f>
        <v>0</v>
      </c>
    </row>
    <row r="13" customFormat="false" ht="15" hidden="false" customHeight="false" outlineLevel="0" collapsed="false">
      <c r="A13" s="29" t="s">
        <v>338</v>
      </c>
      <c r="B13" s="14" t="n">
        <f aca="false">IFERROR(INDEX('Weekly Data'!AK:$AK,MATCH("2026-01-05",'Weekly Data'!$E:$E,0)),"")</f>
        <v>0</v>
      </c>
      <c r="C13" s="14" t="n">
        <f aca="false">IFERROR(INDEX('Weekly Data'!AK:$AK,MATCH("2026-01-12",'Weekly Data'!$E:$E,0))-INDEX('Weekly Data'!AK:$AK,MATCH("2026-01-05",'Weekly Data'!$E:$E,0)),"")</f>
        <v>0</v>
      </c>
      <c r="D13" s="14" t="n">
        <f aca="false">IFERROR(INDEX('Weekly Data'!AK:$AK,MATCH("2026-01-19",'Weekly Data'!$E:$E,0))-INDEX('Weekly Data'!AK:$AK,MATCH("2026-01-12",'Weekly Data'!$E:$E,0)),"")</f>
        <v>0</v>
      </c>
      <c r="E13" s="14" t="n">
        <f aca="false">IFERROR(INDEX('Weekly Data'!AK:$AK,MATCH("2026-01-26",'Weekly Data'!$E:$E,0))-INDEX('Weekly Data'!AK:$AK,MATCH("2026-01-19",'Weekly Data'!$E:$E,0)),"")</f>
        <v>0</v>
      </c>
      <c r="F13" s="14" t="n">
        <f aca="false">IFERROR(INDEX('Weekly Data'!AK:$AK,MATCH("2026-02-02",'Weekly Data'!$E:$E,0))-INDEX('Weekly Data'!AK:$AK,MATCH("2026-01-26",'Weekly Data'!$E:$E,0)),"")</f>
        <v>0</v>
      </c>
      <c r="G13" s="14" t="n">
        <f aca="false">IFERROR(INDEX('Weekly Data'!AK:$AK,MATCH("2026-02-09",'Weekly Data'!$E:$E,0))-INDEX('Weekly Data'!AK:$AK,MATCH("2026-02-02",'Weekly Data'!$E:$E,0)),"")</f>
        <v>0</v>
      </c>
      <c r="H13" s="14" t="n">
        <f aca="false">IFERROR(INDEX('Weekly Data'!AK:$AK,MATCH("2026-02-16",'Weekly Data'!$E:$E,0))-INDEX('Weekly Data'!AK:$AK,MATCH("2026-02-09",'Weekly Data'!$E:$E,0)),"")</f>
        <v>0</v>
      </c>
      <c r="I13" s="14" t="n">
        <f aca="false">IFERROR(INDEX('Weekly Data'!AK:$AK,MATCH("2026-02-23",'Weekly Data'!$E:$E,0))-INDEX('Weekly Data'!AK:$AK,MATCH("2026-02-16",'Weekly Data'!$E:$E,0)),"")</f>
        <v>453948</v>
      </c>
      <c r="J13" s="14" t="n">
        <f aca="false">IFERROR(INDEX('Weekly Data'!AK:$AK,MATCH("2026-03-02",'Weekly Data'!$E:$E,0))-INDEX('Weekly Data'!AK:$AK,MATCH("2026-02-23",'Weekly Data'!$E:$E,0)),"")</f>
        <v>-453948</v>
      </c>
      <c r="K13" s="14" t="n">
        <f aca="false">IFERROR(INDEX('Weekly Data'!AK:$AK,MATCH("2026-03-09",'Weekly Data'!$E:$E,0))-INDEX('Weekly Data'!AK:$AK,MATCH("2026-03-02",'Weekly Data'!$E:$E,0)),"")</f>
        <v>0</v>
      </c>
      <c r="L13" s="14" t="n">
        <f aca="false">IFERROR(INDEX('Weekly Data'!AK:$AK,MATCH("2026-03-16",'Weekly Data'!$E:$E,0))-INDEX('Weekly Data'!AK:$AK,MATCH("2026-03-09",'Weekly Data'!$E:$E,0)),"")</f>
        <v>0</v>
      </c>
      <c r="M13" s="14" t="n">
        <f aca="false">IFERROR(INDEX('Weekly Data'!AK:$AK,MATCH("2026-03-23",'Weekly Data'!$E:$E,0))-INDEX('Weekly Data'!AK:$AK,MATCH("2026-03-16",'Weekly Data'!$E:$E,0)),"")</f>
        <v>453948</v>
      </c>
      <c r="N13" s="14" t="n">
        <f aca="false">IFERROR(INDEX('Weekly Data'!AK:$AK,MATCH("2026-03-30",'Weekly Data'!$E:$E,0))-INDEX('Weekly Data'!AK:$AK,MATCH("2026-03-23",'Weekly Data'!$E:$E,0)),"")</f>
        <v>-453948</v>
      </c>
      <c r="O13" s="14" t="n">
        <f aca="false">IFERROR(INDEX('Weekly Data'!AK:$AK,MATCH("2026-04-06",'Weekly Data'!$E:$E,0))-INDEX('Weekly Data'!AK:$AK,MATCH("2026-03-30",'Weekly Data'!$E:$E,0)),"")</f>
        <v>0</v>
      </c>
      <c r="P13" s="14" t="n">
        <f aca="false">IFERROR(INDEX('Weekly Data'!AK:$AK,MATCH("2026-04-13",'Weekly Data'!$E:$E,0))-INDEX('Weekly Data'!AK:$AK,MATCH("2026-04-06",'Weekly Data'!$E:$E,0)),"")</f>
        <v>0</v>
      </c>
      <c r="Q13" s="14" t="n">
        <f aca="false">IFERROR(INDEX('Weekly Data'!AK:$AK,MATCH("2026-04-20",'Weekly Data'!$E:$E,0))-INDEX('Weekly Data'!AK:$AK,MATCH("2026-04-13",'Weekly Data'!$E:$E,0)),"")</f>
        <v>0</v>
      </c>
      <c r="R13" s="14" t="n">
        <f aca="false">IFERROR(INDEX('Weekly Data'!AK:$AK,MATCH("2026-04-27",'Weekly Data'!$E:$E,0))-INDEX('Weekly Data'!AK:$AK,MATCH("2026-04-20",'Weekly Data'!$E:$E,0)),"")</f>
        <v>0</v>
      </c>
      <c r="S13" s="14" t="n">
        <f aca="false">IFERROR(INDEX('Weekly Data'!AK:$AK,MATCH("2026-05-04",'Weekly Data'!$E:$E,0))-INDEX('Weekly Data'!AK:$AK,MATCH("2026-04-27",'Weekly Data'!$E:$E,0)),"")</f>
        <v>0</v>
      </c>
      <c r="T13" s="14" t="n">
        <f aca="false">IFERROR(INDEX('Weekly Data'!AK:$AK,MATCH("2026-05-11",'Weekly Data'!$E:$E,0))-INDEX('Weekly Data'!AK:$AK,MATCH("2026-05-04",'Weekly Data'!$E:$E,0)),"")</f>
        <v>0</v>
      </c>
      <c r="U13" s="14" t="n">
        <f aca="false">IFERROR(INDEX('Weekly Data'!AK:$AK,MATCH("2026-05-18",'Weekly Data'!$E:$E,0))-INDEX('Weekly Data'!AK:$AK,MATCH("2026-05-11",'Weekly Data'!$E:$E,0)),"")</f>
        <v>0</v>
      </c>
      <c r="V13" s="14" t="n">
        <f aca="false">IFERROR(INDEX('Weekly Data'!AK:$AK,MATCH("2026-05-25",'Weekly Data'!$E:$E,0))-INDEX('Weekly Data'!AK:$AK,MATCH("2026-05-18",'Weekly Data'!$E:$E,0)),"")</f>
        <v>0</v>
      </c>
      <c r="W13" s="14" t="n">
        <f aca="false">IFERROR(INDEX('Weekly Data'!AK:$AK,MATCH("2026-06-01",'Weekly Data'!$E:$E,0))-INDEX('Weekly Data'!AK:$AK,MATCH("2026-05-25",'Weekly Data'!$E:$E,0)),"")</f>
        <v>0</v>
      </c>
      <c r="X13" s="14" t="n">
        <f aca="false">IFERROR(INDEX('Weekly Data'!AK:$AK,MATCH("2026-06-08",'Weekly Data'!$E:$E,0))-INDEX('Weekly Data'!AK:$AK,MATCH("2026-06-01",'Weekly Data'!$E:$E,0)),"")</f>
        <v>0</v>
      </c>
      <c r="Y13" s="14" t="n">
        <f aca="false">IFERROR(INDEX('Weekly Data'!AK:$AK,MATCH("2026-06-15",'Weekly Data'!$E:$E,0))-INDEX('Weekly Data'!AK:$AK,MATCH("2026-06-08",'Weekly Data'!$E:$E,0)),"")</f>
        <v>0</v>
      </c>
      <c r="Z13" s="14" t="n">
        <f aca="false">IFERROR(INDEX('Weekly Data'!AK:$AK,MATCH("2026-06-22",'Weekly Data'!$E:$E,0))-INDEX('Weekly Data'!AK:$AK,MATCH("2026-06-15",'Weekly Data'!$E:$E,0)),"")</f>
        <v>0</v>
      </c>
      <c r="AA13" s="14" t="n">
        <f aca="false">IFERROR(INDEX('Weekly Data'!AK:$AK,MATCH("2026-06-29",'Weekly Data'!$E:$E,0))-INDEX('Weekly Data'!AK:$AK,MATCH("2026-06-22",'Weekly Data'!$E:$E,0)),"")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1" t="s">
        <v>339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341</v>
      </c>
      <c r="B4" s="7" t="s">
        <v>342</v>
      </c>
      <c r="C4" s="7" t="s">
        <v>343</v>
      </c>
      <c r="D4" s="7" t="s">
        <v>344</v>
      </c>
      <c r="E4" s="7" t="s">
        <v>345</v>
      </c>
      <c r="F4" s="7" t="s">
        <v>346</v>
      </c>
    </row>
    <row r="5" customFormat="false" ht="15" hidden="false" customHeight="false" outlineLevel="0" collapsed="false">
      <c r="A5" s="40" t="s">
        <v>347</v>
      </c>
      <c r="B5" s="12"/>
      <c r="C5" s="12"/>
      <c r="D5" s="14" t="str">
        <f aca="false">IF(AND(B5&lt;&gt;"",C5&lt;&gt;""),C5-B5,"")</f>
        <v/>
      </c>
      <c r="E5" s="13" t="str">
        <f aca="false">IF(AND(B5&lt;&gt;"",B5&lt;&gt;0),(C5-B5)/B5*100,"")</f>
        <v/>
      </c>
      <c r="F5" s="41"/>
    </row>
    <row r="6" customFormat="false" ht="15" hidden="false" customHeight="false" outlineLevel="0" collapsed="false">
      <c r="A6" s="40" t="s">
        <v>348</v>
      </c>
      <c r="B6" s="12"/>
      <c r="C6" s="12"/>
      <c r="D6" s="14" t="str">
        <f aca="false">IF(AND(B6&lt;&gt;"",C6&lt;&gt;""),C6-B6,"")</f>
        <v/>
      </c>
      <c r="E6" s="13" t="str">
        <f aca="false">IF(AND(B6&lt;&gt;"",B6&lt;&gt;0),(C6-B6)/B6*100,"")</f>
        <v/>
      </c>
      <c r="F6" s="41"/>
    </row>
    <row r="7" customFormat="false" ht="15" hidden="false" customHeight="false" outlineLevel="0" collapsed="false">
      <c r="A7" s="40" t="s">
        <v>349</v>
      </c>
      <c r="B7" s="12"/>
      <c r="C7" s="12"/>
      <c r="D7" s="14" t="str">
        <f aca="false">IF(AND(B7&lt;&gt;"",C7&lt;&gt;""),C7-B7,"")</f>
        <v/>
      </c>
      <c r="E7" s="13" t="str">
        <f aca="false">IF(AND(B7&lt;&gt;"",B7&lt;&gt;0),(C7-B7)/B7*100,"")</f>
        <v/>
      </c>
      <c r="F7" s="41"/>
    </row>
    <row r="8" customFormat="false" ht="15" hidden="false" customHeight="false" outlineLevel="0" collapsed="false">
      <c r="A8" s="40" t="s">
        <v>350</v>
      </c>
      <c r="B8" s="12"/>
      <c r="C8" s="12"/>
      <c r="D8" s="14" t="str">
        <f aca="false">IF(AND(B8&lt;&gt;"",C8&lt;&gt;""),C8-B8,"")</f>
        <v/>
      </c>
      <c r="E8" s="13" t="str">
        <f aca="false">IF(AND(B8&lt;&gt;"",B8&lt;&gt;0),(C8-B8)/B8*100,"")</f>
        <v/>
      </c>
      <c r="F8" s="41"/>
    </row>
    <row r="9" customFormat="false" ht="15" hidden="false" customHeight="false" outlineLevel="0" collapsed="false">
      <c r="A9" s="40" t="s">
        <v>351</v>
      </c>
      <c r="B9" s="12"/>
      <c r="C9" s="12"/>
      <c r="D9" s="14" t="str">
        <f aca="false">IF(AND(B9&lt;&gt;"",C9&lt;&gt;""),C9-B9,"")</f>
        <v/>
      </c>
      <c r="E9" s="13" t="str">
        <f aca="false">IF(AND(B9&lt;&gt;"",B9&lt;&gt;0),(C9-B9)/B9*100,"")</f>
        <v/>
      </c>
      <c r="F9" s="41"/>
    </row>
    <row r="10" customFormat="false" ht="15" hidden="false" customHeight="false" outlineLevel="0" collapsed="false">
      <c r="A10" s="40" t="s">
        <v>352</v>
      </c>
      <c r="B10" s="12"/>
      <c r="C10" s="12"/>
      <c r="D10" s="14" t="str">
        <f aca="false">IF(AND(B10&lt;&gt;"",C10&lt;&gt;""),C10-B10,"")</f>
        <v/>
      </c>
      <c r="E10" s="13" t="str">
        <f aca="false">IF(AND(B10&lt;&gt;"",B10&lt;&gt;0),(C10-B10)/B10*100,"")</f>
        <v/>
      </c>
      <c r="F10" s="41"/>
    </row>
    <row r="11" customFormat="false" ht="15" hidden="false" customHeight="false" outlineLevel="0" collapsed="false">
      <c r="A11" s="40" t="s">
        <v>353</v>
      </c>
      <c r="B11" s="12"/>
      <c r="C11" s="12"/>
      <c r="D11" s="14" t="str">
        <f aca="false">IF(AND(B11&lt;&gt;"",C11&lt;&gt;""),C11-B11,"")</f>
        <v/>
      </c>
      <c r="E11" s="13" t="str">
        <f aca="false">IF(AND(B11&lt;&gt;"",B11&lt;&gt;0),(C11-B11)/B11*100,"")</f>
        <v/>
      </c>
      <c r="F11" s="41"/>
    </row>
    <row r="12" customFormat="false" ht="15" hidden="false" customHeight="false" outlineLevel="0" collapsed="false">
      <c r="A12" s="40" t="s">
        <v>354</v>
      </c>
      <c r="B12" s="12"/>
      <c r="C12" s="12"/>
      <c r="D12" s="14" t="str">
        <f aca="false">IF(AND(B12&lt;&gt;"",C12&lt;&gt;""),C12-B12,"")</f>
        <v/>
      </c>
      <c r="E12" s="13" t="str">
        <f aca="false">IF(AND(B12&lt;&gt;"",B12&lt;&gt;0),(C12-B12)/B12*100,"")</f>
        <v/>
      </c>
      <c r="F12" s="41"/>
    </row>
    <row r="13" customFormat="false" ht="15" hidden="false" customHeight="false" outlineLevel="0" collapsed="false">
      <c r="A13" s="40" t="s">
        <v>355</v>
      </c>
      <c r="B13" s="12"/>
      <c r="C13" s="12"/>
      <c r="D13" s="14" t="str">
        <f aca="false">IF(AND(B13&lt;&gt;"",C13&lt;&gt;""),C13-B13,"")</f>
        <v/>
      </c>
      <c r="E13" s="13" t="str">
        <f aca="false">IF(AND(B13&lt;&gt;"",B13&lt;&gt;0),(C13-B13)/B13*100,"")</f>
        <v/>
      </c>
      <c r="F13" s="41"/>
    </row>
    <row r="14" customFormat="false" ht="15" hidden="false" customHeight="false" outlineLevel="0" collapsed="false">
      <c r="A14" s="40" t="s">
        <v>356</v>
      </c>
      <c r="B14" s="12"/>
      <c r="C14" s="12"/>
      <c r="D14" s="14" t="str">
        <f aca="false">IF(AND(B14&lt;&gt;"",C14&lt;&gt;""),C14-B14,"")</f>
        <v/>
      </c>
      <c r="E14" s="13" t="str">
        <f aca="false">IF(AND(B14&lt;&gt;"",B14&lt;&gt;0),(C14-B14)/B14*100,"")</f>
        <v/>
      </c>
      <c r="F14" s="41"/>
    </row>
    <row r="15" customFormat="false" ht="15" hidden="false" customHeight="false" outlineLevel="0" collapsed="false">
      <c r="A15" s="40" t="s">
        <v>357</v>
      </c>
      <c r="B15" s="12"/>
      <c r="C15" s="12"/>
      <c r="D15" s="14" t="str">
        <f aca="false">IF(AND(B15&lt;&gt;"",C15&lt;&gt;""),C15-B15,"")</f>
        <v/>
      </c>
      <c r="E15" s="13" t="str">
        <f aca="false">IF(AND(B15&lt;&gt;"",B15&lt;&gt;0),(C15-B15)/B15*100,"")</f>
        <v/>
      </c>
      <c r="F15" s="41"/>
    </row>
    <row r="16" customFormat="false" ht="15" hidden="false" customHeight="false" outlineLevel="0" collapsed="false">
      <c r="A16" s="40" t="s">
        <v>358</v>
      </c>
      <c r="B16" s="12"/>
      <c r="C16" s="12"/>
      <c r="D16" s="14" t="str">
        <f aca="false">IF(AND(B16&lt;&gt;"",C16&lt;&gt;""),C16-B16,"")</f>
        <v/>
      </c>
      <c r="E16" s="13" t="str">
        <f aca="false">IF(AND(B16&lt;&gt;"",B16&lt;&gt;0),(C16-B16)/B16*100,"")</f>
        <v/>
      </c>
      <c r="F16" s="41"/>
    </row>
    <row r="17" customFormat="false" ht="15" hidden="false" customHeight="false" outlineLevel="0" collapsed="false">
      <c r="A17" s="40" t="s">
        <v>359</v>
      </c>
      <c r="B17" s="12"/>
      <c r="C17" s="12" t="n">
        <v>1385716</v>
      </c>
      <c r="D17" s="14" t="str">
        <f aca="false">IF(AND(B17&lt;&gt;"",C17&lt;&gt;""),C17-B17,"")</f>
        <v/>
      </c>
      <c r="E17" s="13" t="str">
        <f aca="false">IF(AND(B17&lt;&gt;"",B17&lt;&gt;0),(C17-B17)/B17*100,"")</f>
        <v/>
      </c>
      <c r="F17" s="41"/>
    </row>
    <row r="18" customFormat="false" ht="22.35" hidden="false" customHeight="false" outlineLevel="0" collapsed="false">
      <c r="A18" s="40" t="s">
        <v>360</v>
      </c>
      <c r="B18" s="12" t="n">
        <v>782928</v>
      </c>
      <c r="C18" s="12" t="n">
        <v>1292505</v>
      </c>
      <c r="D18" s="14" t="n">
        <f aca="false">IF(AND(B18&lt;&gt;"",C18&lt;&gt;""),C18-B18,"")</f>
        <v>509577</v>
      </c>
      <c r="E18" s="13" t="n">
        <f aca="false">IF(AND(B18&lt;&gt;"",B18&lt;&gt;0),(C18-B18)/B18*100,"")</f>
        <v>65.0860615535528</v>
      </c>
      <c r="F18" s="41" t="s">
        <v>361</v>
      </c>
    </row>
    <row r="19" customFormat="false" ht="15" hidden="false" customHeight="false" outlineLevel="0" collapsed="false">
      <c r="A19" s="40" t="s">
        <v>362</v>
      </c>
      <c r="B19" s="12"/>
      <c r="C19" s="12"/>
      <c r="D19" s="14" t="str">
        <f aca="false">IF(AND(B19&lt;&gt;"",C19&lt;&gt;""),C19-B19,"")</f>
        <v/>
      </c>
      <c r="E19" s="13" t="str">
        <f aca="false">IF(AND(B19&lt;&gt;"",B19&lt;&gt;0),(C19-B19)/B19*100,"")</f>
        <v/>
      </c>
      <c r="F19" s="41"/>
    </row>
    <row r="20" customFormat="false" ht="15" hidden="false" customHeight="false" outlineLevel="0" collapsed="false">
      <c r="A20" s="40" t="s">
        <v>363</v>
      </c>
      <c r="B20" s="12"/>
      <c r="C20" s="12"/>
      <c r="D20" s="14" t="str">
        <f aca="false">IF(AND(B20&lt;&gt;"",C20&lt;&gt;""),C20-B20,"")</f>
        <v/>
      </c>
      <c r="E20" s="13" t="str">
        <f aca="false">IF(AND(B20&lt;&gt;"",B20&lt;&gt;0),(C20-B20)/B20*100,"")</f>
        <v/>
      </c>
      <c r="F20" s="41"/>
    </row>
    <row r="21" customFormat="false" ht="15" hidden="false" customHeight="false" outlineLevel="0" collapsed="false">
      <c r="A21" s="40" t="s">
        <v>364</v>
      </c>
      <c r="B21" s="12"/>
      <c r="C21" s="12"/>
      <c r="D21" s="14" t="str">
        <f aca="false">IF(AND(B21&lt;&gt;"",C21&lt;&gt;""),C21-B21,"")</f>
        <v/>
      </c>
      <c r="E21" s="13" t="str">
        <f aca="false">IF(AND(B21&lt;&gt;"",B21&lt;&gt;0),(C21-B21)/B21*100,"")</f>
        <v/>
      </c>
      <c r="F21" s="41"/>
    </row>
    <row r="22" customFormat="false" ht="15" hidden="false" customHeight="false" outlineLevel="0" collapsed="false">
      <c r="A22" s="40" t="s">
        <v>365</v>
      </c>
      <c r="B22" s="12"/>
      <c r="C22" s="12"/>
      <c r="D22" s="14" t="str">
        <f aca="false">IF(AND(B22&lt;&gt;"",C22&lt;&gt;""),C22-B22,"")</f>
        <v/>
      </c>
      <c r="E22" s="13" t="str">
        <f aca="false">IF(AND(B22&lt;&gt;"",B22&lt;&gt;0),(C22-B22)/B22*100,"")</f>
        <v/>
      </c>
      <c r="F22" s="41"/>
    </row>
    <row r="23" customFormat="false" ht="15" hidden="false" customHeight="false" outlineLevel="0" collapsed="false">
      <c r="A23" s="40" t="s">
        <v>366</v>
      </c>
      <c r="B23" s="12"/>
      <c r="C23" s="12"/>
      <c r="D23" s="14" t="str">
        <f aca="false">IF(AND(B23&lt;&gt;"",C23&lt;&gt;""),C23-B23,"")</f>
        <v/>
      </c>
      <c r="E23" s="13" t="str">
        <f aca="false">IF(AND(B23&lt;&gt;"",B23&lt;&gt;0),(C23-B23)/B23*100,"")</f>
        <v/>
      </c>
      <c r="F23" s="41"/>
    </row>
    <row r="24" customFormat="false" ht="15" hidden="false" customHeight="false" outlineLevel="0" collapsed="false">
      <c r="A24" s="40" t="s">
        <v>367</v>
      </c>
      <c r="B24" s="12"/>
      <c r="C24" s="12"/>
      <c r="D24" s="14" t="str">
        <f aca="false">IF(AND(B24&lt;&gt;"",C24&lt;&gt;""),C24-B24,"")</f>
        <v/>
      </c>
      <c r="E24" s="13" t="str">
        <f aca="false">IF(AND(B24&lt;&gt;"",B24&lt;&gt;0),(C24-B24)/B24*100,"")</f>
        <v/>
      </c>
      <c r="F24" s="41"/>
    </row>
    <row r="25" customFormat="false" ht="15" hidden="false" customHeight="false" outlineLevel="0" collapsed="false">
      <c r="A25" s="40" t="s">
        <v>368</v>
      </c>
      <c r="B25" s="12"/>
      <c r="C25" s="12"/>
      <c r="D25" s="14" t="str">
        <f aca="false">IF(AND(B25&lt;&gt;"",C25&lt;&gt;""),C25-B25,"")</f>
        <v/>
      </c>
      <c r="E25" s="13" t="str">
        <f aca="false">IF(AND(B25&lt;&gt;"",B25&lt;&gt;0),(C25-B25)/B25*100,"")</f>
        <v/>
      </c>
      <c r="F25" s="41"/>
    </row>
    <row r="26" customFormat="false" ht="15" hidden="false" customHeight="false" outlineLevel="0" collapsed="false">
      <c r="A26" s="40" t="s">
        <v>369</v>
      </c>
      <c r="B26" s="12"/>
      <c r="C26" s="12"/>
      <c r="D26" s="14" t="str">
        <f aca="false">IF(AND(B26&lt;&gt;"",C26&lt;&gt;""),C26-B26,"")</f>
        <v/>
      </c>
      <c r="E26" s="13" t="str">
        <f aca="false">IF(AND(B26&lt;&gt;"",B26&lt;&gt;0),(C26-B26)/B26*100,"")</f>
        <v/>
      </c>
      <c r="F26" s="41"/>
    </row>
    <row r="27" customFormat="false" ht="15" hidden="false" customHeight="false" outlineLevel="0" collapsed="false">
      <c r="A27" s="40" t="s">
        <v>370</v>
      </c>
      <c r="B27" s="12"/>
      <c r="C27" s="12"/>
      <c r="D27" s="14" t="str">
        <f aca="false">IF(AND(B27&lt;&gt;"",C27&lt;&gt;""),C27-B27,"")</f>
        <v/>
      </c>
      <c r="E27" s="13" t="str">
        <f aca="false">IF(AND(B27&lt;&gt;"",B27&lt;&gt;0),(C27-B27)/B27*100,"")</f>
        <v/>
      </c>
      <c r="F27" s="41"/>
    </row>
    <row r="28" customFormat="false" ht="15" hidden="false" customHeight="false" outlineLevel="0" collapsed="false">
      <c r="A28" s="40" t="s">
        <v>371</v>
      </c>
      <c r="B28" s="12"/>
      <c r="C28" s="12"/>
      <c r="D28" s="14" t="str">
        <f aca="false">IF(AND(B28&lt;&gt;"",C28&lt;&gt;""),C28-B28,"")</f>
        <v/>
      </c>
      <c r="E28" s="13" t="str">
        <f aca="false">IF(AND(B28&lt;&gt;"",B28&lt;&gt;0),(C28-B28)/B28*100,"")</f>
        <v/>
      </c>
      <c r="F28" s="4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2026-03-25T04:59:19Z</dcterms:created>
  <dc:creator>openpyxl</dc:creator>
  <dc:description/>
  <dc:language>en-US</dc:language>
  <cp:lastModifiedBy/>
  <dcterms:modified xsi:type="dcterms:W3CDTF">2026-03-25T04:59:19Z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